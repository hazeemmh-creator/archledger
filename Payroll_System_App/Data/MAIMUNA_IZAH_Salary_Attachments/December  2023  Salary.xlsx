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ILA\Documents\Payroll Maters 2023\December 2023 Payroll\"/>
    </mc:Choice>
  </mc:AlternateContent>
  <xr:revisionPtr revIDLastSave="0" documentId="11_D8D737D285FE07B18D258203031AD17550B19E82" xr6:coauthVersionLast="47" xr6:coauthVersionMax="47" xr10:uidLastSave="{00000000-0000-0000-0000-000000000000}"/>
  <bookViews>
    <workbookView xWindow="0" yWindow="0" windowWidth="23040" windowHeight="9375" tabRatio="599" xr2:uid="{00000000-000D-0000-FFFF-FFFF00000000}"/>
  </bookViews>
  <sheets>
    <sheet name="DECEMBER 2023" sheetId="1" r:id="rId1"/>
    <sheet name="MEMO 1" sheetId="68" r:id="rId2"/>
    <sheet name="PROMOTIONS " sheetId="131" r:id="rId3"/>
    <sheet name="CHRISTMAS WELFARE" sheetId="135" r:id="rId4"/>
    <sheet name="CHRISTMAS WELFARE 1" sheetId="134" r:id="rId5"/>
    <sheet name="HALF 2023 (2)" sheetId="137" r:id="rId6"/>
    <sheet name="Sheet3" sheetId="136" r:id="rId7"/>
    <sheet name="NEW ENROLMENT IN NOVEMBER (2)" sheetId="132" r:id="rId8"/>
    <sheet name="Regularisation IN NOVEMBER (3)" sheetId="133" r:id="rId9"/>
    <sheet name="Sheet2" sheetId="130" r:id="rId10"/>
    <sheet name="PROMOTIONS" sheetId="129" r:id="rId11"/>
    <sheet name="SALARY STRUCTURE" sheetId="128" r:id="rId12"/>
    <sheet name="Wage Grant" sheetId="124" r:id="rId13"/>
    <sheet name="Wage Grant (2)" sheetId="126" r:id="rId14"/>
    <sheet name="1st 28 days in Nov" sheetId="123" r:id="rId15"/>
    <sheet name="Sallah Welfare April 2023" sheetId="119" r:id="rId16"/>
    <sheet name="Sallah Welfare June 2023" sheetId="120" r:id="rId17"/>
    <sheet name="Sallah Welfare June 2023 Latest" sheetId="121" r:id="rId18"/>
    <sheet name="Sheet1" sheetId="117" r:id="rId19"/>
    <sheet name="January 2023 PAYE" sheetId="115" r:id="rId20"/>
    <sheet name="January 2023 NHF)" sheetId="116" r:id="rId21"/>
    <sheet name="PAYE Computation" sheetId="114" r:id="rId22"/>
    <sheet name="Tax adj August, 2022" sheetId="87" r:id="rId23"/>
    <sheet name="Annual Increement" sheetId="78" r:id="rId24"/>
    <sheet name="Enhanced Welfare 2023 (2)" sheetId="110" r:id="rId25"/>
    <sheet name="Enhanced Welfare 2023 (3)" sheetId="113" r:id="rId26"/>
    <sheet name="17.9" sheetId="4" r:id="rId27"/>
    <sheet name="16.7" sheetId="5" r:id="rId28"/>
    <sheet name="15.7.1" sheetId="6" r:id="rId29"/>
    <sheet name="13.7" sheetId="7" r:id="rId30"/>
    <sheet name="12.7" sheetId="8" r:id="rId31"/>
    <sheet name="10.7" sheetId="9" r:id="rId32"/>
    <sheet name="9.7" sheetId="10" r:id="rId33"/>
    <sheet name="8.7" sheetId="11" r:id="rId34"/>
    <sheet name="SUMMARY" sheetId="12" r:id="rId35"/>
    <sheet name="14.7" sheetId="13" r:id="rId36"/>
    <sheet name="15.7" sheetId="23" r:id="rId37"/>
    <sheet name="Basic Salary" sheetId="61" r:id="rId38"/>
    <sheet name="JUNE 2023 (2)" sheetId="122" r:id="rId39"/>
  </sheets>
  <externalReferences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_xlnm.Print_Area" localSheetId="23">'Annual Increement'!$A$1:$AB$191</definedName>
    <definedName name="_xlnm.Print_Area" localSheetId="3">'CHRISTMAS WELFARE'!$A$1:$E$196</definedName>
    <definedName name="_xlnm.Print_Area" localSheetId="0">'DECEMBER 2023'!$A$1:$Z$196</definedName>
    <definedName name="_xlnm.Print_Area" localSheetId="24">'Enhanced Welfare 2023 (2)'!$A$1:$G$193</definedName>
    <definedName name="_xlnm.Print_Area" localSheetId="25">'Enhanced Welfare 2023 (3)'!$A$1:$G$193</definedName>
    <definedName name="_xlnm.Print_Area" localSheetId="5">'HALF 2023 (2)'!$A$1:$F$195</definedName>
    <definedName name="_xlnm.Print_Area" localSheetId="20">'January 2023 NHF)'!$A$1:$H$191</definedName>
    <definedName name="_xlnm.Print_Area" localSheetId="19">'January 2023 PAYE'!$A$1:$H$191</definedName>
    <definedName name="_xlnm.Print_Area" localSheetId="38">'JUNE 2023 (2)'!$A$1:$D$190</definedName>
    <definedName name="_xlnm.Print_Area" localSheetId="1">'MEMO 1'!$A$1:$H$59</definedName>
    <definedName name="_xlnm.Print_Area" localSheetId="7">'NEW ENROLMENT IN NOVEMBER (2)'!$A$1:$X$14</definedName>
    <definedName name="_xlnm.Print_Area" localSheetId="10">PROMOTIONS!$A$1:$AB$47</definedName>
    <definedName name="_xlnm.Print_Area" localSheetId="2">'PROMOTIONS '!$A$1:$AB$27</definedName>
    <definedName name="_xlnm.Print_Area" localSheetId="8">'Regularisation IN NOVEMBER (3)'!$A$1:$X$16</definedName>
    <definedName name="_xlnm.Print_Area" localSheetId="15">'Sallah Welfare April 2023'!$A$1:$E$190</definedName>
    <definedName name="_xlnm.Print_Area" localSheetId="16">'Sallah Welfare June 2023'!$A$1:$E$192</definedName>
    <definedName name="_xlnm.Print_Area" localSheetId="17">'Sallah Welfare June 2023 Latest'!$A$1:$E$189</definedName>
    <definedName name="_xlnm.Print_Area" localSheetId="22">'Tax adj August, 2022'!$A$1:$G$202</definedName>
    <definedName name="_xlnm.Print_Area" localSheetId="12">'Wage Grant'!$A$1:$I$192</definedName>
    <definedName name="_xlnm.Print_Area" localSheetId="13">'Wage Grant (2)'!$A$1:$H$62</definedName>
    <definedName name="_xlnm.Print_Titles" localSheetId="3">'CHRISTMAS WELFARE'!$4:$5</definedName>
    <definedName name="_xlnm.Print_Titles" localSheetId="0">'DECEMBER 2023'!$4:$5</definedName>
    <definedName name="_xlnm.Print_Titles" localSheetId="24">'Enhanced Welfare 2023 (2)'!$4:$5</definedName>
    <definedName name="_xlnm.Print_Titles" localSheetId="25">'Enhanced Welfare 2023 (3)'!$4:$5</definedName>
    <definedName name="_xlnm.Print_Titles" localSheetId="5">'HALF 2023 (2)'!$4:$5</definedName>
    <definedName name="_xlnm.Print_Titles" localSheetId="20">'January 2023 NHF)'!$4:$5</definedName>
    <definedName name="_xlnm.Print_Titles" localSheetId="19">'January 2023 PAYE'!$4:$5</definedName>
    <definedName name="_xlnm.Print_Titles" localSheetId="38">'JUNE 2023 (2)'!$4:$5</definedName>
    <definedName name="_xlnm.Print_Titles" localSheetId="7">'NEW ENROLMENT IN NOVEMBER (2)'!$4:$5</definedName>
    <definedName name="_xlnm.Print_Titles" localSheetId="10">PROMOTIONS!$4:$5</definedName>
    <definedName name="_xlnm.Print_Titles" localSheetId="2">'PROMOTIONS '!$4:$5</definedName>
    <definedName name="_xlnm.Print_Titles" localSheetId="8">'Regularisation IN NOVEMBER (3)'!$4:$5</definedName>
    <definedName name="_xlnm.Print_Titles" localSheetId="15">'Sallah Welfare April 2023'!$4:$5</definedName>
    <definedName name="_xlnm.Print_Titles" localSheetId="16">'Sallah Welfare June 2023'!$4:$5</definedName>
    <definedName name="_xlnm.Print_Titles" localSheetId="17">'Sallah Welfare June 2023 Latest'!$4:$5</definedName>
    <definedName name="_xlnm.Print_Titles" localSheetId="12">'Wage Grant'!$5:$5</definedName>
    <definedName name="_xlnm.Print_Titles" localSheetId="13">'Wage Grant (2)'!$5:$5</definedName>
  </definedNames>
  <calcPr calcId="191028" calcCompleted="0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4" i="137" l="1"/>
  <c r="F135" i="137"/>
  <c r="F136" i="137"/>
  <c r="F137" i="137"/>
  <c r="F138" i="137"/>
  <c r="F139" i="137"/>
  <c r="F140" i="137"/>
  <c r="F141" i="137"/>
  <c r="F142" i="137"/>
  <c r="F143" i="137"/>
  <c r="F144" i="137"/>
  <c r="F145" i="137"/>
  <c r="F146" i="137"/>
  <c r="F147" i="137"/>
  <c r="F148" i="137"/>
  <c r="F149" i="137"/>
  <c r="F150" i="137"/>
  <c r="F151" i="137"/>
  <c r="F152" i="137"/>
  <c r="F153" i="137"/>
  <c r="F154" i="137"/>
  <c r="F155" i="137"/>
  <c r="F156" i="137"/>
  <c r="F157" i="137"/>
  <c r="F158" i="137"/>
  <c r="F159" i="137"/>
  <c r="F160" i="137"/>
  <c r="F161" i="137"/>
  <c r="F162" i="137"/>
  <c r="F163" i="137"/>
  <c r="F164" i="137"/>
  <c r="F165" i="137"/>
  <c r="F166" i="137"/>
  <c r="F167" i="137"/>
  <c r="F168" i="137"/>
  <c r="F169" i="137"/>
  <c r="F170" i="137"/>
  <c r="F171" i="137"/>
  <c r="F172" i="137"/>
  <c r="F173" i="137"/>
  <c r="F174" i="137"/>
  <c r="F175" i="137"/>
  <c r="F176" i="137"/>
  <c r="F177" i="137"/>
  <c r="F178" i="137"/>
  <c r="F179" i="137"/>
  <c r="F180" i="137"/>
  <c r="F181" i="137"/>
  <c r="F182" i="137"/>
  <c r="F183" i="137"/>
  <c r="F184" i="137"/>
  <c r="F185" i="137"/>
  <c r="F186" i="137"/>
  <c r="F187" i="137"/>
  <c r="F188" i="137"/>
  <c r="F189" i="137"/>
  <c r="F190" i="137"/>
  <c r="F191" i="137"/>
  <c r="F133" i="137"/>
  <c r="F192" i="137" s="1"/>
  <c r="F121" i="137"/>
  <c r="F122" i="137"/>
  <c r="F123" i="137"/>
  <c r="F124" i="137"/>
  <c r="F125" i="137"/>
  <c r="F126" i="137"/>
  <c r="F127" i="137"/>
  <c r="F128" i="137"/>
  <c r="F129" i="137"/>
  <c r="F120" i="137"/>
  <c r="F115" i="137"/>
  <c r="F116" i="137"/>
  <c r="F106" i="137"/>
  <c r="F107" i="137"/>
  <c r="F108" i="137"/>
  <c r="F109" i="137"/>
  <c r="F110" i="137"/>
  <c r="F111" i="137"/>
  <c r="F105" i="137"/>
  <c r="F112" i="137" s="1"/>
  <c r="F99" i="137"/>
  <c r="F100" i="137"/>
  <c r="F101" i="137"/>
  <c r="F98" i="137"/>
  <c r="F102" i="137" s="1"/>
  <c r="F85" i="137"/>
  <c r="F86" i="137"/>
  <c r="F87" i="137"/>
  <c r="F88" i="137"/>
  <c r="F89" i="137"/>
  <c r="F90" i="137"/>
  <c r="F91" i="137"/>
  <c r="F92" i="137"/>
  <c r="F93" i="137"/>
  <c r="F94" i="137"/>
  <c r="F84" i="137"/>
  <c r="F95" i="137" s="1"/>
  <c r="F75" i="137"/>
  <c r="F76" i="137"/>
  <c r="F77" i="137"/>
  <c r="F78" i="137"/>
  <c r="F79" i="137"/>
  <c r="F80" i="137"/>
  <c r="F74" i="137"/>
  <c r="F81" i="137" s="1"/>
  <c r="F61" i="137"/>
  <c r="F62" i="137"/>
  <c r="F63" i="137"/>
  <c r="F64" i="137"/>
  <c r="F65" i="137"/>
  <c r="F66" i="137"/>
  <c r="F67" i="137"/>
  <c r="F68" i="137"/>
  <c r="F69" i="137"/>
  <c r="F70" i="137"/>
  <c r="F60" i="137"/>
  <c r="F71" i="137" s="1"/>
  <c r="F56" i="137"/>
  <c r="F55" i="137"/>
  <c r="F57" i="137" s="1"/>
  <c r="F41" i="137"/>
  <c r="F42" i="137"/>
  <c r="F43" i="137"/>
  <c r="F44" i="137"/>
  <c r="F45" i="137"/>
  <c r="F46" i="137"/>
  <c r="F47" i="137"/>
  <c r="F48" i="137"/>
  <c r="F49" i="137"/>
  <c r="F50" i="137"/>
  <c r="F51" i="137"/>
  <c r="F40" i="137"/>
  <c r="F52" i="137" s="1"/>
  <c r="F35" i="137"/>
  <c r="F36" i="137"/>
  <c r="F34" i="137"/>
  <c r="F37" i="137" s="1"/>
  <c r="F8" i="137"/>
  <c r="F9" i="137"/>
  <c r="F10" i="137"/>
  <c r="F11" i="137"/>
  <c r="F12" i="137"/>
  <c r="F13" i="137"/>
  <c r="F14" i="137"/>
  <c r="F15" i="137"/>
  <c r="F16" i="137"/>
  <c r="F17" i="137"/>
  <c r="F18" i="137"/>
  <c r="F19" i="137"/>
  <c r="F20" i="137"/>
  <c r="F21" i="137"/>
  <c r="F22" i="137"/>
  <c r="F23" i="137"/>
  <c r="F24" i="137"/>
  <c r="F25" i="137"/>
  <c r="F26" i="137"/>
  <c r="F27" i="137"/>
  <c r="F28" i="137"/>
  <c r="F29" i="137"/>
  <c r="F30" i="137"/>
  <c r="F7" i="137"/>
  <c r="F31" i="137" s="1"/>
  <c r="C193" i="137"/>
  <c r="H36" i="68"/>
  <c r="F117" i="137" l="1"/>
  <c r="F130" i="137"/>
  <c r="F193" i="137"/>
  <c r="W22" i="1" l="1"/>
  <c r="X22" i="1" s="1"/>
  <c r="N22" i="1" l="1"/>
  <c r="E22" i="1"/>
  <c r="L22" i="1" l="1"/>
  <c r="O22" i="1"/>
  <c r="K22" i="1"/>
  <c r="G22" i="1"/>
  <c r="H22" i="1"/>
  <c r="J22" i="1"/>
  <c r="R22" i="1" l="1"/>
  <c r="Z22" i="1" s="1"/>
  <c r="H35" i="68"/>
  <c r="W98" i="1"/>
  <c r="F98" i="1"/>
  <c r="E37" i="135" l="1"/>
  <c r="E57" i="135"/>
  <c r="E71" i="135"/>
  <c r="E81" i="135"/>
  <c r="E95" i="135"/>
  <c r="E112" i="135"/>
  <c r="E117" i="135"/>
  <c r="E133" i="135"/>
  <c r="E192" i="135" s="1"/>
  <c r="E120" i="135"/>
  <c r="E130" i="135" s="1"/>
  <c r="E98" i="135"/>
  <c r="E102" i="135" s="1"/>
  <c r="E41" i="135"/>
  <c r="E52" i="135" s="1"/>
  <c r="E17" i="135"/>
  <c r="E18" i="135"/>
  <c r="E19" i="135"/>
  <c r="E16" i="135"/>
  <c r="E15" i="135"/>
  <c r="E31" i="135" s="1"/>
  <c r="C194" i="135"/>
  <c r="E3" i="135"/>
  <c r="E194" i="135" l="1"/>
  <c r="W20" i="1"/>
  <c r="W115" i="1" l="1"/>
  <c r="X115" i="1" s="1"/>
  <c r="R115" i="1" l="1"/>
  <c r="Z115" i="1" s="1"/>
  <c r="H32" i="68"/>
  <c r="U101" i="1"/>
  <c r="T41" i="1"/>
  <c r="U41" i="1"/>
  <c r="W16" i="1"/>
  <c r="P31" i="1" l="1"/>
  <c r="S31" i="1"/>
  <c r="Y31" i="1"/>
  <c r="T16" i="1"/>
  <c r="R16" i="1"/>
  <c r="H34" i="68"/>
  <c r="N122" i="1"/>
  <c r="W122" i="1"/>
  <c r="E122" i="1"/>
  <c r="W42" i="1"/>
  <c r="M42" i="1"/>
  <c r="E42" i="1"/>
  <c r="W45" i="1"/>
  <c r="M45" i="1"/>
  <c r="I45" i="1"/>
  <c r="E45" i="1"/>
  <c r="X16" i="1" l="1"/>
  <c r="Z16" i="1" s="1"/>
  <c r="F26" i="1"/>
  <c r="W26" i="1"/>
  <c r="N26" i="1"/>
  <c r="E26" i="1"/>
  <c r="W36" i="1"/>
  <c r="H33" i="68" l="1"/>
  <c r="AA7" i="131"/>
  <c r="X7" i="131"/>
  <c r="T7" i="131"/>
  <c r="S7" i="131"/>
  <c r="O7" i="131"/>
  <c r="N7" i="131"/>
  <c r="L7" i="131"/>
  <c r="K7" i="131"/>
  <c r="J7" i="131"/>
  <c r="H7" i="131"/>
  <c r="G7" i="131"/>
  <c r="G52" i="68" l="1"/>
  <c r="G51" i="68"/>
  <c r="G50" i="68"/>
  <c r="G49" i="68"/>
  <c r="G48" i="68"/>
  <c r="G47" i="68"/>
  <c r="G46" i="68"/>
  <c r="G45" i="68"/>
  <c r="G44" i="68"/>
  <c r="G43" i="68"/>
  <c r="G42" i="68"/>
  <c r="G41" i="68"/>
  <c r="F71" i="1" l="1"/>
  <c r="F102" i="1"/>
  <c r="I102" i="1"/>
  <c r="M102" i="1"/>
  <c r="P102" i="1"/>
  <c r="S102" i="1"/>
  <c r="V102" i="1"/>
  <c r="N71" i="1"/>
  <c r="P71" i="1"/>
  <c r="Q71" i="1"/>
  <c r="S71" i="1"/>
  <c r="V71" i="1"/>
  <c r="F31" i="1"/>
  <c r="W12" i="1"/>
  <c r="U12" i="1"/>
  <c r="T12" i="1"/>
  <c r="O12" i="1"/>
  <c r="N12" i="1"/>
  <c r="L12" i="1"/>
  <c r="K12" i="1"/>
  <c r="J12" i="1"/>
  <c r="H12" i="1"/>
  <c r="G12" i="1"/>
  <c r="W21" i="1"/>
  <c r="X21" i="1" s="1"/>
  <c r="E21" i="1"/>
  <c r="J21" i="1" s="1"/>
  <c r="M21" i="1"/>
  <c r="X12" i="1" l="1"/>
  <c r="R12" i="1"/>
  <c r="Z12" i="1" s="1"/>
  <c r="G21" i="1"/>
  <c r="H21" i="1"/>
  <c r="K21" i="1"/>
  <c r="L21" i="1"/>
  <c r="O21" i="1"/>
  <c r="R21" i="1" l="1"/>
  <c r="Z21" i="1" s="1"/>
  <c r="E36" i="1" l="1"/>
  <c r="W126" i="1"/>
  <c r="W174" i="1"/>
  <c r="W175" i="1"/>
  <c r="W173" i="1"/>
  <c r="N174" i="1"/>
  <c r="N175" i="1"/>
  <c r="N173" i="1"/>
  <c r="E174" i="1"/>
  <c r="E175" i="1"/>
  <c r="E173" i="1"/>
  <c r="E13" i="133"/>
  <c r="H13" i="133" s="1"/>
  <c r="G13" i="133"/>
  <c r="Q13" i="133"/>
  <c r="T13" i="133"/>
  <c r="U13" i="133"/>
  <c r="W13" i="133"/>
  <c r="E14" i="133"/>
  <c r="K14" i="133" s="1"/>
  <c r="G14" i="133"/>
  <c r="H14" i="133"/>
  <c r="J14" i="133"/>
  <c r="L14" i="133"/>
  <c r="O14" i="133"/>
  <c r="Q14" i="133"/>
  <c r="W14" i="133"/>
  <c r="X14" i="133" s="1"/>
  <c r="X16" i="133" s="1"/>
  <c r="E15" i="133"/>
  <c r="G15" i="133"/>
  <c r="H15" i="133"/>
  <c r="J15" i="133"/>
  <c r="K15" i="133"/>
  <c r="L15" i="133"/>
  <c r="O15" i="133"/>
  <c r="Q15" i="133"/>
  <c r="T15" i="133"/>
  <c r="U15" i="133"/>
  <c r="W15" i="133"/>
  <c r="X15" i="133" s="1"/>
  <c r="E16" i="133"/>
  <c r="F16" i="133"/>
  <c r="I16" i="133"/>
  <c r="M16" i="133"/>
  <c r="P16" i="133"/>
  <c r="S16" i="133"/>
  <c r="V16" i="133"/>
  <c r="AD8" i="133"/>
  <c r="R15" i="133" l="1"/>
  <c r="R14" i="133"/>
  <c r="X13" i="133"/>
  <c r="Z14" i="133"/>
  <c r="Z15" i="133"/>
  <c r="O13" i="133"/>
  <c r="J13" i="133"/>
  <c r="L13" i="133"/>
  <c r="K13" i="133"/>
  <c r="R13" i="133" s="1"/>
  <c r="Z13" i="133" s="1"/>
  <c r="AB8" i="133" l="1"/>
  <c r="AB9" i="133"/>
  <c r="Y9" i="133"/>
  <c r="Y10" i="133"/>
  <c r="Z10" i="133" s="1"/>
  <c r="Y8" i="133"/>
  <c r="Z8" i="133" s="1"/>
  <c r="X9" i="133"/>
  <c r="Z9" i="133" l="1"/>
  <c r="T9" i="133" l="1"/>
  <c r="T10" i="133"/>
  <c r="T8" i="133"/>
  <c r="T16" i="133" s="1"/>
  <c r="Q10" i="133" l="1"/>
  <c r="O10" i="133"/>
  <c r="N10" i="133"/>
  <c r="L10" i="133"/>
  <c r="K10" i="133"/>
  <c r="J10" i="133"/>
  <c r="H10" i="133"/>
  <c r="G10" i="133"/>
  <c r="Q9" i="133"/>
  <c r="O9" i="133"/>
  <c r="N9" i="133"/>
  <c r="L9" i="133"/>
  <c r="K9" i="133"/>
  <c r="J9" i="133"/>
  <c r="H9" i="133"/>
  <c r="G9" i="133"/>
  <c r="Q8" i="133"/>
  <c r="Q16" i="133" s="1"/>
  <c r="O8" i="133"/>
  <c r="O16" i="133" s="1"/>
  <c r="N8" i="133"/>
  <c r="N16" i="133" s="1"/>
  <c r="L8" i="133"/>
  <c r="L16" i="133" s="1"/>
  <c r="K8" i="133"/>
  <c r="K16" i="133" s="1"/>
  <c r="J8" i="133"/>
  <c r="J16" i="133" s="1"/>
  <c r="H8" i="133"/>
  <c r="H16" i="133" s="1"/>
  <c r="G8" i="133"/>
  <c r="G16" i="133" s="1"/>
  <c r="G3" i="133"/>
  <c r="E3" i="133"/>
  <c r="G1" i="133"/>
  <c r="R8" i="133" l="1"/>
  <c r="R9" i="133"/>
  <c r="U9" i="133" s="1"/>
  <c r="AA9" i="133" s="1"/>
  <c r="AC9" i="133" s="1"/>
  <c r="AE9" i="133" s="1"/>
  <c r="R10" i="133"/>
  <c r="U10" i="133" s="1"/>
  <c r="AA10" i="133" s="1"/>
  <c r="AC10" i="133" s="1"/>
  <c r="AE10" i="133" s="1"/>
  <c r="W17" i="1"/>
  <c r="X17" i="1"/>
  <c r="O17" i="1"/>
  <c r="L17" i="1"/>
  <c r="K17" i="1"/>
  <c r="J17" i="1"/>
  <c r="H17" i="1"/>
  <c r="G17" i="1"/>
  <c r="X69" i="1"/>
  <c r="W69" i="1"/>
  <c r="O69" i="1"/>
  <c r="L69" i="1"/>
  <c r="K69" i="1"/>
  <c r="J69" i="1"/>
  <c r="H69" i="1"/>
  <c r="G69" i="1"/>
  <c r="R23" i="1"/>
  <c r="E4" i="123"/>
  <c r="E3" i="123"/>
  <c r="D4" i="123"/>
  <c r="D3" i="123"/>
  <c r="W11" i="132"/>
  <c r="T7" i="132"/>
  <c r="S7" i="132"/>
  <c r="R17" i="1" l="1"/>
  <c r="Z17" i="1" s="1"/>
  <c r="R69" i="1"/>
  <c r="U8" i="133"/>
  <c r="R16" i="133"/>
  <c r="T11" i="132"/>
  <c r="S11" i="132"/>
  <c r="O11" i="132"/>
  <c r="L11" i="132"/>
  <c r="K11" i="132"/>
  <c r="J11" i="132"/>
  <c r="H11" i="132"/>
  <c r="G11" i="132"/>
  <c r="O7" i="132"/>
  <c r="L7" i="132"/>
  <c r="K7" i="132"/>
  <c r="J7" i="132"/>
  <c r="H7" i="132"/>
  <c r="G7" i="132"/>
  <c r="Z69" i="1" l="1"/>
  <c r="AA8" i="133"/>
  <c r="AC8" i="133" s="1"/>
  <c r="AE8" i="133" s="1"/>
  <c r="AE11" i="133" s="1"/>
  <c r="U16" i="133"/>
  <c r="R11" i="132"/>
  <c r="V11" i="132" s="1"/>
  <c r="X11" i="132" s="1"/>
  <c r="R7" i="132"/>
  <c r="S12" i="132"/>
  <c r="P12" i="132"/>
  <c r="N12" i="132"/>
  <c r="L12" i="132"/>
  <c r="K12" i="132"/>
  <c r="J12" i="132"/>
  <c r="I12" i="132"/>
  <c r="F12" i="132"/>
  <c r="E12" i="132"/>
  <c r="W12" i="132"/>
  <c r="O12" i="132"/>
  <c r="M12" i="132"/>
  <c r="H12" i="132"/>
  <c r="T12" i="132"/>
  <c r="G12" i="132"/>
  <c r="S8" i="132"/>
  <c r="S14" i="132" s="1"/>
  <c r="P8" i="132"/>
  <c r="P14" i="132" s="1"/>
  <c r="M8" i="132"/>
  <c r="M14" i="132" s="1"/>
  <c r="I8" i="132"/>
  <c r="I14" i="132" s="1"/>
  <c r="F8" i="132"/>
  <c r="F14" i="132" s="1"/>
  <c r="U8" i="132"/>
  <c r="T8" i="132"/>
  <c r="T14" i="132" s="1"/>
  <c r="O8" i="132"/>
  <c r="O14" i="132" s="1"/>
  <c r="N8" i="132"/>
  <c r="N14" i="132" s="1"/>
  <c r="L8" i="132"/>
  <c r="L14" i="132" s="1"/>
  <c r="K8" i="132"/>
  <c r="K14" i="132" s="1"/>
  <c r="J8" i="132"/>
  <c r="J14" i="132" s="1"/>
  <c r="G3" i="132"/>
  <c r="E3" i="132"/>
  <c r="G1" i="132"/>
  <c r="X24" i="131"/>
  <c r="Y24" i="131" s="1"/>
  <c r="P24" i="131"/>
  <c r="M24" i="131"/>
  <c r="E24" i="131"/>
  <c r="AA23" i="131"/>
  <c r="X23" i="131"/>
  <c r="W23" i="131"/>
  <c r="S23" i="131"/>
  <c r="P23" i="131"/>
  <c r="N23" i="131"/>
  <c r="M23" i="131"/>
  <c r="K23" i="131"/>
  <c r="J23" i="131"/>
  <c r="I23" i="131"/>
  <c r="G23" i="131"/>
  <c r="F23" i="131"/>
  <c r="Q23" i="131" s="1"/>
  <c r="AA22" i="131"/>
  <c r="X22" i="131"/>
  <c r="Y22" i="131" s="1"/>
  <c r="S22" i="131"/>
  <c r="P22" i="131"/>
  <c r="N22" i="131"/>
  <c r="M22" i="131"/>
  <c r="K22" i="131"/>
  <c r="J22" i="131"/>
  <c r="I22" i="131"/>
  <c r="G22" i="131"/>
  <c r="F22" i="131"/>
  <c r="Q22" i="131" s="1"/>
  <c r="X12" i="131"/>
  <c r="Y12" i="131" s="1"/>
  <c r="AA13" i="131"/>
  <c r="AA27" i="131" s="1"/>
  <c r="S12" i="131"/>
  <c r="T12" i="131"/>
  <c r="F13" i="131"/>
  <c r="I13" i="131"/>
  <c r="N13" i="131"/>
  <c r="P13" i="131"/>
  <c r="R13" i="131"/>
  <c r="R27" i="131" s="1"/>
  <c r="E13" i="131"/>
  <c r="O12" i="131"/>
  <c r="M12" i="131"/>
  <c r="L12" i="131"/>
  <c r="K12" i="131"/>
  <c r="J12" i="131"/>
  <c r="H12" i="131"/>
  <c r="G12" i="131"/>
  <c r="Y18" i="131"/>
  <c r="T18" i="131"/>
  <c r="O18" i="131"/>
  <c r="N18" i="131"/>
  <c r="L18" i="131"/>
  <c r="K18" i="131"/>
  <c r="J18" i="131"/>
  <c r="H18" i="131"/>
  <c r="G18" i="131"/>
  <c r="W41" i="1"/>
  <c r="V17" i="131"/>
  <c r="U17" i="131"/>
  <c r="V11" i="131"/>
  <c r="V13" i="131" s="1"/>
  <c r="U11" i="131"/>
  <c r="U13" i="131" s="1"/>
  <c r="X17" i="131"/>
  <c r="W17" i="131"/>
  <c r="W11" i="131"/>
  <c r="W13" i="131" s="1"/>
  <c r="X11" i="131"/>
  <c r="Z18" i="131" l="1"/>
  <c r="AB18" i="131" s="1"/>
  <c r="T22" i="131"/>
  <c r="T23" i="131"/>
  <c r="Y23" i="131"/>
  <c r="K24" i="131"/>
  <c r="N24" i="131"/>
  <c r="Z22" i="131"/>
  <c r="AB22" i="131" s="1"/>
  <c r="R12" i="132"/>
  <c r="R8" i="132"/>
  <c r="R14" i="132" s="1"/>
  <c r="V7" i="132"/>
  <c r="X7" i="132" s="1"/>
  <c r="V8" i="132"/>
  <c r="U12" i="132"/>
  <c r="U14" i="132" s="1"/>
  <c r="X8" i="132"/>
  <c r="G8" i="132"/>
  <c r="G14" i="132" s="1"/>
  <c r="E8" i="132"/>
  <c r="E14" i="132" s="1"/>
  <c r="H8" i="132"/>
  <c r="H14" i="132" s="1"/>
  <c r="Z23" i="131"/>
  <c r="AB23" i="131" s="1"/>
  <c r="F24" i="131"/>
  <c r="J24" i="131"/>
  <c r="G24" i="131"/>
  <c r="I24" i="131"/>
  <c r="Z12" i="131"/>
  <c r="AB12" i="131" s="1"/>
  <c r="X13" i="131"/>
  <c r="Q24" i="131" l="1"/>
  <c r="T24" i="131" s="1"/>
  <c r="Z24" i="131" s="1"/>
  <c r="AB24" i="131" s="1"/>
  <c r="W186" i="1" l="1"/>
  <c r="W156" i="1"/>
  <c r="W146" i="1"/>
  <c r="W144" i="1"/>
  <c r="W127" i="1"/>
  <c r="W101" i="1"/>
  <c r="W14" i="1"/>
  <c r="W90" i="1"/>
  <c r="W87" i="1"/>
  <c r="W86" i="1"/>
  <c r="W77" i="1"/>
  <c r="W62" i="1"/>
  <c r="W47" i="1"/>
  <c r="W25" i="1"/>
  <c r="W102" i="1" l="1"/>
  <c r="T11" i="131"/>
  <c r="T13" i="131" s="1"/>
  <c r="S17" i="131"/>
  <c r="N17" i="131"/>
  <c r="M17" i="131"/>
  <c r="L17" i="131"/>
  <c r="K17" i="131"/>
  <c r="J17" i="131"/>
  <c r="H17" i="131"/>
  <c r="G17" i="131"/>
  <c r="S11" i="131"/>
  <c r="S13" i="131" s="1"/>
  <c r="O11" i="131"/>
  <c r="O13" i="131" s="1"/>
  <c r="M11" i="131"/>
  <c r="M13" i="131" s="1"/>
  <c r="L11" i="131"/>
  <c r="L13" i="131" s="1"/>
  <c r="K11" i="131"/>
  <c r="K13" i="131" s="1"/>
  <c r="J11" i="131"/>
  <c r="J13" i="131" s="1"/>
  <c r="H11" i="131"/>
  <c r="H13" i="131" s="1"/>
  <c r="G11" i="131"/>
  <c r="G13" i="131" s="1"/>
  <c r="Q17" i="131" l="1"/>
  <c r="T17" i="131"/>
  <c r="F37" i="1"/>
  <c r="I37" i="1"/>
  <c r="M37" i="1"/>
  <c r="P37" i="1"/>
  <c r="Q37" i="1"/>
  <c r="U37" i="1"/>
  <c r="V37" i="1"/>
  <c r="W37" i="1"/>
  <c r="X41" i="1"/>
  <c r="O41" i="1"/>
  <c r="M41" i="1"/>
  <c r="L41" i="1"/>
  <c r="K41" i="1"/>
  <c r="J41" i="1"/>
  <c r="H41" i="1"/>
  <c r="G41" i="1"/>
  <c r="X55" i="1"/>
  <c r="O55" i="1"/>
  <c r="M55" i="1"/>
  <c r="L55" i="1"/>
  <c r="K55" i="1"/>
  <c r="J55" i="1"/>
  <c r="H55" i="1"/>
  <c r="G55" i="1"/>
  <c r="R41" i="1" l="1"/>
  <c r="Z41" i="1" s="1"/>
  <c r="R55" i="1"/>
  <c r="Z55" i="1" s="1"/>
  <c r="L25" i="131" l="1"/>
  <c r="W19" i="131"/>
  <c r="U19" i="131"/>
  <c r="P19" i="131"/>
  <c r="O19" i="131"/>
  <c r="N19" i="131"/>
  <c r="M19" i="131"/>
  <c r="L19" i="131"/>
  <c r="H19" i="131"/>
  <c r="E19" i="131"/>
  <c r="X19" i="131"/>
  <c r="V19" i="131"/>
  <c r="S19" i="131"/>
  <c r="K19" i="131"/>
  <c r="J19" i="131"/>
  <c r="I19" i="131"/>
  <c r="G19" i="131"/>
  <c r="Y16" i="131"/>
  <c r="Z16" i="131" s="1"/>
  <c r="AB16" i="131" s="1"/>
  <c r="Y15" i="131"/>
  <c r="Z15" i="131" s="1"/>
  <c r="AB15" i="131" s="1"/>
  <c r="T14" i="131"/>
  <c r="Y11" i="131"/>
  <c r="Y13" i="131" s="1"/>
  <c r="W8" i="131"/>
  <c r="W27" i="131" s="1"/>
  <c r="V8" i="131"/>
  <c r="U8" i="131"/>
  <c r="S8" i="131"/>
  <c r="P8" i="131"/>
  <c r="P27" i="131" s="1"/>
  <c r="O8" i="131"/>
  <c r="O27" i="131" s="1"/>
  <c r="M8" i="131"/>
  <c r="M27" i="131" s="1"/>
  <c r="L8" i="131"/>
  <c r="H8" i="131"/>
  <c r="E8" i="131"/>
  <c r="X8" i="131"/>
  <c r="X27" i="131" s="1"/>
  <c r="N8" i="131"/>
  <c r="N27" i="131" s="1"/>
  <c r="K8" i="131"/>
  <c r="J8" i="131"/>
  <c r="G8" i="131"/>
  <c r="F8" i="131"/>
  <c r="G3" i="131"/>
  <c r="E3" i="131"/>
  <c r="G1" i="131"/>
  <c r="E27" i="131" l="1"/>
  <c r="G27" i="131"/>
  <c r="V27" i="131"/>
  <c r="H27" i="131"/>
  <c r="L27" i="131"/>
  <c r="U27" i="131"/>
  <c r="J27" i="131"/>
  <c r="K27" i="131"/>
  <c r="H37" i="68"/>
  <c r="S27" i="131"/>
  <c r="Q19" i="131"/>
  <c r="Y17" i="131"/>
  <c r="Y19" i="131" s="1"/>
  <c r="F19" i="131"/>
  <c r="F27" i="131" s="1"/>
  <c r="Y7" i="131"/>
  <c r="Y8" i="131" s="1"/>
  <c r="I8" i="131"/>
  <c r="E5" i="123"/>
  <c r="I27" i="131" l="1"/>
  <c r="Q8" i="131"/>
  <c r="Y27" i="131"/>
  <c r="Z17" i="131"/>
  <c r="T19" i="131"/>
  <c r="U11" i="1"/>
  <c r="U138" i="1"/>
  <c r="U156" i="1"/>
  <c r="AB17" i="131" l="1"/>
  <c r="Z19" i="131"/>
  <c r="AB19" i="131" l="1"/>
  <c r="F122" i="1"/>
  <c r="S45" i="129"/>
  <c r="Q186" i="1"/>
  <c r="N186" i="1"/>
  <c r="E186" i="1"/>
  <c r="S43" i="129"/>
  <c r="S42" i="129"/>
  <c r="N156" i="1"/>
  <c r="V144" i="1"/>
  <c r="N101" i="1"/>
  <c r="E101" i="1"/>
  <c r="O101" i="1" s="1"/>
  <c r="I14" i="1"/>
  <c r="M90" i="1"/>
  <c r="E90" i="1"/>
  <c r="L101" i="1" l="1"/>
  <c r="H101" i="1"/>
  <c r="K101" i="1"/>
  <c r="G101" i="1"/>
  <c r="J101" i="1"/>
  <c r="M77" i="1"/>
  <c r="V15" i="129"/>
  <c r="V86" i="1"/>
  <c r="I87" i="1"/>
  <c r="I86" i="1"/>
  <c r="M47" i="1"/>
  <c r="E47" i="1"/>
  <c r="N25" i="1" l="1"/>
  <c r="R47" i="129"/>
  <c r="AA47" i="129"/>
  <c r="U46" i="129"/>
  <c r="AA45" i="129"/>
  <c r="AA43" i="129"/>
  <c r="AA42" i="129"/>
  <c r="U36" i="129"/>
  <c r="W36" i="129"/>
  <c r="AA35" i="129"/>
  <c r="AA29" i="129"/>
  <c r="AA25" i="129"/>
  <c r="X25" i="129"/>
  <c r="U26" i="129"/>
  <c r="V26" i="129"/>
  <c r="W26" i="129"/>
  <c r="AA20" i="129"/>
  <c r="AA16" i="129"/>
  <c r="AA15" i="129"/>
  <c r="AA11" i="129"/>
  <c r="AA7" i="129"/>
  <c r="X41" i="129"/>
  <c r="X40" i="129"/>
  <c r="X39" i="129"/>
  <c r="X35" i="129" l="1"/>
  <c r="X31" i="129"/>
  <c r="X30" i="129"/>
  <c r="Y30" i="129" s="1"/>
  <c r="X29" i="129"/>
  <c r="X24" i="129"/>
  <c r="X20" i="129"/>
  <c r="X16" i="129"/>
  <c r="X15" i="129"/>
  <c r="X11" i="129"/>
  <c r="U17" i="129"/>
  <c r="V17" i="129"/>
  <c r="W17" i="129"/>
  <c r="U12" i="129"/>
  <c r="W12" i="129"/>
  <c r="U8" i="129"/>
  <c r="Y18" i="129"/>
  <c r="Z18" i="129" s="1"/>
  <c r="AB18" i="129" s="1"/>
  <c r="Y19" i="129"/>
  <c r="Z19" i="129" s="1"/>
  <c r="AB19" i="129" s="1"/>
  <c r="Y22" i="129"/>
  <c r="Z22" i="129" s="1"/>
  <c r="AB22" i="129" s="1"/>
  <c r="Y23" i="129"/>
  <c r="Z23" i="129" s="1"/>
  <c r="AB23" i="129" s="1"/>
  <c r="Y25" i="129"/>
  <c r="Y27" i="129"/>
  <c r="Y28" i="129"/>
  <c r="Y33" i="129"/>
  <c r="Z33" i="129" s="1"/>
  <c r="AB33" i="129" s="1"/>
  <c r="Y34" i="129"/>
  <c r="Z34" i="129" s="1"/>
  <c r="AB34" i="129" s="1"/>
  <c r="Y39" i="129"/>
  <c r="Y40" i="129"/>
  <c r="Y41" i="129"/>
  <c r="X7" i="129"/>
  <c r="Y16" i="129" l="1"/>
  <c r="Y20" i="129"/>
  <c r="X21" i="129"/>
  <c r="Y24" i="129"/>
  <c r="X26" i="129"/>
  <c r="Y7" i="129"/>
  <c r="X32" i="129"/>
  <c r="Y15" i="129"/>
  <c r="Y35" i="129"/>
  <c r="Y31" i="129"/>
  <c r="X12" i="129"/>
  <c r="X36" i="129"/>
  <c r="X17" i="129"/>
  <c r="Y11" i="129"/>
  <c r="Y17" i="129" l="1"/>
  <c r="Y26" i="129"/>
  <c r="Y36" i="129"/>
  <c r="Y21" i="129"/>
  <c r="Y12" i="129"/>
  <c r="X43" i="129" l="1"/>
  <c r="X44" i="129"/>
  <c r="X42" i="129"/>
  <c r="Y44" i="129" l="1"/>
  <c r="X45" i="129"/>
  <c r="X46" i="129" s="1"/>
  <c r="Y42" i="129"/>
  <c r="Y45" i="129" l="1"/>
  <c r="V8" i="129" l="1"/>
  <c r="S41" i="129"/>
  <c r="V39" i="129"/>
  <c r="V46" i="129" s="1"/>
  <c r="S40" i="129"/>
  <c r="S39" i="129"/>
  <c r="V35" i="129"/>
  <c r="V29" i="129"/>
  <c r="V14" i="1" s="1"/>
  <c r="V31" i="1" s="1"/>
  <c r="S35" i="129"/>
  <c r="S31" i="129"/>
  <c r="T31" i="129" s="1"/>
  <c r="Z31" i="129" s="1"/>
  <c r="AB31" i="129" s="1"/>
  <c r="R101" i="1" s="1"/>
  <c r="S30" i="129"/>
  <c r="T27" i="129"/>
  <c r="Z27" i="129" s="1"/>
  <c r="AB27" i="129" s="1"/>
  <c r="T28" i="129"/>
  <c r="Z28" i="129" s="1"/>
  <c r="AB28" i="129" s="1"/>
  <c r="S29" i="129"/>
  <c r="S25" i="129"/>
  <c r="S24" i="129"/>
  <c r="S20" i="129"/>
  <c r="S16" i="129"/>
  <c r="T13" i="129"/>
  <c r="T14" i="129"/>
  <c r="S15" i="129"/>
  <c r="V11" i="129"/>
  <c r="S11" i="129"/>
  <c r="S7" i="129"/>
  <c r="V36" i="129" l="1"/>
  <c r="V47" i="1"/>
  <c r="V12" i="129"/>
  <c r="V47" i="129" l="1"/>
  <c r="C47" i="129"/>
  <c r="N30" i="129"/>
  <c r="K30" i="129"/>
  <c r="J30" i="129"/>
  <c r="I30" i="129"/>
  <c r="G30" i="129"/>
  <c r="F30" i="129"/>
  <c r="E15" i="129"/>
  <c r="I15" i="129" s="1"/>
  <c r="O46" i="129"/>
  <c r="L46" i="129"/>
  <c r="P45" i="129"/>
  <c r="M45" i="129"/>
  <c r="E45" i="129"/>
  <c r="I45" i="129" s="1"/>
  <c r="P44" i="129"/>
  <c r="M44" i="129"/>
  <c r="E44" i="129"/>
  <c r="J44" i="129" s="1"/>
  <c r="W43" i="129"/>
  <c r="P43" i="129"/>
  <c r="N43" i="129"/>
  <c r="M43" i="129"/>
  <c r="K43" i="129"/>
  <c r="J43" i="129"/>
  <c r="I43" i="129"/>
  <c r="G43" i="129"/>
  <c r="F43" i="129"/>
  <c r="P42" i="129"/>
  <c r="N42" i="129"/>
  <c r="M42" i="129"/>
  <c r="K42" i="129"/>
  <c r="J42" i="129"/>
  <c r="I42" i="129"/>
  <c r="G42" i="129"/>
  <c r="F42" i="129"/>
  <c r="N41" i="129"/>
  <c r="M41" i="129"/>
  <c r="K41" i="129"/>
  <c r="J41" i="129"/>
  <c r="I41" i="129"/>
  <c r="G41" i="129"/>
  <c r="F41" i="129"/>
  <c r="E40" i="129"/>
  <c r="N39" i="129"/>
  <c r="M39" i="129"/>
  <c r="K39" i="129"/>
  <c r="J39" i="129"/>
  <c r="I39" i="129"/>
  <c r="G39" i="129"/>
  <c r="F39" i="129"/>
  <c r="H46" i="129"/>
  <c r="L37" i="129"/>
  <c r="L36" i="129"/>
  <c r="N35" i="129"/>
  <c r="M35" i="129"/>
  <c r="K35" i="129"/>
  <c r="J35" i="129"/>
  <c r="I35" i="129"/>
  <c r="G35" i="129"/>
  <c r="F35" i="129"/>
  <c r="O36" i="129"/>
  <c r="P36" i="129"/>
  <c r="U32" i="129"/>
  <c r="O32" i="129"/>
  <c r="L32" i="129"/>
  <c r="H32" i="129"/>
  <c r="E32" i="129"/>
  <c r="W29" i="129"/>
  <c r="P29" i="129"/>
  <c r="P32" i="129" s="1"/>
  <c r="N29" i="129"/>
  <c r="K29" i="129"/>
  <c r="J29" i="129"/>
  <c r="I29" i="129"/>
  <c r="G29" i="129"/>
  <c r="F29" i="129"/>
  <c r="P26" i="129"/>
  <c r="O26" i="129"/>
  <c r="M26" i="129"/>
  <c r="N25" i="129"/>
  <c r="L25" i="129"/>
  <c r="K25" i="129"/>
  <c r="J25" i="129"/>
  <c r="I25" i="129"/>
  <c r="G25" i="129"/>
  <c r="F25" i="129"/>
  <c r="N24" i="129"/>
  <c r="K24" i="129"/>
  <c r="J24" i="129"/>
  <c r="I24" i="129"/>
  <c r="G24" i="129"/>
  <c r="F24" i="129"/>
  <c r="U21" i="129"/>
  <c r="P21" i="129"/>
  <c r="O21" i="129"/>
  <c r="H21" i="129"/>
  <c r="E21" i="129"/>
  <c r="N20" i="129"/>
  <c r="L20" i="129"/>
  <c r="K20" i="129"/>
  <c r="J20" i="129"/>
  <c r="I20" i="129"/>
  <c r="G20" i="129"/>
  <c r="F20" i="129"/>
  <c r="M21" i="129"/>
  <c r="P17" i="129"/>
  <c r="O17" i="129"/>
  <c r="M17" i="129"/>
  <c r="N16" i="129"/>
  <c r="L16" i="129"/>
  <c r="K16" i="129"/>
  <c r="J16" i="129"/>
  <c r="I16" i="129"/>
  <c r="G16" i="129"/>
  <c r="F16" i="129"/>
  <c r="H17" i="129"/>
  <c r="P12" i="129"/>
  <c r="O12" i="129"/>
  <c r="M12" i="129"/>
  <c r="N11" i="129"/>
  <c r="L11" i="129"/>
  <c r="K11" i="129"/>
  <c r="J11" i="129"/>
  <c r="I11" i="129"/>
  <c r="G11" i="129"/>
  <c r="F11" i="129"/>
  <c r="H12" i="129"/>
  <c r="O8" i="129"/>
  <c r="N7" i="129"/>
  <c r="M7" i="129"/>
  <c r="M8" i="129" s="1"/>
  <c r="K7" i="129"/>
  <c r="J7" i="129"/>
  <c r="I7" i="129"/>
  <c r="G7" i="129"/>
  <c r="F7" i="129"/>
  <c r="P8" i="129"/>
  <c r="H8" i="129"/>
  <c r="G3" i="129"/>
  <c r="E3" i="129"/>
  <c r="G1" i="129"/>
  <c r="I40" i="129" l="1"/>
  <c r="W8" i="129"/>
  <c r="U47" i="129"/>
  <c r="O47" i="129"/>
  <c r="W46" i="129"/>
  <c r="Y43" i="129"/>
  <c r="Y46" i="129" s="1"/>
  <c r="W32" i="129"/>
  <c r="Y29" i="129"/>
  <c r="Y32" i="129" s="1"/>
  <c r="Q30" i="129"/>
  <c r="T30" i="129" s="1"/>
  <c r="Z30" i="129" s="1"/>
  <c r="AB30" i="129" s="1"/>
  <c r="G15" i="129"/>
  <c r="N15" i="129"/>
  <c r="J15" i="129"/>
  <c r="K15" i="129"/>
  <c r="F15" i="129"/>
  <c r="N40" i="129"/>
  <c r="F44" i="129"/>
  <c r="F45" i="129"/>
  <c r="G44" i="129"/>
  <c r="K45" i="129"/>
  <c r="M32" i="129"/>
  <c r="J21" i="129"/>
  <c r="K21" i="129"/>
  <c r="J45" i="129"/>
  <c r="J40" i="129"/>
  <c r="F21" i="129"/>
  <c r="H26" i="129"/>
  <c r="Q29" i="129"/>
  <c r="W21" i="129"/>
  <c r="Q20" i="129"/>
  <c r="T20" i="129" s="1"/>
  <c r="Z20" i="129" s="1"/>
  <c r="F40" i="129"/>
  <c r="G40" i="129"/>
  <c r="E26" i="129"/>
  <c r="I32" i="129"/>
  <c r="K40" i="129"/>
  <c r="K26" i="129"/>
  <c r="Q42" i="129"/>
  <c r="T42" i="129" s="1"/>
  <c r="Z42" i="129" s="1"/>
  <c r="AB42" i="129" s="1"/>
  <c r="I44" i="129"/>
  <c r="L26" i="129"/>
  <c r="H36" i="129"/>
  <c r="Q39" i="129"/>
  <c r="T39" i="129" s="1"/>
  <c r="K44" i="129"/>
  <c r="I26" i="129"/>
  <c r="P46" i="129"/>
  <c r="P47" i="129" s="1"/>
  <c r="Q7" i="129"/>
  <c r="T7" i="129" s="1"/>
  <c r="Z7" i="129" s="1"/>
  <c r="L21" i="129"/>
  <c r="F32" i="129"/>
  <c r="Q43" i="129"/>
  <c r="T43" i="129" s="1"/>
  <c r="N44" i="129"/>
  <c r="Q16" i="129"/>
  <c r="T16" i="129" s="1"/>
  <c r="Z16" i="129" s="1"/>
  <c r="AB16" i="129" s="1"/>
  <c r="G32" i="129"/>
  <c r="L12" i="129"/>
  <c r="Q11" i="129"/>
  <c r="T11" i="129" s="1"/>
  <c r="Q24" i="129"/>
  <c r="T24" i="129" s="1"/>
  <c r="M36" i="129"/>
  <c r="E8" i="129"/>
  <c r="L8" i="129"/>
  <c r="E17" i="129"/>
  <c r="E36" i="129"/>
  <c r="G12" i="129"/>
  <c r="J32" i="129"/>
  <c r="Q35" i="129"/>
  <c r="T35" i="129" s="1"/>
  <c r="Z35" i="129" s="1"/>
  <c r="AB35" i="129" s="1"/>
  <c r="J36" i="129"/>
  <c r="E12" i="129"/>
  <c r="Q25" i="129"/>
  <c r="T25" i="129" s="1"/>
  <c r="Z25" i="129" s="1"/>
  <c r="AB25" i="129" s="1"/>
  <c r="K32" i="129"/>
  <c r="N21" i="129"/>
  <c r="I21" i="129"/>
  <c r="M46" i="129"/>
  <c r="L17" i="129"/>
  <c r="N32" i="129"/>
  <c r="E46" i="129"/>
  <c r="Q41" i="129"/>
  <c r="T41" i="129" s="1"/>
  <c r="Z41" i="129" s="1"/>
  <c r="AB41" i="129" s="1"/>
  <c r="N45" i="129"/>
  <c r="G45" i="129"/>
  <c r="G59" i="126"/>
  <c r="H6" i="126"/>
  <c r="H7" i="126"/>
  <c r="E59" i="126"/>
  <c r="F59" i="126"/>
  <c r="D59" i="126"/>
  <c r="H57" i="126"/>
  <c r="H58" i="126"/>
  <c r="H9" i="126"/>
  <c r="H10" i="126"/>
  <c r="H11" i="126"/>
  <c r="H12" i="126"/>
  <c r="H13" i="126"/>
  <c r="H14" i="126"/>
  <c r="H15" i="126"/>
  <c r="H16" i="126"/>
  <c r="H17" i="126"/>
  <c r="H18" i="126"/>
  <c r="H19" i="126"/>
  <c r="H20" i="126"/>
  <c r="H21" i="126"/>
  <c r="H22" i="126"/>
  <c r="H23" i="126"/>
  <c r="H24" i="126"/>
  <c r="H25" i="126"/>
  <c r="H26" i="126"/>
  <c r="H27" i="126"/>
  <c r="H28" i="126"/>
  <c r="H29" i="126"/>
  <c r="H30" i="126"/>
  <c r="H31" i="126"/>
  <c r="H32" i="126"/>
  <c r="H33" i="126"/>
  <c r="H34" i="126"/>
  <c r="H35" i="126"/>
  <c r="H36" i="126"/>
  <c r="H37" i="126"/>
  <c r="H38" i="126"/>
  <c r="H39" i="126"/>
  <c r="H40" i="126"/>
  <c r="H41" i="126"/>
  <c r="H42" i="126"/>
  <c r="H43" i="126"/>
  <c r="H44" i="126"/>
  <c r="H45" i="126"/>
  <c r="H46" i="126"/>
  <c r="H47" i="126"/>
  <c r="H48" i="126"/>
  <c r="H49" i="126"/>
  <c r="H50" i="126"/>
  <c r="H51" i="126"/>
  <c r="H52" i="126"/>
  <c r="H53" i="126"/>
  <c r="H54" i="126"/>
  <c r="H55" i="126"/>
  <c r="H56" i="126"/>
  <c r="H8" i="126"/>
  <c r="H59" i="126" s="1"/>
  <c r="I132" i="124"/>
  <c r="I133" i="124"/>
  <c r="I134" i="124"/>
  <c r="I135" i="124"/>
  <c r="I136" i="124"/>
  <c r="I137" i="124"/>
  <c r="I138" i="124"/>
  <c r="I139" i="124"/>
  <c r="I140" i="124"/>
  <c r="I141" i="124"/>
  <c r="I142" i="124"/>
  <c r="I143" i="124"/>
  <c r="I144" i="124"/>
  <c r="I145" i="124"/>
  <c r="I146" i="124"/>
  <c r="I147" i="124"/>
  <c r="I148" i="124"/>
  <c r="I149" i="124"/>
  <c r="I150" i="124"/>
  <c r="I151" i="124"/>
  <c r="I152" i="124"/>
  <c r="I153" i="124"/>
  <c r="I154" i="124"/>
  <c r="I155" i="124"/>
  <c r="I156" i="124"/>
  <c r="I157" i="124"/>
  <c r="I158" i="124"/>
  <c r="I159" i="124"/>
  <c r="I160" i="124"/>
  <c r="I161" i="124"/>
  <c r="I162" i="124"/>
  <c r="I163" i="124"/>
  <c r="I164" i="124"/>
  <c r="I165" i="124"/>
  <c r="I166" i="124"/>
  <c r="I167" i="124"/>
  <c r="I168" i="124"/>
  <c r="I169" i="124"/>
  <c r="I170" i="124"/>
  <c r="I171" i="124"/>
  <c r="I172" i="124"/>
  <c r="I173" i="124"/>
  <c r="I174" i="124"/>
  <c r="I175" i="124"/>
  <c r="I176" i="124"/>
  <c r="I177" i="124"/>
  <c r="I178" i="124"/>
  <c r="I179" i="124"/>
  <c r="I180" i="124"/>
  <c r="I181" i="124"/>
  <c r="I182" i="124"/>
  <c r="I183" i="124"/>
  <c r="I184" i="124"/>
  <c r="I185" i="124"/>
  <c r="I186" i="124"/>
  <c r="I187" i="124"/>
  <c r="I188" i="124"/>
  <c r="I189" i="124"/>
  <c r="I131" i="124"/>
  <c r="F190" i="124"/>
  <c r="G190" i="124"/>
  <c r="H190" i="124"/>
  <c r="E190" i="124"/>
  <c r="I120" i="124"/>
  <c r="I121" i="124"/>
  <c r="I122" i="124"/>
  <c r="I123" i="124"/>
  <c r="I124" i="124"/>
  <c r="I125" i="124"/>
  <c r="I126" i="124"/>
  <c r="I127" i="124"/>
  <c r="I119" i="124"/>
  <c r="F128" i="124"/>
  <c r="G128" i="124"/>
  <c r="H128" i="124"/>
  <c r="E128" i="124"/>
  <c r="I114" i="124"/>
  <c r="I115" i="124"/>
  <c r="I113" i="124"/>
  <c r="F116" i="124"/>
  <c r="G116" i="124"/>
  <c r="H116" i="124"/>
  <c r="E116" i="124"/>
  <c r="E104" i="124"/>
  <c r="F104" i="124"/>
  <c r="G104" i="124"/>
  <c r="H104" i="124"/>
  <c r="E105" i="124"/>
  <c r="F105" i="124"/>
  <c r="G105" i="124"/>
  <c r="H105" i="124"/>
  <c r="E106" i="124"/>
  <c r="F106" i="124"/>
  <c r="G106" i="124"/>
  <c r="H106" i="124"/>
  <c r="E107" i="124"/>
  <c r="F107" i="124"/>
  <c r="G107" i="124"/>
  <c r="H107" i="124"/>
  <c r="E108" i="124"/>
  <c r="F108" i="124"/>
  <c r="G108" i="124"/>
  <c r="H108" i="124"/>
  <c r="E109" i="124"/>
  <c r="F109" i="124"/>
  <c r="G109" i="124"/>
  <c r="H109" i="124"/>
  <c r="F103" i="124"/>
  <c r="F110" i="124" s="1"/>
  <c r="G103" i="124"/>
  <c r="H103" i="124"/>
  <c r="E103" i="124"/>
  <c r="I97" i="124"/>
  <c r="I98" i="124"/>
  <c r="I99" i="124"/>
  <c r="I96" i="124"/>
  <c r="F100" i="124"/>
  <c r="G100" i="124"/>
  <c r="H100" i="124"/>
  <c r="E100" i="124"/>
  <c r="F93" i="124"/>
  <c r="G93" i="124"/>
  <c r="H93" i="124"/>
  <c r="E93" i="124"/>
  <c r="I73" i="124"/>
  <c r="I74" i="124"/>
  <c r="I75" i="124"/>
  <c r="I76" i="124"/>
  <c r="I77" i="124"/>
  <c r="I78" i="124"/>
  <c r="I72" i="124"/>
  <c r="F79" i="124"/>
  <c r="G79" i="124"/>
  <c r="H79" i="124"/>
  <c r="E79" i="124"/>
  <c r="I58" i="124"/>
  <c r="I59" i="124"/>
  <c r="I60" i="124"/>
  <c r="I61" i="124"/>
  <c r="I62" i="124"/>
  <c r="I63" i="124"/>
  <c r="I64" i="124"/>
  <c r="I65" i="124"/>
  <c r="I66" i="124"/>
  <c r="I67" i="124"/>
  <c r="I68" i="124"/>
  <c r="I57" i="124"/>
  <c r="F69" i="124"/>
  <c r="G69" i="124"/>
  <c r="H69" i="124"/>
  <c r="E69" i="124"/>
  <c r="I53" i="124"/>
  <c r="I52" i="124"/>
  <c r="F54" i="124"/>
  <c r="G54" i="124"/>
  <c r="H54" i="124"/>
  <c r="E54" i="124"/>
  <c r="I37" i="124"/>
  <c r="I38" i="124"/>
  <c r="I39" i="124"/>
  <c r="I40" i="124"/>
  <c r="I41" i="124"/>
  <c r="I42" i="124"/>
  <c r="I43" i="124"/>
  <c r="I44" i="124"/>
  <c r="I45" i="124"/>
  <c r="I46" i="124"/>
  <c r="I47" i="124"/>
  <c r="I48" i="124"/>
  <c r="I36" i="124"/>
  <c r="F49" i="124"/>
  <c r="G49" i="124"/>
  <c r="H49" i="124"/>
  <c r="E49" i="124"/>
  <c r="I32" i="124"/>
  <c r="I31" i="124"/>
  <c r="F33" i="124"/>
  <c r="G33" i="124"/>
  <c r="H33" i="124"/>
  <c r="E33" i="124"/>
  <c r="I8" i="124"/>
  <c r="I9" i="124"/>
  <c r="I10" i="124"/>
  <c r="I11" i="124"/>
  <c r="I12" i="124"/>
  <c r="I13" i="124"/>
  <c r="I14" i="124"/>
  <c r="I15" i="124"/>
  <c r="I16" i="124"/>
  <c r="I17" i="124"/>
  <c r="I18" i="124"/>
  <c r="I19" i="124"/>
  <c r="I20" i="124"/>
  <c r="I21" i="124"/>
  <c r="I22" i="124"/>
  <c r="I23" i="124"/>
  <c r="I24" i="124"/>
  <c r="I25" i="124"/>
  <c r="I26" i="124"/>
  <c r="I27" i="124"/>
  <c r="I7" i="124"/>
  <c r="F28" i="124"/>
  <c r="G28" i="124"/>
  <c r="H28" i="124"/>
  <c r="E28" i="124"/>
  <c r="I108" i="124" l="1"/>
  <c r="I106" i="124"/>
  <c r="I104" i="124"/>
  <c r="Q40" i="129"/>
  <c r="E47" i="129"/>
  <c r="L47" i="129"/>
  <c r="Z43" i="129"/>
  <c r="AB43" i="129" s="1"/>
  <c r="H47" i="129"/>
  <c r="S32" i="129"/>
  <c r="T29" i="129"/>
  <c r="Z29" i="129" s="1"/>
  <c r="Z39" i="129"/>
  <c r="W47" i="129"/>
  <c r="M47" i="129"/>
  <c r="T26" i="129"/>
  <c r="Z24" i="129"/>
  <c r="T12" i="129"/>
  <c r="Z11" i="129"/>
  <c r="T36" i="129"/>
  <c r="Z8" i="129"/>
  <c r="AB7" i="129"/>
  <c r="AB20" i="129"/>
  <c r="Z21" i="129"/>
  <c r="X8" i="129"/>
  <c r="X47" i="129" s="1"/>
  <c r="Y8" i="129"/>
  <c r="Y47" i="129" s="1"/>
  <c r="S21" i="129"/>
  <c r="S36" i="129"/>
  <c r="S12" i="129"/>
  <c r="S26" i="129"/>
  <c r="G36" i="129"/>
  <c r="J26" i="129"/>
  <c r="Q15" i="129"/>
  <c r="T15" i="129" s="1"/>
  <c r="N26" i="129"/>
  <c r="K17" i="129"/>
  <c r="F36" i="129"/>
  <c r="G26" i="129"/>
  <c r="G17" i="129"/>
  <c r="F17" i="129"/>
  <c r="F12" i="129"/>
  <c r="F26" i="129"/>
  <c r="K12" i="129"/>
  <c r="K36" i="129"/>
  <c r="I12" i="129"/>
  <c r="N12" i="129"/>
  <c r="T8" i="129"/>
  <c r="T40" i="129"/>
  <c r="Z40" i="129" s="1"/>
  <c r="AB40" i="129" s="1"/>
  <c r="Q44" i="129"/>
  <c r="T44" i="129" s="1"/>
  <c r="Z44" i="129" s="1"/>
  <c r="AB44" i="129" s="1"/>
  <c r="I8" i="129"/>
  <c r="J8" i="129"/>
  <c r="J46" i="129"/>
  <c r="F8" i="129"/>
  <c r="N46" i="129"/>
  <c r="I46" i="129"/>
  <c r="N17" i="129"/>
  <c r="F46" i="129"/>
  <c r="K46" i="129"/>
  <c r="I36" i="129"/>
  <c r="G46" i="129"/>
  <c r="J17" i="129"/>
  <c r="Q32" i="129"/>
  <c r="G8" i="129"/>
  <c r="I17" i="129"/>
  <c r="N8" i="129"/>
  <c r="K8" i="129"/>
  <c r="J12" i="129"/>
  <c r="Q45" i="129"/>
  <c r="T45" i="129" s="1"/>
  <c r="Z45" i="129" s="1"/>
  <c r="AB45" i="129" s="1"/>
  <c r="G21" i="129"/>
  <c r="N36" i="129"/>
  <c r="I109" i="124"/>
  <c r="I107" i="124"/>
  <c r="I103" i="124"/>
  <c r="I105" i="124"/>
  <c r="H110" i="124"/>
  <c r="G110" i="124"/>
  <c r="E110" i="124"/>
  <c r="T32" i="129" l="1"/>
  <c r="F47" i="129"/>
  <c r="AB21" i="129"/>
  <c r="AB8" i="129"/>
  <c r="N47" i="129"/>
  <c r="G47" i="129"/>
  <c r="AB39" i="129"/>
  <c r="Z46" i="129"/>
  <c r="AB24" i="129"/>
  <c r="Z26" i="129"/>
  <c r="AB11" i="129"/>
  <c r="Z12" i="129"/>
  <c r="I47" i="129"/>
  <c r="AB36" i="129"/>
  <c r="Z36" i="129"/>
  <c r="T46" i="129"/>
  <c r="J47" i="129"/>
  <c r="K47" i="129"/>
  <c r="T17" i="129"/>
  <c r="Z15" i="129"/>
  <c r="Z32" i="129"/>
  <c r="AB29" i="129"/>
  <c r="S17" i="129"/>
  <c r="S8" i="129"/>
  <c r="S46" i="129"/>
  <c r="Q26" i="129"/>
  <c r="Q12" i="129"/>
  <c r="Q17" i="129"/>
  <c r="Q8" i="129"/>
  <c r="Q36" i="129"/>
  <c r="Q46" i="129"/>
  <c r="Q21" i="129"/>
  <c r="I190" i="124"/>
  <c r="I128" i="124"/>
  <c r="I116" i="124"/>
  <c r="I110" i="124"/>
  <c r="I100" i="124"/>
  <c r="I79" i="124"/>
  <c r="I69" i="124"/>
  <c r="I54" i="124"/>
  <c r="I49" i="124"/>
  <c r="I33" i="124"/>
  <c r="S47" i="129" l="1"/>
  <c r="T47" i="129"/>
  <c r="AB26" i="129"/>
  <c r="Q47" i="129"/>
  <c r="AB46" i="129"/>
  <c r="AB32" i="129"/>
  <c r="AB15" i="129"/>
  <c r="Z17" i="129"/>
  <c r="Z47" i="129" s="1"/>
  <c r="AB12" i="129"/>
  <c r="I28" i="124"/>
  <c r="I83" i="124"/>
  <c r="I84" i="124"/>
  <c r="I85" i="124"/>
  <c r="I86" i="124"/>
  <c r="I87" i="124"/>
  <c r="I88" i="124"/>
  <c r="I89" i="124"/>
  <c r="I90" i="124"/>
  <c r="I91" i="124"/>
  <c r="I92" i="124"/>
  <c r="I82" i="124"/>
  <c r="AB17" i="129" l="1"/>
  <c r="AB47" i="129" s="1"/>
  <c r="I93" i="124"/>
  <c r="I192" i="124"/>
  <c r="F4" i="123"/>
  <c r="F3" i="123"/>
  <c r="F5" i="123" s="1"/>
  <c r="D5" i="123" l="1"/>
  <c r="W143" i="1"/>
  <c r="W116" i="1"/>
  <c r="W19" i="1"/>
  <c r="X9" i="1"/>
  <c r="W80" i="1" l="1"/>
  <c r="F193" i="1"/>
  <c r="M193" i="1"/>
  <c r="P193" i="1"/>
  <c r="S193" i="1"/>
  <c r="V193" i="1"/>
  <c r="W192" i="1"/>
  <c r="X192" i="1" s="1"/>
  <c r="N192" i="1"/>
  <c r="E192" i="1"/>
  <c r="J192" i="1" s="1"/>
  <c r="W191" i="1"/>
  <c r="X191" i="1" s="1"/>
  <c r="E191" i="1"/>
  <c r="O191" i="1" s="1"/>
  <c r="N191" i="1"/>
  <c r="O192" i="1" l="1"/>
  <c r="L192" i="1"/>
  <c r="K192" i="1"/>
  <c r="G192" i="1"/>
  <c r="H192" i="1"/>
  <c r="J191" i="1"/>
  <c r="H191" i="1"/>
  <c r="L191" i="1"/>
  <c r="K191" i="1"/>
  <c r="G191" i="1"/>
  <c r="R191" i="1" l="1"/>
  <c r="Z191" i="1" s="1"/>
  <c r="R192" i="1"/>
  <c r="Z192" i="1" s="1"/>
  <c r="W190" i="1"/>
  <c r="X190" i="1" s="1"/>
  <c r="O190" i="1"/>
  <c r="L190" i="1"/>
  <c r="K190" i="1"/>
  <c r="J190" i="1"/>
  <c r="H190" i="1"/>
  <c r="G190" i="1"/>
  <c r="W189" i="1"/>
  <c r="X189" i="1" s="1"/>
  <c r="O189" i="1"/>
  <c r="L189" i="1"/>
  <c r="K189" i="1"/>
  <c r="J189" i="1"/>
  <c r="H189" i="1"/>
  <c r="G189" i="1"/>
  <c r="W188" i="1"/>
  <c r="X188" i="1" s="1"/>
  <c r="R190" i="1" l="1"/>
  <c r="Z190" i="1" s="1"/>
  <c r="R189" i="1"/>
  <c r="Z189" i="1" s="1"/>
  <c r="O188" i="1" l="1"/>
  <c r="L188" i="1"/>
  <c r="K188" i="1"/>
  <c r="J188" i="1"/>
  <c r="H188" i="1"/>
  <c r="G188" i="1"/>
  <c r="R188" i="1" l="1"/>
  <c r="Z188" i="1" s="1"/>
  <c r="V92" i="1"/>
  <c r="U60" i="1" l="1"/>
  <c r="U187" i="1"/>
  <c r="T151" i="1"/>
  <c r="T101" i="1"/>
  <c r="X101" i="1" s="1"/>
  <c r="T11" i="1"/>
  <c r="T139" i="1" l="1"/>
  <c r="X139" i="1" s="1"/>
  <c r="O139" i="1"/>
  <c r="L139" i="1"/>
  <c r="K139" i="1"/>
  <c r="J139" i="1"/>
  <c r="H139" i="1"/>
  <c r="G139" i="1"/>
  <c r="R139" i="1" l="1"/>
  <c r="Z139" i="1" s="1"/>
  <c r="F95" i="1" l="1"/>
  <c r="X89" i="1"/>
  <c r="X92" i="1"/>
  <c r="X94" i="1"/>
  <c r="R92" i="1"/>
  <c r="X46" i="1"/>
  <c r="X49" i="1"/>
  <c r="X50" i="1"/>
  <c r="X51" i="1"/>
  <c r="X75" i="1"/>
  <c r="X80" i="1"/>
  <c r="R80" i="1"/>
  <c r="F131" i="1"/>
  <c r="M131" i="1"/>
  <c r="S131" i="1"/>
  <c r="V131" i="1"/>
  <c r="N95" i="1"/>
  <c r="P95" i="1"/>
  <c r="Q95" i="1"/>
  <c r="S95" i="1"/>
  <c r="V95" i="1"/>
  <c r="F81" i="1"/>
  <c r="I81" i="1"/>
  <c r="P81" i="1"/>
  <c r="Q81" i="1"/>
  <c r="S81" i="1"/>
  <c r="V81" i="1"/>
  <c r="N52" i="1"/>
  <c r="P52" i="1"/>
  <c r="Q52" i="1"/>
  <c r="S52" i="1"/>
  <c r="V52" i="1"/>
  <c r="Z92" i="1" l="1"/>
  <c r="Z80" i="1"/>
  <c r="X159" i="1"/>
  <c r="O159" i="1"/>
  <c r="N159" i="1"/>
  <c r="L159" i="1"/>
  <c r="K159" i="1"/>
  <c r="J159" i="1"/>
  <c r="H159" i="1"/>
  <c r="G159" i="1"/>
  <c r="X30" i="1"/>
  <c r="Z30" i="1" s="1"/>
  <c r="R159" i="1" l="1"/>
  <c r="Z159" i="1" s="1"/>
  <c r="W79" i="1" l="1"/>
  <c r="W81" i="1" l="1"/>
  <c r="X79" i="1"/>
  <c r="E79" i="1"/>
  <c r="X161" i="1"/>
  <c r="Z161" i="1" s="1"/>
  <c r="W48" i="1"/>
  <c r="X48" i="1" s="1"/>
  <c r="O48" i="1"/>
  <c r="L48" i="1"/>
  <c r="K48" i="1"/>
  <c r="J48" i="1"/>
  <c r="H48" i="1"/>
  <c r="G48" i="1"/>
  <c r="G79" i="1" l="1"/>
  <c r="E81" i="1"/>
  <c r="R48" i="1"/>
  <c r="Z48" i="1" s="1"/>
  <c r="J79" i="1"/>
  <c r="H79" i="1"/>
  <c r="K79" i="1"/>
  <c r="L79" i="1"/>
  <c r="O79" i="1"/>
  <c r="M132" i="1"/>
  <c r="R79" i="1" l="1"/>
  <c r="Z79" i="1" s="1"/>
  <c r="L169" i="1"/>
  <c r="F118" i="1" l="1"/>
  <c r="I118" i="1"/>
  <c r="P118" i="1"/>
  <c r="Q118" i="1"/>
  <c r="S118" i="1"/>
  <c r="V118" i="1"/>
  <c r="W118" i="1"/>
  <c r="U169" i="1" l="1"/>
  <c r="U77" i="1"/>
  <c r="X77" i="1" s="1"/>
  <c r="T126" i="1"/>
  <c r="T142" i="1"/>
  <c r="Z101" i="1" l="1"/>
  <c r="W11" i="1"/>
  <c r="W13" i="1"/>
  <c r="W31" i="1" l="1"/>
  <c r="C190" i="122"/>
  <c r="F50" i="68" l="1"/>
  <c r="U165" i="1"/>
  <c r="E35" i="121"/>
  <c r="E189" i="121" s="1"/>
  <c r="C189" i="121" l="1"/>
  <c r="F194" i="121" l="1"/>
  <c r="F192" i="120"/>
  <c r="E129" i="1" l="1"/>
  <c r="E120" i="120" l="1"/>
  <c r="C190" i="120"/>
  <c r="E188" i="120"/>
  <c r="E132" i="120"/>
  <c r="E115" i="120"/>
  <c r="E105" i="120"/>
  <c r="E98" i="120"/>
  <c r="E85" i="120"/>
  <c r="E77" i="120"/>
  <c r="E61" i="120"/>
  <c r="E56" i="120"/>
  <c r="E41" i="120"/>
  <c r="E36" i="120"/>
  <c r="E190" i="120" l="1"/>
  <c r="F194" i="120" s="1"/>
  <c r="F195" i="120" s="1"/>
  <c r="Q14" i="1"/>
  <c r="G20" i="1" l="1"/>
  <c r="H20" i="1"/>
  <c r="J20" i="1"/>
  <c r="K20" i="1"/>
  <c r="L20" i="1"/>
  <c r="N20" i="1"/>
  <c r="O20" i="1"/>
  <c r="T20" i="1"/>
  <c r="U20" i="1"/>
  <c r="U116" i="1"/>
  <c r="U118" i="1" s="1"/>
  <c r="T116" i="1"/>
  <c r="O116" i="1"/>
  <c r="L116" i="1"/>
  <c r="K116" i="1"/>
  <c r="J116" i="1"/>
  <c r="H116" i="1"/>
  <c r="G116" i="1"/>
  <c r="M118" i="1"/>
  <c r="R20" i="1" l="1"/>
  <c r="T118" i="1"/>
  <c r="X20" i="1"/>
  <c r="X116" i="1"/>
  <c r="R116" i="1"/>
  <c r="W93" i="1"/>
  <c r="Q123" i="1"/>
  <c r="Q131" i="1" s="1"/>
  <c r="U171" i="1"/>
  <c r="U167" i="1"/>
  <c r="U168" i="1"/>
  <c r="U166" i="1"/>
  <c r="X93" i="1" l="1"/>
  <c r="W95" i="1"/>
  <c r="Z20" i="1"/>
  <c r="Z116" i="1"/>
  <c r="U45" i="1" l="1"/>
  <c r="T18" i="1"/>
  <c r="T150" i="1"/>
  <c r="W184" i="1" l="1"/>
  <c r="W193" i="1" s="1"/>
  <c r="R184" i="1"/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X130" i="1" l="1"/>
  <c r="Z130" i="1" s="1"/>
  <c r="W125" i="1" l="1"/>
  <c r="W131" i="1" s="1"/>
  <c r="P125" i="1"/>
  <c r="P131" i="1" s="1"/>
  <c r="Q174" i="1" l="1"/>
  <c r="V112" i="1" l="1"/>
  <c r="W112" i="1"/>
  <c r="U57" i="1"/>
  <c r="V57" i="1"/>
  <c r="W57" i="1"/>
  <c r="V194" i="1" l="1"/>
  <c r="C194" i="1"/>
  <c r="T90" i="1"/>
  <c r="X90" i="1" s="1"/>
  <c r="U23" i="1"/>
  <c r="T158" i="1"/>
  <c r="T67" i="1"/>
  <c r="T66" i="1"/>
  <c r="W65" i="1" l="1"/>
  <c r="W71" i="1" s="1"/>
  <c r="M65" i="1"/>
  <c r="E65" i="1"/>
  <c r="I57" i="1" l="1"/>
  <c r="N57" i="1"/>
  <c r="P57" i="1"/>
  <c r="Q57" i="1"/>
  <c r="S57" i="1"/>
  <c r="T57" i="1"/>
  <c r="E57" i="1"/>
  <c r="W44" i="1" l="1"/>
  <c r="I44" i="1"/>
  <c r="I52" i="1" s="1"/>
  <c r="X44" i="1" l="1"/>
  <c r="W52" i="1"/>
  <c r="W194" i="1" l="1"/>
  <c r="F188" i="115"/>
  <c r="G134" i="115"/>
  <c r="G151" i="115"/>
  <c r="G152" i="115"/>
  <c r="G166" i="115"/>
  <c r="G167" i="115"/>
  <c r="G168" i="115"/>
  <c r="G169" i="115"/>
  <c r="G170" i="115"/>
  <c r="G171" i="115"/>
  <c r="G172" i="115"/>
  <c r="F130" i="115"/>
  <c r="F116" i="115"/>
  <c r="F106" i="115"/>
  <c r="F99" i="115"/>
  <c r="G97" i="115"/>
  <c r="F85" i="115"/>
  <c r="G83" i="115"/>
  <c r="F73" i="115"/>
  <c r="F77" i="115" s="1"/>
  <c r="M68" i="1"/>
  <c r="G65" i="115"/>
  <c r="G68" i="115"/>
  <c r="G69" i="115"/>
  <c r="G70" i="115"/>
  <c r="F60" i="115"/>
  <c r="F61" i="115" s="1"/>
  <c r="F57" i="115"/>
  <c r="F42" i="115"/>
  <c r="F37" i="115"/>
  <c r="G27" i="115"/>
  <c r="G29" i="115"/>
  <c r="G33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H122" i="116" s="1"/>
  <c r="F119" i="116"/>
  <c r="H119" i="116" s="1"/>
  <c r="F111" i="116"/>
  <c r="F110" i="116"/>
  <c r="F103" i="116"/>
  <c r="F106" i="116" s="1"/>
  <c r="F90" i="116"/>
  <c r="F83" i="116"/>
  <c r="F53" i="116"/>
  <c r="F49" i="116"/>
  <c r="H49" i="116" s="1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H159" i="116" s="1"/>
  <c r="F158" i="116"/>
  <c r="F157" i="116"/>
  <c r="H157" i="116" s="1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H129" i="116" s="1"/>
  <c r="E129" i="116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E69" i="116"/>
  <c r="F67" i="116"/>
  <c r="H67" i="116" s="1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H33" i="116" s="1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H13" i="116" s="1"/>
  <c r="E12" i="116"/>
  <c r="F12" i="116" s="1"/>
  <c r="H12" i="116" s="1"/>
  <c r="E11" i="116"/>
  <c r="F11" i="116" s="1"/>
  <c r="E9" i="116"/>
  <c r="E8" i="116"/>
  <c r="E7" i="116"/>
  <c r="F7" i="116" s="1"/>
  <c r="E3" i="116"/>
  <c r="C189" i="115"/>
  <c r="E187" i="115"/>
  <c r="G187" i="115" s="1"/>
  <c r="E186" i="115"/>
  <c r="G186" i="115" s="1"/>
  <c r="E185" i="115"/>
  <c r="G185" i="115" s="1"/>
  <c r="E184" i="115"/>
  <c r="G184" i="115" s="1"/>
  <c r="E183" i="115"/>
  <c r="G183" i="115" s="1"/>
  <c r="E182" i="115"/>
  <c r="G182" i="115" s="1"/>
  <c r="E181" i="115"/>
  <c r="G181" i="115" s="1"/>
  <c r="E180" i="115"/>
  <c r="G180" i="115" s="1"/>
  <c r="E179" i="115"/>
  <c r="G179" i="115" s="1"/>
  <c r="E178" i="115"/>
  <c r="G178" i="115" s="1"/>
  <c r="E177" i="115"/>
  <c r="G177" i="115" s="1"/>
  <c r="E176" i="115"/>
  <c r="G176" i="115" s="1"/>
  <c r="E175" i="115"/>
  <c r="G175" i="115" s="1"/>
  <c r="E174" i="115"/>
  <c r="G174" i="115" s="1"/>
  <c r="E173" i="115"/>
  <c r="G173" i="115" s="1"/>
  <c r="E165" i="115"/>
  <c r="G165" i="115" s="1"/>
  <c r="E164" i="115"/>
  <c r="G164" i="115" s="1"/>
  <c r="E163" i="115"/>
  <c r="G163" i="115" s="1"/>
  <c r="E162" i="115"/>
  <c r="G162" i="115" s="1"/>
  <c r="E161" i="115"/>
  <c r="G161" i="115" s="1"/>
  <c r="E160" i="115"/>
  <c r="G160" i="115" s="1"/>
  <c r="E159" i="115"/>
  <c r="G159" i="115" s="1"/>
  <c r="E158" i="115"/>
  <c r="G158" i="115" s="1"/>
  <c r="E157" i="115"/>
  <c r="G157" i="115" s="1"/>
  <c r="E156" i="115"/>
  <c r="G156" i="115" s="1"/>
  <c r="E155" i="115"/>
  <c r="G155" i="115" s="1"/>
  <c r="E154" i="115"/>
  <c r="G154" i="115" s="1"/>
  <c r="E153" i="115"/>
  <c r="G153" i="115" s="1"/>
  <c r="E150" i="115"/>
  <c r="G150" i="115" s="1"/>
  <c r="E149" i="115"/>
  <c r="G149" i="115" s="1"/>
  <c r="E148" i="115"/>
  <c r="G148" i="115" s="1"/>
  <c r="E147" i="115"/>
  <c r="G147" i="115" s="1"/>
  <c r="E146" i="115"/>
  <c r="G146" i="115" s="1"/>
  <c r="E145" i="115"/>
  <c r="G145" i="115" s="1"/>
  <c r="E144" i="115"/>
  <c r="G144" i="115" s="1"/>
  <c r="E143" i="115"/>
  <c r="G143" i="115" s="1"/>
  <c r="E142" i="115"/>
  <c r="G142" i="115" s="1"/>
  <c r="E141" i="115"/>
  <c r="G141" i="115" s="1"/>
  <c r="E140" i="115"/>
  <c r="G140" i="115" s="1"/>
  <c r="E139" i="115"/>
  <c r="G139" i="115" s="1"/>
  <c r="E138" i="115"/>
  <c r="G138" i="115" s="1"/>
  <c r="E137" i="115"/>
  <c r="G137" i="115" s="1"/>
  <c r="E136" i="115"/>
  <c r="G136" i="115" s="1"/>
  <c r="E135" i="115"/>
  <c r="G135" i="115" s="1"/>
  <c r="E133" i="115"/>
  <c r="G133" i="115" s="1"/>
  <c r="E129" i="115"/>
  <c r="G129" i="115" s="1"/>
  <c r="E128" i="115"/>
  <c r="G128" i="115" s="1"/>
  <c r="E127" i="115"/>
  <c r="G127" i="115" s="1"/>
  <c r="E126" i="115"/>
  <c r="G126" i="115" s="1"/>
  <c r="E125" i="115"/>
  <c r="G125" i="115" s="1"/>
  <c r="E124" i="115"/>
  <c r="G124" i="115" s="1"/>
  <c r="E123" i="115"/>
  <c r="G123" i="115" s="1"/>
  <c r="E122" i="115"/>
  <c r="G122" i="115" s="1"/>
  <c r="E121" i="115"/>
  <c r="G121" i="115" s="1"/>
  <c r="E120" i="115"/>
  <c r="G120" i="115" s="1"/>
  <c r="E119" i="115"/>
  <c r="G119" i="115" s="1"/>
  <c r="E115" i="115"/>
  <c r="G115" i="115" s="1"/>
  <c r="E114" i="115"/>
  <c r="G114" i="115" s="1"/>
  <c r="E113" i="115"/>
  <c r="G113" i="115" s="1"/>
  <c r="E112" i="115"/>
  <c r="G112" i="115" s="1"/>
  <c r="E111" i="115"/>
  <c r="G111" i="115" s="1"/>
  <c r="E110" i="115"/>
  <c r="G110" i="115" s="1"/>
  <c r="E109" i="115"/>
  <c r="G109" i="115" s="1"/>
  <c r="E105" i="115"/>
  <c r="G105" i="115" s="1"/>
  <c r="E104" i="115"/>
  <c r="G104" i="115" s="1"/>
  <c r="E103" i="115"/>
  <c r="G103" i="115" s="1"/>
  <c r="E102" i="115"/>
  <c r="G102" i="115" s="1"/>
  <c r="E98" i="115"/>
  <c r="G98" i="115" s="1"/>
  <c r="E96" i="115"/>
  <c r="G96" i="115" s="1"/>
  <c r="E95" i="115"/>
  <c r="G95" i="115" s="1"/>
  <c r="E94" i="115"/>
  <c r="G94" i="115" s="1"/>
  <c r="E93" i="115"/>
  <c r="G93" i="115" s="1"/>
  <c r="E92" i="115"/>
  <c r="G92" i="115" s="1"/>
  <c r="E91" i="115"/>
  <c r="G91" i="115" s="1"/>
  <c r="E90" i="115"/>
  <c r="G90" i="115" s="1"/>
  <c r="E89" i="115"/>
  <c r="G89" i="115" s="1"/>
  <c r="E88" i="115"/>
  <c r="G88" i="115" s="1"/>
  <c r="G99" i="115" s="1"/>
  <c r="E84" i="115"/>
  <c r="G84" i="115" s="1"/>
  <c r="E82" i="115"/>
  <c r="G82" i="115" s="1"/>
  <c r="E81" i="115"/>
  <c r="G81" i="115" s="1"/>
  <c r="E80" i="115"/>
  <c r="G80" i="115" s="1"/>
  <c r="G85" i="115" s="1"/>
  <c r="E76" i="115"/>
  <c r="G76" i="115" s="1"/>
  <c r="E75" i="115"/>
  <c r="G75" i="115" s="1"/>
  <c r="E74" i="115"/>
  <c r="G74" i="115" s="1"/>
  <c r="E73" i="115"/>
  <c r="E72" i="115"/>
  <c r="G72" i="115" s="1"/>
  <c r="E71" i="115"/>
  <c r="G71" i="115" s="1"/>
  <c r="E67" i="115"/>
  <c r="G67" i="115" s="1"/>
  <c r="E66" i="115"/>
  <c r="G66" i="115" s="1"/>
  <c r="E64" i="115"/>
  <c r="G64" i="115" s="1"/>
  <c r="E60" i="115"/>
  <c r="E61" i="115" s="1"/>
  <c r="E56" i="115"/>
  <c r="G56" i="115" s="1"/>
  <c r="E55" i="115"/>
  <c r="G55" i="115" s="1"/>
  <c r="E54" i="115"/>
  <c r="G54" i="115" s="1"/>
  <c r="E53" i="115"/>
  <c r="G53" i="115" s="1"/>
  <c r="E52" i="115"/>
  <c r="G52" i="115" s="1"/>
  <c r="E51" i="115"/>
  <c r="G51" i="115" s="1"/>
  <c r="E50" i="115"/>
  <c r="G50" i="115" s="1"/>
  <c r="E49" i="115"/>
  <c r="G49" i="115" s="1"/>
  <c r="E48" i="115"/>
  <c r="G48" i="115" s="1"/>
  <c r="E47" i="115"/>
  <c r="G47" i="115" s="1"/>
  <c r="E46" i="115"/>
  <c r="G46" i="115" s="1"/>
  <c r="E45" i="115"/>
  <c r="G45" i="115" s="1"/>
  <c r="E41" i="115"/>
  <c r="G41" i="115" s="1"/>
  <c r="E40" i="115"/>
  <c r="G40" i="115" s="1"/>
  <c r="G42" i="115" s="1"/>
  <c r="E36" i="115"/>
  <c r="G36" i="115" s="1"/>
  <c r="E35" i="115"/>
  <c r="G35" i="115" s="1"/>
  <c r="E34" i="115"/>
  <c r="G34" i="115" s="1"/>
  <c r="E32" i="115"/>
  <c r="G32" i="115" s="1"/>
  <c r="E31" i="115"/>
  <c r="G31" i="115" s="1"/>
  <c r="E30" i="115"/>
  <c r="G30" i="115" s="1"/>
  <c r="E28" i="115"/>
  <c r="G28" i="115" s="1"/>
  <c r="E26" i="115"/>
  <c r="G26" i="115" s="1"/>
  <c r="E25" i="115"/>
  <c r="G25" i="115" s="1"/>
  <c r="E24" i="115"/>
  <c r="G24" i="115" s="1"/>
  <c r="E23" i="115"/>
  <c r="G23" i="115" s="1"/>
  <c r="E22" i="115"/>
  <c r="G22" i="115" s="1"/>
  <c r="E21" i="115"/>
  <c r="G21" i="115" s="1"/>
  <c r="E20" i="115"/>
  <c r="G20" i="115" s="1"/>
  <c r="E19" i="115"/>
  <c r="G19" i="115" s="1"/>
  <c r="E18" i="115"/>
  <c r="G18" i="115" s="1"/>
  <c r="E17" i="115"/>
  <c r="G17" i="115" s="1"/>
  <c r="E16" i="115"/>
  <c r="G16" i="115" s="1"/>
  <c r="E15" i="115"/>
  <c r="G15" i="115" s="1"/>
  <c r="E14" i="115"/>
  <c r="G14" i="115" s="1"/>
  <c r="E13" i="115"/>
  <c r="G13" i="115" s="1"/>
  <c r="E12" i="115"/>
  <c r="G12" i="115" s="1"/>
  <c r="E11" i="115"/>
  <c r="G11" i="115" s="1"/>
  <c r="E10" i="115"/>
  <c r="G10" i="115" s="1"/>
  <c r="E9" i="115"/>
  <c r="G9" i="115" s="1"/>
  <c r="E8" i="115"/>
  <c r="G8" i="115" s="1"/>
  <c r="E7" i="115"/>
  <c r="G7" i="115" s="1"/>
  <c r="G37" i="115" s="1"/>
  <c r="E6" i="115"/>
  <c r="E163" i="1"/>
  <c r="E164" i="1"/>
  <c r="E165" i="1"/>
  <c r="E166" i="1"/>
  <c r="E162" i="1"/>
  <c r="E187" i="1"/>
  <c r="E111" i="1"/>
  <c r="E94" i="1"/>
  <c r="E29" i="1"/>
  <c r="E28" i="1"/>
  <c r="G130" i="115" l="1"/>
  <c r="G188" i="115"/>
  <c r="E130" i="116"/>
  <c r="G57" i="116"/>
  <c r="H90" i="116"/>
  <c r="H70" i="116"/>
  <c r="H152" i="116"/>
  <c r="H91" i="116"/>
  <c r="G99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H57" i="116" s="1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F116" i="116"/>
  <c r="E99" i="116"/>
  <c r="E188" i="116"/>
  <c r="E77" i="116"/>
  <c r="E42" i="115"/>
  <c r="E85" i="115"/>
  <c r="E99" i="115"/>
  <c r="E77" i="115"/>
  <c r="E116" i="115"/>
  <c r="E188" i="115"/>
  <c r="H99" i="116" l="1"/>
  <c r="H188" i="116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E153" i="1" l="1"/>
  <c r="E141" i="1"/>
  <c r="E142" i="1"/>
  <c r="E140" i="1"/>
  <c r="E128" i="1"/>
  <c r="E131" i="1" s="1"/>
  <c r="E109" i="1"/>
  <c r="E117" i="1"/>
  <c r="E118" i="1" s="1"/>
  <c r="E24" i="1"/>
  <c r="E37" i="1"/>
  <c r="E70" i="1"/>
  <c r="E71" i="1" s="1"/>
  <c r="E19" i="1" l="1"/>
  <c r="E8" i="1"/>
  <c r="E11" i="1"/>
  <c r="E10" i="1"/>
  <c r="E98" i="1"/>
  <c r="E102" i="1" s="1"/>
  <c r="E31" i="1" l="1"/>
  <c r="C191" i="113"/>
  <c r="F190" i="113"/>
  <c r="G135" i="113"/>
  <c r="E135" i="113"/>
  <c r="G134" i="113"/>
  <c r="G190" i="113" s="1"/>
  <c r="E134" i="113"/>
  <c r="E190" i="113" s="1"/>
  <c r="G131" i="113"/>
  <c r="F131" i="113"/>
  <c r="E131" i="113"/>
  <c r="G117" i="113"/>
  <c r="F117" i="113"/>
  <c r="E117" i="113"/>
  <c r="G107" i="113"/>
  <c r="F107" i="113"/>
  <c r="E107" i="113"/>
  <c r="G100" i="113"/>
  <c r="F96" i="113"/>
  <c r="F100" i="113" s="1"/>
  <c r="E96" i="113"/>
  <c r="E100" i="113" s="1"/>
  <c r="F86" i="113"/>
  <c r="G83" i="113"/>
  <c r="G86" i="113" s="1"/>
  <c r="E83" i="113"/>
  <c r="E86" i="113" s="1"/>
  <c r="F78" i="113"/>
  <c r="G66" i="113"/>
  <c r="E66" i="113"/>
  <c r="G65" i="113"/>
  <c r="G78" i="113" s="1"/>
  <c r="E65" i="113"/>
  <c r="E78" i="113" s="1"/>
  <c r="F62" i="113"/>
  <c r="G61" i="113"/>
  <c r="G62" i="113" s="1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G38" i="113" s="1"/>
  <c r="E8" i="113"/>
  <c r="E38" i="113" s="1"/>
  <c r="F191" i="113" l="1"/>
  <c r="G191" i="113"/>
  <c r="E191" i="113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9" i="110"/>
  <c r="E8" i="110"/>
  <c r="E38" i="110" s="1"/>
  <c r="G190" i="110" l="1"/>
  <c r="E191" i="110"/>
  <c r="G38" i="110"/>
  <c r="G78" i="110"/>
  <c r="F191" i="110"/>
  <c r="G158" i="1"/>
  <c r="H158" i="1"/>
  <c r="J158" i="1"/>
  <c r="K158" i="1"/>
  <c r="L158" i="1"/>
  <c r="N158" i="1"/>
  <c r="O158" i="1"/>
  <c r="X23" i="1"/>
  <c r="Z23" i="1" s="1"/>
  <c r="X135" i="1"/>
  <c r="R135" i="1"/>
  <c r="G29" i="1"/>
  <c r="H29" i="1"/>
  <c r="J29" i="1"/>
  <c r="K29" i="1"/>
  <c r="L29" i="1"/>
  <c r="N29" i="1"/>
  <c r="O29" i="1"/>
  <c r="T29" i="1"/>
  <c r="X29" i="1" s="1"/>
  <c r="E51" i="1"/>
  <c r="M51" i="1"/>
  <c r="O51" i="1" l="1"/>
  <c r="K51" i="1"/>
  <c r="J51" i="1"/>
  <c r="H51" i="1"/>
  <c r="G51" i="1"/>
  <c r="G191" i="110"/>
  <c r="R158" i="1"/>
  <c r="R29" i="1"/>
  <c r="Z29" i="1" s="1"/>
  <c r="L51" i="1"/>
  <c r="X158" i="1"/>
  <c r="T177" i="1"/>
  <c r="T183" i="1"/>
  <c r="T186" i="1"/>
  <c r="T173" i="1"/>
  <c r="T185" i="1"/>
  <c r="T178" i="1"/>
  <c r="T180" i="1"/>
  <c r="T179" i="1"/>
  <c r="T171" i="1"/>
  <c r="T170" i="1"/>
  <c r="T163" i="1"/>
  <c r="T175" i="1"/>
  <c r="T168" i="1"/>
  <c r="T166" i="1"/>
  <c r="T167" i="1"/>
  <c r="T164" i="1"/>
  <c r="T160" i="1"/>
  <c r="T165" i="1"/>
  <c r="T172" i="1"/>
  <c r="T169" i="1"/>
  <c r="T162" i="1"/>
  <c r="R51" i="1" l="1"/>
  <c r="Z51" i="1" s="1"/>
  <c r="Z158" i="1"/>
  <c r="U13" i="1" l="1"/>
  <c r="T13" i="1"/>
  <c r="T123" i="1"/>
  <c r="N172" i="1" l="1"/>
  <c r="N171" i="1"/>
  <c r="N170" i="1"/>
  <c r="N169" i="1"/>
  <c r="N168" i="1"/>
  <c r="N167" i="1"/>
  <c r="N36" i="1"/>
  <c r="N24" i="1"/>
  <c r="N153" i="1"/>
  <c r="N154" i="1"/>
  <c r="N152" i="1"/>
  <c r="N155" i="1" l="1"/>
  <c r="F47" i="68" l="1"/>
  <c r="F52" i="68"/>
  <c r="F51" i="68"/>
  <c r="F49" i="68"/>
  <c r="F48" i="68"/>
  <c r="F46" i="68"/>
  <c r="F45" i="68"/>
  <c r="F44" i="68"/>
  <c r="F43" i="68"/>
  <c r="F42" i="68"/>
  <c r="F41" i="68"/>
  <c r="N136" i="1"/>
  <c r="M106" i="1"/>
  <c r="N98" i="1"/>
  <c r="N11" i="1"/>
  <c r="M44" i="1"/>
  <c r="T19" i="1" l="1"/>
  <c r="T63" i="1" l="1"/>
  <c r="T149" i="1" l="1"/>
  <c r="H29" i="68"/>
  <c r="N27" i="1" l="1"/>
  <c r="U65" i="1"/>
  <c r="U108" i="1"/>
  <c r="T127" i="1"/>
  <c r="U121" i="1"/>
  <c r="T121" i="1"/>
  <c r="T47" i="1"/>
  <c r="X47" i="1" s="1"/>
  <c r="T91" i="1"/>
  <c r="X91" i="1" s="1"/>
  <c r="X15" i="1" l="1"/>
  <c r="H3" i="1" l="1"/>
  <c r="E3" i="1"/>
  <c r="H1" i="1"/>
  <c r="E43" i="87" l="1"/>
  <c r="F42" i="87"/>
  <c r="G42" i="87" s="1"/>
  <c r="E63" i="87"/>
  <c r="F62" i="87"/>
  <c r="G62" i="87" s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U177" i="1" l="1"/>
  <c r="U160" i="1"/>
  <c r="U153" i="1"/>
  <c r="U99" i="1"/>
  <c r="T129" i="1"/>
  <c r="T125" i="1"/>
  <c r="U124" i="1"/>
  <c r="U40" i="1"/>
  <c r="U19" i="1"/>
  <c r="E112" i="1" l="1"/>
  <c r="I112" i="1"/>
  <c r="P112" i="1"/>
  <c r="P194" i="1" s="1"/>
  <c r="U61" i="1" l="1"/>
  <c r="T61" i="1"/>
  <c r="X61" i="1" l="1"/>
  <c r="O160" i="1" l="1"/>
  <c r="N160" i="1"/>
  <c r="L160" i="1"/>
  <c r="K160" i="1"/>
  <c r="J160" i="1"/>
  <c r="H160" i="1"/>
  <c r="G160" i="1"/>
  <c r="X160" i="1" l="1"/>
  <c r="R160" i="1"/>
  <c r="Z160" i="1" l="1"/>
  <c r="X128" i="1" l="1"/>
  <c r="N128" i="1"/>
  <c r="L128" i="1" l="1"/>
  <c r="G128" i="1"/>
  <c r="O128" i="1"/>
  <c r="H128" i="1"/>
  <c r="J128" i="1"/>
  <c r="K128" i="1"/>
  <c r="R128" i="1" l="1"/>
  <c r="Z128" i="1" s="1"/>
  <c r="U154" i="1"/>
  <c r="U127" i="1"/>
  <c r="T35" i="1"/>
  <c r="U25" i="1"/>
  <c r="S34" i="1" l="1"/>
  <c r="X129" i="1"/>
  <c r="O129" i="1"/>
  <c r="N129" i="1"/>
  <c r="L129" i="1"/>
  <c r="K129" i="1"/>
  <c r="J129" i="1"/>
  <c r="H129" i="1"/>
  <c r="G129" i="1"/>
  <c r="S37" i="1" l="1"/>
  <c r="R129" i="1"/>
  <c r="Z129" i="1" s="1"/>
  <c r="S194" i="1" l="1"/>
  <c r="N151" i="1"/>
  <c r="X151" i="1"/>
  <c r="E151" i="1"/>
  <c r="K151" i="1" s="1"/>
  <c r="J93" i="1"/>
  <c r="M50" i="1"/>
  <c r="E50" i="1"/>
  <c r="J50" i="1" l="1"/>
  <c r="J151" i="1"/>
  <c r="L151" i="1"/>
  <c r="G151" i="1"/>
  <c r="O151" i="1"/>
  <c r="H151" i="1"/>
  <c r="K93" i="1"/>
  <c r="L93" i="1"/>
  <c r="G93" i="1"/>
  <c r="O93" i="1"/>
  <c r="H93" i="1"/>
  <c r="G50" i="1"/>
  <c r="O50" i="1"/>
  <c r="H50" i="1"/>
  <c r="K50" i="1"/>
  <c r="L50" i="1"/>
  <c r="E53" i="68"/>
  <c r="U176" i="1"/>
  <c r="U162" i="1"/>
  <c r="X18" i="1"/>
  <c r="T68" i="1"/>
  <c r="R50" i="1" l="1"/>
  <c r="Z50" i="1" s="1"/>
  <c r="R93" i="1"/>
  <c r="Z93" i="1" s="1"/>
  <c r="R151" i="1"/>
  <c r="Z151" i="1" s="1"/>
  <c r="N28" i="1" l="1"/>
  <c r="U122" i="1" l="1"/>
  <c r="T122" i="1"/>
  <c r="T8" i="1"/>
  <c r="X8" i="1" l="1"/>
  <c r="M19" i="1"/>
  <c r="M94" i="1"/>
  <c r="R94" i="1" s="1"/>
  <c r="Z94" i="1" s="1"/>
  <c r="D39" i="61" l="1"/>
  <c r="D38" i="61"/>
  <c r="D37" i="61"/>
  <c r="E49" i="1"/>
  <c r="X150" i="1"/>
  <c r="E150" i="1"/>
  <c r="E193" i="1" s="1"/>
  <c r="N150" i="1"/>
  <c r="M91" i="1"/>
  <c r="E91" i="1"/>
  <c r="H91" i="1" s="1"/>
  <c r="J67" i="1"/>
  <c r="L66" i="1"/>
  <c r="X67" i="1"/>
  <c r="M67" i="1"/>
  <c r="X66" i="1"/>
  <c r="M66" i="1"/>
  <c r="M49" i="1"/>
  <c r="O35" i="1"/>
  <c r="N35" i="1"/>
  <c r="L35" i="1"/>
  <c r="K35" i="1"/>
  <c r="J35" i="1"/>
  <c r="H35" i="1"/>
  <c r="G35" i="1"/>
  <c r="E52" i="1" l="1"/>
  <c r="E95" i="1"/>
  <c r="X35" i="1"/>
  <c r="O49" i="1"/>
  <c r="G49" i="1"/>
  <c r="R35" i="1"/>
  <c r="H49" i="1"/>
  <c r="K49" i="1"/>
  <c r="L49" i="1"/>
  <c r="J49" i="1"/>
  <c r="K150" i="1"/>
  <c r="L150" i="1"/>
  <c r="G150" i="1"/>
  <c r="O150" i="1"/>
  <c r="H150" i="1"/>
  <c r="J150" i="1"/>
  <c r="L91" i="1"/>
  <c r="G91" i="1"/>
  <c r="O91" i="1"/>
  <c r="J91" i="1"/>
  <c r="K91" i="1"/>
  <c r="K67" i="1"/>
  <c r="L67" i="1"/>
  <c r="G66" i="1"/>
  <c r="O66" i="1"/>
  <c r="H66" i="1"/>
  <c r="J66" i="1"/>
  <c r="K66" i="1"/>
  <c r="G67" i="1"/>
  <c r="O67" i="1"/>
  <c r="H67" i="1"/>
  <c r="R91" i="1" l="1"/>
  <c r="Z91" i="1" s="1"/>
  <c r="R49" i="1"/>
  <c r="Z49" i="1" s="1"/>
  <c r="Z35" i="1"/>
  <c r="R66" i="1"/>
  <c r="Z66" i="1" s="1"/>
  <c r="R67" i="1"/>
  <c r="Z67" i="1" s="1"/>
  <c r="N9" i="1" l="1"/>
  <c r="U142" i="1" l="1"/>
  <c r="U137" i="1"/>
  <c r="T88" i="1"/>
  <c r="X88" i="1" s="1"/>
  <c r="X19" i="1" l="1"/>
  <c r="X117" i="1"/>
  <c r="X118" i="1" s="1"/>
  <c r="X13" i="1"/>
  <c r="U106" i="1" l="1"/>
  <c r="U107" i="1"/>
  <c r="X106" i="1" l="1"/>
  <c r="U87" i="1"/>
  <c r="T85" i="1"/>
  <c r="U70" i="1"/>
  <c r="T70" i="1"/>
  <c r="X85" i="1" l="1"/>
  <c r="U181" i="1"/>
  <c r="T153" i="1"/>
  <c r="U186" i="1"/>
  <c r="U76" i="1"/>
  <c r="T34" i="1"/>
  <c r="T188" i="78" l="1"/>
  <c r="F27" i="78" l="1"/>
  <c r="F71" i="78"/>
  <c r="T26" i="1"/>
  <c r="T157" i="1"/>
  <c r="T76" i="1"/>
  <c r="X76" i="1" l="1"/>
  <c r="D49" i="6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5" i="78"/>
  <c r="Y16" i="78"/>
  <c r="Y17" i="78"/>
  <c r="Y19" i="78"/>
  <c r="Y20" i="78"/>
  <c r="Y21" i="78"/>
  <c r="Y26" i="78"/>
  <c r="Y27" i="78"/>
  <c r="Y28" i="78"/>
  <c r="Y29" i="78"/>
  <c r="Y33" i="78"/>
  <c r="Y34" i="78"/>
  <c r="Y35" i="78"/>
  <c r="Y40" i="78"/>
  <c r="Y41" i="78"/>
  <c r="Y44" i="78"/>
  <c r="Y45" i="78"/>
  <c r="Y47" i="78"/>
  <c r="Y48" i="78"/>
  <c r="Y50" i="78"/>
  <c r="Y51" i="78"/>
  <c r="Y52" i="78"/>
  <c r="Y53" i="78"/>
  <c r="Y54" i="78"/>
  <c r="Y57" i="78"/>
  <c r="Y58" i="78"/>
  <c r="Y59" i="78"/>
  <c r="Y62" i="78"/>
  <c r="Y63" i="78"/>
  <c r="Y66" i="78"/>
  <c r="Y68" i="78"/>
  <c r="Y70" i="78"/>
  <c r="Y72" i="78"/>
  <c r="Y73" i="78"/>
  <c r="Y74" i="78"/>
  <c r="Y75" i="78"/>
  <c r="Y77" i="78"/>
  <c r="Y78" i="78"/>
  <c r="Y79" i="78"/>
  <c r="Y83" i="78"/>
  <c r="Y84" i="78"/>
  <c r="Y85" i="78"/>
  <c r="Y87" i="78"/>
  <c r="Y88" i="78"/>
  <c r="Y100" i="78"/>
  <c r="Y101" i="78"/>
  <c r="Y105" i="78"/>
  <c r="Y107" i="78"/>
  <c r="Y108" i="78"/>
  <c r="Y110" i="78"/>
  <c r="Y113" i="78"/>
  <c r="Y114" i="78"/>
  <c r="Y115" i="78"/>
  <c r="Y116" i="78"/>
  <c r="Y118" i="78"/>
  <c r="Y119" i="78"/>
  <c r="Y122" i="78"/>
  <c r="Y130" i="78"/>
  <c r="Y131" i="78"/>
  <c r="Y132" i="78"/>
  <c r="Y135" i="78"/>
  <c r="Y136" i="78"/>
  <c r="Y137" i="78"/>
  <c r="Y138" i="78"/>
  <c r="Y139" i="78"/>
  <c r="Y142" i="78"/>
  <c r="Y143" i="78"/>
  <c r="Y144" i="78"/>
  <c r="Y146" i="78"/>
  <c r="Y147" i="78"/>
  <c r="Y148" i="78"/>
  <c r="Y149" i="78"/>
  <c r="Y150" i="78"/>
  <c r="Y151" i="78"/>
  <c r="Y152" i="78"/>
  <c r="Y153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40" i="78" l="1"/>
  <c r="U41" i="78"/>
  <c r="U44" i="78"/>
  <c r="U45" i="78"/>
  <c r="U57" i="78"/>
  <c r="U58" i="78"/>
  <c r="U62" i="78"/>
  <c r="U63" i="78"/>
  <c r="U77" i="78"/>
  <c r="U78" i="78"/>
  <c r="U87" i="78"/>
  <c r="U88" i="78"/>
  <c r="U100" i="78"/>
  <c r="U101" i="78"/>
  <c r="U107" i="78"/>
  <c r="U108" i="78"/>
  <c r="U118" i="78"/>
  <c r="U119" i="78"/>
  <c r="U130" i="78"/>
  <c r="U131" i="78"/>
  <c r="F185" i="78"/>
  <c r="L185" i="78" s="1"/>
  <c r="F186" i="78"/>
  <c r="F184" i="78"/>
  <c r="M184" i="78" s="1"/>
  <c r="F183" i="78"/>
  <c r="H183" i="78" s="1"/>
  <c r="F182" i="78"/>
  <c r="K182" i="78" s="1"/>
  <c r="F181" i="78"/>
  <c r="F180" i="78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F170" i="78"/>
  <c r="F169" i="78"/>
  <c r="F168" i="78"/>
  <c r="F167" i="78"/>
  <c r="F166" i="78"/>
  <c r="F165" i="78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F102" i="78"/>
  <c r="F98" i="78"/>
  <c r="F97" i="78"/>
  <c r="F96" i="78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F31" i="78"/>
  <c r="F29" i="78"/>
  <c r="F28" i="78"/>
  <c r="F26" i="78"/>
  <c r="F25" i="78"/>
  <c r="F22" i="78"/>
  <c r="F21" i="78"/>
  <c r="F20" i="78"/>
  <c r="F18" i="78"/>
  <c r="F14" i="78"/>
  <c r="K14" i="78" s="1"/>
  <c r="F13" i="78"/>
  <c r="F12" i="78"/>
  <c r="W174" i="78"/>
  <c r="Y174" i="78" s="1"/>
  <c r="W154" i="78"/>
  <c r="Y154" i="78" s="1"/>
  <c r="W145" i="78"/>
  <c r="Y145" i="78" s="1"/>
  <c r="W141" i="78"/>
  <c r="Y141" i="78" s="1"/>
  <c r="W140" i="78"/>
  <c r="Y140" i="78" s="1"/>
  <c r="W134" i="78"/>
  <c r="W133" i="78"/>
  <c r="Y133" i="78" s="1"/>
  <c r="W128" i="78"/>
  <c r="Y128" i="78" s="1"/>
  <c r="W127" i="78"/>
  <c r="Y127" i="78" s="1"/>
  <c r="W126" i="78"/>
  <c r="Y126" i="78" s="1"/>
  <c r="W125" i="78"/>
  <c r="Y125" i="78" s="1"/>
  <c r="W124" i="78"/>
  <c r="Y124" i="78" s="1"/>
  <c r="W123" i="78"/>
  <c r="Y123" i="78" s="1"/>
  <c r="W121" i="78"/>
  <c r="Y121" i="78" s="1"/>
  <c r="W120" i="78"/>
  <c r="W112" i="78"/>
  <c r="Y112" i="78" s="1"/>
  <c r="W111" i="78"/>
  <c r="W109" i="78"/>
  <c r="Y109" i="78" s="1"/>
  <c r="W104" i="78"/>
  <c r="W103" i="78"/>
  <c r="Y103" i="78" s="1"/>
  <c r="W102" i="78"/>
  <c r="Y102" i="78" s="1"/>
  <c r="W98" i="78"/>
  <c r="Y98" i="78" s="1"/>
  <c r="W97" i="78"/>
  <c r="Y97" i="78" s="1"/>
  <c r="W96" i="78"/>
  <c r="Y96" i="78" s="1"/>
  <c r="W95" i="78"/>
  <c r="Y95" i="78" s="1"/>
  <c r="W94" i="78"/>
  <c r="Y94" i="78" s="1"/>
  <c r="W93" i="78"/>
  <c r="Y93" i="78" s="1"/>
  <c r="W92" i="78"/>
  <c r="Y92" i="78" s="1"/>
  <c r="W91" i="78"/>
  <c r="Y91" i="78" s="1"/>
  <c r="W90" i="78"/>
  <c r="W89" i="78"/>
  <c r="Y89" i="78" s="1"/>
  <c r="W82" i="78"/>
  <c r="Y82" i="78" s="1"/>
  <c r="W81" i="78"/>
  <c r="Y81" i="78" s="1"/>
  <c r="W80" i="78"/>
  <c r="W71" i="78"/>
  <c r="Y71" i="78" s="1"/>
  <c r="W69" i="78"/>
  <c r="Y69" i="78" s="1"/>
  <c r="W67" i="78"/>
  <c r="Y67" i="78" s="1"/>
  <c r="W65" i="78"/>
  <c r="Y65" i="78" s="1"/>
  <c r="W64" i="78"/>
  <c r="W60" i="78"/>
  <c r="W55" i="78"/>
  <c r="Y55" i="78" s="1"/>
  <c r="W49" i="78"/>
  <c r="Y49" i="78" s="1"/>
  <c r="W46" i="78"/>
  <c r="W42" i="78"/>
  <c r="W38" i="78"/>
  <c r="Y38" i="78" s="1"/>
  <c r="W37" i="78"/>
  <c r="Y37" i="78" s="1"/>
  <c r="W36" i="78"/>
  <c r="Y36" i="78" s="1"/>
  <c r="W32" i="78"/>
  <c r="Y32" i="78" s="1"/>
  <c r="W31" i="78"/>
  <c r="Y31" i="78" s="1"/>
  <c r="W30" i="78"/>
  <c r="Y30" i="78" s="1"/>
  <c r="W25" i="78"/>
  <c r="Y25" i="78" s="1"/>
  <c r="W24" i="78"/>
  <c r="Y24" i="78" s="1"/>
  <c r="W23" i="78"/>
  <c r="Y23" i="78" s="1"/>
  <c r="W22" i="78"/>
  <c r="Y22" i="78" s="1"/>
  <c r="W18" i="78"/>
  <c r="Y18" i="78" s="1"/>
  <c r="W14" i="78"/>
  <c r="Y14" i="78" s="1"/>
  <c r="W13" i="78"/>
  <c r="W12" i="78"/>
  <c r="Y12" i="78" s="1"/>
  <c r="D188" i="78"/>
  <c r="Q187" i="78"/>
  <c r="G187" i="78"/>
  <c r="R186" i="78"/>
  <c r="P186" i="78"/>
  <c r="O186" i="78"/>
  <c r="M186" i="78"/>
  <c r="L186" i="78"/>
  <c r="K186" i="78"/>
  <c r="H186" i="78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M181" i="78"/>
  <c r="K181" i="78"/>
  <c r="P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L173" i="78"/>
  <c r="M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I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F157" i="78"/>
  <c r="O156" i="78"/>
  <c r="F156" i="78"/>
  <c r="O155" i="78"/>
  <c r="F155" i="78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P147" i="78"/>
  <c r="O147" i="78"/>
  <c r="M147" i="78"/>
  <c r="I147" i="78"/>
  <c r="H147" i="78"/>
  <c r="L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S135" i="78" s="1"/>
  <c r="U135" i="78" s="1"/>
  <c r="O134" i="78"/>
  <c r="F134" i="78"/>
  <c r="O133" i="78"/>
  <c r="J133" i="78"/>
  <c r="J187" i="78" s="1"/>
  <c r="F133" i="78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F124" i="78"/>
  <c r="K124" i="78" s="1"/>
  <c r="R123" i="78"/>
  <c r="P123" i="78"/>
  <c r="O123" i="78"/>
  <c r="L123" i="78"/>
  <c r="K123" i="78"/>
  <c r="J123" i="78"/>
  <c r="I123" i="78"/>
  <c r="H123" i="78"/>
  <c r="M123" i="78"/>
  <c r="O122" i="78"/>
  <c r="F122" i="78"/>
  <c r="K122" i="78" s="1"/>
  <c r="R121" i="78"/>
  <c r="R129" i="78" s="1"/>
  <c r="O121" i="78"/>
  <c r="F121" i="78"/>
  <c r="K121" i="78" s="1"/>
  <c r="O120" i="78"/>
  <c r="J120" i="78"/>
  <c r="J129" i="78" s="1"/>
  <c r="F120" i="78"/>
  <c r="Q117" i="78"/>
  <c r="J117" i="78"/>
  <c r="R116" i="78"/>
  <c r="N116" i="78"/>
  <c r="F116" i="78"/>
  <c r="M116" i="78" s="1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K112" i="78"/>
  <c r="H112" i="78"/>
  <c r="P112" i="78"/>
  <c r="R111" i="78"/>
  <c r="N111" i="78"/>
  <c r="F111" i="78"/>
  <c r="N110" i="78"/>
  <c r="F110" i="78"/>
  <c r="N109" i="78"/>
  <c r="N117" i="78" s="1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P96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N99" i="78" s="1"/>
  <c r="L89" i="78"/>
  <c r="I89" i="78"/>
  <c r="R86" i="78"/>
  <c r="Q86" i="78"/>
  <c r="J86" i="78"/>
  <c r="N85" i="78"/>
  <c r="F85" i="78"/>
  <c r="P84" i="78"/>
  <c r="N84" i="78"/>
  <c r="M84" i="78"/>
  <c r="L84" i="78"/>
  <c r="K84" i="78"/>
  <c r="I84" i="78"/>
  <c r="H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S81" i="78" s="1"/>
  <c r="U81" i="78" s="1"/>
  <c r="P80" i="78"/>
  <c r="N80" i="78"/>
  <c r="M80" i="78"/>
  <c r="L80" i="78"/>
  <c r="K80" i="78"/>
  <c r="I80" i="78"/>
  <c r="H80" i="78"/>
  <c r="N79" i="78"/>
  <c r="N86" i="78" s="1"/>
  <c r="F79" i="78"/>
  <c r="P79" i="78" s="1"/>
  <c r="R76" i="78"/>
  <c r="Q76" i="78"/>
  <c r="J76" i="78"/>
  <c r="G76" i="78"/>
  <c r="N75" i="78"/>
  <c r="F75" i="78"/>
  <c r="N74" i="78"/>
  <c r="F74" i="78"/>
  <c r="N73" i="78"/>
  <c r="F73" i="78"/>
  <c r="N72" i="78"/>
  <c r="M72" i="78"/>
  <c r="P72" i="78"/>
  <c r="N71" i="78"/>
  <c r="K71" i="78"/>
  <c r="L71" i="78"/>
  <c r="N70" i="78"/>
  <c r="F70" i="78"/>
  <c r="N69" i="78"/>
  <c r="P69" i="78"/>
  <c r="P68" i="78"/>
  <c r="N68" i="78"/>
  <c r="M68" i="78"/>
  <c r="K68" i="78"/>
  <c r="I68" i="78"/>
  <c r="H68" i="78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N76" i="78" s="1"/>
  <c r="M64" i="78"/>
  <c r="K64" i="78"/>
  <c r="I64" i="78"/>
  <c r="R61" i="78"/>
  <c r="Q61" i="78"/>
  <c r="J61" i="78"/>
  <c r="P60" i="78"/>
  <c r="O60" i="78"/>
  <c r="O61" i="78" s="1"/>
  <c r="M60" i="78"/>
  <c r="L60" i="78"/>
  <c r="K60" i="78"/>
  <c r="I60" i="78"/>
  <c r="H60" i="78"/>
  <c r="N59" i="78"/>
  <c r="N61" i="78" s="1"/>
  <c r="F59" i="78"/>
  <c r="R56" i="78"/>
  <c r="Q56" i="78"/>
  <c r="J56" i="78"/>
  <c r="G56" i="78"/>
  <c r="P55" i="78"/>
  <c r="N55" i="78"/>
  <c r="M55" i="78"/>
  <c r="H55" i="78"/>
  <c r="F54" i="78"/>
  <c r="N53" i="78"/>
  <c r="P52" i="78"/>
  <c r="N52" i="78"/>
  <c r="M52" i="78"/>
  <c r="K52" i="78"/>
  <c r="I52" i="78"/>
  <c r="H52" i="78"/>
  <c r="L52" i="78"/>
  <c r="N51" i="78"/>
  <c r="N50" i="78"/>
  <c r="F50" i="78"/>
  <c r="K50" i="78" s="1"/>
  <c r="N49" i="78"/>
  <c r="N48" i="78"/>
  <c r="F48" i="78"/>
  <c r="N47" i="78"/>
  <c r="F47" i="78"/>
  <c r="N46" i="78"/>
  <c r="F46" i="78"/>
  <c r="R43" i="78"/>
  <c r="Q43" i="78"/>
  <c r="J43" i="78"/>
  <c r="G43" i="78"/>
  <c r="O42" i="78"/>
  <c r="O43" i="78" s="1"/>
  <c r="Q39" i="78"/>
  <c r="Q188" i="78" s="1"/>
  <c r="G39" i="78"/>
  <c r="O38" i="78"/>
  <c r="F38" i="78"/>
  <c r="P37" i="78"/>
  <c r="O37" i="78"/>
  <c r="M37" i="78"/>
  <c r="L37" i="78"/>
  <c r="K37" i="78"/>
  <c r="I37" i="78"/>
  <c r="H37" i="78"/>
  <c r="P36" i="78"/>
  <c r="O36" i="78"/>
  <c r="M36" i="78"/>
  <c r="L36" i="78"/>
  <c r="K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L26" i="78"/>
  <c r="H26" i="78"/>
  <c r="M26" i="78"/>
  <c r="N25" i="78"/>
  <c r="K25" i="78"/>
  <c r="R24" i="78"/>
  <c r="O24" i="78"/>
  <c r="F24" i="78"/>
  <c r="R23" i="78"/>
  <c r="O23" i="78"/>
  <c r="F23" i="78"/>
  <c r="R22" i="78"/>
  <c r="N22" i="78"/>
  <c r="K22" i="78"/>
  <c r="H22" i="78"/>
  <c r="O21" i="78"/>
  <c r="K21" i="78"/>
  <c r="M21" i="78"/>
  <c r="O20" i="78"/>
  <c r="K20" i="78"/>
  <c r="P20" i="78"/>
  <c r="P19" i="78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F17" i="78"/>
  <c r="O16" i="78"/>
  <c r="F16" i="78"/>
  <c r="R15" i="78"/>
  <c r="P15" i="78"/>
  <c r="O15" i="78"/>
  <c r="M15" i="78"/>
  <c r="L15" i="78"/>
  <c r="K15" i="78"/>
  <c r="I15" i="78"/>
  <c r="H15" i="78"/>
  <c r="O14" i="78"/>
  <c r="R13" i="78"/>
  <c r="R39" i="78" s="1"/>
  <c r="P13" i="78"/>
  <c r="N13" i="78"/>
  <c r="M13" i="78"/>
  <c r="L13" i="78"/>
  <c r="K13" i="78"/>
  <c r="H13" i="78"/>
  <c r="I13" i="78"/>
  <c r="N12" i="78"/>
  <c r="M12" i="78"/>
  <c r="L12" i="78"/>
  <c r="I12" i="78"/>
  <c r="K12" i="78"/>
  <c r="O11" i="78"/>
  <c r="F11" i="78"/>
  <c r="P10" i="78"/>
  <c r="N10" i="78"/>
  <c r="M10" i="78"/>
  <c r="L10" i="78"/>
  <c r="K10" i="78"/>
  <c r="I10" i="78"/>
  <c r="H10" i="78"/>
  <c r="N9" i="78"/>
  <c r="S9" i="78" s="1"/>
  <c r="U9" i="78" s="1"/>
  <c r="I4" i="78"/>
  <c r="F4" i="78"/>
  <c r="N39" i="78" l="1"/>
  <c r="S10" i="78"/>
  <c r="U10" i="78" s="1"/>
  <c r="M11" i="78"/>
  <c r="K11" i="78"/>
  <c r="S15" i="78"/>
  <c r="U15" i="78" s="1"/>
  <c r="P16" i="78"/>
  <c r="M16" i="78"/>
  <c r="L16" i="78"/>
  <c r="K16" i="78"/>
  <c r="I16" i="78"/>
  <c r="H16" i="78"/>
  <c r="P17" i="78"/>
  <c r="K17" i="78"/>
  <c r="S19" i="78"/>
  <c r="U19" i="78" s="1"/>
  <c r="K23" i="78"/>
  <c r="M23" i="78"/>
  <c r="L23" i="78"/>
  <c r="I23" i="78"/>
  <c r="I24" i="78"/>
  <c r="P24" i="78"/>
  <c r="M24" i="78"/>
  <c r="L24" i="78"/>
  <c r="K24" i="78"/>
  <c r="H24" i="78"/>
  <c r="S29" i="78"/>
  <c r="U29" i="78" s="1"/>
  <c r="P38" i="78"/>
  <c r="I38" i="78"/>
  <c r="L46" i="78"/>
  <c r="P46" i="78"/>
  <c r="M46" i="78"/>
  <c r="K46" i="78"/>
  <c r="I46" i="78"/>
  <c r="H46" i="78"/>
  <c r="S46" i="78" s="1"/>
  <c r="U46" i="78" s="1"/>
  <c r="N56" i="78"/>
  <c r="P48" i="78"/>
  <c r="H48" i="78"/>
  <c r="S52" i="78"/>
  <c r="U52" i="78" s="1"/>
  <c r="P54" i="78"/>
  <c r="M54" i="78"/>
  <c r="L54" i="78"/>
  <c r="K54" i="78"/>
  <c r="I54" i="78"/>
  <c r="H54" i="78"/>
  <c r="S54" i="78" s="1"/>
  <c r="U54" i="78" s="1"/>
  <c r="F61" i="78"/>
  <c r="P59" i="78"/>
  <c r="M59" i="78"/>
  <c r="K59" i="78"/>
  <c r="I59" i="78"/>
  <c r="I61" i="78" s="1"/>
  <c r="H59" i="78"/>
  <c r="H61" i="78"/>
  <c r="P61" i="78"/>
  <c r="S68" i="78"/>
  <c r="U68" i="78" s="1"/>
  <c r="P70" i="78"/>
  <c r="M70" i="78"/>
  <c r="L70" i="78"/>
  <c r="K70" i="78"/>
  <c r="I70" i="78"/>
  <c r="H70" i="78"/>
  <c r="S70" i="78" s="1"/>
  <c r="U70" i="78" s="1"/>
  <c r="P73" i="78"/>
  <c r="M73" i="78"/>
  <c r="H73" i="78"/>
  <c r="P74" i="78"/>
  <c r="M74" i="78"/>
  <c r="K74" i="78"/>
  <c r="H74" i="78"/>
  <c r="P75" i="78"/>
  <c r="M75" i="78"/>
  <c r="S80" i="78"/>
  <c r="U80" i="78" s="1"/>
  <c r="P85" i="78"/>
  <c r="M85" i="78"/>
  <c r="L85" i="78"/>
  <c r="K85" i="78"/>
  <c r="I85" i="78"/>
  <c r="H85" i="78"/>
  <c r="K110" i="78"/>
  <c r="P110" i="78"/>
  <c r="M110" i="78"/>
  <c r="L110" i="78"/>
  <c r="I110" i="78"/>
  <c r="H110" i="78"/>
  <c r="M120" i="78"/>
  <c r="P120" i="78"/>
  <c r="L120" i="78"/>
  <c r="K120" i="78"/>
  <c r="I120" i="78"/>
  <c r="H120" i="78"/>
  <c r="M133" i="78"/>
  <c r="L133" i="78"/>
  <c r="P155" i="78"/>
  <c r="M155" i="78"/>
  <c r="L155" i="78"/>
  <c r="K155" i="78"/>
  <c r="I155" i="78"/>
  <c r="H155" i="78"/>
  <c r="L156" i="78"/>
  <c r="P156" i="78"/>
  <c r="M156" i="78"/>
  <c r="K156" i="78"/>
  <c r="I156" i="78"/>
  <c r="H156" i="78"/>
  <c r="P157" i="78"/>
  <c r="L157" i="78"/>
  <c r="S186" i="78"/>
  <c r="U186" i="78" s="1"/>
  <c r="W39" i="78"/>
  <c r="Y13" i="78"/>
  <c r="Y42" i="78"/>
  <c r="W43" i="78"/>
  <c r="Y43" i="78" s="1"/>
  <c r="W56" i="78"/>
  <c r="Y56" i="78" s="1"/>
  <c r="Y46" i="78"/>
  <c r="Y60" i="78"/>
  <c r="W61" i="78"/>
  <c r="Y61" i="78" s="1"/>
  <c r="Y64" i="78"/>
  <c r="W76" i="78"/>
  <c r="Y76" i="78" s="1"/>
  <c r="W86" i="78"/>
  <c r="Y86" i="78" s="1"/>
  <c r="Y80" i="78"/>
  <c r="W99" i="78"/>
  <c r="Y99" i="78" s="1"/>
  <c r="Y90" i="78"/>
  <c r="W106" i="78"/>
  <c r="Y106" i="78" s="1"/>
  <c r="Y104" i="78"/>
  <c r="W117" i="78"/>
  <c r="Y117" i="78" s="1"/>
  <c r="Y111" i="78"/>
  <c r="W129" i="78"/>
  <c r="Y129" i="78" s="1"/>
  <c r="Y120" i="78"/>
  <c r="W187" i="78"/>
  <c r="Y134" i="78"/>
  <c r="Y187" i="78" s="1"/>
  <c r="R117" i="78"/>
  <c r="P184" i="78"/>
  <c r="L182" i="78"/>
  <c r="S182" i="78"/>
  <c r="U182" i="78" s="1"/>
  <c r="I177" i="78"/>
  <c r="P178" i="78"/>
  <c r="S179" i="78"/>
  <c r="U179" i="78" s="1"/>
  <c r="S176" i="78"/>
  <c r="U176" i="78" s="1"/>
  <c r="S147" i="78"/>
  <c r="U147" i="78" s="1"/>
  <c r="S140" i="78"/>
  <c r="U140" i="78" s="1"/>
  <c r="S139" i="78"/>
  <c r="S93" i="78"/>
  <c r="U93" i="78" s="1"/>
  <c r="S92" i="78"/>
  <c r="U92" i="78" s="1"/>
  <c r="S82" i="78"/>
  <c r="U82" i="78" s="1"/>
  <c r="S37" i="78"/>
  <c r="U37" i="78" s="1"/>
  <c r="S13" i="78"/>
  <c r="U13" i="78" s="1"/>
  <c r="S28" i="78"/>
  <c r="U28" i="78" s="1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K38" i="78"/>
  <c r="F39" i="78"/>
  <c r="P50" i="78"/>
  <c r="H50" i="78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P23" i="78"/>
  <c r="M25" i="78"/>
  <c r="K26" i="78"/>
  <c r="S26" i="78" s="1"/>
  <c r="U26" i="78" s="1"/>
  <c r="I27" i="78"/>
  <c r="M30" i="78"/>
  <c r="M31" i="78"/>
  <c r="K32" i="78"/>
  <c r="H33" i="78"/>
  <c r="P33" i="78"/>
  <c r="P34" i="78"/>
  <c r="S34" i="78" s="1"/>
  <c r="U34" i="78" s="1"/>
  <c r="H38" i="78"/>
  <c r="P47" i="78"/>
  <c r="M48" i="78"/>
  <c r="I50" i="78"/>
  <c r="L55" i="78"/>
  <c r="I55" i="78"/>
  <c r="M61" i="78"/>
  <c r="H64" i="78"/>
  <c r="U64" i="78" s="1"/>
  <c r="P64" i="78"/>
  <c r="S66" i="78"/>
  <c r="U66" i="78" s="1"/>
  <c r="K67" i="78"/>
  <c r="I71" i="78"/>
  <c r="K72" i="78"/>
  <c r="L73" i="78"/>
  <c r="I73" i="78"/>
  <c r="K75" i="78"/>
  <c r="S84" i="78"/>
  <c r="U84" i="78" s="1"/>
  <c r="K103" i="78"/>
  <c r="S123" i="78"/>
  <c r="U123" i="78" s="1"/>
  <c r="P42" i="78"/>
  <c r="P43" i="78" s="1"/>
  <c r="H42" i="78"/>
  <c r="H43" i="78" s="1"/>
  <c r="M42" i="78"/>
  <c r="M43" i="78" s="1"/>
  <c r="K49" i="78"/>
  <c r="P49" i="78"/>
  <c r="H49" i="78"/>
  <c r="P51" i="78"/>
  <c r="H51" i="78"/>
  <c r="M51" i="78"/>
  <c r="P53" i="78"/>
  <c r="H53" i="78"/>
  <c r="M53" i="78"/>
  <c r="L69" i="78"/>
  <c r="I69" i="78"/>
  <c r="L79" i="78"/>
  <c r="I79" i="78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U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U32" i="78" s="1"/>
  <c r="I35" i="78"/>
  <c r="S35" i="78" s="1"/>
  <c r="U35" i="78" s="1"/>
  <c r="I36" i="78"/>
  <c r="S36" i="78" s="1"/>
  <c r="U36" i="78" s="1"/>
  <c r="L38" i="78"/>
  <c r="I42" i="78"/>
  <c r="I43" i="78" s="1"/>
  <c r="H47" i="78"/>
  <c r="I49" i="78"/>
  <c r="L50" i="78"/>
  <c r="I51" i="78"/>
  <c r="I53" i="78"/>
  <c r="K55" i="78"/>
  <c r="H69" i="78"/>
  <c r="K73" i="78"/>
  <c r="S73" i="78" s="1"/>
  <c r="U73" i="78" s="1"/>
  <c r="L74" i="78"/>
  <c r="I74" i="78"/>
  <c r="S74" i="78" s="1"/>
  <c r="U74" i="78" s="1"/>
  <c r="H79" i="78"/>
  <c r="H86" i="78" s="1"/>
  <c r="I83" i="78"/>
  <c r="F99" i="78"/>
  <c r="K89" i="78"/>
  <c r="P89" i="78"/>
  <c r="H89" i="78"/>
  <c r="M89" i="78"/>
  <c r="I14" i="78"/>
  <c r="M17" i="78"/>
  <c r="S17" i="78" s="1"/>
  <c r="U17" i="78" s="1"/>
  <c r="M20" i="78"/>
  <c r="M22" i="78"/>
  <c r="I25" i="78"/>
  <c r="M27" i="78"/>
  <c r="I30" i="78"/>
  <c r="I31" i="78"/>
  <c r="K42" i="78"/>
  <c r="K43" i="78" s="1"/>
  <c r="F43" i="78"/>
  <c r="K47" i="78"/>
  <c r="L48" i="78"/>
  <c r="I48" i="78"/>
  <c r="L49" i="78"/>
  <c r="K51" i="78"/>
  <c r="K53" i="78"/>
  <c r="K69" i="78"/>
  <c r="K79" i="78"/>
  <c r="K86" i="78" s="1"/>
  <c r="L83" i="78"/>
  <c r="F86" i="78"/>
  <c r="H90" i="78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M67" i="78"/>
  <c r="M69" i="78"/>
  <c r="L72" i="78"/>
  <c r="I72" i="78"/>
  <c r="L75" i="78"/>
  <c r="I75" i="78"/>
  <c r="M79" i="78"/>
  <c r="M83" i="78"/>
  <c r="S83" i="78" s="1"/>
  <c r="U83" i="78" s="1"/>
  <c r="M96" i="78"/>
  <c r="L96" i="78"/>
  <c r="I96" i="78"/>
  <c r="I99" i="78" s="1"/>
  <c r="H96" i="78"/>
  <c r="I111" i="78"/>
  <c r="P111" i="78"/>
  <c r="H111" i="78"/>
  <c r="M111" i="78"/>
  <c r="K111" i="78"/>
  <c r="K48" i="78"/>
  <c r="S60" i="78"/>
  <c r="U60" i="78" s="1"/>
  <c r="S65" i="78"/>
  <c r="U65" i="78" s="1"/>
  <c r="I67" i="78"/>
  <c r="P71" i="78"/>
  <c r="H71" i="78"/>
  <c r="M71" i="78"/>
  <c r="H72" i="78"/>
  <c r="S72" i="78" s="1"/>
  <c r="U72" i="78" s="1"/>
  <c r="H75" i="78"/>
  <c r="S75" i="78" s="1"/>
  <c r="U75" i="78" s="1"/>
  <c r="F76" i="78"/>
  <c r="S85" i="78"/>
  <c r="U85" i="78" s="1"/>
  <c r="K96" i="78"/>
  <c r="M103" i="78"/>
  <c r="L103" i="78"/>
  <c r="I103" i="78"/>
  <c r="F106" i="78"/>
  <c r="H103" i="78"/>
  <c r="S103" i="78" s="1"/>
  <c r="U103" i="78" s="1"/>
  <c r="L104" i="78"/>
  <c r="K104" i="78"/>
  <c r="K106" i="78" s="1"/>
  <c r="H104" i="78"/>
  <c r="I104" i="78"/>
  <c r="P104" i="78"/>
  <c r="P106" i="78" s="1"/>
  <c r="L111" i="78"/>
  <c r="G188" i="78"/>
  <c r="L59" i="78"/>
  <c r="L61" i="78" s="1"/>
  <c r="K91" i="78"/>
  <c r="S91" i="78" s="1"/>
  <c r="U91" i="78" s="1"/>
  <c r="M94" i="78"/>
  <c r="S94" i="78" s="1"/>
  <c r="U94" i="78" s="1"/>
  <c r="M109" i="78"/>
  <c r="M115" i="78"/>
  <c r="L115" i="78"/>
  <c r="I115" i="78"/>
  <c r="L122" i="78"/>
  <c r="I122" i="78"/>
  <c r="P122" i="78"/>
  <c r="H122" i="78"/>
  <c r="M122" i="78"/>
  <c r="K126" i="78"/>
  <c r="P95" i="78"/>
  <c r="K95" i="78"/>
  <c r="S95" i="78" s="1"/>
  <c r="U95" i="78" s="1"/>
  <c r="O106" i="78"/>
  <c r="M105" i="78"/>
  <c r="L105" i="78"/>
  <c r="I105" i="78"/>
  <c r="S105" i="78" s="1"/>
  <c r="U105" i="78" s="1"/>
  <c r="S110" i="78"/>
  <c r="U110" i="78" s="1"/>
  <c r="M112" i="78"/>
  <c r="L112" i="78"/>
  <c r="I112" i="78"/>
  <c r="L124" i="78"/>
  <c r="I124" i="78"/>
  <c r="P124" i="78"/>
  <c r="H124" i="78"/>
  <c r="M124" i="78"/>
  <c r="L116" i="78"/>
  <c r="K116" i="78"/>
  <c r="P116" i="78"/>
  <c r="H116" i="78"/>
  <c r="P134" i="78"/>
  <c r="H134" i="78"/>
  <c r="M134" i="78"/>
  <c r="K134" i="78"/>
  <c r="I134" i="78"/>
  <c r="L159" i="78"/>
  <c r="K159" i="78"/>
  <c r="P159" i="78"/>
  <c r="H159" i="78"/>
  <c r="M159" i="78"/>
  <c r="I159" i="78"/>
  <c r="J99" i="78"/>
  <c r="J188" i="78" s="1"/>
  <c r="S97" i="78"/>
  <c r="U97" i="78" s="1"/>
  <c r="S102" i="78"/>
  <c r="U102" i="78" s="1"/>
  <c r="L109" i="78"/>
  <c r="K109" i="78"/>
  <c r="F117" i="78"/>
  <c r="P109" i="78"/>
  <c r="P117" i="78" s="1"/>
  <c r="H109" i="78"/>
  <c r="I116" i="78"/>
  <c r="O129" i="78"/>
  <c r="F129" i="78"/>
  <c r="P121" i="78"/>
  <c r="H121" i="78"/>
  <c r="M121" i="78"/>
  <c r="L121" i="78"/>
  <c r="I121" i="78"/>
  <c r="S132" i="78"/>
  <c r="U132" i="78" s="1"/>
  <c r="L134" i="78"/>
  <c r="S134" i="78" s="1"/>
  <c r="U134" i="78" s="1"/>
  <c r="M148" i="78"/>
  <c r="K148" i="78"/>
  <c r="L148" i="78"/>
  <c r="I148" i="78"/>
  <c r="H148" i="78"/>
  <c r="P148" i="78"/>
  <c r="S120" i="78"/>
  <c r="U120" i="78" s="1"/>
  <c r="P126" i="78"/>
  <c r="H126" i="78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I146" i="78"/>
  <c r="I151" i="78"/>
  <c r="I154" i="78"/>
  <c r="M158" i="78"/>
  <c r="I166" i="78"/>
  <c r="P166" i="78"/>
  <c r="H166" i="78"/>
  <c r="M166" i="78"/>
  <c r="K166" i="78"/>
  <c r="S166" i="78" s="1"/>
  <c r="U166" i="78" s="1"/>
  <c r="I172" i="78"/>
  <c r="P172" i="78"/>
  <c r="H172" i="78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M142" i="78"/>
  <c r="K142" i="78"/>
  <c r="M144" i="78"/>
  <c r="K144" i="78"/>
  <c r="L152" i="78"/>
  <c r="I152" i="78"/>
  <c r="S153" i="78"/>
  <c r="U153" i="78" s="1"/>
  <c r="I157" i="78"/>
  <c r="M157" i="78"/>
  <c r="K157" i="78"/>
  <c r="I160" i="78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7" i="78"/>
  <c r="U177" i="78" s="1"/>
  <c r="H98" i="78"/>
  <c r="S98" i="78" s="1"/>
  <c r="U98" i="78" s="1"/>
  <c r="H114" i="78"/>
  <c r="S114" i="78" s="1"/>
  <c r="U114" i="78" s="1"/>
  <c r="H125" i="78"/>
  <c r="H127" i="78"/>
  <c r="H133" i="78"/>
  <c r="S133" i="78" s="1"/>
  <c r="U133" i="78" s="1"/>
  <c r="S136" i="78"/>
  <c r="U136" i="78" s="1"/>
  <c r="I138" i="78"/>
  <c r="H142" i="78"/>
  <c r="H144" i="78"/>
  <c r="M145" i="78"/>
  <c r="L150" i="78"/>
  <c r="I150" i="78"/>
  <c r="S150" i="78" s="1"/>
  <c r="U150" i="78" s="1"/>
  <c r="H152" i="78"/>
  <c r="S152" i="78" s="1"/>
  <c r="U152" i="78" s="1"/>
  <c r="H157" i="78"/>
  <c r="L160" i="78"/>
  <c r="I168" i="78"/>
  <c r="I169" i="78"/>
  <c r="P169" i="78"/>
  <c r="H169" i="78"/>
  <c r="M169" i="78"/>
  <c r="K169" i="78"/>
  <c r="I174" i="78"/>
  <c r="S180" i="78"/>
  <c r="U180" i="78" s="1"/>
  <c r="P141" i="78"/>
  <c r="H141" i="78"/>
  <c r="M141" i="78"/>
  <c r="M151" i="78"/>
  <c r="K151" i="78"/>
  <c r="S155" i="78"/>
  <c r="U155" i="78" s="1"/>
  <c r="P158" i="78"/>
  <c r="H158" i="78"/>
  <c r="L158" i="78"/>
  <c r="I158" i="78"/>
  <c r="L162" i="78"/>
  <c r="K162" i="78"/>
  <c r="P162" i="78"/>
  <c r="H162" i="78"/>
  <c r="M162" i="78"/>
  <c r="S183" i="78"/>
  <c r="U183" i="78" s="1"/>
  <c r="S185" i="78"/>
  <c r="U185" i="78" s="1"/>
  <c r="K137" i="78"/>
  <c r="H137" i="78"/>
  <c r="S137" i="78" s="1"/>
  <c r="U137" i="78" s="1"/>
  <c r="I141" i="78"/>
  <c r="M143" i="78"/>
  <c r="K143" i="78"/>
  <c r="P146" i="78"/>
  <c r="H146" i="78"/>
  <c r="M146" i="78"/>
  <c r="H151" i="78"/>
  <c r="S151" i="78" s="1"/>
  <c r="U151" i="78" s="1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P164" i="78"/>
  <c r="H167" i="78"/>
  <c r="P167" i="78"/>
  <c r="M168" i="78"/>
  <c r="H170" i="78"/>
  <c r="P170" i="78"/>
  <c r="H173" i="78"/>
  <c r="P173" i="78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S173" i="78" l="1"/>
  <c r="U173" i="78" s="1"/>
  <c r="S170" i="78"/>
  <c r="U170" i="78" s="1"/>
  <c r="S167" i="78"/>
  <c r="U167" i="78" s="1"/>
  <c r="S164" i="78"/>
  <c r="U164" i="78" s="1"/>
  <c r="S174" i="78"/>
  <c r="U174" i="78" s="1"/>
  <c r="S160" i="78"/>
  <c r="U160" i="78" s="1"/>
  <c r="S157" i="78"/>
  <c r="U157" i="78" s="1"/>
  <c r="S138" i="78"/>
  <c r="U138" i="78" s="1"/>
  <c r="S172" i="78"/>
  <c r="U172" i="78" s="1"/>
  <c r="S145" i="78"/>
  <c r="U145" i="78" s="1"/>
  <c r="S126" i="78"/>
  <c r="U126" i="78" s="1"/>
  <c r="S159" i="78"/>
  <c r="U159" i="78" s="1"/>
  <c r="S116" i="78"/>
  <c r="U116" i="78" s="1"/>
  <c r="S124" i="78"/>
  <c r="U124" i="78" s="1"/>
  <c r="I117" i="78"/>
  <c r="S112" i="78"/>
  <c r="U112" i="78" s="1"/>
  <c r="S122" i="78"/>
  <c r="U122" i="78" s="1"/>
  <c r="M106" i="78"/>
  <c r="S111" i="78"/>
  <c r="U111" i="78" s="1"/>
  <c r="M86" i="78"/>
  <c r="S67" i="78"/>
  <c r="U67" i="78" s="1"/>
  <c r="S90" i="78"/>
  <c r="U90" i="78" s="1"/>
  <c r="L56" i="78"/>
  <c r="S48" i="78"/>
  <c r="U48" i="78" s="1"/>
  <c r="S47" i="78"/>
  <c r="U47" i="78" s="1"/>
  <c r="I86" i="78"/>
  <c r="L86" i="78"/>
  <c r="S69" i="78"/>
  <c r="U69" i="78" s="1"/>
  <c r="K56" i="78"/>
  <c r="K76" i="78"/>
  <c r="S55" i="78"/>
  <c r="U55" i="78" s="1"/>
  <c r="S23" i="78"/>
  <c r="U23" i="78" s="1"/>
  <c r="S50" i="78"/>
  <c r="U50" i="78" s="1"/>
  <c r="S38" i="78"/>
  <c r="U38" i="78" s="1"/>
  <c r="W188" i="78"/>
  <c r="Y39" i="78"/>
  <c r="S156" i="78"/>
  <c r="U156" i="78" s="1"/>
  <c r="S16" i="78"/>
  <c r="U16" i="78" s="1"/>
  <c r="N188" i="78"/>
  <c r="R188" i="78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U178" i="78" s="1"/>
  <c r="S171" i="78"/>
  <c r="U171" i="78" s="1"/>
  <c r="L187" i="78"/>
  <c r="S168" i="78"/>
  <c r="U168" i="78" s="1"/>
  <c r="S169" i="78"/>
  <c r="U169" i="78" s="1"/>
  <c r="S165" i="78"/>
  <c r="U165" i="78" s="1"/>
  <c r="S148" i="78"/>
  <c r="U148" i="78" s="1"/>
  <c r="S149" i="78"/>
  <c r="U149" i="78" s="1"/>
  <c r="P187" i="78"/>
  <c r="S144" i="78"/>
  <c r="U144" i="78" s="1"/>
  <c r="M187" i="78"/>
  <c r="I187" i="78"/>
  <c r="H129" i="78"/>
  <c r="S115" i="78"/>
  <c r="U115" i="78" s="1"/>
  <c r="S113" i="78"/>
  <c r="U113" i="78" s="1"/>
  <c r="M117" i="78"/>
  <c r="I106" i="78"/>
  <c r="S104" i="78"/>
  <c r="U104" i="78" s="1"/>
  <c r="S96" i="78"/>
  <c r="U96" i="78" s="1"/>
  <c r="L99" i="78"/>
  <c r="I76" i="78"/>
  <c r="S53" i="78"/>
  <c r="U53" i="78" s="1"/>
  <c r="I56" i="78"/>
  <c r="S51" i="78"/>
  <c r="U51" i="78" s="1"/>
  <c r="P56" i="78"/>
  <c r="M56" i="78"/>
  <c r="P39" i="78"/>
  <c r="S25" i="78"/>
  <c r="U25" i="78" s="1"/>
  <c r="S21" i="78"/>
  <c r="U21" i="78" s="1"/>
  <c r="L39" i="78"/>
  <c r="S20" i="78"/>
  <c r="U20" i="78" s="1"/>
  <c r="M39" i="78"/>
  <c r="I39" i="78"/>
  <c r="Y188" i="78"/>
  <c r="S76" i="78"/>
  <c r="U76" i="78" s="1"/>
  <c r="S184" i="78"/>
  <c r="U184" i="78" s="1"/>
  <c r="S154" i="78"/>
  <c r="U154" i="78" s="1"/>
  <c r="P99" i="78"/>
  <c r="S121" i="78"/>
  <c r="U121" i="78" s="1"/>
  <c r="S181" i="78"/>
  <c r="U181" i="78" s="1"/>
  <c r="P129" i="78"/>
  <c r="H117" i="78"/>
  <c r="H106" i="78"/>
  <c r="K99" i="78"/>
  <c r="H56" i="78"/>
  <c r="S31" i="78"/>
  <c r="U31" i="78" s="1"/>
  <c r="S14" i="78"/>
  <c r="U14" i="78" s="1"/>
  <c r="S22" i="78"/>
  <c r="U22" i="78" s="1"/>
  <c r="S11" i="78"/>
  <c r="U11" i="78" s="1"/>
  <c r="H187" i="78"/>
  <c r="H39" i="78"/>
  <c r="S49" i="78"/>
  <c r="U49" i="78" s="1"/>
  <c r="S175" i="78"/>
  <c r="U175" i="78" s="1"/>
  <c r="S127" i="78"/>
  <c r="U127" i="78" s="1"/>
  <c r="K187" i="78"/>
  <c r="I129" i="78"/>
  <c r="S30" i="78"/>
  <c r="U30" i="78" s="1"/>
  <c r="S79" i="78"/>
  <c r="U79" i="78" s="1"/>
  <c r="S12" i="78"/>
  <c r="U12" i="78" s="1"/>
  <c r="S59" i="78"/>
  <c r="U59" i="78" s="1"/>
  <c r="S125" i="78"/>
  <c r="U125" i="78" s="1"/>
  <c r="L129" i="78"/>
  <c r="K117" i="78"/>
  <c r="L106" i="78"/>
  <c r="M99" i="78"/>
  <c r="S109" i="78"/>
  <c r="U109" i="78" s="1"/>
  <c r="P76" i="78"/>
  <c r="L76" i="78"/>
  <c r="O188" i="78"/>
  <c r="S146" i="78"/>
  <c r="U146" i="78" s="1"/>
  <c r="L117" i="78"/>
  <c r="H99" i="78"/>
  <c r="S89" i="78"/>
  <c r="U89" i="78" s="1"/>
  <c r="H76" i="78"/>
  <c r="S33" i="78"/>
  <c r="U33" i="78" s="1"/>
  <c r="S128" i="78"/>
  <c r="U128" i="78" s="1"/>
  <c r="S106" i="78"/>
  <c r="U106" i="78" s="1"/>
  <c r="F188" i="78"/>
  <c r="S42" i="78"/>
  <c r="U42" i="78" s="1"/>
  <c r="U39" i="78" l="1"/>
  <c r="U187" i="78"/>
  <c r="P188" i="78"/>
  <c r="K188" i="78"/>
  <c r="H188" i="78"/>
  <c r="M188" i="78"/>
  <c r="L188" i="78"/>
  <c r="I188" i="78"/>
  <c r="S99" i="78"/>
  <c r="U99" i="78" s="1"/>
  <c r="S43" i="78"/>
  <c r="U43" i="78" s="1"/>
  <c r="S129" i="78"/>
  <c r="U129" i="78" s="1"/>
  <c r="S117" i="78"/>
  <c r="U117" i="78" s="1"/>
  <c r="S61" i="78"/>
  <c r="U61" i="78" s="1"/>
  <c r="S187" i="78"/>
  <c r="S39" i="78"/>
  <c r="S56" i="78"/>
  <c r="U56" i="78" s="1"/>
  <c r="S86" i="78"/>
  <c r="U86" i="78" s="1"/>
  <c r="U188" i="78" l="1"/>
  <c r="S188" i="78"/>
  <c r="T176" i="1"/>
  <c r="U134" i="1"/>
  <c r="X157" i="1" l="1"/>
  <c r="N157" i="1"/>
  <c r="L157" i="1"/>
  <c r="J157" i="1"/>
  <c r="T27" i="1"/>
  <c r="U100" i="1"/>
  <c r="U102" i="1" s="1"/>
  <c r="T124" i="1"/>
  <c r="T131" i="1" s="1"/>
  <c r="T111" i="1"/>
  <c r="K157" i="1" l="1"/>
  <c r="G157" i="1"/>
  <c r="O157" i="1"/>
  <c r="H157" i="1"/>
  <c r="R157" i="1" l="1"/>
  <c r="Z157" i="1" s="1"/>
  <c r="U175" i="1" l="1"/>
  <c r="Q187" i="1"/>
  <c r="Q183" i="1"/>
  <c r="U183" i="1"/>
  <c r="X183" i="1" s="1"/>
  <c r="N183" i="1"/>
  <c r="L183" i="1"/>
  <c r="K183" i="1"/>
  <c r="J183" i="1"/>
  <c r="H183" i="1"/>
  <c r="G183" i="1" l="1"/>
  <c r="O183" i="1"/>
  <c r="R183" i="1" l="1"/>
  <c r="Z183" i="1" s="1"/>
  <c r="N182" i="1" l="1"/>
  <c r="X187" i="1"/>
  <c r="N187" i="1"/>
  <c r="L187" i="1"/>
  <c r="K187" i="1"/>
  <c r="J187" i="1"/>
  <c r="H187" i="1"/>
  <c r="O187" i="1"/>
  <c r="G187" i="1" l="1"/>
  <c r="R187" i="1" l="1"/>
  <c r="Z187" i="1" s="1"/>
  <c r="Q112" i="1" l="1"/>
  <c r="U78" i="1" l="1"/>
  <c r="U28" i="1"/>
  <c r="U31" i="1" s="1"/>
  <c r="U185" i="1"/>
  <c r="U141" i="1"/>
  <c r="U43" i="1"/>
  <c r="T148" i="1"/>
  <c r="N181" i="1" l="1"/>
  <c r="N180" i="1"/>
  <c r="N179" i="1"/>
  <c r="N178" i="1"/>
  <c r="N177" i="1"/>
  <c r="N149" i="1"/>
  <c r="N148" i="1"/>
  <c r="N147" i="1"/>
  <c r="M64" i="1"/>
  <c r="M46" i="1"/>
  <c r="M43" i="1"/>
  <c r="X124" i="1" l="1"/>
  <c r="O124" i="1"/>
  <c r="N124" i="1"/>
  <c r="T25" i="1"/>
  <c r="O25" i="1"/>
  <c r="T36" i="1"/>
  <c r="O36" i="1"/>
  <c r="L111" i="1"/>
  <c r="X111" i="1"/>
  <c r="M111" i="1"/>
  <c r="N34" i="1"/>
  <c r="N37" i="1" s="1"/>
  <c r="O27" i="1"/>
  <c r="X36" i="1" l="1"/>
  <c r="T37" i="1"/>
  <c r="L124" i="1"/>
  <c r="O34" i="1"/>
  <c r="O37" i="1" s="1"/>
  <c r="L25" i="1"/>
  <c r="H25" i="1"/>
  <c r="X25" i="1"/>
  <c r="H36" i="1"/>
  <c r="J36" i="1"/>
  <c r="X27" i="1"/>
  <c r="K36" i="1"/>
  <c r="J25" i="1"/>
  <c r="L36" i="1"/>
  <c r="K25" i="1"/>
  <c r="J124" i="1"/>
  <c r="H124" i="1"/>
  <c r="K124" i="1"/>
  <c r="G124" i="1"/>
  <c r="G36" i="1"/>
  <c r="G25" i="1"/>
  <c r="J34" i="1"/>
  <c r="K111" i="1"/>
  <c r="K34" i="1"/>
  <c r="X34" i="1"/>
  <c r="O111" i="1"/>
  <c r="G111" i="1"/>
  <c r="H34" i="1"/>
  <c r="H111" i="1"/>
  <c r="J111" i="1"/>
  <c r="L34" i="1"/>
  <c r="L37" i="1" s="1"/>
  <c r="G34" i="1"/>
  <c r="G27" i="1"/>
  <c r="H27" i="1"/>
  <c r="J27" i="1"/>
  <c r="K27" i="1"/>
  <c r="L27" i="1"/>
  <c r="H37" i="1" l="1"/>
  <c r="X37" i="1"/>
  <c r="K37" i="1"/>
  <c r="G37" i="1"/>
  <c r="J37" i="1"/>
  <c r="R124" i="1"/>
  <c r="Z124" i="1" s="1"/>
  <c r="R34" i="1"/>
  <c r="R25" i="1"/>
  <c r="Z25" i="1" s="1"/>
  <c r="R36" i="1"/>
  <c r="Z36" i="1" s="1"/>
  <c r="R111" i="1"/>
  <c r="R27" i="1"/>
  <c r="Z27" i="1" s="1"/>
  <c r="R37" i="1" l="1"/>
  <c r="Z111" i="1"/>
  <c r="Z34" i="1"/>
  <c r="Z37" i="1" s="1"/>
  <c r="M18" i="1" l="1"/>
  <c r="Q9" i="1"/>
  <c r="C163" i="68"/>
  <c r="F53" i="68" l="1"/>
  <c r="X149" i="1" l="1"/>
  <c r="X152" i="1"/>
  <c r="X57" i="1"/>
  <c r="X24" i="1"/>
  <c r="X7" i="1"/>
  <c r="U172" i="1" l="1"/>
  <c r="U170" i="1"/>
  <c r="X184" i="1" l="1"/>
  <c r="Z184" i="1" s="1"/>
  <c r="X153" i="1"/>
  <c r="T40" i="1"/>
  <c r="T10" i="1"/>
  <c r="X10" i="1" l="1"/>
  <c r="Q182" i="1"/>
  <c r="Q185" i="1"/>
  <c r="Q181" i="1"/>
  <c r="Q180" i="1"/>
  <c r="Q179" i="1"/>
  <c r="Q178" i="1"/>
  <c r="Q177" i="1"/>
  <c r="N176" i="1"/>
  <c r="Q176" i="1"/>
  <c r="Q175" i="1"/>
  <c r="Q173" i="1"/>
  <c r="Q172" i="1"/>
  <c r="Q171" i="1"/>
  <c r="Q170" i="1"/>
  <c r="Q169" i="1"/>
  <c r="Q168" i="1"/>
  <c r="Q167" i="1"/>
  <c r="N166" i="1"/>
  <c r="Q166" i="1"/>
  <c r="N165" i="1"/>
  <c r="Q165" i="1"/>
  <c r="N164" i="1"/>
  <c r="Q164" i="1"/>
  <c r="N163" i="1"/>
  <c r="Q163" i="1"/>
  <c r="N162" i="1"/>
  <c r="Q162" i="1"/>
  <c r="N145" i="1"/>
  <c r="N142" i="1"/>
  <c r="N144" i="1"/>
  <c r="N143" i="1"/>
  <c r="N141" i="1"/>
  <c r="N140" i="1"/>
  <c r="N134" i="1"/>
  <c r="N127" i="1"/>
  <c r="N126" i="1"/>
  <c r="N125" i="1"/>
  <c r="N123" i="1"/>
  <c r="N13" i="1"/>
  <c r="N121" i="1"/>
  <c r="N100" i="1"/>
  <c r="N102" i="1" s="1"/>
  <c r="N117" i="1"/>
  <c r="N118" i="1" s="1"/>
  <c r="N15" i="1"/>
  <c r="N76" i="1"/>
  <c r="N81" i="1" s="1"/>
  <c r="N8" i="1"/>
  <c r="N31" i="1" s="1"/>
  <c r="Q193" i="1" l="1"/>
  <c r="N193" i="1"/>
  <c r="N131" i="1"/>
  <c r="N194" i="1" l="1"/>
  <c r="U173" i="1"/>
  <c r="U145" i="1"/>
  <c r="Q19" i="1"/>
  <c r="T60" i="1"/>
  <c r="T42" i="1"/>
  <c r="M109" i="1" l="1"/>
  <c r="M110" i="1"/>
  <c r="M108" i="1"/>
  <c r="M107" i="1"/>
  <c r="M105" i="1"/>
  <c r="M89" i="1"/>
  <c r="M88" i="1"/>
  <c r="M85" i="1"/>
  <c r="M84" i="1"/>
  <c r="M78" i="1"/>
  <c r="M75" i="1"/>
  <c r="M74" i="1"/>
  <c r="M70" i="1"/>
  <c r="M63" i="1"/>
  <c r="M61" i="1"/>
  <c r="M60" i="1"/>
  <c r="M57" i="1"/>
  <c r="M40" i="1"/>
  <c r="M7" i="1"/>
  <c r="M31" i="1" s="1"/>
  <c r="M71" i="1" l="1"/>
  <c r="M81" i="1"/>
  <c r="M95" i="1"/>
  <c r="M52" i="1"/>
  <c r="M112" i="1"/>
  <c r="R7" i="1"/>
  <c r="M194" i="1" l="1"/>
  <c r="U109" i="1"/>
  <c r="U112" i="1" s="1"/>
  <c r="U64" i="1"/>
  <c r="U71" i="1" s="1"/>
  <c r="T64" i="1"/>
  <c r="T146" i="1"/>
  <c r="X109" i="1" l="1"/>
  <c r="U178" i="1" l="1"/>
  <c r="U74" i="1"/>
  <c r="U81" i="1" s="1"/>
  <c r="X74" i="1" l="1"/>
  <c r="T99" i="1"/>
  <c r="U125" i="1" l="1"/>
  <c r="U131" i="1" s="1"/>
  <c r="X174" i="1" l="1"/>
  <c r="X142" i="1" l="1"/>
  <c r="X179" i="1"/>
  <c r="X186" i="1"/>
  <c r="X177" i="1"/>
  <c r="X180" i="1"/>
  <c r="X166" i="1"/>
  <c r="X164" i="1"/>
  <c r="U163" i="1"/>
  <c r="U193" i="1" s="1"/>
  <c r="T136" i="1"/>
  <c r="T110" i="1"/>
  <c r="T78" i="1"/>
  <c r="L182" i="1"/>
  <c r="T81" i="1" l="1"/>
  <c r="X78" i="1"/>
  <c r="X81" i="1" s="1"/>
  <c r="X182" i="1"/>
  <c r="H182" i="1"/>
  <c r="G182" i="1"/>
  <c r="O182" i="1"/>
  <c r="K182" i="1"/>
  <c r="J182" i="1"/>
  <c r="R182" i="1" l="1"/>
  <c r="Z182" i="1" l="1"/>
  <c r="X70" i="1"/>
  <c r="X110" i="1" l="1"/>
  <c r="J110" i="1"/>
  <c r="L90" i="1"/>
  <c r="L89" i="1"/>
  <c r="O18" i="1"/>
  <c r="X26" i="1"/>
  <c r="L28" i="1"/>
  <c r="L26" i="1"/>
  <c r="T28" i="1"/>
  <c r="T31" i="1" s="1"/>
  <c r="H78" i="1"/>
  <c r="O75" i="1"/>
  <c r="L75" i="1"/>
  <c r="K75" i="1"/>
  <c r="J75" i="1"/>
  <c r="H75" i="1"/>
  <c r="G75" i="1"/>
  <c r="R75" i="1" l="1"/>
  <c r="Z75" i="1" s="1"/>
  <c r="X28" i="1"/>
  <c r="K110" i="1"/>
  <c r="L110" i="1"/>
  <c r="G110" i="1"/>
  <c r="O110" i="1"/>
  <c r="K28" i="1"/>
  <c r="H110" i="1"/>
  <c r="K90" i="1"/>
  <c r="H18" i="1"/>
  <c r="J18" i="1"/>
  <c r="L18" i="1"/>
  <c r="G89" i="1"/>
  <c r="O89" i="1"/>
  <c r="K18" i="1"/>
  <c r="H89" i="1"/>
  <c r="G90" i="1"/>
  <c r="O90" i="1"/>
  <c r="J89" i="1"/>
  <c r="K89" i="1"/>
  <c r="J90" i="1"/>
  <c r="H90" i="1"/>
  <c r="G18" i="1"/>
  <c r="J78" i="1"/>
  <c r="K78" i="1"/>
  <c r="L78" i="1"/>
  <c r="G78" i="1"/>
  <c r="O78" i="1"/>
  <c r="O26" i="1"/>
  <c r="H26" i="1"/>
  <c r="G28" i="1"/>
  <c r="O28" i="1"/>
  <c r="H28" i="1"/>
  <c r="K26" i="1"/>
  <c r="J28" i="1"/>
  <c r="G26" i="1"/>
  <c r="J26" i="1"/>
  <c r="R18" i="1" l="1"/>
  <c r="Z18" i="1" s="1"/>
  <c r="R90" i="1"/>
  <c r="Z90" i="1" s="1"/>
  <c r="R89" i="1"/>
  <c r="Z89" i="1" s="1"/>
  <c r="R78" i="1"/>
  <c r="Z78" i="1" s="1"/>
  <c r="R110" i="1"/>
  <c r="Z110" i="1" s="1"/>
  <c r="R28" i="1"/>
  <c r="Z28" i="1" s="1"/>
  <c r="R26" i="1"/>
  <c r="L70" i="1"/>
  <c r="H70" i="1"/>
  <c r="G70" i="1"/>
  <c r="O70" i="1"/>
  <c r="J63" i="1"/>
  <c r="O61" i="1"/>
  <c r="L61" i="1"/>
  <c r="K61" i="1"/>
  <c r="J61" i="1"/>
  <c r="H61" i="1"/>
  <c r="G61" i="1"/>
  <c r="O8" i="1"/>
  <c r="L76" i="1"/>
  <c r="K76" i="1"/>
  <c r="J76" i="1"/>
  <c r="O76" i="1"/>
  <c r="J9" i="1"/>
  <c r="Z26" i="1" l="1"/>
  <c r="R61" i="1"/>
  <c r="Z61" i="1" s="1"/>
  <c r="X63" i="1"/>
  <c r="O9" i="1"/>
  <c r="K8" i="1"/>
  <c r="J8" i="1"/>
  <c r="K9" i="1"/>
  <c r="K63" i="1"/>
  <c r="H8" i="1"/>
  <c r="L8" i="1"/>
  <c r="G9" i="1"/>
  <c r="J70" i="1"/>
  <c r="K70" i="1"/>
  <c r="L63" i="1"/>
  <c r="O63" i="1"/>
  <c r="G63" i="1"/>
  <c r="H63" i="1"/>
  <c r="G8" i="1"/>
  <c r="H76" i="1"/>
  <c r="G76" i="1"/>
  <c r="R76" i="1" s="1"/>
  <c r="Z76" i="1" s="1"/>
  <c r="L9" i="1"/>
  <c r="H9" i="1"/>
  <c r="R8" i="1" l="1"/>
  <c r="R9" i="1"/>
  <c r="Z9" i="1" s="1"/>
  <c r="R63" i="1"/>
  <c r="Z63" i="1" s="1"/>
  <c r="R70" i="1"/>
  <c r="Z8" i="1" l="1"/>
  <c r="Z70" i="1"/>
  <c r="X99" i="1" l="1"/>
  <c r="X84" i="1" l="1"/>
  <c r="X165" i="1" l="1"/>
  <c r="X145" i="1"/>
  <c r="X137" i="1"/>
  <c r="X127" i="1"/>
  <c r="X126" i="1"/>
  <c r="X123" i="1"/>
  <c r="X136" i="1" l="1"/>
  <c r="D50" i="61"/>
  <c r="B8" i="61"/>
  <c r="D7" i="61"/>
  <c r="D6" i="61"/>
  <c r="D5" i="61"/>
  <c r="X163" i="1" l="1"/>
  <c r="X167" i="1"/>
  <c r="X168" i="1"/>
  <c r="X170" i="1"/>
  <c r="X171" i="1"/>
  <c r="X172" i="1"/>
  <c r="X173" i="1"/>
  <c r="X175" i="1"/>
  <c r="X178" i="1"/>
  <c r="X185" i="1"/>
  <c r="X176" i="1"/>
  <c r="X162" i="1"/>
  <c r="X155" i="1"/>
  <c r="X125" i="1"/>
  <c r="X169" i="1" l="1"/>
  <c r="I123" i="1"/>
  <c r="I13" i="1"/>
  <c r="I31" i="1" s="1"/>
  <c r="I84" i="1"/>
  <c r="I85" i="1"/>
  <c r="I95" i="1" l="1"/>
  <c r="K146" i="1"/>
  <c r="O146" i="1" l="1"/>
  <c r="J146" i="1"/>
  <c r="H146" i="1"/>
  <c r="L146" i="1"/>
  <c r="G146" i="1"/>
  <c r="R146" i="1" l="1"/>
  <c r="X68" i="1" l="1"/>
  <c r="T45" i="1" l="1"/>
  <c r="X45" i="1" s="1"/>
  <c r="X11" i="1" l="1"/>
  <c r="X146" i="1"/>
  <c r="Z146" i="1" s="1"/>
  <c r="T154" i="1" l="1"/>
  <c r="X154" i="1" s="1"/>
  <c r="X148" i="1"/>
  <c r="T62" i="1" l="1"/>
  <c r="U86" i="1"/>
  <c r="U95" i="1" l="1"/>
  <c r="X62" i="1"/>
  <c r="X156" i="1"/>
  <c r="T134" i="1" l="1"/>
  <c r="T98" i="1"/>
  <c r="X98" i="1" l="1"/>
  <c r="O156" i="1"/>
  <c r="L156" i="1"/>
  <c r="K156" i="1"/>
  <c r="J156" i="1"/>
  <c r="H156" i="1"/>
  <c r="G156" i="1"/>
  <c r="R156" i="1" l="1"/>
  <c r="Z156" i="1" s="1"/>
  <c r="U42" i="1" l="1"/>
  <c r="X42" i="1" l="1"/>
  <c r="U52" i="1"/>
  <c r="T138" i="1"/>
  <c r="T108" i="1"/>
  <c r="X108" i="1" s="1"/>
  <c r="U194" i="1" l="1"/>
  <c r="X138" i="1"/>
  <c r="X122" i="1" l="1"/>
  <c r="Q102" i="1" l="1"/>
  <c r="O186" i="1" l="1"/>
  <c r="J186" i="1"/>
  <c r="H186" i="1"/>
  <c r="L186" i="1"/>
  <c r="K186" i="1" l="1"/>
  <c r="G186" i="1"/>
  <c r="R186" i="1" l="1"/>
  <c r="I60" i="1"/>
  <c r="I71" i="1" s="1"/>
  <c r="X60" i="1" l="1"/>
  <c r="L60" i="1"/>
  <c r="O60" i="1"/>
  <c r="K60" i="1"/>
  <c r="G60" i="1"/>
  <c r="H60" i="1"/>
  <c r="J60" i="1"/>
  <c r="R60" i="1" l="1"/>
  <c r="Z60" i="1" l="1"/>
  <c r="L105" i="1" l="1"/>
  <c r="G105" i="1" l="1"/>
  <c r="O105" i="1"/>
  <c r="H105" i="1"/>
  <c r="K105" i="1"/>
  <c r="J105" i="1"/>
  <c r="L19" i="1"/>
  <c r="R105" i="1" l="1"/>
  <c r="H19" i="1"/>
  <c r="O19" i="1"/>
  <c r="J19" i="1"/>
  <c r="K19" i="1"/>
  <c r="G19" i="1"/>
  <c r="R19" i="1" l="1"/>
  <c r="Z19" i="1" s="1"/>
  <c r="Q15" i="1" l="1"/>
  <c r="Q31" i="1" s="1"/>
  <c r="I134" i="1" l="1"/>
  <c r="I193" i="1" s="1"/>
  <c r="I121" i="1"/>
  <c r="I131" i="1" s="1"/>
  <c r="I194" i="1" l="1"/>
  <c r="Q194" i="1"/>
  <c r="X134" i="1"/>
  <c r="X121" i="1"/>
  <c r="X131" i="1" s="1"/>
  <c r="X40" i="1" l="1"/>
  <c r="Z186" i="1"/>
  <c r="X141" i="1" l="1"/>
  <c r="G40" i="1"/>
  <c r="H40" i="1"/>
  <c r="J40" i="1"/>
  <c r="K40" i="1"/>
  <c r="L40" i="1"/>
  <c r="O40" i="1"/>
  <c r="R40" i="1" l="1"/>
  <c r="Z40" i="1" l="1"/>
  <c r="X64" i="1" l="1"/>
  <c r="X140" i="1"/>
  <c r="O24" i="1" l="1"/>
  <c r="L24" i="1"/>
  <c r="K24" i="1"/>
  <c r="J24" i="1"/>
  <c r="H24" i="1"/>
  <c r="G24" i="1"/>
  <c r="R24" i="1" l="1"/>
  <c r="Z24" i="1" s="1"/>
  <c r="T100" i="1" l="1"/>
  <c r="T102" i="1" s="1"/>
  <c r="X100" i="1" l="1"/>
  <c r="X102" i="1" s="1"/>
  <c r="X107" i="1"/>
  <c r="X14" i="1"/>
  <c r="X31" i="1" s="1"/>
  <c r="L179" i="1"/>
  <c r="X143" i="1" l="1"/>
  <c r="G154" i="1" l="1"/>
  <c r="H154" i="1"/>
  <c r="J154" i="1"/>
  <c r="K154" i="1"/>
  <c r="L154" i="1"/>
  <c r="O154" i="1"/>
  <c r="R154" i="1" l="1"/>
  <c r="G174" i="1" l="1"/>
  <c r="H174" i="1"/>
  <c r="J174" i="1"/>
  <c r="K174" i="1"/>
  <c r="L174" i="1"/>
  <c r="O174" i="1"/>
  <c r="R174" i="1" l="1"/>
  <c r="Z174" i="1" s="1"/>
  <c r="Z154" i="1"/>
  <c r="O68" i="1"/>
  <c r="L68" i="1"/>
  <c r="K68" i="1"/>
  <c r="J68" i="1"/>
  <c r="H68" i="1"/>
  <c r="G68" i="1"/>
  <c r="G155" i="1"/>
  <c r="H155" i="1"/>
  <c r="J155" i="1"/>
  <c r="K155" i="1"/>
  <c r="L155" i="1"/>
  <c r="O155" i="1"/>
  <c r="G145" i="1"/>
  <c r="H145" i="1"/>
  <c r="J145" i="1"/>
  <c r="K145" i="1"/>
  <c r="L145" i="1"/>
  <c r="O145" i="1"/>
  <c r="R155" i="1" l="1"/>
  <c r="R145" i="1"/>
  <c r="R68" i="1"/>
  <c r="O109" i="1"/>
  <c r="L109" i="1"/>
  <c r="K109" i="1"/>
  <c r="J109" i="1"/>
  <c r="H109" i="1"/>
  <c r="G109" i="1"/>
  <c r="O143" i="1"/>
  <c r="L143" i="1"/>
  <c r="K143" i="1"/>
  <c r="J143" i="1"/>
  <c r="H143" i="1"/>
  <c r="G143" i="1"/>
  <c r="Z155" i="1" l="1"/>
  <c r="Z68" i="1"/>
  <c r="R109" i="1"/>
  <c r="Z109" i="1" s="1"/>
  <c r="R143" i="1"/>
  <c r="G153" i="1"/>
  <c r="H153" i="1"/>
  <c r="J153" i="1"/>
  <c r="K153" i="1"/>
  <c r="L153" i="1"/>
  <c r="O153" i="1"/>
  <c r="Z143" i="1" l="1"/>
  <c r="R153" i="1"/>
  <c r="Z153" i="1" s="1"/>
  <c r="G185" i="1" l="1"/>
  <c r="H185" i="1"/>
  <c r="J185" i="1"/>
  <c r="K185" i="1"/>
  <c r="L185" i="1"/>
  <c r="O185" i="1"/>
  <c r="R185" i="1" l="1"/>
  <c r="Z185" i="1" s="1"/>
  <c r="G173" i="1"/>
  <c r="H173" i="1"/>
  <c r="J173" i="1"/>
  <c r="K173" i="1"/>
  <c r="L173" i="1"/>
  <c r="O173" i="1"/>
  <c r="R173" i="1" l="1"/>
  <c r="G152" i="1"/>
  <c r="H152" i="1"/>
  <c r="J152" i="1"/>
  <c r="K152" i="1"/>
  <c r="L152" i="1"/>
  <c r="O152" i="1"/>
  <c r="R152" i="1" l="1"/>
  <c r="Z152" i="1" s="1"/>
  <c r="G64" i="1"/>
  <c r="H64" i="1"/>
  <c r="J64" i="1"/>
  <c r="K64" i="1"/>
  <c r="L64" i="1"/>
  <c r="O64" i="1"/>
  <c r="R64" i="1" l="1"/>
  <c r="Z64" i="1" l="1"/>
  <c r="Z7" i="1" l="1"/>
  <c r="Z173" i="1" l="1"/>
  <c r="T105" i="1" l="1"/>
  <c r="T112" i="1" s="1"/>
  <c r="X105" i="1" l="1"/>
  <c r="X112" i="1" s="1"/>
  <c r="T147" i="1" l="1"/>
  <c r="X147" i="1" s="1"/>
  <c r="T181" i="1" l="1"/>
  <c r="X181" i="1" l="1"/>
  <c r="O179" i="1" l="1"/>
  <c r="K179" i="1"/>
  <c r="J179" i="1"/>
  <c r="H179" i="1"/>
  <c r="G179" i="1"/>
  <c r="R179" i="1" l="1"/>
  <c r="Z179" i="1" s="1"/>
  <c r="L180" i="1" l="1"/>
  <c r="O178" i="1"/>
  <c r="L178" i="1"/>
  <c r="K178" i="1"/>
  <c r="J178" i="1"/>
  <c r="H178" i="1"/>
  <c r="G178" i="1"/>
  <c r="R178" i="1" l="1"/>
  <c r="Z178" i="1" s="1"/>
  <c r="Z105" i="1"/>
  <c r="T87" i="1" l="1"/>
  <c r="X87" i="1" s="1"/>
  <c r="G181" i="1" l="1"/>
  <c r="H181" i="1"/>
  <c r="J181" i="1"/>
  <c r="K181" i="1"/>
  <c r="L181" i="1"/>
  <c r="O181" i="1"/>
  <c r="G149" i="1"/>
  <c r="H149" i="1"/>
  <c r="J149" i="1"/>
  <c r="K149" i="1"/>
  <c r="L149" i="1"/>
  <c r="O149" i="1"/>
  <c r="R149" i="1" l="1"/>
  <c r="Z149" i="1" s="1"/>
  <c r="R181" i="1"/>
  <c r="Z181" i="1" s="1"/>
  <c r="O11" i="1" l="1"/>
  <c r="L11" i="1"/>
  <c r="K11" i="1"/>
  <c r="J11" i="1"/>
  <c r="H11" i="1"/>
  <c r="G11" i="1"/>
  <c r="R11" i="1" l="1"/>
  <c r="G180" i="1"/>
  <c r="H180" i="1"/>
  <c r="J180" i="1"/>
  <c r="K180" i="1"/>
  <c r="O180" i="1"/>
  <c r="G148" i="1"/>
  <c r="H148" i="1"/>
  <c r="J148" i="1"/>
  <c r="K148" i="1"/>
  <c r="L148" i="1"/>
  <c r="O148" i="1"/>
  <c r="Z11" i="1" l="1"/>
  <c r="R180" i="1"/>
  <c r="Z180" i="1" s="1"/>
  <c r="R148" i="1"/>
  <c r="Z148" i="1" s="1"/>
  <c r="G177" i="1" l="1"/>
  <c r="H177" i="1"/>
  <c r="J177" i="1"/>
  <c r="K177" i="1"/>
  <c r="L177" i="1"/>
  <c r="O177" i="1"/>
  <c r="G147" i="1"/>
  <c r="H147" i="1"/>
  <c r="J147" i="1"/>
  <c r="K147" i="1"/>
  <c r="L147" i="1"/>
  <c r="O147" i="1"/>
  <c r="R147" i="1" l="1"/>
  <c r="R177" i="1"/>
  <c r="Z177" i="1" l="1"/>
  <c r="G176" i="1"/>
  <c r="H176" i="1"/>
  <c r="J176" i="1"/>
  <c r="K176" i="1"/>
  <c r="L176" i="1"/>
  <c r="O176" i="1"/>
  <c r="R176" i="1" l="1"/>
  <c r="Z176" i="1" s="1"/>
  <c r="O45" i="1" l="1"/>
  <c r="L45" i="1"/>
  <c r="K45" i="1"/>
  <c r="J45" i="1"/>
  <c r="H45" i="1"/>
  <c r="G45" i="1"/>
  <c r="R45" i="1" l="1"/>
  <c r="Z45" i="1" s="1"/>
  <c r="T65" i="1"/>
  <c r="T71" i="1" s="1"/>
  <c r="T43" i="1"/>
  <c r="X43" i="1" l="1"/>
  <c r="T52" i="1"/>
  <c r="X65" i="1"/>
  <c r="X71" i="1" s="1"/>
  <c r="Z145" i="1"/>
  <c r="X52" i="1" l="1"/>
  <c r="G136" i="1"/>
  <c r="H136" i="1"/>
  <c r="J136" i="1"/>
  <c r="K136" i="1"/>
  <c r="L136" i="1"/>
  <c r="O136" i="1"/>
  <c r="R136" i="1" l="1"/>
  <c r="Z136" i="1" l="1"/>
  <c r="L141" i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O175" i="1"/>
  <c r="L175" i="1"/>
  <c r="K175" i="1"/>
  <c r="J175" i="1"/>
  <c r="H175" i="1"/>
  <c r="G175" i="1"/>
  <c r="O172" i="1"/>
  <c r="L172" i="1"/>
  <c r="K172" i="1"/>
  <c r="J172" i="1"/>
  <c r="H172" i="1"/>
  <c r="G172" i="1"/>
  <c r="O171" i="1"/>
  <c r="L171" i="1"/>
  <c r="K171" i="1"/>
  <c r="J171" i="1"/>
  <c r="H171" i="1"/>
  <c r="G171" i="1"/>
  <c r="O170" i="1"/>
  <c r="L170" i="1"/>
  <c r="K170" i="1"/>
  <c r="J170" i="1"/>
  <c r="H170" i="1"/>
  <c r="G170" i="1"/>
  <c r="O169" i="1"/>
  <c r="K169" i="1"/>
  <c r="J169" i="1"/>
  <c r="H169" i="1"/>
  <c r="G169" i="1"/>
  <c r="O168" i="1"/>
  <c r="L168" i="1"/>
  <c r="K168" i="1"/>
  <c r="J168" i="1"/>
  <c r="H168" i="1"/>
  <c r="G168" i="1"/>
  <c r="O167" i="1"/>
  <c r="L167" i="1"/>
  <c r="K167" i="1"/>
  <c r="J167" i="1"/>
  <c r="H167" i="1"/>
  <c r="G167" i="1"/>
  <c r="O166" i="1"/>
  <c r="L166" i="1"/>
  <c r="K166" i="1"/>
  <c r="J166" i="1"/>
  <c r="H166" i="1"/>
  <c r="G166" i="1"/>
  <c r="O165" i="1"/>
  <c r="L165" i="1"/>
  <c r="K165" i="1"/>
  <c r="J165" i="1"/>
  <c r="H165" i="1"/>
  <c r="G165" i="1"/>
  <c r="O164" i="1"/>
  <c r="L164" i="1"/>
  <c r="K164" i="1"/>
  <c r="J164" i="1"/>
  <c r="H164" i="1"/>
  <c r="G164" i="1"/>
  <c r="O163" i="1"/>
  <c r="L163" i="1"/>
  <c r="K163" i="1"/>
  <c r="J163" i="1"/>
  <c r="H163" i="1"/>
  <c r="G163" i="1"/>
  <c r="O162" i="1"/>
  <c r="L162" i="1"/>
  <c r="K162" i="1"/>
  <c r="J162" i="1"/>
  <c r="H162" i="1"/>
  <c r="G162" i="1"/>
  <c r="O142" i="1"/>
  <c r="L142" i="1"/>
  <c r="K142" i="1"/>
  <c r="J142" i="1"/>
  <c r="H142" i="1"/>
  <c r="G142" i="1"/>
  <c r="T144" i="1"/>
  <c r="T193" i="1" s="1"/>
  <c r="O144" i="1"/>
  <c r="L144" i="1"/>
  <c r="K144" i="1"/>
  <c r="J144" i="1"/>
  <c r="H144" i="1"/>
  <c r="G144" i="1"/>
  <c r="O99" i="1"/>
  <c r="L99" i="1"/>
  <c r="K99" i="1"/>
  <c r="J99" i="1"/>
  <c r="H99" i="1"/>
  <c r="G99" i="1"/>
  <c r="O138" i="1"/>
  <c r="L138" i="1"/>
  <c r="K138" i="1"/>
  <c r="J138" i="1"/>
  <c r="H138" i="1"/>
  <c r="G138" i="1"/>
  <c r="O137" i="1"/>
  <c r="L137" i="1"/>
  <c r="K137" i="1"/>
  <c r="J137" i="1"/>
  <c r="H137" i="1"/>
  <c r="G137" i="1"/>
  <c r="O127" i="1"/>
  <c r="L127" i="1"/>
  <c r="K127" i="1"/>
  <c r="J127" i="1"/>
  <c r="H127" i="1"/>
  <c r="G127" i="1"/>
  <c r="O126" i="1"/>
  <c r="L126" i="1"/>
  <c r="K126" i="1"/>
  <c r="J126" i="1"/>
  <c r="H126" i="1"/>
  <c r="G126" i="1"/>
  <c r="O125" i="1"/>
  <c r="L125" i="1"/>
  <c r="E9" i="11" s="1"/>
  <c r="D9" i="11" s="1"/>
  <c r="K125" i="1"/>
  <c r="J125" i="1"/>
  <c r="E7" i="11" s="1"/>
  <c r="D7" i="11" s="1"/>
  <c r="H125" i="1"/>
  <c r="G125" i="1"/>
  <c r="O140" i="1"/>
  <c r="L140" i="1"/>
  <c r="K140" i="1"/>
  <c r="J140" i="1"/>
  <c r="H140" i="1"/>
  <c r="G140" i="1"/>
  <c r="O122" i="1"/>
  <c r="L122" i="1"/>
  <c r="K122" i="1"/>
  <c r="J122" i="1"/>
  <c r="H122" i="1"/>
  <c r="G122" i="1"/>
  <c r="O134" i="1"/>
  <c r="L134" i="1"/>
  <c r="K134" i="1"/>
  <c r="J134" i="1"/>
  <c r="H134" i="1"/>
  <c r="G134" i="1"/>
  <c r="O121" i="1"/>
  <c r="L121" i="1"/>
  <c r="K121" i="1"/>
  <c r="J121" i="1"/>
  <c r="H121" i="1"/>
  <c r="G121" i="1"/>
  <c r="O77" i="1"/>
  <c r="L77" i="1"/>
  <c r="K77" i="1"/>
  <c r="J77" i="1"/>
  <c r="H77" i="1"/>
  <c r="G77" i="1"/>
  <c r="O88" i="1"/>
  <c r="L88" i="1"/>
  <c r="K88" i="1"/>
  <c r="J88" i="1"/>
  <c r="H88" i="1"/>
  <c r="G88" i="1"/>
  <c r="O141" i="1"/>
  <c r="K141" i="1"/>
  <c r="J141" i="1"/>
  <c r="H141" i="1"/>
  <c r="G141" i="1"/>
  <c r="O65" i="1"/>
  <c r="L65" i="1"/>
  <c r="K65" i="1"/>
  <c r="J65" i="1"/>
  <c r="H65" i="1"/>
  <c r="G65" i="1"/>
  <c r="O108" i="1"/>
  <c r="L108" i="1"/>
  <c r="K108" i="1"/>
  <c r="J108" i="1"/>
  <c r="H108" i="1"/>
  <c r="G108" i="1"/>
  <c r="O87" i="1"/>
  <c r="L87" i="1"/>
  <c r="K87" i="1"/>
  <c r="J87" i="1"/>
  <c r="H87" i="1"/>
  <c r="G87" i="1"/>
  <c r="O14" i="1"/>
  <c r="L14" i="1"/>
  <c r="K14" i="1"/>
  <c r="J14" i="1"/>
  <c r="H14" i="1"/>
  <c r="G14" i="1"/>
  <c r="T86" i="1"/>
  <c r="O86" i="1"/>
  <c r="L86" i="1"/>
  <c r="K86" i="1"/>
  <c r="J86" i="1"/>
  <c r="H86" i="1"/>
  <c r="G86" i="1"/>
  <c r="O107" i="1"/>
  <c r="L107" i="1"/>
  <c r="K107" i="1"/>
  <c r="J107" i="1"/>
  <c r="H107" i="1"/>
  <c r="G107" i="1"/>
  <c r="O84" i="1"/>
  <c r="L84" i="1"/>
  <c r="K84" i="1"/>
  <c r="J84" i="1"/>
  <c r="H84" i="1"/>
  <c r="G84" i="1"/>
  <c r="O43" i="1"/>
  <c r="L43" i="1"/>
  <c r="K43" i="1"/>
  <c r="J43" i="1"/>
  <c r="H43" i="1"/>
  <c r="G43" i="1"/>
  <c r="O85" i="1"/>
  <c r="L85" i="1"/>
  <c r="K85" i="1"/>
  <c r="J85" i="1"/>
  <c r="H85" i="1"/>
  <c r="G85" i="1"/>
  <c r="O106" i="1"/>
  <c r="L106" i="1"/>
  <c r="K106" i="1"/>
  <c r="J106" i="1"/>
  <c r="H106" i="1"/>
  <c r="G106" i="1"/>
  <c r="E8" i="7"/>
  <c r="D8" i="7" s="1"/>
  <c r="O74" i="1"/>
  <c r="L74" i="1"/>
  <c r="K74" i="1"/>
  <c r="K81" i="1" s="1"/>
  <c r="J74" i="1"/>
  <c r="J81" i="1" s="1"/>
  <c r="H74" i="1"/>
  <c r="G74" i="1"/>
  <c r="O62" i="1"/>
  <c r="O71" i="1" s="1"/>
  <c r="L62" i="1"/>
  <c r="L71" i="1" s="1"/>
  <c r="K62" i="1"/>
  <c r="K71" i="1" s="1"/>
  <c r="J62" i="1"/>
  <c r="J71" i="1" s="1"/>
  <c r="H62" i="1"/>
  <c r="H71" i="1" s="1"/>
  <c r="G62" i="1"/>
  <c r="O10" i="1"/>
  <c r="L10" i="1"/>
  <c r="K10" i="1"/>
  <c r="J10" i="1"/>
  <c r="H10" i="1"/>
  <c r="G10" i="1"/>
  <c r="O46" i="1"/>
  <c r="L46" i="1"/>
  <c r="K46" i="1"/>
  <c r="J46" i="1"/>
  <c r="H46" i="1"/>
  <c r="G46" i="1"/>
  <c r="O57" i="1"/>
  <c r="L57" i="1"/>
  <c r="K57" i="1"/>
  <c r="J57" i="1"/>
  <c r="H57" i="1"/>
  <c r="G57" i="1"/>
  <c r="O47" i="1"/>
  <c r="L47" i="1"/>
  <c r="K47" i="1"/>
  <c r="J47" i="1"/>
  <c r="H47" i="1"/>
  <c r="G47" i="1"/>
  <c r="O44" i="1"/>
  <c r="L44" i="1"/>
  <c r="K44" i="1"/>
  <c r="J44" i="1"/>
  <c r="H44" i="1"/>
  <c r="G44" i="1"/>
  <c r="O42" i="1"/>
  <c r="L42" i="1"/>
  <c r="K42" i="1"/>
  <c r="J42" i="1"/>
  <c r="H42" i="1"/>
  <c r="G42" i="1"/>
  <c r="O117" i="1"/>
  <c r="O118" i="1" s="1"/>
  <c r="L117" i="1"/>
  <c r="L118" i="1" s="1"/>
  <c r="K117" i="1"/>
  <c r="K118" i="1" s="1"/>
  <c r="J117" i="1"/>
  <c r="J118" i="1" s="1"/>
  <c r="H117" i="1"/>
  <c r="H118" i="1" s="1"/>
  <c r="G117" i="1"/>
  <c r="G118" i="1" s="1"/>
  <c r="O15" i="1"/>
  <c r="L15" i="1"/>
  <c r="K15" i="1"/>
  <c r="J15" i="1"/>
  <c r="H15" i="1"/>
  <c r="G15" i="1"/>
  <c r="O98" i="1"/>
  <c r="L98" i="1"/>
  <c r="K98" i="1"/>
  <c r="J98" i="1"/>
  <c r="H98" i="1"/>
  <c r="G98" i="1"/>
  <c r="E12" i="5"/>
  <c r="D12" i="5" s="1"/>
  <c r="E10" i="5"/>
  <c r="D10" i="5" s="1"/>
  <c r="E9" i="5"/>
  <c r="D9" i="5" s="1"/>
  <c r="E8" i="5"/>
  <c r="D8" i="5" s="1"/>
  <c r="E6" i="5"/>
  <c r="D6" i="5" s="1"/>
  <c r="G71" i="1" l="1"/>
  <c r="R10" i="1"/>
  <c r="Z10" i="1" s="1"/>
  <c r="R15" i="1"/>
  <c r="Z15" i="1" s="1"/>
  <c r="R98" i="1"/>
  <c r="O81" i="1"/>
  <c r="H81" i="1"/>
  <c r="J193" i="1"/>
  <c r="R85" i="1"/>
  <c r="Z85" i="1" s="1"/>
  <c r="R77" i="1"/>
  <c r="Z77" i="1" s="1"/>
  <c r="L81" i="1"/>
  <c r="L193" i="1"/>
  <c r="O193" i="1"/>
  <c r="G193" i="1"/>
  <c r="K193" i="1"/>
  <c r="G81" i="1"/>
  <c r="H193" i="1"/>
  <c r="R47" i="1"/>
  <c r="Z47" i="1" s="1"/>
  <c r="R169" i="1"/>
  <c r="Z169" i="1" s="1"/>
  <c r="L52" i="1"/>
  <c r="O95" i="1"/>
  <c r="K52" i="1"/>
  <c r="R43" i="1"/>
  <c r="Z43" i="1" s="1"/>
  <c r="L95" i="1"/>
  <c r="R86" i="1"/>
  <c r="G95" i="1"/>
  <c r="R46" i="1"/>
  <c r="Z46" i="1" s="1"/>
  <c r="H95" i="1"/>
  <c r="H52" i="1"/>
  <c r="J95" i="1"/>
  <c r="T95" i="1"/>
  <c r="X86" i="1"/>
  <c r="J52" i="1"/>
  <c r="O52" i="1"/>
  <c r="R88" i="1"/>
  <c r="Z88" i="1" s="1"/>
  <c r="G52" i="1"/>
  <c r="R44" i="1"/>
  <c r="R87" i="1"/>
  <c r="Z87" i="1" s="1"/>
  <c r="K95" i="1"/>
  <c r="L112" i="1"/>
  <c r="H112" i="1"/>
  <c r="J112" i="1"/>
  <c r="O112" i="1"/>
  <c r="G112" i="1"/>
  <c r="K112" i="1"/>
  <c r="R175" i="1"/>
  <c r="Z175" i="1" s="1"/>
  <c r="X144" i="1"/>
  <c r="X193" i="1" s="1"/>
  <c r="R117" i="1"/>
  <c r="E12" i="7"/>
  <c r="D12" i="7" s="1"/>
  <c r="E9" i="7"/>
  <c r="D9" i="7" s="1"/>
  <c r="E10" i="7"/>
  <c r="D10" i="7" s="1"/>
  <c r="E6" i="7"/>
  <c r="D6" i="7" s="1"/>
  <c r="Z147" i="1"/>
  <c r="E8" i="6"/>
  <c r="D8" i="6" s="1"/>
  <c r="E12" i="6"/>
  <c r="D12" i="6" s="1"/>
  <c r="E9" i="6"/>
  <c r="D9" i="6" s="1"/>
  <c r="E6" i="6"/>
  <c r="D6" i="6" s="1"/>
  <c r="R4" i="12"/>
  <c r="R7" i="12"/>
  <c r="R8" i="12"/>
  <c r="R142" i="1"/>
  <c r="Z142" i="1" s="1"/>
  <c r="R163" i="1"/>
  <c r="Z163" i="1" s="1"/>
  <c r="R106" i="1"/>
  <c r="R167" i="1"/>
  <c r="Z167" i="1" s="1"/>
  <c r="R62" i="1"/>
  <c r="R65" i="1"/>
  <c r="Z65" i="1" s="1"/>
  <c r="R121" i="1"/>
  <c r="R141" i="1"/>
  <c r="Z141" i="1" s="1"/>
  <c r="R107" i="1"/>
  <c r="R122" i="1"/>
  <c r="R126" i="1"/>
  <c r="Z126" i="1" s="1"/>
  <c r="R137" i="1"/>
  <c r="R138" i="1"/>
  <c r="Z138" i="1" s="1"/>
  <c r="R144" i="1"/>
  <c r="R170" i="1"/>
  <c r="Z170" i="1" s="1"/>
  <c r="R172" i="1"/>
  <c r="Z172" i="1" s="1"/>
  <c r="R14" i="1"/>
  <c r="R108" i="1"/>
  <c r="Z108" i="1" s="1"/>
  <c r="R162" i="1"/>
  <c r="Z162" i="1" s="1"/>
  <c r="R166" i="1"/>
  <c r="R168" i="1"/>
  <c r="Z168" i="1" s="1"/>
  <c r="R140" i="1"/>
  <c r="Z140" i="1" s="1"/>
  <c r="R84" i="1"/>
  <c r="R134" i="1"/>
  <c r="R125" i="1"/>
  <c r="Z125" i="1" s="1"/>
  <c r="R127" i="1"/>
  <c r="R99" i="1"/>
  <c r="Z99" i="1" s="1"/>
  <c r="R164" i="1"/>
  <c r="Z164" i="1" s="1"/>
  <c r="R165" i="1"/>
  <c r="R171" i="1"/>
  <c r="Z171" i="1" s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D5" i="9"/>
  <c r="E6" i="13"/>
  <c r="D6" i="13" s="1"/>
  <c r="R74" i="1"/>
  <c r="R57" i="1"/>
  <c r="C14" i="23"/>
  <c r="E10" i="6"/>
  <c r="D10" i="6" s="1"/>
  <c r="E12" i="11"/>
  <c r="D12" i="11" s="1"/>
  <c r="D4" i="5"/>
  <c r="R71" i="1" l="1"/>
  <c r="Z98" i="1"/>
  <c r="T194" i="1"/>
  <c r="X95" i="1"/>
  <c r="X194" i="1" s="1"/>
  <c r="Z127" i="1"/>
  <c r="S18" i="131"/>
  <c r="R81" i="1"/>
  <c r="Z86" i="1"/>
  <c r="R95" i="1"/>
  <c r="Z44" i="1"/>
  <c r="Z117" i="1"/>
  <c r="Z118" i="1" s="1"/>
  <c r="H50" i="68" s="1"/>
  <c r="R118" i="1"/>
  <c r="R112" i="1"/>
  <c r="Z135" i="1"/>
  <c r="Z137" i="1"/>
  <c r="Z166" i="1"/>
  <c r="Z14" i="1"/>
  <c r="E14" i="7"/>
  <c r="D14" i="7" s="1"/>
  <c r="Z62" i="1"/>
  <c r="Z71" i="1" s="1"/>
  <c r="Z134" i="1"/>
  <c r="Z107" i="1"/>
  <c r="Z84" i="1"/>
  <c r="Z106" i="1"/>
  <c r="Z121" i="1"/>
  <c r="Z144" i="1"/>
  <c r="Z165" i="1"/>
  <c r="Z122" i="1"/>
  <c r="E14" i="4"/>
  <c r="D14" i="4" s="1"/>
  <c r="D5" i="7"/>
  <c r="D14" i="5"/>
  <c r="E14" i="5"/>
  <c r="L13" i="1"/>
  <c r="L31" i="1" s="1"/>
  <c r="E14" i="13"/>
  <c r="D14" i="13" s="1"/>
  <c r="K13" i="1"/>
  <c r="K31" i="1" s="1"/>
  <c r="E13" i="8"/>
  <c r="D13" i="8" s="1"/>
  <c r="G13" i="1"/>
  <c r="G31" i="1" s="1"/>
  <c r="O13" i="1"/>
  <c r="O31" i="1" s="1"/>
  <c r="J13" i="1"/>
  <c r="J31" i="1" s="1"/>
  <c r="H13" i="1"/>
  <c r="H31" i="1" s="1"/>
  <c r="L123" i="1"/>
  <c r="L131" i="1" s="1"/>
  <c r="Z74" i="1"/>
  <c r="Z81" i="1" s="1"/>
  <c r="Z57" i="1"/>
  <c r="E14" i="6"/>
  <c r="D14" i="6" s="1"/>
  <c r="R13" i="1" l="1"/>
  <c r="R31" i="1" s="1"/>
  <c r="Z95" i="1"/>
  <c r="Z112" i="1"/>
  <c r="H44" i="68"/>
  <c r="H42" i="68"/>
  <c r="J123" i="1"/>
  <c r="J131" i="1" s="1"/>
  <c r="O123" i="1"/>
  <c r="O131" i="1" s="1"/>
  <c r="K123" i="1"/>
  <c r="K131" i="1" s="1"/>
  <c r="G123" i="1"/>
  <c r="G131" i="1" s="1"/>
  <c r="H123" i="1"/>
  <c r="H131" i="1" s="1"/>
  <c r="Z13" i="1" l="1"/>
  <c r="Z31" i="1" s="1"/>
  <c r="H49" i="68"/>
  <c r="H46" i="68"/>
  <c r="H47" i="68"/>
  <c r="R123" i="1"/>
  <c r="R131" i="1" s="1"/>
  <c r="Z123" i="1" l="1"/>
  <c r="Z131" i="1" s="1"/>
  <c r="H51" i="68" l="1"/>
  <c r="J100" i="1" l="1"/>
  <c r="J102" i="1" s="1"/>
  <c r="L100" i="1"/>
  <c r="L102" i="1" s="1"/>
  <c r="K100" i="1"/>
  <c r="K102" i="1" s="1"/>
  <c r="O100" i="1"/>
  <c r="O102" i="1" s="1"/>
  <c r="G100" i="1"/>
  <c r="H100" i="1"/>
  <c r="H102" i="1" s="1"/>
  <c r="G102" i="1" l="1"/>
  <c r="G194" i="1" s="1"/>
  <c r="H194" i="1"/>
  <c r="O194" i="1"/>
  <c r="K194" i="1"/>
  <c r="L194" i="1"/>
  <c r="J194" i="1"/>
  <c r="R100" i="1"/>
  <c r="R102" i="1" s="1"/>
  <c r="Z100" i="1" l="1"/>
  <c r="R150" i="1"/>
  <c r="R193" i="1" s="1"/>
  <c r="Z102" i="1" l="1"/>
  <c r="H48" i="68" s="1"/>
  <c r="Z150" i="1"/>
  <c r="Z193" i="1" s="1"/>
  <c r="H52" i="68" l="1"/>
  <c r="H45" i="68" l="1"/>
  <c r="E194" i="1"/>
  <c r="G23" i="68"/>
  <c r="G25" i="68"/>
  <c r="H41" i="68"/>
  <c r="G26" i="68"/>
  <c r="G24" i="68"/>
  <c r="H27" i="68" l="1"/>
  <c r="Z11" i="131" l="1"/>
  <c r="AB11" i="131" l="1"/>
  <c r="F42" i="1" s="1"/>
  <c r="Z13" i="131"/>
  <c r="F52" i="1" l="1"/>
  <c r="F194" i="1" s="1"/>
  <c r="R42" i="1"/>
  <c r="AB13" i="131"/>
  <c r="X12" i="132"/>
  <c r="X14" i="132" s="1"/>
  <c r="V12" i="132"/>
  <c r="V14" i="132" s="1"/>
  <c r="Q12" i="132"/>
  <c r="Q14" i="132" s="1"/>
  <c r="T8" i="131"/>
  <c r="T27" i="131" s="1"/>
  <c r="Z7" i="131"/>
  <c r="Z8" i="131" s="1"/>
  <c r="Z27" i="131" s="1"/>
  <c r="Z42" i="1" l="1"/>
  <c r="Z52" i="1" s="1"/>
  <c r="R52" i="1"/>
  <c r="R194" i="1" s="1"/>
  <c r="H20" i="68" s="1"/>
  <c r="H28" i="68" s="1"/>
  <c r="H30" i="68" s="1"/>
  <c r="AB7" i="131"/>
  <c r="AB8" i="131" s="1"/>
  <c r="AB27" i="131" s="1"/>
  <c r="H43" i="68" l="1"/>
  <c r="H53" i="68" s="1"/>
  <c r="Z194" i="1"/>
  <c r="Q27" i="131"/>
  <c r="Q13" i="131"/>
  <c r="Q11" i="131"/>
  <c r="Q18" i="131"/>
  <c r="Q12" i="131"/>
  <c r="Q7" i="131"/>
</calcChain>
</file>

<file path=xl/sharedStrings.xml><?xml version="1.0" encoding="utf-8"?>
<sst xmlns="http://schemas.openxmlformats.org/spreadsheetml/2006/main" count="7881" uniqueCount="762">
  <si>
    <t>NATIONAL INSTITUTE FOR LEGISLATIVE AND DEMOCRATIC STUDIES</t>
  </si>
  <si>
    <t>STAFF PAYROLL FOR THE MONTH OF DECEMBER 2023</t>
  </si>
  <si>
    <t>STAFF NAME</t>
  </si>
  <si>
    <t>DESIGNATION</t>
  </si>
  <si>
    <t>GRADE LEVEL</t>
  </si>
  <si>
    <t>BASIC SALARY</t>
  </si>
  <si>
    <t>ALLCE/ AREARS</t>
  </si>
  <si>
    <t>RENT</t>
  </si>
  <si>
    <t>UTILITY</t>
  </si>
  <si>
    <t>DOMESTIC</t>
  </si>
  <si>
    <t>ENTERT.</t>
  </si>
  <si>
    <t>FURNIT.</t>
  </si>
  <si>
    <t>FUEL</t>
  </si>
  <si>
    <t>ALLOWANCE</t>
  </si>
  <si>
    <t>ALLCE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</si>
  <si>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</si>
  <si>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</si>
  <si>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</si>
  <si>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</si>
  <si>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</si>
  <si>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</si>
  <si>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</si>
  <si>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TOTAL DEDUCTION</t>
  </si>
  <si>
    <t>NOVEMBER, 2023</t>
  </si>
  <si>
    <t>DECEMBER, 2023</t>
  </si>
  <si>
    <t>N</t>
  </si>
  <si>
    <t>S/N</t>
  </si>
  <si>
    <t>DG'S OFFICE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</si>
  <si>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</si>
  <si>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</si>
  <si>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</si>
  <si>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</si>
  <si>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</si>
  <si>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</si>
  <si>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</si>
  <si>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</si>
  <si>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16(8)</t>
  </si>
  <si>
    <t>DR IKEME ARTHUR J.O</t>
  </si>
  <si>
    <t>DEPUTY DIRECTOR, M&amp;E</t>
  </si>
  <si>
    <t>MOSHOOD M. OLALERE</t>
  </si>
  <si>
    <t>DEPUTY DIR. GENERAL SERVICE</t>
  </si>
  <si>
    <t>REKIYA IBRAHIM ATTAH</t>
  </si>
  <si>
    <t>DEPUTY DIRECTOR TRAINING</t>
  </si>
  <si>
    <t>ANDRAWUS MUSA</t>
  </si>
  <si>
    <t>ASST. DIRECTOR, STORES</t>
  </si>
  <si>
    <t>15(9)</t>
  </si>
  <si>
    <t>DR FRANCIS NDUM OJIE</t>
  </si>
  <si>
    <t>AD, TRAINING &amp; IC./SA TO DG</t>
  </si>
  <si>
    <t>15(7)</t>
  </si>
  <si>
    <t>ALI ABDULLAHI</t>
  </si>
  <si>
    <t>CHIEF ICT OFFICER</t>
  </si>
  <si>
    <t>14(10)</t>
  </si>
  <si>
    <t>EMILY EKHIDE</t>
  </si>
  <si>
    <t>RESEARCH FELLOW 1</t>
  </si>
  <si>
    <t>14(9)</t>
  </si>
  <si>
    <t>ABDULSALAM S. MUSTAPHA</t>
  </si>
  <si>
    <t>ASST. MANAGER ICT</t>
  </si>
  <si>
    <t>13(11)</t>
  </si>
  <si>
    <t>PERCY TERFA GBAHABO</t>
  </si>
  <si>
    <t>HEAD, NILDS LIAISON OFFICE</t>
  </si>
  <si>
    <t>13(9)</t>
  </si>
  <si>
    <t>HASSANA AHMED IBRAHIM</t>
  </si>
  <si>
    <t>PA- TO DG</t>
  </si>
  <si>
    <t>13 (8)</t>
  </si>
  <si>
    <t>ADUGBA RICHARD TERSEER</t>
  </si>
  <si>
    <t>PRINCIPAL INFO. OFFICER</t>
  </si>
  <si>
    <t>12(8)</t>
  </si>
  <si>
    <t>LUCKY AGWOM</t>
  </si>
  <si>
    <t>RESEARCH ASSISTANT</t>
  </si>
  <si>
    <t>12(7)</t>
  </si>
  <si>
    <t>FARUQ ATOFARATI</t>
  </si>
  <si>
    <t>PA (SPECIAL DUTIES) TO DG</t>
  </si>
  <si>
    <t>10(7)</t>
  </si>
  <si>
    <t>ELIZABETH OGECHUKWU ONYEAKU</t>
  </si>
  <si>
    <t>ICT OFFICER</t>
  </si>
  <si>
    <t>9(8)</t>
  </si>
  <si>
    <t>VICTOR ASUKWO</t>
  </si>
  <si>
    <t>ABDULRAHMAN A SULAIMAN</t>
  </si>
  <si>
    <t>STORE OFFICER</t>
  </si>
  <si>
    <t>9(7)</t>
  </si>
  <si>
    <t>DARE SHEU MAGBON</t>
  </si>
  <si>
    <t>ADMINISTRATION OFFICER</t>
  </si>
  <si>
    <t>JIMOH ADEBAYO ZAKA</t>
  </si>
  <si>
    <t>ASST. OFFICER/COMM</t>
  </si>
  <si>
    <t>MOHAMMED BELLO</t>
  </si>
  <si>
    <t xml:space="preserve">PROTOCOL ASSISTANT </t>
  </si>
  <si>
    <t>8(8)</t>
  </si>
  <si>
    <t>SULEIMAN ABUBAKAR SODEEQ</t>
  </si>
  <si>
    <t>ASST. ADMIN. OFFICER</t>
  </si>
  <si>
    <t>HARUNA JIBRIL AMEH</t>
  </si>
  <si>
    <t>8(7)</t>
  </si>
  <si>
    <t>TOTAL</t>
  </si>
  <si>
    <t>INTERNAL AUDIT</t>
  </si>
  <si>
    <t>OSANAIYE DAVID AKINYEMI</t>
  </si>
  <si>
    <t>DIRECTOR INTERNAL AUDIT</t>
  </si>
  <si>
    <t>17(9)</t>
  </si>
  <si>
    <t>JAMILA ABDUL</t>
  </si>
  <si>
    <t>AUDITOR II</t>
  </si>
  <si>
    <t>IJEOMA EWELUKWA</t>
  </si>
  <si>
    <t>AUDIT OFFICER</t>
  </si>
  <si>
    <t>LEG. SUPPORT SEVICES</t>
  </si>
  <si>
    <t>PROF. EDOBA BRIGHT OMOREGBE</t>
  </si>
  <si>
    <t>AG. DLSS</t>
  </si>
  <si>
    <t>DR CLINTON JAJA</t>
  </si>
  <si>
    <t xml:space="preserve">SENIOR RESEARCH FELLOW </t>
  </si>
  <si>
    <t>BETHEL UZOMA IHUGBA</t>
  </si>
  <si>
    <t>DEPUTY DIRECTOR, LEGAL RESEARCH</t>
  </si>
  <si>
    <t>16(7)</t>
  </si>
  <si>
    <t>OGUCHE SAMUEL</t>
  </si>
  <si>
    <t xml:space="preserve">SNR RESEARCH FELLOW </t>
  </si>
  <si>
    <t>IBRAHIM USMAN</t>
  </si>
  <si>
    <t>15(8)</t>
  </si>
  <si>
    <t>DR MOHAMMED O. AMALI</t>
  </si>
  <si>
    <t>YAHAYA SHAMSU</t>
  </si>
  <si>
    <t>DORIS DAKDA AARON</t>
  </si>
  <si>
    <t>RESEARCH FELLOW I</t>
  </si>
  <si>
    <t>14(8)</t>
  </si>
  <si>
    <t>BILKIS S. LAWAL-GAMBARI</t>
  </si>
  <si>
    <t>RESEARCH OFFICER</t>
  </si>
  <si>
    <t>ZAINAB AKINDE</t>
  </si>
  <si>
    <t>ABDULLAHI AHMAD USMAN</t>
  </si>
  <si>
    <t>GUNAT NANSAK MARK</t>
  </si>
  <si>
    <t>LEGAL SERVICES</t>
  </si>
  <si>
    <t>DR SHUIBU DANWANKA</t>
  </si>
  <si>
    <t>DIRECTOR LEGAL SERVICES</t>
  </si>
  <si>
    <t>ABDULSALAM BAKO</t>
  </si>
  <si>
    <t>MANAGER, LEGAL SERVICES</t>
  </si>
  <si>
    <t>15 (8)</t>
  </si>
  <si>
    <t>DEMOCRACY  &amp; GOVERNANCE</t>
  </si>
  <si>
    <t>DR. ADEWALE ADEREMI</t>
  </si>
  <si>
    <t>DIRECTOR, DEMOCRATIC STUDIES</t>
  </si>
  <si>
    <t>NDANUSA MOHAMMED MANZUMA</t>
  </si>
  <si>
    <t>SNR RESEARCH FELLOW</t>
  </si>
  <si>
    <t>15 (7)</t>
  </si>
  <si>
    <t>EJALONIBU GANIYU LAYI</t>
  </si>
  <si>
    <t>LOHNA BONKAT JONATHAN</t>
  </si>
  <si>
    <t>RESEARCH FELLOW 11</t>
  </si>
  <si>
    <t>YUNUSA ABDULLAHI</t>
  </si>
  <si>
    <t>UDEFUNA NNADOZIE PATRICK</t>
  </si>
  <si>
    <t>SHAFIU YAHYA MIKAIL</t>
  </si>
  <si>
    <t>PRINCIPAL RESEARCH OFFICER</t>
  </si>
  <si>
    <t>HASSAN YERIMA</t>
  </si>
  <si>
    <t>HAUWA PATE SADIQ</t>
  </si>
  <si>
    <t>PRINCIPAL PROGRAMME OFFICER</t>
  </si>
  <si>
    <t>KOLAPO Q. ABAYOMI</t>
  </si>
  <si>
    <t>NNANDI LIVINUS ATURE</t>
  </si>
  <si>
    <t>DEPARTMENT OF STUDIES</t>
  </si>
  <si>
    <t>DR ASIMIYU G. ABIOLA</t>
  </si>
  <si>
    <t>DIRECTOR POST GRADUATE</t>
  </si>
  <si>
    <t>USMAN WALI</t>
  </si>
  <si>
    <t>SENIOR RESEARCH FELLOW</t>
  </si>
  <si>
    <t>AYOBOLU OLAJIDE OLUFUNSHO</t>
  </si>
  <si>
    <t>ASST.DIR., INFORMATION</t>
  </si>
  <si>
    <t>ANTHONY EDET</t>
  </si>
  <si>
    <t>CHIEF PROGRAMMES OFFICER</t>
  </si>
  <si>
    <t>IGWE STACY</t>
  </si>
  <si>
    <t>PROGRAMME OFFICER</t>
  </si>
  <si>
    <t>10(8)</t>
  </si>
  <si>
    <t>OLANIYAN TAIWO ABINBOLA</t>
  </si>
  <si>
    <t>AMINAT JUMOKE SULAIMON</t>
  </si>
  <si>
    <t>AST. PROGRAMME OFFICER</t>
  </si>
  <si>
    <t>ECON. DEV. &amp; SOC. RESEARCH</t>
  </si>
  <si>
    <t>TERFA WILLIAMS ABRAHAM</t>
  </si>
  <si>
    <t>DR AUGUSTINE C. OSIGWE</t>
  </si>
  <si>
    <t>NGARA CHRISTOPHER OCHANJA</t>
  </si>
  <si>
    <t>OMOJU OLUWASOLA EMMANUEL</t>
  </si>
  <si>
    <t>IBE EZECHI CYRIACUS</t>
  </si>
  <si>
    <t>RESEARCH FELLOW II</t>
  </si>
  <si>
    <t>13(10)</t>
  </si>
  <si>
    <t>OSIKHEN LEO IGBANOI</t>
  </si>
  <si>
    <t>OKUNGBOWA OSARETIN GODSPOWER</t>
  </si>
  <si>
    <t>14(7)</t>
  </si>
  <si>
    <t>YUSUF IBRAHIM</t>
  </si>
  <si>
    <t>MUSTAPHA RAFIU AYOBANJI</t>
  </si>
  <si>
    <t>MARYAM MUSA SADA</t>
  </si>
  <si>
    <t>ASSIT. RESEARCH OFFICER</t>
  </si>
  <si>
    <t>CHARITY EZENWAJIOBI</t>
  </si>
  <si>
    <t>REASEARCH. ASST.</t>
  </si>
  <si>
    <t>TRAINING  &amp;  INT''L COOP</t>
  </si>
  <si>
    <t>AKINSANMI ADEJOKE OLUKEMI</t>
  </si>
  <si>
    <t>Ag. DIR. TRAINING &amp; IC</t>
  </si>
  <si>
    <t>MOHAMMED R. ADAMU</t>
  </si>
  <si>
    <t>CHIEF TRAINING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</si>
  <si>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</si>
  <si>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</si>
  <si>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</si>
  <si>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</si>
  <si>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</si>
  <si>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</si>
  <si>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</si>
  <si>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</si>
  <si>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</si>
  <si>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</si>
  <si>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</si>
  <si>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</si>
  <si>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</si>
  <si>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</si>
  <si>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8(11)</t>
  </si>
  <si>
    <t>TITILAYO DANIEL MARVELLOUS</t>
  </si>
  <si>
    <t>8(10)</t>
  </si>
  <si>
    <t>ENENCHE JEREMIAH AGADA</t>
  </si>
  <si>
    <t>LEG, CTRE FOR SEC. ANALYSIS</t>
  </si>
  <si>
    <t>OSOLAFIA MUHAMMAD EGYE</t>
  </si>
  <si>
    <t>12(9)</t>
  </si>
  <si>
    <t>EGUATU U. ONYEJELEM</t>
  </si>
  <si>
    <t xml:space="preserve">PRINCIPAL M&amp;E OFFICER </t>
  </si>
  <si>
    <t>CHRISTIAN MADUABUCHI ODO</t>
  </si>
  <si>
    <t>PRINCIPAL ICT OFFICER</t>
  </si>
  <si>
    <t>FINANCE &amp; ACCOUNTS</t>
  </si>
  <si>
    <t>IBRAHIM M. MSHELIA</t>
  </si>
  <si>
    <t>DIR. FINANCE &amp; ACCOUNTS</t>
  </si>
  <si>
    <t>RAHILA NURUDEEN HABU</t>
  </si>
  <si>
    <t>DEP. DIRECTOR, ACCOUNTS</t>
  </si>
  <si>
    <t>TONDO IORWUESE EDWARD</t>
  </si>
  <si>
    <t>ASST. DIRECTOR, ACCOUNTS</t>
  </si>
  <si>
    <t>ARAOYE GANIYAT TITILOLA</t>
  </si>
  <si>
    <t>SHEHU ABDULLAHI</t>
  </si>
  <si>
    <t>CHIEF ACCOUNT OFFICER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</si>
  <si>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</si>
  <si>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</si>
  <si>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</si>
  <si>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</si>
  <si>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</si>
  <si>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</si>
  <si>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</si>
  <si>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</si>
  <si>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ASST. ACCOUNT. OFFICER</t>
  </si>
  <si>
    <t>10</t>
  </si>
  <si>
    <t>ADMIN &amp; HUMAN RESOURCE</t>
  </si>
  <si>
    <t>AMINU BELLO DUKKU</t>
  </si>
  <si>
    <t>DIR ADMIN</t>
  </si>
  <si>
    <t>MAGAJI BALA</t>
  </si>
  <si>
    <t>DD ADMIN</t>
  </si>
  <si>
    <t>16(9)</t>
  </si>
  <si>
    <t>ARCH. TIJO ZARA BORYO</t>
  </si>
  <si>
    <t>DEPUTY DIRECTOR, ASSETS/MAINT.</t>
  </si>
  <si>
    <t>SIMON YAKUBU WAKAWA</t>
  </si>
  <si>
    <t>CHIEF , ASSETS &amp; MAINT. OFFICER</t>
  </si>
  <si>
    <t>SALAMATU YAKUBU</t>
  </si>
  <si>
    <t>CHIEF ADMIN OFFICER</t>
  </si>
  <si>
    <t>USMAN WAZIRI</t>
  </si>
  <si>
    <t>EROMOSELE OMONIGBO</t>
  </si>
  <si>
    <t>PRINCIPAL PERSONNEL OFFICER</t>
  </si>
  <si>
    <t>OGUNYOMI ROTIMI</t>
  </si>
  <si>
    <t>OMOUDU QUEEN PRISCILLA</t>
  </si>
  <si>
    <t>PRINCIPAL CONF. SECRETARY</t>
  </si>
  <si>
    <t>JUWAIRATU ABDULSALAM ISAH</t>
  </si>
  <si>
    <t>PRINC.LIAISON OFFICER</t>
  </si>
  <si>
    <t>ABDULWAHAB DAHIRU</t>
  </si>
  <si>
    <t>PRINCIPAL ADMIN OFFICER</t>
  </si>
  <si>
    <t>BASSEY NSONGURUA UDOFIA</t>
  </si>
  <si>
    <t>PRINC.CONFIDENTIAL SECRETARY II</t>
  </si>
  <si>
    <t>ODEH SUZIE</t>
  </si>
  <si>
    <t>PRINC. ADMIN &amp; HR OFFICER</t>
  </si>
  <si>
    <t>YUSUF SADIQ SANI</t>
  </si>
  <si>
    <t>SENIOR CONFIDENTIAL SECR</t>
  </si>
  <si>
    <t>STELLA NGIZI PAUL</t>
  </si>
  <si>
    <t>10(9)</t>
  </si>
  <si>
    <t>OWOEYE TOSIN KAYODE</t>
  </si>
  <si>
    <t>ISERE RICHARD KANTEE</t>
  </si>
  <si>
    <t>SNR ADMIN OFFICER</t>
  </si>
  <si>
    <t>FAROOQ ONOKIJIPA</t>
  </si>
  <si>
    <t>ADMIN. OFFICER</t>
  </si>
  <si>
    <t>NAZIRU RABIU IBRAHIM</t>
  </si>
  <si>
    <t>SNR CONFIDENTIAL SECRETARY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</si>
  <si>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</si>
  <si>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</si>
  <si>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</si>
  <si>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</si>
  <si>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</si>
  <si>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</si>
  <si>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</si>
  <si>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</si>
  <si>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</si>
  <si>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</si>
  <si>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</si>
  <si>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</si>
  <si>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</si>
  <si>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</si>
  <si>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</si>
  <si>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</si>
  <si>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</si>
  <si>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OLATUNJI OYEDELE YUSUF</t>
  </si>
  <si>
    <t>CHIEF DRIVER</t>
  </si>
  <si>
    <t>7(5)</t>
  </si>
  <si>
    <t>TASIU MOHAMMED</t>
  </si>
  <si>
    <t>NAMADI IDRIS UMAR</t>
  </si>
  <si>
    <t>ALIYU YAKUBU</t>
  </si>
  <si>
    <t>ABDULLAHI HARUNA</t>
  </si>
  <si>
    <t>OGABO OGAH USMAN</t>
  </si>
  <si>
    <t>7(4)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</si>
  <si>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</si>
  <si>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</si>
  <si>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</si>
  <si>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</si>
  <si>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</si>
  <si>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</si>
  <si>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</si>
  <si>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7(3)</t>
  </si>
  <si>
    <t>JOHN GIMAH</t>
  </si>
  <si>
    <t>ABUBAKAR MUSA DANLAMI</t>
  </si>
  <si>
    <t>OYINLOLA ISMAHEEL TAIWO</t>
  </si>
  <si>
    <t>SENIOR DRIVER</t>
  </si>
  <si>
    <t>5(10)</t>
  </si>
  <si>
    <t>IBRAHIM ZAKARI AHMAD</t>
  </si>
  <si>
    <t>DRIVER</t>
  </si>
  <si>
    <t>5 (9)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</si>
  <si>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</si>
  <si>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</si>
  <si>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</si>
  <si>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</si>
  <si>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</si>
  <si>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</si>
  <si>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</si>
  <si>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</si>
  <si>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</si>
  <si>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SENIOR MOTOR DRIVER MECH.</t>
  </si>
  <si>
    <t>5(8)</t>
  </si>
  <si>
    <t>LAWAL TANIMU</t>
  </si>
  <si>
    <t>4(9)</t>
  </si>
  <si>
    <t>SAHEED AYINLA AJIA</t>
  </si>
  <si>
    <t>MOTOR DRIVER MECHANIC</t>
  </si>
  <si>
    <t>4(7)</t>
  </si>
  <si>
    <t>ABUBAKAR YAHAYA</t>
  </si>
  <si>
    <t>SULEIMAN USMAN</t>
  </si>
  <si>
    <t>ABDULLAHI HUSSAINI</t>
  </si>
  <si>
    <t>SENIOR MOTOR DRIVER</t>
  </si>
  <si>
    <t>5(7)</t>
  </si>
  <si>
    <t>SALIHU ABASS</t>
  </si>
  <si>
    <t>59</t>
  </si>
  <si>
    <t>GRAND TOTAL</t>
  </si>
  <si>
    <t>PREPARED BY:  Rahila N. Habu                                        SIGNATURE………………..                                  DATE:  19TH DECEMBER, 2023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</si>
  <si>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</si>
  <si>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</si>
  <si>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</si>
  <si>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</si>
  <si>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</si>
  <si>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</si>
  <si>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</si>
  <si>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</si>
  <si>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</si>
  <si>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</si>
  <si>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</si>
  <si>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</si>
  <si>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</si>
  <si>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</si>
  <si>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19TH DECEMBER, 2023</t>
  </si>
  <si>
    <t>SUBJECT: PAYROLL FOR THE MONTH OF DECEMBER, 2023</t>
  </si>
  <si>
    <t>Find below the details of NILDS Staff Payroll for the Month of  December 2023:</t>
  </si>
  <si>
    <t>NGN</t>
  </si>
  <si>
    <t>GROSS SALARY FOR  DECEMBER, 2023</t>
  </si>
  <si>
    <t>DEDUCTIONS</t>
  </si>
  <si>
    <t>COOP SOCIETY DEDUCTIONS ( CONTR.&amp; SPEC. SAVINGS)</t>
  </si>
  <si>
    <t>COOP LOAN RECOVERY</t>
  </si>
  <si>
    <t>PAYE DEDUCTIONS</t>
  </si>
  <si>
    <t>NHF DEDUCTIONS</t>
  </si>
  <si>
    <t>TOTAL DEDUCTIONS FOR  DECEMBER, 2023</t>
  </si>
  <si>
    <t>NET PAY AS PER  DECEMBER, 2023 PAYROLL</t>
  </si>
  <si>
    <t>NET PAY AS PER  NOVEMBER, 2023 PAYROLL</t>
  </si>
  <si>
    <t>NET INCREASE/ (DECREASE)  IN PAY FOR  DECEMBER, 2023</t>
  </si>
  <si>
    <t>ANALYSED AS FOLLOWS:</t>
  </si>
  <si>
    <t>Effect of Cooperative adjustment for December, 2023</t>
  </si>
  <si>
    <t>Effect of removal of Arrears to  Abdulsalam Mustapha &amp; 7 Others</t>
  </si>
  <si>
    <t>Net Effect of Promotions and Arrears to Dr. Bethel Ihugba &amp; 3 Others</t>
  </si>
  <si>
    <t>Effect of Arrears of Duty Allowance to Adejoke Akinsanmi &amp; 1 other</t>
  </si>
  <si>
    <t>Net Effect of Enrolment of Faruq Atofarati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</si>
  <si>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</si>
  <si>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</si>
  <si>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</si>
  <si>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</si>
  <si>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</si>
  <si>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</si>
  <si>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</si>
  <si>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</si>
  <si>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</si>
  <si>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</si>
  <si>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</si>
  <si>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Finance and Accounts</t>
  </si>
  <si>
    <t>Admin &amp; Human Resource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</si>
  <si>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N33,766,937.50 </t>
    </r>
    <r>
      <rPr>
        <sz val="14"/>
        <rFont val="Times New Roman"/>
        <family val="1"/>
      </rPr>
      <t xml:space="preserve">to Guaranty Trust Bank  being December 2023 Salary, </t>
    </r>
    <r>
      <rPr>
        <b/>
        <sz val="14"/>
        <rFont val="Times New Roman"/>
        <family val="1"/>
      </rPr>
      <t xml:space="preserve">N11,946,849.51 </t>
    </r>
    <r>
      <rPr>
        <sz val="14"/>
        <rFont val="Times New Roman"/>
        <family val="1"/>
      </rPr>
      <t>being NILDS Coop Society deductions for December 2023,</t>
    </r>
    <r>
      <rPr>
        <b/>
        <sz val="14"/>
        <rFont val="Times New Roman"/>
        <family val="1"/>
      </rPr>
      <t xml:space="preserve"> N7,194,626.38   </t>
    </r>
    <r>
      <rPr>
        <sz val="14"/>
        <rFont val="Times New Roman"/>
        <family val="1"/>
      </rPr>
      <t xml:space="preserve">being PAYE Tax Deductions from Staff Salary for the month  of December 2023 and </t>
    </r>
    <r>
      <rPr>
        <b/>
        <sz val="14"/>
        <rFont val="Times New Roman"/>
        <family val="1"/>
      </rPr>
      <t xml:space="preserve">N23,490.68 </t>
    </r>
    <r>
      <rPr>
        <sz val="14"/>
        <rFont val="Times New Roman"/>
        <family val="1"/>
      </rPr>
      <t xml:space="preserve"> being NHF deductions from staff for December  2023 </t>
    </r>
  </si>
  <si>
    <t>DeputyDirector, Finance &amp; Accounts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</si>
  <si>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</si>
  <si>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</si>
  <si>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STAFF PAYROLL FOR THE MONTH OF NOVEMBER 2023</t>
  </si>
  <si>
    <t>CURRENT GRADE LEVEL</t>
  </si>
  <si>
    <t>CURRENT GROSS SALARY</t>
  </si>
  <si>
    <t>NEW GRADE LEVEL</t>
  </si>
  <si>
    <t>NEW GROSS SALARY</t>
  </si>
  <si>
    <t>INCREMENT IN GROSS SALARY</t>
  </si>
  <si>
    <t xml:space="preserve">CURRENT NHF </t>
  </si>
  <si>
    <t>NEW NHF</t>
  </si>
  <si>
    <t>CURRENT PAYE</t>
  </si>
  <si>
    <t>NEW PAYE</t>
  </si>
  <si>
    <t>INCREMENT IN PAYE</t>
  </si>
  <si>
    <t>NET SALARY INCREMENT</t>
  </si>
  <si>
    <t>NO OF MONTHS</t>
  </si>
  <si>
    <t>ARREARS</t>
  </si>
  <si>
    <t>SHEU MAGABON DARE</t>
  </si>
  <si>
    <t>ADMIN ASSISTANT</t>
  </si>
  <si>
    <t>14 (7)</t>
  </si>
  <si>
    <t>5(11)</t>
  </si>
  <si>
    <t>5(12)</t>
  </si>
  <si>
    <t>STAFF CHRISTMAS WELFARE DECEMBER 2023</t>
  </si>
  <si>
    <t>AMOUNT</t>
  </si>
  <si>
    <t>CONS. SALARY</t>
  </si>
  <si>
    <t>HALF SALARY</t>
  </si>
  <si>
    <t>OCTOBER,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</si>
  <si>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</si>
  <si>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</si>
  <si>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</si>
  <si>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</si>
  <si>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</si>
  <si>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</si>
  <si>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14(11)</t>
  </si>
  <si>
    <t>ASST. MGR  M&amp;E</t>
  </si>
  <si>
    <t>ASSIST. INFO.OFFICER</t>
  </si>
  <si>
    <t>ASST. CHIEF ACCOUNTOFFICER</t>
  </si>
  <si>
    <t>1</t>
  </si>
  <si>
    <t>ADMIN OFFICER</t>
  </si>
  <si>
    <t>10(10)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</si>
  <si>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</si>
  <si>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</si>
  <si>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</si>
  <si>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</si>
  <si>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</si>
  <si>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</si>
  <si>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</si>
  <si>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</si>
  <si>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</si>
  <si>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</si>
  <si>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</si>
  <si>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</si>
  <si>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</si>
  <si>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</si>
  <si>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</si>
  <si>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</si>
  <si>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</si>
  <si>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</si>
  <si>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</si>
  <si>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</si>
  <si>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</si>
  <si>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</si>
  <si>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</si>
  <si>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</si>
  <si>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</si>
  <si>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</si>
  <si>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</si>
  <si>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</si>
  <si>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</si>
  <si>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</si>
  <si>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</si>
  <si>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</si>
  <si>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</si>
  <si>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</si>
  <si>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</si>
  <si>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</si>
  <si>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GRANT OF WAGE AWARD TO FEDERAL GOVERNMENT WORKERS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</si>
  <si>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</si>
  <si>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</si>
  <si>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</si>
  <si>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</si>
  <si>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</si>
  <si>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</si>
  <si>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N/A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</si>
  <si>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</si>
  <si>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</si>
  <si>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</si>
  <si>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</si>
  <si>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</si>
  <si>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</si>
  <si>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</si>
  <si>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</si>
  <si>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</si>
  <si>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</si>
  <si>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</si>
  <si>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</si>
  <si>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</si>
  <si>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</si>
  <si>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</si>
  <si>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</si>
  <si>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</si>
  <si>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</si>
  <si>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</si>
  <si>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</si>
  <si>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</si>
  <si>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</si>
  <si>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</si>
  <si>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</si>
  <si>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</si>
  <si>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</si>
  <si>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</si>
  <si>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</si>
  <si>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</si>
  <si>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</si>
  <si>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</si>
  <si>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</si>
  <si>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</si>
  <si>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</si>
  <si>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</si>
  <si>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</si>
  <si>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</si>
  <si>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</si>
  <si>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</si>
  <si>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</si>
  <si>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</si>
  <si>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</si>
  <si>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</si>
  <si>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</si>
  <si>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</si>
  <si>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</si>
  <si>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</si>
  <si>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</si>
  <si>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</si>
  <si>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Contract Staff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</si>
  <si>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</si>
  <si>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</si>
  <si>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</si>
  <si>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</si>
  <si>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</si>
  <si>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</si>
  <si>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</si>
  <si>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</si>
  <si>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</si>
  <si>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</si>
  <si>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Rahimat Suberu Onize</t>
  </si>
  <si>
    <t>Inya Joephine Ode</t>
  </si>
  <si>
    <t>Prof Charles U. Ilebune</t>
  </si>
  <si>
    <t>Ikip Lebo</t>
  </si>
  <si>
    <t>Yusuf Yusuf Dayyabu</t>
  </si>
  <si>
    <t>Musa Mustapha Adekola</t>
  </si>
  <si>
    <t xml:space="preserve">Casual Staff </t>
  </si>
  <si>
    <t>Ramatu Ibrahim Abdulrahim</t>
  </si>
  <si>
    <t xml:space="preserve">Rasheedat Daibu </t>
  </si>
  <si>
    <t xml:space="preserve">Contract Staff </t>
  </si>
  <si>
    <t>Ladan Abdulmushin Tawfiq</t>
  </si>
  <si>
    <t>Dr. Alabi Adesina Muhydeen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</si>
  <si>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</si>
  <si>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</si>
  <si>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</si>
  <si>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</si>
  <si>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</si>
  <si>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</si>
  <si>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</si>
  <si>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</si>
  <si>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</si>
  <si>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</si>
  <si>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</si>
  <si>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</si>
  <si>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</si>
  <si>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</si>
  <si>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</si>
  <si>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</si>
  <si>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</si>
  <si>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</si>
  <si>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t>SCHEDULE OF 1ST 28 DAY TO THE NEWLY CONVERTED STAFF</t>
  </si>
  <si>
    <t>NAME</t>
  </si>
  <si>
    <r>
      <t xml:space="preserve">AMOUNT </t>
    </r>
    <r>
      <rPr>
        <b/>
        <sz val="10"/>
        <rFont val="Times New Roman"/>
        <family val="1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</si>
  <si>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</si>
  <si>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</si>
  <si>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</si>
  <si>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</si>
  <si>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</si>
  <si>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</si>
  <si>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</si>
  <si>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</si>
  <si>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</si>
  <si>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</si>
  <si>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</si>
  <si>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</si>
  <si>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</si>
  <si>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</si>
  <si>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</si>
  <si>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</si>
  <si>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</si>
  <si>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</si>
  <si>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</si>
  <si>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</si>
  <si>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</si>
  <si>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</si>
  <si>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</si>
  <si>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</si>
  <si>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</si>
  <si>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OLD PAYE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</si>
  <si>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</si>
  <si>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</si>
  <si>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</si>
  <si>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</si>
  <si>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</si>
  <si>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</si>
  <si>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</si>
  <si>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</si>
  <si>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</si>
  <si>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</si>
  <si>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</si>
  <si>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</si>
  <si>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</si>
  <si>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</si>
  <si>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</si>
  <si>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13 (9)</t>
  </si>
  <si>
    <t>11</t>
  </si>
  <si>
    <t>OLOLADE ABRU IDOWU</t>
  </si>
  <si>
    <t>ALFRED ISABU</t>
  </si>
  <si>
    <t>NEW NHF DED.</t>
  </si>
  <si>
    <t>OLD NHF DED.</t>
  </si>
  <si>
    <t>DIFFERENCE</t>
  </si>
  <si>
    <t>NATIONAL ASSEMBLY ABUJA</t>
  </si>
  <si>
    <t>TAX COMPUTATION FOR 2023</t>
  </si>
  <si>
    <t>S/NO</t>
  </si>
  <si>
    <t>MONTHLY TOTAL SALARY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</si>
  <si>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</si>
  <si>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</si>
  <si>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</si>
  <si>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</si>
  <si>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</si>
  <si>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</si>
  <si>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</si>
  <si>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</si>
  <si>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</si>
  <si>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</si>
  <si>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</si>
  <si>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</si>
  <si>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</si>
  <si>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</si>
  <si>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</si>
  <si>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</si>
  <si>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</si>
  <si>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</si>
  <si>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</si>
  <si>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</si>
  <si>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</si>
  <si>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</si>
  <si>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</si>
  <si>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</si>
  <si>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</si>
  <si>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</si>
  <si>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</si>
  <si>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</si>
  <si>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</si>
  <si>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</si>
  <si>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</si>
  <si>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</si>
  <si>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</si>
  <si>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</si>
  <si>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13(8)</t>
  </si>
  <si>
    <t>13 (7)</t>
  </si>
  <si>
    <t>INFORMATION OFFICER</t>
  </si>
  <si>
    <t>OFFICER M&amp;E</t>
  </si>
  <si>
    <t>8 (9)</t>
  </si>
  <si>
    <t>8(9)</t>
  </si>
  <si>
    <t>HABEEBA K MUHAMMAD SALIHU</t>
  </si>
  <si>
    <t>17(8)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</si>
  <si>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</si>
  <si>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</si>
  <si>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</si>
  <si>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</si>
  <si>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</si>
  <si>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</si>
  <si>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</si>
  <si>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</si>
  <si>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</si>
  <si>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</si>
  <si>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</si>
  <si>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</si>
  <si>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</si>
  <si>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</si>
  <si>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</si>
  <si>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</si>
  <si>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</si>
  <si>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</si>
  <si>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STELLA NGOZI PAUL</t>
  </si>
  <si>
    <t>ASST OFFICER ASSETS &amp; MAINT</t>
  </si>
  <si>
    <t>DANJUMA KAGADAMA</t>
  </si>
  <si>
    <t>5(13)</t>
  </si>
  <si>
    <t>5(9)</t>
  </si>
  <si>
    <t>5 (8)</t>
  </si>
  <si>
    <t>4(10)</t>
  </si>
  <si>
    <t>4(8)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</si>
  <si>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</si>
  <si>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</si>
  <si>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</si>
  <si>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</si>
  <si>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</si>
  <si>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</si>
  <si>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</si>
  <si>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</si>
  <si>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</si>
  <si>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</si>
  <si>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</si>
  <si>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</si>
  <si>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</si>
  <si>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</si>
  <si>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</si>
  <si>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</si>
  <si>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</si>
  <si>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</si>
  <si>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</si>
  <si>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</si>
  <si>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</si>
  <si>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</si>
  <si>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</si>
  <si>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</si>
  <si>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</si>
  <si>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</si>
  <si>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</si>
  <si>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</si>
  <si>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</si>
  <si>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Grade Level       01 - 13</t>
  </si>
  <si>
    <t>Grade Level         14 - 17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</si>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</sst>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46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 val="singleAccounting"/>
      <sz val="14"/>
      <name val="Times New Roman"/>
      <family val="1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u/>
      <sz val="18"/>
      <name val="Times New Roman"/>
      <family val="1"/>
    </font>
    <font>
      <b/>
      <u val="singleAccounting"/>
      <sz val="16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 val="double"/>
      <sz val="1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46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43" fontId="9" fillId="2" borderId="1" xfId="1" applyFont="1" applyFill="1" applyBorder="1" applyAlignment="1">
      <alignment horizontal="right"/>
    </xf>
    <xf numFmtId="0" fontId="10" fillId="0" borderId="0" xfId="0" applyFo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1" xfId="1" quotePrefix="1" applyFont="1" applyFill="1" applyBorder="1" applyAlignment="1">
      <alignment horizontal="right"/>
    </xf>
    <xf numFmtId="43" fontId="0" fillId="0" borderId="0" xfId="0" applyNumberFormat="1"/>
    <xf numFmtId="0" fontId="2" fillId="0" borderId="1" xfId="0" applyFont="1" applyBorder="1"/>
    <xf numFmtId="43" fontId="2" fillId="0" borderId="0" xfId="0" applyNumberFormat="1" applyFont="1"/>
    <xf numFmtId="4" fontId="0" fillId="0" borderId="0" xfId="0" applyNumberFormat="1"/>
    <xf numFmtId="43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43" fontId="4" fillId="0" borderId="1" xfId="1" quotePrefix="1" applyFont="1" applyFill="1" applyBorder="1" applyAlignment="1">
      <alignment horizontal="right"/>
    </xf>
    <xf numFmtId="43" fontId="6" fillId="0" borderId="1" xfId="1" applyFont="1" applyFill="1" applyBorder="1" applyAlignment="1">
      <alignment horizontal="right"/>
    </xf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" fontId="2" fillId="0" borderId="0" xfId="0" applyNumberFormat="1" applyFont="1"/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43" fontId="2" fillId="0" borderId="1" xfId="1" quotePrefix="1" applyFont="1" applyFill="1" applyBorder="1" applyAlignment="1">
      <alignment horizontal="right"/>
    </xf>
    <xf numFmtId="43" fontId="4" fillId="0" borderId="1" xfId="1" applyFont="1" applyFill="1" applyBorder="1" applyAlignment="1">
      <alignment horizontal="right"/>
    </xf>
    <xf numFmtId="43" fontId="2" fillId="0" borderId="5" xfId="1" quotePrefix="1" applyFont="1" applyFill="1" applyBorder="1" applyAlignment="1">
      <alignment horizontal="right"/>
    </xf>
    <xf numFmtId="43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43" fontId="2" fillId="0" borderId="1" xfId="1" applyFont="1" applyFill="1" applyBorder="1"/>
    <xf numFmtId="43" fontId="3" fillId="0" borderId="1" xfId="1" applyFont="1" applyFill="1" applyBorder="1" applyAlignment="1">
      <alignment horizontal="righ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right"/>
    </xf>
    <xf numFmtId="49" fontId="11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3" fontId="4" fillId="0" borderId="5" xfId="1" applyFont="1" applyFill="1" applyBorder="1" applyAlignment="1">
      <alignment horizontal="right"/>
    </xf>
    <xf numFmtId="0" fontId="15" fillId="0" borderId="0" xfId="0" applyFont="1"/>
    <xf numFmtId="43" fontId="0" fillId="0" borderId="0" xfId="1" applyFont="1"/>
    <xf numFmtId="164" fontId="0" fillId="0" borderId="0" xfId="0" applyNumberFormat="1"/>
    <xf numFmtId="43" fontId="17" fillId="4" borderId="1" xfId="1" quotePrefix="1" applyFont="1" applyFill="1" applyBorder="1" applyAlignment="1">
      <alignment horizontal="right"/>
    </xf>
    <xf numFmtId="43" fontId="17" fillId="0" borderId="1" xfId="0" applyNumberFormat="1" applyFont="1" applyBorder="1"/>
    <xf numFmtId="43" fontId="17" fillId="0" borderId="1" xfId="1" quotePrefix="1" applyFont="1" applyFill="1" applyBorder="1" applyAlignment="1">
      <alignment horizontal="right"/>
    </xf>
    <xf numFmtId="43" fontId="17" fillId="0" borderId="1" xfId="1" applyFont="1" applyFill="1" applyBorder="1" applyAlignment="1">
      <alignment horizontal="right"/>
    </xf>
    <xf numFmtId="164" fontId="2" fillId="0" borderId="0" xfId="0" applyNumberFormat="1" applyFont="1"/>
    <xf numFmtId="0" fontId="19" fillId="0" borderId="0" xfId="0" applyFont="1"/>
    <xf numFmtId="0" fontId="18" fillId="0" borderId="0" xfId="0" applyFont="1"/>
    <xf numFmtId="43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43" fontId="22" fillId="0" borderId="0" xfId="1" applyFont="1"/>
    <xf numFmtId="0" fontId="4" fillId="0" borderId="0" xfId="0" applyFont="1"/>
    <xf numFmtId="43" fontId="9" fillId="0" borderId="5" xfId="1" quotePrefix="1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43" fontId="4" fillId="0" borderId="0" xfId="0" applyNumberFormat="1" applyFont="1"/>
    <xf numFmtId="0" fontId="24" fillId="0" borderId="0" xfId="0" applyFont="1"/>
    <xf numFmtId="0" fontId="6" fillId="0" borderId="0" xfId="0" applyFont="1"/>
    <xf numFmtId="43" fontId="25" fillId="0" borderId="0" xfId="0" applyNumberFormat="1" applyFont="1"/>
    <xf numFmtId="43" fontId="2" fillId="0" borderId="0" xfId="0" applyNumberFormat="1" applyFont="1" applyAlignment="1">
      <alignment horizontal="right"/>
    </xf>
    <xf numFmtId="43" fontId="2" fillId="0" borderId="0" xfId="1" applyFont="1" applyFill="1" applyBorder="1" applyAlignment="1"/>
    <xf numFmtId="43" fontId="4" fillId="0" borderId="3" xfId="1" applyFont="1" applyBorder="1" applyAlignment="1"/>
    <xf numFmtId="4" fontId="26" fillId="0" borderId="0" xfId="0" applyNumberFormat="1" applyFont="1"/>
    <xf numFmtId="0" fontId="27" fillId="0" borderId="0" xfId="0" applyFont="1"/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43" fontId="13" fillId="0" borderId="1" xfId="1" quotePrefix="1" applyFont="1" applyFill="1" applyBorder="1" applyAlignment="1">
      <alignment horizontal="right"/>
    </xf>
    <xf numFmtId="43" fontId="13" fillId="0" borderId="1" xfId="1" applyFont="1" applyBorder="1"/>
    <xf numFmtId="43" fontId="13" fillId="0" borderId="1" xfId="1" applyFont="1" applyFill="1" applyBorder="1" applyAlignment="1">
      <alignment horizontal="right"/>
    </xf>
    <xf numFmtId="43" fontId="4" fillId="0" borderId="6" xfId="1" applyFont="1" applyBorder="1" applyAlignment="1"/>
    <xf numFmtId="49" fontId="2" fillId="0" borderId="2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14" fillId="0" borderId="2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43" fontId="28" fillId="0" borderId="0" xfId="1" applyFont="1"/>
    <xf numFmtId="49" fontId="9" fillId="0" borderId="1" xfId="0" applyNumberFormat="1" applyFont="1" applyBorder="1" applyAlignment="1">
      <alignment horizontal="left"/>
    </xf>
    <xf numFmtId="43" fontId="2" fillId="0" borderId="0" xfId="1" quotePrefix="1" applyFont="1" applyFill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43" fontId="2" fillId="0" borderId="1" xfId="1" applyFont="1" applyFill="1" applyBorder="1" applyAlignment="1">
      <alignment horizontal="left"/>
    </xf>
    <xf numFmtId="43" fontId="2" fillId="0" borderId="1" xfId="1" applyFont="1" applyFill="1" applyBorder="1" applyAlignment="1">
      <alignment horizontal="center"/>
    </xf>
    <xf numFmtId="43" fontId="2" fillId="0" borderId="5" xfId="1" applyFont="1" applyFill="1" applyBorder="1" applyAlignment="1">
      <alignment horizontal="center"/>
    </xf>
    <xf numFmtId="43" fontId="2" fillId="4" borderId="1" xfId="1" applyFont="1" applyFill="1" applyBorder="1" applyAlignment="1">
      <alignment horizontal="center"/>
    </xf>
    <xf numFmtId="43" fontId="2" fillId="0" borderId="0" xfId="1" applyFont="1" applyAlignment="1">
      <alignment horizontal="center"/>
    </xf>
    <xf numFmtId="43" fontId="3" fillId="0" borderId="1" xfId="1" applyFont="1" applyFill="1" applyBorder="1" applyAlignment="1">
      <alignment horizontal="center"/>
    </xf>
    <xf numFmtId="43" fontId="4" fillId="4" borderId="1" xfId="1" applyFont="1" applyFill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43" fontId="17" fillId="0" borderId="1" xfId="1" applyFont="1" applyFill="1" applyBorder="1"/>
    <xf numFmtId="43" fontId="17" fillId="0" borderId="1" xfId="1" applyFont="1" applyFill="1" applyBorder="1" applyAlignment="1">
      <alignment horizontal="center"/>
    </xf>
    <xf numFmtId="43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9" fillId="4" borderId="0" xfId="0" applyFont="1" applyFill="1"/>
    <xf numFmtId="0" fontId="30" fillId="4" borderId="0" xfId="0" applyFont="1" applyFill="1"/>
    <xf numFmtId="0" fontId="29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43" fontId="2" fillId="4" borderId="1" xfId="1" applyFont="1" applyFill="1" applyBorder="1"/>
    <xf numFmtId="43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43" fontId="4" fillId="4" borderId="1" xfId="1" applyFont="1" applyFill="1" applyBorder="1" applyAlignment="1">
      <alignment horizontal="right"/>
    </xf>
    <xf numFmtId="43" fontId="3" fillId="4" borderId="1" xfId="1" applyFont="1" applyFill="1" applyBorder="1" applyAlignment="1">
      <alignment horizontal="right"/>
    </xf>
    <xf numFmtId="43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/>
    <xf numFmtId="49" fontId="4" fillId="4" borderId="1" xfId="0" applyNumberFormat="1" applyFont="1" applyFill="1" applyBorder="1" applyAlignment="1">
      <alignment horizontal="center"/>
    </xf>
    <xf numFmtId="43" fontId="17" fillId="4" borderId="1" xfId="0" applyNumberFormat="1" applyFont="1" applyFill="1" applyBorder="1"/>
    <xf numFmtId="43" fontId="4" fillId="4" borderId="1" xfId="0" applyNumberFormat="1" applyFont="1" applyFill="1" applyBorder="1"/>
    <xf numFmtId="43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43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center"/>
    </xf>
    <xf numFmtId="4" fontId="4" fillId="4" borderId="0" xfId="0" applyNumberFormat="1" applyFont="1" applyFill="1" applyAlignment="1">
      <alignment horizontal="left"/>
    </xf>
    <xf numFmtId="4" fontId="4" fillId="4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right"/>
    </xf>
    <xf numFmtId="164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43" fontId="2" fillId="7" borderId="1" xfId="1" applyFont="1" applyFill="1" applyBorder="1" applyAlignment="1">
      <alignment horizontal="right"/>
    </xf>
    <xf numFmtId="43" fontId="2" fillId="7" borderId="1" xfId="1" quotePrefix="1" applyFont="1" applyFill="1" applyBorder="1" applyAlignment="1">
      <alignment horizontal="right"/>
    </xf>
    <xf numFmtId="43" fontId="4" fillId="7" borderId="1" xfId="0" applyNumberFormat="1" applyFont="1" applyFill="1" applyBorder="1"/>
    <xf numFmtId="43" fontId="2" fillId="6" borderId="1" xfId="1" applyFont="1" applyFill="1" applyBorder="1" applyAlignment="1">
      <alignment horizontal="right"/>
    </xf>
    <xf numFmtId="43" fontId="2" fillId="6" borderId="1" xfId="1" quotePrefix="1" applyFont="1" applyFill="1" applyBorder="1" applyAlignment="1">
      <alignment horizontal="right"/>
    </xf>
    <xf numFmtId="43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43" fontId="3" fillId="7" borderId="1" xfId="1" applyFont="1" applyFill="1" applyBorder="1" applyAlignment="1">
      <alignment horizontal="right"/>
    </xf>
    <xf numFmtId="43" fontId="4" fillId="7" borderId="1" xfId="1" quotePrefix="1" applyFont="1" applyFill="1" applyBorder="1" applyAlignment="1">
      <alignment horizontal="right"/>
    </xf>
    <xf numFmtId="43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43" fontId="17" fillId="7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43" fontId="3" fillId="6" borderId="1" xfId="1" applyFont="1" applyFill="1" applyBorder="1" applyAlignment="1">
      <alignment horizontal="right"/>
    </xf>
    <xf numFmtId="43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43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43" fontId="2" fillId="0" borderId="1" xfId="0" applyNumberFormat="1" applyFont="1" applyBorder="1" applyAlignment="1">
      <alignment horizontal="center"/>
    </xf>
    <xf numFmtId="43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2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3" fillId="4" borderId="1" xfId="0" applyFont="1" applyFill="1" applyBorder="1" applyAlignment="1">
      <alignment horizontal="left"/>
    </xf>
    <xf numFmtId="49" fontId="23" fillId="4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2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Alignment="1">
      <alignment horizontal="right"/>
    </xf>
    <xf numFmtId="3" fontId="2" fillId="4" borderId="0" xfId="0" applyNumberFormat="1" applyFont="1" applyFill="1"/>
    <xf numFmtId="4" fontId="34" fillId="4" borderId="0" xfId="0" applyNumberFormat="1" applyFont="1" applyFill="1" applyAlignment="1">
      <alignment horizontal="right"/>
    </xf>
    <xf numFmtId="43" fontId="2" fillId="5" borderId="1" xfId="1" quotePrefix="1" applyFont="1" applyFill="1" applyBorder="1" applyAlignment="1">
      <alignment horizontal="right"/>
    </xf>
    <xf numFmtId="43" fontId="2" fillId="5" borderId="1" xfId="1" applyFont="1" applyFill="1" applyBorder="1" applyAlignment="1">
      <alignment horizontal="right"/>
    </xf>
    <xf numFmtId="43" fontId="2" fillId="5" borderId="1" xfId="1" applyFont="1" applyFill="1" applyBorder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43" fontId="2" fillId="8" borderId="1" xfId="1" applyFont="1" applyFill="1" applyBorder="1" applyAlignment="1">
      <alignment horizontal="right"/>
    </xf>
    <xf numFmtId="43" fontId="3" fillId="8" borderId="1" xfId="1" applyFont="1" applyFill="1" applyBorder="1" applyAlignment="1">
      <alignment horizontal="right"/>
    </xf>
    <xf numFmtId="43" fontId="4" fillId="8" borderId="1" xfId="1" quotePrefix="1" applyFont="1" applyFill="1" applyBorder="1" applyAlignment="1">
      <alignment horizontal="right"/>
    </xf>
    <xf numFmtId="43" fontId="2" fillId="8" borderId="1" xfId="1" quotePrefix="1" applyFont="1" applyFill="1" applyBorder="1" applyAlignment="1">
      <alignment horizontal="right"/>
    </xf>
    <xf numFmtId="0" fontId="2" fillId="8" borderId="1" xfId="0" applyFont="1" applyFill="1" applyBorder="1"/>
    <xf numFmtId="43" fontId="4" fillId="8" borderId="1" xfId="0" applyNumberFormat="1" applyFont="1" applyFill="1" applyBorder="1"/>
    <xf numFmtId="43" fontId="4" fillId="8" borderId="1" xfId="1" applyFont="1" applyFill="1" applyBorder="1" applyAlignment="1">
      <alignment horizontal="right"/>
    </xf>
    <xf numFmtId="0" fontId="35" fillId="4" borderId="1" xfId="0" applyFont="1" applyFill="1" applyBorder="1"/>
    <xf numFmtId="4" fontId="37" fillId="9" borderId="1" xfId="0" applyNumberFormat="1" applyFont="1" applyFill="1" applyBorder="1" applyAlignment="1">
      <alignment horizontal="left"/>
    </xf>
    <xf numFmtId="3" fontId="36" fillId="9" borderId="1" xfId="0" applyNumberFormat="1" applyFont="1" applyFill="1" applyBorder="1" applyAlignment="1">
      <alignment horizontal="center"/>
    </xf>
    <xf numFmtId="4" fontId="36" fillId="9" borderId="1" xfId="0" applyNumberFormat="1" applyFont="1" applyFill="1" applyBorder="1" applyAlignment="1">
      <alignment horizontal="center"/>
    </xf>
    <xf numFmtId="3" fontId="37" fillId="9" borderId="1" xfId="1" applyNumberFormat="1" applyFont="1" applyFill="1" applyBorder="1" applyAlignment="1">
      <alignment horizontal="right"/>
    </xf>
    <xf numFmtId="0" fontId="38" fillId="4" borderId="0" xfId="0" applyFont="1" applyFill="1"/>
    <xf numFmtId="0" fontId="19" fillId="4" borderId="0" xfId="0" applyFont="1" applyFill="1"/>
    <xf numFmtId="0" fontId="31" fillId="4" borderId="1" xfId="0" applyFont="1" applyFill="1" applyBorder="1" applyAlignment="1">
      <alignment horizontal="left"/>
    </xf>
    <xf numFmtId="0" fontId="36" fillId="4" borderId="1" xfId="0" applyFont="1" applyFill="1" applyBorder="1" applyAlignment="1">
      <alignment horizontal="left"/>
    </xf>
    <xf numFmtId="0" fontId="36" fillId="4" borderId="1" xfId="0" applyFont="1" applyFill="1" applyBorder="1" applyAlignment="1">
      <alignment horizontal="left" wrapText="1"/>
    </xf>
    <xf numFmtId="0" fontId="36" fillId="6" borderId="1" xfId="0" applyFont="1" applyFill="1" applyBorder="1" applyAlignment="1">
      <alignment horizontal="center" wrapText="1"/>
    </xf>
    <xf numFmtId="3" fontId="35" fillId="6" borderId="1" xfId="1" applyNumberFormat="1" applyFont="1" applyFill="1" applyBorder="1" applyAlignment="1">
      <alignment horizontal="right"/>
    </xf>
    <xf numFmtId="3" fontId="31" fillId="4" borderId="1" xfId="1" applyNumberFormat="1" applyFont="1" applyFill="1" applyBorder="1" applyAlignment="1">
      <alignment horizontal="right"/>
    </xf>
    <xf numFmtId="3" fontId="31" fillId="6" borderId="1" xfId="1" applyNumberFormat="1" applyFont="1" applyFill="1" applyBorder="1" applyAlignment="1">
      <alignment horizontal="right"/>
    </xf>
    <xf numFmtId="3" fontId="39" fillId="4" borderId="1" xfId="1" quotePrefix="1" applyNumberFormat="1" applyFont="1" applyFill="1" applyBorder="1" applyAlignment="1">
      <alignment horizontal="right"/>
    </xf>
    <xf numFmtId="3" fontId="36" fillId="6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5" fillId="6" borderId="1" xfId="0" applyNumberFormat="1" applyFont="1" applyFill="1" applyBorder="1"/>
    <xf numFmtId="3" fontId="39" fillId="4" borderId="1" xfId="0" applyNumberFormat="1" applyFont="1" applyFill="1" applyBorder="1"/>
    <xf numFmtId="3" fontId="36" fillId="6" borderId="1" xfId="0" applyNumberFormat="1" applyFont="1" applyFill="1" applyBorder="1"/>
    <xf numFmtId="3" fontId="39" fillId="6" borderId="1" xfId="1" applyNumberFormat="1" applyFont="1" applyFill="1" applyBorder="1" applyAlignment="1">
      <alignment horizontal="right"/>
    </xf>
    <xf numFmtId="3" fontId="36" fillId="6" borderId="1" xfId="1" applyNumberFormat="1" applyFont="1" applyFill="1" applyBorder="1" applyAlignment="1">
      <alignment horizontal="right"/>
    </xf>
    <xf numFmtId="3" fontId="36" fillId="4" borderId="1" xfId="1" applyNumberFormat="1" applyFont="1" applyFill="1" applyBorder="1" applyAlignment="1">
      <alignment horizontal="right"/>
    </xf>
    <xf numFmtId="43" fontId="2" fillId="4" borderId="0" xfId="1" applyFont="1" applyFill="1"/>
    <xf numFmtId="49" fontId="7" fillId="4" borderId="1" xfId="0" applyNumberFormat="1" applyFont="1" applyFill="1" applyBorder="1" applyAlignment="1">
      <alignment horizontal="left" wrapText="1"/>
    </xf>
    <xf numFmtId="43" fontId="2" fillId="10" borderId="1" xfId="1" applyFont="1" applyFill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4" fillId="0" borderId="1" xfId="0" applyNumberFormat="1" applyFont="1" applyBorder="1"/>
    <xf numFmtId="0" fontId="41" fillId="4" borderId="0" xfId="0" applyFont="1" applyFill="1" applyAlignment="1">
      <alignment horizontal="left"/>
    </xf>
    <xf numFmtId="3" fontId="10" fillId="0" borderId="0" xfId="0" applyNumberFormat="1" applyFont="1"/>
    <xf numFmtId="0" fontId="41" fillId="4" borderId="0" xfId="0" applyFont="1" applyFill="1"/>
    <xf numFmtId="0" fontId="40" fillId="0" borderId="0" xfId="0" applyFont="1" applyAlignment="1">
      <alignment horizontal="left"/>
    </xf>
    <xf numFmtId="0" fontId="40" fillId="0" borderId="0" xfId="0" applyFont="1" applyAlignment="1">
      <alignment horizontal="left" wrapText="1"/>
    </xf>
    <xf numFmtId="0" fontId="40" fillId="0" borderId="0" xfId="0" applyFont="1"/>
    <xf numFmtId="3" fontId="40" fillId="0" borderId="0" xfId="0" applyNumberFormat="1" applyFont="1"/>
    <xf numFmtId="0" fontId="40" fillId="0" borderId="0" xfId="0" applyFont="1" applyAlignment="1">
      <alignment horizontal="right" wrapText="1"/>
    </xf>
    <xf numFmtId="3" fontId="44" fillId="0" borderId="0" xfId="0" applyNumberFormat="1" applyFont="1"/>
    <xf numFmtId="3" fontId="45" fillId="0" borderId="0" xfId="0" applyNumberFormat="1" applyFont="1"/>
    <xf numFmtId="0" fontId="23" fillId="0" borderId="1" xfId="0" applyFont="1" applyBorder="1"/>
    <xf numFmtId="0" fontId="23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right" wrapText="1"/>
    </xf>
    <xf numFmtId="3" fontId="3" fillId="0" borderId="1" xfId="0" applyNumberFormat="1" applyFont="1" applyBorder="1"/>
    <xf numFmtId="0" fontId="10" fillId="0" borderId="1" xfId="0" applyFont="1" applyBorder="1"/>
    <xf numFmtId="3" fontId="10" fillId="0" borderId="1" xfId="0" applyNumberFormat="1" applyFont="1" applyBorder="1"/>
    <xf numFmtId="0" fontId="10" fillId="4" borderId="1" xfId="0" applyFont="1" applyFill="1" applyBorder="1"/>
    <xf numFmtId="3" fontId="44" fillId="0" borderId="1" xfId="0" applyNumberFormat="1" applyFont="1" applyBorder="1"/>
    <xf numFmtId="0" fontId="40" fillId="0" borderId="1" xfId="0" applyFont="1" applyBorder="1"/>
    <xf numFmtId="3" fontId="41" fillId="0" borderId="1" xfId="0" applyNumberFormat="1" applyFont="1" applyBorder="1"/>
    <xf numFmtId="3" fontId="34" fillId="0" borderId="1" xfId="0" applyNumberFormat="1" applyFont="1" applyBorder="1"/>
    <xf numFmtId="0" fontId="2" fillId="4" borderId="0" xfId="0" applyFont="1" applyFill="1" applyAlignment="1">
      <alignment wrapText="1"/>
    </xf>
    <xf numFmtId="4" fontId="12" fillId="4" borderId="0" xfId="0" applyNumberFormat="1" applyFont="1" applyFill="1" applyAlignment="1">
      <alignment wrapText="1"/>
    </xf>
    <xf numFmtId="0" fontId="5" fillId="4" borderId="1" xfId="0" applyFont="1" applyFill="1" applyBorder="1" applyAlignment="1">
      <alignment horizontal="center" wrapText="1"/>
    </xf>
    <xf numFmtId="43" fontId="2" fillId="4" borderId="1" xfId="1" quotePrefix="1" applyFont="1" applyFill="1" applyBorder="1" applyAlignment="1">
      <alignment horizontal="right" wrapText="1"/>
    </xf>
    <xf numFmtId="43" fontId="3" fillId="4" borderId="1" xfId="1" applyFont="1" applyFill="1" applyBorder="1" applyAlignment="1">
      <alignment horizontal="right" wrapText="1"/>
    </xf>
    <xf numFmtId="43" fontId="2" fillId="4" borderId="1" xfId="1" applyFont="1" applyFill="1" applyBorder="1" applyAlignment="1">
      <alignment horizontal="right" wrapText="1"/>
    </xf>
    <xf numFmtId="43" fontId="17" fillId="4" borderId="1" xfId="1" quotePrefix="1" applyFont="1" applyFill="1" applyBorder="1" applyAlignment="1">
      <alignment horizontal="right" wrapText="1"/>
    </xf>
    <xf numFmtId="43" fontId="4" fillId="4" borderId="1" xfId="1" quotePrefix="1" applyFont="1" applyFill="1" applyBorder="1" applyAlignment="1">
      <alignment horizontal="right" wrapText="1"/>
    </xf>
    <xf numFmtId="43" fontId="4" fillId="4" borderId="1" xfId="0" applyNumberFormat="1" applyFont="1" applyFill="1" applyBorder="1" applyAlignment="1">
      <alignment wrapText="1"/>
    </xf>
    <xf numFmtId="4" fontId="6" fillId="4" borderId="0" xfId="0" applyNumberFormat="1" applyFont="1" applyFill="1" applyAlignment="1">
      <alignment horizontal="right" wrapText="1"/>
    </xf>
    <xf numFmtId="0" fontId="0" fillId="11" borderId="0" xfId="0" applyFill="1"/>
    <xf numFmtId="49" fontId="2" fillId="9" borderId="1" xfId="0" applyNumberFormat="1" applyFont="1" applyFill="1" applyBorder="1" applyAlignment="1">
      <alignment horizontal="left" wrapText="1"/>
    </xf>
    <xf numFmtId="49" fontId="2" fillId="9" borderId="1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center"/>
    </xf>
    <xf numFmtId="43" fontId="2" fillId="9" borderId="1" xfId="1" applyFont="1" applyFill="1" applyBorder="1"/>
    <xf numFmtId="43" fontId="2" fillId="9" borderId="1" xfId="1" quotePrefix="1" applyFont="1" applyFill="1" applyBorder="1" applyAlignment="1">
      <alignment horizontal="right"/>
    </xf>
    <xf numFmtId="43" fontId="2" fillId="9" borderId="1" xfId="1" applyFont="1" applyFill="1" applyBorder="1" applyAlignment="1">
      <alignment horizontal="right"/>
    </xf>
    <xf numFmtId="43" fontId="2" fillId="9" borderId="0" xfId="0" applyNumberFormat="1" applyFont="1" applyFill="1"/>
    <xf numFmtId="0" fontId="2" fillId="9" borderId="0" xfId="0" applyFont="1" applyFill="1"/>
    <xf numFmtId="49" fontId="2" fillId="9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wrapText="1"/>
    </xf>
    <xf numFmtId="43" fontId="17" fillId="6" borderId="1" xfId="1" quotePrefix="1" applyFont="1" applyFill="1" applyBorder="1" applyAlignment="1">
      <alignment horizontal="right"/>
    </xf>
    <xf numFmtId="43" fontId="17" fillId="6" borderId="1" xfId="1" quotePrefix="1" applyFont="1" applyFill="1" applyBorder="1" applyAlignment="1">
      <alignment horizontal="right" wrapText="1"/>
    </xf>
    <xf numFmtId="43" fontId="6" fillId="6" borderId="1" xfId="1" applyFont="1" applyFill="1" applyBorder="1" applyAlignment="1">
      <alignment horizontal="right"/>
    </xf>
    <xf numFmtId="0" fontId="23" fillId="4" borderId="1" xfId="0" applyFont="1" applyFill="1" applyBorder="1" applyAlignment="1">
      <alignment horizontal="center" wrapText="1"/>
    </xf>
    <xf numFmtId="0" fontId="23" fillId="6" borderId="1" xfId="0" applyFont="1" applyFill="1" applyBorder="1" applyAlignment="1">
      <alignment horizontal="center" wrapText="1"/>
    </xf>
    <xf numFmtId="4" fontId="2" fillId="0" borderId="1" xfId="0" applyNumberFormat="1" applyFont="1" applyBorder="1"/>
    <xf numFmtId="0" fontId="0" fillId="4" borderId="0" xfId="0" applyFill="1"/>
    <xf numFmtId="0" fontId="16" fillId="0" borderId="0" xfId="0" applyFont="1"/>
    <xf numFmtId="0" fontId="16" fillId="4" borderId="0" xfId="0" applyFont="1" applyFill="1"/>
    <xf numFmtId="4" fontId="43" fillId="0" borderId="0" xfId="0" applyNumberFormat="1" applyFont="1"/>
    <xf numFmtId="4" fontId="43" fillId="4" borderId="0" xfId="0" applyNumberFormat="1" applyFont="1" applyFill="1"/>
    <xf numFmtId="0" fontId="40" fillId="11" borderId="0" xfId="0" applyFont="1" applyFill="1"/>
    <xf numFmtId="0" fontId="40" fillId="4" borderId="0" xfId="0" applyFont="1" applyFill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3" fontId="2" fillId="3" borderId="1" xfId="1" applyFont="1" applyFill="1" applyBorder="1"/>
    <xf numFmtId="43" fontId="2" fillId="3" borderId="1" xfId="1" applyFont="1" applyFill="1" applyBorder="1" applyAlignment="1">
      <alignment horizontal="right" wrapText="1"/>
    </xf>
    <xf numFmtId="43" fontId="2" fillId="3" borderId="0" xfId="0" applyNumberFormat="1" applyFont="1" applyFill="1"/>
    <xf numFmtId="0" fontId="2" fillId="3" borderId="0" xfId="0" applyFont="1" applyFill="1"/>
    <xf numFmtId="43" fontId="17" fillId="8" borderId="1" xfId="1" quotePrefix="1" applyFont="1" applyFill="1" applyBorder="1" applyAlignment="1">
      <alignment horizontal="right"/>
    </xf>
    <xf numFmtId="43" fontId="17" fillId="8" borderId="1" xfId="0" applyNumberFormat="1" applyFont="1" applyFill="1" applyBorder="1"/>
    <xf numFmtId="43" fontId="17" fillId="6" borderId="1" xfId="0" applyNumberFormat="1" applyFont="1" applyFill="1" applyBorder="1"/>
    <xf numFmtId="43" fontId="17" fillId="7" borderId="1" xfId="1" applyFont="1" applyFill="1" applyBorder="1" applyAlignment="1">
      <alignment horizontal="right"/>
    </xf>
    <xf numFmtId="0" fontId="2" fillId="4" borderId="0" xfId="0" applyFont="1" applyFill="1" applyAlignment="1">
      <alignment horizontal="center"/>
    </xf>
    <xf numFmtId="4" fontId="2" fillId="4" borderId="0" xfId="0" applyNumberFormat="1" applyFont="1" applyFill="1"/>
    <xf numFmtId="4" fontId="2" fillId="4" borderId="1" xfId="0" applyNumberFormat="1" applyFont="1" applyFill="1" applyBorder="1" applyAlignment="1">
      <alignment horizontal="center"/>
    </xf>
    <xf numFmtId="164" fontId="2" fillId="6" borderId="1" xfId="0" applyNumberFormat="1" applyFont="1" applyFill="1" applyBorder="1"/>
    <xf numFmtId="43" fontId="2" fillId="9" borderId="0" xfId="1" applyFont="1" applyFill="1" applyBorder="1" applyAlignment="1">
      <alignment horizontal="right"/>
    </xf>
    <xf numFmtId="43" fontId="2" fillId="8" borderId="0" xfId="1" applyFont="1" applyFill="1" applyBorder="1" applyAlignment="1">
      <alignment horizontal="right"/>
    </xf>
    <xf numFmtId="43" fontId="2" fillId="6" borderId="0" xfId="1" applyFont="1" applyFill="1" applyBorder="1" applyAlignment="1">
      <alignment horizontal="right"/>
    </xf>
    <xf numFmtId="43" fontId="2" fillId="9" borderId="1" xfId="1" applyFont="1" applyFill="1" applyBorder="1" applyAlignment="1">
      <alignment horizontal="center"/>
    </xf>
    <xf numFmtId="164" fontId="2" fillId="9" borderId="0" xfId="0" applyNumberFormat="1" applyFont="1" applyFill="1"/>
    <xf numFmtId="43" fontId="2" fillId="9" borderId="1" xfId="0" applyNumberFormat="1" applyFont="1" applyFill="1" applyBorder="1"/>
    <xf numFmtId="4" fontId="2" fillId="9" borderId="1" xfId="0" applyNumberFormat="1" applyFont="1" applyFill="1" applyBorder="1"/>
    <xf numFmtId="164" fontId="2" fillId="9" borderId="1" xfId="0" applyNumberFormat="1" applyFont="1" applyFill="1" applyBorder="1"/>
    <xf numFmtId="164" fontId="4" fillId="9" borderId="0" xfId="0" applyNumberFormat="1" applyFont="1" applyFill="1"/>
    <xf numFmtId="164" fontId="2" fillId="4" borderId="1" xfId="3" applyFont="1" applyFill="1" applyBorder="1" applyAlignment="1">
      <alignment horizontal="right"/>
    </xf>
    <xf numFmtId="164" fontId="2" fillId="4" borderId="1" xfId="3" quotePrefix="1" applyFont="1" applyFill="1" applyBorder="1" applyAlignment="1">
      <alignment horizontal="right"/>
    </xf>
    <xf numFmtId="164" fontId="2" fillId="4" borderId="1" xfId="3" applyFont="1" applyFill="1" applyBorder="1"/>
    <xf numFmtId="164" fontId="2" fillId="7" borderId="1" xfId="3" applyFont="1" applyFill="1" applyBorder="1" applyAlignment="1">
      <alignment horizontal="right"/>
    </xf>
    <xf numFmtId="164" fontId="2" fillId="6" borderId="1" xfId="3" applyFont="1" applyFill="1" applyBorder="1" applyAlignment="1">
      <alignment horizontal="right"/>
    </xf>
    <xf numFmtId="164" fontId="2" fillId="8" borderId="1" xfId="3" quotePrefix="1" applyFont="1" applyFill="1" applyBorder="1" applyAlignment="1">
      <alignment horizontal="right"/>
    </xf>
    <xf numFmtId="0" fontId="3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43" fontId="2" fillId="10" borderId="1" xfId="1" quotePrefix="1" applyFont="1" applyFill="1" applyBorder="1" applyAlignment="1">
      <alignment horizontal="right"/>
    </xf>
    <xf numFmtId="43" fontId="2" fillId="10" borderId="1" xfId="1" applyFont="1" applyFill="1" applyBorder="1"/>
    <xf numFmtId="43" fontId="3" fillId="10" borderId="1" xfId="1" applyFont="1" applyFill="1" applyBorder="1" applyAlignment="1">
      <alignment horizontal="right"/>
    </xf>
    <xf numFmtId="43" fontId="17" fillId="10" borderId="1" xfId="1" quotePrefix="1" applyFont="1" applyFill="1" applyBorder="1" applyAlignment="1">
      <alignment horizontal="right"/>
    </xf>
    <xf numFmtId="43" fontId="4" fillId="10" borderId="1" xfId="1" quotePrefix="1" applyFont="1" applyFill="1" applyBorder="1" applyAlignment="1">
      <alignment horizontal="right"/>
    </xf>
    <xf numFmtId="0" fontId="2" fillId="10" borderId="1" xfId="0" applyFont="1" applyFill="1" applyBorder="1"/>
    <xf numFmtId="43" fontId="17" fillId="10" borderId="1" xfId="0" applyNumberFormat="1" applyFont="1" applyFill="1" applyBorder="1"/>
    <xf numFmtId="43" fontId="4" fillId="10" borderId="1" xfId="0" applyNumberFormat="1" applyFont="1" applyFill="1" applyBorder="1"/>
    <xf numFmtId="43" fontId="14" fillId="10" borderId="1" xfId="1" applyFont="1" applyFill="1" applyBorder="1"/>
    <xf numFmtId="43" fontId="37" fillId="10" borderId="1" xfId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49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center"/>
    </xf>
    <xf numFmtId="0" fontId="29" fillId="4" borderId="0" xfId="0" applyFont="1" applyFill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7" xfId="0" applyFont="1" applyBorder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8" fillId="4" borderId="0" xfId="0" applyFont="1" applyFill="1" applyAlignment="1"/>
    <xf numFmtId="0" fontId="2" fillId="4" borderId="0" xfId="0" applyFont="1" applyFill="1" applyAlignment="1">
      <alignment horizontal="center" vertical="center"/>
    </xf>
    <xf numFmtId="0" fontId="29" fillId="4" borderId="0" xfId="0" applyFont="1" applyFill="1" applyAlignment="1">
      <alignment horizontal="center"/>
    </xf>
    <xf numFmtId="0" fontId="42" fillId="4" borderId="0" xfId="0" applyFont="1" applyFill="1" applyAlignment="1">
      <alignment horizontal="center"/>
    </xf>
    <xf numFmtId="0" fontId="43" fillId="0" borderId="0" xfId="0" applyFont="1" applyAlignment="1">
      <alignment horizontal="center"/>
    </xf>
    <xf numFmtId="0" fontId="43" fillId="0" borderId="1" xfId="0" applyFont="1" applyBorder="1" applyAlignment="1">
      <alignment horizontal="left"/>
    </xf>
    <xf numFmtId="0" fontId="31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/>
    <xf numFmtId="0" fontId="2" fillId="0" borderId="1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/>
    <xf numFmtId="49" fontId="2" fillId="0" borderId="4" xfId="0" applyNumberFormat="1" applyFont="1" applyBorder="1" applyAlignment="1"/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3" fillId="4" borderId="0" xfId="0" applyFont="1" applyFill="1" applyAlignment="1"/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3.xml"/><Relationship Id="rId47" Type="http://schemas.openxmlformats.org/officeDocument/2006/relationships/externalLink" Target="externalLinks/externalLink8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externalLink" Target="externalLinks/externalLink6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5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4.xml"/><Relationship Id="rId48" Type="http://schemas.openxmlformats.org/officeDocument/2006/relationships/externalLink" Target="externalLinks/externalLink9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2/December%202022%20Payroll/December,%20%202022%20Salar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19%20to%202021/BASIC%20SALARY%20SCHEDUL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/October%202022%20Payroll/Deductions%20for%20Cooper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NILDS%20Tax%20Schedule%20October%20202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NILDS%20Tax%20Schedule%202022%20new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7">
          <cell r="X7">
            <v>21640.882666666668</v>
          </cell>
        </row>
        <row r="11">
          <cell r="X11">
            <v>54812.468586666662</v>
          </cell>
        </row>
        <row r="15">
          <cell r="X15">
            <v>75440.404746666667</v>
          </cell>
        </row>
        <row r="16">
          <cell r="X16">
            <v>54931.226666666662</v>
          </cell>
        </row>
        <row r="20">
          <cell r="X20">
            <v>54931.226666666662</v>
          </cell>
        </row>
        <row r="24">
          <cell r="X24">
            <v>75572.938666666669</v>
          </cell>
        </row>
        <row r="25">
          <cell r="X25">
            <v>53384.122666666663</v>
          </cell>
        </row>
        <row r="29">
          <cell r="X29">
            <v>94644.621866666668</v>
          </cell>
        </row>
        <row r="31">
          <cell r="X31">
            <v>25571.732666666667</v>
          </cell>
        </row>
        <row r="35">
          <cell r="X35">
            <v>42034.243346666663</v>
          </cell>
        </row>
        <row r="39">
          <cell r="X39">
            <v>31653.201066666661</v>
          </cell>
        </row>
        <row r="40">
          <cell r="X40">
            <v>31749.120666666666</v>
          </cell>
        </row>
        <row r="41">
          <cell r="X41">
            <v>21640.882666666668</v>
          </cell>
        </row>
        <row r="42">
          <cell r="X42">
            <v>8312.5899999999983</v>
          </cell>
        </row>
        <row r="45">
          <cell r="X45">
            <v>3951.8553333333325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ember 2022"/>
      <sheetName val="Summary Nov"/>
      <sheetName val="December 2022 (2)"/>
      <sheetName val="December 2022 (3)"/>
      <sheetName val="Sheet1"/>
      <sheetName val="MEMO 1"/>
      <sheetName val="Half Salary Allowance "/>
      <sheetName val="Promotion Effect"/>
      <sheetName val="movemt to Contract schedule"/>
      <sheetName val="Adjustment of Hardship Allowanc"/>
      <sheetName val="Christmass Welfare (1)"/>
      <sheetName val="Christmass Welfare (2)"/>
      <sheetName val="Sheet5"/>
      <sheetName val="Promotion Arrear"/>
      <sheetName val="Arrears in Nov"/>
      <sheetName val="Tax Effect on Promotion"/>
      <sheetName val="Tax adj August, 2022"/>
      <sheetName val="Retirement"/>
      <sheetName val="New staff"/>
      <sheetName val="Annual Increement"/>
      <sheetName val="Enhanced Welfare 2023"/>
      <sheetName val="Enhanced Welfare 2023 (2)"/>
      <sheetName val="Enhanced Welfare 2023 (3)"/>
      <sheetName val="Sheet4"/>
      <sheetName val="Enhanced Welfare 2022"/>
      <sheetName val="13 month"/>
      <sheetName val="Salah Welfare"/>
      <sheetName val="Sheet3"/>
      <sheetName val="Promotion"/>
      <sheetName val="Library"/>
      <sheetName val="New staff (3)"/>
      <sheetName val="Welfare 2"/>
      <sheetName val="ADjustment"/>
      <sheetName val="Hardship 2"/>
      <sheetName val="ADDITIONAL STAFF"/>
      <sheetName val="ANNUAL INCREMENT"/>
      <sheetName val="ARREARS"/>
      <sheetName val="Housing 2021 4 to 10"/>
      <sheetName val="Housing 2021"/>
      <sheetName val="HARDSHIP"/>
      <sheetName val="Welfare"/>
      <sheetName val="Sheet2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Noninal roll"/>
      <sheetName val="Cooperative Deduction"/>
    </sheetNames>
    <sheetDataSet>
      <sheetData sheetId="0">
        <row r="126">
          <cell r="E126">
            <v>25854.1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7">
          <cell r="D17">
            <v>24975.81</v>
          </cell>
        </row>
        <row r="40">
          <cell r="D40">
            <v>4915.9399999999996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>
        <row r="182">
          <cell r="D182">
            <v>175000</v>
          </cell>
        </row>
        <row r="184">
          <cell r="D184">
            <v>43750</v>
          </cell>
        </row>
      </sheetData>
      <sheetData sheetId="77" refreshError="1"/>
      <sheetData sheetId="7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4">
          <cell r="Z24">
            <v>31749.120666666666</v>
          </cell>
        </row>
        <row r="29">
          <cell r="Z29">
            <v>21640.882666666668</v>
          </cell>
        </row>
        <row r="30">
          <cell r="Z30">
            <v>25571.732666666667</v>
          </cell>
        </row>
        <row r="50">
          <cell r="Z50">
            <v>54812.468586666662</v>
          </cell>
        </row>
        <row r="62">
          <cell r="Z62">
            <v>54931.226666666662</v>
          </cell>
        </row>
        <row r="78">
          <cell r="Z78">
            <v>54931.226666666662</v>
          </cell>
        </row>
        <row r="85">
          <cell r="Z85">
            <v>75440.404746666667</v>
          </cell>
        </row>
        <row r="86">
          <cell r="Z86">
            <v>75572.938666666669</v>
          </cell>
        </row>
        <row r="89">
          <cell r="Z89">
            <v>53384.122666666663</v>
          </cell>
        </row>
        <row r="97">
          <cell r="Z97">
            <v>94644.621866666668</v>
          </cell>
        </row>
        <row r="118">
          <cell r="Z118">
            <v>42034.243346666663</v>
          </cell>
        </row>
        <row r="129">
          <cell r="Z129">
            <v>42047.769026666661</v>
          </cell>
        </row>
        <row r="134">
          <cell r="Z134">
            <v>31653.201066666661</v>
          </cell>
        </row>
        <row r="145">
          <cell r="Z145">
            <v>21640.882666666668</v>
          </cell>
        </row>
        <row r="164">
          <cell r="Z164">
            <v>8312.5899999999983</v>
          </cell>
        </row>
        <row r="177">
          <cell r="Z177">
            <v>3951.8553333333325</v>
          </cell>
        </row>
      </sheetData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Sheet2"/>
    </sheetNames>
    <sheetDataSet>
      <sheetData sheetId="0" refreshError="1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9"/>
  <sheetViews>
    <sheetView tabSelected="1" zoomScaleNormal="100" zoomScaleSheetLayoutView="50" workbookViewId="0">
      <pane xSplit="3" ySplit="7" topLeftCell="W20" activePane="bottomRight" state="frozen"/>
      <selection pane="bottomRight" activeCell="AA5" sqref="AA5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41" customWidth="1"/>
    <col min="2" max="2" width="43.85546875" style="141" customWidth="1"/>
    <col min="3" max="3" width="40.42578125" style="141" customWidth="1"/>
    <col min="4" max="4" width="11.5703125" style="141" customWidth="1"/>
    <col min="5" max="5" width="17.85546875" style="141" customWidth="1"/>
    <col min="6" max="6" width="18" style="141" customWidth="1"/>
    <col min="7" max="7" width="19.42578125" style="141" customWidth="1"/>
    <col min="8" max="8" width="16" style="141" customWidth="1"/>
    <col min="9" max="9" width="18.140625" style="141" customWidth="1"/>
    <col min="10" max="10" width="18" style="141" customWidth="1"/>
    <col min="11" max="11" width="20" style="141" customWidth="1"/>
    <col min="12" max="12" width="18.140625" style="141" customWidth="1"/>
    <col min="13" max="13" width="18.28515625" style="141" customWidth="1"/>
    <col min="14" max="14" width="18.140625" style="141" customWidth="1"/>
    <col min="15" max="15" width="15.7109375" style="141" customWidth="1"/>
    <col min="16" max="16" width="18.28515625" style="141" customWidth="1"/>
    <col min="17" max="17" width="17.85546875" style="141" customWidth="1"/>
    <col min="18" max="18" width="19.28515625" style="141" customWidth="1"/>
    <col min="19" max="19" width="9.140625" style="141" customWidth="1"/>
    <col min="20" max="20" width="18.42578125" style="141" customWidth="1"/>
    <col min="21" max="21" width="17.7109375" style="141" customWidth="1"/>
    <col min="22" max="22" width="14.42578125" style="141" customWidth="1"/>
    <col min="23" max="23" width="18.140625" style="141" customWidth="1"/>
    <col min="24" max="26" width="19.28515625" style="141" customWidth="1"/>
    <col min="27" max="27" width="21.7109375" style="141" customWidth="1"/>
    <col min="28" max="16384" width="9.140625" style="141"/>
  </cols>
  <sheetData>
    <row r="1" spans="1:27" ht="27" customHeight="1">
      <c r="A1" s="393" t="s">
        <v>0</v>
      </c>
      <c r="B1" s="393"/>
      <c r="C1" s="393"/>
      <c r="D1" s="393"/>
      <c r="E1" s="393"/>
      <c r="F1" s="393"/>
      <c r="G1" s="393"/>
      <c r="H1" s="140">
        <f>'[1]FEB 08'!F8/'[1]FEB 08'!Q8</f>
        <v>0.3</v>
      </c>
      <c r="I1" s="145"/>
      <c r="J1" s="140"/>
      <c r="K1" s="140"/>
      <c r="L1" s="140"/>
      <c r="M1" s="140"/>
      <c r="N1" s="140"/>
      <c r="O1" s="140"/>
      <c r="P1" s="140"/>
      <c r="Q1" s="140"/>
    </row>
    <row r="2" spans="1:27" ht="33.75" customHeight="1">
      <c r="A2" s="142" t="s">
        <v>1</v>
      </c>
      <c r="B2" s="143"/>
      <c r="C2" s="142"/>
      <c r="D2" s="142"/>
      <c r="E2" s="144"/>
      <c r="F2" s="144"/>
      <c r="G2" s="144"/>
      <c r="H2" s="145"/>
      <c r="J2" s="145"/>
      <c r="K2" s="145"/>
      <c r="L2" s="145"/>
      <c r="M2" s="145"/>
      <c r="N2" s="145"/>
      <c r="O2" s="145"/>
      <c r="P2" s="145"/>
      <c r="Q2" s="145"/>
      <c r="R2" s="146"/>
      <c r="S2" s="146"/>
      <c r="T2" s="146"/>
      <c r="U2" s="146"/>
      <c r="V2" s="146"/>
      <c r="W2" s="146"/>
      <c r="X2" s="146"/>
      <c r="Y2" s="146"/>
      <c r="Z2" s="146"/>
    </row>
    <row r="3" spans="1:27" ht="9.75" customHeight="1">
      <c r="E3" s="140" t="e">
        <f>'[1]FEB 08'!E11/'[1]FEB 08'!M11</f>
        <v>#REF!</v>
      </c>
      <c r="F3" s="140"/>
      <c r="G3" s="140"/>
      <c r="H3" s="140" t="e">
        <f>'[1]FEB 08'!F11/'[1]FEB 08'!Q11</f>
        <v>#REF!</v>
      </c>
      <c r="I3" s="140"/>
      <c r="J3" s="140"/>
      <c r="K3" s="140"/>
      <c r="L3" s="140"/>
      <c r="M3" s="140"/>
      <c r="N3" s="140"/>
      <c r="O3" s="140"/>
      <c r="P3" s="140"/>
      <c r="Q3" s="140"/>
    </row>
    <row r="4" spans="1:27" ht="49.5" customHeight="1">
      <c r="A4" s="19"/>
      <c r="B4" s="147" t="s">
        <v>2</v>
      </c>
      <c r="C4" s="148" t="s">
        <v>3</v>
      </c>
      <c r="D4" s="149" t="s">
        <v>4</v>
      </c>
      <c r="E4" s="150" t="s">
        <v>5</v>
      </c>
      <c r="F4" s="150" t="s">
        <v>6</v>
      </c>
      <c r="G4" s="151" t="s">
        <v>7</v>
      </c>
      <c r="H4" s="151" t="s">
        <v>8</v>
      </c>
      <c r="I4" s="150" t="s">
        <v>9</v>
      </c>
      <c r="J4" s="151" t="s">
        <v>10</v>
      </c>
      <c r="K4" s="151" t="s">
        <v>11</v>
      </c>
      <c r="L4" s="151" t="s">
        <v>12</v>
      </c>
      <c r="M4" s="150" t="s">
        <v>13</v>
      </c>
      <c r="N4" s="150" t="s">
        <v>13</v>
      </c>
      <c r="O4" s="151" t="s">
        <v>14</v>
      </c>
      <c r="P4" s="151" t="s">
        <v>14</v>
      </c>
      <c r="Q4" s="150" t="s">
        <v>15</v>
      </c>
      <c r="R4" s="180" t="s">
        <v>16</v>
      </c>
      <c r="S4" s="150" t="s">
        <v>17</v>
      </c>
      <c r="T4" s="150" t="s">
        <v>18</v>
      </c>
      <c r="U4" s="150" t="s">
        <v>19</v>
      </c>
      <c r="V4" s="150" t="s">
        <v>20</v>
      </c>
      <c r="W4" s="151" t="s">
        <v>21</v>
      </c>
      <c r="X4" s="232" t="s">
        <v>22</v>
      </c>
      <c r="Y4" s="152" t="s">
        <v>23</v>
      </c>
      <c r="Z4" s="198" t="s">
        <v>24</v>
      </c>
    </row>
    <row r="5" spans="1:27" ht="17.25" customHeight="1">
      <c r="C5" s="154"/>
      <c r="D5" s="154"/>
      <c r="E5" s="155" t="s">
        <v>25</v>
      </c>
      <c r="F5" s="28"/>
      <c r="G5" s="155" t="s">
        <v>25</v>
      </c>
      <c r="H5" s="155" t="s">
        <v>25</v>
      </c>
      <c r="I5" s="155" t="s">
        <v>25</v>
      </c>
      <c r="J5" s="155" t="s">
        <v>25</v>
      </c>
      <c r="K5" s="155" t="s">
        <v>25</v>
      </c>
      <c r="L5" s="155" t="s">
        <v>25</v>
      </c>
      <c r="M5" s="155" t="s">
        <v>25</v>
      </c>
      <c r="N5" s="155" t="s">
        <v>25</v>
      </c>
      <c r="O5" s="155" t="s">
        <v>25</v>
      </c>
      <c r="P5" s="155" t="s">
        <v>25</v>
      </c>
      <c r="Q5" s="155" t="s">
        <v>25</v>
      </c>
      <c r="R5" s="187" t="s">
        <v>25</v>
      </c>
      <c r="S5" s="155" t="s">
        <v>25</v>
      </c>
      <c r="T5" s="155" t="s">
        <v>25</v>
      </c>
      <c r="U5" s="155" t="s">
        <v>25</v>
      </c>
      <c r="V5" s="155" t="s">
        <v>25</v>
      </c>
      <c r="W5" s="155" t="s">
        <v>25</v>
      </c>
      <c r="X5" s="233" t="s">
        <v>25</v>
      </c>
      <c r="Y5" s="155" t="s">
        <v>25</v>
      </c>
      <c r="Z5" s="193" t="s">
        <v>25</v>
      </c>
    </row>
    <row r="6" spans="1:27" ht="20.100000000000001" customHeight="1">
      <c r="A6" s="153" t="s">
        <v>26</v>
      </c>
      <c r="B6" s="154" t="s">
        <v>27</v>
      </c>
      <c r="C6" s="154"/>
      <c r="D6" s="154"/>
      <c r="E6" s="155"/>
      <c r="F6" s="28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87"/>
      <c r="S6" s="155"/>
      <c r="T6" s="155"/>
      <c r="U6" s="155"/>
      <c r="V6" s="155"/>
      <c r="W6" s="155"/>
      <c r="X6" s="233"/>
      <c r="Y6" s="155"/>
      <c r="Z6" s="193"/>
    </row>
    <row r="7" spans="1:27" ht="20.100000000000001" customHeight="1">
      <c r="A7" s="27">
        <v>1</v>
      </c>
      <c r="B7" s="133" t="s">
        <v>28</v>
      </c>
      <c r="C7" s="138" t="s">
        <v>29</v>
      </c>
      <c r="D7" s="138" t="s">
        <v>30</v>
      </c>
      <c r="E7" s="22">
        <v>160488.75</v>
      </c>
      <c r="F7" s="22"/>
      <c r="G7" s="22">
        <v>320977.5</v>
      </c>
      <c r="H7" s="22">
        <v>48146.63</v>
      </c>
      <c r="I7" s="22">
        <v>120366.57</v>
      </c>
      <c r="J7" s="22">
        <v>72219.94</v>
      </c>
      <c r="K7" s="22">
        <v>0</v>
      </c>
      <c r="L7" s="22">
        <v>120366.57</v>
      </c>
      <c r="M7" s="156">
        <f>250000</f>
        <v>250000</v>
      </c>
      <c r="N7" s="156"/>
      <c r="O7" s="22">
        <v>16048.88</v>
      </c>
      <c r="P7" s="22">
        <v>25000</v>
      </c>
      <c r="Q7" s="22">
        <v>25235</v>
      </c>
      <c r="R7" s="181">
        <f>Q7+P7+O7+N7+M7+L7+K7+J7+I7+H7+G7+F7+E7</f>
        <v>1158849.8399999999</v>
      </c>
      <c r="S7" s="22"/>
      <c r="T7" s="22"/>
      <c r="U7" s="22"/>
      <c r="V7" s="22"/>
      <c r="W7" s="22">
        <v>201165.83594666663</v>
      </c>
      <c r="X7" s="234">
        <f t="shared" ref="X7:X30" si="0">W7+V7+U7+T7+S7</f>
        <v>201165.83594666663</v>
      </c>
      <c r="Y7" s="22">
        <v>957684.00405333319</v>
      </c>
      <c r="Z7" s="184">
        <f t="shared" ref="Z7:Z30" si="1">R7-X7</f>
        <v>957684.00405333319</v>
      </c>
      <c r="AA7" s="157"/>
    </row>
    <row r="8" spans="1:27" ht="20.100000000000001" customHeight="1">
      <c r="A8" s="27">
        <v>2</v>
      </c>
      <c r="B8" s="133" t="s">
        <v>31</v>
      </c>
      <c r="C8" s="138" t="s">
        <v>32</v>
      </c>
      <c r="D8" s="27" t="s">
        <v>33</v>
      </c>
      <c r="E8" s="22">
        <f>42653.17</f>
        <v>42653.17</v>
      </c>
      <c r="F8" s="24"/>
      <c r="G8" s="24">
        <f>E8*300%</f>
        <v>127959.51</v>
      </c>
      <c r="H8" s="24">
        <f>E8*7.5%</f>
        <v>3198.9877499999998</v>
      </c>
      <c r="I8" s="24">
        <v>40122.19</v>
      </c>
      <c r="J8" s="24">
        <f>E8*50%</f>
        <v>21326.584999999999</v>
      </c>
      <c r="K8" s="24">
        <f>E8*350%</f>
        <v>149286.095</v>
      </c>
      <c r="L8" s="24">
        <f>E8*100%</f>
        <v>42653.17</v>
      </c>
      <c r="M8" s="156"/>
      <c r="N8" s="156">
        <f>90000</f>
        <v>90000</v>
      </c>
      <c r="O8" s="24">
        <f>E8*10%</f>
        <v>4265.317</v>
      </c>
      <c r="P8" s="24">
        <v>20000</v>
      </c>
      <c r="Q8" s="22">
        <v>0</v>
      </c>
      <c r="R8" s="181">
        <f t="shared" ref="R8:R23" si="2">Q8+P8+O8+N8+M8+L8+K8+J8+I8+H8+G8+F8+E8</f>
        <v>541465.02474999998</v>
      </c>
      <c r="S8" s="22"/>
      <c r="T8" s="22">
        <f>100000</f>
        <v>100000</v>
      </c>
      <c r="U8" s="22"/>
      <c r="V8" s="22"/>
      <c r="W8" s="22">
        <v>82627.951418666678</v>
      </c>
      <c r="X8" s="234">
        <f t="shared" si="0"/>
        <v>182627.95141866669</v>
      </c>
      <c r="Y8" s="22">
        <v>358837.07333133329</v>
      </c>
      <c r="Z8" s="184">
        <f t="shared" si="1"/>
        <v>358837.07333133329</v>
      </c>
      <c r="AA8" s="157"/>
    </row>
    <row r="9" spans="1:27" ht="20.100000000000001" customHeight="1">
      <c r="A9" s="27">
        <v>3</v>
      </c>
      <c r="B9" s="135" t="s">
        <v>34</v>
      </c>
      <c r="C9" s="19" t="s">
        <v>35</v>
      </c>
      <c r="D9" s="158" t="s">
        <v>36</v>
      </c>
      <c r="E9" s="24">
        <v>41157.69</v>
      </c>
      <c r="F9" s="24"/>
      <c r="G9" s="24">
        <f t="shared" ref="G9" si="3">E9*300%</f>
        <v>123473.07</v>
      </c>
      <c r="H9" s="24">
        <f t="shared" ref="H9" si="4">E9*7.5%</f>
        <v>3086.8267500000002</v>
      </c>
      <c r="I9" s="24">
        <v>40122.19</v>
      </c>
      <c r="J9" s="24">
        <f>E9*50%</f>
        <v>20578.845000000001</v>
      </c>
      <c r="K9" s="22">
        <f t="shared" ref="K9" si="5">E9*350%</f>
        <v>144051.91500000001</v>
      </c>
      <c r="L9" s="24">
        <f t="shared" ref="L9" si="6">E9*100%</f>
        <v>41157.69</v>
      </c>
      <c r="M9" s="156"/>
      <c r="N9" s="156">
        <f>90000</f>
        <v>90000</v>
      </c>
      <c r="O9" s="24">
        <f t="shared" ref="O9" si="7">E9*10%</f>
        <v>4115.7690000000002</v>
      </c>
      <c r="P9" s="24">
        <v>20000</v>
      </c>
      <c r="Q9" s="24">
        <f>100000+100000</f>
        <v>200000</v>
      </c>
      <c r="R9" s="181">
        <f t="shared" si="2"/>
        <v>727743.99575</v>
      </c>
      <c r="S9" s="22"/>
      <c r="T9" s="22"/>
      <c r="U9" s="22"/>
      <c r="V9" s="22"/>
      <c r="W9" s="24">
        <v>118393.51</v>
      </c>
      <c r="X9" s="234">
        <f t="shared" si="0"/>
        <v>118393.51</v>
      </c>
      <c r="Y9" s="22">
        <v>609350.48574999999</v>
      </c>
      <c r="Z9" s="184">
        <f t="shared" si="1"/>
        <v>609350.48574999999</v>
      </c>
      <c r="AA9" s="157"/>
    </row>
    <row r="10" spans="1:27" ht="20.100000000000001" customHeight="1">
      <c r="A10" s="27">
        <v>4</v>
      </c>
      <c r="B10" s="133" t="s">
        <v>37</v>
      </c>
      <c r="C10" s="92" t="s">
        <v>38</v>
      </c>
      <c r="D10" s="23" t="s">
        <v>36</v>
      </c>
      <c r="E10" s="24">
        <f t="shared" ref="E10:E11" si="8">41157.69</f>
        <v>41157.69</v>
      </c>
      <c r="F10" s="24"/>
      <c r="G10" s="24">
        <f>E10*300%</f>
        <v>123473.07</v>
      </c>
      <c r="H10" s="24">
        <f>E10*7.5%</f>
        <v>3086.8267500000002</v>
      </c>
      <c r="I10" s="24">
        <v>40122.19</v>
      </c>
      <c r="J10" s="24">
        <f>E10*50%</f>
        <v>20578.845000000001</v>
      </c>
      <c r="K10" s="24">
        <f>E10*350%</f>
        <v>144051.91500000001</v>
      </c>
      <c r="L10" s="24">
        <f>E10*100%</f>
        <v>41157.69</v>
      </c>
      <c r="M10" s="156">
        <v>180000</v>
      </c>
      <c r="N10" s="156"/>
      <c r="O10" s="24">
        <f>E10*10%</f>
        <v>4115.7690000000002</v>
      </c>
      <c r="P10" s="24">
        <v>20000</v>
      </c>
      <c r="Q10" s="24">
        <v>0</v>
      </c>
      <c r="R10" s="181">
        <f t="shared" si="2"/>
        <v>617743.99575</v>
      </c>
      <c r="S10" s="22"/>
      <c r="T10" s="24">
        <f>50000</f>
        <v>50000</v>
      </c>
      <c r="U10" s="24">
        <v>0</v>
      </c>
      <c r="V10" s="24">
        <v>1028.9422500000001</v>
      </c>
      <c r="W10" s="24">
        <v>97112.68</v>
      </c>
      <c r="X10" s="234">
        <f t="shared" si="0"/>
        <v>148141.62224999999</v>
      </c>
      <c r="Y10" s="22">
        <v>469602.37349999999</v>
      </c>
      <c r="Z10" s="184">
        <f t="shared" si="1"/>
        <v>469602.37349999999</v>
      </c>
      <c r="AA10" s="157"/>
    </row>
    <row r="11" spans="1:27" ht="20.100000000000001" customHeight="1">
      <c r="A11" s="27">
        <v>5</v>
      </c>
      <c r="B11" s="135" t="s">
        <v>39</v>
      </c>
      <c r="C11" s="19" t="s">
        <v>40</v>
      </c>
      <c r="D11" s="23" t="s">
        <v>36</v>
      </c>
      <c r="E11" s="24">
        <f t="shared" si="8"/>
        <v>41157.69</v>
      </c>
      <c r="F11" s="24"/>
      <c r="G11" s="24">
        <f t="shared" ref="G11:G15" si="9">E11*300%</f>
        <v>123473.07</v>
      </c>
      <c r="H11" s="24">
        <f t="shared" ref="H11:H15" si="10">E11*7.5%</f>
        <v>3086.8267500000002</v>
      </c>
      <c r="I11" s="24">
        <v>40122.19</v>
      </c>
      <c r="J11" s="24">
        <f t="shared" ref="J11:J12" si="11">E11*50%</f>
        <v>20578.845000000001</v>
      </c>
      <c r="K11" s="24">
        <f t="shared" ref="K11:K15" si="12">E11*350%</f>
        <v>144051.91500000001</v>
      </c>
      <c r="L11" s="24">
        <f t="shared" ref="L11:L15" si="13">E11*100%</f>
        <v>41157.69</v>
      </c>
      <c r="M11" s="156"/>
      <c r="N11" s="156">
        <f>80000+10000</f>
        <v>90000</v>
      </c>
      <c r="O11" s="24">
        <f t="shared" ref="O11:O15" si="14">E11*10%</f>
        <v>4115.7690000000002</v>
      </c>
      <c r="P11" s="24">
        <v>20000</v>
      </c>
      <c r="Q11" s="22">
        <v>150000</v>
      </c>
      <c r="R11" s="181">
        <f t="shared" si="2"/>
        <v>677743.99575</v>
      </c>
      <c r="S11" s="22"/>
      <c r="T11" s="22">
        <f>20000+60000</f>
        <v>80000</v>
      </c>
      <c r="U11" s="22">
        <f>'[2]OCTOBER 2023 '!$D$193</f>
        <v>230499.8</v>
      </c>
      <c r="V11" s="22">
        <v>1028.9422500000001</v>
      </c>
      <c r="W11" s="22">
        <f>108632.68</f>
        <v>108632.68</v>
      </c>
      <c r="X11" s="234">
        <f t="shared" si="0"/>
        <v>420161.42224999995</v>
      </c>
      <c r="Y11" s="22">
        <v>257582.57350000006</v>
      </c>
      <c r="Z11" s="184">
        <f t="shared" si="1"/>
        <v>257582.57350000006</v>
      </c>
      <c r="AA11" s="157"/>
    </row>
    <row r="12" spans="1:27" ht="20.100000000000001" customHeight="1">
      <c r="A12" s="27">
        <v>6</v>
      </c>
      <c r="B12" s="134" t="s">
        <v>41</v>
      </c>
      <c r="C12" s="27" t="s">
        <v>42</v>
      </c>
      <c r="D12" s="158" t="s">
        <v>36</v>
      </c>
      <c r="E12" s="24">
        <v>41157.69</v>
      </c>
      <c r="F12" s="24"/>
      <c r="G12" s="24">
        <f t="shared" si="9"/>
        <v>123473.07</v>
      </c>
      <c r="H12" s="24">
        <f t="shared" si="10"/>
        <v>3086.8267500000002</v>
      </c>
      <c r="I12" s="24">
        <v>40122.19</v>
      </c>
      <c r="J12" s="24">
        <f t="shared" si="11"/>
        <v>20578.845000000001</v>
      </c>
      <c r="K12" s="24">
        <f t="shared" si="12"/>
        <v>144051.91500000001</v>
      </c>
      <c r="L12" s="24">
        <f t="shared" si="13"/>
        <v>41157.69</v>
      </c>
      <c r="M12" s="156"/>
      <c r="N12" s="156">
        <f>90000</f>
        <v>90000</v>
      </c>
      <c r="O12" s="24">
        <f t="shared" si="14"/>
        <v>4115.7690000000002</v>
      </c>
      <c r="P12" s="24">
        <v>20000</v>
      </c>
      <c r="Q12" s="24">
        <v>100000</v>
      </c>
      <c r="R12" s="181">
        <f>SUM(E12:Q12)</f>
        <v>627743.99575</v>
      </c>
      <c r="S12" s="22"/>
      <c r="T12" s="22">
        <f>50000</f>
        <v>50000</v>
      </c>
      <c r="U12" s="22">
        <f>91666.67</f>
        <v>91666.67</v>
      </c>
      <c r="V12" s="22"/>
      <c r="W12" s="24">
        <f>99193.51</f>
        <v>99193.51</v>
      </c>
      <c r="X12" s="234">
        <f>W12+V12+U12+T12+S12</f>
        <v>240860.18</v>
      </c>
      <c r="Y12" s="22">
        <v>386883.81575000001</v>
      </c>
      <c r="Z12" s="184">
        <f>R12-X12</f>
        <v>386883.81575000001</v>
      </c>
      <c r="AA12" s="157"/>
    </row>
    <row r="13" spans="1:27" ht="20.100000000000001" customHeight="1">
      <c r="A13" s="27">
        <v>7</v>
      </c>
      <c r="B13" s="133" t="s">
        <v>43</v>
      </c>
      <c r="C13" s="138" t="s">
        <v>44</v>
      </c>
      <c r="D13" s="158" t="s">
        <v>45</v>
      </c>
      <c r="E13" s="24">
        <v>33507.5</v>
      </c>
      <c r="F13" s="24"/>
      <c r="G13" s="24">
        <f>E13*300%</f>
        <v>100522.5</v>
      </c>
      <c r="H13" s="24">
        <f>E13*7.5%</f>
        <v>2513.0625</v>
      </c>
      <c r="I13" s="24">
        <f>40122.19</f>
        <v>40122.19</v>
      </c>
      <c r="J13" s="24">
        <f>E13*50%</f>
        <v>16753.75</v>
      </c>
      <c r="K13" s="22">
        <f>E13*350%</f>
        <v>117276.25</v>
      </c>
      <c r="L13" s="24">
        <f>E13*100%</f>
        <v>33507.5</v>
      </c>
      <c r="M13" s="156"/>
      <c r="N13" s="156">
        <f t="shared" ref="N13:N123" si="15">80000</f>
        <v>80000</v>
      </c>
      <c r="O13" s="24">
        <f>E13*10%</f>
        <v>3350.75</v>
      </c>
      <c r="P13" s="24">
        <v>20000</v>
      </c>
      <c r="Q13" s="24">
        <v>50000</v>
      </c>
      <c r="R13" s="181">
        <f t="shared" si="2"/>
        <v>497553.5025</v>
      </c>
      <c r="S13" s="22"/>
      <c r="T13" s="22">
        <f>50000-40000</f>
        <v>10000</v>
      </c>
      <c r="U13" s="22">
        <f>90000+110000</f>
        <v>200000</v>
      </c>
      <c r="V13" s="22">
        <v>837.6875</v>
      </c>
      <c r="W13" s="24">
        <f>74036.1</f>
        <v>74036.100000000006</v>
      </c>
      <c r="X13" s="234">
        <f t="shared" si="0"/>
        <v>284873.78749999998</v>
      </c>
      <c r="Y13" s="22">
        <v>212679.71500000003</v>
      </c>
      <c r="Z13" s="184">
        <f t="shared" si="1"/>
        <v>212679.71500000003</v>
      </c>
      <c r="AA13" s="157"/>
    </row>
    <row r="14" spans="1:27" ht="20.100000000000001" customHeight="1">
      <c r="A14" s="27">
        <v>8</v>
      </c>
      <c r="B14" s="133" t="s">
        <v>46</v>
      </c>
      <c r="C14" s="19" t="s">
        <v>47</v>
      </c>
      <c r="D14" s="27" t="s">
        <v>48</v>
      </c>
      <c r="E14" s="24">
        <v>31019.84</v>
      </c>
      <c r="F14" s="24"/>
      <c r="G14" s="24">
        <f>E14*300%</f>
        <v>93059.520000000004</v>
      </c>
      <c r="H14" s="24">
        <f>E14*7.5%</f>
        <v>2326.4879999999998</v>
      </c>
      <c r="I14" s="24">
        <f>40122.19</f>
        <v>40122.19</v>
      </c>
      <c r="J14" s="24">
        <f>E14*50%</f>
        <v>15509.92</v>
      </c>
      <c r="K14" s="24">
        <f>E14*350%</f>
        <v>108569.44</v>
      </c>
      <c r="L14" s="24">
        <f>E14*100%</f>
        <v>31019.84</v>
      </c>
      <c r="M14" s="156">
        <v>160000</v>
      </c>
      <c r="N14" s="156"/>
      <c r="O14" s="24">
        <f>E14*10%</f>
        <v>3101.9840000000004</v>
      </c>
      <c r="P14" s="24">
        <v>20000</v>
      </c>
      <c r="Q14" s="24">
        <f>100000</f>
        <v>100000</v>
      </c>
      <c r="R14" s="22">
        <f>SUM(E14:Q14)</f>
        <v>604729.22200000007</v>
      </c>
      <c r="S14" s="22"/>
      <c r="T14" s="22"/>
      <c r="U14" s="22"/>
      <c r="V14" s="22">
        <f>PROMOTIONS!V29</f>
        <v>837.69</v>
      </c>
      <c r="W14" s="22">
        <f>[3]PROMOTIONS!$X$29</f>
        <v>94644.621866666668</v>
      </c>
      <c r="X14" s="234">
        <f>W14+V14+U14+T14+S14</f>
        <v>95482.311866666671</v>
      </c>
      <c r="Y14" s="22">
        <v>509246.91013333341</v>
      </c>
      <c r="Z14" s="184">
        <f>R14-X14</f>
        <v>509246.91013333341</v>
      </c>
      <c r="AA14" s="157"/>
    </row>
    <row r="15" spans="1:27" ht="20.100000000000001" customHeight="1">
      <c r="A15" s="27">
        <v>9</v>
      </c>
      <c r="B15" s="133" t="s">
        <v>49</v>
      </c>
      <c r="C15" s="19" t="s">
        <v>50</v>
      </c>
      <c r="D15" s="158" t="s">
        <v>51</v>
      </c>
      <c r="E15" s="24">
        <v>27611.23</v>
      </c>
      <c r="F15" s="24"/>
      <c r="G15" s="24">
        <f t="shared" si="9"/>
        <v>82833.69</v>
      </c>
      <c r="H15" s="24">
        <f t="shared" si="10"/>
        <v>2070.8422499999997</v>
      </c>
      <c r="I15" s="22">
        <v>0</v>
      </c>
      <c r="J15" s="24">
        <f t="shared" ref="J15:J18" si="16">E15*50%</f>
        <v>13805.615</v>
      </c>
      <c r="K15" s="22">
        <f t="shared" si="12"/>
        <v>96639.304999999993</v>
      </c>
      <c r="L15" s="24">
        <f t="shared" si="13"/>
        <v>27611.23</v>
      </c>
      <c r="M15" s="156"/>
      <c r="N15" s="156">
        <f t="shared" ref="N15" si="17">70000</f>
        <v>70000</v>
      </c>
      <c r="O15" s="24">
        <f t="shared" si="14"/>
        <v>2761.123</v>
      </c>
      <c r="P15" s="24">
        <v>20000</v>
      </c>
      <c r="Q15" s="24">
        <f>0</f>
        <v>0</v>
      </c>
      <c r="R15" s="181">
        <f t="shared" si="2"/>
        <v>343333.03524999996</v>
      </c>
      <c r="S15" s="22"/>
      <c r="T15" s="22"/>
      <c r="U15" s="22"/>
      <c r="V15" s="22"/>
      <c r="W15" s="24">
        <v>44846.62</v>
      </c>
      <c r="X15" s="234">
        <f t="shared" si="0"/>
        <v>44846.62</v>
      </c>
      <c r="Y15" s="22">
        <v>298486.41524999996</v>
      </c>
      <c r="Z15" s="184">
        <f t="shared" si="1"/>
        <v>298486.41524999996</v>
      </c>
      <c r="AA15" s="157"/>
    </row>
    <row r="16" spans="1:27" ht="20.100000000000001" customHeight="1">
      <c r="A16" s="27">
        <v>10</v>
      </c>
      <c r="B16" s="135" t="s">
        <v>52</v>
      </c>
      <c r="C16" s="92" t="s">
        <v>53</v>
      </c>
      <c r="D16" s="158" t="s">
        <v>54</v>
      </c>
      <c r="E16" s="24">
        <v>26732.65</v>
      </c>
      <c r="F16" s="24"/>
      <c r="G16" s="24">
        <v>80197.950000000012</v>
      </c>
      <c r="H16" s="24">
        <v>2004.94875</v>
      </c>
      <c r="I16" s="24">
        <v>0</v>
      </c>
      <c r="J16" s="24">
        <v>13366.325000000001</v>
      </c>
      <c r="K16" s="22">
        <v>93564.275000000009</v>
      </c>
      <c r="L16" s="24">
        <v>26732.65</v>
      </c>
      <c r="M16" s="156">
        <v>140000</v>
      </c>
      <c r="N16" s="156"/>
      <c r="O16" s="24">
        <v>2673.2650000000003</v>
      </c>
      <c r="P16" s="24">
        <v>20000</v>
      </c>
      <c r="Q16" s="24">
        <v>50000</v>
      </c>
      <c r="R16" s="181">
        <f>SUM(E16:Q16)</f>
        <v>455272.06374999997</v>
      </c>
      <c r="S16" s="22"/>
      <c r="T16" s="22">
        <f>50000</f>
        <v>50000</v>
      </c>
      <c r="U16" s="22"/>
      <c r="V16" s="22"/>
      <c r="W16" s="22">
        <f>66078.9</f>
        <v>66078.899999999994</v>
      </c>
      <c r="X16" s="237">
        <f t="shared" si="0"/>
        <v>116078.9</v>
      </c>
      <c r="Y16" s="22">
        <v>297355.65374999994</v>
      </c>
      <c r="Z16" s="184">
        <f t="shared" si="1"/>
        <v>339193.16374999995</v>
      </c>
      <c r="AA16" s="157"/>
    </row>
    <row r="17" spans="1:27" ht="20.100000000000001" customHeight="1">
      <c r="A17" s="27">
        <v>11</v>
      </c>
      <c r="B17" s="133" t="s">
        <v>55</v>
      </c>
      <c r="C17" s="19" t="s">
        <v>56</v>
      </c>
      <c r="D17" s="27" t="s">
        <v>57</v>
      </c>
      <c r="E17" s="24">
        <v>26339.3</v>
      </c>
      <c r="F17" s="24"/>
      <c r="G17" s="24">
        <f>E17*300%</f>
        <v>79017.899999999994</v>
      </c>
      <c r="H17" s="24">
        <f>E17*7.5%</f>
        <v>1975.4474999999998</v>
      </c>
      <c r="I17" s="24">
        <v>0</v>
      </c>
      <c r="J17" s="24">
        <f>E17*50%</f>
        <v>13169.65</v>
      </c>
      <c r="K17" s="24">
        <f>E17*350%</f>
        <v>92187.55</v>
      </c>
      <c r="L17" s="24">
        <f>E17*100%</f>
        <v>26339.3</v>
      </c>
      <c r="M17" s="156"/>
      <c r="N17" s="156">
        <v>70000</v>
      </c>
      <c r="O17" s="24">
        <f>E17*10%</f>
        <v>2633.9300000000003</v>
      </c>
      <c r="P17" s="24">
        <v>15000</v>
      </c>
      <c r="Q17" s="24"/>
      <c r="R17" s="181">
        <f>SUM(E17:Q17)</f>
        <v>326663.07749999996</v>
      </c>
      <c r="S17" s="19"/>
      <c r="T17" s="19"/>
      <c r="U17" s="22"/>
      <c r="V17" s="22"/>
      <c r="W17" s="22">
        <f>42046.06</f>
        <v>42046.06</v>
      </c>
      <c r="X17" s="234">
        <f>42046.06</f>
        <v>42046.06</v>
      </c>
      <c r="Y17" s="264">
        <v>569234.03499999992</v>
      </c>
      <c r="Z17" s="341">
        <f>R17-X17</f>
        <v>284617.01749999996</v>
      </c>
    </row>
    <row r="18" spans="1:27" ht="20.100000000000001" customHeight="1">
      <c r="A18" s="27">
        <v>12</v>
      </c>
      <c r="B18" s="133" t="s">
        <v>58</v>
      </c>
      <c r="C18" s="138" t="s">
        <v>59</v>
      </c>
      <c r="D18" s="158" t="s">
        <v>60</v>
      </c>
      <c r="E18" s="24">
        <v>24741.26</v>
      </c>
      <c r="F18" s="24"/>
      <c r="G18" s="24">
        <f t="shared" ref="G18:G21" si="18">E18*300%</f>
        <v>74223.78</v>
      </c>
      <c r="H18" s="24">
        <f t="shared" ref="H18:H21" si="19">E18*7.5%</f>
        <v>1855.5944999999997</v>
      </c>
      <c r="I18" s="24">
        <v>0</v>
      </c>
      <c r="J18" s="24">
        <f t="shared" si="16"/>
        <v>12370.63</v>
      </c>
      <c r="K18" s="22">
        <f t="shared" ref="K18:K21" si="20">E18*350%</f>
        <v>86594.409999999989</v>
      </c>
      <c r="L18" s="24">
        <f t="shared" ref="L18:L21" si="21">E18*100%</f>
        <v>24741.26</v>
      </c>
      <c r="M18" s="156">
        <f>120000</f>
        <v>120000</v>
      </c>
      <c r="N18" s="156"/>
      <c r="O18" s="24">
        <f t="shared" ref="O18:O21" si="22">E18*10%</f>
        <v>2474.1260000000002</v>
      </c>
      <c r="P18" s="24">
        <v>15000</v>
      </c>
      <c r="Q18" s="24">
        <v>0</v>
      </c>
      <c r="R18" s="181">
        <f t="shared" si="2"/>
        <v>362001.06050000002</v>
      </c>
      <c r="S18" s="22"/>
      <c r="T18" s="22">
        <f>50000</f>
        <v>50000</v>
      </c>
      <c r="U18" s="22">
        <v>0</v>
      </c>
      <c r="V18" s="22"/>
      <c r="W18" s="24">
        <v>46666.666666666664</v>
      </c>
      <c r="X18" s="234">
        <f t="shared" si="0"/>
        <v>96666.666666666657</v>
      </c>
      <c r="Y18" s="22">
        <v>265334.39383333339</v>
      </c>
      <c r="Z18" s="184">
        <f t="shared" si="1"/>
        <v>265334.39383333339</v>
      </c>
      <c r="AA18" s="157"/>
    </row>
    <row r="19" spans="1:27" ht="20.100000000000001" customHeight="1">
      <c r="A19" s="27">
        <v>13</v>
      </c>
      <c r="B19" s="134" t="s">
        <v>61</v>
      </c>
      <c r="C19" s="19" t="s">
        <v>62</v>
      </c>
      <c r="D19" s="158" t="s">
        <v>63</v>
      </c>
      <c r="E19" s="24">
        <f>23891.12</f>
        <v>23891.119999999999</v>
      </c>
      <c r="F19" s="24"/>
      <c r="G19" s="24">
        <f t="shared" si="18"/>
        <v>71673.36</v>
      </c>
      <c r="H19" s="24">
        <f t="shared" si="19"/>
        <v>1791.8339999999998</v>
      </c>
      <c r="I19" s="24"/>
      <c r="J19" s="24">
        <f>E19*50%</f>
        <v>11945.56</v>
      </c>
      <c r="K19" s="24">
        <f t="shared" si="20"/>
        <v>83618.92</v>
      </c>
      <c r="L19" s="24">
        <f t="shared" si="21"/>
        <v>23891.119999999999</v>
      </c>
      <c r="M19" s="156">
        <f>120000</f>
        <v>120000</v>
      </c>
      <c r="N19" s="156"/>
      <c r="O19" s="24">
        <f t="shared" si="22"/>
        <v>2389.1120000000001</v>
      </c>
      <c r="P19" s="24">
        <v>15000</v>
      </c>
      <c r="Q19" s="24">
        <f>100000</f>
        <v>100000</v>
      </c>
      <c r="R19" s="181">
        <f t="shared" si="2"/>
        <v>454201.02599999995</v>
      </c>
      <c r="S19" s="22"/>
      <c r="T19" s="24">
        <f>30000-20000</f>
        <v>10000</v>
      </c>
      <c r="U19" s="24">
        <f>95833.33</f>
        <v>95833.33</v>
      </c>
      <c r="V19" s="24">
        <v>597.27800000000002</v>
      </c>
      <c r="W19" s="24">
        <f>65873.26</f>
        <v>65873.259999999995</v>
      </c>
      <c r="X19" s="234">
        <f t="shared" si="0"/>
        <v>172303.86800000002</v>
      </c>
      <c r="Y19" s="22">
        <v>281897.15799999994</v>
      </c>
      <c r="Z19" s="184">
        <f t="shared" si="1"/>
        <v>281897.15799999994</v>
      </c>
      <c r="AA19" s="157"/>
    </row>
    <row r="20" spans="1:27" ht="18.75" customHeight="1">
      <c r="A20" s="27">
        <v>14</v>
      </c>
      <c r="B20" s="133" t="s">
        <v>64</v>
      </c>
      <c r="C20" s="138" t="s">
        <v>65</v>
      </c>
      <c r="D20" s="158" t="s">
        <v>66</v>
      </c>
      <c r="E20" s="24">
        <v>21520.880000000001</v>
      </c>
      <c r="F20" s="24"/>
      <c r="G20" s="24">
        <f t="shared" si="18"/>
        <v>64562.64</v>
      </c>
      <c r="H20" s="24">
        <f t="shared" si="19"/>
        <v>1614.066</v>
      </c>
      <c r="I20" s="22"/>
      <c r="J20" s="24">
        <f>E20*50%</f>
        <v>10760.44</v>
      </c>
      <c r="K20" s="22">
        <f t="shared" si="20"/>
        <v>75323.08</v>
      </c>
      <c r="L20" s="24">
        <f t="shared" si="21"/>
        <v>21520.880000000001</v>
      </c>
      <c r="M20" s="156"/>
      <c r="N20" s="156">
        <f>60000</f>
        <v>60000</v>
      </c>
      <c r="O20" s="24">
        <f t="shared" si="22"/>
        <v>2152.0880000000002</v>
      </c>
      <c r="P20" s="24">
        <v>15000</v>
      </c>
      <c r="Q20" s="24">
        <v>100000</v>
      </c>
      <c r="R20" s="181">
        <f t="shared" si="2"/>
        <v>372454.07400000002</v>
      </c>
      <c r="S20" s="22"/>
      <c r="T20" s="22">
        <f>20000</f>
        <v>20000</v>
      </c>
      <c r="U20" s="22">
        <f>111833.33</f>
        <v>111833.33</v>
      </c>
      <c r="V20" s="22"/>
      <c r="W20" s="24">
        <f>46666.67</f>
        <v>46666.67</v>
      </c>
      <c r="X20" s="234">
        <f t="shared" si="0"/>
        <v>178500</v>
      </c>
      <c r="Y20" s="22">
        <v>108612.18054133333</v>
      </c>
      <c r="Z20" s="184">
        <f t="shared" si="1"/>
        <v>193954.07400000002</v>
      </c>
      <c r="AA20" s="157"/>
    </row>
    <row r="21" spans="1:27" ht="20.100000000000001" customHeight="1">
      <c r="A21" s="27">
        <v>15</v>
      </c>
      <c r="B21" s="135" t="s">
        <v>67</v>
      </c>
      <c r="C21" s="92" t="s">
        <v>68</v>
      </c>
      <c r="D21" s="27" t="s">
        <v>69</v>
      </c>
      <c r="E21" s="24">
        <f>20749</f>
        <v>20749</v>
      </c>
      <c r="F21" s="24"/>
      <c r="G21" s="24">
        <f t="shared" si="18"/>
        <v>62247</v>
      </c>
      <c r="H21" s="24">
        <f t="shared" si="19"/>
        <v>1556.175</v>
      </c>
      <c r="I21" s="24"/>
      <c r="J21" s="24">
        <f t="shared" ref="J21" si="23">E21*50%</f>
        <v>10374.5</v>
      </c>
      <c r="K21" s="24">
        <f t="shared" si="20"/>
        <v>72621.5</v>
      </c>
      <c r="L21" s="24">
        <f t="shared" si="21"/>
        <v>20749</v>
      </c>
      <c r="M21" s="156">
        <f t="shared" ref="M21" si="24">100000</f>
        <v>100000</v>
      </c>
      <c r="N21" s="156"/>
      <c r="O21" s="24">
        <f t="shared" si="22"/>
        <v>2074.9</v>
      </c>
      <c r="P21" s="24">
        <v>10000</v>
      </c>
      <c r="Q21" s="24">
        <v>100000</v>
      </c>
      <c r="R21" s="181">
        <f t="shared" ref="R21" si="25">SUM(E21:Q21)</f>
        <v>400372.07500000001</v>
      </c>
      <c r="S21" s="22"/>
      <c r="T21" s="22"/>
      <c r="U21" s="22"/>
      <c r="V21" s="22"/>
      <c r="W21" s="24">
        <f>55538.11</f>
        <v>55538.11</v>
      </c>
      <c r="X21" s="237">
        <f t="shared" si="0"/>
        <v>55538.11</v>
      </c>
      <c r="Y21" s="22">
        <v>344833.96500000003</v>
      </c>
      <c r="Z21" s="184">
        <f t="shared" si="1"/>
        <v>344833.96500000003</v>
      </c>
      <c r="AA21" s="157"/>
    </row>
    <row r="22" spans="1:27" ht="20.100000000000001" customHeight="1">
      <c r="A22" s="27">
        <v>16</v>
      </c>
      <c r="B22" s="135" t="s">
        <v>70</v>
      </c>
      <c r="C22" s="92" t="s">
        <v>71</v>
      </c>
      <c r="D22" s="27" t="s">
        <v>72</v>
      </c>
      <c r="E22" s="24">
        <f>17286.33</f>
        <v>17286.330000000002</v>
      </c>
      <c r="F22" s="24"/>
      <c r="G22" s="24">
        <f>E22*300%</f>
        <v>51858.990000000005</v>
      </c>
      <c r="H22" s="24">
        <f>E22*7.5%</f>
        <v>1296.4747500000001</v>
      </c>
      <c r="I22" s="24"/>
      <c r="J22" s="24">
        <f>E22*50%</f>
        <v>8643.1650000000009</v>
      </c>
      <c r="K22" s="22">
        <f>E22*350%</f>
        <v>60502.155000000006</v>
      </c>
      <c r="L22" s="24">
        <f>E22*100%</f>
        <v>17286.330000000002</v>
      </c>
      <c r="M22" s="156"/>
      <c r="N22" s="156">
        <f>50000+10000</f>
        <v>60000</v>
      </c>
      <c r="O22" s="24">
        <f>E22*10%</f>
        <v>1728.6330000000003</v>
      </c>
      <c r="P22" s="24">
        <v>10000</v>
      </c>
      <c r="Q22" s="24">
        <v>100000</v>
      </c>
      <c r="R22" s="181">
        <f>SUM(E22:Q22)</f>
        <v>328602.07775000005</v>
      </c>
      <c r="S22" s="22"/>
      <c r="T22" s="22"/>
      <c r="U22" s="22"/>
      <c r="V22" s="22"/>
      <c r="W22" s="24">
        <f>42371.82</f>
        <v>42371.82</v>
      </c>
      <c r="X22" s="237">
        <f t="shared" si="0"/>
        <v>42371.82</v>
      </c>
      <c r="Y22" s="22">
        <v>0</v>
      </c>
      <c r="Z22" s="184">
        <f t="shared" si="1"/>
        <v>286230.25775000005</v>
      </c>
      <c r="AA22" s="157"/>
    </row>
    <row r="23" spans="1:27" ht="18.75" customHeight="1">
      <c r="A23" s="27">
        <v>17</v>
      </c>
      <c r="B23" s="19" t="s">
        <v>73</v>
      </c>
      <c r="C23" s="19" t="s">
        <v>74</v>
      </c>
      <c r="D23" s="27" t="s">
        <v>75</v>
      </c>
      <c r="E23" s="24">
        <v>14736.14</v>
      </c>
      <c r="F23" s="24"/>
      <c r="G23" s="24">
        <v>44208.42</v>
      </c>
      <c r="H23" s="24">
        <v>1105.2104999999999</v>
      </c>
      <c r="I23" s="24"/>
      <c r="J23" s="24">
        <v>7368.07</v>
      </c>
      <c r="K23" s="24">
        <v>51576.49</v>
      </c>
      <c r="L23" s="24">
        <v>14736.14</v>
      </c>
      <c r="M23" s="156"/>
      <c r="N23" s="156">
        <v>60000</v>
      </c>
      <c r="O23" s="24">
        <v>1473.614</v>
      </c>
      <c r="P23" s="24">
        <v>10000</v>
      </c>
      <c r="Q23" s="24"/>
      <c r="R23" s="181">
        <f t="shared" si="2"/>
        <v>205204.0845</v>
      </c>
      <c r="S23" s="22"/>
      <c r="T23" s="22">
        <v>10000</v>
      </c>
      <c r="U23" s="22">
        <f>20000</f>
        <v>20000</v>
      </c>
      <c r="V23" s="22"/>
      <c r="W23" s="24">
        <v>21640.952862666669</v>
      </c>
      <c r="X23" s="234">
        <f t="shared" si="0"/>
        <v>51640.952862666672</v>
      </c>
      <c r="Y23" s="22">
        <v>153563.13163733331</v>
      </c>
      <c r="Z23" s="184">
        <f t="shared" si="1"/>
        <v>153563.13163733331</v>
      </c>
      <c r="AA23" s="157"/>
    </row>
    <row r="24" spans="1:27" ht="18.75" customHeight="1">
      <c r="A24" s="27">
        <v>18</v>
      </c>
      <c r="B24" s="134" t="s">
        <v>76</v>
      </c>
      <c r="C24" s="138" t="s">
        <v>74</v>
      </c>
      <c r="D24" s="158" t="s">
        <v>75</v>
      </c>
      <c r="E24" s="24">
        <f t="shared" ref="E24" si="26">15188.67</f>
        <v>15188.67</v>
      </c>
      <c r="F24" s="24"/>
      <c r="G24" s="24">
        <f>E24*300%</f>
        <v>45566.01</v>
      </c>
      <c r="H24" s="24">
        <f>E24*7.5%</f>
        <v>1139.1502499999999</v>
      </c>
      <c r="I24" s="24"/>
      <c r="J24" s="24">
        <f>E24*50%</f>
        <v>7594.335</v>
      </c>
      <c r="K24" s="22">
        <f>E24*350%</f>
        <v>53160.345000000001</v>
      </c>
      <c r="L24" s="24">
        <f>E24*100%</f>
        <v>15188.67</v>
      </c>
      <c r="M24" s="156"/>
      <c r="N24" s="156">
        <f>50000+10000</f>
        <v>60000</v>
      </c>
      <c r="O24" s="24">
        <f>E24*10%</f>
        <v>1518.8670000000002</v>
      </c>
      <c r="P24" s="24">
        <v>10000</v>
      </c>
      <c r="Q24" s="24"/>
      <c r="R24" s="181">
        <f>Q24+P24+O24+N24+M24+L24+K24+J24+I24+H24+G24+F24+E24</f>
        <v>209356.04725</v>
      </c>
      <c r="S24" s="22"/>
      <c r="T24" s="22"/>
      <c r="U24" s="22"/>
      <c r="V24" s="22"/>
      <c r="W24" s="24">
        <v>22338.48260466666</v>
      </c>
      <c r="X24" s="234">
        <f t="shared" si="0"/>
        <v>22338.48260466666</v>
      </c>
      <c r="Y24" s="22">
        <v>187017.56464533333</v>
      </c>
      <c r="Z24" s="184">
        <f t="shared" si="1"/>
        <v>187017.56464533333</v>
      </c>
      <c r="AA24" s="157"/>
    </row>
    <row r="25" spans="1:27" ht="18.75" customHeight="1">
      <c r="A25" s="27">
        <v>19</v>
      </c>
      <c r="B25" s="134" t="s">
        <v>77</v>
      </c>
      <c r="C25" s="138" t="s">
        <v>78</v>
      </c>
      <c r="D25" s="158" t="s">
        <v>79</v>
      </c>
      <c r="E25" s="156">
        <v>14736.14</v>
      </c>
      <c r="F25" s="24"/>
      <c r="G25" s="24">
        <f t="shared" ref="G25" si="27">E25*300%</f>
        <v>44208.42</v>
      </c>
      <c r="H25" s="24">
        <f t="shared" ref="H25" si="28">E25*7.5%</f>
        <v>1105.2104999999999</v>
      </c>
      <c r="I25" s="24"/>
      <c r="J25" s="24">
        <f t="shared" ref="J25" si="29">E25*50%</f>
        <v>7368.07</v>
      </c>
      <c r="K25" s="22">
        <f t="shared" ref="K25" si="30">E25*350%</f>
        <v>51576.49</v>
      </c>
      <c r="L25" s="24">
        <f t="shared" ref="L25:L28" si="31">E25*100%</f>
        <v>14736.14</v>
      </c>
      <c r="M25" s="156"/>
      <c r="N25" s="156">
        <f>60000</f>
        <v>60000</v>
      </c>
      <c r="O25" s="24">
        <f t="shared" ref="O25:O28" si="32">E25*10%</f>
        <v>1473.614</v>
      </c>
      <c r="P25" s="24">
        <v>10000</v>
      </c>
      <c r="Q25" s="19"/>
      <c r="R25" s="24">
        <f t="shared" ref="R25" si="33">SUM(E25:Q25)</f>
        <v>205204.0845</v>
      </c>
      <c r="S25" s="24"/>
      <c r="T25" s="22">
        <f>20000</f>
        <v>20000</v>
      </c>
      <c r="U25" s="22">
        <f>17500</f>
        <v>17500</v>
      </c>
      <c r="V25" s="22"/>
      <c r="W25" s="24">
        <f>[3]PROMOTIONS!$X$7</f>
        <v>21640.882666666668</v>
      </c>
      <c r="X25" s="234">
        <f t="shared" si="0"/>
        <v>59140.882666666672</v>
      </c>
      <c r="Y25" s="22">
        <v>146063.20183333333</v>
      </c>
      <c r="Z25" s="184">
        <f t="shared" si="1"/>
        <v>146063.20183333333</v>
      </c>
      <c r="AA25" s="157"/>
    </row>
    <row r="26" spans="1:27" ht="18.75" customHeight="1">
      <c r="A26" s="27">
        <v>20</v>
      </c>
      <c r="B26" s="134" t="s">
        <v>80</v>
      </c>
      <c r="C26" s="19" t="s">
        <v>81</v>
      </c>
      <c r="D26" s="27" t="s">
        <v>79</v>
      </c>
      <c r="E26" s="24">
        <f>14736.14</f>
        <v>14736.14</v>
      </c>
      <c r="F26" s="24">
        <f>4766.69</f>
        <v>4766.6899999999996</v>
      </c>
      <c r="G26" s="24">
        <f t="shared" ref="G26:G28" si="34">E26*300%</f>
        <v>44208.42</v>
      </c>
      <c r="H26" s="24">
        <f t="shared" ref="H26:H28" si="35">E26*7.5%</f>
        <v>1105.2104999999999</v>
      </c>
      <c r="I26" s="24"/>
      <c r="J26" s="24">
        <f>E26*50%</f>
        <v>7368.07</v>
      </c>
      <c r="K26" s="24">
        <f t="shared" ref="K26:K28" si="36">E26*350%</f>
        <v>51576.49</v>
      </c>
      <c r="L26" s="24">
        <f>E26*100%</f>
        <v>14736.14</v>
      </c>
      <c r="M26" s="156"/>
      <c r="N26" s="156">
        <f>60000</f>
        <v>60000</v>
      </c>
      <c r="O26" s="24">
        <f>E26*10%</f>
        <v>1473.614</v>
      </c>
      <c r="P26" s="24">
        <v>10000</v>
      </c>
      <c r="Q26" s="24"/>
      <c r="R26" s="181">
        <f>SUM(E26:Q26)</f>
        <v>209970.7745</v>
      </c>
      <c r="S26" s="22"/>
      <c r="T26" s="22">
        <f>30000+20000</f>
        <v>50000</v>
      </c>
      <c r="U26" s="22">
        <v>0</v>
      </c>
      <c r="V26" s="22"/>
      <c r="W26" s="24">
        <f>21640.88</f>
        <v>21640.880000000001</v>
      </c>
      <c r="X26" s="234">
        <f t="shared" si="0"/>
        <v>71640.88</v>
      </c>
      <c r="Y26" s="22">
        <v>115688.12401733332</v>
      </c>
      <c r="Z26" s="184">
        <f t="shared" si="1"/>
        <v>138329.89449999999</v>
      </c>
      <c r="AA26" s="157"/>
    </row>
    <row r="27" spans="1:27" ht="18.75" customHeight="1">
      <c r="A27" s="27">
        <v>21</v>
      </c>
      <c r="B27" s="134" t="s">
        <v>82</v>
      </c>
      <c r="C27" s="92" t="s">
        <v>83</v>
      </c>
      <c r="D27" s="158" t="s">
        <v>75</v>
      </c>
      <c r="E27" s="24">
        <v>15188.67</v>
      </c>
      <c r="F27" s="24"/>
      <c r="G27" s="24">
        <f t="shared" si="34"/>
        <v>45566.01</v>
      </c>
      <c r="H27" s="24">
        <f t="shared" si="35"/>
        <v>1139.1502499999999</v>
      </c>
      <c r="I27" s="24"/>
      <c r="J27" s="24">
        <f>E27*50%</f>
        <v>7594.335</v>
      </c>
      <c r="K27" s="24">
        <f t="shared" si="36"/>
        <v>53160.345000000001</v>
      </c>
      <c r="L27" s="24">
        <f t="shared" si="31"/>
        <v>15188.67</v>
      </c>
      <c r="M27" s="156"/>
      <c r="N27" s="156">
        <f>60000</f>
        <v>60000</v>
      </c>
      <c r="O27" s="24">
        <f t="shared" si="32"/>
        <v>1518.8670000000002</v>
      </c>
      <c r="P27" s="24">
        <v>10000</v>
      </c>
      <c r="Q27" s="24"/>
      <c r="R27" s="181">
        <f t="shared" ref="R27" si="37">Q27+P27+O27+N27+M27+L27+K27+J27+I27+H27+G27+F27+E27</f>
        <v>209356.04725</v>
      </c>
      <c r="S27" s="22"/>
      <c r="T27" s="22">
        <f>50000</f>
        <v>50000</v>
      </c>
      <c r="U27" s="22">
        <v>50000</v>
      </c>
      <c r="V27" s="22">
        <v>0</v>
      </c>
      <c r="W27" s="156">
        <v>22338.48260466666</v>
      </c>
      <c r="X27" s="234">
        <f t="shared" si="0"/>
        <v>122338.48260466666</v>
      </c>
      <c r="Y27" s="22">
        <v>87017.564645333347</v>
      </c>
      <c r="Z27" s="184">
        <f t="shared" si="1"/>
        <v>87017.564645333347</v>
      </c>
      <c r="AA27" s="157"/>
    </row>
    <row r="28" spans="1:27" ht="18.75" customHeight="1">
      <c r="A28" s="27">
        <v>22</v>
      </c>
      <c r="B28" s="134" t="s">
        <v>84</v>
      </c>
      <c r="C28" s="19" t="s">
        <v>85</v>
      </c>
      <c r="D28" s="27" t="s">
        <v>86</v>
      </c>
      <c r="E28" s="24">
        <f>12732</f>
        <v>12732</v>
      </c>
      <c r="F28" s="24"/>
      <c r="G28" s="24">
        <f t="shared" si="34"/>
        <v>38196</v>
      </c>
      <c r="H28" s="24">
        <f t="shared" si="35"/>
        <v>954.9</v>
      </c>
      <c r="I28" s="24"/>
      <c r="J28" s="24">
        <f>E28*50%</f>
        <v>6366</v>
      </c>
      <c r="K28" s="24">
        <f t="shared" si="36"/>
        <v>44562</v>
      </c>
      <c r="L28" s="24">
        <f t="shared" si="31"/>
        <v>12732</v>
      </c>
      <c r="M28" s="156"/>
      <c r="N28" s="156">
        <f>50000</f>
        <v>50000</v>
      </c>
      <c r="O28" s="24">
        <f t="shared" si="32"/>
        <v>1273.2</v>
      </c>
      <c r="P28" s="24">
        <v>10000</v>
      </c>
      <c r="Q28" s="24"/>
      <c r="R28" s="181">
        <f>SUM(E28:Q28)</f>
        <v>176816.1</v>
      </c>
      <c r="S28" s="22"/>
      <c r="T28" s="22">
        <f>0</f>
        <v>0</v>
      </c>
      <c r="U28" s="22">
        <f>26666.67</f>
        <v>26666.67</v>
      </c>
      <c r="V28" s="22"/>
      <c r="W28" s="24">
        <v>17042.713866666669</v>
      </c>
      <c r="X28" s="234">
        <f t="shared" si="0"/>
        <v>43709.383866666671</v>
      </c>
      <c r="Y28" s="22">
        <v>133106.71613333334</v>
      </c>
      <c r="Z28" s="184">
        <f t="shared" si="1"/>
        <v>133106.71613333334</v>
      </c>
      <c r="AA28" s="157"/>
    </row>
    <row r="29" spans="1:27" ht="18.75" customHeight="1">
      <c r="A29" s="27">
        <v>23</v>
      </c>
      <c r="B29" s="134" t="s">
        <v>87</v>
      </c>
      <c r="C29" s="138" t="s">
        <v>88</v>
      </c>
      <c r="D29" s="158" t="s">
        <v>86</v>
      </c>
      <c r="E29" s="24">
        <f>12732</f>
        <v>12732</v>
      </c>
      <c r="F29" s="24"/>
      <c r="G29" s="24">
        <f t="shared" ref="G29" si="38">E29*300%</f>
        <v>38196</v>
      </c>
      <c r="H29" s="24">
        <f t="shared" ref="H29" si="39">E29*7.5%</f>
        <v>954.9</v>
      </c>
      <c r="I29" s="24"/>
      <c r="J29" s="24">
        <f t="shared" ref="J29" si="40">E29*50%</f>
        <v>6366</v>
      </c>
      <c r="K29" s="24">
        <f t="shared" ref="K29" si="41">E29*350%</f>
        <v>44562</v>
      </c>
      <c r="L29" s="24">
        <f t="shared" ref="L29" si="42">E29*100%</f>
        <v>12732</v>
      </c>
      <c r="M29" s="156"/>
      <c r="N29" s="156">
        <f>50000</f>
        <v>50000</v>
      </c>
      <c r="O29" s="24">
        <f t="shared" ref="O29" si="43">E29*10%</f>
        <v>1273.2</v>
      </c>
      <c r="P29" s="24">
        <v>10000</v>
      </c>
      <c r="Q29" s="24"/>
      <c r="R29" s="181">
        <f t="shared" ref="R29" si="44">SUM(E29:Q29)</f>
        <v>176816.1</v>
      </c>
      <c r="S29" s="22"/>
      <c r="T29" s="22">
        <f>0</f>
        <v>0</v>
      </c>
      <c r="U29" s="22"/>
      <c r="V29" s="22"/>
      <c r="W29" s="24">
        <v>17042.865866666671</v>
      </c>
      <c r="X29" s="234">
        <f t="shared" si="0"/>
        <v>17042.865866666671</v>
      </c>
      <c r="Y29" s="22">
        <v>159773.23413333335</v>
      </c>
      <c r="Z29" s="184">
        <f t="shared" si="1"/>
        <v>159773.23413333335</v>
      </c>
      <c r="AA29" s="157"/>
    </row>
    <row r="30" spans="1:27" ht="18.75" customHeight="1">
      <c r="A30" s="27">
        <v>24</v>
      </c>
      <c r="B30" s="134" t="s">
        <v>89</v>
      </c>
      <c r="C30" s="138" t="s">
        <v>88</v>
      </c>
      <c r="D30" s="158" t="s">
        <v>90</v>
      </c>
      <c r="E30" s="24">
        <v>12351.94</v>
      </c>
      <c r="F30" s="24"/>
      <c r="G30" s="24">
        <v>37055.82</v>
      </c>
      <c r="H30" s="24">
        <v>926.39549999999997</v>
      </c>
      <c r="I30" s="24"/>
      <c r="J30" s="24">
        <v>6175.97</v>
      </c>
      <c r="K30" s="24">
        <v>43231.79</v>
      </c>
      <c r="L30" s="24">
        <v>12351.94</v>
      </c>
      <c r="M30" s="156"/>
      <c r="N30" s="156">
        <v>50000</v>
      </c>
      <c r="O30" s="24">
        <v>1235.1940000000002</v>
      </c>
      <c r="P30" s="24">
        <v>10000</v>
      </c>
      <c r="Q30" s="24"/>
      <c r="R30" s="181">
        <v>173329.04949999999</v>
      </c>
      <c r="S30" s="22"/>
      <c r="T30" s="22">
        <v>20000</v>
      </c>
      <c r="U30" s="22">
        <v>0</v>
      </c>
      <c r="V30" s="22">
        <v>0</v>
      </c>
      <c r="W30" s="24">
        <v>16512.68219066667</v>
      </c>
      <c r="X30" s="234">
        <f t="shared" si="0"/>
        <v>36512.682190666674</v>
      </c>
      <c r="Y30" s="22">
        <v>136816.36730933332</v>
      </c>
      <c r="Z30" s="184">
        <f t="shared" si="1"/>
        <v>136816.36730933332</v>
      </c>
      <c r="AA30" s="157"/>
    </row>
    <row r="31" spans="1:27" ht="26.25" customHeight="1">
      <c r="A31" s="27"/>
      <c r="B31" s="136" t="s">
        <v>91</v>
      </c>
      <c r="C31" s="28">
        <v>24</v>
      </c>
      <c r="D31" s="158"/>
      <c r="E31" s="160">
        <f>SUM(E7:E30)</f>
        <v>733573.49</v>
      </c>
      <c r="F31" s="160">
        <f>SUM(F7:F30)</f>
        <v>4766.6899999999996</v>
      </c>
      <c r="G31" s="160">
        <f>SUM(G7:G30)</f>
        <v>2040231.72</v>
      </c>
      <c r="H31" s="160">
        <f t="shared" ref="H31:Z31" si="45">SUM(H7:H30)</f>
        <v>91127.98550000001</v>
      </c>
      <c r="I31" s="160">
        <f t="shared" si="45"/>
        <v>401221.9</v>
      </c>
      <c r="J31" s="160">
        <f t="shared" si="45"/>
        <v>358762.31000000006</v>
      </c>
      <c r="K31" s="160">
        <f t="shared" si="45"/>
        <v>2005796.5899999999</v>
      </c>
      <c r="L31" s="160">
        <f t="shared" si="45"/>
        <v>693451.31</v>
      </c>
      <c r="M31" s="160">
        <f t="shared" si="45"/>
        <v>1070000</v>
      </c>
      <c r="N31" s="160">
        <f t="shared" si="45"/>
        <v>1150000</v>
      </c>
      <c r="O31" s="160">
        <f t="shared" si="45"/>
        <v>73357.354000000007</v>
      </c>
      <c r="P31" s="160">
        <f t="shared" si="45"/>
        <v>365000</v>
      </c>
      <c r="Q31" s="160">
        <f t="shared" si="45"/>
        <v>1075235</v>
      </c>
      <c r="R31" s="160">
        <f t="shared" si="45"/>
        <v>10062524.349499997</v>
      </c>
      <c r="S31" s="160">
        <f t="shared" si="45"/>
        <v>0</v>
      </c>
      <c r="T31" s="160">
        <f t="shared" si="45"/>
        <v>570000</v>
      </c>
      <c r="U31" s="160">
        <f t="shared" si="45"/>
        <v>843999.79999999993</v>
      </c>
      <c r="V31" s="160">
        <f t="shared" si="45"/>
        <v>4330.54</v>
      </c>
      <c r="W31" s="160">
        <f t="shared" si="45"/>
        <v>1446092.9385613333</v>
      </c>
      <c r="X31" s="160">
        <f t="shared" si="45"/>
        <v>2864423.2785613323</v>
      </c>
      <c r="Y31" s="160">
        <f t="shared" si="45"/>
        <v>7046666.6567473328</v>
      </c>
      <c r="Z31" s="160">
        <f t="shared" si="45"/>
        <v>7198101.0709386664</v>
      </c>
      <c r="AA31" s="157"/>
    </row>
    <row r="32" spans="1:27" ht="18.75" customHeight="1">
      <c r="A32" s="27"/>
      <c r="B32" s="103"/>
      <c r="C32" s="19"/>
      <c r="D32" s="158"/>
      <c r="E32" s="160"/>
      <c r="F32" s="160"/>
      <c r="G32" s="160"/>
      <c r="H32" s="160"/>
      <c r="I32" s="160"/>
      <c r="J32" s="160"/>
      <c r="K32" s="160"/>
      <c r="L32" s="160"/>
      <c r="M32" s="156"/>
      <c r="N32" s="156"/>
      <c r="O32" s="160"/>
      <c r="P32" s="160"/>
      <c r="Q32" s="160"/>
      <c r="R32" s="188"/>
      <c r="S32" s="160"/>
      <c r="T32" s="160"/>
      <c r="U32" s="160"/>
      <c r="V32" s="160"/>
      <c r="W32" s="160"/>
      <c r="X32" s="235"/>
      <c r="Y32" s="160"/>
      <c r="Z32" s="194"/>
      <c r="AA32" s="157"/>
    </row>
    <row r="33" spans="1:27" ht="18.75" customHeight="1">
      <c r="A33" s="27"/>
      <c r="B33" s="136" t="s">
        <v>92</v>
      </c>
      <c r="C33" s="19"/>
      <c r="D33" s="158"/>
      <c r="E33" s="24"/>
      <c r="F33" s="24"/>
      <c r="G33" s="24"/>
      <c r="H33" s="24"/>
      <c r="I33" s="24"/>
      <c r="J33" s="24"/>
      <c r="K33" s="22"/>
      <c r="L33" s="24"/>
      <c r="M33" s="156"/>
      <c r="N33" s="156"/>
      <c r="O33" s="24"/>
      <c r="P33" s="24"/>
      <c r="Q33" s="24"/>
      <c r="R33" s="181"/>
      <c r="S33" s="22"/>
      <c r="T33" s="22"/>
      <c r="U33" s="22"/>
      <c r="V33" s="22"/>
      <c r="W33" s="24"/>
      <c r="X33" s="234"/>
      <c r="Y33" s="22"/>
      <c r="Z33" s="184"/>
      <c r="AA33" s="157"/>
    </row>
    <row r="34" spans="1:27" ht="18.75" customHeight="1">
      <c r="A34" s="27">
        <v>1</v>
      </c>
      <c r="B34" s="134" t="s">
        <v>93</v>
      </c>
      <c r="C34" s="19" t="s">
        <v>94</v>
      </c>
      <c r="D34" s="27" t="s">
        <v>95</v>
      </c>
      <c r="E34" s="24">
        <v>81740.02</v>
      </c>
      <c r="F34" s="24"/>
      <c r="G34" s="24">
        <f>E34*300%</f>
        <v>245220.06</v>
      </c>
      <c r="H34" s="24">
        <f>E34*7.5%</f>
        <v>6130.5015000000003</v>
      </c>
      <c r="I34" s="24">
        <v>80244.38</v>
      </c>
      <c r="J34" s="24">
        <f>E34*50%</f>
        <v>40870.01</v>
      </c>
      <c r="K34" s="24">
        <f>E34*350%</f>
        <v>286090.07</v>
      </c>
      <c r="L34" s="24">
        <f t="shared" ref="L34:L35" si="46">E34*100%</f>
        <v>81740.02</v>
      </c>
      <c r="M34" s="156"/>
      <c r="N34" s="156">
        <f>100000</f>
        <v>100000</v>
      </c>
      <c r="O34" s="24">
        <f t="shared" ref="O34:O35" si="47">E34*10%</f>
        <v>8174.0020000000004</v>
      </c>
      <c r="P34" s="24">
        <v>20000</v>
      </c>
      <c r="Q34" s="24"/>
      <c r="R34" s="181">
        <f>SUM(E34:Q34)</f>
        <v>950209.06350000005</v>
      </c>
      <c r="S34" s="22">
        <f>'DECEMBER 2023'!F196</f>
        <v>0</v>
      </c>
      <c r="T34" s="22">
        <f>100000</f>
        <v>100000</v>
      </c>
      <c r="U34" s="22">
        <v>0</v>
      </c>
      <c r="V34" s="22"/>
      <c r="W34" s="24">
        <v>161106.80685866668</v>
      </c>
      <c r="X34" s="234">
        <f>W34+V34+U34+T34+S34</f>
        <v>261106.80685866668</v>
      </c>
      <c r="Y34" s="22">
        <v>689102.25664133334</v>
      </c>
      <c r="Z34" s="184">
        <f>R34-X34</f>
        <v>689102.25664133334</v>
      </c>
      <c r="AA34" s="157"/>
    </row>
    <row r="35" spans="1:27" ht="18.75" customHeight="1">
      <c r="A35" s="27">
        <v>2</v>
      </c>
      <c r="B35" s="134" t="s">
        <v>96</v>
      </c>
      <c r="C35" s="19" t="s">
        <v>97</v>
      </c>
      <c r="D35" s="27" t="s">
        <v>90</v>
      </c>
      <c r="E35" s="24">
        <v>12351.94</v>
      </c>
      <c r="F35" s="24"/>
      <c r="G35" s="24">
        <f t="shared" ref="G35" si="48">E35*300%</f>
        <v>37055.82</v>
      </c>
      <c r="H35" s="24">
        <f t="shared" ref="H35" si="49">E35*7.5%</f>
        <v>926.39549999999997</v>
      </c>
      <c r="I35" s="24"/>
      <c r="J35" s="24">
        <f t="shared" ref="J35" si="50">E35*50%</f>
        <v>6175.97</v>
      </c>
      <c r="K35" s="24">
        <f t="shared" ref="K35" si="51">E35*350%</f>
        <v>43231.79</v>
      </c>
      <c r="L35" s="24">
        <f t="shared" si="46"/>
        <v>12351.94</v>
      </c>
      <c r="M35" s="156"/>
      <c r="N35" s="156">
        <f>50000</f>
        <v>50000</v>
      </c>
      <c r="O35" s="24">
        <f t="shared" si="47"/>
        <v>1235.1940000000002</v>
      </c>
      <c r="P35" s="24">
        <v>10000</v>
      </c>
      <c r="Q35" s="24"/>
      <c r="R35" s="181">
        <f>(Q35+P35+O35+N35+M35+L35+K35+J35+I35+H35+G35+F35+E35)</f>
        <v>173329.04949999999</v>
      </c>
      <c r="S35" s="22"/>
      <c r="T35" s="22">
        <f>20000</f>
        <v>20000</v>
      </c>
      <c r="U35" s="22"/>
      <c r="V35" s="22">
        <v>0</v>
      </c>
      <c r="W35" s="24">
        <v>16512.68219066667</v>
      </c>
      <c r="X35" s="234">
        <f>W35+V35+U35+T35+S35</f>
        <v>36512.682190666674</v>
      </c>
      <c r="Y35" s="22">
        <v>136816.36730933332</v>
      </c>
      <c r="Z35" s="184">
        <f>R35-X35</f>
        <v>136816.36730933332</v>
      </c>
      <c r="AA35" s="157"/>
    </row>
    <row r="36" spans="1:27" ht="18.75" customHeight="1">
      <c r="A36" s="27">
        <v>3</v>
      </c>
      <c r="B36" s="133" t="s">
        <v>98</v>
      </c>
      <c r="C36" s="138" t="s">
        <v>99</v>
      </c>
      <c r="D36" s="158" t="s">
        <v>72</v>
      </c>
      <c r="E36" s="24">
        <f>17286.33</f>
        <v>17286.330000000002</v>
      </c>
      <c r="F36" s="24"/>
      <c r="G36" s="24">
        <f>E36*300%</f>
        <v>51858.990000000005</v>
      </c>
      <c r="H36" s="24">
        <f>E36*7.5%</f>
        <v>1296.4747500000001</v>
      </c>
      <c r="I36" s="24"/>
      <c r="J36" s="24">
        <f>E36*50%</f>
        <v>8643.1650000000009</v>
      </c>
      <c r="K36" s="22">
        <f>E36*350%</f>
        <v>60502.155000000006</v>
      </c>
      <c r="L36" s="24">
        <f>E36*100%</f>
        <v>17286.330000000002</v>
      </c>
      <c r="M36" s="156"/>
      <c r="N36" s="156">
        <f>50000+10000</f>
        <v>60000</v>
      </c>
      <c r="O36" s="24">
        <f>E36*10%</f>
        <v>1728.6330000000003</v>
      </c>
      <c r="P36" s="24">
        <v>10000</v>
      </c>
      <c r="Q36" s="24"/>
      <c r="R36" s="181">
        <f>SUM(E36:Q36)</f>
        <v>228602.07775000003</v>
      </c>
      <c r="S36" s="22"/>
      <c r="T36" s="22">
        <f>10000</f>
        <v>10000</v>
      </c>
      <c r="U36" s="22"/>
      <c r="V36" s="22"/>
      <c r="W36" s="24">
        <f>25571.73</f>
        <v>25571.73</v>
      </c>
      <c r="X36" s="234">
        <f>W36+V36+U36+T36+S36</f>
        <v>35571.729999999996</v>
      </c>
      <c r="Y36" s="22">
        <v>369165.42774999997</v>
      </c>
      <c r="Z36" s="184">
        <f>R36-X36</f>
        <v>193030.34775000002</v>
      </c>
      <c r="AA36" s="157"/>
    </row>
    <row r="37" spans="1:27" ht="19.5" customHeight="1">
      <c r="A37" s="27"/>
      <c r="B37" s="135"/>
      <c r="C37" s="28">
        <v>3</v>
      </c>
      <c r="D37" s="27"/>
      <c r="E37" s="160">
        <f>SUM(E34:E36)</f>
        <v>111378.29000000001</v>
      </c>
      <c r="F37" s="160">
        <f t="shared" ref="F37:Z37" si="52">SUM(F34:F36)</f>
        <v>0</v>
      </c>
      <c r="G37" s="160">
        <f t="shared" si="52"/>
        <v>334134.87</v>
      </c>
      <c r="H37" s="160">
        <f t="shared" si="52"/>
        <v>8353.3717500000002</v>
      </c>
      <c r="I37" s="160">
        <f t="shared" si="52"/>
        <v>80244.38</v>
      </c>
      <c r="J37" s="160">
        <f t="shared" si="52"/>
        <v>55689.145000000004</v>
      </c>
      <c r="K37" s="160">
        <f t="shared" si="52"/>
        <v>389824.01500000001</v>
      </c>
      <c r="L37" s="160">
        <f t="shared" si="52"/>
        <v>111378.29000000001</v>
      </c>
      <c r="M37" s="160">
        <f t="shared" si="52"/>
        <v>0</v>
      </c>
      <c r="N37" s="160">
        <f t="shared" si="52"/>
        <v>210000</v>
      </c>
      <c r="O37" s="160">
        <f t="shared" si="52"/>
        <v>11137.829</v>
      </c>
      <c r="P37" s="160">
        <f t="shared" si="52"/>
        <v>40000</v>
      </c>
      <c r="Q37" s="160">
        <f t="shared" si="52"/>
        <v>0</v>
      </c>
      <c r="R37" s="160">
        <f t="shared" si="52"/>
        <v>1352140.1907500001</v>
      </c>
      <c r="S37" s="160">
        <f t="shared" si="52"/>
        <v>0</v>
      </c>
      <c r="T37" s="160">
        <f t="shared" si="52"/>
        <v>130000</v>
      </c>
      <c r="U37" s="160">
        <f t="shared" si="52"/>
        <v>0</v>
      </c>
      <c r="V37" s="160">
        <f t="shared" si="52"/>
        <v>0</v>
      </c>
      <c r="W37" s="160">
        <f t="shared" si="52"/>
        <v>203191.21904933336</v>
      </c>
      <c r="X37" s="160">
        <f t="shared" si="52"/>
        <v>333191.21904933336</v>
      </c>
      <c r="Y37" s="160">
        <v>1195084.0517006665</v>
      </c>
      <c r="Z37" s="160">
        <f t="shared" si="52"/>
        <v>1018948.9717006667</v>
      </c>
      <c r="AA37" s="157"/>
    </row>
    <row r="38" spans="1:27" ht="20.100000000000001" customHeight="1">
      <c r="A38" s="27"/>
      <c r="B38" s="135"/>
      <c r="C38" s="19"/>
      <c r="D38" s="27"/>
      <c r="E38" s="160"/>
      <c r="F38" s="160"/>
      <c r="G38" s="160"/>
      <c r="H38" s="160"/>
      <c r="I38" s="160"/>
      <c r="J38" s="160"/>
      <c r="K38" s="160"/>
      <c r="L38" s="160"/>
      <c r="M38" s="156"/>
      <c r="N38" s="156"/>
      <c r="O38" s="160"/>
      <c r="P38" s="160"/>
      <c r="Q38" s="160"/>
      <c r="R38" s="188"/>
      <c r="S38" s="160"/>
      <c r="T38" s="160"/>
      <c r="U38" s="160"/>
      <c r="V38" s="160"/>
      <c r="W38" s="160"/>
      <c r="X38" s="234"/>
      <c r="Y38" s="22"/>
      <c r="Z38" s="184"/>
      <c r="AA38" s="157"/>
    </row>
    <row r="39" spans="1:27" ht="20.100000000000001" customHeight="1">
      <c r="A39" s="27"/>
      <c r="B39" s="162" t="s">
        <v>100</v>
      </c>
      <c r="C39" s="147"/>
      <c r="D39" s="151"/>
      <c r="E39" s="160"/>
      <c r="F39" s="160"/>
      <c r="G39" s="160"/>
      <c r="H39" s="22"/>
      <c r="I39" s="22"/>
      <c r="J39" s="22"/>
      <c r="K39" s="22"/>
      <c r="L39" s="22"/>
      <c r="M39" s="156"/>
      <c r="N39" s="156"/>
      <c r="O39" s="22"/>
      <c r="P39" s="22"/>
      <c r="Q39" s="22"/>
      <c r="R39" s="181"/>
      <c r="S39" s="22"/>
      <c r="T39" s="22"/>
      <c r="U39" s="22"/>
      <c r="V39" s="22"/>
      <c r="W39" s="22"/>
      <c r="X39" s="234"/>
      <c r="Y39" s="22"/>
      <c r="Z39" s="184"/>
      <c r="AA39" s="157"/>
    </row>
    <row r="40" spans="1:27" ht="20.100000000000001" customHeight="1">
      <c r="A40" s="27">
        <v>1</v>
      </c>
      <c r="B40" s="133" t="s">
        <v>101</v>
      </c>
      <c r="C40" s="19" t="s">
        <v>102</v>
      </c>
      <c r="D40" s="27" t="s">
        <v>95</v>
      </c>
      <c r="E40" s="24">
        <v>81740.02</v>
      </c>
      <c r="F40" s="24"/>
      <c r="G40" s="24">
        <f>E40*300%</f>
        <v>245220.06</v>
      </c>
      <c r="H40" s="24">
        <f>E40*7.5%</f>
        <v>6130.5015000000003</v>
      </c>
      <c r="I40" s="24">
        <v>80244.38</v>
      </c>
      <c r="J40" s="24">
        <f>E40*50%</f>
        <v>40870.01</v>
      </c>
      <c r="K40" s="24">
        <f>E40*350%</f>
        <v>286090.07</v>
      </c>
      <c r="L40" s="24">
        <f t="shared" ref="L40:L49" si="53">E40*100%</f>
        <v>81740.02</v>
      </c>
      <c r="M40" s="156">
        <f>200000</f>
        <v>200000</v>
      </c>
      <c r="N40" s="156"/>
      <c r="O40" s="24">
        <f t="shared" ref="O40:O49" si="54">E40*10%</f>
        <v>8174.0020000000004</v>
      </c>
      <c r="P40" s="24">
        <v>20000</v>
      </c>
      <c r="Q40" s="24"/>
      <c r="R40" s="181">
        <f t="shared" ref="R40:R51" si="55">SUM(E40:Q40)</f>
        <v>1050209.0635000002</v>
      </c>
      <c r="S40" s="22"/>
      <c r="T40" s="22">
        <f>200000</f>
        <v>200000</v>
      </c>
      <c r="U40" s="22">
        <f>380000</f>
        <v>380000</v>
      </c>
      <c r="V40" s="22"/>
      <c r="W40" s="24">
        <v>180306.80685866671</v>
      </c>
      <c r="X40" s="234">
        <f t="shared" ref="X40:X51" si="56">W40+V40+U40+T40+S40</f>
        <v>760306.80685866671</v>
      </c>
      <c r="Y40" s="22">
        <v>289902.25664133346</v>
      </c>
      <c r="Z40" s="184">
        <f t="shared" ref="Z40:Z51" si="57">R40-X40</f>
        <v>289902.25664133346</v>
      </c>
      <c r="AA40" s="157"/>
    </row>
    <row r="41" spans="1:27" ht="20.100000000000001" customHeight="1">
      <c r="A41" s="27">
        <v>2</v>
      </c>
      <c r="B41" s="133" t="s">
        <v>103</v>
      </c>
      <c r="C41" s="19" t="s">
        <v>104</v>
      </c>
      <c r="D41" s="27" t="s">
        <v>45</v>
      </c>
      <c r="E41" s="24">
        <v>33507.5</v>
      </c>
      <c r="F41" s="24"/>
      <c r="G41" s="24">
        <f>E41*300%</f>
        <v>100522.5</v>
      </c>
      <c r="H41" s="24">
        <f>E41*7.5%</f>
        <v>2513.0625</v>
      </c>
      <c r="I41" s="24">
        <v>40122.19</v>
      </c>
      <c r="J41" s="24">
        <f>E41*50%</f>
        <v>16753.75</v>
      </c>
      <c r="K41" s="24">
        <f>E41*350%</f>
        <v>117276.25</v>
      </c>
      <c r="L41" s="24">
        <f>E41*100%</f>
        <v>33507.5</v>
      </c>
      <c r="M41" s="156">
        <f>160000</f>
        <v>160000</v>
      </c>
      <c r="N41" s="156"/>
      <c r="O41" s="24">
        <f>E41*10%</f>
        <v>3350.75</v>
      </c>
      <c r="P41" s="24">
        <v>20000</v>
      </c>
      <c r="Q41" s="24">
        <v>0</v>
      </c>
      <c r="R41" s="181">
        <f>SUM(E41:Q41)</f>
        <v>527553.50249999994</v>
      </c>
      <c r="S41" s="22"/>
      <c r="T41" s="22">
        <f>50000</f>
        <v>50000</v>
      </c>
      <c r="U41" s="22">
        <f>385000</f>
        <v>385000</v>
      </c>
      <c r="V41" s="22"/>
      <c r="W41" s="24">
        <f>79956.9391466667*2</f>
        <v>159913.8782933334</v>
      </c>
      <c r="X41" s="234">
        <f t="shared" si="56"/>
        <v>594913.87829333334</v>
      </c>
      <c r="Y41" s="22">
        <v>25193.124206666602</v>
      </c>
      <c r="Z41" s="184">
        <f t="shared" si="57"/>
        <v>-67360.375793333398</v>
      </c>
      <c r="AA41" s="157"/>
    </row>
    <row r="42" spans="1:27" ht="20.100000000000001" customHeight="1">
      <c r="A42" s="27">
        <v>3</v>
      </c>
      <c r="B42" s="133" t="s">
        <v>105</v>
      </c>
      <c r="C42" s="19" t="s">
        <v>106</v>
      </c>
      <c r="D42" s="27" t="s">
        <v>107</v>
      </c>
      <c r="E42" s="24">
        <f>39662.25</f>
        <v>39662.25</v>
      </c>
      <c r="F42" s="24">
        <f>'PROMOTIONS '!AB11</f>
        <v>556088.57999999973</v>
      </c>
      <c r="G42" s="24">
        <f>E42*300%</f>
        <v>118986.75</v>
      </c>
      <c r="H42" s="24">
        <f>E42*7.5%</f>
        <v>2974.6687499999998</v>
      </c>
      <c r="I42" s="24">
        <v>40122.19</v>
      </c>
      <c r="J42" s="24">
        <f>E42*50%</f>
        <v>19831.125</v>
      </c>
      <c r="K42" s="24">
        <f>E42*350%</f>
        <v>138817.875</v>
      </c>
      <c r="L42" s="24">
        <f>E42*100%</f>
        <v>39662.25</v>
      </c>
      <c r="M42" s="156">
        <f>180000</f>
        <v>180000</v>
      </c>
      <c r="N42" s="156"/>
      <c r="O42" s="24">
        <f>E42*10%</f>
        <v>3966.2250000000004</v>
      </c>
      <c r="P42" s="24">
        <v>20000</v>
      </c>
      <c r="Q42" s="24"/>
      <c r="R42" s="181">
        <f t="shared" si="55"/>
        <v>1160111.9137499998</v>
      </c>
      <c r="S42" s="22"/>
      <c r="T42" s="22">
        <f>80000+23000</f>
        <v>103000</v>
      </c>
      <c r="U42" s="22">
        <f>246905.96</f>
        <v>246905.96</v>
      </c>
      <c r="V42" s="22"/>
      <c r="W42" s="24">
        <f>94639.15</f>
        <v>94639.15</v>
      </c>
      <c r="X42" s="234">
        <f t="shared" si="56"/>
        <v>444545.11</v>
      </c>
      <c r="Y42" s="22">
        <v>97690.60335333331</v>
      </c>
      <c r="Z42" s="184">
        <f t="shared" si="57"/>
        <v>715566.80374999985</v>
      </c>
      <c r="AA42" s="157"/>
    </row>
    <row r="43" spans="1:27" ht="20.100000000000001" customHeight="1">
      <c r="A43" s="27">
        <v>4</v>
      </c>
      <c r="B43" s="133" t="s">
        <v>108</v>
      </c>
      <c r="C43" s="19" t="s">
        <v>109</v>
      </c>
      <c r="D43" s="27" t="s">
        <v>45</v>
      </c>
      <c r="E43" s="24">
        <v>33507.5</v>
      </c>
      <c r="F43" s="24"/>
      <c r="G43" s="24">
        <f>E43*300%</f>
        <v>100522.5</v>
      </c>
      <c r="H43" s="24">
        <f>E43*7.5%</f>
        <v>2513.0625</v>
      </c>
      <c r="I43" s="24">
        <v>40122.19</v>
      </c>
      <c r="J43" s="24">
        <f>E43*50%</f>
        <v>16753.75</v>
      </c>
      <c r="K43" s="24">
        <f>E43*350%</f>
        <v>117276.25</v>
      </c>
      <c r="L43" s="24">
        <f>E43*100%</f>
        <v>33507.5</v>
      </c>
      <c r="M43" s="156">
        <f>160000</f>
        <v>160000</v>
      </c>
      <c r="N43" s="156"/>
      <c r="O43" s="24">
        <f>E43*10%</f>
        <v>3350.75</v>
      </c>
      <c r="P43" s="24">
        <v>20000</v>
      </c>
      <c r="Q43" s="24"/>
      <c r="R43" s="181">
        <f t="shared" si="55"/>
        <v>527553.50249999994</v>
      </c>
      <c r="S43" s="22"/>
      <c r="T43" s="22">
        <f>30000</f>
        <v>30000</v>
      </c>
      <c r="U43" s="22">
        <f>176288.88</f>
        <v>176288.88</v>
      </c>
      <c r="V43" s="22"/>
      <c r="W43" s="24">
        <v>79956.939146666657</v>
      </c>
      <c r="X43" s="234">
        <f t="shared" si="56"/>
        <v>286245.81914666668</v>
      </c>
      <c r="Y43" s="22">
        <v>241307.68335333327</v>
      </c>
      <c r="Z43" s="184">
        <f t="shared" si="57"/>
        <v>241307.68335333327</v>
      </c>
      <c r="AA43" s="157"/>
    </row>
    <row r="44" spans="1:27" ht="20.100000000000001" customHeight="1">
      <c r="A44" s="27">
        <v>5</v>
      </c>
      <c r="B44" s="133" t="s">
        <v>110</v>
      </c>
      <c r="C44" s="19" t="s">
        <v>109</v>
      </c>
      <c r="D44" s="27" t="s">
        <v>111</v>
      </c>
      <c r="E44" s="24">
        <v>32263.200000000001</v>
      </c>
      <c r="F44" s="24"/>
      <c r="G44" s="24">
        <f t="shared" ref="G44:G49" si="58">E44*300%</f>
        <v>96789.6</v>
      </c>
      <c r="H44" s="24">
        <f t="shared" ref="H44:H49" si="59">E44*7.5%</f>
        <v>2419.7399999999998</v>
      </c>
      <c r="I44" s="24">
        <f>40122.19</f>
        <v>40122.19</v>
      </c>
      <c r="J44" s="24">
        <f t="shared" ref="J44:J49" si="60">E44*50%</f>
        <v>16131.6</v>
      </c>
      <c r="K44" s="24">
        <f t="shared" ref="K44:K49" si="61">E44*350%</f>
        <v>112921.2</v>
      </c>
      <c r="L44" s="24">
        <f t="shared" si="53"/>
        <v>32263.200000000001</v>
      </c>
      <c r="M44" s="156">
        <f>140000+20000</f>
        <v>160000</v>
      </c>
      <c r="N44" s="156"/>
      <c r="O44" s="24">
        <f t="shared" si="54"/>
        <v>3226.32</v>
      </c>
      <c r="P44" s="24">
        <v>20000</v>
      </c>
      <c r="Q44" s="24">
        <v>0</v>
      </c>
      <c r="R44" s="181">
        <f t="shared" si="55"/>
        <v>516137.05000000005</v>
      </c>
      <c r="S44" s="22"/>
      <c r="T44" s="22"/>
      <c r="U44" s="22"/>
      <c r="V44" s="22">
        <v>806.58</v>
      </c>
      <c r="W44" s="24">
        <f>77764.98</f>
        <v>77764.98</v>
      </c>
      <c r="X44" s="234">
        <f t="shared" si="56"/>
        <v>78571.56</v>
      </c>
      <c r="Y44" s="22">
        <v>437565.49000000005</v>
      </c>
      <c r="Z44" s="184">
        <f t="shared" si="57"/>
        <v>437565.49000000005</v>
      </c>
      <c r="AA44" s="157"/>
    </row>
    <row r="45" spans="1:27" ht="20.100000000000001" customHeight="1">
      <c r="A45" s="27">
        <v>6</v>
      </c>
      <c r="B45" s="133" t="s">
        <v>112</v>
      </c>
      <c r="C45" s="19" t="s">
        <v>109</v>
      </c>
      <c r="D45" s="27" t="s">
        <v>48</v>
      </c>
      <c r="E45" s="24">
        <f>31018.84</f>
        <v>31018.84</v>
      </c>
      <c r="F45" s="24"/>
      <c r="G45" s="24">
        <f t="shared" si="58"/>
        <v>93056.52</v>
      </c>
      <c r="H45" s="24">
        <f t="shared" si="59"/>
        <v>2326.413</v>
      </c>
      <c r="I45" s="24">
        <f>40122.19</f>
        <v>40122.19</v>
      </c>
      <c r="J45" s="24">
        <f t="shared" si="60"/>
        <v>15509.42</v>
      </c>
      <c r="K45" s="24">
        <f t="shared" si="61"/>
        <v>108565.94</v>
      </c>
      <c r="L45" s="24">
        <f t="shared" si="53"/>
        <v>31018.84</v>
      </c>
      <c r="M45" s="156">
        <f>140000+20000</f>
        <v>160000</v>
      </c>
      <c r="N45" s="156"/>
      <c r="O45" s="24">
        <f t="shared" si="54"/>
        <v>3101.884</v>
      </c>
      <c r="P45" s="24">
        <v>20000</v>
      </c>
      <c r="Q45" s="24"/>
      <c r="R45" s="181">
        <f t="shared" si="55"/>
        <v>504720.04700000002</v>
      </c>
      <c r="S45" s="22"/>
      <c r="T45" s="22">
        <f>15000</f>
        <v>15000</v>
      </c>
      <c r="U45" s="22">
        <f>216666.67</f>
        <v>216666.67</v>
      </c>
      <c r="V45" s="22"/>
      <c r="W45" s="24">
        <f>75436.17</f>
        <v>75436.17</v>
      </c>
      <c r="X45" s="234">
        <f t="shared" si="56"/>
        <v>307102.84000000003</v>
      </c>
      <c r="Y45" s="22">
        <v>133621.92776128888</v>
      </c>
      <c r="Z45" s="184">
        <f t="shared" si="57"/>
        <v>197617.20699999999</v>
      </c>
      <c r="AA45" s="157"/>
    </row>
    <row r="46" spans="1:27" ht="20.100000000000001" customHeight="1">
      <c r="A46" s="27">
        <v>7</v>
      </c>
      <c r="B46" s="135" t="s">
        <v>113</v>
      </c>
      <c r="C46" s="19" t="s">
        <v>53</v>
      </c>
      <c r="D46" s="23" t="s">
        <v>51</v>
      </c>
      <c r="E46" s="24">
        <v>27611.23</v>
      </c>
      <c r="F46" s="24"/>
      <c r="G46" s="24">
        <f>E46*300%</f>
        <v>82833.69</v>
      </c>
      <c r="H46" s="24">
        <f>E46*7.5%</f>
        <v>2070.8422499999997</v>
      </c>
      <c r="I46" s="24"/>
      <c r="J46" s="24">
        <f>E46*50%</f>
        <v>13805.615</v>
      </c>
      <c r="K46" s="24">
        <f>E46*350%</f>
        <v>96639.304999999993</v>
      </c>
      <c r="L46" s="24">
        <f>E46*100%</f>
        <v>27611.23</v>
      </c>
      <c r="M46" s="156">
        <f>140000</f>
        <v>140000</v>
      </c>
      <c r="N46" s="156"/>
      <c r="O46" s="24">
        <f>E46*10%</f>
        <v>2761.123</v>
      </c>
      <c r="P46" s="24">
        <v>20000</v>
      </c>
      <c r="Q46" s="24"/>
      <c r="R46" s="181">
        <f t="shared" si="55"/>
        <v>413333.03525000007</v>
      </c>
      <c r="S46" s="22"/>
      <c r="T46" s="22"/>
      <c r="U46" s="22"/>
      <c r="V46" s="22">
        <v>0</v>
      </c>
      <c r="W46" s="22">
        <v>58026.609434666672</v>
      </c>
      <c r="X46" s="234">
        <f t="shared" si="56"/>
        <v>58026.609434666672</v>
      </c>
      <c r="Y46" s="22">
        <v>355306.42581533338</v>
      </c>
      <c r="Z46" s="184">
        <f t="shared" si="57"/>
        <v>355306.42581533338</v>
      </c>
      <c r="AA46" s="157"/>
    </row>
    <row r="47" spans="1:27" ht="20.100000000000001" customHeight="1">
      <c r="A47" s="27">
        <v>8</v>
      </c>
      <c r="B47" s="133" t="s">
        <v>114</v>
      </c>
      <c r="C47" s="19" t="s">
        <v>115</v>
      </c>
      <c r="D47" s="27" t="s">
        <v>116</v>
      </c>
      <c r="E47" s="24">
        <f>'[4]December 2022'!$E$126</f>
        <v>25854.1</v>
      </c>
      <c r="F47" s="24"/>
      <c r="G47" s="24">
        <f t="shared" si="58"/>
        <v>77562.299999999988</v>
      </c>
      <c r="H47" s="24">
        <f t="shared" si="59"/>
        <v>1939.0574999999999</v>
      </c>
      <c r="I47" s="24"/>
      <c r="J47" s="24">
        <f t="shared" si="60"/>
        <v>12927.05</v>
      </c>
      <c r="K47" s="24">
        <f t="shared" si="61"/>
        <v>90489.349999999991</v>
      </c>
      <c r="L47" s="24">
        <f t="shared" si="53"/>
        <v>25854.1</v>
      </c>
      <c r="M47" s="156">
        <f>140000</f>
        <v>140000</v>
      </c>
      <c r="N47" s="156"/>
      <c r="O47" s="24">
        <f t="shared" si="54"/>
        <v>2585.41</v>
      </c>
      <c r="P47" s="24">
        <v>20000</v>
      </c>
      <c r="Q47" s="24"/>
      <c r="R47" s="22">
        <f t="shared" si="55"/>
        <v>397211.36749999999</v>
      </c>
      <c r="S47" s="22"/>
      <c r="T47" s="22">
        <f>10000+10000</f>
        <v>20000</v>
      </c>
      <c r="U47" s="22"/>
      <c r="V47" s="22">
        <f>PROMOTIONS!V11</f>
        <v>690.28</v>
      </c>
      <c r="W47" s="24">
        <f>[3]PROMOTIONS!$X$11</f>
        <v>54812.468586666662</v>
      </c>
      <c r="X47" s="234">
        <f t="shared" si="56"/>
        <v>75502.748586666654</v>
      </c>
      <c r="Y47" s="22">
        <v>321708.61891333334</v>
      </c>
      <c r="Z47" s="184">
        <f t="shared" si="57"/>
        <v>321708.61891333334</v>
      </c>
      <c r="AA47" s="157"/>
    </row>
    <row r="48" spans="1:27" ht="20.100000000000001" customHeight="1">
      <c r="A48" s="27">
        <v>9</v>
      </c>
      <c r="B48" s="133" t="s">
        <v>117</v>
      </c>
      <c r="C48" s="19" t="s">
        <v>118</v>
      </c>
      <c r="D48" s="27" t="s">
        <v>72</v>
      </c>
      <c r="E48" s="24">
        <v>17286.330000000002</v>
      </c>
      <c r="F48" s="24"/>
      <c r="G48" s="24">
        <f t="shared" si="58"/>
        <v>51858.990000000005</v>
      </c>
      <c r="H48" s="24">
        <f t="shared" si="59"/>
        <v>1296.4747500000001</v>
      </c>
      <c r="I48" s="24"/>
      <c r="J48" s="24">
        <f t="shared" si="60"/>
        <v>8643.1650000000009</v>
      </c>
      <c r="K48" s="24">
        <f t="shared" si="61"/>
        <v>60502.155000000006</v>
      </c>
      <c r="L48" s="24">
        <f t="shared" si="53"/>
        <v>17286.330000000002</v>
      </c>
      <c r="M48" s="156">
        <v>100000</v>
      </c>
      <c r="N48" s="156"/>
      <c r="O48" s="24">
        <f t="shared" si="54"/>
        <v>1728.6330000000003</v>
      </c>
      <c r="P48" s="24">
        <v>10000</v>
      </c>
      <c r="Q48" s="24"/>
      <c r="R48" s="181">
        <f t="shared" si="55"/>
        <v>268602.07775000005</v>
      </c>
      <c r="S48" s="22"/>
      <c r="T48" s="22"/>
      <c r="U48" s="22"/>
      <c r="V48" s="22"/>
      <c r="W48" s="24">
        <f>32291.82</f>
        <v>32291.82</v>
      </c>
      <c r="X48" s="234">
        <f t="shared" si="56"/>
        <v>32291.82</v>
      </c>
      <c r="Y48" s="22">
        <v>236310.25775000005</v>
      </c>
      <c r="Z48" s="184">
        <f t="shared" si="57"/>
        <v>236310.25775000005</v>
      </c>
      <c r="AA48" s="157"/>
    </row>
    <row r="49" spans="1:27" ht="20.100000000000001" customHeight="1">
      <c r="A49" s="27">
        <v>10</v>
      </c>
      <c r="B49" s="133" t="s">
        <v>119</v>
      </c>
      <c r="C49" s="19" t="s">
        <v>118</v>
      </c>
      <c r="D49" s="27" t="s">
        <v>79</v>
      </c>
      <c r="E49" s="24">
        <f>14736.14</f>
        <v>14736.14</v>
      </c>
      <c r="F49" s="24"/>
      <c r="G49" s="24">
        <f t="shared" si="58"/>
        <v>44208.42</v>
      </c>
      <c r="H49" s="24">
        <f t="shared" si="59"/>
        <v>1105.2104999999999</v>
      </c>
      <c r="I49" s="24"/>
      <c r="J49" s="24">
        <f t="shared" si="60"/>
        <v>7368.07</v>
      </c>
      <c r="K49" s="24">
        <f t="shared" si="61"/>
        <v>51576.49</v>
      </c>
      <c r="L49" s="24">
        <f t="shared" si="53"/>
        <v>14736.14</v>
      </c>
      <c r="M49" s="156">
        <f>100000</f>
        <v>100000</v>
      </c>
      <c r="N49" s="156"/>
      <c r="O49" s="24">
        <f t="shared" si="54"/>
        <v>1473.614</v>
      </c>
      <c r="P49" s="24">
        <v>10000</v>
      </c>
      <c r="Q49" s="24"/>
      <c r="R49" s="181">
        <f t="shared" si="55"/>
        <v>245204.0845</v>
      </c>
      <c r="S49" s="22"/>
      <c r="T49" s="22"/>
      <c r="U49" s="22"/>
      <c r="V49" s="22"/>
      <c r="W49" s="24">
        <v>28360.952862666662</v>
      </c>
      <c r="X49" s="234">
        <f t="shared" si="56"/>
        <v>28360.952862666662</v>
      </c>
      <c r="Y49" s="22">
        <v>216843.13163733334</v>
      </c>
      <c r="Z49" s="184">
        <f t="shared" si="57"/>
        <v>216843.13163733334</v>
      </c>
      <c r="AA49" s="157"/>
    </row>
    <row r="50" spans="1:27" ht="20.100000000000001" customHeight="1">
      <c r="A50" s="27">
        <v>11</v>
      </c>
      <c r="B50" s="133" t="s">
        <v>120</v>
      </c>
      <c r="C50" s="19" t="s">
        <v>118</v>
      </c>
      <c r="D50" s="27" t="s">
        <v>79</v>
      </c>
      <c r="E50" s="24">
        <f>14736.14</f>
        <v>14736.14</v>
      </c>
      <c r="F50" s="24"/>
      <c r="G50" s="24">
        <f t="shared" ref="G50" si="62">E50*300%</f>
        <v>44208.42</v>
      </c>
      <c r="H50" s="24">
        <f t="shared" ref="H50" si="63">E50*7.5%</f>
        <v>1105.2104999999999</v>
      </c>
      <c r="I50" s="24"/>
      <c r="J50" s="24">
        <f t="shared" ref="J50" si="64">E50*50%</f>
        <v>7368.07</v>
      </c>
      <c r="K50" s="24">
        <f t="shared" ref="K50" si="65">E50*350%</f>
        <v>51576.49</v>
      </c>
      <c r="L50" s="24">
        <f t="shared" ref="L50" si="66">E50*100%</f>
        <v>14736.14</v>
      </c>
      <c r="M50" s="156">
        <f>100000</f>
        <v>100000</v>
      </c>
      <c r="N50" s="156"/>
      <c r="O50" s="24">
        <f t="shared" ref="O50" si="67">E50*10%</f>
        <v>1473.614</v>
      </c>
      <c r="P50" s="24">
        <v>10000</v>
      </c>
      <c r="Q50" s="24"/>
      <c r="R50" s="181">
        <f t="shared" si="55"/>
        <v>245204.0845</v>
      </c>
      <c r="S50" s="22"/>
      <c r="T50" s="22"/>
      <c r="U50" s="22"/>
      <c r="V50" s="22"/>
      <c r="W50" s="24">
        <v>28360.952862666662</v>
      </c>
      <c r="X50" s="234">
        <f t="shared" si="56"/>
        <v>28360.952862666662</v>
      </c>
      <c r="Y50" s="22">
        <v>216843.13163733334</v>
      </c>
      <c r="Z50" s="184">
        <f t="shared" si="57"/>
        <v>216843.13163733334</v>
      </c>
      <c r="AA50" s="157"/>
    </row>
    <row r="51" spans="1:27" ht="20.100000000000001" customHeight="1">
      <c r="A51" s="27">
        <v>12</v>
      </c>
      <c r="B51" s="133" t="s">
        <v>121</v>
      </c>
      <c r="C51" s="19" t="s">
        <v>118</v>
      </c>
      <c r="D51" s="27" t="s">
        <v>79</v>
      </c>
      <c r="E51" s="24">
        <f>14736.14</f>
        <v>14736.14</v>
      </c>
      <c r="F51" s="24"/>
      <c r="G51" s="24">
        <f t="shared" ref="G51" si="68">E51*300%</f>
        <v>44208.42</v>
      </c>
      <c r="H51" s="24">
        <f t="shared" ref="H51" si="69">E51*7.5%</f>
        <v>1105.2104999999999</v>
      </c>
      <c r="I51" s="24"/>
      <c r="J51" s="24">
        <f t="shared" ref="J51" si="70">E51*50%</f>
        <v>7368.07</v>
      </c>
      <c r="K51" s="24">
        <f t="shared" ref="K51" si="71">E51*350%</f>
        <v>51576.49</v>
      </c>
      <c r="L51" s="24">
        <f t="shared" ref="L51" si="72">E51*100%</f>
        <v>14736.14</v>
      </c>
      <c r="M51" s="156">
        <f>100000</f>
        <v>100000</v>
      </c>
      <c r="N51" s="156"/>
      <c r="O51" s="24">
        <f t="shared" ref="O51" si="73">E51*10%</f>
        <v>1473.614</v>
      </c>
      <c r="P51" s="24">
        <v>10000</v>
      </c>
      <c r="Q51" s="24"/>
      <c r="R51" s="181">
        <f t="shared" si="55"/>
        <v>245204.0845</v>
      </c>
      <c r="S51" s="22"/>
      <c r="T51" s="22"/>
      <c r="U51" s="22"/>
      <c r="V51" s="22"/>
      <c r="W51" s="24">
        <v>28360.952862666662</v>
      </c>
      <c r="X51" s="234">
        <f t="shared" si="56"/>
        <v>28360.952862666662</v>
      </c>
      <c r="Y51" s="22">
        <v>216843.13163733334</v>
      </c>
      <c r="Z51" s="184">
        <f t="shared" si="57"/>
        <v>216843.13163733334</v>
      </c>
      <c r="AA51" s="157"/>
    </row>
    <row r="52" spans="1:27" ht="25.5" customHeight="1">
      <c r="A52" s="27"/>
      <c r="B52" s="136" t="s">
        <v>91</v>
      </c>
      <c r="C52" s="28">
        <v>12</v>
      </c>
      <c r="D52" s="28"/>
      <c r="E52" s="65">
        <f t="shared" ref="E52:X52" si="74">SUM(E40:E51)</f>
        <v>366659.39000000007</v>
      </c>
      <c r="F52" s="65">
        <f t="shared" si="74"/>
        <v>556088.57999999973</v>
      </c>
      <c r="G52" s="65">
        <f t="shared" si="74"/>
        <v>1099978.1700000002</v>
      </c>
      <c r="H52" s="65">
        <f t="shared" si="74"/>
        <v>27499.454250000006</v>
      </c>
      <c r="I52" s="65">
        <f t="shared" si="74"/>
        <v>280855.33</v>
      </c>
      <c r="J52" s="65">
        <f t="shared" si="74"/>
        <v>183329.69500000004</v>
      </c>
      <c r="K52" s="65">
        <f t="shared" si="74"/>
        <v>1283307.865</v>
      </c>
      <c r="L52" s="65">
        <f t="shared" si="74"/>
        <v>366659.39000000007</v>
      </c>
      <c r="M52" s="65">
        <f t="shared" si="74"/>
        <v>1700000</v>
      </c>
      <c r="N52" s="65">
        <f t="shared" si="74"/>
        <v>0</v>
      </c>
      <c r="O52" s="65">
        <f t="shared" si="74"/>
        <v>36665.938999999998</v>
      </c>
      <c r="P52" s="65">
        <f t="shared" si="74"/>
        <v>200000</v>
      </c>
      <c r="Q52" s="65">
        <f t="shared" si="74"/>
        <v>0</v>
      </c>
      <c r="R52" s="65">
        <f t="shared" si="74"/>
        <v>6101043.8132499997</v>
      </c>
      <c r="S52" s="65">
        <f t="shared" si="74"/>
        <v>0</v>
      </c>
      <c r="T52" s="65">
        <f t="shared" si="74"/>
        <v>418000</v>
      </c>
      <c r="U52" s="65">
        <f t="shared" si="74"/>
        <v>1404861.5099999998</v>
      </c>
      <c r="V52" s="65">
        <f t="shared" si="74"/>
        <v>1496.8600000000001</v>
      </c>
      <c r="W52" s="65">
        <f t="shared" si="74"/>
        <v>898231.6809080001</v>
      </c>
      <c r="X52" s="334">
        <f t="shared" si="74"/>
        <v>2722590.0509079993</v>
      </c>
      <c r="Y52" s="65">
        <v>2789135.7827066225</v>
      </c>
      <c r="Z52" s="313">
        <f>SUM(Z40:Z51)</f>
        <v>3378453.7623419999</v>
      </c>
      <c r="AA52" s="157"/>
    </row>
    <row r="53" spans="1:27" ht="20.100000000000001" customHeight="1">
      <c r="A53" s="27"/>
      <c r="B53" s="103"/>
      <c r="C53" s="28"/>
      <c r="D53" s="28"/>
      <c r="E53" s="29"/>
      <c r="F53" s="29"/>
      <c r="G53" s="29"/>
      <c r="H53" s="29"/>
      <c r="I53" s="29"/>
      <c r="J53" s="29"/>
      <c r="K53" s="29"/>
      <c r="L53" s="29"/>
      <c r="M53" s="156"/>
      <c r="N53" s="156"/>
      <c r="O53" s="29"/>
      <c r="P53" s="29"/>
      <c r="Q53" s="29"/>
      <c r="R53" s="189"/>
      <c r="S53" s="29"/>
      <c r="T53" s="29"/>
      <c r="U53" s="29"/>
      <c r="V53" s="29"/>
      <c r="W53" s="29"/>
      <c r="X53" s="236"/>
      <c r="Y53" s="29"/>
      <c r="Z53" s="195"/>
      <c r="AA53" s="157"/>
    </row>
    <row r="54" spans="1:27" ht="20.100000000000001" customHeight="1">
      <c r="A54" s="27"/>
      <c r="B54" s="136" t="s">
        <v>122</v>
      </c>
      <c r="C54" s="28"/>
      <c r="D54" s="28"/>
      <c r="E54" s="29"/>
      <c r="F54" s="29"/>
      <c r="G54" s="29"/>
      <c r="H54" s="29"/>
      <c r="I54" s="29"/>
      <c r="J54" s="29"/>
      <c r="K54" s="29"/>
      <c r="L54" s="29"/>
      <c r="M54" s="156"/>
      <c r="N54" s="156"/>
      <c r="O54" s="29"/>
      <c r="P54" s="29"/>
      <c r="Q54" s="29"/>
      <c r="R54" s="189"/>
      <c r="S54" s="29"/>
      <c r="T54" s="29"/>
      <c r="U54" s="29"/>
      <c r="V54" s="29"/>
      <c r="W54" s="29"/>
      <c r="X54" s="236"/>
      <c r="Y54" s="29"/>
      <c r="Z54" s="195"/>
      <c r="AA54" s="157"/>
    </row>
    <row r="55" spans="1:27" ht="20.100000000000001" customHeight="1">
      <c r="A55" s="27">
        <v>1</v>
      </c>
      <c r="B55" s="133" t="s">
        <v>123</v>
      </c>
      <c r="C55" s="138" t="s">
        <v>124</v>
      </c>
      <c r="D55" s="158" t="s">
        <v>95</v>
      </c>
      <c r="E55" s="24">
        <v>81740.02</v>
      </c>
      <c r="F55" s="24"/>
      <c r="G55" s="24">
        <f>E55*300%</f>
        <v>245220.06</v>
      </c>
      <c r="H55" s="24">
        <f>E55*7.5%</f>
        <v>6130.5015000000003</v>
      </c>
      <c r="I55" s="24">
        <v>80244.38</v>
      </c>
      <c r="J55" s="24">
        <f>E55*50%</f>
        <v>40870.01</v>
      </c>
      <c r="K55" s="24">
        <f>E55*350%</f>
        <v>286090.07</v>
      </c>
      <c r="L55" s="24">
        <f>E55*100%</f>
        <v>81740.02</v>
      </c>
      <c r="M55" s="156">
        <f>200000</f>
        <v>200000</v>
      </c>
      <c r="N55" s="156"/>
      <c r="O55" s="24">
        <f>E55*10%</f>
        <v>8174.0020000000004</v>
      </c>
      <c r="P55" s="24">
        <v>20000</v>
      </c>
      <c r="Q55" s="24">
        <v>0</v>
      </c>
      <c r="R55" s="181">
        <f>SUM(E55:Q55)</f>
        <v>1050209.0635000002</v>
      </c>
      <c r="S55" s="22"/>
      <c r="T55" s="22">
        <v>120000</v>
      </c>
      <c r="U55" s="22">
        <v>120000</v>
      </c>
      <c r="V55" s="22">
        <v>0</v>
      </c>
      <c r="W55" s="24">
        <v>180306.80685866671</v>
      </c>
      <c r="X55" s="234">
        <f>W55+V55+U55+T55+S55</f>
        <v>420306.80685866671</v>
      </c>
      <c r="Y55" s="22">
        <v>629902.25664133346</v>
      </c>
      <c r="Z55" s="184">
        <f>R55-X55</f>
        <v>629902.25664133346</v>
      </c>
      <c r="AA55" s="157"/>
    </row>
    <row r="56" spans="1:27" ht="20.100000000000001" customHeight="1">
      <c r="A56" s="27">
        <v>2</v>
      </c>
      <c r="B56" s="133" t="s">
        <v>125</v>
      </c>
      <c r="C56" s="138" t="s">
        <v>126</v>
      </c>
      <c r="D56" s="158" t="s">
        <v>127</v>
      </c>
      <c r="E56" s="24">
        <v>32263.200000000001</v>
      </c>
      <c r="F56" s="24"/>
      <c r="G56" s="24">
        <v>96789.6</v>
      </c>
      <c r="H56" s="24">
        <v>2419.7399999999998</v>
      </c>
      <c r="I56" s="24">
        <v>40122.19</v>
      </c>
      <c r="J56" s="24">
        <v>16131.6</v>
      </c>
      <c r="K56" s="24">
        <v>112921.2</v>
      </c>
      <c r="L56" s="24">
        <v>32263.200000000001</v>
      </c>
      <c r="M56" s="156"/>
      <c r="N56" s="156">
        <v>80000</v>
      </c>
      <c r="O56" s="24">
        <v>3226.32</v>
      </c>
      <c r="P56" s="24">
        <v>20000</v>
      </c>
      <c r="Q56" s="24">
        <v>0</v>
      </c>
      <c r="R56" s="181">
        <v>436137.05000000005</v>
      </c>
      <c r="S56" s="22"/>
      <c r="T56" s="22">
        <v>50000</v>
      </c>
      <c r="U56" s="22">
        <v>145000</v>
      </c>
      <c r="V56" s="22">
        <v>0</v>
      </c>
      <c r="W56" s="24">
        <v>62404.98</v>
      </c>
      <c r="X56" s="234">
        <v>257404.98</v>
      </c>
      <c r="Y56" s="22">
        <v>178732.07000000004</v>
      </c>
      <c r="Z56" s="184">
        <v>178732.07000000004</v>
      </c>
      <c r="AA56" s="157"/>
    </row>
    <row r="57" spans="1:27" ht="20.100000000000001" customHeight="1">
      <c r="A57" s="27"/>
      <c r="B57" s="136" t="s">
        <v>91</v>
      </c>
      <c r="C57" s="28">
        <v>2</v>
      </c>
      <c r="D57" s="28"/>
      <c r="E57" s="65">
        <f>SUM(E55:E56)</f>
        <v>114003.22</v>
      </c>
      <c r="F57" s="65"/>
      <c r="G57" s="65">
        <f>SUM(G55:G56)</f>
        <v>342009.66000000003</v>
      </c>
      <c r="H57" s="65">
        <f t="shared" ref="H57:Z57" si="75">SUM(H55:H56)</f>
        <v>8550.2415000000001</v>
      </c>
      <c r="I57" s="65">
        <f t="shared" si="75"/>
        <v>120366.57</v>
      </c>
      <c r="J57" s="65">
        <f t="shared" si="75"/>
        <v>57001.61</v>
      </c>
      <c r="K57" s="65">
        <f t="shared" si="75"/>
        <v>399011.27</v>
      </c>
      <c r="L57" s="65">
        <f t="shared" si="75"/>
        <v>114003.22</v>
      </c>
      <c r="M57" s="65">
        <f t="shared" si="75"/>
        <v>200000</v>
      </c>
      <c r="N57" s="65">
        <f t="shared" si="75"/>
        <v>80000</v>
      </c>
      <c r="O57" s="65">
        <f t="shared" si="75"/>
        <v>11400.322</v>
      </c>
      <c r="P57" s="65">
        <f t="shared" si="75"/>
        <v>40000</v>
      </c>
      <c r="Q57" s="65">
        <f t="shared" si="75"/>
        <v>0</v>
      </c>
      <c r="R57" s="65">
        <f t="shared" si="75"/>
        <v>1486346.1135000002</v>
      </c>
      <c r="S57" s="65">
        <f t="shared" si="75"/>
        <v>0</v>
      </c>
      <c r="T57" s="65">
        <f t="shared" si="75"/>
        <v>170000</v>
      </c>
      <c r="U57" s="65">
        <f t="shared" si="75"/>
        <v>265000</v>
      </c>
      <c r="V57" s="65">
        <f t="shared" si="75"/>
        <v>0</v>
      </c>
      <c r="W57" s="65">
        <f t="shared" si="75"/>
        <v>242711.78685866672</v>
      </c>
      <c r="X57" s="334">
        <f t="shared" si="75"/>
        <v>677711.78685866669</v>
      </c>
      <c r="Y57" s="65">
        <v>808634.32664133352</v>
      </c>
      <c r="Z57" s="313">
        <f t="shared" si="75"/>
        <v>808634.32664133352</v>
      </c>
      <c r="AA57" s="157"/>
    </row>
    <row r="58" spans="1:27" ht="20.100000000000001" customHeight="1">
      <c r="A58" s="27"/>
      <c r="B58" s="136"/>
      <c r="C58" s="28"/>
      <c r="D58" s="28"/>
      <c r="E58" s="29"/>
      <c r="F58" s="29"/>
      <c r="G58" s="29"/>
      <c r="H58" s="29"/>
      <c r="I58" s="29"/>
      <c r="J58" s="29"/>
      <c r="K58" s="29"/>
      <c r="L58" s="29"/>
      <c r="M58" s="156"/>
      <c r="N58" s="156"/>
      <c r="O58" s="29"/>
      <c r="P58" s="29"/>
      <c r="Q58" s="29"/>
      <c r="R58" s="189"/>
      <c r="S58" s="29"/>
      <c r="T58" s="29"/>
      <c r="U58" s="29"/>
      <c r="V58" s="29"/>
      <c r="W58" s="29"/>
      <c r="X58" s="236"/>
      <c r="Y58" s="29"/>
      <c r="Z58" s="195"/>
      <c r="AA58" s="157"/>
    </row>
    <row r="59" spans="1:27" ht="20.100000000000001" customHeight="1">
      <c r="A59" s="27"/>
      <c r="B59" s="136" t="s">
        <v>128</v>
      </c>
      <c r="C59" s="28"/>
      <c r="D59" s="28"/>
      <c r="E59" s="29"/>
      <c r="F59" s="29"/>
      <c r="G59" s="29"/>
      <c r="H59" s="29"/>
      <c r="I59" s="29"/>
      <c r="J59" s="29"/>
      <c r="K59" s="29"/>
      <c r="L59" s="29"/>
      <c r="M59" s="156"/>
      <c r="N59" s="156"/>
      <c r="O59" s="29"/>
      <c r="P59" s="29"/>
      <c r="Q59" s="29"/>
      <c r="R59" s="189"/>
      <c r="S59" s="29"/>
      <c r="T59" s="29"/>
      <c r="U59" s="29"/>
      <c r="V59" s="29"/>
      <c r="W59" s="29"/>
      <c r="X59" s="236"/>
      <c r="Y59" s="29"/>
      <c r="Z59" s="195"/>
      <c r="AA59" s="157"/>
    </row>
    <row r="60" spans="1:27" ht="20.100000000000001" customHeight="1">
      <c r="A60" s="27">
        <v>1</v>
      </c>
      <c r="B60" s="133" t="s">
        <v>129</v>
      </c>
      <c r="C60" s="92" t="s">
        <v>130</v>
      </c>
      <c r="D60" s="27" t="s">
        <v>95</v>
      </c>
      <c r="E60" s="24">
        <v>81740.02</v>
      </c>
      <c r="F60" s="24"/>
      <c r="G60" s="24">
        <f t="shared" ref="G60:G69" si="76">E60*300%</f>
        <v>245220.06</v>
      </c>
      <c r="H60" s="24">
        <f t="shared" ref="H60:H69" si="77">E60*7.5%</f>
        <v>6130.5015000000003</v>
      </c>
      <c r="I60" s="24">
        <f>80244.38</f>
        <v>80244.38</v>
      </c>
      <c r="J60" s="24">
        <f t="shared" ref="J60:J69" si="78">E60*50%</f>
        <v>40870.01</v>
      </c>
      <c r="K60" s="24">
        <f t="shared" ref="K60:K69" si="79">E60*350%</f>
        <v>286090.07</v>
      </c>
      <c r="L60" s="24">
        <f t="shared" ref="L60:L69" si="80">E60*100%</f>
        <v>81740.02</v>
      </c>
      <c r="M60" s="156">
        <f>200000</f>
        <v>200000</v>
      </c>
      <c r="N60" s="156"/>
      <c r="O60" s="24">
        <f t="shared" ref="O60:O69" si="81">E60*10%</f>
        <v>8174.0020000000004</v>
      </c>
      <c r="P60" s="24">
        <v>20000</v>
      </c>
      <c r="Q60" s="24">
        <v>0</v>
      </c>
      <c r="R60" s="182">
        <f t="shared" ref="R60:R69" si="82">SUM(E60:Q60)</f>
        <v>1050209.0635000002</v>
      </c>
      <c r="S60" s="24"/>
      <c r="T60" s="24">
        <f>100000+100000</f>
        <v>200000</v>
      </c>
      <c r="U60" s="24">
        <f>223611.11</f>
        <v>223611.11</v>
      </c>
      <c r="V60" s="24"/>
      <c r="W60" s="24">
        <v>180306.80685866671</v>
      </c>
      <c r="X60" s="237">
        <f t="shared" ref="X60:X70" si="83">W60+V60+U60+T60+S60</f>
        <v>603917.91685866669</v>
      </c>
      <c r="Y60" s="24">
        <v>446291.14664133347</v>
      </c>
      <c r="Z60" s="185">
        <f t="shared" ref="Z60:Z70" si="84">R60-X60</f>
        <v>446291.14664133347</v>
      </c>
      <c r="AA60" s="157"/>
    </row>
    <row r="61" spans="1:27" ht="20.100000000000001" customHeight="1">
      <c r="A61" s="27">
        <v>2</v>
      </c>
      <c r="B61" s="265" t="s">
        <v>131</v>
      </c>
      <c r="C61" s="92" t="s">
        <v>132</v>
      </c>
      <c r="D61" s="158" t="s">
        <v>133</v>
      </c>
      <c r="E61" s="181">
        <v>31018.84</v>
      </c>
      <c r="F61" s="24"/>
      <c r="G61" s="24">
        <f t="shared" si="76"/>
        <v>93056.52</v>
      </c>
      <c r="H61" s="24">
        <f t="shared" si="77"/>
        <v>2326.413</v>
      </c>
      <c r="I61" s="24">
        <v>40122.19</v>
      </c>
      <c r="J61" s="24">
        <f t="shared" si="78"/>
        <v>15509.42</v>
      </c>
      <c r="K61" s="24">
        <f t="shared" si="79"/>
        <v>108565.94</v>
      </c>
      <c r="L61" s="24">
        <f t="shared" si="80"/>
        <v>31018.84</v>
      </c>
      <c r="M61" s="156">
        <f>160000</f>
        <v>160000</v>
      </c>
      <c r="N61" s="156"/>
      <c r="O61" s="24">
        <f t="shared" si="81"/>
        <v>3101.884</v>
      </c>
      <c r="P61" s="24">
        <v>20000</v>
      </c>
      <c r="Q61" s="159">
        <v>0</v>
      </c>
      <c r="R61" s="182">
        <f t="shared" si="82"/>
        <v>504720.04700000002</v>
      </c>
      <c r="S61" s="22"/>
      <c r="T61" s="22">
        <f>100000</f>
        <v>100000</v>
      </c>
      <c r="U61" s="22">
        <f>131250</f>
        <v>131250</v>
      </c>
      <c r="V61" s="22"/>
      <c r="W61" s="24">
        <v>75572.915690666661</v>
      </c>
      <c r="X61" s="237">
        <f t="shared" si="83"/>
        <v>306822.91569066665</v>
      </c>
      <c r="Y61" s="22">
        <v>197897.13130933337</v>
      </c>
      <c r="Z61" s="184">
        <f t="shared" si="84"/>
        <v>197897.13130933337</v>
      </c>
      <c r="AA61" s="157"/>
    </row>
    <row r="62" spans="1:27" ht="20.100000000000001" customHeight="1">
      <c r="A62" s="27">
        <v>3</v>
      </c>
      <c r="B62" s="133" t="s">
        <v>134</v>
      </c>
      <c r="C62" s="19" t="s">
        <v>53</v>
      </c>
      <c r="D62" s="27" t="s">
        <v>116</v>
      </c>
      <c r="E62" s="24">
        <v>25854.1</v>
      </c>
      <c r="F62" s="24"/>
      <c r="G62" s="24">
        <f t="shared" si="76"/>
        <v>77562.299999999988</v>
      </c>
      <c r="H62" s="24">
        <f t="shared" si="77"/>
        <v>1939.0574999999999</v>
      </c>
      <c r="I62" s="24"/>
      <c r="J62" s="24">
        <f t="shared" si="78"/>
        <v>12927.05</v>
      </c>
      <c r="K62" s="24">
        <f t="shared" si="79"/>
        <v>90489.349999999991</v>
      </c>
      <c r="L62" s="24">
        <f t="shared" si="80"/>
        <v>25854.1</v>
      </c>
      <c r="M62" s="156">
        <v>140000</v>
      </c>
      <c r="N62" s="156"/>
      <c r="O62" s="24">
        <f t="shared" si="81"/>
        <v>2585.41</v>
      </c>
      <c r="P62" s="24">
        <v>20000</v>
      </c>
      <c r="Q62" s="24"/>
      <c r="R62" s="24">
        <f t="shared" si="82"/>
        <v>397211.36749999999</v>
      </c>
      <c r="S62" s="24"/>
      <c r="T62" s="24">
        <f>110000</f>
        <v>110000</v>
      </c>
      <c r="U62" s="24"/>
      <c r="V62" s="24"/>
      <c r="W62" s="24">
        <f>[3]PROMOTIONS!$X$16</f>
        <v>54931.226666666662</v>
      </c>
      <c r="X62" s="237">
        <f t="shared" si="83"/>
        <v>164931.22666666665</v>
      </c>
      <c r="Y62" s="24">
        <v>232280.14083333334</v>
      </c>
      <c r="Z62" s="185">
        <f t="shared" si="84"/>
        <v>232280.14083333334</v>
      </c>
      <c r="AA62" s="157"/>
    </row>
    <row r="63" spans="1:27" ht="20.100000000000001" customHeight="1">
      <c r="A63" s="27">
        <v>4</v>
      </c>
      <c r="B63" s="134" t="s">
        <v>135</v>
      </c>
      <c r="C63" s="92" t="s">
        <v>136</v>
      </c>
      <c r="D63" s="158" t="s">
        <v>60</v>
      </c>
      <c r="E63" s="24">
        <v>24741.26</v>
      </c>
      <c r="F63" s="24"/>
      <c r="G63" s="24">
        <f t="shared" si="76"/>
        <v>74223.78</v>
      </c>
      <c r="H63" s="24">
        <f t="shared" si="77"/>
        <v>1855.5944999999997</v>
      </c>
      <c r="I63" s="24">
        <v>0</v>
      </c>
      <c r="J63" s="24">
        <f t="shared" si="78"/>
        <v>12370.63</v>
      </c>
      <c r="K63" s="22">
        <f t="shared" si="79"/>
        <v>86594.409999999989</v>
      </c>
      <c r="L63" s="24">
        <f t="shared" si="80"/>
        <v>24741.26</v>
      </c>
      <c r="M63" s="156">
        <f t="shared" ref="M63" si="85">120000</f>
        <v>120000</v>
      </c>
      <c r="N63" s="156"/>
      <c r="O63" s="24">
        <f t="shared" si="81"/>
        <v>2474.1260000000002</v>
      </c>
      <c r="P63" s="24">
        <v>15000</v>
      </c>
      <c r="Q63" s="24">
        <v>0</v>
      </c>
      <c r="R63" s="181">
        <f t="shared" si="82"/>
        <v>362001.06049999996</v>
      </c>
      <c r="S63" s="22"/>
      <c r="T63" s="22">
        <f>20000+65000</f>
        <v>85000</v>
      </c>
      <c r="U63" s="22">
        <v>0</v>
      </c>
      <c r="V63" s="22">
        <v>0</v>
      </c>
      <c r="W63" s="24">
        <v>48170.870282666663</v>
      </c>
      <c r="X63" s="237">
        <f t="shared" si="83"/>
        <v>133170.87028266667</v>
      </c>
      <c r="Y63" s="22">
        <v>228830.19021733329</v>
      </c>
      <c r="Z63" s="184">
        <f t="shared" si="84"/>
        <v>228830.19021733329</v>
      </c>
      <c r="AA63" s="157"/>
    </row>
    <row r="64" spans="1:27" ht="20.100000000000001" customHeight="1">
      <c r="A64" s="27">
        <v>5</v>
      </c>
      <c r="B64" s="135" t="s">
        <v>137</v>
      </c>
      <c r="C64" s="92" t="s">
        <v>53</v>
      </c>
      <c r="D64" s="158" t="s">
        <v>51</v>
      </c>
      <c r="E64" s="24">
        <v>27611.23</v>
      </c>
      <c r="F64" s="24"/>
      <c r="G64" s="24">
        <f>E64*300%</f>
        <v>82833.69</v>
      </c>
      <c r="H64" s="24">
        <f>E64*7.5%</f>
        <v>2070.8422499999997</v>
      </c>
      <c r="I64" s="24"/>
      <c r="J64" s="24">
        <f>E64*50%</f>
        <v>13805.615</v>
      </c>
      <c r="K64" s="22">
        <f>E64*350%</f>
        <v>96639.304999999993</v>
      </c>
      <c r="L64" s="24">
        <f>E64*100%</f>
        <v>27611.23</v>
      </c>
      <c r="M64" s="156">
        <f>140000</f>
        <v>140000</v>
      </c>
      <c r="N64" s="156"/>
      <c r="O64" s="24">
        <f>E64*10%</f>
        <v>2761.123</v>
      </c>
      <c r="P64" s="24">
        <v>20000</v>
      </c>
      <c r="Q64" s="24"/>
      <c r="R64" s="181">
        <f>SUM(E64:Q64)</f>
        <v>413333.03525000007</v>
      </c>
      <c r="S64" s="22"/>
      <c r="T64" s="22">
        <f>10000</f>
        <v>10000</v>
      </c>
      <c r="U64" s="22">
        <f>54585.66</f>
        <v>54585.66</v>
      </c>
      <c r="V64" s="22"/>
      <c r="W64" s="22">
        <v>58026.609434666672</v>
      </c>
      <c r="X64" s="237">
        <f t="shared" si="83"/>
        <v>122612.26943466667</v>
      </c>
      <c r="Y64" s="22">
        <v>290720.76581533341</v>
      </c>
      <c r="Z64" s="184">
        <f t="shared" si="84"/>
        <v>290720.76581533341</v>
      </c>
      <c r="AA64" s="157"/>
    </row>
    <row r="65" spans="1:27" ht="20.100000000000001" customHeight="1">
      <c r="A65" s="27">
        <v>7</v>
      </c>
      <c r="B65" s="133" t="s">
        <v>138</v>
      </c>
      <c r="C65" s="19" t="s">
        <v>118</v>
      </c>
      <c r="D65" s="27" t="s">
        <v>69</v>
      </c>
      <c r="E65" s="24">
        <f>20749</f>
        <v>20749</v>
      </c>
      <c r="F65" s="24"/>
      <c r="G65" s="24">
        <f t="shared" si="76"/>
        <v>62247</v>
      </c>
      <c r="H65" s="24">
        <f t="shared" si="77"/>
        <v>1556.175</v>
      </c>
      <c r="I65" s="24">
        <v>0</v>
      </c>
      <c r="J65" s="24">
        <f t="shared" si="78"/>
        <v>10374.5</v>
      </c>
      <c r="K65" s="24">
        <f t="shared" si="79"/>
        <v>72621.5</v>
      </c>
      <c r="L65" s="24">
        <f t="shared" si="80"/>
        <v>20749</v>
      </c>
      <c r="M65" s="156">
        <f>110000</f>
        <v>110000</v>
      </c>
      <c r="N65" s="156"/>
      <c r="O65" s="24">
        <f t="shared" si="81"/>
        <v>2074.9</v>
      </c>
      <c r="P65" s="24">
        <v>15000</v>
      </c>
      <c r="Q65" s="24">
        <v>0</v>
      </c>
      <c r="R65" s="181">
        <f t="shared" si="82"/>
        <v>315372.07500000001</v>
      </c>
      <c r="S65" s="22"/>
      <c r="T65" s="22">
        <f>10000</f>
        <v>10000</v>
      </c>
      <c r="U65" s="22">
        <f>65885.83</f>
        <v>65885.83</v>
      </c>
      <c r="V65" s="22"/>
      <c r="W65" s="24">
        <f>40149.18</f>
        <v>40149.18</v>
      </c>
      <c r="X65" s="237">
        <f t="shared" si="83"/>
        <v>116035.01000000001</v>
      </c>
      <c r="Y65" s="22">
        <v>199337.065</v>
      </c>
      <c r="Z65" s="184">
        <f t="shared" si="84"/>
        <v>199337.065</v>
      </c>
      <c r="AA65" s="157"/>
    </row>
    <row r="66" spans="1:27" ht="20.100000000000001" customHeight="1">
      <c r="A66" s="27">
        <v>8</v>
      </c>
      <c r="B66" s="133" t="s">
        <v>139</v>
      </c>
      <c r="C66" s="92" t="s">
        <v>140</v>
      </c>
      <c r="D66" s="158" t="s">
        <v>69</v>
      </c>
      <c r="E66" s="24">
        <v>20749</v>
      </c>
      <c r="F66" s="24"/>
      <c r="G66" s="24">
        <f t="shared" ref="G66:G67" si="86">E66*300%</f>
        <v>62247</v>
      </c>
      <c r="H66" s="24">
        <f t="shared" ref="H66:H67" si="87">E66*7.5%</f>
        <v>1556.175</v>
      </c>
      <c r="I66" s="24">
        <v>0</v>
      </c>
      <c r="J66" s="24">
        <f t="shared" ref="J66:J67" si="88">E66*50%</f>
        <v>10374.5</v>
      </c>
      <c r="K66" s="22">
        <f t="shared" ref="K66:K67" si="89">E66*350%</f>
        <v>72621.5</v>
      </c>
      <c r="L66" s="24">
        <f t="shared" ref="L66:L67" si="90">E66*100%</f>
        <v>20749</v>
      </c>
      <c r="M66" s="156">
        <f t="shared" ref="M66:M67" si="91">110000</f>
        <v>110000</v>
      </c>
      <c r="N66" s="156"/>
      <c r="O66" s="24">
        <f t="shared" ref="O66:O67" si="92">E66*10%</f>
        <v>2074.9</v>
      </c>
      <c r="P66" s="24">
        <v>15000</v>
      </c>
      <c r="Q66" s="24">
        <v>0</v>
      </c>
      <c r="R66" s="181">
        <f>SUM(E66:Q66)</f>
        <v>315372.07500000001</v>
      </c>
      <c r="S66" s="22"/>
      <c r="T66" s="22">
        <f>52000-2000</f>
        <v>50000</v>
      </c>
      <c r="U66" s="22"/>
      <c r="V66" s="22"/>
      <c r="W66" s="24">
        <v>40149.175266666673</v>
      </c>
      <c r="X66" s="237">
        <f t="shared" si="83"/>
        <v>90149.175266666673</v>
      </c>
      <c r="Y66" s="22">
        <v>225222.89973333332</v>
      </c>
      <c r="Z66" s="184">
        <f t="shared" si="84"/>
        <v>225222.89973333332</v>
      </c>
      <c r="AA66" s="157"/>
    </row>
    <row r="67" spans="1:27" ht="20.100000000000001" customHeight="1">
      <c r="A67" s="27">
        <v>9</v>
      </c>
      <c r="B67" s="133" t="s">
        <v>141</v>
      </c>
      <c r="C67" s="92" t="s">
        <v>140</v>
      </c>
      <c r="D67" s="158" t="s">
        <v>69</v>
      </c>
      <c r="E67" s="24">
        <v>20749</v>
      </c>
      <c r="F67" s="24"/>
      <c r="G67" s="24">
        <f t="shared" si="86"/>
        <v>62247</v>
      </c>
      <c r="H67" s="24">
        <f t="shared" si="87"/>
        <v>1556.175</v>
      </c>
      <c r="I67" s="24">
        <v>0</v>
      </c>
      <c r="J67" s="24">
        <f t="shared" si="88"/>
        <v>10374.5</v>
      </c>
      <c r="K67" s="22">
        <f t="shared" si="89"/>
        <v>72621.5</v>
      </c>
      <c r="L67" s="24">
        <f t="shared" si="90"/>
        <v>20749</v>
      </c>
      <c r="M67" s="156">
        <f t="shared" si="91"/>
        <v>110000</v>
      </c>
      <c r="N67" s="156"/>
      <c r="O67" s="24">
        <f t="shared" si="92"/>
        <v>2074.9</v>
      </c>
      <c r="P67" s="24">
        <v>15000</v>
      </c>
      <c r="Q67" s="24">
        <v>0</v>
      </c>
      <c r="R67" s="181">
        <f>SUM(E67:Q67)</f>
        <v>315372.07500000001</v>
      </c>
      <c r="S67" s="22"/>
      <c r="T67" s="22">
        <f>67000-2000</f>
        <v>65000</v>
      </c>
      <c r="U67" s="22"/>
      <c r="V67" s="22"/>
      <c r="W67" s="24">
        <v>40149.175266666673</v>
      </c>
      <c r="X67" s="237">
        <f t="shared" si="83"/>
        <v>105149.17526666667</v>
      </c>
      <c r="Y67" s="22">
        <v>210222.89973333332</v>
      </c>
      <c r="Z67" s="184">
        <f t="shared" si="84"/>
        <v>210222.89973333332</v>
      </c>
      <c r="AA67" s="157"/>
    </row>
    <row r="68" spans="1:27" ht="20.100000000000001" customHeight="1">
      <c r="A68" s="27">
        <v>10</v>
      </c>
      <c r="B68" s="133" t="s">
        <v>142</v>
      </c>
      <c r="C68" s="19" t="s">
        <v>143</v>
      </c>
      <c r="D68" s="27" t="s">
        <v>66</v>
      </c>
      <c r="E68" s="24">
        <v>21520.880000000001</v>
      </c>
      <c r="F68" s="24"/>
      <c r="G68" s="24">
        <f t="shared" si="76"/>
        <v>64562.64</v>
      </c>
      <c r="H68" s="24">
        <f t="shared" si="77"/>
        <v>1614.066</v>
      </c>
      <c r="I68" s="24"/>
      <c r="J68" s="24">
        <f t="shared" si="78"/>
        <v>10760.44</v>
      </c>
      <c r="K68" s="24">
        <f t="shared" si="79"/>
        <v>75323.08</v>
      </c>
      <c r="L68" s="24">
        <f t="shared" si="80"/>
        <v>21520.880000000001</v>
      </c>
      <c r="M68" s="156">
        <f>110000</f>
        <v>110000</v>
      </c>
      <c r="N68" s="156"/>
      <c r="O68" s="24">
        <f t="shared" si="81"/>
        <v>2152.0880000000002</v>
      </c>
      <c r="P68" s="24">
        <v>15000</v>
      </c>
      <c r="Q68" s="24"/>
      <c r="R68" s="181">
        <f t="shared" si="82"/>
        <v>322454.07400000002</v>
      </c>
      <c r="S68" s="22"/>
      <c r="T68" s="22">
        <f>80000+20000</f>
        <v>100000</v>
      </c>
      <c r="U68" s="22"/>
      <c r="V68" s="22"/>
      <c r="W68" s="24">
        <v>41338.951098666665</v>
      </c>
      <c r="X68" s="237">
        <f t="shared" si="83"/>
        <v>141338.95109866667</v>
      </c>
      <c r="Y68" s="22">
        <v>181115.12290133335</v>
      </c>
      <c r="Z68" s="184">
        <f t="shared" si="84"/>
        <v>181115.12290133335</v>
      </c>
      <c r="AA68" s="157"/>
    </row>
    <row r="69" spans="1:27" ht="21.6" customHeight="1">
      <c r="A69" s="27">
        <v>11</v>
      </c>
      <c r="B69" s="133" t="s">
        <v>144</v>
      </c>
      <c r="C69" s="19" t="s">
        <v>118</v>
      </c>
      <c r="D69" s="27" t="s">
        <v>72</v>
      </c>
      <c r="E69" s="24">
        <v>17286.330000000002</v>
      </c>
      <c r="F69" s="24"/>
      <c r="G69" s="24">
        <f t="shared" si="76"/>
        <v>51858.990000000005</v>
      </c>
      <c r="H69" s="24">
        <f t="shared" si="77"/>
        <v>1296.4747500000001</v>
      </c>
      <c r="I69" s="24"/>
      <c r="J69" s="24">
        <f t="shared" si="78"/>
        <v>8643.1650000000009</v>
      </c>
      <c r="K69" s="24">
        <f t="shared" si="79"/>
        <v>60502.155000000006</v>
      </c>
      <c r="L69" s="24">
        <f t="shared" si="80"/>
        <v>17286.330000000002</v>
      </c>
      <c r="M69" s="156">
        <v>100000</v>
      </c>
      <c r="N69" s="156"/>
      <c r="O69" s="24">
        <f t="shared" si="81"/>
        <v>1728.6330000000003</v>
      </c>
      <c r="P69" s="24">
        <v>10000</v>
      </c>
      <c r="Q69" s="24"/>
      <c r="R69" s="181">
        <f t="shared" si="82"/>
        <v>268602.07775000005</v>
      </c>
      <c r="S69" s="19"/>
      <c r="T69" s="19"/>
      <c r="U69" s="19"/>
      <c r="V69" s="19"/>
      <c r="W69" s="24">
        <f>32291.82</f>
        <v>32291.82</v>
      </c>
      <c r="X69" s="237">
        <f>32291.82</f>
        <v>32291.82</v>
      </c>
      <c r="Y69" s="22">
        <v>899503.56175806478</v>
      </c>
      <c r="Z69" s="341">
        <f>R69-X69</f>
        <v>236310.25775000005</v>
      </c>
    </row>
    <row r="70" spans="1:27" ht="20.100000000000001" customHeight="1">
      <c r="A70" s="27">
        <v>12</v>
      </c>
      <c r="B70" s="133" t="s">
        <v>145</v>
      </c>
      <c r="C70" s="92" t="s">
        <v>68</v>
      </c>
      <c r="D70" s="27" t="s">
        <v>75</v>
      </c>
      <c r="E70" s="24">
        <f>15188.67</f>
        <v>15188.67</v>
      </c>
      <c r="F70" s="24"/>
      <c r="G70" s="24">
        <f t="shared" ref="G70" si="93">E70*300%</f>
        <v>45566.01</v>
      </c>
      <c r="H70" s="24">
        <f t="shared" ref="H70" si="94">E70*7.5%</f>
        <v>1139.1502499999999</v>
      </c>
      <c r="I70" s="24"/>
      <c r="J70" s="24">
        <f t="shared" ref="J70" si="95">E70*50%</f>
        <v>7594.335</v>
      </c>
      <c r="K70" s="24">
        <f t="shared" ref="K70" si="96">E70*350%</f>
        <v>53160.345000000001</v>
      </c>
      <c r="L70" s="24">
        <f t="shared" ref="L70" si="97">E70*100%</f>
        <v>15188.67</v>
      </c>
      <c r="M70" s="156">
        <f t="shared" ref="M70" si="98">100000</f>
        <v>100000</v>
      </c>
      <c r="N70" s="156"/>
      <c r="O70" s="24">
        <f t="shared" ref="O70" si="99">E70*10%</f>
        <v>1518.8670000000002</v>
      </c>
      <c r="P70" s="24">
        <v>10000</v>
      </c>
      <c r="Q70" s="24"/>
      <c r="R70" s="181">
        <f t="shared" ref="R70" si="100">SUM(E70:Q70)</f>
        <v>249356.04725</v>
      </c>
      <c r="S70" s="22"/>
      <c r="T70" s="22">
        <f>10000</f>
        <v>10000</v>
      </c>
      <c r="U70" s="22">
        <f>95833.33</f>
        <v>95833.33</v>
      </c>
      <c r="V70" s="22"/>
      <c r="W70" s="24">
        <v>29058.48260466666</v>
      </c>
      <c r="X70" s="237">
        <f t="shared" si="83"/>
        <v>134891.81260466666</v>
      </c>
      <c r="Y70" s="22">
        <v>114464.23464533334</v>
      </c>
      <c r="Z70" s="184">
        <f t="shared" si="84"/>
        <v>114464.23464533334</v>
      </c>
      <c r="AA70" s="157"/>
    </row>
    <row r="71" spans="1:27" ht="27" customHeight="1">
      <c r="A71" s="27"/>
      <c r="B71" s="136" t="s">
        <v>91</v>
      </c>
      <c r="C71" s="28">
        <v>12</v>
      </c>
      <c r="D71" s="28"/>
      <c r="E71" s="65">
        <f t="shared" ref="E71:X71" si="101">SUM(E60:E70)</f>
        <v>307208.33</v>
      </c>
      <c r="F71" s="65">
        <f t="shared" si="101"/>
        <v>0</v>
      </c>
      <c r="G71" s="65">
        <f t="shared" si="101"/>
        <v>921624.99000000011</v>
      </c>
      <c r="H71" s="65">
        <f t="shared" si="101"/>
        <v>23040.624749999999</v>
      </c>
      <c r="I71" s="65">
        <f t="shared" si="101"/>
        <v>120366.57</v>
      </c>
      <c r="J71" s="65">
        <f t="shared" si="101"/>
        <v>153604.16500000001</v>
      </c>
      <c r="K71" s="65">
        <f t="shared" si="101"/>
        <v>1075229.155</v>
      </c>
      <c r="L71" s="65">
        <f t="shared" si="101"/>
        <v>307208.33</v>
      </c>
      <c r="M71" s="65">
        <f t="shared" si="101"/>
        <v>1400000</v>
      </c>
      <c r="N71" s="65">
        <f t="shared" si="101"/>
        <v>0</v>
      </c>
      <c r="O71" s="65">
        <f t="shared" si="101"/>
        <v>30720.833000000006</v>
      </c>
      <c r="P71" s="65">
        <f t="shared" si="101"/>
        <v>175000</v>
      </c>
      <c r="Q71" s="65">
        <f t="shared" si="101"/>
        <v>0</v>
      </c>
      <c r="R71" s="65">
        <f t="shared" si="101"/>
        <v>4514002.997750001</v>
      </c>
      <c r="S71" s="65">
        <f t="shared" si="101"/>
        <v>0</v>
      </c>
      <c r="T71" s="65">
        <f t="shared" si="101"/>
        <v>740000</v>
      </c>
      <c r="U71" s="65">
        <f t="shared" si="101"/>
        <v>571165.93000000005</v>
      </c>
      <c r="V71" s="65">
        <f t="shared" si="101"/>
        <v>0</v>
      </c>
      <c r="W71" s="65">
        <f t="shared" si="101"/>
        <v>640145.21316999989</v>
      </c>
      <c r="X71" s="65">
        <f t="shared" si="101"/>
        <v>1951311.1431700001</v>
      </c>
      <c r="Y71" s="65">
        <v>3523240.8123380649</v>
      </c>
      <c r="Z71" s="65">
        <f>SUM(Z60:Z70)</f>
        <v>2562691.85458</v>
      </c>
      <c r="AA71" s="157"/>
    </row>
    <row r="72" spans="1:27" ht="20.100000000000001" customHeight="1">
      <c r="A72" s="27"/>
      <c r="B72" s="103"/>
      <c r="C72" s="28"/>
      <c r="D72" s="28"/>
      <c r="E72" s="29"/>
      <c r="F72" s="29"/>
      <c r="G72" s="29"/>
      <c r="H72" s="29"/>
      <c r="I72" s="29"/>
      <c r="J72" s="29"/>
      <c r="K72" s="29"/>
      <c r="L72" s="29"/>
      <c r="M72" s="156"/>
      <c r="N72" s="156"/>
      <c r="O72" s="29"/>
      <c r="P72" s="29"/>
      <c r="Q72" s="29"/>
      <c r="R72" s="189"/>
      <c r="S72" s="29"/>
      <c r="T72" s="29"/>
      <c r="U72" s="29"/>
      <c r="V72" s="29"/>
      <c r="W72" s="29"/>
      <c r="X72" s="236"/>
      <c r="Y72" s="29"/>
      <c r="Z72" s="195"/>
      <c r="AA72" s="157"/>
    </row>
    <row r="73" spans="1:27" ht="20.100000000000001" customHeight="1">
      <c r="A73" s="27"/>
      <c r="B73" s="136" t="s">
        <v>146</v>
      </c>
      <c r="C73" s="28"/>
      <c r="D73" s="28"/>
      <c r="E73" s="29"/>
      <c r="F73" s="29"/>
      <c r="G73" s="29"/>
      <c r="H73" s="29"/>
      <c r="I73" s="29"/>
      <c r="J73" s="29"/>
      <c r="K73" s="29"/>
      <c r="L73" s="29"/>
      <c r="M73" s="156"/>
      <c r="N73" s="156"/>
      <c r="O73" s="29"/>
      <c r="P73" s="29"/>
      <c r="Q73" s="29"/>
      <c r="R73" s="189"/>
      <c r="S73" s="29"/>
      <c r="T73" s="29"/>
      <c r="U73" s="29"/>
      <c r="V73" s="29"/>
      <c r="W73" s="29"/>
      <c r="X73" s="236"/>
      <c r="Y73" s="29"/>
      <c r="Z73" s="195"/>
      <c r="AA73" s="157"/>
    </row>
    <row r="74" spans="1:27" ht="20.100000000000001" customHeight="1">
      <c r="A74" s="27">
        <v>1</v>
      </c>
      <c r="B74" s="133" t="s">
        <v>147</v>
      </c>
      <c r="C74" s="19" t="s">
        <v>148</v>
      </c>
      <c r="D74" s="27" t="s">
        <v>95</v>
      </c>
      <c r="E74" s="24">
        <v>81740.02</v>
      </c>
      <c r="F74" s="24"/>
      <c r="G74" s="24">
        <f t="shared" ref="G74:G79" si="102">E74*300%</f>
        <v>245220.06</v>
      </c>
      <c r="H74" s="24">
        <f t="shared" ref="H74:H79" si="103">E74*7.5%</f>
        <v>6130.5015000000003</v>
      </c>
      <c r="I74" s="24">
        <v>80244.38</v>
      </c>
      <c r="J74" s="24">
        <f>E74*50%</f>
        <v>40870.01</v>
      </c>
      <c r="K74" s="24">
        <f t="shared" ref="K74:K79" si="104">E74*350%</f>
        <v>286090.07</v>
      </c>
      <c r="L74" s="24">
        <f>E74*100%</f>
        <v>81740.02</v>
      </c>
      <c r="M74" s="156">
        <f>200000</f>
        <v>200000</v>
      </c>
      <c r="N74" s="156"/>
      <c r="O74" s="24">
        <f>E74*10%</f>
        <v>8174.0020000000004</v>
      </c>
      <c r="P74" s="24">
        <v>20000</v>
      </c>
      <c r="Q74" s="24">
        <v>0</v>
      </c>
      <c r="R74" s="181">
        <f>SUM(E74:Q74)</f>
        <v>1050209.0635000002</v>
      </c>
      <c r="S74" s="22"/>
      <c r="T74" s="22">
        <v>250000</v>
      </c>
      <c r="U74" s="22">
        <f>0</f>
        <v>0</v>
      </c>
      <c r="V74" s="22">
        <v>0</v>
      </c>
      <c r="W74" s="24">
        <v>180306.80685866671</v>
      </c>
      <c r="X74" s="234">
        <f t="shared" ref="X74:X80" si="105">W74+V74+U74+T74+S74</f>
        <v>430306.80685866671</v>
      </c>
      <c r="Y74" s="22">
        <v>619902.25664133346</v>
      </c>
      <c r="Z74" s="184">
        <f t="shared" ref="Z74:Z80" si="106">R74-X74</f>
        <v>619902.25664133346</v>
      </c>
      <c r="AA74" s="157"/>
    </row>
    <row r="75" spans="1:27" ht="20.100000000000001" customHeight="1">
      <c r="A75" s="27">
        <v>2</v>
      </c>
      <c r="B75" s="135" t="s">
        <v>149</v>
      </c>
      <c r="C75" s="19" t="s">
        <v>150</v>
      </c>
      <c r="D75" s="158" t="s">
        <v>133</v>
      </c>
      <c r="E75" s="22">
        <v>31018.84</v>
      </c>
      <c r="F75" s="24"/>
      <c r="G75" s="24">
        <f t="shared" si="102"/>
        <v>93056.52</v>
      </c>
      <c r="H75" s="24">
        <f t="shared" si="103"/>
        <v>2326.413</v>
      </c>
      <c r="I75" s="24">
        <v>40122.19</v>
      </c>
      <c r="J75" s="24">
        <f t="shared" ref="J75" si="107">E75*50%</f>
        <v>15509.42</v>
      </c>
      <c r="K75" s="24">
        <f t="shared" si="104"/>
        <v>108565.94</v>
      </c>
      <c r="L75" s="24">
        <f t="shared" ref="L75" si="108">E75*100%</f>
        <v>31018.84</v>
      </c>
      <c r="M75" s="156">
        <f>160000</f>
        <v>160000</v>
      </c>
      <c r="N75" s="156"/>
      <c r="O75" s="24">
        <f t="shared" ref="O75" si="109">E75*10%</f>
        <v>3101.884</v>
      </c>
      <c r="P75" s="24">
        <v>20000</v>
      </c>
      <c r="Q75" s="159">
        <v>0</v>
      </c>
      <c r="R75" s="181">
        <f t="shared" ref="R75:R80" si="110">SUM(E75:Q75)</f>
        <v>504720.04700000002</v>
      </c>
      <c r="S75" s="22"/>
      <c r="T75" s="22"/>
      <c r="U75" s="22"/>
      <c r="V75" s="22">
        <v>0</v>
      </c>
      <c r="W75" s="24">
        <v>75572.915690666661</v>
      </c>
      <c r="X75" s="234">
        <f t="shared" si="105"/>
        <v>75572.915690666661</v>
      </c>
      <c r="Y75" s="22">
        <v>429147.13130933337</v>
      </c>
      <c r="Z75" s="184">
        <f t="shared" si="106"/>
        <v>429147.13130933337</v>
      </c>
      <c r="AA75" s="157"/>
    </row>
    <row r="76" spans="1:27" ht="20.100000000000001" customHeight="1">
      <c r="A76" s="27">
        <v>3</v>
      </c>
      <c r="B76" s="134" t="s">
        <v>151</v>
      </c>
      <c r="C76" s="138" t="s">
        <v>152</v>
      </c>
      <c r="D76" s="27" t="s">
        <v>127</v>
      </c>
      <c r="E76" s="22">
        <v>32263.200000000001</v>
      </c>
      <c r="F76" s="24"/>
      <c r="G76" s="24">
        <f>E76*300%</f>
        <v>96789.6</v>
      </c>
      <c r="H76" s="24">
        <f>E76*7.5%</f>
        <v>2419.7399999999998</v>
      </c>
      <c r="I76" s="24">
        <v>40122.19</v>
      </c>
      <c r="J76" s="24">
        <f>E76*50%</f>
        <v>16131.6</v>
      </c>
      <c r="K76" s="24">
        <f>E76*350%</f>
        <v>112921.2</v>
      </c>
      <c r="L76" s="24">
        <f>E76*100%</f>
        <v>32263.200000000001</v>
      </c>
      <c r="M76" s="156"/>
      <c r="N76" s="156">
        <f>80000</f>
        <v>80000</v>
      </c>
      <c r="O76" s="24">
        <f>E76*10%</f>
        <v>3226.32</v>
      </c>
      <c r="P76" s="24">
        <v>20000</v>
      </c>
      <c r="Q76" s="159">
        <v>0</v>
      </c>
      <c r="R76" s="181">
        <f t="shared" si="110"/>
        <v>436137.05000000005</v>
      </c>
      <c r="S76" s="22"/>
      <c r="T76" s="22">
        <f>50000</f>
        <v>50000</v>
      </c>
      <c r="U76" s="22">
        <f>59583.33</f>
        <v>59583.33</v>
      </c>
      <c r="V76" s="22"/>
      <c r="W76" s="22">
        <v>62404.980266666658</v>
      </c>
      <c r="X76" s="234">
        <f t="shared" si="105"/>
        <v>171988.31026666667</v>
      </c>
      <c r="Y76" s="22">
        <v>264148.73973333335</v>
      </c>
      <c r="Z76" s="184">
        <f t="shared" si="106"/>
        <v>264148.73973333335</v>
      </c>
      <c r="AA76" s="157"/>
    </row>
    <row r="77" spans="1:27" ht="20.100000000000001" customHeight="1">
      <c r="A77" s="27">
        <v>4</v>
      </c>
      <c r="B77" s="133" t="s">
        <v>153</v>
      </c>
      <c r="C77" s="19" t="s">
        <v>154</v>
      </c>
      <c r="D77" s="158" t="s">
        <v>116</v>
      </c>
      <c r="E77" s="24">
        <v>25854.1</v>
      </c>
      <c r="F77" s="24"/>
      <c r="G77" s="24">
        <f>E77*300%</f>
        <v>77562.299999999988</v>
      </c>
      <c r="H77" s="24">
        <f>E77*7.5%</f>
        <v>1939.0574999999999</v>
      </c>
      <c r="I77" s="24">
        <v>0</v>
      </c>
      <c r="J77" s="24">
        <f>E77*50%</f>
        <v>12927.05</v>
      </c>
      <c r="K77" s="22">
        <f>E77*350%</f>
        <v>90489.349999999991</v>
      </c>
      <c r="L77" s="24">
        <f>E77*100%</f>
        <v>25854.1</v>
      </c>
      <c r="M77" s="156">
        <f>140000</f>
        <v>140000</v>
      </c>
      <c r="N77" s="156"/>
      <c r="O77" s="24">
        <f>E77*10%</f>
        <v>2585.41</v>
      </c>
      <c r="P77" s="24">
        <v>20000</v>
      </c>
      <c r="Q77" s="24">
        <v>0</v>
      </c>
      <c r="R77" s="22">
        <f t="shared" si="110"/>
        <v>397211.36749999999</v>
      </c>
      <c r="S77" s="22"/>
      <c r="T77" s="22">
        <v>20000</v>
      </c>
      <c r="U77" s="22">
        <f>96664.65</f>
        <v>96664.65</v>
      </c>
      <c r="V77" s="22">
        <v>638.08625000000006</v>
      </c>
      <c r="W77" s="24">
        <f>[3]PROMOTIONS!$X$20</f>
        <v>54931.226666666662</v>
      </c>
      <c r="X77" s="234">
        <f t="shared" si="105"/>
        <v>172233.96291666664</v>
      </c>
      <c r="Y77" s="22">
        <v>224977.40458333335</v>
      </c>
      <c r="Z77" s="184">
        <f t="shared" si="106"/>
        <v>224977.40458333335</v>
      </c>
      <c r="AA77" s="157"/>
    </row>
    <row r="78" spans="1:27" ht="20.100000000000001" customHeight="1">
      <c r="A78" s="27">
        <v>5</v>
      </c>
      <c r="B78" s="133" t="s">
        <v>155</v>
      </c>
      <c r="C78" s="19" t="s">
        <v>156</v>
      </c>
      <c r="D78" s="27" t="s">
        <v>157</v>
      </c>
      <c r="E78" s="24">
        <v>17784.099999999999</v>
      </c>
      <c r="F78" s="24"/>
      <c r="G78" s="24">
        <f t="shared" si="102"/>
        <v>53352.299999999996</v>
      </c>
      <c r="H78" s="24">
        <f t="shared" si="103"/>
        <v>1333.8074999999999</v>
      </c>
      <c r="I78" s="24"/>
      <c r="J78" s="24">
        <f t="shared" ref="J78:J79" si="111">E78*50%</f>
        <v>8892.0499999999993</v>
      </c>
      <c r="K78" s="24">
        <f t="shared" si="104"/>
        <v>62244.349999999991</v>
      </c>
      <c r="L78" s="24">
        <f t="shared" ref="L78:L79" si="112">E78*100%</f>
        <v>17784.099999999999</v>
      </c>
      <c r="M78" s="156">
        <f>100000</f>
        <v>100000</v>
      </c>
      <c r="N78" s="156"/>
      <c r="O78" s="24">
        <f t="shared" ref="O78:O79" si="113">E78*10%</f>
        <v>1778.4099999999999</v>
      </c>
      <c r="P78" s="24">
        <v>10000</v>
      </c>
      <c r="Q78" s="24"/>
      <c r="R78" s="181">
        <f t="shared" si="110"/>
        <v>273169.11749999999</v>
      </c>
      <c r="S78" s="22"/>
      <c r="T78" s="22">
        <f>50000</f>
        <v>50000</v>
      </c>
      <c r="U78" s="22">
        <f>50000</f>
        <v>50000</v>
      </c>
      <c r="V78" s="22"/>
      <c r="W78" s="24">
        <v>33059.078406666667</v>
      </c>
      <c r="X78" s="234">
        <f t="shared" si="105"/>
        <v>133059.07840666667</v>
      </c>
      <c r="Y78" s="22">
        <v>140110.03909333333</v>
      </c>
      <c r="Z78" s="184">
        <f t="shared" si="106"/>
        <v>140110.03909333333</v>
      </c>
      <c r="AA78" s="157"/>
    </row>
    <row r="79" spans="1:27" ht="20.100000000000001" customHeight="1">
      <c r="A79" s="27">
        <v>6</v>
      </c>
      <c r="B79" s="133" t="s">
        <v>158</v>
      </c>
      <c r="C79" s="19" t="s">
        <v>156</v>
      </c>
      <c r="D79" s="27" t="s">
        <v>79</v>
      </c>
      <c r="E79" s="24">
        <f>14736.14</f>
        <v>14736.14</v>
      </c>
      <c r="F79" s="24"/>
      <c r="G79" s="24">
        <f t="shared" si="102"/>
        <v>44208.42</v>
      </c>
      <c r="H79" s="24">
        <f t="shared" si="103"/>
        <v>1105.2104999999999</v>
      </c>
      <c r="I79" s="24"/>
      <c r="J79" s="24">
        <f t="shared" si="111"/>
        <v>7368.07</v>
      </c>
      <c r="K79" s="24">
        <f t="shared" si="104"/>
        <v>51576.49</v>
      </c>
      <c r="L79" s="24">
        <f t="shared" si="112"/>
        <v>14736.14</v>
      </c>
      <c r="M79" s="156">
        <v>100000</v>
      </c>
      <c r="N79" s="156"/>
      <c r="O79" s="24">
        <f t="shared" si="113"/>
        <v>1473.614</v>
      </c>
      <c r="P79" s="24">
        <v>10000</v>
      </c>
      <c r="Q79" s="24"/>
      <c r="R79" s="181">
        <f t="shared" si="110"/>
        <v>245204.0845</v>
      </c>
      <c r="S79" s="22"/>
      <c r="T79" s="22"/>
      <c r="U79" s="22"/>
      <c r="V79" s="22"/>
      <c r="W79" s="24">
        <f>28360.95</f>
        <v>28360.95</v>
      </c>
      <c r="X79" s="234">
        <f t="shared" si="105"/>
        <v>28360.95</v>
      </c>
      <c r="Y79" s="22">
        <v>216843.13449999999</v>
      </c>
      <c r="Z79" s="184">
        <f t="shared" si="106"/>
        <v>216843.13449999999</v>
      </c>
      <c r="AA79" s="157"/>
    </row>
    <row r="80" spans="1:27" ht="20.100000000000001" customHeight="1">
      <c r="A80" s="27">
        <v>7</v>
      </c>
      <c r="B80" s="133" t="s">
        <v>159</v>
      </c>
      <c r="C80" s="19" t="s">
        <v>160</v>
      </c>
      <c r="D80" s="27" t="s">
        <v>90</v>
      </c>
      <c r="E80" s="24">
        <v>12352.94</v>
      </c>
      <c r="F80" s="24"/>
      <c r="G80" s="24">
        <v>37058.82</v>
      </c>
      <c r="H80" s="24">
        <v>926.47050000000002</v>
      </c>
      <c r="I80" s="24"/>
      <c r="J80" s="24">
        <v>6176.47</v>
      </c>
      <c r="K80" s="24">
        <v>43235.29</v>
      </c>
      <c r="L80" s="24">
        <v>12352.94</v>
      </c>
      <c r="M80" s="156">
        <v>100000</v>
      </c>
      <c r="N80" s="156">
        <v>0</v>
      </c>
      <c r="O80" s="24">
        <v>1235.2940000000001</v>
      </c>
      <c r="P80" s="24">
        <v>10000</v>
      </c>
      <c r="Q80" s="24"/>
      <c r="R80" s="181">
        <f t="shared" si="110"/>
        <v>223338.22450000001</v>
      </c>
      <c r="S80" s="22"/>
      <c r="T80" s="22">
        <v>20000</v>
      </c>
      <c r="U80" s="22">
        <v>0</v>
      </c>
      <c r="V80" s="22">
        <v>0</v>
      </c>
      <c r="W80" s="24">
        <f>24687.49</f>
        <v>24687.49</v>
      </c>
      <c r="X80" s="234">
        <f t="shared" si="105"/>
        <v>44687.490000000005</v>
      </c>
      <c r="Y80" s="22">
        <v>178650.73450000002</v>
      </c>
      <c r="Z80" s="184">
        <f t="shared" si="106"/>
        <v>178650.73450000002</v>
      </c>
      <c r="AA80" s="157"/>
    </row>
    <row r="81" spans="1:27" ht="20.100000000000001" customHeight="1">
      <c r="A81" s="27"/>
      <c r="B81" s="136" t="s">
        <v>91</v>
      </c>
      <c r="C81" s="28">
        <v>7</v>
      </c>
      <c r="D81" s="28"/>
      <c r="E81" s="65">
        <f>SUM(E74:E80)</f>
        <v>215749.34000000003</v>
      </c>
      <c r="F81" s="65">
        <f t="shared" ref="F81:Z81" si="114">SUM(F74:F80)</f>
        <v>0</v>
      </c>
      <c r="G81" s="65">
        <f t="shared" si="114"/>
        <v>647248.02</v>
      </c>
      <c r="H81" s="65">
        <f t="shared" si="114"/>
        <v>16181.200499999997</v>
      </c>
      <c r="I81" s="65">
        <f t="shared" si="114"/>
        <v>160488.76</v>
      </c>
      <c r="J81" s="65">
        <f t="shared" si="114"/>
        <v>107874.67000000001</v>
      </c>
      <c r="K81" s="65">
        <f t="shared" si="114"/>
        <v>755122.69000000006</v>
      </c>
      <c r="L81" s="65">
        <f t="shared" si="114"/>
        <v>215749.34000000003</v>
      </c>
      <c r="M81" s="65">
        <f t="shared" si="114"/>
        <v>800000</v>
      </c>
      <c r="N81" s="65">
        <f t="shared" si="114"/>
        <v>80000</v>
      </c>
      <c r="O81" s="65">
        <f t="shared" si="114"/>
        <v>21574.934000000005</v>
      </c>
      <c r="P81" s="65">
        <f t="shared" si="114"/>
        <v>110000</v>
      </c>
      <c r="Q81" s="65">
        <f t="shared" si="114"/>
        <v>0</v>
      </c>
      <c r="R81" s="65">
        <f t="shared" si="114"/>
        <v>3129988.9545000005</v>
      </c>
      <c r="S81" s="65">
        <f t="shared" si="114"/>
        <v>0</v>
      </c>
      <c r="T81" s="65">
        <f t="shared" si="114"/>
        <v>390000</v>
      </c>
      <c r="U81" s="65">
        <f t="shared" si="114"/>
        <v>206247.97999999998</v>
      </c>
      <c r="V81" s="65">
        <f t="shared" si="114"/>
        <v>638.08625000000006</v>
      </c>
      <c r="W81" s="65">
        <f t="shared" si="114"/>
        <v>459323.44788933342</v>
      </c>
      <c r="X81" s="334">
        <f t="shared" si="114"/>
        <v>1056209.5141393333</v>
      </c>
      <c r="Y81" s="65">
        <v>2073779.4403606665</v>
      </c>
      <c r="Z81" s="313">
        <f t="shared" si="114"/>
        <v>2073779.4403606665</v>
      </c>
      <c r="AA81" s="157"/>
    </row>
    <row r="82" spans="1:27" ht="20.100000000000001" customHeight="1">
      <c r="A82" s="27"/>
      <c r="B82" s="136"/>
      <c r="C82" s="28"/>
      <c r="D82" s="28"/>
      <c r="E82" s="29"/>
      <c r="F82" s="29"/>
      <c r="G82" s="29"/>
      <c r="H82" s="29"/>
      <c r="I82" s="29"/>
      <c r="J82" s="29"/>
      <c r="K82" s="29"/>
      <c r="L82" s="29"/>
      <c r="M82" s="156"/>
      <c r="N82" s="156"/>
      <c r="O82" s="29"/>
      <c r="P82" s="29"/>
      <c r="Q82" s="29"/>
      <c r="R82" s="190"/>
      <c r="S82" s="159"/>
      <c r="T82" s="159"/>
      <c r="U82" s="159"/>
      <c r="V82" s="159"/>
      <c r="W82" s="29"/>
      <c r="X82" s="234"/>
      <c r="Y82" s="22"/>
      <c r="Z82" s="184"/>
      <c r="AA82" s="157"/>
    </row>
    <row r="83" spans="1:27" ht="20.100000000000001" customHeight="1">
      <c r="A83" s="27"/>
      <c r="B83" s="136" t="s">
        <v>161</v>
      </c>
      <c r="C83" s="163"/>
      <c r="D83" s="28"/>
      <c r="E83" s="29"/>
      <c r="F83" s="29"/>
      <c r="G83" s="29"/>
      <c r="H83" s="29"/>
      <c r="I83" s="29"/>
      <c r="J83" s="29"/>
      <c r="K83" s="29"/>
      <c r="L83" s="29"/>
      <c r="M83" s="156"/>
      <c r="N83" s="156"/>
      <c r="O83" s="29"/>
      <c r="P83" s="29"/>
      <c r="Q83" s="29"/>
      <c r="R83" s="190"/>
      <c r="S83" s="159"/>
      <c r="T83" s="159"/>
      <c r="U83" s="159"/>
      <c r="V83" s="159"/>
      <c r="W83" s="29"/>
      <c r="X83" s="234"/>
      <c r="Y83" s="22"/>
      <c r="Z83" s="184"/>
      <c r="AA83" s="157"/>
    </row>
    <row r="84" spans="1:27" ht="20.100000000000001" customHeight="1">
      <c r="A84" s="27">
        <v>1</v>
      </c>
      <c r="B84" s="133" t="s">
        <v>162</v>
      </c>
      <c r="C84" s="19" t="s">
        <v>109</v>
      </c>
      <c r="D84" s="27" t="s">
        <v>45</v>
      </c>
      <c r="E84" s="24">
        <v>33507.5</v>
      </c>
      <c r="F84" s="24"/>
      <c r="G84" s="24">
        <f t="shared" ref="G84:G88" si="115">E84*300%</f>
        <v>100522.5</v>
      </c>
      <c r="H84" s="24">
        <f t="shared" ref="H84:H88" si="116">E84*7.5%</f>
        <v>2513.0625</v>
      </c>
      <c r="I84" s="24">
        <f>40122.19</f>
        <v>40122.19</v>
      </c>
      <c r="J84" s="24">
        <f t="shared" ref="J84:J88" si="117">E84*50%</f>
        <v>16753.75</v>
      </c>
      <c r="K84" s="24">
        <f t="shared" ref="K84:K88" si="118">E84*350%</f>
        <v>117276.25</v>
      </c>
      <c r="L84" s="24">
        <f t="shared" ref="L84:L88" si="119">E84*100%</f>
        <v>33507.5</v>
      </c>
      <c r="M84" s="156">
        <f>160000</f>
        <v>160000</v>
      </c>
      <c r="N84" s="156"/>
      <c r="O84" s="24">
        <f t="shared" ref="O84:O88" si="120">E84*10%</f>
        <v>3350.75</v>
      </c>
      <c r="P84" s="24">
        <v>20000</v>
      </c>
      <c r="Q84" s="24">
        <v>100000</v>
      </c>
      <c r="R84" s="181">
        <f t="shared" ref="R84:R94" si="121">SUM(E84:Q84)</f>
        <v>627553.50249999994</v>
      </c>
      <c r="S84" s="22"/>
      <c r="T84" s="22"/>
      <c r="U84" s="22"/>
      <c r="V84" s="22"/>
      <c r="W84" s="24">
        <v>99156.94</v>
      </c>
      <c r="X84" s="234">
        <f t="shared" ref="X84:X94" si="122">W84+V84+U84+T84+S84</f>
        <v>99156.94</v>
      </c>
      <c r="Y84" s="22">
        <v>528396.5625</v>
      </c>
      <c r="Z84" s="184">
        <f t="shared" ref="Z84:Z94" si="123">R84-X84</f>
        <v>528396.5625</v>
      </c>
      <c r="AA84" s="157"/>
    </row>
    <row r="85" spans="1:27" ht="20.100000000000001" customHeight="1">
      <c r="A85" s="27">
        <v>2</v>
      </c>
      <c r="B85" s="133" t="s">
        <v>163</v>
      </c>
      <c r="C85" s="19" t="s">
        <v>109</v>
      </c>
      <c r="D85" s="27" t="s">
        <v>45</v>
      </c>
      <c r="E85" s="24">
        <v>33507.5</v>
      </c>
      <c r="F85" s="24"/>
      <c r="G85" s="24">
        <f>E85*300%</f>
        <v>100522.5</v>
      </c>
      <c r="H85" s="24">
        <f>E85*7.5%</f>
        <v>2513.0625</v>
      </c>
      <c r="I85" s="24">
        <f>40122.19</f>
        <v>40122.19</v>
      </c>
      <c r="J85" s="24">
        <f>E85*50%</f>
        <v>16753.75</v>
      </c>
      <c r="K85" s="24">
        <f>E85*350%</f>
        <v>117276.25</v>
      </c>
      <c r="L85" s="24">
        <f>E85*100%</f>
        <v>33507.5</v>
      </c>
      <c r="M85" s="156">
        <f>160000</f>
        <v>160000</v>
      </c>
      <c r="N85" s="156"/>
      <c r="O85" s="24">
        <f>E85*10%</f>
        <v>3350.75</v>
      </c>
      <c r="P85" s="24">
        <v>20000</v>
      </c>
      <c r="Q85" s="24"/>
      <c r="R85" s="181">
        <f t="shared" si="121"/>
        <v>527553.50249999994</v>
      </c>
      <c r="S85" s="22"/>
      <c r="T85" s="22">
        <f>30000</f>
        <v>30000</v>
      </c>
      <c r="U85" s="22">
        <v>98750</v>
      </c>
      <c r="V85" s="22">
        <v>837.6875</v>
      </c>
      <c r="W85" s="24">
        <v>79796.103146666646</v>
      </c>
      <c r="X85" s="234">
        <f t="shared" si="122"/>
        <v>209383.79064666666</v>
      </c>
      <c r="Y85" s="22">
        <v>318169.71185333328</v>
      </c>
      <c r="Z85" s="184">
        <f t="shared" si="123"/>
        <v>318169.71185333328</v>
      </c>
      <c r="AA85" s="157"/>
    </row>
    <row r="86" spans="1:27" ht="20.100000000000001" customHeight="1">
      <c r="A86" s="27">
        <v>3</v>
      </c>
      <c r="B86" s="135" t="s">
        <v>164</v>
      </c>
      <c r="C86" s="19" t="s">
        <v>109</v>
      </c>
      <c r="D86" s="27" t="s">
        <v>48</v>
      </c>
      <c r="E86" s="24">
        <v>31018.84</v>
      </c>
      <c r="F86" s="24"/>
      <c r="G86" s="24">
        <f>E86*300%</f>
        <v>93056.52</v>
      </c>
      <c r="H86" s="24">
        <f>E86*7.5%</f>
        <v>2326.413</v>
      </c>
      <c r="I86" s="24">
        <f>40122.19</f>
        <v>40122.19</v>
      </c>
      <c r="J86" s="24">
        <f>E86*50%</f>
        <v>15509.42</v>
      </c>
      <c r="K86" s="22">
        <f>E86*350%</f>
        <v>108565.94</v>
      </c>
      <c r="L86" s="24">
        <f>E86*100%</f>
        <v>31018.84</v>
      </c>
      <c r="M86" s="156">
        <v>160000</v>
      </c>
      <c r="N86" s="156"/>
      <c r="O86" s="24">
        <f>E86*10%</f>
        <v>3101.884</v>
      </c>
      <c r="P86" s="24">
        <v>20000</v>
      </c>
      <c r="Q86" s="24">
        <v>0</v>
      </c>
      <c r="R86" s="22">
        <f t="shared" si="121"/>
        <v>504720.04700000002</v>
      </c>
      <c r="S86" s="24"/>
      <c r="T86" s="22">
        <f>20000</f>
        <v>20000</v>
      </c>
      <c r="U86" s="22">
        <f>163103.59</f>
        <v>163103.59</v>
      </c>
      <c r="V86" s="22">
        <f>PROMOTIONS!V15</f>
        <v>837.69</v>
      </c>
      <c r="W86" s="22">
        <f>[3]PROMOTIONS!$X$15</f>
        <v>75440.404746666667</v>
      </c>
      <c r="X86" s="234">
        <f t="shared" si="122"/>
        <v>259381.68474666667</v>
      </c>
      <c r="Y86" s="24">
        <v>245338.36225333335</v>
      </c>
      <c r="Z86" s="184">
        <f t="shared" si="123"/>
        <v>245338.36225333335</v>
      </c>
      <c r="AA86" s="157"/>
    </row>
    <row r="87" spans="1:27" ht="20.100000000000001" customHeight="1">
      <c r="A87" s="27">
        <v>4</v>
      </c>
      <c r="B87" s="133" t="s">
        <v>165</v>
      </c>
      <c r="C87" s="19" t="s">
        <v>109</v>
      </c>
      <c r="D87" s="27" t="s">
        <v>48</v>
      </c>
      <c r="E87" s="24">
        <v>31019.84</v>
      </c>
      <c r="F87" s="24"/>
      <c r="G87" s="24">
        <f t="shared" si="115"/>
        <v>93059.520000000004</v>
      </c>
      <c r="H87" s="24">
        <f t="shared" si="116"/>
        <v>2326.4879999999998</v>
      </c>
      <c r="I87" s="24">
        <f>40122.19</f>
        <v>40122.19</v>
      </c>
      <c r="J87" s="24">
        <f t="shared" si="117"/>
        <v>15509.92</v>
      </c>
      <c r="K87" s="24">
        <f t="shared" si="118"/>
        <v>108569.44</v>
      </c>
      <c r="L87" s="24">
        <f t="shared" si="119"/>
        <v>31019.84</v>
      </c>
      <c r="M87" s="156">
        <v>160000</v>
      </c>
      <c r="N87" s="156"/>
      <c r="O87" s="24">
        <f t="shared" si="120"/>
        <v>3101.9840000000004</v>
      </c>
      <c r="P87" s="24">
        <v>20000</v>
      </c>
      <c r="Q87" s="24"/>
      <c r="R87" s="22">
        <f t="shared" si="121"/>
        <v>504729.22200000007</v>
      </c>
      <c r="S87" s="22"/>
      <c r="T87" s="22">
        <f>50000</f>
        <v>50000</v>
      </c>
      <c r="U87" s="156">
        <f>79861.11</f>
        <v>79861.11</v>
      </c>
      <c r="V87" s="22"/>
      <c r="W87" s="22">
        <f>[3]PROMOTIONS!$X$24</f>
        <v>75572.938666666669</v>
      </c>
      <c r="X87" s="234">
        <f t="shared" si="122"/>
        <v>205434.04866666667</v>
      </c>
      <c r="Y87" s="22">
        <v>299295.1733333334</v>
      </c>
      <c r="Z87" s="184">
        <f t="shared" si="123"/>
        <v>299295.1733333334</v>
      </c>
      <c r="AA87" s="157"/>
    </row>
    <row r="88" spans="1:27" ht="21.6" customHeight="1">
      <c r="A88" s="27">
        <v>5</v>
      </c>
      <c r="B88" s="133" t="s">
        <v>166</v>
      </c>
      <c r="C88" s="19" t="s">
        <v>167</v>
      </c>
      <c r="D88" s="158" t="s">
        <v>168</v>
      </c>
      <c r="E88" s="24">
        <v>25523.45</v>
      </c>
      <c r="F88" s="24"/>
      <c r="G88" s="24">
        <f t="shared" si="115"/>
        <v>76570.350000000006</v>
      </c>
      <c r="H88" s="24">
        <f t="shared" si="116"/>
        <v>1914.25875</v>
      </c>
      <c r="I88" s="24">
        <v>0</v>
      </c>
      <c r="J88" s="24">
        <f t="shared" si="117"/>
        <v>12761.725</v>
      </c>
      <c r="K88" s="22">
        <f t="shared" si="118"/>
        <v>89332.074999999997</v>
      </c>
      <c r="L88" s="24">
        <f t="shared" si="119"/>
        <v>25523.45</v>
      </c>
      <c r="M88" s="156">
        <f>120000</f>
        <v>120000</v>
      </c>
      <c r="N88" s="156"/>
      <c r="O88" s="24">
        <f t="shared" si="120"/>
        <v>2552.3450000000003</v>
      </c>
      <c r="P88" s="24">
        <v>15000</v>
      </c>
      <c r="Q88" s="24">
        <v>0</v>
      </c>
      <c r="R88" s="181">
        <f t="shared" si="121"/>
        <v>369177.65375</v>
      </c>
      <c r="S88" s="22"/>
      <c r="T88" s="22">
        <f>50000</f>
        <v>50000</v>
      </c>
      <c r="U88" s="22">
        <v>0</v>
      </c>
      <c r="V88" s="22"/>
      <c r="W88" s="24">
        <v>49548.776186666662</v>
      </c>
      <c r="X88" s="234">
        <f t="shared" si="122"/>
        <v>99548.776186666655</v>
      </c>
      <c r="Y88" s="22">
        <v>269628.87756333337</v>
      </c>
      <c r="Z88" s="184">
        <f t="shared" si="123"/>
        <v>269628.87756333337</v>
      </c>
      <c r="AA88" s="157"/>
    </row>
    <row r="89" spans="1:27" ht="21.6" customHeight="1">
      <c r="A89" s="27">
        <v>6</v>
      </c>
      <c r="B89" s="133" t="s">
        <v>169</v>
      </c>
      <c r="C89" s="138" t="s">
        <v>136</v>
      </c>
      <c r="D89" s="158" t="s">
        <v>60</v>
      </c>
      <c r="E89" s="24">
        <v>24741.26</v>
      </c>
      <c r="F89" s="24"/>
      <c r="G89" s="24">
        <f t="shared" ref="G89:G93" si="124">E89*300%</f>
        <v>74223.78</v>
      </c>
      <c r="H89" s="24">
        <f t="shared" ref="H89:H93" si="125">E89*7.5%</f>
        <v>1855.5944999999997</v>
      </c>
      <c r="I89" s="24">
        <v>0</v>
      </c>
      <c r="J89" s="24">
        <f t="shared" ref="J89:J93" si="126">E89*50%</f>
        <v>12370.63</v>
      </c>
      <c r="K89" s="22">
        <f t="shared" ref="K89:K93" si="127">E89*350%</f>
        <v>86594.409999999989</v>
      </c>
      <c r="L89" s="24">
        <f t="shared" ref="L89:L93" si="128">E89*100%</f>
        <v>24741.26</v>
      </c>
      <c r="M89" s="156">
        <f t="shared" ref="M89" si="129">120000</f>
        <v>120000</v>
      </c>
      <c r="N89" s="156"/>
      <c r="O89" s="24">
        <f t="shared" ref="O89:O93" si="130">E89*10%</f>
        <v>2474.1260000000002</v>
      </c>
      <c r="P89" s="24">
        <v>15000</v>
      </c>
      <c r="Q89" s="24">
        <v>0</v>
      </c>
      <c r="R89" s="181">
        <f t="shared" si="121"/>
        <v>362001.06049999996</v>
      </c>
      <c r="S89" s="22"/>
      <c r="T89" s="22"/>
      <c r="U89" s="22"/>
      <c r="V89" s="22"/>
      <c r="W89" s="24">
        <v>48170.870282666663</v>
      </c>
      <c r="X89" s="234">
        <f t="shared" si="122"/>
        <v>48170.870282666663</v>
      </c>
      <c r="Y89" s="22">
        <v>313830.19021733332</v>
      </c>
      <c r="Z89" s="184">
        <f t="shared" si="123"/>
        <v>313830.19021733332</v>
      </c>
      <c r="AA89" s="157"/>
    </row>
    <row r="90" spans="1:27" ht="21.6" customHeight="1">
      <c r="A90" s="27">
        <v>7</v>
      </c>
      <c r="B90" s="133" t="s">
        <v>170</v>
      </c>
      <c r="C90" s="138" t="s">
        <v>53</v>
      </c>
      <c r="D90" s="158" t="s">
        <v>171</v>
      </c>
      <c r="E90" s="24">
        <f>[5]Sheet1!$D$17</f>
        <v>24975.81</v>
      </c>
      <c r="F90" s="24"/>
      <c r="G90" s="24">
        <f t="shared" si="124"/>
        <v>74927.430000000008</v>
      </c>
      <c r="H90" s="24">
        <f t="shared" si="125"/>
        <v>1873.1857500000001</v>
      </c>
      <c r="I90" s="24">
        <v>0</v>
      </c>
      <c r="J90" s="24">
        <f t="shared" si="126"/>
        <v>12487.905000000001</v>
      </c>
      <c r="K90" s="22">
        <f t="shared" si="127"/>
        <v>87415.335000000006</v>
      </c>
      <c r="L90" s="24">
        <f t="shared" si="128"/>
        <v>24975.81</v>
      </c>
      <c r="M90" s="156">
        <f>140000</f>
        <v>140000</v>
      </c>
      <c r="N90" s="156"/>
      <c r="O90" s="24">
        <f t="shared" si="130"/>
        <v>2497.5810000000001</v>
      </c>
      <c r="P90" s="24">
        <v>20000</v>
      </c>
      <c r="Q90" s="24">
        <v>0</v>
      </c>
      <c r="R90" s="22">
        <f t="shared" si="121"/>
        <v>389153.05674999999</v>
      </c>
      <c r="S90" s="22"/>
      <c r="T90" s="22">
        <f>100000-100000</f>
        <v>0</v>
      </c>
      <c r="U90" s="22"/>
      <c r="V90" s="22"/>
      <c r="W90" s="24">
        <f>[3]PROMOTIONS!$X$25</f>
        <v>53384.122666666663</v>
      </c>
      <c r="X90" s="234">
        <f t="shared" si="122"/>
        <v>53384.122666666663</v>
      </c>
      <c r="Y90" s="22">
        <v>335768.93408333336</v>
      </c>
      <c r="Z90" s="184">
        <f t="shared" si="123"/>
        <v>335768.93408333336</v>
      </c>
      <c r="AA90" s="157"/>
    </row>
    <row r="91" spans="1:27" ht="21.6" customHeight="1">
      <c r="A91" s="27">
        <v>8</v>
      </c>
      <c r="B91" s="133" t="s">
        <v>172</v>
      </c>
      <c r="C91" s="92" t="s">
        <v>140</v>
      </c>
      <c r="D91" s="158" t="s">
        <v>69</v>
      </c>
      <c r="E91" s="24">
        <f>20749</f>
        <v>20749</v>
      </c>
      <c r="F91" s="24"/>
      <c r="G91" s="24">
        <f t="shared" si="124"/>
        <v>62247</v>
      </c>
      <c r="H91" s="24">
        <f t="shared" si="125"/>
        <v>1556.175</v>
      </c>
      <c r="I91" s="24">
        <v>0</v>
      </c>
      <c r="J91" s="24">
        <f t="shared" si="126"/>
        <v>10374.5</v>
      </c>
      <c r="K91" s="22">
        <f t="shared" si="127"/>
        <v>72621.5</v>
      </c>
      <c r="L91" s="24">
        <f t="shared" si="128"/>
        <v>20749</v>
      </c>
      <c r="M91" s="156">
        <f t="shared" ref="M91" si="131">110000</f>
        <v>110000</v>
      </c>
      <c r="N91" s="156"/>
      <c r="O91" s="24">
        <f t="shared" si="130"/>
        <v>2074.9</v>
      </c>
      <c r="P91" s="24">
        <v>15000</v>
      </c>
      <c r="Q91" s="24">
        <v>0</v>
      </c>
      <c r="R91" s="181">
        <f t="shared" si="121"/>
        <v>315372.07500000001</v>
      </c>
      <c r="S91" s="22"/>
      <c r="T91" s="22">
        <f>20000</f>
        <v>20000</v>
      </c>
      <c r="U91" s="22">
        <v>43750</v>
      </c>
      <c r="V91" s="22"/>
      <c r="W91" s="24">
        <v>40149.175266666673</v>
      </c>
      <c r="X91" s="234">
        <f t="shared" si="122"/>
        <v>103899.17526666667</v>
      </c>
      <c r="Y91" s="22">
        <v>255222.89973333332</v>
      </c>
      <c r="Z91" s="184">
        <f t="shared" si="123"/>
        <v>211472.89973333332</v>
      </c>
      <c r="AA91" s="157"/>
    </row>
    <row r="92" spans="1:27" ht="21.6" customHeight="1">
      <c r="A92" s="27">
        <v>9</v>
      </c>
      <c r="B92" s="133" t="s">
        <v>173</v>
      </c>
      <c r="C92" s="92" t="s">
        <v>140</v>
      </c>
      <c r="D92" s="158" t="s">
        <v>69</v>
      </c>
      <c r="E92" s="24">
        <v>20749</v>
      </c>
      <c r="F92" s="24"/>
      <c r="G92" s="24">
        <v>62247</v>
      </c>
      <c r="H92" s="24">
        <v>1556.175</v>
      </c>
      <c r="I92" s="24">
        <v>0</v>
      </c>
      <c r="J92" s="24">
        <v>10374.5</v>
      </c>
      <c r="K92" s="22">
        <v>72621.5</v>
      </c>
      <c r="L92" s="24">
        <v>20749</v>
      </c>
      <c r="M92" s="156">
        <v>110000</v>
      </c>
      <c r="N92" s="156"/>
      <c r="O92" s="24">
        <v>2074.9</v>
      </c>
      <c r="P92" s="24">
        <v>15000</v>
      </c>
      <c r="Q92" s="24">
        <v>0</v>
      </c>
      <c r="R92" s="181">
        <f t="shared" si="121"/>
        <v>315372.07500000001</v>
      </c>
      <c r="S92" s="22"/>
      <c r="T92" s="22">
        <v>0</v>
      </c>
      <c r="U92" s="22"/>
      <c r="V92" s="22">
        <f>0.025*E92</f>
        <v>518.72500000000002</v>
      </c>
      <c r="W92" s="24">
        <v>40149.18</v>
      </c>
      <c r="X92" s="234">
        <f t="shared" si="122"/>
        <v>40667.904999999999</v>
      </c>
      <c r="Y92" s="22">
        <v>274704.17000000004</v>
      </c>
      <c r="Z92" s="184">
        <f t="shared" si="123"/>
        <v>274704.17000000004</v>
      </c>
      <c r="AA92" s="157"/>
    </row>
    <row r="93" spans="1:27" ht="21.6" customHeight="1">
      <c r="A93" s="27">
        <v>10</v>
      </c>
      <c r="B93" s="133" t="s">
        <v>174</v>
      </c>
      <c r="C93" s="19" t="s">
        <v>175</v>
      </c>
      <c r="D93" s="27" t="s">
        <v>72</v>
      </c>
      <c r="E93" s="24">
        <v>17286.330000000002</v>
      </c>
      <c r="F93" s="24"/>
      <c r="G93" s="24">
        <f t="shared" si="124"/>
        <v>51858.990000000005</v>
      </c>
      <c r="H93" s="24">
        <f t="shared" si="125"/>
        <v>1296.4747500000001</v>
      </c>
      <c r="I93" s="24"/>
      <c r="J93" s="24">
        <f t="shared" si="126"/>
        <v>8643.1650000000009</v>
      </c>
      <c r="K93" s="24">
        <f t="shared" si="127"/>
        <v>60502.155000000006</v>
      </c>
      <c r="L93" s="24">
        <f t="shared" si="128"/>
        <v>17286.330000000002</v>
      </c>
      <c r="M93" s="156">
        <v>100000</v>
      </c>
      <c r="N93" s="156"/>
      <c r="O93" s="24">
        <f t="shared" si="130"/>
        <v>1728.6330000000003</v>
      </c>
      <c r="P93" s="24">
        <v>10000</v>
      </c>
      <c r="Q93" s="24"/>
      <c r="R93" s="181">
        <f t="shared" si="121"/>
        <v>268602.07775000005</v>
      </c>
      <c r="S93" s="22"/>
      <c r="T93" s="22"/>
      <c r="U93" s="22"/>
      <c r="V93" s="22"/>
      <c r="W93" s="24">
        <f>32291.82</f>
        <v>32291.82</v>
      </c>
      <c r="X93" s="234">
        <f t="shared" si="122"/>
        <v>32291.82</v>
      </c>
      <c r="Y93" s="22">
        <v>236310.25775000005</v>
      </c>
      <c r="Z93" s="184">
        <f t="shared" si="123"/>
        <v>236310.25775000005</v>
      </c>
      <c r="AA93" s="157"/>
    </row>
    <row r="94" spans="1:27" ht="21.6" customHeight="1">
      <c r="A94" s="27">
        <v>11</v>
      </c>
      <c r="B94" s="133" t="s">
        <v>176</v>
      </c>
      <c r="C94" s="92" t="s">
        <v>177</v>
      </c>
      <c r="D94" s="158" t="s">
        <v>86</v>
      </c>
      <c r="E94" s="24">
        <f>12732</f>
        <v>12732</v>
      </c>
      <c r="F94" s="24"/>
      <c r="G94" s="24">
        <v>37055.82</v>
      </c>
      <c r="H94" s="24">
        <v>926.39549999999997</v>
      </c>
      <c r="I94" s="24"/>
      <c r="J94" s="24">
        <v>6175.97</v>
      </c>
      <c r="K94" s="22">
        <v>43231.79</v>
      </c>
      <c r="L94" s="24">
        <v>12351.94</v>
      </c>
      <c r="M94" s="156">
        <f>100000</f>
        <v>100000</v>
      </c>
      <c r="N94" s="156"/>
      <c r="O94" s="24">
        <v>1235.1940000000002</v>
      </c>
      <c r="P94" s="24">
        <v>10000</v>
      </c>
      <c r="Q94" s="24"/>
      <c r="R94" s="181">
        <f t="shared" si="121"/>
        <v>223709.10949999999</v>
      </c>
      <c r="S94" s="22"/>
      <c r="T94" s="22">
        <v>50000</v>
      </c>
      <c r="U94" s="22"/>
      <c r="V94" s="22">
        <v>0</v>
      </c>
      <c r="W94" s="24">
        <v>24749.797062666661</v>
      </c>
      <c r="X94" s="234">
        <f t="shared" si="122"/>
        <v>74749.797062666665</v>
      </c>
      <c r="Y94" s="22">
        <v>148959.31243733334</v>
      </c>
      <c r="Z94" s="184">
        <f t="shared" si="123"/>
        <v>148959.31243733334</v>
      </c>
      <c r="AA94" s="157"/>
    </row>
    <row r="95" spans="1:27" ht="20.100000000000001" customHeight="1">
      <c r="A95" s="27"/>
      <c r="B95" s="136" t="s">
        <v>91</v>
      </c>
      <c r="C95" s="28">
        <v>11</v>
      </c>
      <c r="D95" s="28"/>
      <c r="E95" s="65">
        <f t="shared" ref="E95:Z95" si="132">SUM(E84:E94)</f>
        <v>275810.53000000003</v>
      </c>
      <c r="F95" s="65">
        <f t="shared" si="132"/>
        <v>0</v>
      </c>
      <c r="G95" s="65">
        <f t="shared" si="132"/>
        <v>826291.41</v>
      </c>
      <c r="H95" s="65">
        <f t="shared" si="132"/>
        <v>20657.285249999997</v>
      </c>
      <c r="I95" s="65">
        <f t="shared" si="132"/>
        <v>160488.76</v>
      </c>
      <c r="J95" s="65">
        <f t="shared" si="132"/>
        <v>137715.23500000002</v>
      </c>
      <c r="K95" s="65">
        <f t="shared" si="132"/>
        <v>964006.64500000002</v>
      </c>
      <c r="L95" s="65">
        <f t="shared" si="132"/>
        <v>275430.47000000003</v>
      </c>
      <c r="M95" s="65">
        <f t="shared" si="132"/>
        <v>1440000</v>
      </c>
      <c r="N95" s="65">
        <f t="shared" si="132"/>
        <v>0</v>
      </c>
      <c r="O95" s="65">
        <f t="shared" si="132"/>
        <v>27543.047000000002</v>
      </c>
      <c r="P95" s="65">
        <f t="shared" si="132"/>
        <v>180000</v>
      </c>
      <c r="Q95" s="65">
        <f t="shared" si="132"/>
        <v>100000</v>
      </c>
      <c r="R95" s="65">
        <f t="shared" si="132"/>
        <v>4407943.3822500007</v>
      </c>
      <c r="S95" s="65">
        <f t="shared" si="132"/>
        <v>0</v>
      </c>
      <c r="T95" s="65">
        <f t="shared" si="132"/>
        <v>220000</v>
      </c>
      <c r="U95" s="65">
        <f t="shared" si="132"/>
        <v>385464.7</v>
      </c>
      <c r="V95" s="65">
        <f t="shared" si="132"/>
        <v>2194.1025</v>
      </c>
      <c r="W95" s="65">
        <f t="shared" si="132"/>
        <v>618410.12802533328</v>
      </c>
      <c r="X95" s="334">
        <f t="shared" si="132"/>
        <v>1226068.9305253332</v>
      </c>
      <c r="Y95" s="65">
        <v>3225624.4517246666</v>
      </c>
      <c r="Z95" s="313">
        <f t="shared" si="132"/>
        <v>3181874.4517246666</v>
      </c>
      <c r="AA95" s="157"/>
    </row>
    <row r="96" spans="1:27" ht="20.100000000000001" customHeight="1">
      <c r="A96" s="27"/>
      <c r="B96" s="103"/>
      <c r="C96" s="28"/>
      <c r="D96" s="28"/>
      <c r="E96" s="29"/>
      <c r="F96" s="29"/>
      <c r="G96" s="29"/>
      <c r="H96" s="29"/>
      <c r="I96" s="29"/>
      <c r="J96" s="29"/>
      <c r="K96" s="29"/>
      <c r="L96" s="29"/>
      <c r="M96" s="156"/>
      <c r="N96" s="156"/>
      <c r="O96" s="29"/>
      <c r="P96" s="29"/>
      <c r="Q96" s="29"/>
      <c r="R96" s="189"/>
      <c r="S96" s="29"/>
      <c r="T96" s="29"/>
      <c r="U96" s="29"/>
      <c r="V96" s="29"/>
      <c r="W96" s="29"/>
      <c r="X96" s="236"/>
      <c r="Y96" s="29"/>
      <c r="Z96" s="195"/>
      <c r="AA96" s="157"/>
    </row>
    <row r="97" spans="1:27" ht="20.100000000000001" customHeight="1">
      <c r="A97" s="27"/>
      <c r="B97" s="136" t="s">
        <v>178</v>
      </c>
      <c r="C97" s="28"/>
      <c r="D97" s="28"/>
      <c r="E97" s="29"/>
      <c r="F97" s="29"/>
      <c r="G97" s="29"/>
      <c r="H97" s="29"/>
      <c r="I97" s="29"/>
      <c r="J97" s="29"/>
      <c r="K97" s="29"/>
      <c r="L97" s="29"/>
      <c r="M97" s="156"/>
      <c r="N97" s="156"/>
      <c r="O97" s="29"/>
      <c r="P97" s="29"/>
      <c r="Q97" s="29"/>
      <c r="R97" s="189"/>
      <c r="S97" s="29"/>
      <c r="T97" s="29"/>
      <c r="U97" s="29"/>
      <c r="V97" s="29"/>
      <c r="W97" s="29"/>
      <c r="X97" s="236"/>
      <c r="Y97" s="29"/>
      <c r="Z97" s="195"/>
      <c r="AA97" s="157"/>
    </row>
    <row r="98" spans="1:27" ht="20.100000000000001" customHeight="1">
      <c r="A98" s="27">
        <v>1</v>
      </c>
      <c r="B98" s="135" t="s">
        <v>179</v>
      </c>
      <c r="C98" s="19" t="s">
        <v>180</v>
      </c>
      <c r="D98" s="23" t="s">
        <v>36</v>
      </c>
      <c r="E98" s="24">
        <f>41157.69</f>
        <v>41157.69</v>
      </c>
      <c r="F98" s="24">
        <f>540000-82185.83</f>
        <v>457814.17</v>
      </c>
      <c r="G98" s="24">
        <f>E98*300%</f>
        <v>123473.07</v>
      </c>
      <c r="H98" s="24">
        <f>E98*7.5%</f>
        <v>3086.8267500000002</v>
      </c>
      <c r="I98" s="24">
        <v>40122.19</v>
      </c>
      <c r="J98" s="24">
        <f>E98*50%</f>
        <v>20578.845000000001</v>
      </c>
      <c r="K98" s="24">
        <f>E98*350%</f>
        <v>144051.91500000001</v>
      </c>
      <c r="L98" s="24">
        <f>E98*100%</f>
        <v>41157.69</v>
      </c>
      <c r="M98" s="156"/>
      <c r="N98" s="156">
        <f>80000+10000</f>
        <v>90000</v>
      </c>
      <c r="O98" s="24">
        <f>E98*10%</f>
        <v>4115.7690000000002</v>
      </c>
      <c r="P98" s="24">
        <v>20000</v>
      </c>
      <c r="Q98" s="24"/>
      <c r="R98" s="181">
        <f>Q98+P98+O98+N98+M98+L98+K98+J98+I98+H98+G98+F98+E98</f>
        <v>985558.16574999993</v>
      </c>
      <c r="S98" s="22"/>
      <c r="T98" s="22">
        <f>0</f>
        <v>0</v>
      </c>
      <c r="U98" s="22">
        <v>0</v>
      </c>
      <c r="V98" s="22">
        <v>1028.9422500000001</v>
      </c>
      <c r="W98" s="22">
        <f>79832.68+82185.83</f>
        <v>162018.51</v>
      </c>
      <c r="X98" s="234">
        <f>W98+V98+U98+T98+S98</f>
        <v>163047.45225</v>
      </c>
      <c r="Y98" s="22">
        <v>527682.37564933335</v>
      </c>
      <c r="Z98" s="184">
        <f>R98-X98</f>
        <v>822510.71349999995</v>
      </c>
      <c r="AA98" s="157"/>
    </row>
    <row r="99" spans="1:27" ht="20.100000000000001" customHeight="1">
      <c r="A99" s="27">
        <v>2</v>
      </c>
      <c r="B99" s="133" t="s">
        <v>181</v>
      </c>
      <c r="C99" s="19" t="s">
        <v>182</v>
      </c>
      <c r="D99" s="158" t="s">
        <v>116</v>
      </c>
      <c r="E99" s="24">
        <v>25854.1</v>
      </c>
      <c r="F99" s="24"/>
      <c r="G99" s="24">
        <f>E99*300%</f>
        <v>77562.299999999988</v>
      </c>
      <c r="H99" s="24">
        <f>E99*7.5%</f>
        <v>1939.0574999999999</v>
      </c>
      <c r="I99" s="22">
        <v>0</v>
      </c>
      <c r="J99" s="24">
        <f>E99*50%</f>
        <v>12927.05</v>
      </c>
      <c r="K99" s="22">
        <f>E99*350%</f>
        <v>90489.349999999991</v>
      </c>
      <c r="L99" s="24">
        <f>E99*100%</f>
        <v>25854.1</v>
      </c>
      <c r="M99" s="156"/>
      <c r="N99" s="156">
        <v>70000</v>
      </c>
      <c r="O99" s="24">
        <f>E99*10%</f>
        <v>2585.41</v>
      </c>
      <c r="P99" s="24">
        <v>20000</v>
      </c>
      <c r="Q99" s="24">
        <v>0</v>
      </c>
      <c r="R99" s="22">
        <f>SUM(E99:Q99)</f>
        <v>327211.36749999999</v>
      </c>
      <c r="S99" s="22"/>
      <c r="T99" s="22">
        <f>10000</f>
        <v>10000</v>
      </c>
      <c r="U99" s="22">
        <f>115000</f>
        <v>115000</v>
      </c>
      <c r="V99" s="22"/>
      <c r="W99" s="24">
        <v>40698.124856666655</v>
      </c>
      <c r="X99" s="234">
        <f>W99+V99+U99+T99+S99</f>
        <v>165698.12485666666</v>
      </c>
      <c r="Y99" s="22">
        <v>161513.24264333333</v>
      </c>
      <c r="Z99" s="184">
        <f>R99-X99</f>
        <v>161513.24264333333</v>
      </c>
      <c r="AA99" s="157"/>
    </row>
    <row r="100" spans="1:27" ht="20.100000000000001" customHeight="1">
      <c r="A100" s="27">
        <v>3</v>
      </c>
      <c r="B100" s="133" t="s">
        <v>183</v>
      </c>
      <c r="C100" s="19" t="s">
        <v>184</v>
      </c>
      <c r="D100" s="158" t="s">
        <v>66</v>
      </c>
      <c r="E100" s="24">
        <v>21520.880000000001</v>
      </c>
      <c r="F100" s="24"/>
      <c r="G100" s="24">
        <f>E100*300%</f>
        <v>64562.64</v>
      </c>
      <c r="H100" s="24">
        <f>E100*7.5%</f>
        <v>1614.066</v>
      </c>
      <c r="I100" s="24"/>
      <c r="J100" s="24">
        <f>E100*50%</f>
        <v>10760.44</v>
      </c>
      <c r="K100" s="22">
        <f>E100*350%</f>
        <v>75323.08</v>
      </c>
      <c r="L100" s="24">
        <f>E100*100%</f>
        <v>21520.880000000001</v>
      </c>
      <c r="M100" s="156"/>
      <c r="N100" s="156">
        <f>60000</f>
        <v>60000</v>
      </c>
      <c r="O100" s="24">
        <f>E100*10%</f>
        <v>2152.0880000000002</v>
      </c>
      <c r="P100" s="24">
        <v>15000</v>
      </c>
      <c r="Q100" s="24"/>
      <c r="R100" s="181">
        <f>SUM(E100:Q100)</f>
        <v>272454.07400000002</v>
      </c>
      <c r="S100" s="22"/>
      <c r="T100" s="22">
        <f>5000</f>
        <v>5000</v>
      </c>
      <c r="U100" s="22">
        <f>64806.29</f>
        <v>64806.29</v>
      </c>
      <c r="V100" s="22"/>
      <c r="W100" s="24">
        <v>32938.949999999997</v>
      </c>
      <c r="X100" s="234">
        <f>W100+V100+U100+T100+S100</f>
        <v>102745.23999999999</v>
      </c>
      <c r="Y100" s="22">
        <v>169708.83400000003</v>
      </c>
      <c r="Z100" s="184">
        <f>R100-X100</f>
        <v>169708.83400000003</v>
      </c>
      <c r="AA100" s="157"/>
    </row>
    <row r="101" spans="1:27" ht="20.100000000000001" customHeight="1">
      <c r="A101" s="27">
        <v>4</v>
      </c>
      <c r="B101" s="133" t="s">
        <v>185</v>
      </c>
      <c r="C101" s="19" t="s">
        <v>186</v>
      </c>
      <c r="D101" s="158" t="s">
        <v>72</v>
      </c>
      <c r="E101" s="156">
        <f>17286.33</f>
        <v>17286.330000000002</v>
      </c>
      <c r="F101" s="24"/>
      <c r="G101" s="24">
        <f t="shared" ref="G101" si="133">E101*300%</f>
        <v>51858.990000000005</v>
      </c>
      <c r="H101" s="24">
        <f t="shared" ref="H101" si="134">E101*7.5%</f>
        <v>1296.4747500000001</v>
      </c>
      <c r="I101" s="24"/>
      <c r="J101" s="24">
        <f t="shared" ref="J101" si="135">E101*50%</f>
        <v>8643.1650000000009</v>
      </c>
      <c r="K101" s="22">
        <f t="shared" ref="K101" si="136">E101*350%</f>
        <v>60502.155000000006</v>
      </c>
      <c r="L101" s="24">
        <f t="shared" ref="L101" si="137">E101*100%</f>
        <v>17286.330000000002</v>
      </c>
      <c r="M101" s="156"/>
      <c r="N101" s="156">
        <f>60000</f>
        <v>60000</v>
      </c>
      <c r="O101" s="24">
        <f t="shared" ref="O101" si="138">E101*10%</f>
        <v>1728.6330000000003</v>
      </c>
      <c r="P101" s="24">
        <v>10000</v>
      </c>
      <c r="Q101" s="24"/>
      <c r="R101" s="22">
        <f>SUM(E101:Q101)</f>
        <v>228602.07775000003</v>
      </c>
      <c r="S101" s="22"/>
      <c r="T101" s="22">
        <f>10000</f>
        <v>10000</v>
      </c>
      <c r="U101" s="22">
        <f>19583.33</f>
        <v>19583.330000000002</v>
      </c>
      <c r="V101" s="22"/>
      <c r="W101" s="24">
        <f>[3]PROMOTIONS!$X$31</f>
        <v>25571.732666666667</v>
      </c>
      <c r="X101" s="234">
        <f>W101+V101+U101+T101+S101</f>
        <v>55155.062666666665</v>
      </c>
      <c r="Y101" s="22">
        <v>193030.34508333338</v>
      </c>
      <c r="Z101" s="184">
        <f>R101-X101</f>
        <v>173447.01508333336</v>
      </c>
      <c r="AA101" s="157"/>
    </row>
    <row r="102" spans="1:27" ht="20.100000000000001" customHeight="1">
      <c r="A102" s="19"/>
      <c r="B102" s="136" t="s">
        <v>91</v>
      </c>
      <c r="C102" s="28">
        <v>4</v>
      </c>
      <c r="D102" s="164"/>
      <c r="E102" s="65">
        <f>SUM(E98:E101)</f>
        <v>105819.00000000001</v>
      </c>
      <c r="F102" s="65">
        <f t="shared" ref="F102:Z102" si="139">SUM(F98:F101)</f>
        <v>457814.17</v>
      </c>
      <c r="G102" s="65">
        <f t="shared" si="139"/>
        <v>317457</v>
      </c>
      <c r="H102" s="65">
        <f t="shared" si="139"/>
        <v>7936.4250000000002</v>
      </c>
      <c r="I102" s="65">
        <f t="shared" si="139"/>
        <v>40122.19</v>
      </c>
      <c r="J102" s="65">
        <f t="shared" si="139"/>
        <v>52909.500000000007</v>
      </c>
      <c r="K102" s="65">
        <f t="shared" si="139"/>
        <v>370366.50000000006</v>
      </c>
      <c r="L102" s="65">
        <f t="shared" si="139"/>
        <v>105819.00000000001</v>
      </c>
      <c r="M102" s="65">
        <f t="shared" si="139"/>
        <v>0</v>
      </c>
      <c r="N102" s="65">
        <f t="shared" si="139"/>
        <v>280000</v>
      </c>
      <c r="O102" s="65">
        <f t="shared" si="139"/>
        <v>10581.9</v>
      </c>
      <c r="P102" s="65">
        <f t="shared" si="139"/>
        <v>65000</v>
      </c>
      <c r="Q102" s="65">
        <f t="shared" si="139"/>
        <v>0</v>
      </c>
      <c r="R102" s="65">
        <f t="shared" si="139"/>
        <v>1813825.6849999998</v>
      </c>
      <c r="S102" s="65">
        <f t="shared" si="139"/>
        <v>0</v>
      </c>
      <c r="T102" s="65">
        <f t="shared" si="139"/>
        <v>25000</v>
      </c>
      <c r="U102" s="65">
        <f t="shared" si="139"/>
        <v>199389.62</v>
      </c>
      <c r="V102" s="65">
        <f t="shared" si="139"/>
        <v>1028.9422500000001</v>
      </c>
      <c r="W102" s="65">
        <f t="shared" si="139"/>
        <v>261227.31752333336</v>
      </c>
      <c r="X102" s="65">
        <f t="shared" si="139"/>
        <v>486645.87977333332</v>
      </c>
      <c r="Y102" s="65">
        <v>1051934.7973760001</v>
      </c>
      <c r="Z102" s="65">
        <f t="shared" si="139"/>
        <v>1327179.8052266669</v>
      </c>
      <c r="AA102" s="157"/>
    </row>
    <row r="103" spans="1:27" ht="20.100000000000001" customHeight="1">
      <c r="A103" s="19"/>
      <c r="B103" s="103"/>
      <c r="C103" s="28"/>
      <c r="D103" s="164"/>
      <c r="E103" s="29"/>
      <c r="F103" s="29"/>
      <c r="G103" s="29"/>
      <c r="H103" s="29"/>
      <c r="I103" s="29"/>
      <c r="J103" s="29"/>
      <c r="K103" s="29"/>
      <c r="L103" s="29"/>
      <c r="M103" s="156"/>
      <c r="N103" s="156"/>
      <c r="O103" s="29"/>
      <c r="P103" s="29"/>
      <c r="Q103" s="29"/>
      <c r="R103" s="189"/>
      <c r="S103" s="29"/>
      <c r="T103" s="29"/>
      <c r="U103" s="29"/>
      <c r="V103" s="29"/>
      <c r="W103" s="29"/>
      <c r="X103" s="236"/>
      <c r="Y103" s="29"/>
      <c r="Z103" s="195"/>
      <c r="AA103" s="157"/>
    </row>
    <row r="104" spans="1:27" ht="20.100000000000001" customHeight="1">
      <c r="A104" s="19"/>
      <c r="B104" s="136" t="s">
        <v>187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56"/>
      <c r="N104" s="156"/>
      <c r="O104" s="19"/>
      <c r="P104" s="19"/>
      <c r="Q104" s="19"/>
      <c r="R104" s="191"/>
      <c r="S104" s="19"/>
      <c r="T104" s="19"/>
      <c r="U104" s="19"/>
      <c r="V104" s="19"/>
      <c r="W104" s="19"/>
      <c r="X104" s="238"/>
      <c r="Y104" s="19"/>
      <c r="Z104" s="196"/>
      <c r="AA104" s="157"/>
    </row>
    <row r="105" spans="1:27" ht="20.100000000000001" customHeight="1">
      <c r="A105" s="19">
        <v>1</v>
      </c>
      <c r="B105" s="133" t="s">
        <v>188</v>
      </c>
      <c r="C105" s="138" t="s">
        <v>189</v>
      </c>
      <c r="D105" s="158" t="s">
        <v>95</v>
      </c>
      <c r="E105" s="24">
        <v>81740.02</v>
      </c>
      <c r="F105" s="24"/>
      <c r="G105" s="24">
        <f>E105*300%</f>
        <v>245220.06</v>
      </c>
      <c r="H105" s="24">
        <f>E105*7.5%</f>
        <v>6130.5015000000003</v>
      </c>
      <c r="I105" s="24">
        <v>80244.38</v>
      </c>
      <c r="J105" s="24">
        <f>E105*50%</f>
        <v>40870.01</v>
      </c>
      <c r="K105" s="24">
        <f>E105*350%</f>
        <v>286090.07</v>
      </c>
      <c r="L105" s="24">
        <f>E105*100%</f>
        <v>81740.02</v>
      </c>
      <c r="M105" s="156">
        <f>200000</f>
        <v>200000</v>
      </c>
      <c r="N105" s="156"/>
      <c r="O105" s="24">
        <f>E105*10%</f>
        <v>8174.0020000000004</v>
      </c>
      <c r="P105" s="24">
        <v>20000</v>
      </c>
      <c r="Q105" s="24">
        <v>0</v>
      </c>
      <c r="R105" s="181">
        <f>SUM(E105:Q105)</f>
        <v>1050209.0635000002</v>
      </c>
      <c r="S105" s="22"/>
      <c r="T105" s="22">
        <f>100000</f>
        <v>100000</v>
      </c>
      <c r="U105" s="22">
        <v>0</v>
      </c>
      <c r="V105" s="22">
        <v>0</v>
      </c>
      <c r="W105" s="24">
        <v>180145.9708586667</v>
      </c>
      <c r="X105" s="234">
        <f>W105+V105+U105+T105+S105</f>
        <v>280145.9708586667</v>
      </c>
      <c r="Y105" s="22">
        <v>770063.09264133347</v>
      </c>
      <c r="Z105" s="184">
        <f t="shared" ref="Z105:Z111" si="140">R105-X105</f>
        <v>770063.09264133347</v>
      </c>
      <c r="AA105" s="157"/>
    </row>
    <row r="106" spans="1:27" ht="20.100000000000001" customHeight="1">
      <c r="A106" s="19">
        <v>2</v>
      </c>
      <c r="B106" s="133" t="s">
        <v>190</v>
      </c>
      <c r="C106" s="19" t="s">
        <v>191</v>
      </c>
      <c r="D106" s="23" t="s">
        <v>36</v>
      </c>
      <c r="E106" s="24">
        <v>41157.69</v>
      </c>
      <c r="F106" s="24"/>
      <c r="G106" s="24">
        <f>E106*300%</f>
        <v>123473.07</v>
      </c>
      <c r="H106" s="24">
        <f>E106*7.5%</f>
        <v>3086.8267500000002</v>
      </c>
      <c r="I106" s="24">
        <v>40122.19</v>
      </c>
      <c r="J106" s="24">
        <f>E106*50%</f>
        <v>20578.845000000001</v>
      </c>
      <c r="K106" s="24">
        <f>E106*350%</f>
        <v>144051.91500000001</v>
      </c>
      <c r="L106" s="24">
        <f>E106*100%</f>
        <v>41157.69</v>
      </c>
      <c r="M106" s="156">
        <f>160000+20000</f>
        <v>180000</v>
      </c>
      <c r="N106" s="156"/>
      <c r="O106" s="24">
        <f>E106*10%</f>
        <v>4115.7690000000002</v>
      </c>
      <c r="P106" s="24">
        <v>20000</v>
      </c>
      <c r="Q106" s="24">
        <v>0</v>
      </c>
      <c r="R106" s="181">
        <f>SUM(E106:Q106)</f>
        <v>617743.99575</v>
      </c>
      <c r="S106" s="22"/>
      <c r="T106" s="22">
        <v>40000</v>
      </c>
      <c r="U106" s="22">
        <f>238888.89</f>
        <v>238888.89</v>
      </c>
      <c r="V106" s="22">
        <v>1028.9422500000001</v>
      </c>
      <c r="W106" s="24">
        <v>97147.085210666657</v>
      </c>
      <c r="X106" s="234">
        <f>SUM(S106:W106)</f>
        <v>377064.91746066668</v>
      </c>
      <c r="Y106" s="22">
        <v>240679.07828933332</v>
      </c>
      <c r="Z106" s="184">
        <f t="shared" si="140"/>
        <v>240679.07828933332</v>
      </c>
      <c r="AA106" s="157"/>
    </row>
    <row r="107" spans="1:27" ht="20.100000000000001" customHeight="1">
      <c r="A107" s="19">
        <v>3</v>
      </c>
      <c r="B107" s="133" t="s">
        <v>192</v>
      </c>
      <c r="C107" s="19" t="s">
        <v>193</v>
      </c>
      <c r="D107" s="27" t="s">
        <v>57</v>
      </c>
      <c r="E107" s="24">
        <v>26339.3</v>
      </c>
      <c r="F107" s="24"/>
      <c r="G107" s="24">
        <f>E107*300%</f>
        <v>79017.899999999994</v>
      </c>
      <c r="H107" s="24">
        <f>E107*7.5%</f>
        <v>1975.4474999999998</v>
      </c>
      <c r="I107" s="24">
        <v>0</v>
      </c>
      <c r="J107" s="24">
        <f>E107*50%</f>
        <v>13169.65</v>
      </c>
      <c r="K107" s="24">
        <f>E107*350%</f>
        <v>92187.55</v>
      </c>
      <c r="L107" s="24">
        <f>E107*100%</f>
        <v>26339.3</v>
      </c>
      <c r="M107" s="156">
        <f>120000</f>
        <v>120000</v>
      </c>
      <c r="N107" s="156"/>
      <c r="O107" s="24">
        <f>E107*10%</f>
        <v>2633.9300000000003</v>
      </c>
      <c r="P107" s="24">
        <v>15000</v>
      </c>
      <c r="Q107" s="24">
        <v>41432.938524999998</v>
      </c>
      <c r="R107" s="181">
        <f>SUM(E107:Q107)</f>
        <v>418096.01602499996</v>
      </c>
      <c r="S107" s="22"/>
      <c r="T107" s="22">
        <v>30000</v>
      </c>
      <c r="U107" s="22">
        <f>61111.11</f>
        <v>61111.11</v>
      </c>
      <c r="V107" s="22">
        <v>658.48250000000007</v>
      </c>
      <c r="W107" s="22">
        <v>58941.101743466657</v>
      </c>
      <c r="X107" s="234">
        <f>W107+V107+U107+T107+S107</f>
        <v>150710.69424346666</v>
      </c>
      <c r="Y107" s="22">
        <v>267385.3217815333</v>
      </c>
      <c r="Z107" s="184">
        <f t="shared" si="140"/>
        <v>267385.3217815333</v>
      </c>
      <c r="AA107" s="157"/>
    </row>
    <row r="108" spans="1:27" ht="20.100000000000001" customHeight="1">
      <c r="A108" s="19">
        <v>4</v>
      </c>
      <c r="B108" s="133" t="s">
        <v>194</v>
      </c>
      <c r="C108" s="19" t="s">
        <v>193</v>
      </c>
      <c r="D108" s="27" t="s">
        <v>57</v>
      </c>
      <c r="E108" s="24">
        <v>26339.3</v>
      </c>
      <c r="F108" s="24"/>
      <c r="G108" s="24">
        <f>E108*300%</f>
        <v>79017.899999999994</v>
      </c>
      <c r="H108" s="24">
        <f>E108*7.5%</f>
        <v>1975.4474999999998</v>
      </c>
      <c r="I108" s="24">
        <v>0</v>
      </c>
      <c r="J108" s="24">
        <f>E108*50%</f>
        <v>13169.65</v>
      </c>
      <c r="K108" s="24">
        <f>E108*350%</f>
        <v>92187.55</v>
      </c>
      <c r="L108" s="24">
        <f>E108*100%</f>
        <v>26339.3</v>
      </c>
      <c r="M108" s="156">
        <f>120000</f>
        <v>120000</v>
      </c>
      <c r="N108" s="156"/>
      <c r="O108" s="24">
        <f>E108*10%</f>
        <v>2633.9300000000003</v>
      </c>
      <c r="P108" s="24">
        <v>15000</v>
      </c>
      <c r="Q108" s="24">
        <v>39820.116654999998</v>
      </c>
      <c r="R108" s="181">
        <f>SUM(E108:Q108)</f>
        <v>416483.19415499998</v>
      </c>
      <c r="S108" s="22"/>
      <c r="T108" s="22">
        <f>50000</f>
        <v>50000</v>
      </c>
      <c r="U108" s="22">
        <f>0</f>
        <v>0</v>
      </c>
      <c r="V108" s="22"/>
      <c r="W108" s="22">
        <v>58941.101743466657</v>
      </c>
      <c r="X108" s="234">
        <f>W108+V108+U108+T108+S108</f>
        <v>108941.10174346666</v>
      </c>
      <c r="Y108" s="22">
        <v>307542.09241153335</v>
      </c>
      <c r="Z108" s="184">
        <f t="shared" si="140"/>
        <v>307542.09241153335</v>
      </c>
      <c r="AA108" s="157"/>
    </row>
    <row r="109" spans="1:27" ht="20.100000000000001" customHeight="1">
      <c r="A109" s="19">
        <v>5</v>
      </c>
      <c r="B109" s="133" t="s">
        <v>195</v>
      </c>
      <c r="C109" s="19" t="s">
        <v>196</v>
      </c>
      <c r="D109" s="158" t="s">
        <v>197</v>
      </c>
      <c r="E109" s="156">
        <f>13872.4</f>
        <v>13872.4</v>
      </c>
      <c r="F109" s="24"/>
      <c r="G109" s="24">
        <f>E109*300%</f>
        <v>41617.199999999997</v>
      </c>
      <c r="H109" s="24">
        <f>E109*7.5%</f>
        <v>1040.4299999999998</v>
      </c>
      <c r="I109" s="24"/>
      <c r="J109" s="24">
        <f>E109*50%</f>
        <v>6936.2</v>
      </c>
      <c r="K109" s="22">
        <f>E109*350%</f>
        <v>48553.4</v>
      </c>
      <c r="L109" s="24">
        <f>E109*100%</f>
        <v>13872.4</v>
      </c>
      <c r="M109" s="156">
        <f>100000</f>
        <v>100000</v>
      </c>
      <c r="N109" s="156"/>
      <c r="O109" s="24">
        <f>E109*10%</f>
        <v>1387.24</v>
      </c>
      <c r="P109" s="24">
        <v>10000</v>
      </c>
      <c r="Q109" s="24">
        <v>25333.447479999999</v>
      </c>
      <c r="R109" s="181">
        <f>SUM(E109:Q109)</f>
        <v>262612.71747999999</v>
      </c>
      <c r="S109" s="22"/>
      <c r="T109" s="22">
        <v>20000</v>
      </c>
      <c r="U109" s="22">
        <f>50000</f>
        <v>50000</v>
      </c>
      <c r="V109" s="22"/>
      <c r="W109" s="24">
        <v>31285.603203306662</v>
      </c>
      <c r="X109" s="234">
        <f>W109+V109+U109+T109+S109</f>
        <v>101285.60320330666</v>
      </c>
      <c r="Y109" s="22">
        <v>161327.11427669332</v>
      </c>
      <c r="Z109" s="184">
        <f t="shared" si="140"/>
        <v>161327.11427669332</v>
      </c>
      <c r="AA109" s="157"/>
    </row>
    <row r="110" spans="1:27" ht="20.100000000000001" customHeight="1">
      <c r="A110" s="19">
        <v>6</v>
      </c>
      <c r="B110" s="134" t="s">
        <v>198</v>
      </c>
      <c r="C110" s="19" t="s">
        <v>196</v>
      </c>
      <c r="D110" s="27" t="s">
        <v>199</v>
      </c>
      <c r="E110" s="24">
        <v>13492.21</v>
      </c>
      <c r="F110" s="24"/>
      <c r="G110" s="24">
        <f t="shared" ref="G110" si="141">E110*300%</f>
        <v>40476.629999999997</v>
      </c>
      <c r="H110" s="24">
        <f t="shared" ref="H110" si="142">E110*7.5%</f>
        <v>1011.9157499999999</v>
      </c>
      <c r="I110" s="24"/>
      <c r="J110" s="24">
        <f t="shared" ref="J110" si="143">E110*50%</f>
        <v>6746.1049999999996</v>
      </c>
      <c r="K110" s="24">
        <f t="shared" ref="K110" si="144">E110*350%</f>
        <v>47222.735000000001</v>
      </c>
      <c r="L110" s="24">
        <f t="shared" ref="L110" si="145">E110*100%</f>
        <v>13492.21</v>
      </c>
      <c r="M110" s="156">
        <f>100000</f>
        <v>100000</v>
      </c>
      <c r="N110" s="156"/>
      <c r="O110" s="24">
        <f t="shared" ref="O110" si="146">E110*10%</f>
        <v>1349.221</v>
      </c>
      <c r="P110" s="24">
        <v>10000</v>
      </c>
      <c r="Q110" s="24">
        <v>24949.771000000001</v>
      </c>
      <c r="R110" s="181">
        <f t="shared" ref="R110" si="147">SUM(E110:Q110)</f>
        <v>258740.79775</v>
      </c>
      <c r="S110" s="22"/>
      <c r="T110" s="22">
        <f>25000</f>
        <v>25000</v>
      </c>
      <c r="U110" s="22">
        <v>0</v>
      </c>
      <c r="V110" s="22"/>
      <c r="W110" s="24">
        <v>30635.120688666666</v>
      </c>
      <c r="X110" s="234">
        <f>W110+V110+U110+T110+S110</f>
        <v>55635.120688666662</v>
      </c>
      <c r="Y110" s="22">
        <v>203105.67706133332</v>
      </c>
      <c r="Z110" s="184">
        <f t="shared" si="140"/>
        <v>203105.67706133332</v>
      </c>
      <c r="AA110" s="157"/>
    </row>
    <row r="111" spans="1:27" ht="20.100000000000001" customHeight="1">
      <c r="A111" s="19">
        <v>7</v>
      </c>
      <c r="B111" s="134" t="s">
        <v>200</v>
      </c>
      <c r="C111" s="19" t="s">
        <v>196</v>
      </c>
      <c r="D111" s="158" t="s">
        <v>86</v>
      </c>
      <c r="E111" s="156">
        <f>12732</f>
        <v>12732</v>
      </c>
      <c r="F111" s="24"/>
      <c r="G111" s="24">
        <f t="shared" ref="G111" si="148">E111*300%</f>
        <v>38196</v>
      </c>
      <c r="H111" s="24">
        <f t="shared" ref="H111" si="149">E111*7.5%</f>
        <v>954.9</v>
      </c>
      <c r="I111" s="24"/>
      <c r="J111" s="24">
        <f t="shared" ref="J111" si="150">E111*50%</f>
        <v>6366</v>
      </c>
      <c r="K111" s="22">
        <f t="shared" ref="K111" si="151">E111*350%</f>
        <v>44562</v>
      </c>
      <c r="L111" s="24">
        <f t="shared" ref="L111" si="152">E111*100%</f>
        <v>12732</v>
      </c>
      <c r="M111" s="156">
        <f t="shared" ref="M111" si="153">100000</f>
        <v>100000</v>
      </c>
      <c r="N111" s="156"/>
      <c r="O111" s="24">
        <f t="shared" ref="O111" si="154">E111*10%</f>
        <v>1273.2</v>
      </c>
      <c r="P111" s="24">
        <v>10000</v>
      </c>
      <c r="Q111" s="24">
        <v>24566.195445000001</v>
      </c>
      <c r="R111" s="181">
        <f t="shared" ref="R111" si="155">SUM(E111:Q111)</f>
        <v>251382.295445</v>
      </c>
      <c r="S111" s="22"/>
      <c r="T111" s="22">
        <f>30000</f>
        <v>30000</v>
      </c>
      <c r="U111" s="22"/>
      <c r="V111" s="22"/>
      <c r="W111" s="24">
        <v>29055.584161426657</v>
      </c>
      <c r="X111" s="234">
        <f>W111+V111+U111+T111+S111</f>
        <v>59055.584161426654</v>
      </c>
      <c r="Y111" s="22">
        <v>192326.71128357336</v>
      </c>
      <c r="Z111" s="184">
        <f t="shared" si="140"/>
        <v>192326.71128357336</v>
      </c>
      <c r="AA111" s="157"/>
    </row>
    <row r="112" spans="1:27" ht="25.5" customHeight="1">
      <c r="A112" s="19"/>
      <c r="B112" s="136" t="s">
        <v>91</v>
      </c>
      <c r="C112" s="28">
        <v>7</v>
      </c>
      <c r="D112" s="19"/>
      <c r="E112" s="165">
        <f>SUM(E105:E111)</f>
        <v>215672.91999999998</v>
      </c>
      <c r="F112" s="165"/>
      <c r="G112" s="165">
        <f t="shared" ref="G112:M112" si="156">SUM(G105:G111)</f>
        <v>647018.76</v>
      </c>
      <c r="H112" s="165">
        <f t="shared" si="156"/>
        <v>16175.469000000001</v>
      </c>
      <c r="I112" s="165">
        <f t="shared" si="156"/>
        <v>120366.57</v>
      </c>
      <c r="J112" s="165">
        <f t="shared" si="156"/>
        <v>107836.45999999999</v>
      </c>
      <c r="K112" s="165">
        <f t="shared" si="156"/>
        <v>754855.22</v>
      </c>
      <c r="L112" s="165">
        <f t="shared" si="156"/>
        <v>215672.91999999998</v>
      </c>
      <c r="M112" s="161">
        <f t="shared" si="156"/>
        <v>920000</v>
      </c>
      <c r="N112" s="161"/>
      <c r="O112" s="165">
        <f>SUM(O105:O111)</f>
        <v>21567.292000000005</v>
      </c>
      <c r="P112" s="165">
        <f>SUM(P105:P111)</f>
        <v>100000</v>
      </c>
      <c r="Q112" s="165">
        <f>SUM(Q105:Q111)</f>
        <v>156102.469105</v>
      </c>
      <c r="R112" s="192">
        <f>SUM(R105:R111)</f>
        <v>3275268.0801050002</v>
      </c>
      <c r="S112" s="165"/>
      <c r="T112" s="165">
        <f>SUM(T105:T111)</f>
        <v>295000</v>
      </c>
      <c r="U112" s="165">
        <f t="shared" ref="U112:Z112" si="157">SUM(U105:U111)</f>
        <v>350000</v>
      </c>
      <c r="V112" s="165">
        <f t="shared" si="157"/>
        <v>1687.4247500000001</v>
      </c>
      <c r="W112" s="165">
        <f t="shared" si="157"/>
        <v>486151.56760966667</v>
      </c>
      <c r="X112" s="335">
        <f t="shared" si="157"/>
        <v>1132838.9923596666</v>
      </c>
      <c r="Y112" s="165">
        <v>2142429.0877453336</v>
      </c>
      <c r="Z112" s="336">
        <f t="shared" si="157"/>
        <v>2142429.0877453336</v>
      </c>
      <c r="AA112" s="157"/>
    </row>
    <row r="113" spans="1:27" ht="20.100000000000001" customHeight="1">
      <c r="A113" s="19"/>
      <c r="B113" s="136"/>
      <c r="C113" s="28"/>
      <c r="D113" s="19"/>
      <c r="E113" s="165"/>
      <c r="F113" s="165"/>
      <c r="G113" s="165"/>
      <c r="H113" s="165"/>
      <c r="I113" s="165"/>
      <c r="J113" s="165"/>
      <c r="K113" s="165"/>
      <c r="L113" s="165"/>
      <c r="M113" s="161"/>
      <c r="N113" s="161"/>
      <c r="O113" s="165"/>
      <c r="P113" s="165"/>
      <c r="Q113" s="165"/>
      <c r="R113" s="192"/>
      <c r="S113" s="165"/>
      <c r="T113" s="165"/>
      <c r="U113" s="165"/>
      <c r="V113" s="165"/>
      <c r="W113" s="165"/>
      <c r="X113" s="335"/>
      <c r="Y113" s="165"/>
      <c r="Z113" s="336"/>
      <c r="AA113" s="157"/>
    </row>
    <row r="114" spans="1:27" ht="20.100000000000001" customHeight="1">
      <c r="A114" s="27"/>
      <c r="B114" s="136" t="s">
        <v>201</v>
      </c>
      <c r="C114" s="28"/>
      <c r="D114" s="28"/>
      <c r="E114" s="29"/>
      <c r="F114" s="29"/>
      <c r="G114" s="29"/>
      <c r="H114" s="29"/>
      <c r="I114" s="29"/>
      <c r="J114" s="29"/>
      <c r="K114" s="29"/>
      <c r="L114" s="29"/>
      <c r="M114" s="156"/>
      <c r="N114" s="156"/>
      <c r="O114" s="29"/>
      <c r="P114" s="29"/>
      <c r="Q114" s="29"/>
      <c r="R114" s="189"/>
      <c r="S114" s="29"/>
      <c r="T114" s="29"/>
      <c r="U114" s="29"/>
      <c r="V114" s="29"/>
      <c r="W114" s="29"/>
      <c r="X114" s="236"/>
      <c r="Y114" s="29"/>
      <c r="Z114" s="195"/>
      <c r="AA114" s="157"/>
    </row>
    <row r="115" spans="1:27" ht="20.100000000000001" customHeight="1">
      <c r="A115" s="27">
        <v>1</v>
      </c>
      <c r="B115" s="133" t="s">
        <v>202</v>
      </c>
      <c r="C115" s="92" t="s">
        <v>140</v>
      </c>
      <c r="D115" s="158" t="s">
        <v>203</v>
      </c>
      <c r="E115" s="352">
        <v>22837.82</v>
      </c>
      <c r="F115" s="352"/>
      <c r="G115" s="352">
        <v>68513.459999999992</v>
      </c>
      <c r="H115" s="352">
        <v>1712.8364999999999</v>
      </c>
      <c r="I115" s="352">
        <v>0</v>
      </c>
      <c r="J115" s="352">
        <v>11418.91</v>
      </c>
      <c r="K115" s="351">
        <v>79932.37</v>
      </c>
      <c r="L115" s="352">
        <v>22837.82</v>
      </c>
      <c r="M115" s="353">
        <v>110000</v>
      </c>
      <c r="N115" s="353"/>
      <c r="O115" s="352">
        <v>2283.7820000000002</v>
      </c>
      <c r="P115" s="352">
        <v>15000</v>
      </c>
      <c r="Q115" s="352">
        <v>0</v>
      </c>
      <c r="R115" s="354">
        <f>334536.9985*(17/31)</f>
        <v>183455.77337096771</v>
      </c>
      <c r="S115" s="351"/>
      <c r="T115" s="351"/>
      <c r="U115" s="351">
        <v>165403.82999999999</v>
      </c>
      <c r="V115" s="351"/>
      <c r="W115" s="352">
        <f>18051.94</f>
        <v>18051.939999999999</v>
      </c>
      <c r="X115" s="356">
        <f>SUM(T115:W115)</f>
        <v>183455.77</v>
      </c>
      <c r="Y115" s="351">
        <v>0</v>
      </c>
      <c r="Z115" s="355">
        <f>R115-X115</f>
        <v>3.3709677227307111E-3</v>
      </c>
      <c r="AA115" s="179"/>
    </row>
    <row r="116" spans="1:27" ht="18.75" customHeight="1">
      <c r="A116" s="27">
        <v>2</v>
      </c>
      <c r="B116" s="133" t="s">
        <v>204</v>
      </c>
      <c r="C116" s="19" t="s">
        <v>205</v>
      </c>
      <c r="D116" s="158" t="s">
        <v>66</v>
      </c>
      <c r="E116" s="24">
        <v>21520.880000000001</v>
      </c>
      <c r="F116" s="24"/>
      <c r="G116" s="24">
        <f t="shared" ref="G116" si="158">E116*300%</f>
        <v>64562.64</v>
      </c>
      <c r="H116" s="24">
        <f t="shared" ref="H116" si="159">E116*7.5%</f>
        <v>1614.066</v>
      </c>
      <c r="I116" s="24"/>
      <c r="J116" s="24">
        <f>E116*50%</f>
        <v>10760.44</v>
      </c>
      <c r="K116" s="22">
        <f t="shared" ref="K116" si="160">E116*350%</f>
        <v>75323.08</v>
      </c>
      <c r="L116" s="24">
        <f t="shared" ref="L116" si="161">E116*100%</f>
        <v>21520.880000000001</v>
      </c>
      <c r="M116" s="156">
        <v>110000</v>
      </c>
      <c r="N116" s="156">
        <v>0</v>
      </c>
      <c r="O116" s="24">
        <f t="shared" ref="O116" si="162">E116*10%</f>
        <v>2152.0880000000002</v>
      </c>
      <c r="P116" s="24">
        <v>15000</v>
      </c>
      <c r="Q116" s="24"/>
      <c r="R116" s="181">
        <f t="shared" ref="R116" si="163">Q116+P116+O116+N116+M116+L116+K116+J116+I116+H116+G116+F116+E116</f>
        <v>322454.07400000002</v>
      </c>
      <c r="S116" s="22"/>
      <c r="T116" s="22">
        <f>20000</f>
        <v>20000</v>
      </c>
      <c r="U116" s="22">
        <f>'[6]OCT 2022 '!$D$184</f>
        <v>43750</v>
      </c>
      <c r="V116" s="22"/>
      <c r="W116" s="24">
        <f>41338.95</f>
        <v>41338.949999999997</v>
      </c>
      <c r="X116" s="234">
        <f t="shared" ref="X116" si="164">W116+V116+U116+T116+S116</f>
        <v>105088.95</v>
      </c>
      <c r="Y116" s="22">
        <v>217365.12400000001</v>
      </c>
      <c r="Z116" s="184">
        <f>R116-X116</f>
        <v>217365.12400000001</v>
      </c>
      <c r="AA116" s="157"/>
    </row>
    <row r="117" spans="1:27" ht="20.100000000000001" customHeight="1">
      <c r="A117" s="27">
        <v>3</v>
      </c>
      <c r="B117" s="133" t="s">
        <v>206</v>
      </c>
      <c r="C117" s="138" t="s">
        <v>207</v>
      </c>
      <c r="D117" s="158" t="s">
        <v>203</v>
      </c>
      <c r="E117" s="24">
        <f>22837.82</f>
        <v>22837.82</v>
      </c>
      <c r="F117" s="24"/>
      <c r="G117" s="24">
        <f>E117*300%</f>
        <v>68513.459999999992</v>
      </c>
      <c r="H117" s="24">
        <f>E117*7.5%</f>
        <v>1712.8364999999999</v>
      </c>
      <c r="I117" s="22"/>
      <c r="J117" s="24">
        <f>E117*50%</f>
        <v>11418.91</v>
      </c>
      <c r="K117" s="22">
        <f>E117*350%</f>
        <v>79932.37</v>
      </c>
      <c r="L117" s="24">
        <f>E117*100%</f>
        <v>22837.82</v>
      </c>
      <c r="M117" s="156"/>
      <c r="N117" s="156">
        <f>60000</f>
        <v>60000</v>
      </c>
      <c r="O117" s="24">
        <f>E117*10%</f>
        <v>2283.7820000000002</v>
      </c>
      <c r="P117" s="24">
        <v>15000</v>
      </c>
      <c r="Q117" s="24"/>
      <c r="R117" s="181">
        <f>Q117+P117+O117+N117+M117+L117+K117+J117+I117+H117+G117+F117+E117</f>
        <v>284536.99849999999</v>
      </c>
      <c r="S117" s="22"/>
      <c r="T117" s="22"/>
      <c r="U117" s="22"/>
      <c r="V117" s="22">
        <v>570.94550000000004</v>
      </c>
      <c r="W117" s="24">
        <v>34871.967414666666</v>
      </c>
      <c r="X117" s="234">
        <f>W117+V117+U117+T117+S117</f>
        <v>35442.912914666667</v>
      </c>
      <c r="Y117" s="22">
        <v>249094.08558533332</v>
      </c>
      <c r="Z117" s="184">
        <f>R117-X117</f>
        <v>249094.08558533332</v>
      </c>
      <c r="AA117" s="157"/>
    </row>
    <row r="118" spans="1:27" ht="24.75" customHeight="1">
      <c r="A118" s="19"/>
      <c r="B118" s="136" t="s">
        <v>91</v>
      </c>
      <c r="C118" s="28">
        <v>3</v>
      </c>
      <c r="D118" s="164"/>
      <c r="E118" s="65">
        <f>SUM(E115:E117)</f>
        <v>67196.51999999999</v>
      </c>
      <c r="F118" s="65">
        <f t="shared" ref="F118:Z118" si="165">SUM(F115:F117)</f>
        <v>0</v>
      </c>
      <c r="G118" s="65">
        <f t="shared" si="165"/>
        <v>201589.55999999997</v>
      </c>
      <c r="H118" s="65">
        <f t="shared" si="165"/>
        <v>5039.7389999999996</v>
      </c>
      <c r="I118" s="65">
        <f t="shared" si="165"/>
        <v>0</v>
      </c>
      <c r="J118" s="65">
        <f t="shared" si="165"/>
        <v>33598.259999999995</v>
      </c>
      <c r="K118" s="65">
        <f t="shared" si="165"/>
        <v>235187.82</v>
      </c>
      <c r="L118" s="65">
        <f t="shared" si="165"/>
        <v>67196.51999999999</v>
      </c>
      <c r="M118" s="65">
        <f t="shared" si="165"/>
        <v>220000</v>
      </c>
      <c r="N118" s="65">
        <f t="shared" si="165"/>
        <v>60000</v>
      </c>
      <c r="O118" s="65">
        <f t="shared" si="165"/>
        <v>6719.652000000001</v>
      </c>
      <c r="P118" s="65">
        <f t="shared" si="165"/>
        <v>45000</v>
      </c>
      <c r="Q118" s="65">
        <f t="shared" si="165"/>
        <v>0</v>
      </c>
      <c r="R118" s="65">
        <f t="shared" si="165"/>
        <v>790446.84587096772</v>
      </c>
      <c r="S118" s="65">
        <f t="shared" si="165"/>
        <v>0</v>
      </c>
      <c r="T118" s="65">
        <f t="shared" si="165"/>
        <v>20000</v>
      </c>
      <c r="U118" s="65">
        <f t="shared" si="165"/>
        <v>209153.83</v>
      </c>
      <c r="V118" s="65">
        <f t="shared" si="165"/>
        <v>570.94550000000004</v>
      </c>
      <c r="W118" s="65">
        <f t="shared" si="165"/>
        <v>94262.857414666665</v>
      </c>
      <c r="X118" s="334">
        <f t="shared" si="165"/>
        <v>323987.63291466667</v>
      </c>
      <c r="Y118" s="65">
        <v>466459.20958533336</v>
      </c>
      <c r="Z118" s="313">
        <f t="shared" si="165"/>
        <v>466459.21295630105</v>
      </c>
      <c r="AA118" s="157"/>
    </row>
    <row r="119" spans="1:27" ht="20.100000000000001" customHeight="1">
      <c r="A119" s="19"/>
      <c r="B119" s="103"/>
      <c r="C119" s="27"/>
      <c r="D119" s="19"/>
      <c r="E119" s="166"/>
      <c r="F119" s="153"/>
      <c r="G119" s="166"/>
      <c r="H119" s="166"/>
      <c r="I119" s="166"/>
      <c r="J119" s="166"/>
      <c r="K119" s="166"/>
      <c r="L119" s="166"/>
      <c r="M119" s="156"/>
      <c r="N119" s="156"/>
      <c r="O119" s="166"/>
      <c r="P119" s="166"/>
      <c r="Q119" s="166"/>
      <c r="R119" s="183"/>
      <c r="S119" s="166"/>
      <c r="T119" s="166"/>
      <c r="U119" s="166"/>
      <c r="V119" s="166"/>
      <c r="W119" s="166"/>
      <c r="X119" s="239"/>
      <c r="Y119" s="166"/>
      <c r="Z119" s="186"/>
      <c r="AA119" s="157"/>
    </row>
    <row r="120" spans="1:27" ht="20.100000000000001" customHeight="1">
      <c r="A120" s="19"/>
      <c r="B120" s="136" t="s">
        <v>208</v>
      </c>
      <c r="C120" s="28"/>
      <c r="D120" s="28"/>
      <c r="E120" s="29"/>
      <c r="F120" s="29"/>
      <c r="G120" s="29"/>
      <c r="H120" s="29"/>
      <c r="I120" s="29"/>
      <c r="J120" s="29"/>
      <c r="K120" s="29"/>
      <c r="L120" s="29"/>
      <c r="M120" s="156"/>
      <c r="N120" s="156"/>
      <c r="O120" s="29"/>
      <c r="P120" s="29"/>
      <c r="Q120" s="29"/>
      <c r="R120" s="190"/>
      <c r="S120" s="159"/>
      <c r="T120" s="159"/>
      <c r="U120" s="159"/>
      <c r="V120" s="159"/>
      <c r="W120" s="29"/>
      <c r="X120" s="234"/>
      <c r="Y120" s="22"/>
      <c r="Z120" s="184"/>
      <c r="AA120" s="157"/>
    </row>
    <row r="121" spans="1:27" ht="20.100000000000001" customHeight="1">
      <c r="A121" s="19">
        <v>1</v>
      </c>
      <c r="B121" s="133" t="s">
        <v>209</v>
      </c>
      <c r="C121" s="138" t="s">
        <v>210</v>
      </c>
      <c r="D121" s="158" t="s">
        <v>95</v>
      </c>
      <c r="E121" s="24">
        <v>81740.02</v>
      </c>
      <c r="F121" s="24"/>
      <c r="G121" s="24">
        <f t="shared" ref="G121:G127" si="166">E121*300%</f>
        <v>245220.06</v>
      </c>
      <c r="H121" s="24">
        <f t="shared" ref="H121:H127" si="167">E121*7.5%</f>
        <v>6130.5015000000003</v>
      </c>
      <c r="I121" s="24">
        <f>80244.38</f>
        <v>80244.38</v>
      </c>
      <c r="J121" s="24">
        <f t="shared" ref="J121:J127" si="168">E121*50%</f>
        <v>40870.01</v>
      </c>
      <c r="K121" s="24">
        <f t="shared" ref="K121:K127" si="169">E121*350%</f>
        <v>286090.07</v>
      </c>
      <c r="L121" s="24">
        <f t="shared" ref="L121:L127" si="170">E121*100%</f>
        <v>81740.02</v>
      </c>
      <c r="M121" s="156"/>
      <c r="N121" s="156">
        <f>100000</f>
        <v>100000</v>
      </c>
      <c r="O121" s="24">
        <f t="shared" ref="O121:O127" si="171">E121*10%</f>
        <v>8174.0020000000004</v>
      </c>
      <c r="P121" s="24">
        <v>20000</v>
      </c>
      <c r="Q121" s="24">
        <v>100000</v>
      </c>
      <c r="R121" s="181">
        <f t="shared" ref="R121:R127" si="172">SUM(E121:Q121)</f>
        <v>1050209.0635000002</v>
      </c>
      <c r="S121" s="22"/>
      <c r="T121" s="22">
        <f>200000</f>
        <v>200000</v>
      </c>
      <c r="U121" s="22">
        <f>327777.78</f>
        <v>327777.78000000003</v>
      </c>
      <c r="V121" s="22">
        <v>2043.5005000000001</v>
      </c>
      <c r="W121" s="24">
        <v>179914.4546986667</v>
      </c>
      <c r="X121" s="234">
        <f t="shared" ref="X121:X127" si="173">W121+V121+U121+T121+S121</f>
        <v>709735.73519866669</v>
      </c>
      <c r="Y121" s="22">
        <v>340473.32830133347</v>
      </c>
      <c r="Z121" s="184">
        <f t="shared" ref="Z121:Z130" si="174">R121-X121</f>
        <v>340473.32830133347</v>
      </c>
      <c r="AA121" s="157"/>
    </row>
    <row r="122" spans="1:27" ht="20.100000000000001" customHeight="1">
      <c r="A122" s="19">
        <v>2</v>
      </c>
      <c r="B122" s="133" t="s">
        <v>211</v>
      </c>
      <c r="C122" s="138" t="s">
        <v>212</v>
      </c>
      <c r="D122" s="158" t="s">
        <v>107</v>
      </c>
      <c r="E122" s="24">
        <f>39662.25</f>
        <v>39662.25</v>
      </c>
      <c r="F122" s="24">
        <f>'PROMOTIONS '!AB17</f>
        <v>590673.82916666649</v>
      </c>
      <c r="G122" s="24">
        <f t="shared" si="166"/>
        <v>118986.75</v>
      </c>
      <c r="H122" s="24">
        <f t="shared" si="167"/>
        <v>2974.6687499999998</v>
      </c>
      <c r="I122" s="24">
        <v>40122.19</v>
      </c>
      <c r="J122" s="24">
        <f t="shared" si="168"/>
        <v>19831.125</v>
      </c>
      <c r="K122" s="22">
        <f t="shared" si="169"/>
        <v>138817.875</v>
      </c>
      <c r="L122" s="24">
        <f t="shared" si="170"/>
        <v>39662.25</v>
      </c>
      <c r="M122" s="156"/>
      <c r="N122" s="156">
        <f>90000</f>
        <v>90000</v>
      </c>
      <c r="O122" s="24">
        <f t="shared" si="171"/>
        <v>3966.2250000000004</v>
      </c>
      <c r="P122" s="24">
        <v>20000</v>
      </c>
      <c r="Q122" s="24">
        <v>100000</v>
      </c>
      <c r="R122" s="181">
        <f t="shared" si="172"/>
        <v>1204697.1629166666</v>
      </c>
      <c r="S122" s="22"/>
      <c r="T122" s="22">
        <f>100000</f>
        <v>100000</v>
      </c>
      <c r="U122" s="22">
        <f>0</f>
        <v>0</v>
      </c>
      <c r="V122" s="22">
        <v>1028.94</v>
      </c>
      <c r="W122" s="24">
        <f>96398.31</f>
        <v>96398.31</v>
      </c>
      <c r="X122" s="234">
        <f t="shared" si="173"/>
        <v>197427.25</v>
      </c>
      <c r="Y122" s="22">
        <v>363079.71185333328</v>
      </c>
      <c r="Z122" s="184">
        <f t="shared" si="174"/>
        <v>1007269.9129166666</v>
      </c>
      <c r="AA122" s="157"/>
    </row>
    <row r="123" spans="1:27" ht="20.100000000000001" customHeight="1">
      <c r="A123" s="19">
        <v>3</v>
      </c>
      <c r="B123" s="135" t="s">
        <v>213</v>
      </c>
      <c r="C123" s="138" t="s">
        <v>214</v>
      </c>
      <c r="D123" s="158" t="s">
        <v>45</v>
      </c>
      <c r="E123" s="24">
        <v>33507.5</v>
      </c>
      <c r="F123" s="24"/>
      <c r="G123" s="24">
        <f>E123*300%</f>
        <v>100522.5</v>
      </c>
      <c r="H123" s="24">
        <f>E123*7.5%</f>
        <v>2513.0625</v>
      </c>
      <c r="I123" s="24">
        <f>40122.19</f>
        <v>40122.19</v>
      </c>
      <c r="J123" s="24">
        <f>E123*50%</f>
        <v>16753.75</v>
      </c>
      <c r="K123" s="22">
        <f>E123*350%</f>
        <v>117276.25</v>
      </c>
      <c r="L123" s="24">
        <f>E123*100%</f>
        <v>33507.5</v>
      </c>
      <c r="M123" s="156"/>
      <c r="N123" s="156">
        <f t="shared" si="15"/>
        <v>80000</v>
      </c>
      <c r="O123" s="24">
        <f>E123*10%</f>
        <v>3350.75</v>
      </c>
      <c r="P123" s="24">
        <v>20000</v>
      </c>
      <c r="Q123" s="24">
        <f>100000+30000</f>
        <v>130000</v>
      </c>
      <c r="R123" s="181">
        <f>SUM(E123:Q123)</f>
        <v>577553.50249999994</v>
      </c>
      <c r="S123" s="22"/>
      <c r="T123" s="22">
        <f>80000+40000-20000</f>
        <v>100000</v>
      </c>
      <c r="U123" s="22"/>
      <c r="V123" s="22">
        <v>837.6875</v>
      </c>
      <c r="W123" s="24">
        <v>89396.1</v>
      </c>
      <c r="X123" s="234">
        <f t="shared" si="173"/>
        <v>190233.78750000001</v>
      </c>
      <c r="Y123" s="22">
        <v>387319.71499999997</v>
      </c>
      <c r="Z123" s="184">
        <f t="shared" si="174"/>
        <v>387319.71499999997</v>
      </c>
      <c r="AA123" s="157"/>
    </row>
    <row r="124" spans="1:27" ht="20.100000000000001" customHeight="1">
      <c r="A124" s="19">
        <v>4</v>
      </c>
      <c r="B124" s="135" t="s">
        <v>215</v>
      </c>
      <c r="C124" s="138" t="s">
        <v>214</v>
      </c>
      <c r="D124" s="158" t="s">
        <v>48</v>
      </c>
      <c r="E124" s="24">
        <v>31018.84</v>
      </c>
      <c r="F124" s="24"/>
      <c r="G124" s="24">
        <f t="shared" ref="G124" si="175">E124*300%</f>
        <v>93056.52</v>
      </c>
      <c r="H124" s="24">
        <f t="shared" ref="H124" si="176">E124*7.5%</f>
        <v>2326.413</v>
      </c>
      <c r="I124" s="24">
        <v>40122.19</v>
      </c>
      <c r="J124" s="24">
        <f t="shared" ref="J124" si="177">E124*50%</f>
        <v>15509.42</v>
      </c>
      <c r="K124" s="22">
        <f t="shared" ref="K124" si="178">E124*350%</f>
        <v>108565.94</v>
      </c>
      <c r="L124" s="24">
        <f t="shared" ref="L124" si="179">E124*100%</f>
        <v>31018.84</v>
      </c>
      <c r="M124" s="156"/>
      <c r="N124" s="156">
        <f>80000</f>
        <v>80000</v>
      </c>
      <c r="O124" s="24">
        <f t="shared" ref="O124" si="180">E124*10%</f>
        <v>3101.884</v>
      </c>
      <c r="P124" s="24">
        <v>20000</v>
      </c>
      <c r="Q124" s="24">
        <v>0</v>
      </c>
      <c r="R124" s="181">
        <f>SUM(E124:Q124)</f>
        <v>424720.04700000002</v>
      </c>
      <c r="S124" s="22"/>
      <c r="T124" s="22">
        <f>100000</f>
        <v>100000</v>
      </c>
      <c r="U124" s="22">
        <f>51500</f>
        <v>51500</v>
      </c>
      <c r="V124" s="22"/>
      <c r="W124" s="24">
        <v>60212.915690666669</v>
      </c>
      <c r="X124" s="234">
        <f t="shared" si="173"/>
        <v>211712.91569066668</v>
      </c>
      <c r="Y124" s="22">
        <v>213007.13130933334</v>
      </c>
      <c r="Z124" s="184">
        <f t="shared" si="174"/>
        <v>213007.13130933334</v>
      </c>
      <c r="AA124" s="157"/>
    </row>
    <row r="125" spans="1:27" ht="20.100000000000001" customHeight="1">
      <c r="A125" s="19">
        <v>5</v>
      </c>
      <c r="B125" s="133" t="s">
        <v>216</v>
      </c>
      <c r="C125" s="138" t="s">
        <v>217</v>
      </c>
      <c r="D125" s="158" t="s">
        <v>54</v>
      </c>
      <c r="E125" s="24">
        <v>26732.65</v>
      </c>
      <c r="F125" s="24"/>
      <c r="G125" s="24">
        <f t="shared" si="166"/>
        <v>80197.950000000012</v>
      </c>
      <c r="H125" s="24">
        <f t="shared" si="167"/>
        <v>2004.94875</v>
      </c>
      <c r="I125" s="24">
        <v>0</v>
      </c>
      <c r="J125" s="24">
        <f t="shared" si="168"/>
        <v>13366.325000000001</v>
      </c>
      <c r="K125" s="22">
        <f t="shared" si="169"/>
        <v>93564.275000000009</v>
      </c>
      <c r="L125" s="24">
        <f t="shared" si="170"/>
        <v>26732.65</v>
      </c>
      <c r="M125" s="156"/>
      <c r="N125" s="156">
        <f>70000</f>
        <v>70000</v>
      </c>
      <c r="O125" s="24">
        <f t="shared" si="171"/>
        <v>2673.2650000000003</v>
      </c>
      <c r="P125" s="24">
        <f>15000+5000</f>
        <v>20000</v>
      </c>
      <c r="Q125" s="24">
        <v>0</v>
      </c>
      <c r="R125" s="181">
        <f t="shared" si="172"/>
        <v>335272.06374999997</v>
      </c>
      <c r="S125" s="22"/>
      <c r="T125" s="22">
        <f>70000</f>
        <v>70000</v>
      </c>
      <c r="U125" s="22">
        <f>50000</f>
        <v>50000</v>
      </c>
      <c r="V125" s="22"/>
      <c r="W125" s="24">
        <f>43492.37+1680</f>
        <v>45172.37</v>
      </c>
      <c r="X125" s="234">
        <f t="shared" si="173"/>
        <v>165172.37</v>
      </c>
      <c r="Y125" s="22">
        <v>170099.69374999998</v>
      </c>
      <c r="Z125" s="184">
        <f t="shared" si="174"/>
        <v>170099.69374999998</v>
      </c>
      <c r="AA125" s="157"/>
    </row>
    <row r="126" spans="1:27" ht="20.100000000000001" customHeight="1">
      <c r="A126" s="19">
        <v>6</v>
      </c>
      <c r="B126" s="133" t="s">
        <v>218</v>
      </c>
      <c r="C126" s="138" t="s">
        <v>219</v>
      </c>
      <c r="D126" s="158" t="s">
        <v>116</v>
      </c>
      <c r="E126" s="24">
        <v>25854.1</v>
      </c>
      <c r="F126" s="24"/>
      <c r="G126" s="24">
        <f t="shared" si="166"/>
        <v>77562.299999999988</v>
      </c>
      <c r="H126" s="24">
        <f t="shared" si="167"/>
        <v>1939.0574999999999</v>
      </c>
      <c r="I126" s="24"/>
      <c r="J126" s="24">
        <f t="shared" si="168"/>
        <v>12927.05</v>
      </c>
      <c r="K126" s="22">
        <f t="shared" si="169"/>
        <v>90489.349999999991</v>
      </c>
      <c r="L126" s="24">
        <f t="shared" si="170"/>
        <v>25854.1</v>
      </c>
      <c r="M126" s="156"/>
      <c r="N126" s="156">
        <f t="shared" ref="N126:N127" si="181">70000</f>
        <v>70000</v>
      </c>
      <c r="O126" s="24">
        <f t="shared" si="171"/>
        <v>2585.41</v>
      </c>
      <c r="P126" s="24">
        <v>20000</v>
      </c>
      <c r="Q126" s="24">
        <v>0</v>
      </c>
      <c r="R126" s="181">
        <f t="shared" si="172"/>
        <v>327211.36749999999</v>
      </c>
      <c r="S126" s="22"/>
      <c r="T126" s="22">
        <f>20000</f>
        <v>20000</v>
      </c>
      <c r="U126" s="22">
        <v>75694.44</v>
      </c>
      <c r="V126" s="22">
        <v>690.28</v>
      </c>
      <c r="W126" s="24">
        <f>[3]PROMOTIONS!$X$35</f>
        <v>42034.243346666663</v>
      </c>
      <c r="X126" s="234">
        <f t="shared" si="173"/>
        <v>138418.96334666666</v>
      </c>
      <c r="Y126" s="22">
        <v>188792.40415333334</v>
      </c>
      <c r="Z126" s="184">
        <f t="shared" si="174"/>
        <v>188792.40415333334</v>
      </c>
      <c r="AA126" s="157"/>
    </row>
    <row r="127" spans="1:27" ht="20.100000000000001" customHeight="1">
      <c r="A127" s="19">
        <v>7</v>
      </c>
      <c r="B127" s="133" t="s">
        <v>220</v>
      </c>
      <c r="C127" s="138" t="s">
        <v>217</v>
      </c>
      <c r="D127" s="158" t="s">
        <v>116</v>
      </c>
      <c r="E127" s="24">
        <v>25854.1</v>
      </c>
      <c r="F127" s="24"/>
      <c r="G127" s="24">
        <f t="shared" si="166"/>
        <v>77562.299999999988</v>
      </c>
      <c r="H127" s="24">
        <f t="shared" si="167"/>
        <v>1939.0574999999999</v>
      </c>
      <c r="I127" s="24"/>
      <c r="J127" s="24">
        <f t="shared" si="168"/>
        <v>12927.05</v>
      </c>
      <c r="K127" s="22">
        <f t="shared" si="169"/>
        <v>90489.349999999991</v>
      </c>
      <c r="L127" s="24">
        <f t="shared" si="170"/>
        <v>25854.1</v>
      </c>
      <c r="M127" s="156"/>
      <c r="N127" s="156">
        <f t="shared" si="181"/>
        <v>70000</v>
      </c>
      <c r="O127" s="24">
        <f t="shared" si="171"/>
        <v>2585.41</v>
      </c>
      <c r="P127" s="24">
        <v>20000</v>
      </c>
      <c r="Q127" s="24"/>
      <c r="R127" s="22">
        <f t="shared" si="172"/>
        <v>327211.36749999999</v>
      </c>
      <c r="S127" s="22"/>
      <c r="T127" s="22">
        <f>35000+25000</f>
        <v>60000</v>
      </c>
      <c r="U127" s="22">
        <f>55000</f>
        <v>55000</v>
      </c>
      <c r="V127" s="22">
        <v>690.28</v>
      </c>
      <c r="W127" s="24">
        <f>[3]PROMOTIONS!$X$35</f>
        <v>42034.243346666663</v>
      </c>
      <c r="X127" s="234">
        <f t="shared" si="173"/>
        <v>157724.52334666665</v>
      </c>
      <c r="Y127" s="22">
        <v>169486.84415333334</v>
      </c>
      <c r="Z127" s="184">
        <f t="shared" si="174"/>
        <v>169486.84415333334</v>
      </c>
      <c r="AA127" s="157"/>
    </row>
    <row r="128" spans="1:27" ht="20.100000000000001" customHeight="1">
      <c r="A128" s="19">
        <v>8</v>
      </c>
      <c r="B128" s="133" t="s">
        <v>221</v>
      </c>
      <c r="C128" s="138" t="s">
        <v>222</v>
      </c>
      <c r="D128" s="27" t="s">
        <v>75</v>
      </c>
      <c r="E128" s="24">
        <f>15188.67</f>
        <v>15188.67</v>
      </c>
      <c r="F128" s="24"/>
      <c r="G128" s="24">
        <f t="shared" ref="G128:G129" si="182">E128*300%</f>
        <v>45566.01</v>
      </c>
      <c r="H128" s="24">
        <f t="shared" ref="H128:H129" si="183">E128*7.5%</f>
        <v>1139.1502499999999</v>
      </c>
      <c r="I128" s="24"/>
      <c r="J128" s="24">
        <f t="shared" ref="J128:J129" si="184">E128*50%</f>
        <v>7594.335</v>
      </c>
      <c r="K128" s="24">
        <f t="shared" ref="K128:K129" si="185">E128*350%</f>
        <v>53160.345000000001</v>
      </c>
      <c r="L128" s="24">
        <f t="shared" ref="L128:L129" si="186">E128*100%</f>
        <v>15188.67</v>
      </c>
      <c r="M128" s="156"/>
      <c r="N128" s="156">
        <f>60000</f>
        <v>60000</v>
      </c>
      <c r="O128" s="24">
        <f t="shared" ref="O128:O129" si="187">E128*10%</f>
        <v>1518.8670000000002</v>
      </c>
      <c r="P128" s="24">
        <v>10000</v>
      </c>
      <c r="Q128" s="24"/>
      <c r="R128" s="181">
        <f>SUM(E128:Q128)</f>
        <v>209356.04725</v>
      </c>
      <c r="S128" s="22"/>
      <c r="T128" s="22">
        <v>15000</v>
      </c>
      <c r="U128" s="22">
        <v>30000</v>
      </c>
      <c r="V128" s="22"/>
      <c r="W128" s="24">
        <v>22338.48260466666</v>
      </c>
      <c r="X128" s="234">
        <f>W128+V128+U128+T128</f>
        <v>67338.482604666657</v>
      </c>
      <c r="Y128" s="22">
        <v>142017.56464533333</v>
      </c>
      <c r="Z128" s="184">
        <f t="shared" si="174"/>
        <v>142017.56464533333</v>
      </c>
      <c r="AA128" s="157"/>
    </row>
    <row r="129" spans="1:27" ht="20.100000000000001" customHeight="1">
      <c r="A129" s="19">
        <v>9</v>
      </c>
      <c r="B129" s="134" t="s">
        <v>223</v>
      </c>
      <c r="C129" s="138" t="s">
        <v>224</v>
      </c>
      <c r="D129" s="158" t="s">
        <v>90</v>
      </c>
      <c r="E129" s="24">
        <f>12352.94</f>
        <v>12352.94</v>
      </c>
      <c r="F129" s="24"/>
      <c r="G129" s="24">
        <f t="shared" si="182"/>
        <v>37058.82</v>
      </c>
      <c r="H129" s="24">
        <f t="shared" si="183"/>
        <v>926.47050000000002</v>
      </c>
      <c r="I129" s="24"/>
      <c r="J129" s="24">
        <f t="shared" si="184"/>
        <v>6176.47</v>
      </c>
      <c r="K129" s="24">
        <f t="shared" si="185"/>
        <v>43235.29</v>
      </c>
      <c r="L129" s="24">
        <f t="shared" si="186"/>
        <v>12352.94</v>
      </c>
      <c r="M129" s="156"/>
      <c r="N129" s="156">
        <f>50000</f>
        <v>50000</v>
      </c>
      <c r="O129" s="24">
        <f t="shared" si="187"/>
        <v>1235.2940000000001</v>
      </c>
      <c r="P129" s="24">
        <v>10000</v>
      </c>
      <c r="Q129" s="24"/>
      <c r="R129" s="181">
        <f t="shared" ref="R129" si="188">Q129+P129+O129+N129+M129+L129+K129+J129+I129+H129+G129+F129+E129</f>
        <v>173338.22450000001</v>
      </c>
      <c r="S129" s="22"/>
      <c r="T129" s="22">
        <f>10000</f>
        <v>10000</v>
      </c>
      <c r="U129" s="22">
        <v>70000</v>
      </c>
      <c r="V129" s="22">
        <v>0</v>
      </c>
      <c r="W129" s="24">
        <v>16514.228790666668</v>
      </c>
      <c r="X129" s="234">
        <f>W129+V129+U129+T129+S129</f>
        <v>96514.228790666675</v>
      </c>
      <c r="Y129" s="22">
        <v>76823.995709333336</v>
      </c>
      <c r="Z129" s="184">
        <f t="shared" si="174"/>
        <v>76823.995709333336</v>
      </c>
      <c r="AA129" s="157"/>
    </row>
    <row r="130" spans="1:27" ht="20.100000000000001" customHeight="1">
      <c r="A130" s="19">
        <v>10</v>
      </c>
      <c r="B130" s="134" t="s">
        <v>225</v>
      </c>
      <c r="C130" s="138" t="s">
        <v>226</v>
      </c>
      <c r="D130" s="158" t="s">
        <v>90</v>
      </c>
      <c r="E130" s="24">
        <v>12351.94</v>
      </c>
      <c r="F130" s="24"/>
      <c r="G130" s="24">
        <v>37055.82</v>
      </c>
      <c r="H130" s="24">
        <v>926.39549999999997</v>
      </c>
      <c r="I130" s="24"/>
      <c r="J130" s="24">
        <v>6175.97</v>
      </c>
      <c r="K130" s="24">
        <v>43231.79</v>
      </c>
      <c r="L130" s="24">
        <v>12351.94</v>
      </c>
      <c r="M130" s="156"/>
      <c r="N130" s="156">
        <v>50000</v>
      </c>
      <c r="O130" s="24">
        <v>1235.1940000000002</v>
      </c>
      <c r="P130" s="24">
        <v>10000</v>
      </c>
      <c r="Q130" s="24"/>
      <c r="R130" s="181">
        <v>173329.04949999999</v>
      </c>
      <c r="S130" s="22"/>
      <c r="T130" s="22">
        <v>10000</v>
      </c>
      <c r="U130" s="22">
        <v>63888.89</v>
      </c>
      <c r="V130" s="22">
        <v>0</v>
      </c>
      <c r="W130" s="24">
        <v>16512.68219066667</v>
      </c>
      <c r="X130" s="234">
        <f>W130+V130+U130+T130+S130</f>
        <v>90401.572190666673</v>
      </c>
      <c r="Y130" s="22">
        <v>82927.477309333321</v>
      </c>
      <c r="Z130" s="184">
        <f t="shared" si="174"/>
        <v>82927.477309333321</v>
      </c>
      <c r="AA130" s="157"/>
    </row>
    <row r="131" spans="1:27" ht="28.5" customHeight="1">
      <c r="A131" s="19"/>
      <c r="B131" s="136" t="s">
        <v>91</v>
      </c>
      <c r="C131" s="164" t="s">
        <v>227</v>
      </c>
      <c r="D131" s="158"/>
      <c r="E131" s="29">
        <f>SUM(E121:E130)</f>
        <v>304263.01</v>
      </c>
      <c r="F131" s="29">
        <f t="shared" ref="F131:Z131" si="189">SUM(F121:F130)</f>
        <v>590673.82916666649</v>
      </c>
      <c r="G131" s="29">
        <f t="shared" si="189"/>
        <v>912789.03</v>
      </c>
      <c r="H131" s="29">
        <f t="shared" si="189"/>
        <v>22819.725749999994</v>
      </c>
      <c r="I131" s="29">
        <f t="shared" si="189"/>
        <v>200610.95</v>
      </c>
      <c r="J131" s="29">
        <f t="shared" si="189"/>
        <v>152131.505</v>
      </c>
      <c r="K131" s="29">
        <f t="shared" si="189"/>
        <v>1064920.5349999999</v>
      </c>
      <c r="L131" s="29">
        <f t="shared" si="189"/>
        <v>304263.01</v>
      </c>
      <c r="M131" s="29">
        <f t="shared" si="189"/>
        <v>0</v>
      </c>
      <c r="N131" s="29">
        <f t="shared" si="189"/>
        <v>720000</v>
      </c>
      <c r="O131" s="29">
        <f t="shared" si="189"/>
        <v>30426.301000000003</v>
      </c>
      <c r="P131" s="29">
        <f t="shared" si="189"/>
        <v>170000</v>
      </c>
      <c r="Q131" s="29">
        <f t="shared" si="189"/>
        <v>330000</v>
      </c>
      <c r="R131" s="29">
        <f t="shared" si="189"/>
        <v>4802897.8959166668</v>
      </c>
      <c r="S131" s="29">
        <f t="shared" si="189"/>
        <v>0</v>
      </c>
      <c r="T131" s="29">
        <f t="shared" si="189"/>
        <v>685000</v>
      </c>
      <c r="U131" s="29">
        <f t="shared" si="189"/>
        <v>723861.11</v>
      </c>
      <c r="V131" s="29">
        <f t="shared" si="189"/>
        <v>5290.6880000000001</v>
      </c>
      <c r="W131" s="29">
        <f t="shared" si="189"/>
        <v>610528.0306686667</v>
      </c>
      <c r="X131" s="236">
        <f t="shared" si="189"/>
        <v>2024679.8286686668</v>
      </c>
      <c r="Y131" s="29">
        <v>2134027.8661846663</v>
      </c>
      <c r="Z131" s="195">
        <f t="shared" si="189"/>
        <v>2778218.0672479998</v>
      </c>
      <c r="AA131" s="157"/>
    </row>
    <row r="132" spans="1:27" ht="20.100000000000001" customHeight="1">
      <c r="A132" s="19"/>
      <c r="B132" s="103"/>
      <c r="C132" s="164"/>
      <c r="D132" s="158"/>
      <c r="E132" s="29"/>
      <c r="F132" s="29"/>
      <c r="G132" s="29"/>
      <c r="H132" s="29"/>
      <c r="I132" s="29"/>
      <c r="J132" s="29"/>
      <c r="K132" s="159"/>
      <c r="L132" s="29"/>
      <c r="M132" s="156">
        <f>226713.38+70000</f>
        <v>296713.38</v>
      </c>
      <c r="N132" s="156"/>
      <c r="O132" s="29"/>
      <c r="P132" s="29"/>
      <c r="Q132" s="29"/>
      <c r="R132" s="190"/>
      <c r="S132" s="159"/>
      <c r="T132" s="159"/>
      <c r="U132" s="159"/>
      <c r="V132" s="159"/>
      <c r="W132" s="29"/>
      <c r="X132" s="240"/>
      <c r="Y132" s="159"/>
      <c r="Z132" s="197"/>
      <c r="AA132" s="157"/>
    </row>
    <row r="133" spans="1:27" ht="20.100000000000001" customHeight="1">
      <c r="A133" s="19"/>
      <c r="B133" s="136" t="s">
        <v>228</v>
      </c>
      <c r="C133" s="138"/>
      <c r="D133" s="158"/>
      <c r="E133" s="24"/>
      <c r="F133" s="24"/>
      <c r="G133" s="24"/>
      <c r="H133" s="24"/>
      <c r="I133" s="24"/>
      <c r="J133" s="24"/>
      <c r="K133" s="22"/>
      <c r="L133" s="24"/>
      <c r="M133" s="156"/>
      <c r="N133" s="156"/>
      <c r="O133" s="24"/>
      <c r="P133" s="24"/>
      <c r="Q133" s="24"/>
      <c r="R133" s="181"/>
      <c r="S133" s="22"/>
      <c r="T133" s="22"/>
      <c r="U133" s="22"/>
      <c r="V133" s="22"/>
      <c r="W133" s="24"/>
      <c r="X133" s="234"/>
      <c r="Y133" s="22"/>
      <c r="Z133" s="184"/>
      <c r="AA133" s="157"/>
    </row>
    <row r="134" spans="1:27" ht="20.100000000000001" customHeight="1">
      <c r="A134" s="168">
        <v>1</v>
      </c>
      <c r="B134" s="133" t="s">
        <v>229</v>
      </c>
      <c r="C134" s="138" t="s">
        <v>230</v>
      </c>
      <c r="D134" s="158" t="s">
        <v>95</v>
      </c>
      <c r="E134" s="24">
        <v>81740.02</v>
      </c>
      <c r="F134" s="24"/>
      <c r="G134" s="24">
        <f>E134*300%</f>
        <v>245220.06</v>
      </c>
      <c r="H134" s="24">
        <f>E134*7.5%</f>
        <v>6130.5015000000003</v>
      </c>
      <c r="I134" s="24">
        <f>80244.38</f>
        <v>80244.38</v>
      </c>
      <c r="J134" s="24">
        <f>E134*50%</f>
        <v>40870.01</v>
      </c>
      <c r="K134" s="24">
        <f>E134*350%</f>
        <v>286090.07</v>
      </c>
      <c r="L134" s="24">
        <f>E134*100%</f>
        <v>81740.02</v>
      </c>
      <c r="M134" s="156"/>
      <c r="N134" s="156">
        <f>100000</f>
        <v>100000</v>
      </c>
      <c r="O134" s="24">
        <f>E134*10%</f>
        <v>8174.0020000000004</v>
      </c>
      <c r="P134" s="24">
        <v>20000</v>
      </c>
      <c r="Q134" s="24">
        <v>0</v>
      </c>
      <c r="R134" s="181">
        <f>SUM(E134:Q134)</f>
        <v>950209.06350000005</v>
      </c>
      <c r="S134" s="22"/>
      <c r="T134" s="22">
        <f>100000</f>
        <v>100000</v>
      </c>
      <c r="U134" s="22">
        <f>208526.24</f>
        <v>208526.24</v>
      </c>
      <c r="V134" s="22"/>
      <c r="W134" s="24">
        <v>161106.80685866668</v>
      </c>
      <c r="X134" s="234">
        <f t="shared" ref="X134:X150" si="190">W134+V134+U134+T134+S134</f>
        <v>469633.0468586667</v>
      </c>
      <c r="Y134" s="22">
        <v>480576.01664133335</v>
      </c>
      <c r="Z134" s="184">
        <f t="shared" ref="Z134:Z165" si="191">R134-X134</f>
        <v>480576.01664133335</v>
      </c>
      <c r="AA134" s="157"/>
    </row>
    <row r="135" spans="1:27" ht="20.100000000000001" customHeight="1">
      <c r="A135" s="168">
        <v>2</v>
      </c>
      <c r="B135" s="133" t="s">
        <v>231</v>
      </c>
      <c r="C135" s="138" t="s">
        <v>232</v>
      </c>
      <c r="D135" s="158" t="s">
        <v>233</v>
      </c>
      <c r="E135" s="24">
        <v>42653.17</v>
      </c>
      <c r="F135" s="24"/>
      <c r="G135" s="24">
        <v>127959.51</v>
      </c>
      <c r="H135" s="24">
        <v>3198.9877499999998</v>
      </c>
      <c r="I135" s="24">
        <v>40122.19</v>
      </c>
      <c r="J135" s="24">
        <v>21326.584999999999</v>
      </c>
      <c r="K135" s="24">
        <v>149286.095</v>
      </c>
      <c r="L135" s="24">
        <v>42653.17</v>
      </c>
      <c r="M135" s="156"/>
      <c r="N135" s="156">
        <v>90000</v>
      </c>
      <c r="O135" s="24">
        <v>4265.317</v>
      </c>
      <c r="P135" s="24">
        <v>20000</v>
      </c>
      <c r="Q135" s="24"/>
      <c r="R135" s="181">
        <f>SUM(E135:Q135)</f>
        <v>541465.02474999998</v>
      </c>
      <c r="S135" s="22"/>
      <c r="T135" s="34">
        <v>50000</v>
      </c>
      <c r="U135" s="34">
        <v>200000</v>
      </c>
      <c r="W135" s="22">
        <v>82467.115418666668</v>
      </c>
      <c r="X135" s="234">
        <f t="shared" si="190"/>
        <v>332467.11541866668</v>
      </c>
      <c r="Y135" s="22">
        <v>208997.9093313333</v>
      </c>
      <c r="Z135" s="184">
        <f t="shared" si="191"/>
        <v>208997.9093313333</v>
      </c>
      <c r="AA135" s="157"/>
    </row>
    <row r="136" spans="1:27" ht="20.100000000000001" customHeight="1">
      <c r="A136" s="168">
        <v>3</v>
      </c>
      <c r="B136" s="135" t="s">
        <v>234</v>
      </c>
      <c r="C136" s="19" t="s">
        <v>235</v>
      </c>
      <c r="D136" s="23" t="s">
        <v>36</v>
      </c>
      <c r="E136" s="24">
        <v>41157.69</v>
      </c>
      <c r="F136" s="24"/>
      <c r="G136" s="24">
        <f t="shared" ref="G136:G185" si="192">E136*300%</f>
        <v>123473.07</v>
      </c>
      <c r="H136" s="24">
        <f t="shared" ref="H136:H185" si="193">E136*7.5%</f>
        <v>3086.8267500000002</v>
      </c>
      <c r="I136" s="24">
        <v>40122.19</v>
      </c>
      <c r="J136" s="24">
        <f t="shared" ref="J136:J185" si="194">E136*50%</f>
        <v>20578.845000000001</v>
      </c>
      <c r="K136" s="24">
        <f t="shared" ref="K136:K185" si="195">E136*350%</f>
        <v>144051.91500000001</v>
      </c>
      <c r="L136" s="24">
        <f t="shared" ref="L136:L154" si="196">E136*100%</f>
        <v>41157.69</v>
      </c>
      <c r="M136" s="156"/>
      <c r="N136" s="156">
        <f>80000+10000</f>
        <v>90000</v>
      </c>
      <c r="O136" s="24">
        <f t="shared" ref="O136:O154" si="197">E136*10%</f>
        <v>4115.7690000000002</v>
      </c>
      <c r="P136" s="24">
        <v>20000</v>
      </c>
      <c r="Q136" s="24">
        <v>50000</v>
      </c>
      <c r="R136" s="181">
        <f t="shared" ref="R136:R156" si="198">SUM(E136:Q136)</f>
        <v>577743.99575</v>
      </c>
      <c r="S136" s="22"/>
      <c r="T136" s="22">
        <f>37500</f>
        <v>37500</v>
      </c>
      <c r="U136" s="22"/>
      <c r="V136" s="22">
        <v>1028.9422500000001</v>
      </c>
      <c r="W136" s="22">
        <v>89465.197050666669</v>
      </c>
      <c r="X136" s="234">
        <f t="shared" si="190"/>
        <v>127994.13930066666</v>
      </c>
      <c r="Y136" s="22">
        <v>449749.85644933337</v>
      </c>
      <c r="Z136" s="184">
        <f t="shared" si="191"/>
        <v>449749.85644933337</v>
      </c>
      <c r="AA136" s="157"/>
    </row>
    <row r="137" spans="1:27" ht="20.100000000000001" customHeight="1">
      <c r="A137" s="168">
        <v>4</v>
      </c>
      <c r="B137" s="133" t="s">
        <v>236</v>
      </c>
      <c r="C137" s="138" t="s">
        <v>237</v>
      </c>
      <c r="D137" s="158" t="s">
        <v>51</v>
      </c>
      <c r="E137" s="24">
        <v>27611.23</v>
      </c>
      <c r="F137" s="24"/>
      <c r="G137" s="24">
        <f t="shared" si="192"/>
        <v>82833.69</v>
      </c>
      <c r="H137" s="24">
        <f t="shared" si="193"/>
        <v>2070.8422499999997</v>
      </c>
      <c r="I137" s="24">
        <v>0</v>
      </c>
      <c r="J137" s="24">
        <f t="shared" si="194"/>
        <v>13805.615</v>
      </c>
      <c r="K137" s="22">
        <f t="shared" si="195"/>
        <v>96639.304999999993</v>
      </c>
      <c r="L137" s="24">
        <f t="shared" si="196"/>
        <v>27611.23</v>
      </c>
      <c r="M137" s="156"/>
      <c r="N137" s="156">
        <v>70000</v>
      </c>
      <c r="O137" s="24">
        <f t="shared" si="197"/>
        <v>2761.123</v>
      </c>
      <c r="P137" s="24">
        <v>20000</v>
      </c>
      <c r="Q137" s="24"/>
      <c r="R137" s="181">
        <f t="shared" si="198"/>
        <v>343333.03525000007</v>
      </c>
      <c r="S137" s="22"/>
      <c r="T137" s="22">
        <v>30000</v>
      </c>
      <c r="U137" s="22">
        <f>91666.67</f>
        <v>91666.67</v>
      </c>
      <c r="V137" s="22">
        <v>690.28075000000001</v>
      </c>
      <c r="W137" s="24">
        <v>44734.339388666674</v>
      </c>
      <c r="X137" s="234">
        <f t="shared" si="190"/>
        <v>167091.29013866666</v>
      </c>
      <c r="Y137" s="22">
        <v>176241.74511133341</v>
      </c>
      <c r="Z137" s="184">
        <f t="shared" si="191"/>
        <v>176241.74511133341</v>
      </c>
      <c r="AA137" s="157"/>
    </row>
    <row r="138" spans="1:27" ht="20.100000000000001" customHeight="1">
      <c r="A138" s="168">
        <v>5</v>
      </c>
      <c r="B138" s="133" t="s">
        <v>238</v>
      </c>
      <c r="C138" s="19" t="s">
        <v>239</v>
      </c>
      <c r="D138" s="158" t="s">
        <v>51</v>
      </c>
      <c r="E138" s="24">
        <v>27611.23</v>
      </c>
      <c r="F138" s="24"/>
      <c r="G138" s="24">
        <f t="shared" si="192"/>
        <v>82833.69</v>
      </c>
      <c r="H138" s="24">
        <f t="shared" si="193"/>
        <v>2070.8422499999997</v>
      </c>
      <c r="I138" s="24">
        <v>0</v>
      </c>
      <c r="J138" s="24">
        <f t="shared" si="194"/>
        <v>13805.615</v>
      </c>
      <c r="K138" s="22">
        <f t="shared" si="195"/>
        <v>96639.304999999993</v>
      </c>
      <c r="L138" s="24">
        <f t="shared" si="196"/>
        <v>27611.23</v>
      </c>
      <c r="M138" s="156"/>
      <c r="N138" s="156">
        <v>70000</v>
      </c>
      <c r="O138" s="24">
        <f t="shared" si="197"/>
        <v>2761.123</v>
      </c>
      <c r="P138" s="24">
        <v>20000</v>
      </c>
      <c r="Q138" s="24">
        <v>0</v>
      </c>
      <c r="R138" s="181">
        <f t="shared" si="198"/>
        <v>343333.03525000007</v>
      </c>
      <c r="S138" s="22"/>
      <c r="T138" s="22">
        <f>0</f>
        <v>0</v>
      </c>
      <c r="U138" s="22">
        <f>163333.33</f>
        <v>163333.32999999999</v>
      </c>
      <c r="V138" s="22">
        <v>690.28075000000001</v>
      </c>
      <c r="W138" s="24">
        <v>44846.616588666679</v>
      </c>
      <c r="X138" s="234">
        <f t="shared" si="190"/>
        <v>208870.22733866668</v>
      </c>
      <c r="Y138" s="22">
        <v>134462.8079113334</v>
      </c>
      <c r="Z138" s="184">
        <f t="shared" si="191"/>
        <v>134462.8079113334</v>
      </c>
      <c r="AA138" s="157"/>
    </row>
    <row r="139" spans="1:27" ht="20.100000000000001" customHeight="1">
      <c r="A139" s="168">
        <v>6</v>
      </c>
      <c r="B139" s="133" t="s">
        <v>240</v>
      </c>
      <c r="C139" s="19" t="s">
        <v>239</v>
      </c>
      <c r="D139" s="158" t="s">
        <v>51</v>
      </c>
      <c r="E139" s="24">
        <v>27611.23</v>
      </c>
      <c r="F139" s="24"/>
      <c r="G139" s="24">
        <f t="shared" ref="G139" si="199">E139*300%</f>
        <v>82833.69</v>
      </c>
      <c r="H139" s="24">
        <f t="shared" ref="H139" si="200">E139*7.5%</f>
        <v>2070.8422499999997</v>
      </c>
      <c r="I139" s="24">
        <v>0</v>
      </c>
      <c r="J139" s="24">
        <f t="shared" ref="J139" si="201">E139*50%</f>
        <v>13805.615</v>
      </c>
      <c r="K139" s="22">
        <f t="shared" ref="K139" si="202">E139*350%</f>
        <v>96639.304999999993</v>
      </c>
      <c r="L139" s="24">
        <f t="shared" ref="L139" si="203">E139*100%</f>
        <v>27611.23</v>
      </c>
      <c r="M139" s="156"/>
      <c r="N139" s="156">
        <v>70000</v>
      </c>
      <c r="O139" s="24">
        <f t="shared" ref="O139" si="204">E139*10%</f>
        <v>2761.123</v>
      </c>
      <c r="P139" s="24">
        <v>20000</v>
      </c>
      <c r="Q139" s="24">
        <v>0</v>
      </c>
      <c r="R139" s="181">
        <f t="shared" ref="R139" si="205">SUM(E139:Q139)</f>
        <v>343333.03525000007</v>
      </c>
      <c r="S139" s="22"/>
      <c r="T139" s="22">
        <f>0</f>
        <v>0</v>
      </c>
      <c r="U139" s="22">
        <v>50000</v>
      </c>
      <c r="V139" s="22">
        <v>690.28075000000001</v>
      </c>
      <c r="W139" s="24">
        <v>44846.616588666679</v>
      </c>
      <c r="X139" s="234">
        <f t="shared" ref="X139" si="206">W139+V139+U139+T139+S139</f>
        <v>95536.897338666677</v>
      </c>
      <c r="Y139" s="22">
        <v>247796.13791133341</v>
      </c>
      <c r="Z139" s="184">
        <f t="shared" si="191"/>
        <v>247796.13791133341</v>
      </c>
      <c r="AA139" s="157"/>
    </row>
    <row r="140" spans="1:27" ht="20.100000000000001" customHeight="1">
      <c r="A140" s="168">
        <v>7</v>
      </c>
      <c r="B140" s="133" t="s">
        <v>241</v>
      </c>
      <c r="C140" s="138" t="s">
        <v>242</v>
      </c>
      <c r="D140" s="158" t="s">
        <v>203</v>
      </c>
      <c r="E140" s="24">
        <f>22837.82</f>
        <v>22837.82</v>
      </c>
      <c r="F140" s="24"/>
      <c r="G140" s="24">
        <f>E140*300%</f>
        <v>68513.459999999992</v>
      </c>
      <c r="H140" s="24">
        <f>E140*7.5%</f>
        <v>1712.8364999999999</v>
      </c>
      <c r="I140" s="24">
        <v>0</v>
      </c>
      <c r="J140" s="24">
        <f>E140*50%</f>
        <v>11418.91</v>
      </c>
      <c r="K140" s="22">
        <f>E140*350%</f>
        <v>79932.37</v>
      </c>
      <c r="L140" s="24">
        <f>E140*100%</f>
        <v>22837.82</v>
      </c>
      <c r="M140" s="156"/>
      <c r="N140" s="156">
        <f>60000</f>
        <v>60000</v>
      </c>
      <c r="O140" s="24">
        <f>E140*10%</f>
        <v>2283.7820000000002</v>
      </c>
      <c r="P140" s="24">
        <v>15000</v>
      </c>
      <c r="Q140" s="24">
        <v>0</v>
      </c>
      <c r="R140" s="181">
        <f>SUM(E140:Q140)</f>
        <v>284536.99849999999</v>
      </c>
      <c r="S140" s="22"/>
      <c r="T140" s="22">
        <v>10000</v>
      </c>
      <c r="U140" s="22">
        <v>0</v>
      </c>
      <c r="V140" s="22">
        <v>570.94550000000004</v>
      </c>
      <c r="W140" s="24">
        <v>34968.882414666667</v>
      </c>
      <c r="X140" s="234">
        <f t="shared" si="190"/>
        <v>45539.827914666668</v>
      </c>
      <c r="Y140" s="22">
        <v>238997.17058533331</v>
      </c>
      <c r="Z140" s="184">
        <f t="shared" si="191"/>
        <v>238997.17058533331</v>
      </c>
      <c r="AA140" s="157"/>
    </row>
    <row r="141" spans="1:27" ht="20.100000000000001" customHeight="1">
      <c r="A141" s="168">
        <v>8</v>
      </c>
      <c r="B141" s="133" t="s">
        <v>243</v>
      </c>
      <c r="C141" s="138" t="s">
        <v>242</v>
      </c>
      <c r="D141" s="158" t="s">
        <v>203</v>
      </c>
      <c r="E141" s="24">
        <f t="shared" ref="E141:E142" si="207">22837.82</f>
        <v>22837.82</v>
      </c>
      <c r="F141" s="24"/>
      <c r="G141" s="24">
        <f>E141*300%</f>
        <v>68513.459999999992</v>
      </c>
      <c r="H141" s="24">
        <f>E141*7.5%</f>
        <v>1712.8364999999999</v>
      </c>
      <c r="I141" s="24">
        <v>0</v>
      </c>
      <c r="J141" s="24">
        <f>E141*50%</f>
        <v>11418.91</v>
      </c>
      <c r="K141" s="22">
        <f>E141*350%</f>
        <v>79932.37</v>
      </c>
      <c r="L141" s="24">
        <f t="shared" si="196"/>
        <v>22837.82</v>
      </c>
      <c r="M141" s="156"/>
      <c r="N141" s="156">
        <f>60000</f>
        <v>60000</v>
      </c>
      <c r="O141" s="24">
        <f t="shared" si="197"/>
        <v>2283.7820000000002</v>
      </c>
      <c r="P141" s="24">
        <v>15000</v>
      </c>
      <c r="Q141" s="24">
        <v>0</v>
      </c>
      <c r="R141" s="181">
        <f t="shared" si="198"/>
        <v>284536.99849999999</v>
      </c>
      <c r="S141" s="22"/>
      <c r="T141" s="22"/>
      <c r="U141" s="22">
        <f>100000</f>
        <v>100000</v>
      </c>
      <c r="V141" s="22"/>
      <c r="W141" s="24">
        <v>34968.882414666667</v>
      </c>
      <c r="X141" s="234">
        <f t="shared" si="190"/>
        <v>134968.88241466667</v>
      </c>
      <c r="Y141" s="22">
        <v>149568.11608533331</v>
      </c>
      <c r="Z141" s="184">
        <f t="shared" si="191"/>
        <v>149568.11608533331</v>
      </c>
      <c r="AA141" s="157"/>
    </row>
    <row r="142" spans="1:27" ht="20.100000000000001" customHeight="1">
      <c r="A142" s="168">
        <v>9</v>
      </c>
      <c r="B142" s="133" t="s">
        <v>244</v>
      </c>
      <c r="C142" s="19" t="s">
        <v>245</v>
      </c>
      <c r="D142" s="158" t="s">
        <v>203</v>
      </c>
      <c r="E142" s="24">
        <f t="shared" si="207"/>
        <v>22837.82</v>
      </c>
      <c r="F142" s="24"/>
      <c r="G142" s="24">
        <f>E142*300%</f>
        <v>68513.459999999992</v>
      </c>
      <c r="H142" s="24">
        <f>E142*7.5%</f>
        <v>1712.8364999999999</v>
      </c>
      <c r="I142" s="22"/>
      <c r="J142" s="24">
        <f>E142*50%</f>
        <v>11418.91</v>
      </c>
      <c r="K142" s="22">
        <f>E142*350%</f>
        <v>79932.37</v>
      </c>
      <c r="L142" s="24">
        <f>E142*100%</f>
        <v>22837.82</v>
      </c>
      <c r="M142" s="156"/>
      <c r="N142" s="156">
        <f>60000</f>
        <v>60000</v>
      </c>
      <c r="O142" s="24">
        <f>E142*10%</f>
        <v>2283.7820000000002</v>
      </c>
      <c r="P142" s="24">
        <v>15000</v>
      </c>
      <c r="Q142" s="24"/>
      <c r="R142" s="181">
        <f>SUM(E142:Q142)</f>
        <v>284536.99849999999</v>
      </c>
      <c r="S142" s="22"/>
      <c r="T142" s="22">
        <f>30000</f>
        <v>30000</v>
      </c>
      <c r="U142" s="22">
        <f>45833.33</f>
        <v>45833.33</v>
      </c>
      <c r="V142" s="22"/>
      <c r="W142" s="24">
        <v>34968.882414666667</v>
      </c>
      <c r="X142" s="234">
        <f t="shared" si="190"/>
        <v>110802.21241466666</v>
      </c>
      <c r="Y142" s="22">
        <v>173734.78608533333</v>
      </c>
      <c r="Z142" s="184">
        <f t="shared" si="191"/>
        <v>173734.78608533333</v>
      </c>
      <c r="AA142" s="157"/>
    </row>
    <row r="143" spans="1:27" ht="20.100000000000001" customHeight="1">
      <c r="A143" s="168">
        <v>10</v>
      </c>
      <c r="B143" s="133" t="s">
        <v>246</v>
      </c>
      <c r="C143" s="138" t="s">
        <v>247</v>
      </c>
      <c r="D143" s="158" t="s">
        <v>66</v>
      </c>
      <c r="E143" s="24">
        <v>21520.880000000001</v>
      </c>
      <c r="F143" s="24"/>
      <c r="G143" s="24">
        <f>E143*300%</f>
        <v>64562.64</v>
      </c>
      <c r="H143" s="24">
        <f>E143*7.5%</f>
        <v>1614.066</v>
      </c>
      <c r="I143" s="24"/>
      <c r="J143" s="24">
        <f>E143*50%</f>
        <v>10760.44</v>
      </c>
      <c r="K143" s="22">
        <f>E143*350%</f>
        <v>75323.08</v>
      </c>
      <c r="L143" s="24">
        <f t="shared" si="196"/>
        <v>21520.880000000001</v>
      </c>
      <c r="M143" s="156"/>
      <c r="N143" s="156">
        <f>60000</f>
        <v>60000</v>
      </c>
      <c r="O143" s="24">
        <f t="shared" si="197"/>
        <v>2152.0880000000002</v>
      </c>
      <c r="P143" s="24">
        <v>15000</v>
      </c>
      <c r="Q143" s="24"/>
      <c r="R143" s="181">
        <f t="shared" si="198"/>
        <v>272454.07400000002</v>
      </c>
      <c r="S143" s="22"/>
      <c r="T143" s="22">
        <v>35000</v>
      </c>
      <c r="U143" s="22">
        <v>159722.22</v>
      </c>
      <c r="V143" s="22"/>
      <c r="W143" s="24">
        <f>32938.95</f>
        <v>32938.949999999997</v>
      </c>
      <c r="X143" s="234">
        <f t="shared" si="190"/>
        <v>227661.16999999998</v>
      </c>
      <c r="Y143" s="22">
        <v>44792.904000000039</v>
      </c>
      <c r="Z143" s="184">
        <f t="shared" si="191"/>
        <v>44792.904000000039</v>
      </c>
      <c r="AA143" s="157"/>
    </row>
    <row r="144" spans="1:27" ht="20.100000000000001" customHeight="1">
      <c r="A144" s="168">
        <v>11</v>
      </c>
      <c r="B144" s="133" t="s">
        <v>248</v>
      </c>
      <c r="C144" s="138" t="s">
        <v>249</v>
      </c>
      <c r="D144" s="158" t="s">
        <v>69</v>
      </c>
      <c r="E144" s="156">
        <v>20749</v>
      </c>
      <c r="F144" s="24"/>
      <c r="G144" s="24">
        <f t="shared" si="192"/>
        <v>62247</v>
      </c>
      <c r="H144" s="24">
        <f t="shared" si="193"/>
        <v>1556.175</v>
      </c>
      <c r="I144" s="24"/>
      <c r="J144" s="24">
        <f t="shared" si="194"/>
        <v>10374.5</v>
      </c>
      <c r="K144" s="22">
        <f t="shared" si="195"/>
        <v>72621.5</v>
      </c>
      <c r="L144" s="24">
        <f t="shared" si="196"/>
        <v>20749</v>
      </c>
      <c r="M144" s="156"/>
      <c r="N144" s="156">
        <f>60000</f>
        <v>60000</v>
      </c>
      <c r="O144" s="24">
        <f t="shared" si="197"/>
        <v>2074.9</v>
      </c>
      <c r="P144" s="24">
        <v>15000</v>
      </c>
      <c r="Q144" s="24"/>
      <c r="R144" s="22">
        <f t="shared" si="198"/>
        <v>265372.07499999995</v>
      </c>
      <c r="S144" s="22"/>
      <c r="T144" s="22">
        <f>10000</f>
        <v>10000</v>
      </c>
      <c r="U144" s="22">
        <v>100000</v>
      </c>
      <c r="V144" s="22">
        <f>570.95</f>
        <v>570.95000000000005</v>
      </c>
      <c r="W144" s="24">
        <f>[3]PROMOTIONS!$X$39</f>
        <v>31653.201066666661</v>
      </c>
      <c r="X144" s="234">
        <f t="shared" si="190"/>
        <v>142224.15106666667</v>
      </c>
      <c r="Y144" s="22">
        <v>123147.92393333328</v>
      </c>
      <c r="Z144" s="184">
        <f t="shared" si="191"/>
        <v>123147.92393333328</v>
      </c>
      <c r="AA144" s="157"/>
    </row>
    <row r="145" spans="1:27" ht="20.100000000000001" customHeight="1">
      <c r="A145" s="168">
        <v>12</v>
      </c>
      <c r="B145" s="133" t="s">
        <v>250</v>
      </c>
      <c r="C145" s="138" t="s">
        <v>251</v>
      </c>
      <c r="D145" s="158" t="s">
        <v>203</v>
      </c>
      <c r="E145" s="24">
        <v>22837.82</v>
      </c>
      <c r="F145" s="24"/>
      <c r="G145" s="24">
        <f>E145*300%</f>
        <v>68513.459999999992</v>
      </c>
      <c r="H145" s="24">
        <f>E145*7.5%</f>
        <v>1712.8364999999999</v>
      </c>
      <c r="I145" s="22"/>
      <c r="J145" s="24">
        <f>E145*50%</f>
        <v>11418.91</v>
      </c>
      <c r="K145" s="22">
        <f>E145*350%</f>
        <v>79932.37</v>
      </c>
      <c r="L145" s="24">
        <f>E145*100%</f>
        <v>22837.82</v>
      </c>
      <c r="M145" s="156"/>
      <c r="N145" s="156">
        <f>60000</f>
        <v>60000</v>
      </c>
      <c r="O145" s="24">
        <f>E145*10%</f>
        <v>2283.7820000000002</v>
      </c>
      <c r="P145" s="24">
        <v>15000</v>
      </c>
      <c r="Q145" s="24"/>
      <c r="R145" s="181">
        <f>SUM(E145:Q145)</f>
        <v>284536.99849999999</v>
      </c>
      <c r="S145" s="22"/>
      <c r="T145" s="22">
        <v>20000</v>
      </c>
      <c r="U145" s="22">
        <f>68750</f>
        <v>68750</v>
      </c>
      <c r="V145" s="22">
        <v>570.94550000000004</v>
      </c>
      <c r="W145" s="24">
        <v>34128.882414666667</v>
      </c>
      <c r="X145" s="234">
        <f t="shared" si="190"/>
        <v>123449.82791466668</v>
      </c>
      <c r="Y145" s="22">
        <v>161087.17058533331</v>
      </c>
      <c r="Z145" s="184">
        <f t="shared" si="191"/>
        <v>161087.17058533331</v>
      </c>
      <c r="AA145" s="157"/>
    </row>
    <row r="146" spans="1:27" ht="20.100000000000001" customHeight="1">
      <c r="A146" s="168">
        <v>13</v>
      </c>
      <c r="B146" s="134" t="s">
        <v>252</v>
      </c>
      <c r="C146" s="19" t="s">
        <v>253</v>
      </c>
      <c r="D146" s="158" t="s">
        <v>69</v>
      </c>
      <c r="E146" s="156">
        <v>20749</v>
      </c>
      <c r="F146" s="24"/>
      <c r="G146" s="24">
        <f>E146*300%</f>
        <v>62247</v>
      </c>
      <c r="H146" s="24">
        <f>E146*7.5%</f>
        <v>1556.175</v>
      </c>
      <c r="I146" s="24"/>
      <c r="J146" s="24">
        <f>E146*50%</f>
        <v>10374.5</v>
      </c>
      <c r="K146" s="24">
        <f>E146*350%</f>
        <v>72621.5</v>
      </c>
      <c r="L146" s="24">
        <f>E146*100%</f>
        <v>20749</v>
      </c>
      <c r="M146" s="156"/>
      <c r="N146" s="156">
        <v>60000</v>
      </c>
      <c r="O146" s="24">
        <f>E146*10%</f>
        <v>2074.9</v>
      </c>
      <c r="P146" s="24">
        <v>15000</v>
      </c>
      <c r="Q146" s="24"/>
      <c r="R146" s="22">
        <f>Q146+P146+O146+N146+M146+L146+K146+J146+I146+H146+G146+F146+E146</f>
        <v>265372.07499999995</v>
      </c>
      <c r="S146" s="22"/>
      <c r="T146" s="22">
        <f>30000</f>
        <v>30000</v>
      </c>
      <c r="U146" s="22">
        <v>17500</v>
      </c>
      <c r="V146" s="22">
        <v>0</v>
      </c>
      <c r="W146" s="24">
        <f>[3]PROMOTIONS!$X$40</f>
        <v>31749.120666666666</v>
      </c>
      <c r="X146" s="234">
        <f>W146+V146+U146+T146+S146</f>
        <v>79249.120666666669</v>
      </c>
      <c r="Y146" s="22">
        <v>203622.9543333333</v>
      </c>
      <c r="Z146" s="184">
        <f t="shared" si="191"/>
        <v>186122.9543333333</v>
      </c>
      <c r="AA146" s="157"/>
    </row>
    <row r="147" spans="1:27" ht="20.100000000000001" customHeight="1">
      <c r="A147" s="168">
        <v>14</v>
      </c>
      <c r="B147" s="133" t="s">
        <v>254</v>
      </c>
      <c r="C147" s="19" t="s">
        <v>255</v>
      </c>
      <c r="D147" s="158" t="s">
        <v>157</v>
      </c>
      <c r="E147" s="156">
        <v>18281.64</v>
      </c>
      <c r="F147" s="24"/>
      <c r="G147" s="24">
        <f t="shared" si="192"/>
        <v>54844.92</v>
      </c>
      <c r="H147" s="24">
        <f t="shared" si="193"/>
        <v>1371.1229999999998</v>
      </c>
      <c r="I147" s="24"/>
      <c r="J147" s="24">
        <f t="shared" si="194"/>
        <v>9140.82</v>
      </c>
      <c r="K147" s="22">
        <f t="shared" si="195"/>
        <v>63985.74</v>
      </c>
      <c r="L147" s="24">
        <f t="shared" si="196"/>
        <v>18281.64</v>
      </c>
      <c r="M147" s="156"/>
      <c r="N147" s="156">
        <f>60000</f>
        <v>60000</v>
      </c>
      <c r="O147" s="24">
        <f t="shared" si="197"/>
        <v>1828.164</v>
      </c>
      <c r="P147" s="24">
        <v>10000</v>
      </c>
      <c r="Q147" s="24"/>
      <c r="R147" s="181">
        <f t="shared" si="198"/>
        <v>237734.04699999996</v>
      </c>
      <c r="S147" s="22"/>
      <c r="T147" s="22">
        <f>10000</f>
        <v>10000</v>
      </c>
      <c r="U147" s="22">
        <v>50000</v>
      </c>
      <c r="V147" s="22"/>
      <c r="W147" s="24">
        <v>27031.29334266666</v>
      </c>
      <c r="X147" s="234">
        <f t="shared" si="190"/>
        <v>87031.293342666657</v>
      </c>
      <c r="Y147" s="22">
        <v>150702.75365733332</v>
      </c>
      <c r="Z147" s="184">
        <f t="shared" si="191"/>
        <v>150702.75365733332</v>
      </c>
      <c r="AA147" s="157"/>
    </row>
    <row r="148" spans="1:27" ht="20.100000000000001" customHeight="1">
      <c r="A148" s="168">
        <v>15</v>
      </c>
      <c r="B148" s="133" t="s">
        <v>256</v>
      </c>
      <c r="C148" s="19" t="s">
        <v>255</v>
      </c>
      <c r="D148" s="158" t="s">
        <v>257</v>
      </c>
      <c r="E148" s="156">
        <v>18281.64</v>
      </c>
      <c r="F148" s="24"/>
      <c r="G148" s="24">
        <f t="shared" si="192"/>
        <v>54844.92</v>
      </c>
      <c r="H148" s="24">
        <f t="shared" si="193"/>
        <v>1371.1229999999998</v>
      </c>
      <c r="I148" s="24"/>
      <c r="J148" s="24">
        <f t="shared" si="194"/>
        <v>9140.82</v>
      </c>
      <c r="K148" s="22">
        <f t="shared" si="195"/>
        <v>63985.74</v>
      </c>
      <c r="L148" s="24">
        <f t="shared" si="196"/>
        <v>18281.64</v>
      </c>
      <c r="M148" s="156"/>
      <c r="N148" s="156">
        <f>60000</f>
        <v>60000</v>
      </c>
      <c r="O148" s="24">
        <f t="shared" si="197"/>
        <v>1828.164</v>
      </c>
      <c r="P148" s="24">
        <v>10000</v>
      </c>
      <c r="Q148" s="24"/>
      <c r="R148" s="181">
        <f t="shared" si="198"/>
        <v>237734.04699999996</v>
      </c>
      <c r="S148" s="22"/>
      <c r="T148" s="22">
        <f>10000</f>
        <v>10000</v>
      </c>
      <c r="U148" s="22">
        <v>0</v>
      </c>
      <c r="V148" s="22">
        <v>457.041</v>
      </c>
      <c r="W148" s="24">
        <v>27105.986562666658</v>
      </c>
      <c r="X148" s="234">
        <f t="shared" si="190"/>
        <v>37563.027562666655</v>
      </c>
      <c r="Y148" s="22">
        <v>200171.01943733331</v>
      </c>
      <c r="Z148" s="184">
        <f t="shared" si="191"/>
        <v>200171.01943733331</v>
      </c>
      <c r="AA148" s="157"/>
    </row>
    <row r="149" spans="1:27" ht="20.100000000000001" customHeight="1">
      <c r="A149" s="168">
        <v>16</v>
      </c>
      <c r="B149" s="133" t="s">
        <v>258</v>
      </c>
      <c r="C149" s="19" t="s">
        <v>255</v>
      </c>
      <c r="D149" s="158" t="s">
        <v>257</v>
      </c>
      <c r="E149" s="156">
        <v>18281.64</v>
      </c>
      <c r="F149" s="24"/>
      <c r="G149" s="24">
        <f t="shared" si="192"/>
        <v>54844.92</v>
      </c>
      <c r="H149" s="24">
        <f t="shared" si="193"/>
        <v>1371.1229999999998</v>
      </c>
      <c r="I149" s="24"/>
      <c r="J149" s="24">
        <f t="shared" si="194"/>
        <v>9140.82</v>
      </c>
      <c r="K149" s="22">
        <f t="shared" si="195"/>
        <v>63985.74</v>
      </c>
      <c r="L149" s="24">
        <f t="shared" si="196"/>
        <v>18281.64</v>
      </c>
      <c r="M149" s="156"/>
      <c r="N149" s="156">
        <f>60000</f>
        <v>60000</v>
      </c>
      <c r="O149" s="24">
        <f t="shared" si="197"/>
        <v>1828.164</v>
      </c>
      <c r="P149" s="24">
        <v>10000</v>
      </c>
      <c r="Q149" s="24"/>
      <c r="R149" s="181">
        <f t="shared" si="198"/>
        <v>237734.04699999996</v>
      </c>
      <c r="S149" s="22"/>
      <c r="T149" s="22">
        <f>10000</f>
        <v>10000</v>
      </c>
      <c r="U149" s="22"/>
      <c r="V149" s="22"/>
      <c r="W149" s="24">
        <v>27105.986562666658</v>
      </c>
      <c r="X149" s="234">
        <f t="shared" si="190"/>
        <v>37105.986562666658</v>
      </c>
      <c r="Y149" s="22">
        <v>200628.0604373333</v>
      </c>
      <c r="Z149" s="184">
        <f t="shared" si="191"/>
        <v>200628.0604373333</v>
      </c>
      <c r="AA149" s="157"/>
    </row>
    <row r="150" spans="1:27" ht="20.100000000000001" customHeight="1">
      <c r="A150" s="168">
        <v>17</v>
      </c>
      <c r="B150" s="133" t="s">
        <v>259</v>
      </c>
      <c r="C150" s="138" t="s">
        <v>260</v>
      </c>
      <c r="D150" s="158" t="s">
        <v>72</v>
      </c>
      <c r="E150" s="156">
        <f>17286.33</f>
        <v>17286.330000000002</v>
      </c>
      <c r="F150" s="24"/>
      <c r="G150" s="24">
        <f t="shared" ref="G150:G151" si="208">E150*300%</f>
        <v>51858.990000000005</v>
      </c>
      <c r="H150" s="24">
        <f t="shared" ref="H150:H151" si="209">E150*7.5%</f>
        <v>1296.4747500000001</v>
      </c>
      <c r="I150" s="24"/>
      <c r="J150" s="24">
        <f t="shared" ref="J150:J151" si="210">E150*50%</f>
        <v>8643.1650000000009</v>
      </c>
      <c r="K150" s="22">
        <f t="shared" ref="K150:K151" si="211">E150*350%</f>
        <v>60502.155000000006</v>
      </c>
      <c r="L150" s="24">
        <f t="shared" ref="L150:L151" si="212">E150*100%</f>
        <v>17286.330000000002</v>
      </c>
      <c r="M150" s="156"/>
      <c r="N150" s="156">
        <f>60000</f>
        <v>60000</v>
      </c>
      <c r="O150" s="24">
        <f t="shared" ref="O150:O151" si="213">E150*10%</f>
        <v>1728.6330000000003</v>
      </c>
      <c r="P150" s="24">
        <v>10000</v>
      </c>
      <c r="Q150" s="24"/>
      <c r="R150" s="181">
        <f>SUM(E150:Q150)</f>
        <v>228602.07775000003</v>
      </c>
      <c r="S150" s="22"/>
      <c r="T150" s="22">
        <f>30000</f>
        <v>30000</v>
      </c>
      <c r="U150" s="22"/>
      <c r="V150" s="22"/>
      <c r="W150" s="24">
        <v>25571.815728666668</v>
      </c>
      <c r="X150" s="234">
        <f t="shared" si="190"/>
        <v>55571.815728666668</v>
      </c>
      <c r="Y150" s="22">
        <v>173030.26202133336</v>
      </c>
      <c r="Z150" s="184">
        <f t="shared" si="191"/>
        <v>173030.26202133336</v>
      </c>
      <c r="AA150" s="157"/>
    </row>
    <row r="151" spans="1:27" ht="20.100000000000001" customHeight="1">
      <c r="A151" s="168">
        <v>18</v>
      </c>
      <c r="B151" s="133" t="s">
        <v>261</v>
      </c>
      <c r="C151" s="138" t="s">
        <v>262</v>
      </c>
      <c r="D151" s="27" t="s">
        <v>79</v>
      </c>
      <c r="E151" s="24">
        <f>14736.14</f>
        <v>14736.14</v>
      </c>
      <c r="F151" s="24"/>
      <c r="G151" s="24">
        <f t="shared" si="208"/>
        <v>44208.42</v>
      </c>
      <c r="H151" s="24">
        <f t="shared" si="209"/>
        <v>1105.2104999999999</v>
      </c>
      <c r="I151" s="24"/>
      <c r="J151" s="24">
        <f t="shared" si="210"/>
        <v>7368.07</v>
      </c>
      <c r="K151" s="24">
        <f t="shared" si="211"/>
        <v>51576.49</v>
      </c>
      <c r="L151" s="24">
        <f t="shared" si="212"/>
        <v>14736.14</v>
      </c>
      <c r="M151" s="156"/>
      <c r="N151" s="156">
        <f>60000</f>
        <v>60000</v>
      </c>
      <c r="O151" s="24">
        <f t="shared" si="213"/>
        <v>1473.614</v>
      </c>
      <c r="P151" s="24">
        <v>10000</v>
      </c>
      <c r="Q151" s="24"/>
      <c r="R151" s="181">
        <f>SUM(E151:Q151)</f>
        <v>205204.0845</v>
      </c>
      <c r="S151" s="22"/>
      <c r="T151" s="22">
        <f>30000</f>
        <v>30000</v>
      </c>
      <c r="U151" s="22"/>
      <c r="V151" s="22"/>
      <c r="W151" s="24">
        <v>21640.952862666669</v>
      </c>
      <c r="X151" s="234">
        <f>W151+V151+U151+T151</f>
        <v>51640.952862666672</v>
      </c>
      <c r="Y151" s="22">
        <v>153563.13163733331</v>
      </c>
      <c r="Z151" s="184">
        <f t="shared" si="191"/>
        <v>153563.13163733331</v>
      </c>
      <c r="AA151" s="157"/>
    </row>
    <row r="152" spans="1:27" ht="20.100000000000001" customHeight="1">
      <c r="A152" s="168">
        <v>19</v>
      </c>
      <c r="B152" s="133" t="s">
        <v>263</v>
      </c>
      <c r="C152" s="138" t="s">
        <v>264</v>
      </c>
      <c r="D152" s="158" t="s">
        <v>157</v>
      </c>
      <c r="E152" s="156">
        <v>18281.64</v>
      </c>
      <c r="F152" s="24"/>
      <c r="G152" s="24">
        <f t="shared" si="192"/>
        <v>54844.92</v>
      </c>
      <c r="H152" s="24">
        <f t="shared" si="193"/>
        <v>1371.1229999999998</v>
      </c>
      <c r="I152" s="24"/>
      <c r="J152" s="24">
        <f t="shared" si="194"/>
        <v>9140.82</v>
      </c>
      <c r="K152" s="22">
        <f t="shared" si="195"/>
        <v>63985.74</v>
      </c>
      <c r="L152" s="24">
        <f t="shared" si="196"/>
        <v>18281.64</v>
      </c>
      <c r="M152" s="156"/>
      <c r="N152" s="156">
        <f>50000+10000</f>
        <v>60000</v>
      </c>
      <c r="O152" s="24">
        <f t="shared" si="197"/>
        <v>1828.164</v>
      </c>
      <c r="P152" s="24">
        <v>10000</v>
      </c>
      <c r="Q152" s="24"/>
      <c r="R152" s="181">
        <f t="shared" si="198"/>
        <v>237734.04699999996</v>
      </c>
      <c r="S152" s="22"/>
      <c r="T152" s="22">
        <v>10000</v>
      </c>
      <c r="U152" s="22"/>
      <c r="V152" s="22"/>
      <c r="W152" s="24">
        <v>27105.986562666658</v>
      </c>
      <c r="X152" s="234">
        <f t="shared" ref="X152:X188" si="214">W152+V152+U152+T152+S152</f>
        <v>37105.986562666658</v>
      </c>
      <c r="Y152" s="22">
        <v>200628.0604373333</v>
      </c>
      <c r="Z152" s="184">
        <f t="shared" si="191"/>
        <v>200628.0604373333</v>
      </c>
      <c r="AA152" s="157"/>
    </row>
    <row r="153" spans="1:27" ht="20.100000000000001" customHeight="1">
      <c r="A153" s="168">
        <v>20</v>
      </c>
      <c r="B153" s="133" t="s">
        <v>265</v>
      </c>
      <c r="C153" s="138" t="s">
        <v>266</v>
      </c>
      <c r="D153" s="158" t="s">
        <v>75</v>
      </c>
      <c r="E153" s="156">
        <f>15188.67</f>
        <v>15188.67</v>
      </c>
      <c r="F153" s="24"/>
      <c r="G153" s="24">
        <f t="shared" si="192"/>
        <v>45566.01</v>
      </c>
      <c r="H153" s="24">
        <f t="shared" si="193"/>
        <v>1139.1502499999999</v>
      </c>
      <c r="I153" s="24"/>
      <c r="J153" s="24">
        <f t="shared" si="194"/>
        <v>7594.335</v>
      </c>
      <c r="K153" s="22">
        <f t="shared" si="195"/>
        <v>53160.345000000001</v>
      </c>
      <c r="L153" s="24">
        <f t="shared" si="196"/>
        <v>15188.67</v>
      </c>
      <c r="M153" s="156"/>
      <c r="N153" s="156">
        <f>50000+10000</f>
        <v>60000</v>
      </c>
      <c r="O153" s="24">
        <f t="shared" si="197"/>
        <v>1518.8670000000002</v>
      </c>
      <c r="P153" s="24">
        <v>10000</v>
      </c>
      <c r="Q153" s="24"/>
      <c r="R153" s="181">
        <f t="shared" si="198"/>
        <v>209356.04725</v>
      </c>
      <c r="S153" s="22"/>
      <c r="T153" s="22">
        <f>30000+10000</f>
        <v>40000</v>
      </c>
      <c r="U153" s="22">
        <f>70000</f>
        <v>70000</v>
      </c>
      <c r="V153" s="22"/>
      <c r="W153" s="24">
        <v>22281.815364666661</v>
      </c>
      <c r="X153" s="234">
        <f t="shared" si="214"/>
        <v>132281.81536466666</v>
      </c>
      <c r="Y153" s="22">
        <v>77074.231885333342</v>
      </c>
      <c r="Z153" s="184">
        <f t="shared" si="191"/>
        <v>77074.231885333342</v>
      </c>
      <c r="AA153" s="157"/>
    </row>
    <row r="154" spans="1:27" ht="20.100000000000001" customHeight="1">
      <c r="A154" s="168">
        <v>21</v>
      </c>
      <c r="B154" s="133" t="s">
        <v>267</v>
      </c>
      <c r="C154" s="138" t="s">
        <v>268</v>
      </c>
      <c r="D154" s="158" t="s">
        <v>157</v>
      </c>
      <c r="E154" s="156">
        <v>18281.64</v>
      </c>
      <c r="F154" s="24"/>
      <c r="G154" s="24">
        <f t="shared" si="192"/>
        <v>54844.92</v>
      </c>
      <c r="H154" s="24">
        <f t="shared" si="193"/>
        <v>1371.1229999999998</v>
      </c>
      <c r="I154" s="24"/>
      <c r="J154" s="24">
        <f t="shared" si="194"/>
        <v>9140.82</v>
      </c>
      <c r="K154" s="22">
        <f t="shared" si="195"/>
        <v>63985.74</v>
      </c>
      <c r="L154" s="24">
        <f t="shared" si="196"/>
        <v>18281.64</v>
      </c>
      <c r="M154" s="156"/>
      <c r="N154" s="156">
        <f>50000+10000</f>
        <v>60000</v>
      </c>
      <c r="O154" s="24">
        <f t="shared" si="197"/>
        <v>1828.164</v>
      </c>
      <c r="P154" s="24">
        <v>10000</v>
      </c>
      <c r="Q154" s="24"/>
      <c r="R154" s="181">
        <f t="shared" si="198"/>
        <v>237734.04699999996</v>
      </c>
      <c r="S154" s="22"/>
      <c r="T154" s="22">
        <f>10000</f>
        <v>10000</v>
      </c>
      <c r="U154" s="22">
        <f>90000</f>
        <v>90000</v>
      </c>
      <c r="V154" s="22">
        <v>457.041</v>
      </c>
      <c r="W154" s="24">
        <v>27105.986562666658</v>
      </c>
      <c r="X154" s="234">
        <f t="shared" si="214"/>
        <v>127563.02756266666</v>
      </c>
      <c r="Y154" s="22">
        <v>110171.01943733331</v>
      </c>
      <c r="Z154" s="184">
        <f t="shared" si="191"/>
        <v>110171.01943733331</v>
      </c>
      <c r="AA154" s="157"/>
    </row>
    <row r="155" spans="1:27" ht="20.100000000000001" customHeight="1">
      <c r="A155" s="168">
        <v>22</v>
      </c>
      <c r="B155" s="133" t="s">
        <v>269</v>
      </c>
      <c r="C155" s="138" t="s">
        <v>270</v>
      </c>
      <c r="D155" s="158" t="s">
        <v>75</v>
      </c>
      <c r="E155" s="156">
        <v>15188.67</v>
      </c>
      <c r="F155" s="24"/>
      <c r="G155" s="24">
        <f>E155*300%</f>
        <v>45566.01</v>
      </c>
      <c r="H155" s="24">
        <f>E155*7.5%</f>
        <v>1139.1502499999999</v>
      </c>
      <c r="I155" s="24"/>
      <c r="J155" s="24">
        <f>E155*50%</f>
        <v>7594.335</v>
      </c>
      <c r="K155" s="22">
        <f>E155*350%</f>
        <v>53160.345000000001</v>
      </c>
      <c r="L155" s="24">
        <f>E155*100%</f>
        <v>15188.67</v>
      </c>
      <c r="M155" s="156"/>
      <c r="N155" s="156">
        <f>50000+10000</f>
        <v>60000</v>
      </c>
      <c r="O155" s="24">
        <f>E155*10%</f>
        <v>1518.8670000000002</v>
      </c>
      <c r="P155" s="24">
        <v>10000</v>
      </c>
      <c r="Q155" s="24"/>
      <c r="R155" s="181">
        <f>SUM(E155:Q155)</f>
        <v>209356.04725</v>
      </c>
      <c r="S155" s="22"/>
      <c r="T155" s="22"/>
      <c r="U155" s="22">
        <v>0</v>
      </c>
      <c r="V155" s="22"/>
      <c r="W155" s="24">
        <v>22338.48260466666</v>
      </c>
      <c r="X155" s="234">
        <f t="shared" si="214"/>
        <v>22338.48260466666</v>
      </c>
      <c r="Y155" s="22">
        <v>187017.56464533333</v>
      </c>
      <c r="Z155" s="184">
        <f t="shared" si="191"/>
        <v>187017.56464533333</v>
      </c>
      <c r="AA155" s="157"/>
    </row>
    <row r="156" spans="1:27" ht="20.100000000000001" customHeight="1">
      <c r="A156" s="168">
        <v>23</v>
      </c>
      <c r="B156" s="134" t="s">
        <v>271</v>
      </c>
      <c r="C156" s="138" t="s">
        <v>272</v>
      </c>
      <c r="D156" s="158" t="s">
        <v>79</v>
      </c>
      <c r="E156" s="156">
        <v>14736.14</v>
      </c>
      <c r="F156" s="24"/>
      <c r="G156" s="24">
        <f t="shared" si="192"/>
        <v>44208.42</v>
      </c>
      <c r="H156" s="24">
        <f t="shared" si="193"/>
        <v>1105.2104999999999</v>
      </c>
      <c r="I156" s="24"/>
      <c r="J156" s="24">
        <f t="shared" si="194"/>
        <v>7368.07</v>
      </c>
      <c r="K156" s="22">
        <f t="shared" si="195"/>
        <v>51576.49</v>
      </c>
      <c r="L156" s="24">
        <f>E156*100%</f>
        <v>14736.14</v>
      </c>
      <c r="M156" s="156"/>
      <c r="N156" s="156">
        <f>60000</f>
        <v>60000</v>
      </c>
      <c r="O156" s="24">
        <f>E156*10%</f>
        <v>1473.614</v>
      </c>
      <c r="P156" s="24">
        <v>10000</v>
      </c>
      <c r="Q156" s="19"/>
      <c r="R156" s="24">
        <f t="shared" si="198"/>
        <v>205204.0845</v>
      </c>
      <c r="S156" s="24"/>
      <c r="T156" s="22">
        <v>30000</v>
      </c>
      <c r="U156" s="22">
        <f>60000</f>
        <v>60000</v>
      </c>
      <c r="V156" s="22"/>
      <c r="W156" s="24">
        <f>[3]PROMOTIONS!$X$41</f>
        <v>21640.882666666668</v>
      </c>
      <c r="X156" s="234">
        <f t="shared" si="214"/>
        <v>111640.88266666667</v>
      </c>
      <c r="Y156" s="22">
        <v>93563.201833333325</v>
      </c>
      <c r="Z156" s="184">
        <f t="shared" si="191"/>
        <v>93563.201833333325</v>
      </c>
      <c r="AA156" s="157"/>
    </row>
    <row r="157" spans="1:27" ht="20.100000000000001" customHeight="1">
      <c r="A157" s="168">
        <v>24</v>
      </c>
      <c r="B157" s="134" t="s">
        <v>273</v>
      </c>
      <c r="C157" s="138" t="s">
        <v>274</v>
      </c>
      <c r="D157" s="158" t="s">
        <v>90</v>
      </c>
      <c r="E157" s="24">
        <v>12351.94</v>
      </c>
      <c r="F157" s="24"/>
      <c r="G157" s="24">
        <f t="shared" ref="G157" si="215">E157*300%</f>
        <v>37055.82</v>
      </c>
      <c r="H157" s="24">
        <f t="shared" ref="H157" si="216">E157*7.5%</f>
        <v>926.39549999999997</v>
      </c>
      <c r="I157" s="24"/>
      <c r="J157" s="24">
        <f t="shared" ref="J157" si="217">E157*50%</f>
        <v>6175.97</v>
      </c>
      <c r="K157" s="24">
        <f t="shared" ref="K157" si="218">E157*350%</f>
        <v>43231.79</v>
      </c>
      <c r="L157" s="24">
        <f t="shared" ref="L157" si="219">E157*100%</f>
        <v>12351.94</v>
      </c>
      <c r="M157" s="156"/>
      <c r="N157" s="156">
        <f>50000</f>
        <v>50000</v>
      </c>
      <c r="O157" s="24">
        <f t="shared" ref="O157" si="220">E157*10%</f>
        <v>1235.1940000000002</v>
      </c>
      <c r="P157" s="24">
        <v>10000</v>
      </c>
      <c r="Q157" s="24"/>
      <c r="R157" s="181">
        <f t="shared" ref="R157" si="221">Q157+P157+O157+N157+M157+L157+K157+J157+I157+H157+G157+F157+E157</f>
        <v>173329.04949999999</v>
      </c>
      <c r="S157" s="22"/>
      <c r="T157" s="22">
        <f>20000</f>
        <v>20000</v>
      </c>
      <c r="U157" s="22"/>
      <c r="V157" s="22">
        <v>0</v>
      </c>
      <c r="W157" s="24">
        <v>16512.68219066667</v>
      </c>
      <c r="X157" s="234">
        <f t="shared" si="214"/>
        <v>36512.682190666674</v>
      </c>
      <c r="Y157" s="22">
        <v>136816.36730933332</v>
      </c>
      <c r="Z157" s="184">
        <f t="shared" si="191"/>
        <v>136816.36730933332</v>
      </c>
      <c r="AA157" s="157"/>
    </row>
    <row r="158" spans="1:27" ht="20.100000000000001" customHeight="1">
      <c r="A158" s="168">
        <v>25</v>
      </c>
      <c r="B158" s="134" t="s">
        <v>275</v>
      </c>
      <c r="C158" s="138" t="s">
        <v>276</v>
      </c>
      <c r="D158" s="158" t="s">
        <v>90</v>
      </c>
      <c r="E158" s="24">
        <v>12352.94</v>
      </c>
      <c r="F158" s="24"/>
      <c r="G158" s="24">
        <f t="shared" ref="G158" si="222">E158*300%</f>
        <v>37058.82</v>
      </c>
      <c r="H158" s="24">
        <f t="shared" ref="H158" si="223">E158*7.5%</f>
        <v>926.47050000000002</v>
      </c>
      <c r="I158" s="24"/>
      <c r="J158" s="24">
        <f t="shared" ref="J158" si="224">E158*50%</f>
        <v>6176.47</v>
      </c>
      <c r="K158" s="24">
        <f t="shared" ref="K158" si="225">E158*350%</f>
        <v>43235.29</v>
      </c>
      <c r="L158" s="24">
        <f t="shared" ref="L158" si="226">E158*100%</f>
        <v>12352.94</v>
      </c>
      <c r="M158" s="156"/>
      <c r="N158" s="156">
        <f>50000</f>
        <v>50000</v>
      </c>
      <c r="O158" s="24">
        <f t="shared" ref="O158" si="227">E158*10%</f>
        <v>1235.2940000000001</v>
      </c>
      <c r="P158" s="24">
        <v>10000</v>
      </c>
      <c r="Q158" s="24"/>
      <c r="R158" s="181">
        <f t="shared" ref="R158" si="228">Q158+P158+O158+N158+M158+L158+K158+J158+I158+H158+G158+F158+E158</f>
        <v>173338.22450000001</v>
      </c>
      <c r="S158" s="22"/>
      <c r="T158" s="22">
        <f>12000-2000</f>
        <v>10000</v>
      </c>
      <c r="U158" s="22"/>
      <c r="V158" s="22">
        <v>0</v>
      </c>
      <c r="W158" s="24">
        <v>16514.228790666668</v>
      </c>
      <c r="X158" s="234">
        <f t="shared" ref="X158" si="229">W158+V158+U158+T158+S158</f>
        <v>26514.228790666668</v>
      </c>
      <c r="Y158" s="22">
        <v>146823.99570933334</v>
      </c>
      <c r="Z158" s="184">
        <f t="shared" si="191"/>
        <v>146823.99570933334</v>
      </c>
      <c r="AA158" s="157"/>
    </row>
    <row r="159" spans="1:27" ht="20.100000000000001" customHeight="1">
      <c r="A159" s="168">
        <v>26</v>
      </c>
      <c r="B159" s="134" t="s">
        <v>277</v>
      </c>
      <c r="C159" s="138" t="s">
        <v>278</v>
      </c>
      <c r="D159" s="158" t="s">
        <v>90</v>
      </c>
      <c r="E159" s="24">
        <v>12352.94</v>
      </c>
      <c r="F159" s="24"/>
      <c r="G159" s="24">
        <f t="shared" ref="G159" si="230">E159*300%</f>
        <v>37058.82</v>
      </c>
      <c r="H159" s="24">
        <f t="shared" ref="H159" si="231">E159*7.5%</f>
        <v>926.47050000000002</v>
      </c>
      <c r="I159" s="24"/>
      <c r="J159" s="24">
        <f t="shared" ref="J159" si="232">E159*50%</f>
        <v>6176.47</v>
      </c>
      <c r="K159" s="24">
        <f t="shared" ref="K159" si="233">E159*350%</f>
        <v>43235.29</v>
      </c>
      <c r="L159" s="24">
        <f t="shared" ref="L159" si="234">E159*100%</f>
        <v>12352.94</v>
      </c>
      <c r="M159" s="156"/>
      <c r="N159" s="156">
        <f>50000</f>
        <v>50000</v>
      </c>
      <c r="O159" s="24">
        <f t="shared" ref="O159" si="235">E159*10%</f>
        <v>1235.2940000000001</v>
      </c>
      <c r="P159" s="24">
        <v>10000</v>
      </c>
      <c r="Q159" s="24"/>
      <c r="R159" s="181">
        <f t="shared" ref="R159" si="236">Q159+P159+O159+N159+M159+L159+K159+J159+I159+H159+G159+F159+E159</f>
        <v>173338.22450000001</v>
      </c>
      <c r="S159" s="22"/>
      <c r="T159" s="22">
        <v>0</v>
      </c>
      <c r="U159" s="22"/>
      <c r="V159" s="22">
        <v>0</v>
      </c>
      <c r="W159" s="24">
        <v>16514.228790666668</v>
      </c>
      <c r="X159" s="234">
        <f t="shared" ref="X159" si="237">W159+V159+U159+T159+S159</f>
        <v>16514.228790666668</v>
      </c>
      <c r="Y159" s="22">
        <v>156823.99570933334</v>
      </c>
      <c r="Z159" s="184">
        <f t="shared" si="191"/>
        <v>156823.99570933334</v>
      </c>
      <c r="AA159" s="157"/>
    </row>
    <row r="160" spans="1:27" ht="20.100000000000001" customHeight="1">
      <c r="A160" s="168">
        <v>27</v>
      </c>
      <c r="B160" s="134" t="s">
        <v>279</v>
      </c>
      <c r="C160" s="138" t="s">
        <v>280</v>
      </c>
      <c r="D160" s="158" t="s">
        <v>86</v>
      </c>
      <c r="E160" s="24">
        <v>12732</v>
      </c>
      <c r="F160" s="24"/>
      <c r="G160" s="24">
        <f t="shared" ref="G160" si="238">E160*300%</f>
        <v>38196</v>
      </c>
      <c r="H160" s="24">
        <f t="shared" ref="H160" si="239">E160*7.5%</f>
        <v>954.9</v>
      </c>
      <c r="I160" s="24"/>
      <c r="J160" s="24">
        <f t="shared" ref="J160" si="240">E160*50%</f>
        <v>6366</v>
      </c>
      <c r="K160" s="24">
        <f t="shared" ref="K160" si="241">E160*350%</f>
        <v>44562</v>
      </c>
      <c r="L160" s="24">
        <f t="shared" ref="L160" si="242">E160*100%</f>
        <v>12732</v>
      </c>
      <c r="M160" s="156"/>
      <c r="N160" s="156">
        <f>50000</f>
        <v>50000</v>
      </c>
      <c r="O160" s="24">
        <f t="shared" ref="O160" si="243">E160*10%</f>
        <v>1273.2</v>
      </c>
      <c r="P160" s="24">
        <v>10000</v>
      </c>
      <c r="Q160" s="24"/>
      <c r="R160" s="181">
        <f>(Q160+P160+O160+N160+M160+L160+K160+J160+I160+H160+G160+F160+E160)</f>
        <v>176816.09999999998</v>
      </c>
      <c r="S160" s="22"/>
      <c r="T160" s="22">
        <f>10000+5000+5000</f>
        <v>20000</v>
      </c>
      <c r="U160" s="22">
        <f>32000</f>
        <v>32000</v>
      </c>
      <c r="V160" s="22">
        <v>0</v>
      </c>
      <c r="W160" s="24">
        <v>17008.323359999995</v>
      </c>
      <c r="X160" s="234">
        <f t="shared" si="214"/>
        <v>69008.323359999995</v>
      </c>
      <c r="Y160" s="22">
        <v>107807.77663999998</v>
      </c>
      <c r="Z160" s="184">
        <f t="shared" si="191"/>
        <v>107807.77663999998</v>
      </c>
      <c r="AA160" s="157"/>
    </row>
    <row r="161" spans="1:27" ht="20.100000000000001" customHeight="1">
      <c r="A161" s="168">
        <v>28</v>
      </c>
      <c r="B161" s="134" t="s">
        <v>281</v>
      </c>
      <c r="C161" s="138" t="s">
        <v>276</v>
      </c>
      <c r="D161" s="158" t="s">
        <v>90</v>
      </c>
      <c r="E161" s="24">
        <v>12352.94</v>
      </c>
      <c r="F161" s="24"/>
      <c r="G161" s="24">
        <v>37058.82</v>
      </c>
      <c r="H161" s="24">
        <v>926.47050000000002</v>
      </c>
      <c r="I161" s="24"/>
      <c r="J161" s="24">
        <v>6176.47</v>
      </c>
      <c r="K161" s="24">
        <v>43235.29</v>
      </c>
      <c r="L161" s="24">
        <v>12352.94</v>
      </c>
      <c r="M161" s="156"/>
      <c r="N161" s="156">
        <v>50000</v>
      </c>
      <c r="O161" s="24">
        <v>1235.2940000000001</v>
      </c>
      <c r="P161" s="24">
        <v>10000</v>
      </c>
      <c r="Q161" s="24"/>
      <c r="R161" s="181">
        <v>173339.22450000001</v>
      </c>
      <c r="S161" s="22"/>
      <c r="T161" s="22">
        <v>30000</v>
      </c>
      <c r="U161" s="22">
        <v>0</v>
      </c>
      <c r="V161" s="22">
        <v>0</v>
      </c>
      <c r="W161" s="24">
        <v>16514.228790666668</v>
      </c>
      <c r="X161" s="234">
        <f t="shared" si="214"/>
        <v>46514.228790666668</v>
      </c>
      <c r="Y161" s="22">
        <v>126824.99570933334</v>
      </c>
      <c r="Z161" s="184">
        <f t="shared" si="191"/>
        <v>126824.99570933334</v>
      </c>
      <c r="AA161" s="157"/>
    </row>
    <row r="162" spans="1:27" ht="20.100000000000001" customHeight="1">
      <c r="A162" s="168">
        <v>29</v>
      </c>
      <c r="B162" s="133" t="s">
        <v>282</v>
      </c>
      <c r="C162" s="138" t="s">
        <v>283</v>
      </c>
      <c r="D162" s="158" t="s">
        <v>284</v>
      </c>
      <c r="E162" s="169">
        <f>10527.6</f>
        <v>10527.6</v>
      </c>
      <c r="F162" s="156"/>
      <c r="G162" s="24">
        <f t="shared" si="192"/>
        <v>31582.800000000003</v>
      </c>
      <c r="H162" s="24">
        <f t="shared" si="193"/>
        <v>789.57</v>
      </c>
      <c r="I162" s="156">
        <v>0</v>
      </c>
      <c r="J162" s="24">
        <f t="shared" si="194"/>
        <v>5263.8</v>
      </c>
      <c r="K162" s="22">
        <f t="shared" si="195"/>
        <v>36846.6</v>
      </c>
      <c r="L162" s="24">
        <f t="shared" ref="L162:L169" si="244">E162*100%</f>
        <v>10527.6</v>
      </c>
      <c r="M162" s="156"/>
      <c r="N162" s="156">
        <f>30000</f>
        <v>30000</v>
      </c>
      <c r="O162" s="24">
        <f t="shared" ref="O162:O185" si="245">E162*10%</f>
        <v>1052.76</v>
      </c>
      <c r="P162" s="156">
        <v>5000</v>
      </c>
      <c r="Q162" s="24">
        <f>4000</f>
        <v>4000</v>
      </c>
      <c r="R162" s="181">
        <f t="shared" ref="R162:R185" si="246">SUM(E162:Q162)</f>
        <v>135590.72999999998</v>
      </c>
      <c r="S162" s="22"/>
      <c r="T162" s="22">
        <f>20000+5000+5000</f>
        <v>30000</v>
      </c>
      <c r="U162" s="22">
        <f>47916.66</f>
        <v>47916.66</v>
      </c>
      <c r="V162" s="22">
        <v>263.19</v>
      </c>
      <c r="W162" s="22">
        <v>10776.457626666665</v>
      </c>
      <c r="X162" s="234">
        <f t="shared" si="214"/>
        <v>88956.307626666676</v>
      </c>
      <c r="Y162" s="22">
        <v>46634.422373333306</v>
      </c>
      <c r="Z162" s="184">
        <f t="shared" si="191"/>
        <v>46634.422373333306</v>
      </c>
      <c r="AA162" s="157"/>
    </row>
    <row r="163" spans="1:27" ht="20.100000000000001" customHeight="1">
      <c r="A163" s="168">
        <v>30</v>
      </c>
      <c r="B163" s="133" t="s">
        <v>285</v>
      </c>
      <c r="C163" s="138" t="s">
        <v>283</v>
      </c>
      <c r="D163" s="158" t="s">
        <v>284</v>
      </c>
      <c r="E163" s="169">
        <f t="shared" ref="E163:E166" si="247">10527.6</f>
        <v>10527.6</v>
      </c>
      <c r="F163" s="156"/>
      <c r="G163" s="24">
        <f t="shared" si="192"/>
        <v>31582.800000000003</v>
      </c>
      <c r="H163" s="24">
        <f t="shared" si="193"/>
        <v>789.57</v>
      </c>
      <c r="I163" s="156">
        <v>0</v>
      </c>
      <c r="J163" s="24">
        <f t="shared" si="194"/>
        <v>5263.8</v>
      </c>
      <c r="K163" s="22">
        <f t="shared" si="195"/>
        <v>36846.6</v>
      </c>
      <c r="L163" s="24">
        <f t="shared" si="244"/>
        <v>10527.6</v>
      </c>
      <c r="M163" s="156"/>
      <c r="N163" s="156">
        <f>30000</f>
        <v>30000</v>
      </c>
      <c r="O163" s="24">
        <f t="shared" si="245"/>
        <v>1052.76</v>
      </c>
      <c r="P163" s="156">
        <v>5000</v>
      </c>
      <c r="Q163" s="24">
        <f>7000</f>
        <v>7000</v>
      </c>
      <c r="R163" s="181">
        <f t="shared" si="246"/>
        <v>138590.72999999998</v>
      </c>
      <c r="S163" s="22"/>
      <c r="T163" s="22">
        <f>5000+5000+5000</f>
        <v>15000</v>
      </c>
      <c r="U163" s="22">
        <f>14524.11</f>
        <v>14524.11</v>
      </c>
      <c r="V163" s="22"/>
      <c r="W163" s="22">
        <v>11232.457626666665</v>
      </c>
      <c r="X163" s="234">
        <f t="shared" si="214"/>
        <v>40756.567626666663</v>
      </c>
      <c r="Y163" s="22">
        <v>97834.162373333325</v>
      </c>
      <c r="Z163" s="184">
        <f t="shared" si="191"/>
        <v>97834.162373333325</v>
      </c>
      <c r="AA163" s="157"/>
    </row>
    <row r="164" spans="1:27" ht="20.100000000000001" customHeight="1">
      <c r="A164" s="168">
        <v>31</v>
      </c>
      <c r="B164" s="133" t="s">
        <v>286</v>
      </c>
      <c r="C164" s="138" t="s">
        <v>283</v>
      </c>
      <c r="D164" s="158" t="s">
        <v>284</v>
      </c>
      <c r="E164" s="169">
        <f t="shared" si="247"/>
        <v>10527.6</v>
      </c>
      <c r="F164" s="156"/>
      <c r="G164" s="24">
        <f t="shared" si="192"/>
        <v>31582.800000000003</v>
      </c>
      <c r="H164" s="24">
        <f t="shared" si="193"/>
        <v>789.57</v>
      </c>
      <c r="I164" s="24">
        <v>0</v>
      </c>
      <c r="J164" s="24">
        <f t="shared" si="194"/>
        <v>5263.8</v>
      </c>
      <c r="K164" s="22">
        <f t="shared" si="195"/>
        <v>36846.6</v>
      </c>
      <c r="L164" s="24">
        <f t="shared" si="244"/>
        <v>10527.6</v>
      </c>
      <c r="M164" s="156"/>
      <c r="N164" s="156">
        <f>30000</f>
        <v>30000</v>
      </c>
      <c r="O164" s="24">
        <f t="shared" si="245"/>
        <v>1052.76</v>
      </c>
      <c r="P164" s="24">
        <v>5000</v>
      </c>
      <c r="Q164" s="24">
        <f>4000</f>
        <v>4000</v>
      </c>
      <c r="R164" s="181">
        <f t="shared" si="246"/>
        <v>135590.72999999998</v>
      </c>
      <c r="S164" s="22"/>
      <c r="T164" s="22">
        <f>10000+5000+5000</f>
        <v>20000</v>
      </c>
      <c r="U164" s="22"/>
      <c r="V164" s="22"/>
      <c r="W164" s="22">
        <v>10776.457626666665</v>
      </c>
      <c r="X164" s="234">
        <f t="shared" si="214"/>
        <v>30776.457626666663</v>
      </c>
      <c r="Y164" s="22">
        <v>78564.272373333311</v>
      </c>
      <c r="Z164" s="184">
        <f t="shared" si="191"/>
        <v>104814.27237333331</v>
      </c>
      <c r="AA164" s="157"/>
    </row>
    <row r="165" spans="1:27" ht="20.100000000000001" customHeight="1">
      <c r="A165" s="168">
        <v>32</v>
      </c>
      <c r="B165" s="133" t="s">
        <v>287</v>
      </c>
      <c r="C165" s="138" t="s">
        <v>283</v>
      </c>
      <c r="D165" s="158" t="s">
        <v>284</v>
      </c>
      <c r="E165" s="169">
        <f t="shared" si="247"/>
        <v>10527.6</v>
      </c>
      <c r="F165" s="156"/>
      <c r="G165" s="24">
        <f t="shared" si="192"/>
        <v>31582.800000000003</v>
      </c>
      <c r="H165" s="24">
        <f t="shared" si="193"/>
        <v>789.57</v>
      </c>
      <c r="I165" s="24">
        <v>0</v>
      </c>
      <c r="J165" s="24">
        <f t="shared" si="194"/>
        <v>5263.8</v>
      </c>
      <c r="K165" s="22">
        <f t="shared" si="195"/>
        <v>36846.6</v>
      </c>
      <c r="L165" s="24">
        <f t="shared" si="244"/>
        <v>10527.6</v>
      </c>
      <c r="M165" s="156"/>
      <c r="N165" s="156">
        <f>30000</f>
        <v>30000</v>
      </c>
      <c r="O165" s="24">
        <f t="shared" si="245"/>
        <v>1052.76</v>
      </c>
      <c r="P165" s="24">
        <v>5000</v>
      </c>
      <c r="Q165" s="24">
        <f>4000</f>
        <v>4000</v>
      </c>
      <c r="R165" s="181">
        <f t="shared" si="246"/>
        <v>135590.72999999998</v>
      </c>
      <c r="S165" s="22"/>
      <c r="T165" s="22">
        <f>5000+5000+5000</f>
        <v>15000</v>
      </c>
      <c r="U165" s="22">
        <f>85704.84-50000</f>
        <v>35704.839999999997</v>
      </c>
      <c r="V165" s="22">
        <v>263.19</v>
      </c>
      <c r="W165" s="22">
        <v>10743.737199999998</v>
      </c>
      <c r="X165" s="234">
        <f t="shared" si="214"/>
        <v>61711.767199999995</v>
      </c>
      <c r="Y165" s="22">
        <v>73878.962799999979</v>
      </c>
      <c r="Z165" s="184">
        <f t="shared" si="191"/>
        <v>73878.962799999979</v>
      </c>
      <c r="AA165" s="157"/>
    </row>
    <row r="166" spans="1:27" ht="20.100000000000001" customHeight="1">
      <c r="A166" s="168">
        <v>33</v>
      </c>
      <c r="B166" s="133" t="s">
        <v>288</v>
      </c>
      <c r="C166" s="138" t="s">
        <v>283</v>
      </c>
      <c r="D166" s="158" t="s">
        <v>284</v>
      </c>
      <c r="E166" s="169">
        <f t="shared" si="247"/>
        <v>10527.6</v>
      </c>
      <c r="F166" s="156"/>
      <c r="G166" s="24">
        <f t="shared" si="192"/>
        <v>31582.800000000003</v>
      </c>
      <c r="H166" s="24">
        <f t="shared" si="193"/>
        <v>789.57</v>
      </c>
      <c r="I166" s="24">
        <v>0</v>
      </c>
      <c r="J166" s="24">
        <f t="shared" si="194"/>
        <v>5263.8</v>
      </c>
      <c r="K166" s="22">
        <f t="shared" si="195"/>
        <v>36846.6</v>
      </c>
      <c r="L166" s="24">
        <f t="shared" si="244"/>
        <v>10527.6</v>
      </c>
      <c r="M166" s="156"/>
      <c r="N166" s="156">
        <f>30000</f>
        <v>30000</v>
      </c>
      <c r="O166" s="24">
        <f t="shared" si="245"/>
        <v>1052.76</v>
      </c>
      <c r="P166" s="24">
        <v>5000</v>
      </c>
      <c r="Q166" s="24">
        <f>4000</f>
        <v>4000</v>
      </c>
      <c r="R166" s="181">
        <f t="shared" si="246"/>
        <v>135590.72999999998</v>
      </c>
      <c r="S166" s="22"/>
      <c r="T166" s="22">
        <f>10000+5000+5000</f>
        <v>20000</v>
      </c>
      <c r="U166" s="22">
        <f>15112.49</f>
        <v>15112.49</v>
      </c>
      <c r="V166" s="22"/>
      <c r="W166" s="22">
        <v>10776.457626666665</v>
      </c>
      <c r="X166" s="234">
        <f t="shared" si="214"/>
        <v>45888.947626666661</v>
      </c>
      <c r="Y166" s="22">
        <v>89701.782373333321</v>
      </c>
      <c r="Z166" s="184">
        <f t="shared" ref="Z166:Z192" si="248">R166-X166</f>
        <v>89701.782373333321</v>
      </c>
      <c r="AA166" s="157"/>
    </row>
    <row r="167" spans="1:27" ht="20.100000000000001" customHeight="1">
      <c r="A167" s="168">
        <v>34</v>
      </c>
      <c r="B167" s="133" t="s">
        <v>289</v>
      </c>
      <c r="C167" s="138" t="s">
        <v>283</v>
      </c>
      <c r="D167" s="158" t="s">
        <v>290</v>
      </c>
      <c r="E167" s="24">
        <v>9050.14</v>
      </c>
      <c r="F167" s="156"/>
      <c r="G167" s="24">
        <f t="shared" si="192"/>
        <v>27150.42</v>
      </c>
      <c r="H167" s="24">
        <f t="shared" si="193"/>
        <v>678.76049999999998</v>
      </c>
      <c r="I167" s="24">
        <v>0</v>
      </c>
      <c r="J167" s="24">
        <f t="shared" si="194"/>
        <v>4525.07</v>
      </c>
      <c r="K167" s="22">
        <f t="shared" si="195"/>
        <v>31675.489999999998</v>
      </c>
      <c r="L167" s="24">
        <f t="shared" si="244"/>
        <v>9050.14</v>
      </c>
      <c r="M167" s="156"/>
      <c r="N167" s="156">
        <f>20000+10000</f>
        <v>30000</v>
      </c>
      <c r="O167" s="24">
        <f t="shared" si="245"/>
        <v>905.01400000000001</v>
      </c>
      <c r="P167" s="24">
        <v>5000</v>
      </c>
      <c r="Q167" s="24">
        <f>7000</f>
        <v>7000</v>
      </c>
      <c r="R167" s="181">
        <f t="shared" si="246"/>
        <v>125035.03449999999</v>
      </c>
      <c r="S167" s="22"/>
      <c r="T167" s="22">
        <f>5000+5000+15000+5000</f>
        <v>30000</v>
      </c>
      <c r="U167" s="22">
        <f>26430.62</f>
        <v>26430.62</v>
      </c>
      <c r="V167" s="22"/>
      <c r="W167" s="22">
        <v>9504.2041399999998</v>
      </c>
      <c r="X167" s="234">
        <f t="shared" si="214"/>
        <v>65934.824139999997</v>
      </c>
      <c r="Y167" s="22">
        <v>59100.210359999997</v>
      </c>
      <c r="Z167" s="184">
        <f t="shared" si="248"/>
        <v>59100.210359999997</v>
      </c>
      <c r="AA167" s="157"/>
    </row>
    <row r="168" spans="1:27" ht="20.100000000000001" customHeight="1">
      <c r="A168" s="168">
        <v>35</v>
      </c>
      <c r="B168" s="133" t="s">
        <v>291</v>
      </c>
      <c r="C168" s="138" t="s">
        <v>283</v>
      </c>
      <c r="D168" s="158" t="s">
        <v>290</v>
      </c>
      <c r="E168" s="24">
        <v>9050.14</v>
      </c>
      <c r="F168" s="156"/>
      <c r="G168" s="24">
        <f t="shared" si="192"/>
        <v>27150.42</v>
      </c>
      <c r="H168" s="24">
        <f t="shared" si="193"/>
        <v>678.76049999999998</v>
      </c>
      <c r="I168" s="24">
        <v>0</v>
      </c>
      <c r="J168" s="24">
        <f t="shared" si="194"/>
        <v>4525.07</v>
      </c>
      <c r="K168" s="22">
        <f t="shared" si="195"/>
        <v>31675.489999999998</v>
      </c>
      <c r="L168" s="24">
        <f t="shared" si="244"/>
        <v>9050.14</v>
      </c>
      <c r="M168" s="156"/>
      <c r="N168" s="156">
        <f t="shared" ref="N168:N172" si="249">20000+10000</f>
        <v>30000</v>
      </c>
      <c r="O168" s="24">
        <f t="shared" si="245"/>
        <v>905.01400000000001</v>
      </c>
      <c r="P168" s="24">
        <v>5000</v>
      </c>
      <c r="Q168" s="24">
        <f>4000</f>
        <v>4000</v>
      </c>
      <c r="R168" s="181">
        <f t="shared" si="246"/>
        <v>122035.03449999999</v>
      </c>
      <c r="S168" s="22"/>
      <c r="T168" s="22">
        <f>3000+5000+17000+5000</f>
        <v>30000</v>
      </c>
      <c r="U168" s="22">
        <f>25555.56</f>
        <v>25555.56</v>
      </c>
      <c r="V168" s="22"/>
      <c r="W168" s="22">
        <v>9144.2041399999998</v>
      </c>
      <c r="X168" s="234">
        <f t="shared" si="214"/>
        <v>64699.764139999999</v>
      </c>
      <c r="Y168" s="22">
        <v>57335.270359999995</v>
      </c>
      <c r="Z168" s="184">
        <f t="shared" si="248"/>
        <v>57335.270359999995</v>
      </c>
      <c r="AA168" s="157"/>
    </row>
    <row r="169" spans="1:27" ht="20.100000000000001" customHeight="1">
      <c r="A169" s="168">
        <v>36</v>
      </c>
      <c r="B169" s="135" t="s">
        <v>292</v>
      </c>
      <c r="C169" s="138" t="s">
        <v>283</v>
      </c>
      <c r="D169" s="158" t="s">
        <v>290</v>
      </c>
      <c r="E169" s="24">
        <v>9050.14</v>
      </c>
      <c r="F169" s="156"/>
      <c r="G169" s="24">
        <f t="shared" si="192"/>
        <v>27150.42</v>
      </c>
      <c r="H169" s="24">
        <f t="shared" si="193"/>
        <v>678.76049999999998</v>
      </c>
      <c r="I169" s="24">
        <v>0</v>
      </c>
      <c r="J169" s="24">
        <f t="shared" si="194"/>
        <v>4525.07</v>
      </c>
      <c r="K169" s="22">
        <f t="shared" si="195"/>
        <v>31675.489999999998</v>
      </c>
      <c r="L169" s="24">
        <f t="shared" si="244"/>
        <v>9050.14</v>
      </c>
      <c r="M169" s="156"/>
      <c r="N169" s="156">
        <f t="shared" si="249"/>
        <v>30000</v>
      </c>
      <c r="O169" s="24">
        <f t="shared" si="245"/>
        <v>905.01400000000001</v>
      </c>
      <c r="P169" s="24">
        <v>5000</v>
      </c>
      <c r="Q169" s="24">
        <f>7000</f>
        <v>7000</v>
      </c>
      <c r="R169" s="181">
        <f t="shared" si="246"/>
        <v>125035.03449999999</v>
      </c>
      <c r="S169" s="22"/>
      <c r="T169" s="22">
        <f>5000+5000+5000+5000</f>
        <v>20000</v>
      </c>
      <c r="U169" s="22">
        <f>20000</f>
        <v>20000</v>
      </c>
      <c r="V169" s="22"/>
      <c r="W169" s="22">
        <v>9504.2041399999998</v>
      </c>
      <c r="X169" s="234">
        <f t="shared" si="214"/>
        <v>49504.204140000002</v>
      </c>
      <c r="Y169" s="22">
        <v>75530.830359999993</v>
      </c>
      <c r="Z169" s="184">
        <f t="shared" si="248"/>
        <v>75530.830359999993</v>
      </c>
      <c r="AA169" s="157"/>
    </row>
    <row r="170" spans="1:27" ht="20.100000000000001" customHeight="1">
      <c r="A170" s="168">
        <v>37</v>
      </c>
      <c r="B170" s="133" t="s">
        <v>293</v>
      </c>
      <c r="C170" s="138" t="s">
        <v>283</v>
      </c>
      <c r="D170" s="158" t="s">
        <v>290</v>
      </c>
      <c r="E170" s="24">
        <v>9050.14</v>
      </c>
      <c r="F170" s="156"/>
      <c r="G170" s="24">
        <f t="shared" si="192"/>
        <v>27150.42</v>
      </c>
      <c r="H170" s="24">
        <f t="shared" si="193"/>
        <v>678.76049999999998</v>
      </c>
      <c r="I170" s="24"/>
      <c r="J170" s="24">
        <f t="shared" si="194"/>
        <v>4525.07</v>
      </c>
      <c r="K170" s="22">
        <f t="shared" si="195"/>
        <v>31675.489999999998</v>
      </c>
      <c r="L170" s="24">
        <f t="shared" ref="L170:L185" si="250">E170*100%</f>
        <v>9050.14</v>
      </c>
      <c r="M170" s="156"/>
      <c r="N170" s="156">
        <f t="shared" si="249"/>
        <v>30000</v>
      </c>
      <c r="O170" s="24">
        <f t="shared" si="245"/>
        <v>905.01400000000001</v>
      </c>
      <c r="P170" s="24">
        <v>5000</v>
      </c>
      <c r="Q170" s="24">
        <f>4000</f>
        <v>4000</v>
      </c>
      <c r="R170" s="181">
        <f t="shared" si="246"/>
        <v>122035.03449999999</v>
      </c>
      <c r="S170" s="22"/>
      <c r="T170" s="22">
        <f>10000+5000+5000</f>
        <v>20000</v>
      </c>
      <c r="U170" s="22">
        <f>13750</f>
        <v>13750</v>
      </c>
      <c r="V170" s="22"/>
      <c r="W170" s="22">
        <v>9144.2041399999998</v>
      </c>
      <c r="X170" s="234">
        <f t="shared" si="214"/>
        <v>42894.204140000002</v>
      </c>
      <c r="Y170" s="22">
        <v>79140.830359999993</v>
      </c>
      <c r="Z170" s="184">
        <f t="shared" si="248"/>
        <v>79140.830359999993</v>
      </c>
      <c r="AA170" s="157"/>
    </row>
    <row r="171" spans="1:27" ht="20.100000000000001" customHeight="1">
      <c r="A171" s="168">
        <v>38</v>
      </c>
      <c r="B171" s="134" t="s">
        <v>294</v>
      </c>
      <c r="C171" s="138" t="s">
        <v>283</v>
      </c>
      <c r="D171" s="158" t="s">
        <v>290</v>
      </c>
      <c r="E171" s="24">
        <v>9050.14</v>
      </c>
      <c r="F171" s="156"/>
      <c r="G171" s="24">
        <f t="shared" si="192"/>
        <v>27150.42</v>
      </c>
      <c r="H171" s="24">
        <f t="shared" si="193"/>
        <v>678.76049999999998</v>
      </c>
      <c r="I171" s="24"/>
      <c r="J171" s="24">
        <f t="shared" si="194"/>
        <v>4525.07</v>
      </c>
      <c r="K171" s="22">
        <f t="shared" si="195"/>
        <v>31675.489999999998</v>
      </c>
      <c r="L171" s="24">
        <f t="shared" si="250"/>
        <v>9050.14</v>
      </c>
      <c r="M171" s="156"/>
      <c r="N171" s="156">
        <f t="shared" si="249"/>
        <v>30000</v>
      </c>
      <c r="O171" s="24">
        <f t="shared" si="245"/>
        <v>905.01400000000001</v>
      </c>
      <c r="P171" s="24">
        <v>5000</v>
      </c>
      <c r="Q171" s="24">
        <f>4000</f>
        <v>4000</v>
      </c>
      <c r="R171" s="181">
        <f t="shared" si="246"/>
        <v>122035.03449999999</v>
      </c>
      <c r="S171" s="22"/>
      <c r="T171" s="22">
        <f>3000+5000+7000+5000</f>
        <v>20000</v>
      </c>
      <c r="U171" s="22">
        <f>16958.34</f>
        <v>16958.34</v>
      </c>
      <c r="V171" s="22"/>
      <c r="W171" s="22">
        <v>9144.2041399999998</v>
      </c>
      <c r="X171" s="234">
        <f t="shared" si="214"/>
        <v>46102.544139999998</v>
      </c>
      <c r="Y171" s="22">
        <v>75932.490359999996</v>
      </c>
      <c r="Z171" s="184">
        <f t="shared" si="248"/>
        <v>75932.490359999996</v>
      </c>
      <c r="AA171" s="157"/>
    </row>
    <row r="172" spans="1:27" ht="20.100000000000001" customHeight="1">
      <c r="A172" s="168">
        <v>39</v>
      </c>
      <c r="B172" s="134" t="s">
        <v>295</v>
      </c>
      <c r="C172" s="138" t="s">
        <v>283</v>
      </c>
      <c r="D172" s="158" t="s">
        <v>290</v>
      </c>
      <c r="E172" s="24">
        <v>9050.14</v>
      </c>
      <c r="F172" s="156"/>
      <c r="G172" s="24">
        <f t="shared" si="192"/>
        <v>27150.42</v>
      </c>
      <c r="H172" s="24">
        <f t="shared" si="193"/>
        <v>678.76049999999998</v>
      </c>
      <c r="I172" s="24"/>
      <c r="J172" s="24">
        <f t="shared" si="194"/>
        <v>4525.07</v>
      </c>
      <c r="K172" s="22">
        <f t="shared" si="195"/>
        <v>31675.489999999998</v>
      </c>
      <c r="L172" s="24">
        <f t="shared" si="250"/>
        <v>9050.14</v>
      </c>
      <c r="M172" s="156"/>
      <c r="N172" s="156">
        <f t="shared" si="249"/>
        <v>30000</v>
      </c>
      <c r="O172" s="24">
        <f t="shared" si="245"/>
        <v>905.01400000000001</v>
      </c>
      <c r="P172" s="24">
        <v>5000</v>
      </c>
      <c r="Q172" s="24">
        <f>7000</f>
        <v>7000</v>
      </c>
      <c r="R172" s="181">
        <f t="shared" si="246"/>
        <v>125035.03449999999</v>
      </c>
      <c r="S172" s="22"/>
      <c r="T172" s="22">
        <f>10000+5000+5000</f>
        <v>20000</v>
      </c>
      <c r="U172" s="22">
        <f>22361.11</f>
        <v>22361.11</v>
      </c>
      <c r="V172" s="22"/>
      <c r="W172" s="22">
        <v>9504.2041399999998</v>
      </c>
      <c r="X172" s="234">
        <f t="shared" si="214"/>
        <v>51865.314140000002</v>
      </c>
      <c r="Y172" s="22">
        <v>73169.720359999992</v>
      </c>
      <c r="Z172" s="184">
        <f t="shared" si="248"/>
        <v>73169.720359999992</v>
      </c>
      <c r="AA172" s="157"/>
    </row>
    <row r="173" spans="1:27" ht="20.100000000000001" customHeight="1">
      <c r="A173" s="168">
        <v>40</v>
      </c>
      <c r="B173" s="133" t="s">
        <v>296</v>
      </c>
      <c r="C173" s="138" t="s">
        <v>297</v>
      </c>
      <c r="D173" s="158" t="s">
        <v>298</v>
      </c>
      <c r="E173" s="24">
        <f>8730.79</f>
        <v>8730.7900000000009</v>
      </c>
      <c r="F173" s="156"/>
      <c r="G173" s="24">
        <f t="shared" si="192"/>
        <v>26192.370000000003</v>
      </c>
      <c r="H173" s="24">
        <f t="shared" si="193"/>
        <v>654.80925000000002</v>
      </c>
      <c r="I173" s="24"/>
      <c r="J173" s="24">
        <f t="shared" si="194"/>
        <v>4365.3950000000004</v>
      </c>
      <c r="K173" s="22">
        <f t="shared" si="195"/>
        <v>30557.765000000003</v>
      </c>
      <c r="L173" s="24">
        <f t="shared" si="250"/>
        <v>8730.7900000000009</v>
      </c>
      <c r="M173" s="156"/>
      <c r="N173" s="156">
        <f>30000</f>
        <v>30000</v>
      </c>
      <c r="O173" s="24">
        <f t="shared" si="245"/>
        <v>873.07900000000018</v>
      </c>
      <c r="P173" s="24">
        <v>5000</v>
      </c>
      <c r="Q173" s="24">
        <f>7000</f>
        <v>7000</v>
      </c>
      <c r="R173" s="22">
        <f t="shared" si="246"/>
        <v>122104.99825</v>
      </c>
      <c r="S173" s="22"/>
      <c r="T173" s="22">
        <f>10000+5000+5000</f>
        <v>20000</v>
      </c>
      <c r="U173" s="22">
        <f>15625</f>
        <v>15625</v>
      </c>
      <c r="V173" s="22"/>
      <c r="W173" s="22">
        <f>9152.6</f>
        <v>9152.6</v>
      </c>
      <c r="X173" s="22">
        <f t="shared" si="214"/>
        <v>44777.599999999999</v>
      </c>
      <c r="Y173" s="22">
        <v>130246.01839468812</v>
      </c>
      <c r="Z173" s="22">
        <f t="shared" si="248"/>
        <v>77327.398249999998</v>
      </c>
      <c r="AA173" s="157"/>
    </row>
    <row r="174" spans="1:27" ht="20.100000000000001" customHeight="1">
      <c r="A174" s="168">
        <v>41</v>
      </c>
      <c r="B174" s="133" t="s">
        <v>299</v>
      </c>
      <c r="C174" s="138" t="s">
        <v>297</v>
      </c>
      <c r="D174" s="158" t="s">
        <v>298</v>
      </c>
      <c r="E174" s="24">
        <f t="shared" ref="E174:E175" si="251">8730.79</f>
        <v>8730.7900000000009</v>
      </c>
      <c r="F174" s="156"/>
      <c r="G174" s="24">
        <f t="shared" si="192"/>
        <v>26192.370000000003</v>
      </c>
      <c r="H174" s="24">
        <f t="shared" si="193"/>
        <v>654.80925000000002</v>
      </c>
      <c r="I174" s="24"/>
      <c r="J174" s="24">
        <f t="shared" si="194"/>
        <v>4365.3950000000004</v>
      </c>
      <c r="K174" s="22">
        <f t="shared" si="195"/>
        <v>30557.765000000003</v>
      </c>
      <c r="L174" s="24">
        <f t="shared" si="250"/>
        <v>8730.7900000000009</v>
      </c>
      <c r="M174" s="156"/>
      <c r="N174" s="156">
        <f>30000</f>
        <v>30000</v>
      </c>
      <c r="O174" s="24">
        <f t="shared" si="245"/>
        <v>873.07900000000018</v>
      </c>
      <c r="P174" s="24">
        <v>5000</v>
      </c>
      <c r="Q174" s="24">
        <f>7000</f>
        <v>7000</v>
      </c>
      <c r="R174" s="22">
        <f>SUM(E174:Q174)</f>
        <v>122104.99825</v>
      </c>
      <c r="S174" s="22"/>
      <c r="T174" s="22">
        <v>20000</v>
      </c>
      <c r="U174" s="22">
        <v>18333.330000000002</v>
      </c>
      <c r="V174" s="22"/>
      <c r="W174" s="22">
        <f t="shared" ref="W174:W175" si="252">9152.6</f>
        <v>9152.6</v>
      </c>
      <c r="X174" s="22">
        <f t="shared" si="214"/>
        <v>47485.93</v>
      </c>
      <c r="Y174" s="22">
        <v>120972.63730221504</v>
      </c>
      <c r="Z174" s="22">
        <f t="shared" si="248"/>
        <v>74619.068250000011</v>
      </c>
      <c r="AA174" s="157"/>
    </row>
    <row r="175" spans="1:27" ht="20.100000000000001" customHeight="1">
      <c r="A175" s="168">
        <v>42</v>
      </c>
      <c r="B175" s="134" t="s">
        <v>300</v>
      </c>
      <c r="C175" s="138" t="s">
        <v>297</v>
      </c>
      <c r="D175" s="158" t="s">
        <v>298</v>
      </c>
      <c r="E175" s="24">
        <f t="shared" si="251"/>
        <v>8730.7900000000009</v>
      </c>
      <c r="F175" s="156"/>
      <c r="G175" s="24">
        <f t="shared" si="192"/>
        <v>26192.370000000003</v>
      </c>
      <c r="H175" s="24">
        <f t="shared" si="193"/>
        <v>654.80925000000002</v>
      </c>
      <c r="I175" s="24"/>
      <c r="J175" s="24">
        <f t="shared" si="194"/>
        <v>4365.3950000000004</v>
      </c>
      <c r="K175" s="22">
        <f t="shared" si="195"/>
        <v>30557.765000000003</v>
      </c>
      <c r="L175" s="24">
        <f t="shared" si="250"/>
        <v>8730.7900000000009</v>
      </c>
      <c r="M175" s="156"/>
      <c r="N175" s="156">
        <f>30000</f>
        <v>30000</v>
      </c>
      <c r="O175" s="24">
        <f t="shared" si="245"/>
        <v>873.07900000000018</v>
      </c>
      <c r="P175" s="24">
        <v>5000</v>
      </c>
      <c r="Q175" s="24">
        <f>7000</f>
        <v>7000</v>
      </c>
      <c r="R175" s="22">
        <f t="shared" si="246"/>
        <v>122104.99825</v>
      </c>
      <c r="S175" s="22"/>
      <c r="T175" s="22">
        <f>3000+5000+5000</f>
        <v>13000</v>
      </c>
      <c r="U175" s="22">
        <f>44000</f>
        <v>44000</v>
      </c>
      <c r="V175" s="22"/>
      <c r="W175" s="22">
        <f t="shared" si="252"/>
        <v>9152.6</v>
      </c>
      <c r="X175" s="22">
        <f t="shared" si="214"/>
        <v>66152.600000000006</v>
      </c>
      <c r="Y175" s="22">
        <v>146039.78753</v>
      </c>
      <c r="Z175" s="22">
        <f t="shared" si="248"/>
        <v>55952.398249999998</v>
      </c>
      <c r="AA175" s="157"/>
    </row>
    <row r="176" spans="1:27" ht="20.100000000000001" customHeight="1">
      <c r="A176" s="168">
        <v>43</v>
      </c>
      <c r="B176" s="133" t="s">
        <v>301</v>
      </c>
      <c r="C176" s="138" t="s">
        <v>302</v>
      </c>
      <c r="D176" s="158" t="s">
        <v>303</v>
      </c>
      <c r="E176" s="24">
        <v>5257.44</v>
      </c>
      <c r="F176" s="156"/>
      <c r="G176" s="24">
        <f t="shared" si="192"/>
        <v>15772.32</v>
      </c>
      <c r="H176" s="24">
        <f t="shared" si="193"/>
        <v>394.30799999999994</v>
      </c>
      <c r="I176" s="24"/>
      <c r="J176" s="24">
        <f t="shared" si="194"/>
        <v>2628.72</v>
      </c>
      <c r="K176" s="22">
        <f t="shared" si="195"/>
        <v>18401.039999999997</v>
      </c>
      <c r="L176" s="24">
        <f t="shared" si="250"/>
        <v>5257.44</v>
      </c>
      <c r="M176" s="156"/>
      <c r="N176" s="156">
        <f>20000</f>
        <v>20000</v>
      </c>
      <c r="O176" s="24">
        <f t="shared" si="245"/>
        <v>525.74400000000003</v>
      </c>
      <c r="P176" s="24">
        <v>5000</v>
      </c>
      <c r="Q176" s="24">
        <f>7000</f>
        <v>7000</v>
      </c>
      <c r="R176" s="181">
        <f t="shared" si="246"/>
        <v>80237.012000000002</v>
      </c>
      <c r="S176" s="22"/>
      <c r="T176" s="22">
        <f>15000</f>
        <v>15000</v>
      </c>
      <c r="U176" s="22">
        <f>20000</f>
        <v>20000</v>
      </c>
      <c r="V176" s="22"/>
      <c r="W176" s="22">
        <v>4227.5237226666677</v>
      </c>
      <c r="X176" s="234">
        <f t="shared" si="214"/>
        <v>39227.523722666665</v>
      </c>
      <c r="Y176" s="22">
        <v>41009.488277333337</v>
      </c>
      <c r="Z176" s="184">
        <f t="shared" si="248"/>
        <v>41009.488277333337</v>
      </c>
      <c r="AA176" s="157"/>
    </row>
    <row r="177" spans="1:27" ht="20.100000000000001" customHeight="1">
      <c r="A177" s="168">
        <v>44</v>
      </c>
      <c r="B177" s="133" t="s">
        <v>304</v>
      </c>
      <c r="C177" s="138" t="s">
        <v>305</v>
      </c>
      <c r="D177" s="158" t="s">
        <v>306</v>
      </c>
      <c r="E177" s="24">
        <v>5086.76</v>
      </c>
      <c r="F177" s="156"/>
      <c r="G177" s="24">
        <f t="shared" si="192"/>
        <v>15260.28</v>
      </c>
      <c r="H177" s="24">
        <f t="shared" si="193"/>
        <v>381.50700000000001</v>
      </c>
      <c r="I177" s="24"/>
      <c r="J177" s="24">
        <f t="shared" si="194"/>
        <v>2543.38</v>
      </c>
      <c r="K177" s="22">
        <f t="shared" si="195"/>
        <v>17803.66</v>
      </c>
      <c r="L177" s="24">
        <f t="shared" si="250"/>
        <v>5086.76</v>
      </c>
      <c r="M177" s="156"/>
      <c r="N177" s="156">
        <f>20000</f>
        <v>20000</v>
      </c>
      <c r="O177" s="24">
        <f t="shared" si="245"/>
        <v>508.67600000000004</v>
      </c>
      <c r="P177" s="24">
        <v>5000</v>
      </c>
      <c r="Q177" s="24">
        <f>7000</f>
        <v>7000</v>
      </c>
      <c r="R177" s="181">
        <f t="shared" si="246"/>
        <v>78671.023000000016</v>
      </c>
      <c r="S177" s="22"/>
      <c r="T177" s="22">
        <f>5000+5000+5000</f>
        <v>15000</v>
      </c>
      <c r="U177" s="22">
        <f>15000</f>
        <v>15000</v>
      </c>
      <c r="V177" s="22"/>
      <c r="W177" s="22">
        <v>4089.716690666668</v>
      </c>
      <c r="X177" s="234">
        <f t="shared" si="214"/>
        <v>34089.716690666668</v>
      </c>
      <c r="Y177" s="22">
        <v>44581.306309333348</v>
      </c>
      <c r="Z177" s="184">
        <f t="shared" si="248"/>
        <v>44581.306309333348</v>
      </c>
      <c r="AA177" s="157"/>
    </row>
    <row r="178" spans="1:27" ht="20.100000000000001" customHeight="1">
      <c r="A178" s="168">
        <v>45</v>
      </c>
      <c r="B178" s="133" t="s">
        <v>307</v>
      </c>
      <c r="C178" s="138" t="s">
        <v>305</v>
      </c>
      <c r="D178" s="158" t="s">
        <v>306</v>
      </c>
      <c r="E178" s="24">
        <v>5086.76</v>
      </c>
      <c r="F178" s="156"/>
      <c r="G178" s="24">
        <f t="shared" si="192"/>
        <v>15260.28</v>
      </c>
      <c r="H178" s="24">
        <f t="shared" si="193"/>
        <v>381.50700000000001</v>
      </c>
      <c r="I178" s="24"/>
      <c r="J178" s="24">
        <f t="shared" si="194"/>
        <v>2543.38</v>
      </c>
      <c r="K178" s="22">
        <f t="shared" si="195"/>
        <v>17803.66</v>
      </c>
      <c r="L178" s="24">
        <f t="shared" si="250"/>
        <v>5086.76</v>
      </c>
      <c r="M178" s="156"/>
      <c r="N178" s="156">
        <f>20000</f>
        <v>20000</v>
      </c>
      <c r="O178" s="24">
        <f t="shared" si="245"/>
        <v>508.67600000000004</v>
      </c>
      <c r="P178" s="24">
        <v>5000</v>
      </c>
      <c r="Q178" s="24">
        <f>4000</f>
        <v>4000</v>
      </c>
      <c r="R178" s="181">
        <f t="shared" si="246"/>
        <v>75671.023000000016</v>
      </c>
      <c r="S178" s="22"/>
      <c r="T178" s="22">
        <f>15000+5000+5000+5000</f>
        <v>30000</v>
      </c>
      <c r="U178" s="22">
        <f>25555.56</f>
        <v>25555.56</v>
      </c>
      <c r="V178" s="22"/>
      <c r="W178" s="22">
        <v>3825.716690666668</v>
      </c>
      <c r="X178" s="234">
        <f t="shared" si="214"/>
        <v>59381.276690666666</v>
      </c>
      <c r="Y178" s="22">
        <v>16289.74630933335</v>
      </c>
      <c r="Z178" s="184">
        <f t="shared" si="248"/>
        <v>16289.74630933335</v>
      </c>
      <c r="AA178" s="157"/>
    </row>
    <row r="179" spans="1:27" ht="20.100000000000001" customHeight="1">
      <c r="A179" s="168">
        <v>46</v>
      </c>
      <c r="B179" s="133" t="s">
        <v>308</v>
      </c>
      <c r="C179" s="138" t="s">
        <v>305</v>
      </c>
      <c r="D179" s="158" t="s">
        <v>306</v>
      </c>
      <c r="E179" s="24">
        <v>5086.76</v>
      </c>
      <c r="F179" s="156"/>
      <c r="G179" s="24">
        <f t="shared" si="192"/>
        <v>15260.28</v>
      </c>
      <c r="H179" s="24">
        <f t="shared" si="193"/>
        <v>381.50700000000001</v>
      </c>
      <c r="I179" s="24"/>
      <c r="J179" s="24">
        <f t="shared" si="194"/>
        <v>2543.38</v>
      </c>
      <c r="K179" s="22">
        <f t="shared" si="195"/>
        <v>17803.66</v>
      </c>
      <c r="L179" s="24">
        <f t="shared" si="250"/>
        <v>5086.76</v>
      </c>
      <c r="M179" s="156"/>
      <c r="N179" s="156">
        <f>20000</f>
        <v>20000</v>
      </c>
      <c r="O179" s="24">
        <f t="shared" si="245"/>
        <v>508.67600000000004</v>
      </c>
      <c r="P179" s="24">
        <v>5000</v>
      </c>
      <c r="Q179" s="24">
        <f>7000</f>
        <v>7000</v>
      </c>
      <c r="R179" s="181">
        <f t="shared" si="246"/>
        <v>78671.023000000016</v>
      </c>
      <c r="S179" s="22"/>
      <c r="T179" s="22">
        <f>5000+5000+5000</f>
        <v>15000</v>
      </c>
      <c r="U179" s="22">
        <v>15972.22</v>
      </c>
      <c r="V179" s="22"/>
      <c r="W179" s="22">
        <v>4089.716690666668</v>
      </c>
      <c r="X179" s="234">
        <f t="shared" si="214"/>
        <v>35061.936690666669</v>
      </c>
      <c r="Y179" s="22">
        <v>43609.086309333346</v>
      </c>
      <c r="Z179" s="184">
        <f t="shared" si="248"/>
        <v>43609.086309333346</v>
      </c>
      <c r="AA179" s="157"/>
    </row>
    <row r="180" spans="1:27" ht="20.100000000000001" customHeight="1">
      <c r="A180" s="168">
        <v>47</v>
      </c>
      <c r="B180" s="133" t="s">
        <v>309</v>
      </c>
      <c r="C180" s="138" t="s">
        <v>305</v>
      </c>
      <c r="D180" s="158" t="s">
        <v>306</v>
      </c>
      <c r="E180" s="24">
        <v>5086.76</v>
      </c>
      <c r="F180" s="156"/>
      <c r="G180" s="24">
        <f t="shared" si="192"/>
        <v>15260.28</v>
      </c>
      <c r="H180" s="24">
        <f t="shared" si="193"/>
        <v>381.50700000000001</v>
      </c>
      <c r="I180" s="24"/>
      <c r="J180" s="24">
        <f t="shared" si="194"/>
        <v>2543.38</v>
      </c>
      <c r="K180" s="22">
        <f t="shared" si="195"/>
        <v>17803.66</v>
      </c>
      <c r="L180" s="24">
        <f t="shared" si="250"/>
        <v>5086.76</v>
      </c>
      <c r="M180" s="156"/>
      <c r="N180" s="156">
        <f>20000</f>
        <v>20000</v>
      </c>
      <c r="O180" s="24">
        <f t="shared" si="245"/>
        <v>508.67600000000004</v>
      </c>
      <c r="P180" s="24">
        <v>5000</v>
      </c>
      <c r="Q180" s="24">
        <f>4000</f>
        <v>4000</v>
      </c>
      <c r="R180" s="181">
        <f t="shared" si="246"/>
        <v>75671.023000000016</v>
      </c>
      <c r="S180" s="22"/>
      <c r="T180" s="22">
        <f>10000+5000+5000</f>
        <v>20000</v>
      </c>
      <c r="U180" s="22">
        <v>8416.67</v>
      </c>
      <c r="V180" s="22"/>
      <c r="W180" s="22">
        <v>3825.716690666668</v>
      </c>
      <c r="X180" s="234">
        <f t="shared" si="214"/>
        <v>32242.386690666666</v>
      </c>
      <c r="Y180" s="22">
        <v>43428.636309333349</v>
      </c>
      <c r="Z180" s="184">
        <f t="shared" si="248"/>
        <v>43428.636309333349</v>
      </c>
      <c r="AA180" s="157"/>
    </row>
    <row r="181" spans="1:27" ht="20.100000000000001" customHeight="1">
      <c r="A181" s="168">
        <v>48</v>
      </c>
      <c r="B181" s="133" t="s">
        <v>310</v>
      </c>
      <c r="C181" s="138" t="s">
        <v>305</v>
      </c>
      <c r="D181" s="158" t="s">
        <v>306</v>
      </c>
      <c r="E181" s="24">
        <v>5086.76</v>
      </c>
      <c r="F181" s="156"/>
      <c r="G181" s="24">
        <f t="shared" si="192"/>
        <v>15260.28</v>
      </c>
      <c r="H181" s="24">
        <f t="shared" si="193"/>
        <v>381.50700000000001</v>
      </c>
      <c r="I181" s="24"/>
      <c r="J181" s="24">
        <f t="shared" si="194"/>
        <v>2543.38</v>
      </c>
      <c r="K181" s="22">
        <f t="shared" si="195"/>
        <v>17803.66</v>
      </c>
      <c r="L181" s="24">
        <f t="shared" si="250"/>
        <v>5086.76</v>
      </c>
      <c r="M181" s="156"/>
      <c r="N181" s="156">
        <f>20000</f>
        <v>20000</v>
      </c>
      <c r="O181" s="24">
        <f t="shared" si="245"/>
        <v>508.67600000000004</v>
      </c>
      <c r="P181" s="24">
        <v>5000</v>
      </c>
      <c r="Q181" s="24">
        <f>7000</f>
        <v>7000</v>
      </c>
      <c r="R181" s="181">
        <f t="shared" si="246"/>
        <v>78671.023000000016</v>
      </c>
      <c r="S181" s="22"/>
      <c r="T181" s="22">
        <f>5000</f>
        <v>5000</v>
      </c>
      <c r="U181" s="22">
        <f>30000</f>
        <v>30000</v>
      </c>
      <c r="V181" s="22"/>
      <c r="W181" s="22">
        <v>4089.716690666668</v>
      </c>
      <c r="X181" s="234">
        <f t="shared" si="214"/>
        <v>39089.716690666668</v>
      </c>
      <c r="Y181" s="22">
        <v>39581.306309333348</v>
      </c>
      <c r="Z181" s="184">
        <f t="shared" si="248"/>
        <v>39581.306309333348</v>
      </c>
      <c r="AA181" s="157"/>
    </row>
    <row r="182" spans="1:27" ht="20.100000000000001" customHeight="1">
      <c r="A182" s="168">
        <v>49</v>
      </c>
      <c r="B182" s="134" t="s">
        <v>311</v>
      </c>
      <c r="C182" s="138" t="s">
        <v>305</v>
      </c>
      <c r="D182" s="158" t="s">
        <v>306</v>
      </c>
      <c r="E182" s="24">
        <v>5086.76</v>
      </c>
      <c r="F182" s="156"/>
      <c r="G182" s="24">
        <f t="shared" ref="G182" si="253">E182*300%</f>
        <v>15260.28</v>
      </c>
      <c r="H182" s="24">
        <f t="shared" ref="H182" si="254">E182*7.5%</f>
        <v>381.50700000000001</v>
      </c>
      <c r="I182" s="24"/>
      <c r="J182" s="24">
        <f t="shared" ref="J182" si="255">E182*50%</f>
        <v>2543.38</v>
      </c>
      <c r="K182" s="22">
        <f t="shared" ref="K182" si="256">E182*350%</f>
        <v>17803.66</v>
      </c>
      <c r="L182" s="24">
        <f t="shared" ref="L182" si="257">E182*100%</f>
        <v>5086.76</v>
      </c>
      <c r="M182" s="156"/>
      <c r="N182" s="156">
        <f>20000</f>
        <v>20000</v>
      </c>
      <c r="O182" s="24">
        <f t="shared" ref="O182" si="258">E182*10%</f>
        <v>508.67600000000004</v>
      </c>
      <c r="P182" s="24">
        <v>5000</v>
      </c>
      <c r="Q182" s="24">
        <f>4000</f>
        <v>4000</v>
      </c>
      <c r="R182" s="181">
        <f t="shared" ref="R182" si="259">SUM(E182:Q182)</f>
        <v>75671.023000000016</v>
      </c>
      <c r="S182" s="22"/>
      <c r="T182" s="22">
        <v>5000</v>
      </c>
      <c r="U182" s="22">
        <v>0</v>
      </c>
      <c r="V182" s="22"/>
      <c r="W182" s="22">
        <v>3825.716690666668</v>
      </c>
      <c r="X182" s="234">
        <f t="shared" si="214"/>
        <v>8825.716690666668</v>
      </c>
      <c r="Y182" s="22">
        <v>66845.306309333348</v>
      </c>
      <c r="Z182" s="184">
        <f t="shared" si="248"/>
        <v>66845.306309333348</v>
      </c>
      <c r="AA182" s="157"/>
    </row>
    <row r="183" spans="1:27" ht="20.100000000000001" customHeight="1">
      <c r="A183" s="168">
        <v>50</v>
      </c>
      <c r="B183" s="134" t="s">
        <v>312</v>
      </c>
      <c r="C183" s="138" t="s">
        <v>305</v>
      </c>
      <c r="D183" s="158" t="s">
        <v>306</v>
      </c>
      <c r="E183" s="24">
        <v>5086.76</v>
      </c>
      <c r="F183" s="156"/>
      <c r="G183" s="24">
        <f>E183*300%</f>
        <v>15260.28</v>
      </c>
      <c r="H183" s="24">
        <f>E183*7.5%</f>
        <v>381.50700000000001</v>
      </c>
      <c r="I183" s="24"/>
      <c r="J183" s="24">
        <f>E183*50%</f>
        <v>2543.38</v>
      </c>
      <c r="K183" s="22">
        <f>E183*350%</f>
        <v>17803.66</v>
      </c>
      <c r="L183" s="24">
        <f>E183*100%</f>
        <v>5086.76</v>
      </c>
      <c r="M183" s="156"/>
      <c r="N183" s="156">
        <f>20000</f>
        <v>20000</v>
      </c>
      <c r="O183" s="24">
        <f>E183*10%</f>
        <v>508.67600000000004</v>
      </c>
      <c r="P183" s="24">
        <v>5000</v>
      </c>
      <c r="Q183" s="24">
        <f>7000</f>
        <v>7000</v>
      </c>
      <c r="R183" s="181">
        <f t="shared" ref="R183" si="260">SUM(E183:Q183)</f>
        <v>78671.023000000016</v>
      </c>
      <c r="S183" s="22"/>
      <c r="T183" s="22">
        <f>10000+5000+5000</f>
        <v>20000</v>
      </c>
      <c r="U183" s="22">
        <f>0</f>
        <v>0</v>
      </c>
      <c r="V183" s="22"/>
      <c r="W183" s="22">
        <v>4089.716690666668</v>
      </c>
      <c r="X183" s="234">
        <f t="shared" si="214"/>
        <v>24089.716690666668</v>
      </c>
      <c r="Y183" s="22">
        <v>54581.306309333348</v>
      </c>
      <c r="Z183" s="184">
        <f t="shared" si="248"/>
        <v>54581.306309333348</v>
      </c>
      <c r="AA183" s="157"/>
    </row>
    <row r="184" spans="1:27" ht="20.100000000000001" customHeight="1">
      <c r="A184" s="168">
        <v>51</v>
      </c>
      <c r="B184" s="133" t="s">
        <v>313</v>
      </c>
      <c r="C184" s="138" t="s">
        <v>302</v>
      </c>
      <c r="D184" s="158" t="s">
        <v>306</v>
      </c>
      <c r="E184" s="24">
        <v>5086.76</v>
      </c>
      <c r="F184" s="156"/>
      <c r="G184" s="24">
        <v>15260.28</v>
      </c>
      <c r="H184" s="24">
        <v>381.50700000000001</v>
      </c>
      <c r="I184" s="24"/>
      <c r="J184" s="24">
        <v>2543.38</v>
      </c>
      <c r="K184" s="22">
        <v>17803.66</v>
      </c>
      <c r="L184" s="24">
        <v>5086.76</v>
      </c>
      <c r="M184" s="156"/>
      <c r="N184" s="156">
        <v>20000</v>
      </c>
      <c r="O184" s="24">
        <v>508.67600000000004</v>
      </c>
      <c r="P184" s="24">
        <v>5000</v>
      </c>
      <c r="Q184" s="24">
        <v>7000</v>
      </c>
      <c r="R184" s="181">
        <f>78671.023</f>
        <v>78671.023000000001</v>
      </c>
      <c r="S184" s="22"/>
      <c r="T184" s="22">
        <v>20000</v>
      </c>
      <c r="U184" s="22">
        <v>10000</v>
      </c>
      <c r="V184" s="22"/>
      <c r="W184" s="22">
        <f>4089.71669066667</f>
        <v>4089.7166906666698</v>
      </c>
      <c r="X184" s="234">
        <f t="shared" si="214"/>
        <v>34089.716690666668</v>
      </c>
      <c r="Y184" s="22">
        <v>44581.306309333333</v>
      </c>
      <c r="Z184" s="184">
        <f t="shared" si="248"/>
        <v>44581.306309333333</v>
      </c>
      <c r="AA184" s="157"/>
    </row>
    <row r="185" spans="1:27" ht="20.100000000000001" customHeight="1">
      <c r="A185" s="168">
        <v>52</v>
      </c>
      <c r="B185" s="133" t="s">
        <v>314</v>
      </c>
      <c r="C185" s="138" t="s">
        <v>302</v>
      </c>
      <c r="D185" s="158" t="s">
        <v>306</v>
      </c>
      <c r="E185" s="24">
        <v>5086.76</v>
      </c>
      <c r="F185" s="156"/>
      <c r="G185" s="24">
        <f t="shared" si="192"/>
        <v>15260.28</v>
      </c>
      <c r="H185" s="24">
        <f t="shared" si="193"/>
        <v>381.50700000000001</v>
      </c>
      <c r="I185" s="24"/>
      <c r="J185" s="24">
        <f t="shared" si="194"/>
        <v>2543.38</v>
      </c>
      <c r="K185" s="22">
        <f t="shared" si="195"/>
        <v>17803.66</v>
      </c>
      <c r="L185" s="24">
        <f t="shared" si="250"/>
        <v>5086.76</v>
      </c>
      <c r="M185" s="156"/>
      <c r="N185" s="156">
        <v>20000</v>
      </c>
      <c r="O185" s="24">
        <f t="shared" si="245"/>
        <v>508.67600000000004</v>
      </c>
      <c r="P185" s="24">
        <v>5000</v>
      </c>
      <c r="Q185" s="24">
        <f>7000</f>
        <v>7000</v>
      </c>
      <c r="R185" s="181">
        <f t="shared" si="246"/>
        <v>78671.023000000016</v>
      </c>
      <c r="S185" s="22"/>
      <c r="T185" s="22">
        <f>10000+5000+5000</f>
        <v>20000</v>
      </c>
      <c r="U185" s="22">
        <f>26222.06</f>
        <v>26222.06</v>
      </c>
      <c r="V185" s="22"/>
      <c r="W185" s="22">
        <v>4089.716690666668</v>
      </c>
      <c r="X185" s="234">
        <f t="shared" si="214"/>
        <v>50311.776690666666</v>
      </c>
      <c r="Y185" s="22">
        <v>28359.24630933335</v>
      </c>
      <c r="Z185" s="184">
        <f t="shared" si="248"/>
        <v>28359.24630933335</v>
      </c>
      <c r="AA185" s="157"/>
    </row>
    <row r="186" spans="1:27" ht="20.100000000000001" customHeight="1">
      <c r="A186" s="168">
        <v>53</v>
      </c>
      <c r="B186" s="134" t="s">
        <v>315</v>
      </c>
      <c r="C186" s="138" t="s">
        <v>316</v>
      </c>
      <c r="D186" s="158" t="s">
        <v>317</v>
      </c>
      <c r="E186" s="24">
        <f>[5]Sheet1!$D$40</f>
        <v>4915.9399999999996</v>
      </c>
      <c r="F186" s="156"/>
      <c r="G186" s="24">
        <f t="shared" ref="G186" si="261">E186*300%</f>
        <v>14747.82</v>
      </c>
      <c r="H186" s="24">
        <f t="shared" ref="H186" si="262">E186*7.5%</f>
        <v>368.69549999999998</v>
      </c>
      <c r="I186" s="24"/>
      <c r="J186" s="24">
        <f t="shared" ref="J186" si="263">E186*50%</f>
        <v>2457.9699999999998</v>
      </c>
      <c r="K186" s="22">
        <f t="shared" ref="K186" si="264">E186*350%</f>
        <v>17205.789999999997</v>
      </c>
      <c r="L186" s="24">
        <f t="shared" ref="L186" si="265">E186*100%</f>
        <v>4915.9399999999996</v>
      </c>
      <c r="M186" s="156"/>
      <c r="N186" s="156">
        <f>20000</f>
        <v>20000</v>
      </c>
      <c r="O186" s="24">
        <f t="shared" ref="O186" si="266">E186*10%</f>
        <v>491.59399999999999</v>
      </c>
      <c r="P186" s="24">
        <v>5000</v>
      </c>
      <c r="Q186" s="24">
        <f>4000+3000</f>
        <v>7000</v>
      </c>
      <c r="R186" s="22">
        <f t="shared" ref="R186" si="267">SUM(E186:Q186)</f>
        <v>77103.749500000005</v>
      </c>
      <c r="S186" s="22"/>
      <c r="T186" s="22">
        <f>10000+5000+5000</f>
        <v>20000</v>
      </c>
      <c r="U186" s="22">
        <f>32916.67</f>
        <v>32916.67</v>
      </c>
      <c r="V186" s="22"/>
      <c r="W186" s="22">
        <f>[3]PROMOTIONS!$X$45</f>
        <v>3951.8553333333325</v>
      </c>
      <c r="X186" s="234">
        <f t="shared" si="214"/>
        <v>56868.525333333331</v>
      </c>
      <c r="Y186" s="22">
        <v>20235.224166666674</v>
      </c>
      <c r="Z186" s="184">
        <f t="shared" si="248"/>
        <v>20235.224166666674</v>
      </c>
      <c r="AA186" s="157"/>
    </row>
    <row r="187" spans="1:27" ht="20.100000000000001" customHeight="1">
      <c r="A187" s="168">
        <v>54</v>
      </c>
      <c r="B187" s="134" t="s">
        <v>318</v>
      </c>
      <c r="C187" s="138" t="s">
        <v>305</v>
      </c>
      <c r="D187" s="158" t="s">
        <v>319</v>
      </c>
      <c r="E187" s="156">
        <f>4395.43</f>
        <v>4395.43</v>
      </c>
      <c r="F187" s="156"/>
      <c r="G187" s="24">
        <f t="shared" ref="G187:G188" si="268">E187*300%</f>
        <v>13186.29</v>
      </c>
      <c r="H187" s="24">
        <f t="shared" ref="H187:H188" si="269">E187*7.5%</f>
        <v>329.65725000000003</v>
      </c>
      <c r="I187" s="24"/>
      <c r="J187" s="24">
        <f t="shared" ref="J187:J188" si="270">E187*50%</f>
        <v>2197.7150000000001</v>
      </c>
      <c r="K187" s="22">
        <f t="shared" ref="K187:K188" si="271">E187*350%</f>
        <v>15384.005000000001</v>
      </c>
      <c r="L187" s="24">
        <f t="shared" ref="L187" si="272">E187*100%</f>
        <v>4395.43</v>
      </c>
      <c r="M187" s="156"/>
      <c r="N187" s="156">
        <f>15000</f>
        <v>15000</v>
      </c>
      <c r="O187" s="24">
        <f t="shared" ref="O187:O188" si="273">E187*10%</f>
        <v>439.54300000000006</v>
      </c>
      <c r="P187" s="24">
        <v>5000</v>
      </c>
      <c r="Q187" s="24">
        <f>7000</f>
        <v>7000</v>
      </c>
      <c r="R187" s="181">
        <f>SUM(E187:Q187)</f>
        <v>67328.070250000004</v>
      </c>
      <c r="S187" s="22"/>
      <c r="T187" s="22">
        <v>15000</v>
      </c>
      <c r="U187" s="22">
        <f>11518</f>
        <v>11518</v>
      </c>
      <c r="V187" s="22"/>
      <c r="W187" s="22">
        <v>3091.5368486666671</v>
      </c>
      <c r="X187" s="234">
        <f t="shared" si="214"/>
        <v>29609.536848666667</v>
      </c>
      <c r="Y187" s="22">
        <v>47718.533401333334</v>
      </c>
      <c r="Z187" s="184">
        <f t="shared" si="248"/>
        <v>37718.533401333334</v>
      </c>
      <c r="AA187" s="157"/>
    </row>
    <row r="188" spans="1:27" ht="20.100000000000001" customHeight="1">
      <c r="A188" s="168">
        <v>55</v>
      </c>
      <c r="B188" s="134" t="s">
        <v>320</v>
      </c>
      <c r="C188" s="138" t="s">
        <v>321</v>
      </c>
      <c r="D188" s="158" t="s">
        <v>322</v>
      </c>
      <c r="E188" s="49">
        <v>4101.58</v>
      </c>
      <c r="F188" s="34"/>
      <c r="G188" s="49">
        <f t="shared" si="268"/>
        <v>12304.74</v>
      </c>
      <c r="H188" s="49">
        <f t="shared" si="269"/>
        <v>307.61849999999998</v>
      </c>
      <c r="I188" s="49"/>
      <c r="J188" s="49">
        <f t="shared" si="270"/>
        <v>2050.79</v>
      </c>
      <c r="K188" s="34">
        <f t="shared" si="271"/>
        <v>14355.529999999999</v>
      </c>
      <c r="L188" s="49">
        <f>E188*100%</f>
        <v>4101.58</v>
      </c>
      <c r="M188" s="19"/>
      <c r="N188" s="49">
        <v>15000</v>
      </c>
      <c r="O188" s="49">
        <f t="shared" si="273"/>
        <v>410.15800000000002</v>
      </c>
      <c r="P188" s="49">
        <v>5000</v>
      </c>
      <c r="Q188" s="49">
        <v>4000</v>
      </c>
      <c r="R188" s="266">
        <f t="shared" ref="R188" si="274">SUM(E188:Q188)</f>
        <v>61631.996500000001</v>
      </c>
      <c r="S188" s="22"/>
      <c r="T188" s="22"/>
      <c r="U188" s="22"/>
      <c r="V188" s="22"/>
      <c r="W188" s="22">
        <f>2590.28</f>
        <v>2590.2800000000002</v>
      </c>
      <c r="X188" s="234">
        <f t="shared" si="214"/>
        <v>2590.2800000000002</v>
      </c>
      <c r="Y188" s="22">
        <v>59041.716500000002</v>
      </c>
      <c r="Z188" s="184">
        <f t="shared" si="248"/>
        <v>59041.716500000002</v>
      </c>
      <c r="AA188" s="157"/>
    </row>
    <row r="189" spans="1:27" ht="20.100000000000001" customHeight="1">
      <c r="A189" s="168">
        <v>56</v>
      </c>
      <c r="B189" s="134" t="s">
        <v>323</v>
      </c>
      <c r="C189" s="138" t="s">
        <v>321</v>
      </c>
      <c r="D189" s="158" t="s">
        <v>322</v>
      </c>
      <c r="E189" s="49">
        <v>4101.58</v>
      </c>
      <c r="F189" s="34"/>
      <c r="G189" s="49">
        <f t="shared" ref="G189:G191" si="275">E189*300%</f>
        <v>12304.74</v>
      </c>
      <c r="H189" s="49">
        <f t="shared" ref="H189:H191" si="276">E189*7.5%</f>
        <v>307.61849999999998</v>
      </c>
      <c r="I189" s="49"/>
      <c r="J189" s="49">
        <f t="shared" ref="J189:J191" si="277">E189*50%</f>
        <v>2050.79</v>
      </c>
      <c r="K189" s="34">
        <f t="shared" ref="K189:K191" si="278">E189*350%</f>
        <v>14355.529999999999</v>
      </c>
      <c r="L189" s="49">
        <f t="shared" ref="L189:L191" si="279">E189*100%</f>
        <v>4101.58</v>
      </c>
      <c r="M189" s="19"/>
      <c r="N189" s="49">
        <v>15000</v>
      </c>
      <c r="O189" s="49">
        <f t="shared" ref="O189:O191" si="280">E189*10%</f>
        <v>410.15800000000002</v>
      </c>
      <c r="P189" s="49">
        <v>5000</v>
      </c>
      <c r="Q189" s="49">
        <v>4000</v>
      </c>
      <c r="R189" s="266">
        <f t="shared" ref="R189:R190" si="281">SUM(E189:Q189)</f>
        <v>61631.996500000001</v>
      </c>
      <c r="S189" s="22"/>
      <c r="T189" s="22"/>
      <c r="U189" s="22"/>
      <c r="V189" s="22"/>
      <c r="W189" s="22">
        <f t="shared" ref="W189:W190" si="282">2590.28</f>
        <v>2590.2800000000002</v>
      </c>
      <c r="X189" s="234">
        <f t="shared" ref="X189:X191" si="283">W189+V189+U189+T189+S189</f>
        <v>2590.2800000000002</v>
      </c>
      <c r="Y189" s="22">
        <v>59041.716500000002</v>
      </c>
      <c r="Z189" s="184">
        <f t="shared" si="248"/>
        <v>59041.716500000002</v>
      </c>
      <c r="AA189" s="157"/>
    </row>
    <row r="190" spans="1:27" ht="20.100000000000001" customHeight="1">
      <c r="A190" s="168">
        <v>57</v>
      </c>
      <c r="B190" s="134" t="s">
        <v>324</v>
      </c>
      <c r="C190" s="138" t="s">
        <v>321</v>
      </c>
      <c r="D190" s="158" t="s">
        <v>322</v>
      </c>
      <c r="E190" s="49">
        <v>4101.58</v>
      </c>
      <c r="F190" s="34"/>
      <c r="G190" s="49">
        <f t="shared" si="275"/>
        <v>12304.74</v>
      </c>
      <c r="H190" s="49">
        <f t="shared" si="276"/>
        <v>307.61849999999998</v>
      </c>
      <c r="I190" s="49"/>
      <c r="J190" s="49">
        <f t="shared" si="277"/>
        <v>2050.79</v>
      </c>
      <c r="K190" s="34">
        <f t="shared" si="278"/>
        <v>14355.529999999999</v>
      </c>
      <c r="L190" s="49">
        <f t="shared" si="279"/>
        <v>4101.58</v>
      </c>
      <c r="M190" s="19"/>
      <c r="N190" s="49">
        <v>15000</v>
      </c>
      <c r="O190" s="49">
        <f t="shared" si="280"/>
        <v>410.15800000000002</v>
      </c>
      <c r="P190" s="49">
        <v>5000</v>
      </c>
      <c r="Q190" s="49">
        <v>4000</v>
      </c>
      <c r="R190" s="266">
        <f t="shared" si="281"/>
        <v>61631.996500000001</v>
      </c>
      <c r="S190" s="22"/>
      <c r="T190" s="22"/>
      <c r="U190" s="22"/>
      <c r="V190" s="22"/>
      <c r="W190" s="22">
        <f t="shared" si="282"/>
        <v>2590.2800000000002</v>
      </c>
      <c r="X190" s="234">
        <f t="shared" si="283"/>
        <v>2590.2800000000002</v>
      </c>
      <c r="Y190" s="22">
        <v>59041.716500000002</v>
      </c>
      <c r="Z190" s="184">
        <f t="shared" si="248"/>
        <v>59041.716500000002</v>
      </c>
      <c r="AA190" s="157"/>
    </row>
    <row r="191" spans="1:27" ht="20.100000000000001" customHeight="1">
      <c r="A191" s="168">
        <v>58</v>
      </c>
      <c r="B191" s="134" t="s">
        <v>325</v>
      </c>
      <c r="C191" s="138" t="s">
        <v>326</v>
      </c>
      <c r="D191" s="158" t="s">
        <v>327</v>
      </c>
      <c r="E191" s="156">
        <f>4745.29</f>
        <v>4745.29</v>
      </c>
      <c r="F191" s="34"/>
      <c r="G191" s="24">
        <f t="shared" si="275"/>
        <v>14235.869999999999</v>
      </c>
      <c r="H191" s="24">
        <f t="shared" si="276"/>
        <v>355.89675</v>
      </c>
      <c r="I191" s="24"/>
      <c r="J191" s="24">
        <f t="shared" si="277"/>
        <v>2372.645</v>
      </c>
      <c r="K191" s="22">
        <f t="shared" si="278"/>
        <v>16608.514999999999</v>
      </c>
      <c r="L191" s="24">
        <f t="shared" si="279"/>
        <v>4745.29</v>
      </c>
      <c r="M191" s="156"/>
      <c r="N191" s="156">
        <f>15000</f>
        <v>15000</v>
      </c>
      <c r="O191" s="24">
        <f t="shared" si="280"/>
        <v>474.529</v>
      </c>
      <c r="P191" s="24">
        <v>5000</v>
      </c>
      <c r="Q191" s="24">
        <v>7000</v>
      </c>
      <c r="R191" s="181">
        <f>SUM(E191:Q191)</f>
        <v>70538.03575000001</v>
      </c>
      <c r="S191" s="22"/>
      <c r="T191" s="22"/>
      <c r="U191" s="22"/>
      <c r="V191" s="22"/>
      <c r="W191" s="22">
        <f>3374.01</f>
        <v>3374.01</v>
      </c>
      <c r="X191" s="234">
        <f t="shared" si="283"/>
        <v>3374.01</v>
      </c>
      <c r="Y191" s="22">
        <v>67164.025750000015</v>
      </c>
      <c r="Z191" s="184">
        <f t="shared" si="248"/>
        <v>67164.025750000015</v>
      </c>
      <c r="AA191" s="157"/>
    </row>
    <row r="192" spans="1:27" ht="20.100000000000001" customHeight="1">
      <c r="A192" s="168">
        <v>59</v>
      </c>
      <c r="B192" s="134" t="s">
        <v>328</v>
      </c>
      <c r="C192" s="138" t="s">
        <v>326</v>
      </c>
      <c r="D192" s="158" t="s">
        <v>327</v>
      </c>
      <c r="E192" s="156">
        <f>4745.29</f>
        <v>4745.29</v>
      </c>
      <c r="F192" s="34"/>
      <c r="G192" s="24">
        <f t="shared" ref="G192" si="284">E192*300%</f>
        <v>14235.869999999999</v>
      </c>
      <c r="H192" s="24">
        <f t="shared" ref="H192" si="285">E192*7.5%</f>
        <v>355.89675</v>
      </c>
      <c r="I192" s="24"/>
      <c r="J192" s="24">
        <f t="shared" ref="J192" si="286">E192*50%</f>
        <v>2372.645</v>
      </c>
      <c r="K192" s="22">
        <f t="shared" ref="K192" si="287">E192*350%</f>
        <v>16608.514999999999</v>
      </c>
      <c r="L192" s="24">
        <f t="shared" ref="L192" si="288">E192*100%</f>
        <v>4745.29</v>
      </c>
      <c r="M192" s="156"/>
      <c r="N192" s="156">
        <f>15000</f>
        <v>15000</v>
      </c>
      <c r="O192" s="24">
        <f t="shared" ref="O192" si="289">E192*10%</f>
        <v>474.529</v>
      </c>
      <c r="P192" s="24">
        <v>5000</v>
      </c>
      <c r="Q192" s="24">
        <v>7000</v>
      </c>
      <c r="R192" s="181">
        <f>SUM(E192:Q192)</f>
        <v>70538.03575000001</v>
      </c>
      <c r="S192" s="22"/>
      <c r="T192" s="22"/>
      <c r="U192" s="22"/>
      <c r="V192" s="22"/>
      <c r="W192" s="22">
        <f>3374.01</f>
        <v>3374.01</v>
      </c>
      <c r="X192" s="234">
        <f t="shared" ref="X192" si="290">W192+V192+U192+T192+S192</f>
        <v>3374.01</v>
      </c>
      <c r="Y192" s="22">
        <v>67164.025750000015</v>
      </c>
      <c r="Z192" s="184">
        <f t="shared" si="248"/>
        <v>67164.025750000015</v>
      </c>
      <c r="AA192" s="157"/>
    </row>
    <row r="193" spans="1:27" ht="20.100000000000001" customHeight="1">
      <c r="A193" s="168"/>
      <c r="B193" s="154" t="s">
        <v>91</v>
      </c>
      <c r="C193" s="170" t="s">
        <v>329</v>
      </c>
      <c r="D193" s="21"/>
      <c r="E193" s="65">
        <f>SUM(E134:E192)</f>
        <v>848717.82</v>
      </c>
      <c r="F193" s="65">
        <f t="shared" ref="F193:Z193" si="291">SUM(F134:F192)</f>
        <v>0</v>
      </c>
      <c r="G193" s="65">
        <f t="shared" si="291"/>
        <v>2546153.4599999986</v>
      </c>
      <c r="H193" s="65">
        <f t="shared" si="291"/>
        <v>63653.836499999954</v>
      </c>
      <c r="I193" s="65">
        <f t="shared" si="291"/>
        <v>160488.76</v>
      </c>
      <c r="J193" s="65">
        <f t="shared" si="291"/>
        <v>424358.91</v>
      </c>
      <c r="K193" s="65">
        <f t="shared" si="291"/>
        <v>2970512.3700000034</v>
      </c>
      <c r="L193" s="65">
        <f t="shared" si="291"/>
        <v>848717.82</v>
      </c>
      <c r="M193" s="65">
        <f t="shared" si="291"/>
        <v>0</v>
      </c>
      <c r="N193" s="65">
        <f t="shared" si="291"/>
        <v>2490000</v>
      </c>
      <c r="O193" s="65">
        <f t="shared" si="291"/>
        <v>84871.781999999992</v>
      </c>
      <c r="P193" s="65">
        <f t="shared" si="291"/>
        <v>530000</v>
      </c>
      <c r="Q193" s="65">
        <f t="shared" si="291"/>
        <v>228000</v>
      </c>
      <c r="R193" s="65">
        <f t="shared" si="291"/>
        <v>11195475.758500002</v>
      </c>
      <c r="S193" s="65">
        <f t="shared" si="291"/>
        <v>0</v>
      </c>
      <c r="T193" s="65">
        <f t="shared" si="291"/>
        <v>1105500</v>
      </c>
      <c r="U193" s="65">
        <f t="shared" si="291"/>
        <v>2019205.0300000005</v>
      </c>
      <c r="V193" s="65">
        <f t="shared" si="291"/>
        <v>6253.0874999999987</v>
      </c>
      <c r="W193" s="65">
        <f t="shared" si="291"/>
        <v>1234350.1926966682</v>
      </c>
      <c r="X193" s="334">
        <f t="shared" si="291"/>
        <v>4365308.310196666</v>
      </c>
      <c r="Y193" s="65">
        <v>7020777.0267802384</v>
      </c>
      <c r="Z193" s="313">
        <f t="shared" si="291"/>
        <v>6830167.4483033335</v>
      </c>
      <c r="AA193" s="157"/>
    </row>
    <row r="194" spans="1:27" ht="19.5" customHeight="1">
      <c r="A194" s="19"/>
      <c r="B194" s="171" t="s">
        <v>330</v>
      </c>
      <c r="C194" s="172">
        <f>C31+C37+C52+C57+C71+C81+C95+C102+C112+C131+C193</f>
        <v>151</v>
      </c>
      <c r="D194" s="173"/>
      <c r="E194" s="174">
        <f t="shared" ref="E194:X194" si="292">E193+E131+E118+E112+E102+E95+E81+E71+E57+E52+E37+E31</f>
        <v>3666051.8600000003</v>
      </c>
      <c r="F194" s="174">
        <f t="shared" si="292"/>
        <v>1609343.2691666661</v>
      </c>
      <c r="G194" s="174">
        <f t="shared" si="292"/>
        <v>10836526.649999999</v>
      </c>
      <c r="H194" s="174">
        <f t="shared" si="292"/>
        <v>311035.35874999996</v>
      </c>
      <c r="I194" s="174">
        <f t="shared" si="292"/>
        <v>1845620.7400000002</v>
      </c>
      <c r="J194" s="174">
        <f t="shared" si="292"/>
        <v>1824811.4650000003</v>
      </c>
      <c r="K194" s="174">
        <f t="shared" si="292"/>
        <v>12268140.675000004</v>
      </c>
      <c r="L194" s="174">
        <f t="shared" si="292"/>
        <v>3625549.6200000006</v>
      </c>
      <c r="M194" s="174">
        <f t="shared" si="292"/>
        <v>7750000</v>
      </c>
      <c r="N194" s="174">
        <f t="shared" si="292"/>
        <v>5070000</v>
      </c>
      <c r="O194" s="174">
        <f t="shared" si="292"/>
        <v>366567.18500000006</v>
      </c>
      <c r="P194" s="174">
        <f t="shared" si="292"/>
        <v>2020000</v>
      </c>
      <c r="Q194" s="174">
        <f t="shared" si="292"/>
        <v>1889337.4691050001</v>
      </c>
      <c r="R194" s="174">
        <f t="shared" si="292"/>
        <v>52931904.066892639</v>
      </c>
      <c r="S194" s="174">
        <f t="shared" si="292"/>
        <v>0</v>
      </c>
      <c r="T194" s="174">
        <f t="shared" si="292"/>
        <v>4768500</v>
      </c>
      <c r="U194" s="174">
        <f t="shared" si="292"/>
        <v>7178349.5100000007</v>
      </c>
      <c r="V194" s="174">
        <f t="shared" si="292"/>
        <v>23490.676750000002</v>
      </c>
      <c r="W194" s="174">
        <f t="shared" si="292"/>
        <v>7194626.3803750025</v>
      </c>
      <c r="X194" s="174">
        <f t="shared" si="292"/>
        <v>19164966.567125</v>
      </c>
      <c r="Y194" s="174">
        <v>33180437.856140926</v>
      </c>
      <c r="Z194" s="174">
        <f>Z193+Z131+Z118+Z112+Z102+Z95+Z81+Z71+Z57+Z52+Z37+Z31</f>
        <v>33766937.499767631</v>
      </c>
      <c r="AA194" s="157"/>
    </row>
    <row r="195" spans="1:27" ht="20.100000000000001" customHeight="1">
      <c r="B195" s="175"/>
      <c r="D195" s="176"/>
      <c r="E195" s="176"/>
      <c r="F195" s="176"/>
      <c r="G195" s="176"/>
      <c r="H195" s="176"/>
      <c r="I195" s="176"/>
      <c r="J195" s="177"/>
      <c r="K195" s="177"/>
      <c r="L195" s="177"/>
      <c r="M195" s="177"/>
      <c r="N195" s="177"/>
      <c r="O195" s="177"/>
      <c r="P195" s="177"/>
      <c r="Q195" s="177"/>
      <c r="R195" s="177"/>
      <c r="S195" s="177"/>
      <c r="T195" s="177"/>
      <c r="U195" s="177"/>
      <c r="V195" s="177"/>
      <c r="W195" s="178"/>
      <c r="X195" s="178"/>
      <c r="Y195" s="178"/>
      <c r="Z195" s="178"/>
      <c r="AA195" s="179"/>
    </row>
    <row r="196" spans="1:27" ht="36.75" customHeight="1">
      <c r="B196" s="175"/>
      <c r="C196" s="176"/>
      <c r="D196" s="176"/>
      <c r="E196" s="176"/>
      <c r="F196" s="176"/>
      <c r="G196" s="176"/>
      <c r="H196" s="176"/>
      <c r="I196" s="176"/>
      <c r="J196" s="177"/>
      <c r="K196" s="177"/>
      <c r="L196" s="177"/>
      <c r="M196" s="177"/>
      <c r="N196" s="177"/>
      <c r="O196" s="177"/>
      <c r="P196" s="177"/>
      <c r="R196" s="177" t="s">
        <v>331</v>
      </c>
      <c r="S196" s="177"/>
      <c r="T196" s="177"/>
      <c r="U196" s="177"/>
      <c r="V196" s="177"/>
      <c r="W196" s="178"/>
      <c r="X196" s="178"/>
      <c r="Y196" s="178"/>
      <c r="Z196" s="179"/>
    </row>
    <row r="199" spans="1:27" ht="20.100000000000001" customHeight="1">
      <c r="R199" s="179"/>
    </row>
  </sheetData>
  <mergeCells count="1">
    <mergeCell ref="A1:G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49" orientation="landscape" horizontalDpi="1200" verticalDpi="1200" r:id="rId1"/>
  <headerFooter alignWithMargins="0"/>
  <rowBreaks count="4" manualBreakCount="4">
    <brk id="42" max="25" man="1"/>
    <brk id="81" max="25" man="1"/>
    <brk id="119" max="25" man="1"/>
    <brk id="158" max="25" man="1"/>
  </rowBreaks>
  <colBreaks count="1" manualBreakCount="1">
    <brk id="14" max="19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3"/>
  <sheetViews>
    <sheetView topLeftCell="A23" zoomScale="91" zoomScaleNormal="91" workbookViewId="0">
      <selection activeCell="G39" sqref="G39:H39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132"/>
      <c r="C1" s="132"/>
      <c r="D1" s="132"/>
      <c r="E1" s="132"/>
      <c r="F1" s="132"/>
      <c r="G1" s="132"/>
      <c r="H1" s="132"/>
    </row>
    <row r="2" spans="1:8" ht="29.25" customHeight="1">
      <c r="A2" s="401" t="s">
        <v>0</v>
      </c>
      <c r="B2" s="401"/>
      <c r="C2" s="401"/>
      <c r="D2" s="401"/>
      <c r="E2" s="401"/>
      <c r="F2" s="401"/>
      <c r="G2" s="401"/>
      <c r="H2" s="401"/>
    </row>
    <row r="3" spans="1:8" ht="27" customHeight="1">
      <c r="A3" s="401" t="s">
        <v>332</v>
      </c>
      <c r="B3" s="401"/>
      <c r="C3" s="401"/>
      <c r="D3" s="401"/>
      <c r="E3" s="401"/>
      <c r="F3" s="401"/>
      <c r="G3" s="401"/>
      <c r="H3" s="401"/>
    </row>
    <row r="4" spans="1:8" ht="15.6" hidden="1" customHeight="1">
      <c r="A4" s="370" t="s">
        <v>333</v>
      </c>
      <c r="B4" s="370"/>
      <c r="C4" s="370"/>
      <c r="D4" s="370"/>
      <c r="E4" s="370"/>
      <c r="F4" s="370"/>
      <c r="G4" s="70"/>
      <c r="H4" s="70"/>
    </row>
    <row r="5" spans="1:8" ht="9.6" hidden="1" customHeight="1">
      <c r="A5" s="402" t="s">
        <v>334</v>
      </c>
      <c r="B5" s="402"/>
      <c r="C5" s="402"/>
      <c r="D5" s="402"/>
      <c r="E5" s="402"/>
      <c r="F5" s="402"/>
      <c r="G5" s="70"/>
      <c r="H5" s="70"/>
    </row>
    <row r="6" spans="1:8" ht="29.25" hidden="1" customHeight="1">
      <c r="A6" s="402" t="s">
        <v>335</v>
      </c>
      <c r="B6" s="402"/>
      <c r="C6" s="402"/>
      <c r="D6" s="402"/>
      <c r="E6" s="402"/>
      <c r="F6" s="402"/>
      <c r="G6" s="70"/>
      <c r="H6" s="70"/>
    </row>
    <row r="7" spans="1:8" ht="25.15" hidden="1" customHeight="1">
      <c r="A7" s="402" t="s">
        <v>336</v>
      </c>
      <c r="B7" s="402"/>
      <c r="C7" s="402"/>
      <c r="D7" s="402"/>
      <c r="E7" s="402"/>
      <c r="F7" s="70"/>
      <c r="G7" s="70"/>
      <c r="H7" s="70"/>
    </row>
    <row r="8" spans="1:8" ht="24.75" hidden="1" customHeight="1">
      <c r="A8" s="70"/>
      <c r="B8" s="70"/>
      <c r="C8" s="70"/>
      <c r="D8" s="70"/>
      <c r="E8" s="70"/>
      <c r="F8" s="70"/>
      <c r="G8" s="70"/>
      <c r="H8" s="70"/>
    </row>
    <row r="9" spans="1:8" ht="24" hidden="1" customHeight="1">
      <c r="A9" s="403" t="s">
        <v>337</v>
      </c>
      <c r="B9" s="403"/>
      <c r="C9" s="403"/>
      <c r="D9" s="403"/>
      <c r="E9" s="403"/>
      <c r="F9" s="403"/>
      <c r="G9" s="70"/>
      <c r="H9" s="70"/>
    </row>
    <row r="10" spans="1:8" ht="13.15" hidden="1" customHeight="1">
      <c r="A10" s="402" t="s">
        <v>338</v>
      </c>
      <c r="B10" s="402"/>
      <c r="C10" s="402"/>
      <c r="D10" s="402"/>
      <c r="E10" s="402"/>
      <c r="F10" s="402"/>
      <c r="G10" s="402"/>
      <c r="H10" s="402"/>
    </row>
    <row r="11" spans="1:8" ht="18" hidden="1" customHeight="1">
      <c r="A11" s="71"/>
      <c r="B11" s="70"/>
      <c r="C11" s="70"/>
      <c r="D11" s="70"/>
      <c r="E11" s="70"/>
      <c r="F11" s="70"/>
      <c r="G11" s="70"/>
      <c r="H11" s="70"/>
    </row>
    <row r="12" spans="1:8" ht="18.75" hidden="1" customHeight="1">
      <c r="A12" s="71"/>
      <c r="B12" s="70"/>
      <c r="C12" s="70"/>
      <c r="D12" s="70"/>
      <c r="E12" s="70"/>
      <c r="F12" s="70"/>
      <c r="G12" s="70"/>
      <c r="H12" s="70"/>
    </row>
    <row r="13" spans="1:8" ht="19.5" customHeight="1">
      <c r="A13" s="4" t="s">
        <v>339</v>
      </c>
      <c r="B13" s="4"/>
      <c r="C13" s="4" t="s">
        <v>340</v>
      </c>
      <c r="D13" s="4"/>
      <c r="E13" s="4"/>
      <c r="F13" s="62"/>
      <c r="G13" s="81"/>
      <c r="H13" s="70"/>
    </row>
    <row r="14" spans="1:8" ht="20.25" customHeight="1">
      <c r="A14" s="4" t="s">
        <v>341</v>
      </c>
      <c r="B14" s="62"/>
      <c r="C14" s="4" t="s">
        <v>342</v>
      </c>
      <c r="D14" s="4"/>
      <c r="E14" s="4"/>
      <c r="F14" s="4"/>
      <c r="G14" s="1"/>
      <c r="H14" s="70"/>
    </row>
    <row r="15" spans="1:8" ht="21" customHeight="1">
      <c r="A15" s="4" t="s">
        <v>343</v>
      </c>
      <c r="B15" s="4"/>
      <c r="C15" s="4" t="s">
        <v>344</v>
      </c>
      <c r="D15" s="4"/>
      <c r="E15" s="4"/>
      <c r="F15" s="4"/>
      <c r="G15" s="1"/>
      <c r="H15" s="70"/>
    </row>
    <row r="16" spans="1:8" ht="21" customHeight="1">
      <c r="A16" s="4" t="s">
        <v>345</v>
      </c>
      <c r="B16" s="4"/>
      <c r="C16" s="4" t="s">
        <v>346</v>
      </c>
      <c r="D16" s="4"/>
      <c r="E16" s="62"/>
      <c r="F16" s="62"/>
      <c r="G16" s="81"/>
      <c r="H16" s="70"/>
    </row>
    <row r="17" spans="1:10" ht="9.75" customHeight="1">
      <c r="A17" s="1"/>
      <c r="B17" s="1"/>
      <c r="C17" s="1"/>
      <c r="D17" s="1"/>
      <c r="E17" s="81"/>
      <c r="F17" s="81"/>
      <c r="G17" s="81"/>
      <c r="H17" s="70"/>
    </row>
    <row r="18" spans="1:10" ht="24" customHeight="1">
      <c r="A18" s="77" t="s">
        <v>347</v>
      </c>
      <c r="B18" s="77"/>
      <c r="C18" s="88"/>
      <c r="D18" s="88"/>
      <c r="E18" s="88"/>
      <c r="F18" s="88"/>
      <c r="G18" s="81"/>
      <c r="H18" s="70"/>
    </row>
    <row r="19" spans="1:10" ht="30.75" customHeight="1">
      <c r="A19" s="1" t="s">
        <v>348</v>
      </c>
      <c r="B19" s="1"/>
      <c r="C19" s="81"/>
      <c r="D19" s="81"/>
      <c r="E19" s="81"/>
      <c r="F19" s="81"/>
      <c r="G19" s="139" t="s">
        <v>349</v>
      </c>
      <c r="H19" s="139" t="s">
        <v>349</v>
      </c>
    </row>
    <row r="20" spans="1:10" ht="21" customHeight="1">
      <c r="A20" s="396" t="s">
        <v>350</v>
      </c>
      <c r="B20" s="396"/>
      <c r="C20" s="396"/>
      <c r="D20" s="396"/>
      <c r="E20" s="396"/>
      <c r="F20" s="396"/>
      <c r="G20" s="396"/>
      <c r="H20" s="80">
        <f>'DECEMBER 2023'!R194</f>
        <v>52931904.066892639</v>
      </c>
      <c r="J20" s="64"/>
    </row>
    <row r="21" spans="1:10" ht="9" customHeight="1">
      <c r="A21" s="371"/>
      <c r="B21" s="371"/>
      <c r="C21" s="371"/>
      <c r="D21" s="371"/>
      <c r="E21" s="371"/>
      <c r="F21" s="371"/>
      <c r="G21" s="371"/>
      <c r="H21" s="80"/>
      <c r="J21" s="64"/>
    </row>
    <row r="22" spans="1:10" ht="21.75" customHeight="1">
      <c r="A22" s="404" t="s">
        <v>351</v>
      </c>
      <c r="B22" s="404"/>
      <c r="C22" s="404"/>
      <c r="D22" s="404"/>
      <c r="E22" s="404"/>
      <c r="F22" s="404"/>
      <c r="G22" s="82"/>
      <c r="H22" s="1"/>
      <c r="I22" s="64"/>
    </row>
    <row r="23" spans="1:10" ht="18.75" customHeight="1">
      <c r="A23" s="394" t="s">
        <v>352</v>
      </c>
      <c r="B23" s="394"/>
      <c r="C23" s="394"/>
      <c r="D23" s="394"/>
      <c r="E23" s="394"/>
      <c r="F23" s="394"/>
      <c r="G23" s="32">
        <f>'DECEMBER 2023'!T194</f>
        <v>4768500</v>
      </c>
      <c r="H23" s="1"/>
      <c r="J23" s="64"/>
    </row>
    <row r="24" spans="1:10" ht="19.5" customHeight="1">
      <c r="A24" s="394" t="s">
        <v>353</v>
      </c>
      <c r="B24" s="394"/>
      <c r="C24" s="394"/>
      <c r="D24" s="394"/>
      <c r="E24" s="394"/>
      <c r="F24" s="394"/>
      <c r="G24" s="32">
        <f>'DECEMBER 2023'!U194</f>
        <v>7178349.5100000007</v>
      </c>
      <c r="H24" s="1"/>
    </row>
    <row r="25" spans="1:10" ht="20.25" customHeight="1">
      <c r="A25" s="394" t="s">
        <v>354</v>
      </c>
      <c r="B25" s="394"/>
      <c r="C25" s="394"/>
      <c r="D25" s="394"/>
      <c r="E25" s="394"/>
      <c r="F25" s="394"/>
      <c r="G25" s="32">
        <f>'DECEMBER 2023'!W194</f>
        <v>7194626.3803750025</v>
      </c>
      <c r="H25" s="1"/>
    </row>
    <row r="26" spans="1:10" ht="21" customHeight="1">
      <c r="A26" s="395" t="s">
        <v>355</v>
      </c>
      <c r="B26" s="395"/>
      <c r="C26" s="395"/>
      <c r="D26" s="395"/>
      <c r="E26" s="395"/>
      <c r="F26" s="395"/>
      <c r="G26" s="83">
        <f>'DECEMBER 2023'!V194</f>
        <v>23490.676750000002</v>
      </c>
      <c r="H26" s="1"/>
    </row>
    <row r="27" spans="1:10" ht="28.5" customHeight="1">
      <c r="A27" s="394" t="s">
        <v>356</v>
      </c>
      <c r="B27" s="394"/>
      <c r="C27" s="394"/>
      <c r="D27" s="394"/>
      <c r="E27" s="394"/>
      <c r="F27" s="394"/>
      <c r="G27" s="32"/>
      <c r="H27" s="84">
        <f>G23+G24+G25+G26</f>
        <v>19164966.567125004</v>
      </c>
      <c r="I27" s="30"/>
    </row>
    <row r="28" spans="1:10" ht="20.25" customHeight="1">
      <c r="A28" s="394" t="s">
        <v>357</v>
      </c>
      <c r="B28" s="394"/>
      <c r="C28" s="394"/>
      <c r="D28" s="394"/>
      <c r="E28" s="394"/>
      <c r="F28" s="394"/>
      <c r="G28" s="77"/>
      <c r="H28" s="42">
        <f>H20-H27</f>
        <v>33766937.499767631</v>
      </c>
      <c r="I28" s="33"/>
    </row>
    <row r="29" spans="1:10" ht="21" customHeight="1">
      <c r="A29" s="394" t="s">
        <v>358</v>
      </c>
      <c r="B29" s="394"/>
      <c r="C29" s="394"/>
      <c r="D29" s="394"/>
      <c r="E29" s="394"/>
      <c r="F29" s="394"/>
      <c r="G29" s="77"/>
      <c r="H29" s="87">
        <f>'DECEMBER 2023'!Y194</f>
        <v>33180437.856140926</v>
      </c>
    </row>
    <row r="30" spans="1:10" ht="21" customHeight="1">
      <c r="A30" s="394" t="s">
        <v>359</v>
      </c>
      <c r="B30" s="394"/>
      <c r="C30" s="394"/>
      <c r="D30" s="394"/>
      <c r="E30" s="394"/>
      <c r="F30" s="394"/>
      <c r="G30" s="77"/>
      <c r="H30" s="98">
        <f>H28-H29</f>
        <v>586499.64362670481</v>
      </c>
    </row>
    <row r="31" spans="1:10" ht="29.25" customHeight="1">
      <c r="A31" s="396" t="s">
        <v>360</v>
      </c>
      <c r="B31" s="396"/>
      <c r="C31" s="396"/>
      <c r="D31" s="396"/>
      <c r="E31" s="396"/>
      <c r="F31" s="396"/>
      <c r="G31" s="396"/>
      <c r="H31" s="1"/>
    </row>
    <row r="32" spans="1:10" ht="21.75" customHeight="1">
      <c r="A32" s="369" t="s">
        <v>361</v>
      </c>
      <c r="B32" s="369"/>
      <c r="C32" s="369"/>
      <c r="D32" s="369"/>
      <c r="E32" s="369"/>
      <c r="F32" s="369"/>
      <c r="G32" s="369"/>
      <c r="H32" s="85">
        <f>-370416.67</f>
        <v>-370416.67</v>
      </c>
      <c r="J32" s="30"/>
    </row>
    <row r="33" spans="1:17" ht="21.75" customHeight="1">
      <c r="A33" s="369" t="s">
        <v>362</v>
      </c>
      <c r="B33" s="369"/>
      <c r="C33" s="369"/>
      <c r="D33" s="369"/>
      <c r="E33" s="369"/>
      <c r="F33" s="369"/>
      <c r="G33" s="369"/>
      <c r="H33" s="85">
        <f>1850703.91</f>
        <v>1850703.91</v>
      </c>
      <c r="J33" s="30"/>
    </row>
    <row r="34" spans="1:17" ht="21.75" customHeight="1">
      <c r="A34" s="369" t="s">
        <v>363</v>
      </c>
      <c r="B34" s="369"/>
      <c r="C34" s="369"/>
      <c r="D34" s="369"/>
      <c r="E34" s="369"/>
      <c r="F34" s="369"/>
      <c r="G34" s="369"/>
      <c r="H34" s="85">
        <f>-1358548.88</f>
        <v>-1358548.88</v>
      </c>
      <c r="J34" s="30"/>
    </row>
    <row r="35" spans="1:17" ht="21.75" customHeight="1">
      <c r="A35" s="369" t="s">
        <v>364</v>
      </c>
      <c r="B35" s="369"/>
      <c r="C35" s="369"/>
      <c r="D35" s="369"/>
      <c r="E35" s="369"/>
      <c r="F35" s="369"/>
      <c r="G35" s="369"/>
      <c r="H35" s="85">
        <f>-41837.51-375628.34</f>
        <v>-417465.85000000003</v>
      </c>
      <c r="J35" s="30"/>
    </row>
    <row r="36" spans="1:17" ht="21.75" customHeight="1">
      <c r="A36" s="369" t="s">
        <v>365</v>
      </c>
      <c r="B36" s="369"/>
      <c r="C36" s="369"/>
      <c r="D36" s="369"/>
      <c r="E36" s="369"/>
      <c r="F36" s="369"/>
      <c r="G36" s="369"/>
      <c r="H36" s="85">
        <f>-4541.9-286230.25</f>
        <v>-290772.15000000002</v>
      </c>
      <c r="J36" s="30"/>
    </row>
    <row r="37" spans="1:17" ht="21" customHeight="1">
      <c r="H37" s="86">
        <f>SUM(H32:H36)</f>
        <v>-586499.6399999999</v>
      </c>
      <c r="I37" s="30"/>
      <c r="J37" s="200"/>
      <c r="K37" s="64"/>
      <c r="L37" s="63"/>
      <c r="M37" s="63"/>
      <c r="N37" s="64"/>
      <c r="P37" s="119"/>
      <c r="Q37" s="64"/>
    </row>
    <row r="38" spans="1:17" ht="6.75" customHeight="1">
      <c r="A38" s="369"/>
      <c r="B38" s="369"/>
      <c r="C38" s="369"/>
      <c r="D38" s="369"/>
      <c r="E38" s="369"/>
      <c r="F38" s="369"/>
      <c r="G38" s="369"/>
      <c r="H38" s="86"/>
      <c r="I38" s="30"/>
      <c r="J38" s="200"/>
      <c r="K38" s="64"/>
      <c r="L38" s="63"/>
      <c r="M38" s="63"/>
      <c r="N38" s="64"/>
      <c r="P38" s="119"/>
      <c r="Q38" s="64"/>
    </row>
    <row r="39" spans="1:17" ht="28.5" customHeight="1">
      <c r="A39" s="1"/>
      <c r="B39" s="1"/>
      <c r="C39" s="1"/>
      <c r="D39" s="1"/>
      <c r="E39" s="397" t="s">
        <v>23</v>
      </c>
      <c r="F39" s="398"/>
      <c r="G39" s="397" t="s">
        <v>24</v>
      </c>
      <c r="H39" s="398"/>
      <c r="I39" s="30"/>
      <c r="J39" s="30"/>
      <c r="K39" s="64"/>
    </row>
    <row r="40" spans="1:17" ht="18.600000000000001" customHeight="1">
      <c r="A40" s="1"/>
      <c r="B40" s="1"/>
      <c r="C40" s="1"/>
      <c r="D40" s="1"/>
      <c r="E40" s="379" t="s">
        <v>366</v>
      </c>
      <c r="F40" s="48" t="s">
        <v>25</v>
      </c>
      <c r="G40" s="379" t="s">
        <v>366</v>
      </c>
      <c r="H40" s="48" t="s">
        <v>25</v>
      </c>
      <c r="I40" s="30"/>
      <c r="J40" s="30"/>
    </row>
    <row r="41" spans="1:17" ht="28.5" customHeight="1">
      <c r="A41" s="10">
        <v>1</v>
      </c>
      <c r="B41" s="399" t="s">
        <v>367</v>
      </c>
      <c r="C41" s="394"/>
      <c r="D41" s="394"/>
      <c r="E41" s="3">
        <v>33</v>
      </c>
      <c r="F41" s="11">
        <f>'DECEMBER 2023'!Y31</f>
        <v>7046666.6567473328</v>
      </c>
      <c r="G41" s="3">
        <f>'DECEMBER 2023'!C31</f>
        <v>24</v>
      </c>
      <c r="H41" s="11">
        <f>'DECEMBER 2023'!Z31</f>
        <v>7198101.0709386664</v>
      </c>
      <c r="I41" s="30"/>
      <c r="J41" s="30"/>
    </row>
    <row r="42" spans="1:17" ht="21.75" customHeight="1">
      <c r="A42" s="10">
        <v>2</v>
      </c>
      <c r="B42" s="374" t="s">
        <v>368</v>
      </c>
      <c r="C42" s="369"/>
      <c r="D42" s="369"/>
      <c r="E42" s="3">
        <v>2</v>
      </c>
      <c r="F42" s="11">
        <f>'DECEMBER 2023'!Y37</f>
        <v>1195084.0517006665</v>
      </c>
      <c r="G42" s="3">
        <f>'DECEMBER 2023'!C37</f>
        <v>3</v>
      </c>
      <c r="H42" s="11">
        <f>'DECEMBER 2023'!Z37</f>
        <v>1018948.9717006667</v>
      </c>
      <c r="I42" s="30"/>
      <c r="J42" s="30"/>
    </row>
    <row r="43" spans="1:17" ht="24.75" customHeight="1">
      <c r="A43" s="10">
        <v>3</v>
      </c>
      <c r="B43" s="394" t="s">
        <v>369</v>
      </c>
      <c r="C43" s="394"/>
      <c r="D43" s="394"/>
      <c r="E43" s="3">
        <v>11</v>
      </c>
      <c r="F43" s="11">
        <f>'DECEMBER 2023'!Y52</f>
        <v>2789135.7827066225</v>
      </c>
      <c r="G43" s="3">
        <f>'DECEMBER 2023'!C52</f>
        <v>12</v>
      </c>
      <c r="H43" s="11">
        <f>'DECEMBER 2023'!Z52</f>
        <v>3378453.7623419999</v>
      </c>
      <c r="I43" s="30"/>
      <c r="J43" s="30"/>
    </row>
    <row r="44" spans="1:17" ht="23.25" customHeight="1">
      <c r="A44" s="10">
        <v>4</v>
      </c>
      <c r="B44" s="394" t="s">
        <v>370</v>
      </c>
      <c r="C44" s="394"/>
      <c r="D44" s="400"/>
      <c r="E44" s="3">
        <v>2</v>
      </c>
      <c r="F44" s="11">
        <f>'DECEMBER 2023'!Y57</f>
        <v>808634.32664133352</v>
      </c>
      <c r="G44" s="3">
        <f>'DECEMBER 2023'!C57</f>
        <v>2</v>
      </c>
      <c r="H44" s="11">
        <f>'DECEMBER 2023'!Z57</f>
        <v>808634.32664133352</v>
      </c>
      <c r="I44" s="30"/>
      <c r="J44" s="30"/>
    </row>
    <row r="45" spans="1:17" ht="24" customHeight="1">
      <c r="A45" s="10">
        <v>5</v>
      </c>
      <c r="B45" s="394" t="s">
        <v>371</v>
      </c>
      <c r="C45" s="394"/>
      <c r="D45" s="400"/>
      <c r="E45" s="3">
        <v>13</v>
      </c>
      <c r="F45" s="11">
        <f>'DECEMBER 2023'!Y71</f>
        <v>3523240.8123380649</v>
      </c>
      <c r="G45" s="3">
        <f>'DECEMBER 2023'!C71</f>
        <v>12</v>
      </c>
      <c r="H45" s="11">
        <f>'DECEMBER 2023'!Z71</f>
        <v>2562691.85458</v>
      </c>
      <c r="I45" s="30"/>
      <c r="J45" s="30"/>
    </row>
    <row r="46" spans="1:17" ht="21" customHeight="1">
      <c r="A46" s="10">
        <v>6</v>
      </c>
      <c r="B46" s="394" t="s">
        <v>372</v>
      </c>
      <c r="C46" s="394"/>
      <c r="D46" s="400"/>
      <c r="E46" s="3">
        <v>4</v>
      </c>
      <c r="F46" s="11">
        <f>'DECEMBER 2023'!Y81</f>
        <v>2073779.4403606665</v>
      </c>
      <c r="G46" s="3">
        <f>'DECEMBER 2023'!C81</f>
        <v>7</v>
      </c>
      <c r="H46" s="11">
        <f>'DECEMBER 2023'!Z81</f>
        <v>2073779.4403606665</v>
      </c>
      <c r="I46" s="30"/>
      <c r="J46" s="30"/>
    </row>
    <row r="47" spans="1:17" ht="23.25" customHeight="1">
      <c r="A47" s="10">
        <v>7</v>
      </c>
      <c r="B47" s="369" t="s">
        <v>373</v>
      </c>
      <c r="C47" s="369"/>
      <c r="D47" s="369"/>
      <c r="E47" s="3">
        <v>12</v>
      </c>
      <c r="F47" s="11">
        <f>'DECEMBER 2023'!Y95</f>
        <v>3225624.4517246666</v>
      </c>
      <c r="G47" s="3">
        <f>'DECEMBER 2023'!C95</f>
        <v>11</v>
      </c>
      <c r="H47" s="11">
        <f>'DECEMBER 2023'!Z95</f>
        <v>3181874.4517246666</v>
      </c>
      <c r="I47" s="30"/>
      <c r="J47" s="30"/>
    </row>
    <row r="48" spans="1:17" ht="25.5" customHeight="1">
      <c r="A48" s="10">
        <v>8</v>
      </c>
      <c r="B48" s="369" t="s">
        <v>374</v>
      </c>
      <c r="C48" s="369"/>
      <c r="D48" s="369"/>
      <c r="E48" s="3">
        <v>4</v>
      </c>
      <c r="F48" s="11">
        <f>'DECEMBER 2023'!Y102</f>
        <v>1051934.7973760001</v>
      </c>
      <c r="G48" s="3">
        <f>'DECEMBER 2023'!C102</f>
        <v>4</v>
      </c>
      <c r="H48" s="11">
        <f>'DECEMBER 2023'!Z102</f>
        <v>1327179.8052266669</v>
      </c>
      <c r="I48" s="30"/>
      <c r="J48" s="30"/>
    </row>
    <row r="49" spans="1:14" ht="21.75" customHeight="1">
      <c r="A49" s="10">
        <v>9</v>
      </c>
      <c r="B49" s="369" t="s">
        <v>375</v>
      </c>
      <c r="C49" s="369"/>
      <c r="D49" s="369"/>
      <c r="E49" s="3">
        <v>8</v>
      </c>
      <c r="F49" s="11">
        <f>'DECEMBER 2023'!Y112</f>
        <v>2142429.0877453336</v>
      </c>
      <c r="G49" s="3">
        <f>'DECEMBER 2023'!C112</f>
        <v>7</v>
      </c>
      <c r="H49" s="11">
        <f>'DECEMBER 2023'!Z112</f>
        <v>2142429.0877453336</v>
      </c>
      <c r="I49" s="30"/>
      <c r="J49" s="30"/>
    </row>
    <row r="50" spans="1:14" ht="21.75" customHeight="1">
      <c r="A50" s="10">
        <v>10</v>
      </c>
      <c r="B50" s="369" t="s">
        <v>376</v>
      </c>
      <c r="C50" s="369"/>
      <c r="D50" s="369"/>
      <c r="E50" s="3">
        <v>2</v>
      </c>
      <c r="F50" s="11">
        <f>'DECEMBER 2023'!Y118</f>
        <v>466459.20958533336</v>
      </c>
      <c r="G50" s="3">
        <f>'DECEMBER 2023'!C118</f>
        <v>3</v>
      </c>
      <c r="H50" s="11">
        <f>'DECEMBER 2023'!Z118</f>
        <v>466459.21295630105</v>
      </c>
      <c r="I50" s="30"/>
      <c r="J50" s="30"/>
    </row>
    <row r="51" spans="1:14" ht="24.75" customHeight="1">
      <c r="A51" s="10">
        <v>11</v>
      </c>
      <c r="B51" s="369" t="s">
        <v>377</v>
      </c>
      <c r="C51" s="369"/>
      <c r="D51" s="369"/>
      <c r="E51" s="3">
        <v>9</v>
      </c>
      <c r="F51" s="11">
        <f>'DECEMBER 2023'!Y131</f>
        <v>2134027.8661846663</v>
      </c>
      <c r="G51" s="199" t="str">
        <f>'DECEMBER 2023'!C131</f>
        <v>10</v>
      </c>
      <c r="H51" s="11">
        <f>'DECEMBER 2023'!Z131</f>
        <v>2778218.0672479998</v>
      </c>
      <c r="I51" s="30"/>
      <c r="J51" s="30"/>
    </row>
    <row r="52" spans="1:14" ht="24.75" customHeight="1">
      <c r="A52" s="10">
        <v>12</v>
      </c>
      <c r="B52" s="394" t="s">
        <v>378</v>
      </c>
      <c r="C52" s="394"/>
      <c r="D52" s="394"/>
      <c r="E52" s="3">
        <v>58</v>
      </c>
      <c r="F52" s="11">
        <f>'DECEMBER 2023'!Y193</f>
        <v>7020777.0267802384</v>
      </c>
      <c r="G52" s="199" t="str">
        <f>'DECEMBER 2023'!C193</f>
        <v>59</v>
      </c>
      <c r="H52" s="11">
        <f>'DECEMBER 2023'!Z193</f>
        <v>6830167.4483033335</v>
      </c>
      <c r="I52" s="30"/>
      <c r="J52" s="30"/>
    </row>
    <row r="53" spans="1:14" ht="24" customHeight="1">
      <c r="A53" s="1"/>
      <c r="B53" s="1"/>
      <c r="C53" s="1"/>
      <c r="D53" s="1"/>
      <c r="E53" s="379">
        <f>SUM(E41:E52)</f>
        <v>158</v>
      </c>
      <c r="F53" s="12">
        <f>SUM(F41:F52)</f>
        <v>33477793.509890929</v>
      </c>
      <c r="G53" s="379">
        <v>154</v>
      </c>
      <c r="H53" s="12">
        <f>SUM(H41:H52)</f>
        <v>33766937.499767639</v>
      </c>
      <c r="I53" s="30"/>
      <c r="J53" s="30"/>
    </row>
    <row r="54" spans="1:14" ht="6" customHeight="1">
      <c r="A54" s="1"/>
      <c r="B54" s="1"/>
      <c r="C54" s="1"/>
      <c r="D54" s="1"/>
      <c r="E54" s="392"/>
      <c r="F54" s="80"/>
      <c r="G54" s="392"/>
      <c r="H54" s="80"/>
      <c r="I54" s="30"/>
      <c r="J54" s="30"/>
    </row>
    <row r="55" spans="1:14" ht="78.75" customHeight="1">
      <c r="A55" s="395" t="s">
        <v>379</v>
      </c>
      <c r="B55" s="395"/>
      <c r="C55" s="395"/>
      <c r="D55" s="395"/>
      <c r="E55" s="395"/>
      <c r="F55" s="395"/>
      <c r="G55" s="395"/>
      <c r="H55" s="395"/>
      <c r="I55" s="1"/>
      <c r="J55" s="32"/>
      <c r="K55" s="32"/>
      <c r="L55" s="1"/>
      <c r="M55" s="1"/>
      <c r="N55" s="1"/>
    </row>
    <row r="56" spans="1:14" ht="4.5" customHeight="1">
      <c r="A56" s="373"/>
      <c r="B56" s="373"/>
      <c r="C56" s="373"/>
      <c r="D56" s="373"/>
      <c r="E56" s="373"/>
      <c r="F56" s="373"/>
      <c r="G56" s="373"/>
      <c r="H56" s="373"/>
      <c r="I56" s="1"/>
      <c r="J56" s="1"/>
      <c r="K56" s="1"/>
      <c r="L56" s="1"/>
      <c r="M56" s="1"/>
      <c r="N56" s="1"/>
    </row>
    <row r="57" spans="1:14" ht="2.25" hidden="1" customHeight="1">
      <c r="A57" s="373"/>
      <c r="B57" s="373"/>
      <c r="C57" s="373"/>
      <c r="D57" s="373"/>
      <c r="E57" s="373"/>
      <c r="F57" s="373"/>
      <c r="G57" s="373"/>
      <c r="H57" s="373"/>
      <c r="I57" s="1"/>
      <c r="J57" s="1"/>
      <c r="K57" s="1"/>
      <c r="L57" s="1"/>
      <c r="M57" s="1"/>
      <c r="N57" s="1"/>
    </row>
    <row r="58" spans="1:14" ht="38.25" customHeight="1">
      <c r="A58" s="396" t="s">
        <v>211</v>
      </c>
      <c r="B58" s="396"/>
      <c r="C58" s="396"/>
      <c r="D58" s="396"/>
      <c r="E58" s="396"/>
      <c r="F58" s="1"/>
      <c r="G58" s="1"/>
      <c r="H58" s="1"/>
    </row>
    <row r="59" spans="1:14" ht="17.25" customHeight="1">
      <c r="A59" s="394" t="s">
        <v>380</v>
      </c>
      <c r="B59" s="394"/>
      <c r="C59" s="394"/>
      <c r="D59" s="394"/>
      <c r="E59" s="394"/>
      <c r="F59" s="1"/>
      <c r="G59" s="1"/>
      <c r="H59" s="1"/>
      <c r="K59" s="63"/>
    </row>
    <row r="60" spans="1:14">
      <c r="A60" s="8"/>
      <c r="B60" s="8"/>
      <c r="C60" s="8"/>
      <c r="D60" s="8" t="s">
        <v>381</v>
      </c>
      <c r="E60" s="8"/>
      <c r="F60" s="8"/>
      <c r="G60" s="8"/>
      <c r="H60" s="8"/>
      <c r="K60" s="63"/>
    </row>
    <row r="61" spans="1:14">
      <c r="K61" s="63"/>
    </row>
    <row r="62" spans="1:14">
      <c r="K62" s="63"/>
    </row>
    <row r="65" spans="3:3">
      <c r="C65" t="s">
        <v>382</v>
      </c>
    </row>
    <row r="163" spans="3:3">
      <c r="C163">
        <f>10000</f>
        <v>10000</v>
      </c>
    </row>
  </sheetData>
  <mergeCells count="29">
    <mergeCell ref="A25:F25"/>
    <mergeCell ref="A23:F23"/>
    <mergeCell ref="A24:F24"/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A59:E59"/>
    <mergeCell ref="B44:D44"/>
    <mergeCell ref="B45:D45"/>
    <mergeCell ref="B46:D46"/>
    <mergeCell ref="B52:D52"/>
    <mergeCell ref="A55:H55"/>
    <mergeCell ref="A58:E58"/>
    <mergeCell ref="B43:D43"/>
    <mergeCell ref="A26:F26"/>
    <mergeCell ref="A27:F27"/>
    <mergeCell ref="A28:F28"/>
    <mergeCell ref="A29:F29"/>
    <mergeCell ref="A30:F30"/>
    <mergeCell ref="A31:G31"/>
    <mergeCell ref="E39:F39"/>
    <mergeCell ref="G39:H39"/>
    <mergeCell ref="B41:D41"/>
  </mergeCells>
  <pageMargins left="0.45" right="0" top="0" bottom="0" header="0" footer="0"/>
  <pageSetup paperSize="9" scale="7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2"/>
  <sheetViews>
    <sheetView zoomScaleNormal="100" zoomScaleSheetLayoutView="50" workbookViewId="0">
      <pane xSplit="3" ySplit="6" topLeftCell="X14" activePane="bottomRight" state="frozen"/>
      <selection pane="bottomRight" activeCell="X12" sqref="X1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41" customWidth="1"/>
    <col min="2" max="2" width="39.42578125" style="141" customWidth="1"/>
    <col min="3" max="3" width="26.5703125" style="141" customWidth="1"/>
    <col min="4" max="4" width="14.85546875" style="141" customWidth="1"/>
    <col min="5" max="5" width="17.85546875" style="141" customWidth="1"/>
    <col min="6" max="6" width="19.42578125" style="141" customWidth="1"/>
    <col min="7" max="7" width="16" style="141" customWidth="1"/>
    <col min="8" max="8" width="18.140625" style="141" customWidth="1"/>
    <col min="9" max="9" width="18" style="141" customWidth="1"/>
    <col min="10" max="10" width="20" style="141" customWidth="1"/>
    <col min="11" max="11" width="18.140625" style="141" customWidth="1"/>
    <col min="12" max="12" width="18.28515625" style="141" customWidth="1"/>
    <col min="13" max="13" width="18.140625" style="141" customWidth="1"/>
    <col min="14" max="14" width="15.7109375" style="141" customWidth="1"/>
    <col min="15" max="15" width="18.28515625" style="141" customWidth="1"/>
    <col min="16" max="16" width="17.85546875" style="141" customWidth="1"/>
    <col min="17" max="20" width="19.28515625" style="141" customWidth="1"/>
    <col min="21" max="21" width="14.85546875" style="141" customWidth="1"/>
    <col min="22" max="22" width="13.5703125" style="141" customWidth="1"/>
    <col min="23" max="23" width="20.42578125" style="291" customWidth="1"/>
    <col min="24" max="24" width="16.42578125" style="141" customWidth="1"/>
    <col min="25" max="26" width="17.7109375" style="141" customWidth="1"/>
    <col min="27" max="27" width="11.140625" style="141" customWidth="1"/>
    <col min="28" max="28" width="17.85546875" style="141" customWidth="1"/>
    <col min="29" max="29" width="21.7109375" style="141" customWidth="1"/>
    <col min="30" max="30" width="14.28515625" style="141" customWidth="1"/>
    <col min="31" max="16384" width="9.140625" style="141"/>
  </cols>
  <sheetData>
    <row r="1" spans="1:30" ht="27" customHeight="1">
      <c r="A1" s="393" t="s">
        <v>0</v>
      </c>
      <c r="B1" s="393"/>
      <c r="C1" s="393"/>
      <c r="D1" s="393"/>
      <c r="E1" s="393"/>
      <c r="F1" s="393"/>
      <c r="G1" s="140">
        <f>'[1]FEB 08'!F8/'[1]FEB 08'!Q8</f>
        <v>0.3</v>
      </c>
      <c r="H1" s="140"/>
      <c r="I1" s="140"/>
      <c r="J1" s="140"/>
      <c r="K1" s="140"/>
      <c r="L1" s="140"/>
      <c r="M1" s="140"/>
      <c r="N1" s="140"/>
      <c r="O1" s="140"/>
      <c r="P1" s="140"/>
    </row>
    <row r="2" spans="1:30" ht="33.75" customHeight="1">
      <c r="A2" s="142" t="s">
        <v>383</v>
      </c>
      <c r="B2" s="143"/>
      <c r="C2" s="142"/>
      <c r="D2" s="142"/>
      <c r="E2" s="144"/>
      <c r="F2" s="144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6"/>
      <c r="R2" s="146"/>
      <c r="S2" s="146"/>
      <c r="T2" s="146"/>
      <c r="U2" s="146"/>
      <c r="V2" s="146"/>
      <c r="W2" s="292"/>
      <c r="X2" s="146"/>
      <c r="Y2" s="146"/>
      <c r="Z2" s="146"/>
      <c r="AA2" s="146"/>
      <c r="AB2" s="146"/>
    </row>
    <row r="3" spans="1:30" ht="9.75" customHeight="1">
      <c r="E3" s="140" t="e">
        <f>'[1]FEB 08'!E11/'[1]FEB 08'!M11</f>
        <v>#REF!</v>
      </c>
      <c r="F3" s="140"/>
      <c r="G3" s="140" t="e">
        <f>'[1]FEB 08'!F11/'[1]FEB 08'!Q11</f>
        <v>#REF!</v>
      </c>
      <c r="H3" s="140"/>
      <c r="I3" s="140"/>
      <c r="J3" s="140"/>
      <c r="K3" s="140"/>
      <c r="L3" s="140"/>
      <c r="M3" s="140"/>
      <c r="N3" s="140"/>
      <c r="O3" s="140"/>
      <c r="P3" s="140"/>
    </row>
    <row r="4" spans="1:30" ht="60" customHeight="1">
      <c r="A4" s="19"/>
      <c r="B4" s="148" t="s">
        <v>2</v>
      </c>
      <c r="C4" s="148" t="s">
        <v>3</v>
      </c>
      <c r="D4" s="149" t="s">
        <v>384</v>
      </c>
      <c r="E4" s="152" t="s">
        <v>5</v>
      </c>
      <c r="F4" s="28" t="s">
        <v>7</v>
      </c>
      <c r="G4" s="28" t="s">
        <v>8</v>
      </c>
      <c r="H4" s="152" t="s">
        <v>9</v>
      </c>
      <c r="I4" s="28" t="s">
        <v>10</v>
      </c>
      <c r="J4" s="28" t="s">
        <v>11</v>
      </c>
      <c r="K4" s="28" t="s">
        <v>12</v>
      </c>
      <c r="L4" s="152" t="s">
        <v>13</v>
      </c>
      <c r="M4" s="152" t="s">
        <v>13</v>
      </c>
      <c r="N4" s="28" t="s">
        <v>14</v>
      </c>
      <c r="O4" s="28" t="s">
        <v>14</v>
      </c>
      <c r="P4" s="152" t="s">
        <v>15</v>
      </c>
      <c r="Q4" s="312" t="s">
        <v>385</v>
      </c>
      <c r="R4" s="149" t="s">
        <v>386</v>
      </c>
      <c r="S4" s="312" t="s">
        <v>387</v>
      </c>
      <c r="T4" s="152" t="s">
        <v>388</v>
      </c>
      <c r="U4" s="152" t="s">
        <v>389</v>
      </c>
      <c r="V4" s="152" t="s">
        <v>390</v>
      </c>
      <c r="W4" s="152" t="s">
        <v>391</v>
      </c>
      <c r="X4" s="152" t="s">
        <v>392</v>
      </c>
      <c r="Y4" s="316" t="s">
        <v>393</v>
      </c>
      <c r="Z4" s="317" t="s">
        <v>394</v>
      </c>
      <c r="AA4" s="152" t="s">
        <v>395</v>
      </c>
      <c r="AB4" s="198" t="s">
        <v>396</v>
      </c>
    </row>
    <row r="5" spans="1:30" ht="17.25" customHeight="1">
      <c r="C5" s="154"/>
      <c r="D5" s="154"/>
      <c r="E5" s="155" t="s">
        <v>25</v>
      </c>
      <c r="F5" s="155" t="s">
        <v>25</v>
      </c>
      <c r="G5" s="155" t="s">
        <v>25</v>
      </c>
      <c r="H5" s="155" t="s">
        <v>25</v>
      </c>
      <c r="I5" s="155" t="s">
        <v>25</v>
      </c>
      <c r="J5" s="155" t="s">
        <v>25</v>
      </c>
      <c r="K5" s="155" t="s">
        <v>25</v>
      </c>
      <c r="L5" s="155" t="s">
        <v>25</v>
      </c>
      <c r="M5" s="155" t="s">
        <v>25</v>
      </c>
      <c r="N5" s="155" t="s">
        <v>25</v>
      </c>
      <c r="O5" s="155" t="s">
        <v>25</v>
      </c>
      <c r="P5" s="155" t="s">
        <v>25</v>
      </c>
      <c r="Q5" s="187" t="s">
        <v>25</v>
      </c>
      <c r="R5" s="154"/>
      <c r="S5" s="187" t="s">
        <v>25</v>
      </c>
      <c r="T5" s="155"/>
      <c r="U5" s="155" t="s">
        <v>25</v>
      </c>
      <c r="V5" s="155"/>
      <c r="W5" s="293" t="s">
        <v>25</v>
      </c>
      <c r="X5" s="155"/>
      <c r="Y5" s="155"/>
      <c r="Z5" s="193"/>
      <c r="AA5" s="155"/>
      <c r="AB5" s="193"/>
    </row>
    <row r="6" spans="1:30" ht="20.100000000000001" customHeight="1">
      <c r="A6" s="153" t="s">
        <v>26</v>
      </c>
      <c r="B6" s="154" t="s">
        <v>27</v>
      </c>
      <c r="C6" s="154"/>
      <c r="D6" s="154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87"/>
      <c r="R6" s="154"/>
      <c r="S6" s="187"/>
      <c r="T6" s="155"/>
      <c r="U6" s="155"/>
      <c r="V6" s="155"/>
      <c r="W6" s="293"/>
      <c r="X6" s="155"/>
      <c r="Y6" s="155"/>
      <c r="Z6" s="193"/>
      <c r="AA6" s="155"/>
      <c r="AB6" s="193"/>
    </row>
    <row r="7" spans="1:30" ht="18.75" customHeight="1">
      <c r="A7" s="27">
        <v>1</v>
      </c>
      <c r="B7" s="138" t="s">
        <v>397</v>
      </c>
      <c r="C7" s="141" t="s">
        <v>398</v>
      </c>
      <c r="D7" s="158" t="s">
        <v>199</v>
      </c>
      <c r="E7" s="24">
        <v>13492.21</v>
      </c>
      <c r="F7" s="24"/>
      <c r="G7" s="24">
        <f t="shared" ref="G7" si="0">E7*300%</f>
        <v>40476.629999999997</v>
      </c>
      <c r="H7" s="24">
        <f t="shared" ref="H7" si="1">E7*7.5%</f>
        <v>1011.9157499999999</v>
      </c>
      <c r="I7" s="24"/>
      <c r="J7" s="24">
        <f>E7*50%</f>
        <v>6746.1049999999996</v>
      </c>
      <c r="K7" s="24">
        <f t="shared" ref="K7" si="2">E7*350%</f>
        <v>47222.735000000001</v>
      </c>
      <c r="L7" s="24">
        <f>E7*100%</f>
        <v>13492.21</v>
      </c>
      <c r="M7" s="156"/>
      <c r="N7" s="156">
        <f>50000</f>
        <v>50000</v>
      </c>
      <c r="O7" s="24">
        <f>E7*10%</f>
        <v>1349.221</v>
      </c>
      <c r="P7" s="24">
        <v>10000</v>
      </c>
      <c r="Q7" s="181">
        <f ca="1">SUM(E7:Q7)</f>
        <v>183791.02674999999</v>
      </c>
      <c r="R7" s="338" t="s">
        <v>79</v>
      </c>
      <c r="S7" s="182">
        <f>205204.08</f>
        <v>205204.08</v>
      </c>
      <c r="T7" s="22">
        <f>205204.08-183791.03</f>
        <v>21413.049999999988</v>
      </c>
      <c r="U7" s="24"/>
      <c r="V7" s="22"/>
      <c r="W7" s="294">
        <v>18102.900000000001</v>
      </c>
      <c r="X7" s="24">
        <f>21640.88</f>
        <v>21640.880000000001</v>
      </c>
      <c r="Y7" s="24">
        <f>X7-W7</f>
        <v>3537.9799999999996</v>
      </c>
      <c r="Z7" s="185">
        <f>T7-Y7</f>
        <v>17875.069999999989</v>
      </c>
      <c r="AA7" s="24">
        <f>8/30</f>
        <v>0.26666666666666666</v>
      </c>
      <c r="AB7" s="185">
        <f>Z7*AA7</f>
        <v>4766.6853333333302</v>
      </c>
      <c r="AC7" s="157"/>
      <c r="AD7" s="179"/>
    </row>
    <row r="8" spans="1:30" ht="26.25" customHeight="1">
      <c r="A8" s="27"/>
      <c r="B8" s="136" t="s">
        <v>91</v>
      </c>
      <c r="C8" s="28"/>
      <c r="D8" s="158"/>
      <c r="E8" s="160">
        <f t="shared" ref="E8:P8" si="3">SUM(E7:E7)</f>
        <v>13492.21</v>
      </c>
      <c r="F8" s="160">
        <f t="shared" si="3"/>
        <v>0</v>
      </c>
      <c r="G8" s="160">
        <f t="shared" si="3"/>
        <v>40476.629999999997</v>
      </c>
      <c r="H8" s="160">
        <f t="shared" si="3"/>
        <v>1011.9157499999999</v>
      </c>
      <c r="I8" s="160">
        <f t="shared" si="3"/>
        <v>0</v>
      </c>
      <c r="J8" s="160">
        <f t="shared" si="3"/>
        <v>6746.1049999999996</v>
      </c>
      <c r="K8" s="160">
        <f t="shared" si="3"/>
        <v>47222.735000000001</v>
      </c>
      <c r="L8" s="160">
        <f t="shared" si="3"/>
        <v>13492.21</v>
      </c>
      <c r="M8" s="160">
        <f t="shared" si="3"/>
        <v>0</v>
      </c>
      <c r="N8" s="160">
        <f t="shared" si="3"/>
        <v>50000</v>
      </c>
      <c r="O8" s="160">
        <f t="shared" si="3"/>
        <v>1349.221</v>
      </c>
      <c r="P8" s="160">
        <f t="shared" si="3"/>
        <v>10000</v>
      </c>
      <c r="Q8" s="337">
        <f>E8+F8+G8+H8+I8+J8+K8+L8+M8+N8+O8+P8</f>
        <v>183791.02674999999</v>
      </c>
      <c r="R8" s="158"/>
      <c r="S8" s="160">
        <f t="shared" ref="S8:Z8" si="4">SUM(S7:S7)</f>
        <v>205204.08</v>
      </c>
      <c r="T8" s="160">
        <f t="shared" si="4"/>
        <v>21413.049999999988</v>
      </c>
      <c r="U8" s="160">
        <f t="shared" si="4"/>
        <v>0</v>
      </c>
      <c r="V8" s="160">
        <f t="shared" si="4"/>
        <v>0</v>
      </c>
      <c r="W8" s="160">
        <f t="shared" si="4"/>
        <v>18102.900000000001</v>
      </c>
      <c r="X8" s="160">
        <f t="shared" si="4"/>
        <v>21640.880000000001</v>
      </c>
      <c r="Y8" s="160">
        <f t="shared" si="4"/>
        <v>3537.9799999999996</v>
      </c>
      <c r="Z8" s="194">
        <f t="shared" si="4"/>
        <v>17875.069999999989</v>
      </c>
      <c r="AA8" s="160"/>
      <c r="AB8" s="194">
        <f>SUM(AB7:AB7)</f>
        <v>4766.6853333333302</v>
      </c>
      <c r="AC8" s="157"/>
    </row>
    <row r="9" spans="1:30" ht="20.100000000000001" customHeight="1">
      <c r="A9" s="27"/>
      <c r="B9" s="135"/>
      <c r="C9" s="19"/>
      <c r="D9" s="27"/>
      <c r="E9" s="160"/>
      <c r="F9" s="160"/>
      <c r="G9" s="160"/>
      <c r="H9" s="160"/>
      <c r="I9" s="160"/>
      <c r="J9" s="160"/>
      <c r="K9" s="160"/>
      <c r="L9" s="156"/>
      <c r="M9" s="156"/>
      <c r="N9" s="160"/>
      <c r="O9" s="160"/>
      <c r="P9" s="160"/>
      <c r="Q9" s="188"/>
      <c r="R9" s="27"/>
      <c r="S9" s="188"/>
      <c r="T9" s="22"/>
      <c r="U9" s="160"/>
      <c r="V9" s="160"/>
      <c r="W9" s="295"/>
      <c r="X9" s="160"/>
      <c r="Y9" s="24"/>
      <c r="Z9" s="185"/>
      <c r="AA9" s="160"/>
      <c r="AB9" s="185"/>
      <c r="AC9" s="157"/>
    </row>
    <row r="10" spans="1:30" ht="20.100000000000001" customHeight="1">
      <c r="A10" s="27"/>
      <c r="B10" s="162" t="s">
        <v>100</v>
      </c>
      <c r="C10" s="147"/>
      <c r="D10" s="151"/>
      <c r="E10" s="160"/>
      <c r="F10" s="160"/>
      <c r="G10" s="22"/>
      <c r="H10" s="22"/>
      <c r="I10" s="22"/>
      <c r="J10" s="22"/>
      <c r="K10" s="22"/>
      <c r="L10" s="156"/>
      <c r="M10" s="156"/>
      <c r="N10" s="22"/>
      <c r="O10" s="22"/>
      <c r="P10" s="22"/>
      <c r="Q10" s="181"/>
      <c r="R10" s="151"/>
      <c r="S10" s="181"/>
      <c r="T10" s="22"/>
      <c r="U10" s="22"/>
      <c r="V10" s="22"/>
      <c r="W10" s="296"/>
      <c r="X10" s="22"/>
      <c r="Y10" s="24"/>
      <c r="Z10" s="185"/>
      <c r="AA10" s="22"/>
      <c r="AB10" s="185"/>
      <c r="AC10" s="157"/>
    </row>
    <row r="11" spans="1:30" ht="20.100000000000001" customHeight="1">
      <c r="A11" s="27">
        <v>2</v>
      </c>
      <c r="B11" s="133" t="s">
        <v>105</v>
      </c>
      <c r="C11" s="19" t="s">
        <v>109</v>
      </c>
      <c r="D11" s="27" t="s">
        <v>45</v>
      </c>
      <c r="E11" s="24">
        <v>33507.5</v>
      </c>
      <c r="F11" s="24"/>
      <c r="G11" s="24">
        <f>E11*300%</f>
        <v>100522.5</v>
      </c>
      <c r="H11" s="24">
        <f>E11*7.5%</f>
        <v>2513.0625</v>
      </c>
      <c r="I11" s="24">
        <v>40122.19</v>
      </c>
      <c r="J11" s="24">
        <f>E11*50%</f>
        <v>16753.75</v>
      </c>
      <c r="K11" s="24">
        <f>E11*350%</f>
        <v>117276.25</v>
      </c>
      <c r="L11" s="24">
        <f>E11*100%</f>
        <v>33507.5</v>
      </c>
      <c r="M11" s="156">
        <f>160000</f>
        <v>160000</v>
      </c>
      <c r="N11" s="156"/>
      <c r="O11" s="24">
        <f>E11*10%</f>
        <v>3350.75</v>
      </c>
      <c r="P11" s="24">
        <v>20000</v>
      </c>
      <c r="Q11" s="181">
        <f ca="1">SUM(E11:Q11)</f>
        <v>527553.50249999994</v>
      </c>
      <c r="R11" s="338" t="s">
        <v>107</v>
      </c>
      <c r="S11" s="181">
        <f>'SALARY STRUCTURE'!H19+180000</f>
        <v>604023.33333333326</v>
      </c>
      <c r="T11" s="22">
        <f>604023.33-527553.5</f>
        <v>76469.829999999958</v>
      </c>
      <c r="U11" s="22">
        <f>837.69</f>
        <v>837.69</v>
      </c>
      <c r="V11" s="22">
        <f>1028.94</f>
        <v>1028.94</v>
      </c>
      <c r="W11" s="294">
        <f>79956.94</f>
        <v>79956.94</v>
      </c>
      <c r="X11" s="24">
        <f>94639.15</f>
        <v>94639.15</v>
      </c>
      <c r="Y11" s="24">
        <f t="shared" ref="Y11:Y18" si="5">X11-W11</f>
        <v>14682.209999999992</v>
      </c>
      <c r="Z11" s="185">
        <f t="shared" ref="Z11:Z18" si="6">T11-Y11</f>
        <v>61787.619999999966</v>
      </c>
      <c r="AA11" s="24">
        <v>9</v>
      </c>
      <c r="AB11" s="185">
        <f t="shared" ref="AB11:AB18" si="7">Z11*AA11</f>
        <v>556088.57999999973</v>
      </c>
      <c r="AC11" s="157"/>
    </row>
    <row r="12" spans="1:30" ht="20.100000000000001" customHeight="1">
      <c r="A12" s="27">
        <v>3</v>
      </c>
      <c r="B12" s="133" t="s">
        <v>112</v>
      </c>
      <c r="C12" s="19" t="s">
        <v>115</v>
      </c>
      <c r="D12" s="27" t="s">
        <v>51</v>
      </c>
      <c r="E12" s="24">
        <v>27611.23</v>
      </c>
      <c r="F12" s="24"/>
      <c r="G12" s="24">
        <f t="shared" ref="G12" si="8">E12*300%</f>
        <v>82833.69</v>
      </c>
      <c r="H12" s="24">
        <f t="shared" ref="H12" si="9">E12*7.5%</f>
        <v>2070.8422499999997</v>
      </c>
      <c r="I12" s="24"/>
      <c r="J12" s="24">
        <f t="shared" ref="J12" si="10">E12*50%</f>
        <v>13805.615</v>
      </c>
      <c r="K12" s="24">
        <f t="shared" ref="K12" si="11">E12*350%</f>
        <v>96639.304999999993</v>
      </c>
      <c r="L12" s="24">
        <f t="shared" ref="L12" si="12">E12*100%</f>
        <v>27611.23</v>
      </c>
      <c r="M12" s="156">
        <f t="shared" ref="M12" si="13">140000</f>
        <v>140000</v>
      </c>
      <c r="N12" s="156"/>
      <c r="O12" s="24">
        <f t="shared" ref="O12" si="14">E12*10%</f>
        <v>2761.123</v>
      </c>
      <c r="P12" s="24">
        <v>20000</v>
      </c>
      <c r="Q12" s="181">
        <f ca="1">SUM(E12:Q12)</f>
        <v>413333.03525000007</v>
      </c>
      <c r="R12" s="338" t="s">
        <v>48</v>
      </c>
      <c r="S12" s="22">
        <f>'SALARY STRUCTURE'!H18+160000</f>
        <v>504720.16666666669</v>
      </c>
      <c r="T12" s="22">
        <f>504720.05-413333.04</f>
        <v>91387.010000000009</v>
      </c>
      <c r="U12" s="22">
        <v>0</v>
      </c>
      <c r="V12" s="22"/>
      <c r="W12" s="24">
        <v>57889.864794666668</v>
      </c>
      <c r="X12" s="234">
        <f>75436.17</f>
        <v>75436.17</v>
      </c>
      <c r="Y12" s="24">
        <f t="shared" si="5"/>
        <v>17546.30520533333</v>
      </c>
      <c r="Z12" s="185">
        <f>T12-Y12</f>
        <v>73840.704794666672</v>
      </c>
      <c r="AA12" s="157">
        <v>0</v>
      </c>
      <c r="AB12" s="339">
        <f>Z12*AA12</f>
        <v>0</v>
      </c>
    </row>
    <row r="13" spans="1:30" ht="25.5" customHeight="1">
      <c r="A13" s="27"/>
      <c r="B13" s="136" t="s">
        <v>91</v>
      </c>
      <c r="C13" s="28"/>
      <c r="D13" s="28"/>
      <c r="E13" s="65">
        <f>SUM(E11:E12)</f>
        <v>61118.729999999996</v>
      </c>
      <c r="F13" s="65">
        <f t="shared" ref="F13:AB13" si="15">SUM(F11:F12)</f>
        <v>0</v>
      </c>
      <c r="G13" s="65">
        <f t="shared" si="15"/>
        <v>183356.19</v>
      </c>
      <c r="H13" s="65">
        <f t="shared" si="15"/>
        <v>4583.9047499999997</v>
      </c>
      <c r="I13" s="65">
        <f t="shared" si="15"/>
        <v>40122.19</v>
      </c>
      <c r="J13" s="65">
        <f t="shared" si="15"/>
        <v>30559.364999999998</v>
      </c>
      <c r="K13" s="65">
        <f t="shared" si="15"/>
        <v>213915.55499999999</v>
      </c>
      <c r="L13" s="65">
        <f t="shared" si="15"/>
        <v>61118.729999999996</v>
      </c>
      <c r="M13" s="65">
        <f t="shared" si="15"/>
        <v>300000</v>
      </c>
      <c r="N13" s="65">
        <f t="shared" si="15"/>
        <v>0</v>
      </c>
      <c r="O13" s="65">
        <f t="shared" si="15"/>
        <v>6111.8729999999996</v>
      </c>
      <c r="P13" s="65">
        <f t="shared" si="15"/>
        <v>40000</v>
      </c>
      <c r="Q13" s="65">
        <f ca="1">SUM(Q11:Q12)</f>
        <v>61118.729999999996</v>
      </c>
      <c r="R13" s="65">
        <f t="shared" si="15"/>
        <v>0</v>
      </c>
      <c r="S13" s="65">
        <f t="shared" si="15"/>
        <v>1108743.5</v>
      </c>
      <c r="T13" s="65">
        <f t="shared" si="15"/>
        <v>167856.83999999997</v>
      </c>
      <c r="U13" s="65">
        <f t="shared" si="15"/>
        <v>837.69</v>
      </c>
      <c r="V13" s="65">
        <f t="shared" si="15"/>
        <v>1028.94</v>
      </c>
      <c r="W13" s="65">
        <f t="shared" si="15"/>
        <v>137846.80479466668</v>
      </c>
      <c r="X13" s="65">
        <f t="shared" si="15"/>
        <v>170075.32</v>
      </c>
      <c r="Y13" s="65">
        <f t="shared" si="15"/>
        <v>32228.515205333322</v>
      </c>
      <c r="Z13" s="65">
        <f t="shared" si="15"/>
        <v>135628.32479466664</v>
      </c>
      <c r="AA13" s="65">
        <f t="shared" si="15"/>
        <v>9</v>
      </c>
      <c r="AB13" s="65">
        <f t="shared" si="15"/>
        <v>556088.57999999973</v>
      </c>
      <c r="AC13" s="157"/>
    </row>
    <row r="14" spans="1:30" ht="20.100000000000001" customHeight="1">
      <c r="A14" s="27"/>
      <c r="B14" s="136"/>
      <c r="C14" s="28"/>
      <c r="D14" s="28"/>
      <c r="E14" s="29"/>
      <c r="F14" s="29"/>
      <c r="G14" s="29"/>
      <c r="H14" s="29"/>
      <c r="I14" s="29"/>
      <c r="J14" s="29"/>
      <c r="K14" s="29"/>
      <c r="L14" s="156"/>
      <c r="M14" s="156"/>
      <c r="N14" s="29"/>
      <c r="O14" s="29"/>
      <c r="P14" s="29"/>
      <c r="Q14" s="189"/>
      <c r="R14" s="28"/>
      <c r="S14" s="189"/>
      <c r="T14" s="22">
        <f t="shared" ref="T14" si="16">S14-Q14</f>
        <v>0</v>
      </c>
      <c r="U14" s="29"/>
      <c r="V14" s="29"/>
      <c r="W14" s="298"/>
      <c r="X14" s="29"/>
      <c r="Y14" s="24"/>
      <c r="Z14" s="185"/>
      <c r="AA14" s="29"/>
      <c r="AB14" s="185"/>
      <c r="AC14" s="157"/>
    </row>
    <row r="15" spans="1:30" ht="20.100000000000001" customHeight="1">
      <c r="A15" s="19"/>
      <c r="B15" s="103"/>
      <c r="C15" s="27"/>
      <c r="D15" s="19"/>
      <c r="E15" s="166"/>
      <c r="F15" s="166"/>
      <c r="G15" s="166"/>
      <c r="H15" s="166"/>
      <c r="I15" s="166"/>
      <c r="J15" s="166"/>
      <c r="K15" s="166"/>
      <c r="L15" s="156"/>
      <c r="M15" s="156"/>
      <c r="N15" s="166"/>
      <c r="O15" s="166"/>
      <c r="P15" s="166"/>
      <c r="Q15" s="183"/>
      <c r="R15" s="19"/>
      <c r="S15" s="183"/>
      <c r="T15" s="22"/>
      <c r="U15" s="166"/>
      <c r="V15" s="166"/>
      <c r="W15" s="299"/>
      <c r="X15" s="166"/>
      <c r="Y15" s="24">
        <f t="shared" si="5"/>
        <v>0</v>
      </c>
      <c r="Z15" s="185">
        <f t="shared" si="6"/>
        <v>0</v>
      </c>
      <c r="AA15" s="166"/>
      <c r="AB15" s="185">
        <f t="shared" si="7"/>
        <v>0</v>
      </c>
      <c r="AC15" s="157"/>
    </row>
    <row r="16" spans="1:30" ht="20.100000000000001" customHeight="1">
      <c r="A16" s="19"/>
      <c r="B16" s="136" t="s">
        <v>208</v>
      </c>
      <c r="C16" s="28"/>
      <c r="D16" s="28"/>
      <c r="E16" s="29"/>
      <c r="F16" s="29"/>
      <c r="G16" s="29"/>
      <c r="H16" s="29"/>
      <c r="I16" s="29"/>
      <c r="J16" s="29"/>
      <c r="K16" s="29"/>
      <c r="L16" s="156"/>
      <c r="M16" s="156"/>
      <c r="N16" s="29"/>
      <c r="O16" s="29"/>
      <c r="P16" s="29"/>
      <c r="Q16" s="190"/>
      <c r="R16" s="28"/>
      <c r="S16" s="190"/>
      <c r="T16" s="22"/>
      <c r="U16" s="159"/>
      <c r="V16" s="159"/>
      <c r="W16" s="298"/>
      <c r="X16" s="29"/>
      <c r="Y16" s="24">
        <f t="shared" si="5"/>
        <v>0</v>
      </c>
      <c r="Z16" s="185">
        <f t="shared" si="6"/>
        <v>0</v>
      </c>
      <c r="AA16" s="29"/>
      <c r="AB16" s="185">
        <f t="shared" si="7"/>
        <v>0</v>
      </c>
      <c r="AC16" s="157"/>
    </row>
    <row r="17" spans="1:29" ht="20.100000000000001" customHeight="1">
      <c r="A17" s="19">
        <v>3</v>
      </c>
      <c r="B17" s="133" t="s">
        <v>211</v>
      </c>
      <c r="C17" s="138" t="s">
        <v>214</v>
      </c>
      <c r="D17" s="158" t="s">
        <v>45</v>
      </c>
      <c r="E17" s="24">
        <v>33507.5</v>
      </c>
      <c r="F17" s="24"/>
      <c r="G17" s="24">
        <f t="shared" ref="G17:G18" si="17">E17*300%</f>
        <v>100522.5</v>
      </c>
      <c r="H17" s="24">
        <f t="shared" ref="H17:H18" si="18">E17*7.5%</f>
        <v>2513.0625</v>
      </c>
      <c r="I17" s="24">
        <v>40122.19</v>
      </c>
      <c r="J17" s="24">
        <f t="shared" ref="J17:J18" si="19">E17*50%</f>
        <v>16753.75</v>
      </c>
      <c r="K17" s="22">
        <f t="shared" ref="K17:K18" si="20">E17*350%</f>
        <v>117276.25</v>
      </c>
      <c r="L17" s="24">
        <f t="shared" ref="L17:L18" si="21">E17*100%</f>
        <v>33507.5</v>
      </c>
      <c r="M17" s="156">
        <f>80000</f>
        <v>80000</v>
      </c>
      <c r="N17" s="24">
        <f>E17*10%</f>
        <v>3350.75</v>
      </c>
      <c r="O17" s="24">
        <v>20000</v>
      </c>
      <c r="P17" s="24">
        <v>100000</v>
      </c>
      <c r="Q17" s="181">
        <f>SUM(E17:P17)</f>
        <v>547553.50249999994</v>
      </c>
      <c r="R17" s="338" t="s">
        <v>107</v>
      </c>
      <c r="S17" s="181">
        <f>'SALARY STRUCTURE'!H19+190000</f>
        <v>614023.33333333326</v>
      </c>
      <c r="T17" s="22">
        <f>S17-Q17</f>
        <v>66469.830833333312</v>
      </c>
      <c r="U17" s="22">
        <f>837.69</f>
        <v>837.69</v>
      </c>
      <c r="V17" s="22">
        <f>1028.94</f>
        <v>1028.94</v>
      </c>
      <c r="W17" s="294">
        <f>83626.1</f>
        <v>83626.100000000006</v>
      </c>
      <c r="X17" s="24">
        <f>96398.31</f>
        <v>96398.31</v>
      </c>
      <c r="Y17" s="24">
        <f t="shared" si="5"/>
        <v>12772.209999999992</v>
      </c>
      <c r="Z17" s="185">
        <f t="shared" si="6"/>
        <v>53697.62083333332</v>
      </c>
      <c r="AA17" s="24">
        <v>11</v>
      </c>
      <c r="AB17" s="185">
        <f t="shared" si="7"/>
        <v>590673.82916666649</v>
      </c>
      <c r="AC17" s="157"/>
    </row>
    <row r="18" spans="1:29" ht="20.100000000000001" customHeight="1">
      <c r="A18" s="19"/>
      <c r="B18" s="133" t="s">
        <v>218</v>
      </c>
      <c r="C18" s="138" t="s">
        <v>219</v>
      </c>
      <c r="D18" s="158" t="s">
        <v>168</v>
      </c>
      <c r="E18" s="24">
        <v>25523.45</v>
      </c>
      <c r="F18" s="24"/>
      <c r="G18" s="24">
        <f t="shared" si="17"/>
        <v>76570.350000000006</v>
      </c>
      <c r="H18" s="24">
        <f t="shared" si="18"/>
        <v>1914.25875</v>
      </c>
      <c r="I18" s="24"/>
      <c r="J18" s="24">
        <f t="shared" si="19"/>
        <v>12761.725</v>
      </c>
      <c r="K18" s="22">
        <f t="shared" si="20"/>
        <v>89332.074999999997</v>
      </c>
      <c r="L18" s="24">
        <f t="shared" si="21"/>
        <v>25523.45</v>
      </c>
      <c r="M18" s="156"/>
      <c r="N18" s="156">
        <f t="shared" ref="N18" si="22">70000</f>
        <v>70000</v>
      </c>
      <c r="O18" s="24">
        <f t="shared" ref="O18" si="23">E18*10%</f>
        <v>2552.3450000000003</v>
      </c>
      <c r="P18" s="24">
        <v>15000</v>
      </c>
      <c r="Q18" s="181">
        <f ca="1">SUM(E18:Q18)</f>
        <v>319177.65375</v>
      </c>
      <c r="R18" s="27" t="s">
        <v>399</v>
      </c>
      <c r="S18" s="22">
        <f>'DECEMBER 2023'!R127</f>
        <v>327211.36749999999</v>
      </c>
      <c r="T18" s="22">
        <f>327211.37-319177.65</f>
        <v>8033.7199999999721</v>
      </c>
      <c r="U18" s="22">
        <v>638.09</v>
      </c>
      <c r="V18" s="22">
        <v>690.28</v>
      </c>
      <c r="W18" s="24">
        <v>40684.6</v>
      </c>
      <c r="X18" s="234">
        <v>42034.239999999998</v>
      </c>
      <c r="Y18" s="24">
        <f t="shared" si="5"/>
        <v>1349.6399999999994</v>
      </c>
      <c r="Z18" s="185">
        <f t="shared" si="6"/>
        <v>6684.0799999999726</v>
      </c>
      <c r="AA18" s="24">
        <v>0</v>
      </c>
      <c r="AB18" s="185">
        <f t="shared" si="7"/>
        <v>0</v>
      </c>
      <c r="AC18" s="157"/>
    </row>
    <row r="19" spans="1:29" ht="28.5" customHeight="1">
      <c r="A19" s="19"/>
      <c r="B19" s="136" t="s">
        <v>91</v>
      </c>
      <c r="C19" s="164"/>
      <c r="D19" s="158"/>
      <c r="E19" s="29">
        <f t="shared" ref="E19:L19" si="24">SUM(E17:E17)</f>
        <v>33507.5</v>
      </c>
      <c r="F19" s="29">
        <f t="shared" si="24"/>
        <v>0</v>
      </c>
      <c r="G19" s="29">
        <f t="shared" si="24"/>
        <v>100522.5</v>
      </c>
      <c r="H19" s="29">
        <f t="shared" si="24"/>
        <v>2513.0625</v>
      </c>
      <c r="I19" s="29">
        <f t="shared" si="24"/>
        <v>40122.19</v>
      </c>
      <c r="J19" s="29">
        <f t="shared" si="24"/>
        <v>16753.75</v>
      </c>
      <c r="K19" s="29">
        <f t="shared" si="24"/>
        <v>117276.25</v>
      </c>
      <c r="L19" s="29">
        <f t="shared" si="24"/>
        <v>33507.5</v>
      </c>
      <c r="M19" s="29" t="e">
        <f>SUM(#REF!)</f>
        <v>#REF!</v>
      </c>
      <c r="N19" s="29">
        <f>SUM(M17:M17)</f>
        <v>80000</v>
      </c>
      <c r="O19" s="29">
        <f>SUM(N17:N17)</f>
        <v>3350.75</v>
      </c>
      <c r="P19" s="29">
        <f>SUM(O17:O17)</f>
        <v>20000</v>
      </c>
      <c r="Q19" s="29">
        <f>SUM(P17:P17)</f>
        <v>100000</v>
      </c>
      <c r="R19" s="158"/>
      <c r="S19" s="29">
        <f t="shared" ref="S19:Z19" si="25">SUM(S17:S17)</f>
        <v>614023.33333333326</v>
      </c>
      <c r="T19" s="29">
        <f t="shared" si="25"/>
        <v>66469.830833333312</v>
      </c>
      <c r="U19" s="29">
        <f t="shared" si="25"/>
        <v>837.69</v>
      </c>
      <c r="V19" s="29">
        <f t="shared" si="25"/>
        <v>1028.94</v>
      </c>
      <c r="W19" s="29">
        <f t="shared" si="25"/>
        <v>83626.100000000006</v>
      </c>
      <c r="X19" s="29">
        <f t="shared" si="25"/>
        <v>96398.31</v>
      </c>
      <c r="Y19" s="29">
        <f t="shared" si="25"/>
        <v>12772.209999999992</v>
      </c>
      <c r="Z19" s="195">
        <f t="shared" si="25"/>
        <v>53697.62083333332</v>
      </c>
      <c r="AA19" s="29"/>
      <c r="AB19" s="195">
        <f>SUM(AB17:AB17)</f>
        <v>590673.82916666649</v>
      </c>
      <c r="AC19" s="157"/>
    </row>
    <row r="20" spans="1:29" ht="18.75" customHeight="1">
      <c r="A20" s="19"/>
      <c r="B20" s="136"/>
      <c r="C20" s="164"/>
      <c r="D20" s="158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158"/>
      <c r="S20" s="29"/>
      <c r="T20" s="29"/>
      <c r="U20" s="29"/>
      <c r="V20" s="29"/>
      <c r="W20" s="29"/>
      <c r="X20" s="29"/>
      <c r="Y20" s="29"/>
      <c r="Z20" s="195"/>
      <c r="AA20" s="29"/>
      <c r="AB20" s="195"/>
      <c r="AC20" s="157"/>
    </row>
    <row r="21" spans="1:29" ht="28.5" customHeight="1">
      <c r="A21" s="19"/>
      <c r="B21" s="136" t="s">
        <v>208</v>
      </c>
      <c r="C21" s="164"/>
      <c r="D21" s="158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158"/>
      <c r="S21" s="29"/>
      <c r="T21" s="29"/>
      <c r="U21" s="29"/>
      <c r="V21" s="29"/>
      <c r="W21" s="29"/>
      <c r="X21" s="29"/>
      <c r="Y21" s="29"/>
      <c r="Z21" s="195"/>
      <c r="AA21" s="29"/>
      <c r="AB21" s="195"/>
      <c r="AC21" s="157"/>
    </row>
    <row r="22" spans="1:29" ht="20.100000000000001" customHeight="1">
      <c r="A22" s="168">
        <v>15</v>
      </c>
      <c r="B22" s="133" t="s">
        <v>296</v>
      </c>
      <c r="C22" s="138" t="s">
        <v>302</v>
      </c>
      <c r="D22" s="158" t="s">
        <v>400</v>
      </c>
      <c r="E22" s="24">
        <v>5428.12</v>
      </c>
      <c r="F22" s="24">
        <f t="shared" ref="F22:F24" si="26">E22*300%</f>
        <v>16284.36</v>
      </c>
      <c r="G22" s="24">
        <f t="shared" ref="G22:G24" si="27">E22*7.5%</f>
        <v>407.10899999999998</v>
      </c>
      <c r="H22" s="24"/>
      <c r="I22" s="24">
        <f t="shared" ref="I22:I24" si="28">E22*50%</f>
        <v>2714.06</v>
      </c>
      <c r="J22" s="22">
        <f t="shared" ref="J22:J24" si="29">E22*350%</f>
        <v>18998.419999999998</v>
      </c>
      <c r="K22" s="24">
        <f t="shared" ref="K22:K24" si="30">E22*100%</f>
        <v>5428.12</v>
      </c>
      <c r="L22" s="156"/>
      <c r="M22" s="156">
        <f>20000</f>
        <v>20000</v>
      </c>
      <c r="N22" s="24">
        <f t="shared" ref="N22:N24" si="31">E22*10%</f>
        <v>542.81200000000001</v>
      </c>
      <c r="O22" s="24">
        <v>5000</v>
      </c>
      <c r="P22" s="24">
        <f>7000</f>
        <v>7000</v>
      </c>
      <c r="Q22" s="181">
        <f t="shared" ref="Q22:Q24" si="32">SUM(E22:P22)</f>
        <v>81803.001000000018</v>
      </c>
      <c r="R22" s="158" t="s">
        <v>298</v>
      </c>
      <c r="S22" s="181" t="e">
        <f>'SALARY STRUCTURE'!#REF!+30000</f>
        <v>#REF!</v>
      </c>
      <c r="T22" s="22" t="e">
        <f t="shared" ref="T22:T24" si="33">S22-Q22</f>
        <v>#REF!</v>
      </c>
      <c r="U22" s="22"/>
      <c r="V22" s="22"/>
      <c r="W22" s="296">
        <v>4365.3307546666683</v>
      </c>
      <c r="X22" s="22">
        <f>'[7]October 2023'!$Z$164</f>
        <v>8312.5899999999983</v>
      </c>
      <c r="Y22" s="24">
        <f t="shared" ref="Y22:Y24" si="34">X22-W22</f>
        <v>3947.25924533333</v>
      </c>
      <c r="Z22" s="185" t="e">
        <f t="shared" ref="Z22:Z24" si="35">T22-Y22</f>
        <v>#REF!</v>
      </c>
      <c r="AA22" s="22">
        <f>(10/31)+2</f>
        <v>2.3225806451612905</v>
      </c>
      <c r="AB22" s="185" t="e">
        <f t="shared" ref="AB22:AB24" si="36">Z22*AA22</f>
        <v>#REF!</v>
      </c>
      <c r="AC22" s="157"/>
    </row>
    <row r="23" spans="1:29" s="333" customFormat="1" ht="20.100000000000001" customHeight="1">
      <c r="A23" s="326">
        <v>16</v>
      </c>
      <c r="B23" s="327" t="s">
        <v>299</v>
      </c>
      <c r="C23" s="328" t="s">
        <v>302</v>
      </c>
      <c r="D23" s="329" t="s">
        <v>400</v>
      </c>
      <c r="E23" s="16">
        <v>5428.12</v>
      </c>
      <c r="F23" s="16">
        <f t="shared" si="26"/>
        <v>16284.36</v>
      </c>
      <c r="G23" s="16">
        <f t="shared" si="27"/>
        <v>407.10899999999998</v>
      </c>
      <c r="H23" s="16"/>
      <c r="I23" s="16">
        <f t="shared" si="28"/>
        <v>2714.06</v>
      </c>
      <c r="J23" s="14">
        <f t="shared" si="29"/>
        <v>18998.419999999998</v>
      </c>
      <c r="K23" s="16">
        <f t="shared" si="30"/>
        <v>5428.12</v>
      </c>
      <c r="L23" s="330"/>
      <c r="M23" s="330">
        <f>20000</f>
        <v>20000</v>
      </c>
      <c r="N23" s="16">
        <f t="shared" si="31"/>
        <v>542.81200000000001</v>
      </c>
      <c r="O23" s="16">
        <v>5000</v>
      </c>
      <c r="P23" s="16">
        <f>7000</f>
        <v>7000</v>
      </c>
      <c r="Q23" s="14">
        <f t="shared" si="32"/>
        <v>81803.001000000018</v>
      </c>
      <c r="R23" s="329" t="s">
        <v>298</v>
      </c>
      <c r="S23" s="14" t="e">
        <f>'SALARY STRUCTURE'!#REF!+30000</f>
        <v>#REF!</v>
      </c>
      <c r="T23" s="14" t="e">
        <f t="shared" si="33"/>
        <v>#REF!</v>
      </c>
      <c r="U23" s="14"/>
      <c r="V23" s="14"/>
      <c r="W23" s="331">
        <f>4365.33075466667</f>
        <v>4365.3307546666701</v>
      </c>
      <c r="X23" s="14">
        <f>'[7]October 2023'!$Z$164</f>
        <v>8312.5899999999983</v>
      </c>
      <c r="Y23" s="16">
        <f t="shared" si="34"/>
        <v>3947.2592453333282</v>
      </c>
      <c r="Z23" s="16" t="e">
        <f t="shared" si="35"/>
        <v>#REF!</v>
      </c>
      <c r="AA23" s="14">
        <f>(17/31)+1</f>
        <v>1.5483870967741935</v>
      </c>
      <c r="AB23" s="16" t="e">
        <f t="shared" si="36"/>
        <v>#REF!</v>
      </c>
      <c r="AC23" s="332"/>
    </row>
    <row r="24" spans="1:29" ht="20.100000000000001" customHeight="1">
      <c r="A24" s="168">
        <v>17</v>
      </c>
      <c r="B24" s="134" t="s">
        <v>300</v>
      </c>
      <c r="C24" s="138" t="s">
        <v>302</v>
      </c>
      <c r="D24" s="158" t="s">
        <v>401</v>
      </c>
      <c r="E24" s="24">
        <f>5598.92</f>
        <v>5598.92</v>
      </c>
      <c r="F24" s="24">
        <f t="shared" si="26"/>
        <v>16796.760000000002</v>
      </c>
      <c r="G24" s="24">
        <f t="shared" si="27"/>
        <v>419.91899999999998</v>
      </c>
      <c r="H24" s="24"/>
      <c r="I24" s="24">
        <f t="shared" si="28"/>
        <v>2799.46</v>
      </c>
      <c r="J24" s="22">
        <f t="shared" si="29"/>
        <v>19596.22</v>
      </c>
      <c r="K24" s="24">
        <f t="shared" si="30"/>
        <v>5598.92</v>
      </c>
      <c r="L24" s="156"/>
      <c r="M24" s="156">
        <f>20000</f>
        <v>20000</v>
      </c>
      <c r="N24" s="24">
        <f t="shared" si="31"/>
        <v>559.89200000000005</v>
      </c>
      <c r="O24" s="24">
        <v>5000</v>
      </c>
      <c r="P24" s="24">
        <f>7000</f>
        <v>7000</v>
      </c>
      <c r="Q24" s="181">
        <f t="shared" si="32"/>
        <v>83370.091</v>
      </c>
      <c r="R24" s="158" t="s">
        <v>298</v>
      </c>
      <c r="S24" s="181">
        <v>115104.91666666667</v>
      </c>
      <c r="T24" s="22">
        <f t="shared" si="33"/>
        <v>31734.825666666671</v>
      </c>
      <c r="U24" s="22"/>
      <c r="V24" s="22"/>
      <c r="W24" s="296">
        <v>4504.4109199999994</v>
      </c>
      <c r="X24" s="22">
        <f>'[7]October 2023'!$Z$164</f>
        <v>8312.5899999999983</v>
      </c>
      <c r="Y24" s="24">
        <f t="shared" si="34"/>
        <v>3808.179079999999</v>
      </c>
      <c r="Z24" s="185">
        <f t="shared" si="35"/>
        <v>27926.646586666673</v>
      </c>
      <c r="AA24" s="22">
        <v>8</v>
      </c>
      <c r="AB24" s="185">
        <f t="shared" si="36"/>
        <v>223413.17269333338</v>
      </c>
      <c r="AC24" s="157"/>
    </row>
    <row r="25" spans="1:29" ht="20.100000000000001" customHeight="1">
      <c r="A25" s="19"/>
      <c r="B25" s="103"/>
      <c r="C25" s="164"/>
      <c r="D25" s="158"/>
      <c r="E25" s="29"/>
      <c r="F25" s="29"/>
      <c r="G25" s="29"/>
      <c r="H25" s="29"/>
      <c r="I25" s="29"/>
      <c r="J25" s="159"/>
      <c r="K25" s="29"/>
      <c r="L25" s="156">
        <f>226713.38+70000</f>
        <v>296713.38</v>
      </c>
      <c r="M25" s="156"/>
      <c r="N25" s="29"/>
      <c r="O25" s="29"/>
      <c r="P25" s="29"/>
      <c r="Q25" s="190"/>
      <c r="R25" s="158"/>
      <c r="S25" s="190"/>
      <c r="T25" s="22"/>
      <c r="U25" s="159"/>
      <c r="V25" s="159"/>
      <c r="W25" s="298"/>
      <c r="X25" s="29"/>
      <c r="Y25" s="24"/>
      <c r="Z25" s="185"/>
      <c r="AA25" s="29"/>
      <c r="AB25" s="185"/>
      <c r="AC25" s="157"/>
    </row>
    <row r="26" spans="1:29" ht="20.100000000000001" customHeight="1">
      <c r="A26" s="19"/>
      <c r="B26" s="103"/>
      <c r="C26" s="164"/>
      <c r="D26" s="158"/>
      <c r="E26" s="29"/>
      <c r="F26" s="29"/>
      <c r="G26" s="29"/>
      <c r="H26" s="29"/>
      <c r="I26" s="29"/>
      <c r="J26" s="159"/>
      <c r="K26" s="29"/>
      <c r="L26" s="156"/>
      <c r="M26" s="156"/>
      <c r="N26" s="29"/>
      <c r="O26" s="29"/>
      <c r="P26" s="29"/>
      <c r="Q26" s="190"/>
      <c r="R26" s="158"/>
      <c r="S26" s="190"/>
      <c r="T26" s="22"/>
      <c r="U26" s="159"/>
      <c r="V26" s="159"/>
      <c r="W26" s="298"/>
      <c r="X26" s="29"/>
      <c r="Y26" s="24"/>
      <c r="Z26" s="185"/>
      <c r="AA26" s="29"/>
      <c r="AB26" s="185"/>
      <c r="AC26" s="157"/>
    </row>
    <row r="27" spans="1:29" ht="19.5" customHeight="1">
      <c r="A27" s="19"/>
      <c r="B27" s="171" t="s">
        <v>330</v>
      </c>
      <c r="C27" s="172"/>
      <c r="D27" s="173"/>
      <c r="E27" s="174">
        <f>E19+E13+E8</f>
        <v>108118.44</v>
      </c>
      <c r="F27" s="174">
        <f t="shared" ref="F27:AB27" si="37">F19+F13+F8</f>
        <v>0</v>
      </c>
      <c r="G27" s="174">
        <f t="shared" si="37"/>
        <v>324355.32</v>
      </c>
      <c r="H27" s="174">
        <f t="shared" si="37"/>
        <v>8108.8829999999998</v>
      </c>
      <c r="I27" s="174">
        <f t="shared" si="37"/>
        <v>80244.38</v>
      </c>
      <c r="J27" s="174">
        <f t="shared" si="37"/>
        <v>54059.22</v>
      </c>
      <c r="K27" s="174">
        <f t="shared" si="37"/>
        <v>378414.54</v>
      </c>
      <c r="L27" s="174">
        <f t="shared" si="37"/>
        <v>108118.44</v>
      </c>
      <c r="M27" s="174" t="e">
        <f t="shared" si="37"/>
        <v>#REF!</v>
      </c>
      <c r="N27" s="174">
        <f t="shared" si="37"/>
        <v>130000</v>
      </c>
      <c r="O27" s="174">
        <f t="shared" si="37"/>
        <v>10811.843999999999</v>
      </c>
      <c r="P27" s="174">
        <f t="shared" si="37"/>
        <v>70000</v>
      </c>
      <c r="Q27" s="174">
        <f t="shared" ca="1" si="37"/>
        <v>82203.67</v>
      </c>
      <c r="R27" s="174">
        <f t="shared" si="37"/>
        <v>0</v>
      </c>
      <c r="S27" s="174">
        <f t="shared" si="37"/>
        <v>1927970.9133333333</v>
      </c>
      <c r="T27" s="174">
        <f t="shared" si="37"/>
        <v>255739.72083333327</v>
      </c>
      <c r="U27" s="174">
        <f t="shared" si="37"/>
        <v>1675.38</v>
      </c>
      <c r="V27" s="174">
        <f t="shared" si="37"/>
        <v>2057.88</v>
      </c>
      <c r="W27" s="174">
        <f t="shared" si="37"/>
        <v>239575.80479466668</v>
      </c>
      <c r="X27" s="174">
        <f t="shared" si="37"/>
        <v>288114.51</v>
      </c>
      <c r="Y27" s="174">
        <f t="shared" si="37"/>
        <v>48538.705205333317</v>
      </c>
      <c r="Z27" s="174">
        <f t="shared" si="37"/>
        <v>207201.01562799994</v>
      </c>
      <c r="AA27" s="174">
        <f t="shared" si="37"/>
        <v>9</v>
      </c>
      <c r="AB27" s="174">
        <f t="shared" si="37"/>
        <v>1151529.0944999997</v>
      </c>
      <c r="AC27" s="157"/>
    </row>
    <row r="28" spans="1:29" ht="20.100000000000001" customHeight="1">
      <c r="B28" s="175"/>
      <c r="D28" s="176"/>
      <c r="E28" s="176"/>
      <c r="F28" s="176"/>
      <c r="G28" s="176"/>
      <c r="H28" s="176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300"/>
      <c r="X28" s="178"/>
      <c r="Y28" s="178"/>
      <c r="Z28" s="178"/>
      <c r="AA28" s="178"/>
      <c r="AB28" s="178"/>
      <c r="AC28" s="179"/>
    </row>
    <row r="29" spans="1:29" ht="36.75" customHeight="1">
      <c r="B29" s="175"/>
      <c r="C29" s="176"/>
      <c r="D29" s="176"/>
      <c r="E29" s="176"/>
      <c r="F29" s="176"/>
      <c r="G29" s="176"/>
      <c r="H29" s="176"/>
      <c r="I29" s="177"/>
      <c r="J29" s="177"/>
      <c r="K29" s="177"/>
      <c r="L29" s="177"/>
      <c r="M29" s="177"/>
      <c r="N29" s="177"/>
      <c r="O29" s="177"/>
      <c r="Q29" s="177"/>
      <c r="R29" s="177"/>
      <c r="S29" s="177"/>
      <c r="T29" s="177"/>
      <c r="U29" s="177"/>
      <c r="V29" s="177"/>
      <c r="W29" s="300"/>
      <c r="X29" s="178"/>
      <c r="Y29" s="178"/>
      <c r="Z29" s="178"/>
      <c r="AA29" s="178"/>
      <c r="AB29" s="178"/>
    </row>
    <row r="32" spans="1:29" ht="20.100000000000001" customHeight="1">
      <c r="Q32" s="179"/>
      <c r="R32" s="179"/>
      <c r="S32" s="179"/>
      <c r="T32" s="179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0"/>
  <sheetViews>
    <sheetView zoomScaleNormal="100" zoomScaleSheetLayoutView="50" workbookViewId="0">
      <pane xSplit="3" ySplit="7" topLeftCell="D175" activePane="bottomRight" state="frozen"/>
      <selection pane="bottomRight" activeCell="F22" sqref="F2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41" customWidth="1"/>
    <col min="2" max="2" width="43.85546875" style="141" customWidth="1"/>
    <col min="3" max="3" width="40.42578125" style="141" customWidth="1"/>
    <col min="4" max="4" width="11.140625" style="141" customWidth="1"/>
    <col min="5" max="5" width="21.28515625" style="141" customWidth="1"/>
    <col min="6" max="6" width="21.7109375" style="141" customWidth="1"/>
    <col min="7" max="16384" width="9.140625" style="141"/>
  </cols>
  <sheetData>
    <row r="1" spans="1:6" ht="27" customHeight="1">
      <c r="A1" s="405" t="s">
        <v>0</v>
      </c>
      <c r="B1" s="405"/>
      <c r="C1" s="405"/>
      <c r="D1" s="405"/>
      <c r="E1" s="405"/>
    </row>
    <row r="2" spans="1:6" ht="33.75" customHeight="1">
      <c r="A2" s="246" t="s">
        <v>402</v>
      </c>
      <c r="B2" s="247"/>
      <c r="C2" s="246"/>
      <c r="D2" s="246"/>
      <c r="E2" s="246"/>
    </row>
    <row r="3" spans="1:6" ht="9.75" customHeight="1">
      <c r="E3" s="140" t="e">
        <f>'[1]FEB 08'!E11/'[1]FEB 08'!M11</f>
        <v>#REF!</v>
      </c>
    </row>
    <row r="4" spans="1:6" ht="49.5" customHeight="1">
      <c r="A4" s="19"/>
      <c r="B4" s="147" t="s">
        <v>2</v>
      </c>
      <c r="C4" s="148" t="s">
        <v>3</v>
      </c>
      <c r="D4" s="149" t="s">
        <v>4</v>
      </c>
      <c r="E4" s="357" t="s">
        <v>403</v>
      </c>
    </row>
    <row r="5" spans="1:6" ht="17.25" customHeight="1">
      <c r="C5" s="154"/>
      <c r="D5" s="154"/>
      <c r="E5" s="358" t="s">
        <v>25</v>
      </c>
    </row>
    <row r="6" spans="1:6" ht="20.100000000000001" customHeight="1">
      <c r="A6" s="153" t="s">
        <v>26</v>
      </c>
      <c r="B6" s="154" t="s">
        <v>27</v>
      </c>
      <c r="C6" s="154"/>
      <c r="D6" s="154"/>
      <c r="E6" s="358"/>
    </row>
    <row r="7" spans="1:6" ht="20.100000000000001" customHeight="1">
      <c r="A7" s="27">
        <v>1</v>
      </c>
      <c r="B7" s="133" t="s">
        <v>28</v>
      </c>
      <c r="C7" s="138" t="s">
        <v>29</v>
      </c>
      <c r="D7" s="138" t="s">
        <v>30</v>
      </c>
      <c r="E7" s="266">
        <v>540000</v>
      </c>
      <c r="F7" s="157"/>
    </row>
    <row r="8" spans="1:6" ht="20.100000000000001" customHeight="1">
      <c r="A8" s="27">
        <v>2</v>
      </c>
      <c r="B8" s="133" t="s">
        <v>31</v>
      </c>
      <c r="C8" s="138" t="s">
        <v>32</v>
      </c>
      <c r="D8" s="27" t="s">
        <v>33</v>
      </c>
      <c r="E8" s="266">
        <v>180000</v>
      </c>
      <c r="F8" s="157"/>
    </row>
    <row r="9" spans="1:6" ht="20.100000000000001" customHeight="1">
      <c r="A9" s="27">
        <v>3</v>
      </c>
      <c r="B9" s="135" t="s">
        <v>34</v>
      </c>
      <c r="C9" s="19" t="s">
        <v>35</v>
      </c>
      <c r="D9" s="158" t="s">
        <v>36</v>
      </c>
      <c r="E9" s="266">
        <v>180000</v>
      </c>
      <c r="F9" s="157"/>
    </row>
    <row r="10" spans="1:6" ht="20.100000000000001" customHeight="1">
      <c r="A10" s="27">
        <v>4</v>
      </c>
      <c r="B10" s="133" t="s">
        <v>37</v>
      </c>
      <c r="C10" s="92" t="s">
        <v>38</v>
      </c>
      <c r="D10" s="23" t="s">
        <v>36</v>
      </c>
      <c r="E10" s="266">
        <v>180000</v>
      </c>
      <c r="F10" s="157"/>
    </row>
    <row r="11" spans="1:6" ht="20.100000000000001" customHeight="1">
      <c r="A11" s="27">
        <v>5</v>
      </c>
      <c r="B11" s="135" t="s">
        <v>39</v>
      </c>
      <c r="C11" s="19" t="s">
        <v>40</v>
      </c>
      <c r="D11" s="23" t="s">
        <v>36</v>
      </c>
      <c r="E11" s="266">
        <v>180000</v>
      </c>
      <c r="F11" s="157"/>
    </row>
    <row r="12" spans="1:6" ht="20.100000000000001" customHeight="1">
      <c r="A12" s="27">
        <v>6</v>
      </c>
      <c r="B12" s="134" t="s">
        <v>41</v>
      </c>
      <c r="C12" s="27" t="s">
        <v>42</v>
      </c>
      <c r="D12" s="158" t="s">
        <v>36</v>
      </c>
      <c r="E12" s="266">
        <v>180000</v>
      </c>
      <c r="F12" s="157"/>
    </row>
    <row r="13" spans="1:6" ht="20.100000000000001" customHeight="1">
      <c r="A13" s="27">
        <v>7</v>
      </c>
      <c r="B13" s="133" t="s">
        <v>43</v>
      </c>
      <c r="C13" s="138" t="s">
        <v>44</v>
      </c>
      <c r="D13" s="158" t="s">
        <v>45</v>
      </c>
      <c r="E13" s="359">
        <v>126000</v>
      </c>
      <c r="F13" s="157"/>
    </row>
    <row r="14" spans="1:6" ht="20.100000000000001" customHeight="1">
      <c r="A14" s="27">
        <v>8</v>
      </c>
      <c r="B14" s="133" t="s">
        <v>46</v>
      </c>
      <c r="C14" s="19" t="s">
        <v>47</v>
      </c>
      <c r="D14" s="27" t="s">
        <v>48</v>
      </c>
      <c r="E14" s="359">
        <v>126000</v>
      </c>
      <c r="F14" s="157"/>
    </row>
    <row r="15" spans="1:6" ht="20.100000000000001" customHeight="1">
      <c r="A15" s="27">
        <v>9</v>
      </c>
      <c r="B15" s="133" t="s">
        <v>49</v>
      </c>
      <c r="C15" s="19" t="s">
        <v>50</v>
      </c>
      <c r="D15" s="158" t="s">
        <v>51</v>
      </c>
      <c r="E15" s="359">
        <f>90000</f>
        <v>90000</v>
      </c>
      <c r="F15" s="157"/>
    </row>
    <row r="16" spans="1:6" ht="20.100000000000001" customHeight="1">
      <c r="A16" s="27">
        <v>10</v>
      </c>
      <c r="B16" s="135" t="s">
        <v>52</v>
      </c>
      <c r="C16" s="92" t="s">
        <v>53</v>
      </c>
      <c r="D16" s="158" t="s">
        <v>54</v>
      </c>
      <c r="E16" s="359">
        <f>90000</f>
        <v>90000</v>
      </c>
      <c r="F16" s="157"/>
    </row>
    <row r="17" spans="1:6" ht="20.100000000000001" customHeight="1">
      <c r="A17" s="27">
        <v>11</v>
      </c>
      <c r="B17" s="133" t="s">
        <v>55</v>
      </c>
      <c r="C17" s="19" t="s">
        <v>56</v>
      </c>
      <c r="D17" s="27" t="s">
        <v>57</v>
      </c>
      <c r="E17" s="359">
        <f t="shared" ref="E17:E19" si="0">90000</f>
        <v>90000</v>
      </c>
    </row>
    <row r="18" spans="1:6" ht="20.100000000000001" customHeight="1">
      <c r="A18" s="27">
        <v>12</v>
      </c>
      <c r="B18" s="133" t="s">
        <v>58</v>
      </c>
      <c r="C18" s="138" t="s">
        <v>59</v>
      </c>
      <c r="D18" s="158" t="s">
        <v>60</v>
      </c>
      <c r="E18" s="359">
        <f t="shared" si="0"/>
        <v>90000</v>
      </c>
      <c r="F18" s="157"/>
    </row>
    <row r="19" spans="1:6" ht="20.100000000000001" customHeight="1">
      <c r="A19" s="27">
        <v>13</v>
      </c>
      <c r="B19" s="134" t="s">
        <v>61</v>
      </c>
      <c r="C19" s="19" t="s">
        <v>62</v>
      </c>
      <c r="D19" s="158" t="s">
        <v>63</v>
      </c>
      <c r="E19" s="359">
        <f t="shared" si="0"/>
        <v>90000</v>
      </c>
      <c r="F19" s="157"/>
    </row>
    <row r="20" spans="1:6" ht="18.75" customHeight="1">
      <c r="A20" s="27">
        <v>14</v>
      </c>
      <c r="B20" s="133" t="s">
        <v>64</v>
      </c>
      <c r="C20" s="138" t="s">
        <v>65</v>
      </c>
      <c r="D20" s="158" t="s">
        <v>66</v>
      </c>
      <c r="E20" s="359">
        <v>54000</v>
      </c>
      <c r="F20" s="157"/>
    </row>
    <row r="21" spans="1:6" ht="20.100000000000001" customHeight="1">
      <c r="A21" s="27">
        <v>15</v>
      </c>
      <c r="B21" s="135" t="s">
        <v>67</v>
      </c>
      <c r="C21" s="92" t="s">
        <v>68</v>
      </c>
      <c r="D21" s="27" t="s">
        <v>69</v>
      </c>
      <c r="E21" s="359">
        <v>54000</v>
      </c>
      <c r="F21" s="157"/>
    </row>
    <row r="22" spans="1:6" ht="20.100000000000001" customHeight="1">
      <c r="A22" s="27">
        <v>16</v>
      </c>
      <c r="B22" s="135" t="s">
        <v>70</v>
      </c>
      <c r="C22" s="92" t="s">
        <v>71</v>
      </c>
      <c r="D22" s="27" t="s">
        <v>72</v>
      </c>
      <c r="E22" s="359">
        <v>54000</v>
      </c>
      <c r="F22" s="157"/>
    </row>
    <row r="23" spans="1:6" ht="18.75" customHeight="1">
      <c r="A23" s="27">
        <v>17</v>
      </c>
      <c r="B23" s="19" t="s">
        <v>73</v>
      </c>
      <c r="C23" s="19" t="s">
        <v>74</v>
      </c>
      <c r="D23" s="27" t="s">
        <v>75</v>
      </c>
      <c r="E23" s="359">
        <v>54000</v>
      </c>
      <c r="F23" s="157"/>
    </row>
    <row r="24" spans="1:6" ht="18.75" customHeight="1">
      <c r="A24" s="27">
        <v>18</v>
      </c>
      <c r="B24" s="134" t="s">
        <v>76</v>
      </c>
      <c r="C24" s="138" t="s">
        <v>74</v>
      </c>
      <c r="D24" s="158" t="s">
        <v>75</v>
      </c>
      <c r="E24" s="359">
        <v>54000</v>
      </c>
      <c r="F24" s="157"/>
    </row>
    <row r="25" spans="1:6" ht="18.75" customHeight="1">
      <c r="A25" s="27">
        <v>19</v>
      </c>
      <c r="B25" s="134" t="s">
        <v>77</v>
      </c>
      <c r="C25" s="138" t="s">
        <v>78</v>
      </c>
      <c r="D25" s="158" t="s">
        <v>79</v>
      </c>
      <c r="E25" s="359">
        <v>54000</v>
      </c>
      <c r="F25" s="157"/>
    </row>
    <row r="26" spans="1:6" ht="18.75" customHeight="1">
      <c r="A26" s="27">
        <v>20</v>
      </c>
      <c r="B26" s="134" t="s">
        <v>80</v>
      </c>
      <c r="C26" s="19" t="s">
        <v>81</v>
      </c>
      <c r="D26" s="27" t="s">
        <v>79</v>
      </c>
      <c r="E26" s="359">
        <v>54000</v>
      </c>
      <c r="F26" s="157"/>
    </row>
    <row r="27" spans="1:6" ht="18.75" customHeight="1">
      <c r="A27" s="27">
        <v>21</v>
      </c>
      <c r="B27" s="134" t="s">
        <v>82</v>
      </c>
      <c r="C27" s="92" t="s">
        <v>83</v>
      </c>
      <c r="D27" s="158" t="s">
        <v>75</v>
      </c>
      <c r="E27" s="359">
        <v>54000</v>
      </c>
      <c r="F27" s="157"/>
    </row>
    <row r="28" spans="1:6" ht="18.75" customHeight="1">
      <c r="A28" s="27">
        <v>22</v>
      </c>
      <c r="B28" s="134" t="s">
        <v>84</v>
      </c>
      <c r="C28" s="19" t="s">
        <v>85</v>
      </c>
      <c r="D28" s="27" t="s">
        <v>86</v>
      </c>
      <c r="E28" s="359">
        <v>54000</v>
      </c>
      <c r="F28" s="157"/>
    </row>
    <row r="29" spans="1:6" ht="18.75" customHeight="1">
      <c r="A29" s="27">
        <v>23</v>
      </c>
      <c r="B29" s="134" t="s">
        <v>87</v>
      </c>
      <c r="C29" s="138" t="s">
        <v>88</v>
      </c>
      <c r="D29" s="158" t="s">
        <v>86</v>
      </c>
      <c r="E29" s="359">
        <v>54000</v>
      </c>
      <c r="F29" s="157"/>
    </row>
    <row r="30" spans="1:6" ht="18.75" customHeight="1">
      <c r="A30" s="27">
        <v>24</v>
      </c>
      <c r="B30" s="134" t="s">
        <v>89</v>
      </c>
      <c r="C30" s="138" t="s">
        <v>88</v>
      </c>
      <c r="D30" s="158" t="s">
        <v>90</v>
      </c>
      <c r="E30" s="359">
        <v>54000</v>
      </c>
      <c r="F30" s="157"/>
    </row>
    <row r="31" spans="1:6" ht="26.25" customHeight="1">
      <c r="A31" s="27"/>
      <c r="B31" s="136" t="s">
        <v>91</v>
      </c>
      <c r="C31" s="28">
        <v>24</v>
      </c>
      <c r="D31" s="158"/>
      <c r="E31" s="361">
        <f>SUM(E7:E30)</f>
        <v>2736000</v>
      </c>
      <c r="F31" s="157"/>
    </row>
    <row r="32" spans="1:6" ht="18.75" customHeight="1">
      <c r="A32" s="27"/>
      <c r="B32" s="103"/>
      <c r="C32" s="19"/>
      <c r="D32" s="158"/>
      <c r="E32" s="361"/>
      <c r="F32" s="157"/>
    </row>
    <row r="33" spans="1:6" ht="18.75" customHeight="1">
      <c r="A33" s="27"/>
      <c r="B33" s="136" t="s">
        <v>92</v>
      </c>
      <c r="C33" s="19"/>
      <c r="D33" s="158"/>
      <c r="E33" s="359"/>
      <c r="F33" s="157"/>
    </row>
    <row r="34" spans="1:6" ht="18.75" customHeight="1">
      <c r="A34" s="27">
        <v>1</v>
      </c>
      <c r="B34" s="134" t="s">
        <v>93</v>
      </c>
      <c r="C34" s="19" t="s">
        <v>94</v>
      </c>
      <c r="D34" s="27" t="s">
        <v>95</v>
      </c>
      <c r="E34" s="359">
        <v>270000</v>
      </c>
      <c r="F34" s="157"/>
    </row>
    <row r="35" spans="1:6" ht="18.75" customHeight="1">
      <c r="A35" s="27">
        <v>2</v>
      </c>
      <c r="B35" s="134" t="s">
        <v>96</v>
      </c>
      <c r="C35" s="19" t="s">
        <v>97</v>
      </c>
      <c r="D35" s="27" t="s">
        <v>90</v>
      </c>
      <c r="E35" s="359">
        <v>54000</v>
      </c>
      <c r="F35" s="157"/>
    </row>
    <row r="36" spans="1:6" ht="18.75" customHeight="1">
      <c r="A36" s="27">
        <v>3</v>
      </c>
      <c r="B36" s="133" t="s">
        <v>98</v>
      </c>
      <c r="C36" s="138" t="s">
        <v>99</v>
      </c>
      <c r="D36" s="158" t="s">
        <v>72</v>
      </c>
      <c r="E36" s="359">
        <v>54000</v>
      </c>
      <c r="F36" s="157"/>
    </row>
    <row r="37" spans="1:6" ht="19.5" customHeight="1">
      <c r="A37" s="27"/>
      <c r="B37" s="135"/>
      <c r="C37" s="28">
        <v>3</v>
      </c>
      <c r="D37" s="27"/>
      <c r="E37" s="361">
        <f>SUM(E34:E36)</f>
        <v>378000</v>
      </c>
      <c r="F37" s="157"/>
    </row>
    <row r="38" spans="1:6" ht="20.100000000000001" customHeight="1">
      <c r="A38" s="27"/>
      <c r="B38" s="135"/>
      <c r="C38" s="19"/>
      <c r="D38" s="27"/>
      <c r="E38" s="361"/>
      <c r="F38" s="157"/>
    </row>
    <row r="39" spans="1:6" ht="20.100000000000001" customHeight="1">
      <c r="A39" s="27"/>
      <c r="B39" s="162" t="s">
        <v>100</v>
      </c>
      <c r="C39" s="147"/>
      <c r="D39" s="151"/>
      <c r="E39" s="361"/>
      <c r="F39" s="157"/>
    </row>
    <row r="40" spans="1:6" ht="20.100000000000001" customHeight="1">
      <c r="A40" s="27">
        <v>1</v>
      </c>
      <c r="B40" s="133" t="s">
        <v>101</v>
      </c>
      <c r="C40" s="19" t="s">
        <v>102</v>
      </c>
      <c r="D40" s="27" t="s">
        <v>95</v>
      </c>
      <c r="E40" s="359">
        <v>270000</v>
      </c>
      <c r="F40" s="157"/>
    </row>
    <row r="41" spans="1:6" ht="20.100000000000001" customHeight="1">
      <c r="A41" s="27">
        <v>2</v>
      </c>
      <c r="B41" s="133" t="s">
        <v>105</v>
      </c>
      <c r="C41" s="19" t="s">
        <v>106</v>
      </c>
      <c r="D41" s="27" t="s">
        <v>107</v>
      </c>
      <c r="E41" s="359">
        <f>180000</f>
        <v>180000</v>
      </c>
      <c r="F41" s="157"/>
    </row>
    <row r="42" spans="1:6" ht="20.100000000000001" customHeight="1">
      <c r="A42" s="27">
        <v>3</v>
      </c>
      <c r="B42" s="133" t="s">
        <v>103</v>
      </c>
      <c r="C42" s="19" t="s">
        <v>104</v>
      </c>
      <c r="D42" s="27" t="s">
        <v>45</v>
      </c>
      <c r="E42" s="359">
        <v>126000</v>
      </c>
      <c r="F42" s="157"/>
    </row>
    <row r="43" spans="1:6" ht="20.100000000000001" customHeight="1">
      <c r="A43" s="27">
        <v>4</v>
      </c>
      <c r="B43" s="133" t="s">
        <v>108</v>
      </c>
      <c r="C43" s="19" t="s">
        <v>109</v>
      </c>
      <c r="D43" s="27" t="s">
        <v>45</v>
      </c>
      <c r="E43" s="359">
        <v>126000</v>
      </c>
      <c r="F43" s="157"/>
    </row>
    <row r="44" spans="1:6" ht="20.100000000000001" customHeight="1">
      <c r="A44" s="27">
        <v>5</v>
      </c>
      <c r="B44" s="133" t="s">
        <v>110</v>
      </c>
      <c r="C44" s="19" t="s">
        <v>109</v>
      </c>
      <c r="D44" s="27" t="s">
        <v>111</v>
      </c>
      <c r="E44" s="359">
        <v>126000</v>
      </c>
      <c r="F44" s="157"/>
    </row>
    <row r="45" spans="1:6" ht="20.100000000000001" customHeight="1">
      <c r="A45" s="27">
        <v>6</v>
      </c>
      <c r="B45" s="133" t="s">
        <v>112</v>
      </c>
      <c r="C45" s="19" t="s">
        <v>109</v>
      </c>
      <c r="D45" s="27" t="s">
        <v>48</v>
      </c>
      <c r="E45" s="359">
        <v>126000</v>
      </c>
      <c r="F45" s="157"/>
    </row>
    <row r="46" spans="1:6" ht="20.100000000000001" customHeight="1">
      <c r="A46" s="27">
        <v>7</v>
      </c>
      <c r="B46" s="135" t="s">
        <v>113</v>
      </c>
      <c r="C46" s="19" t="s">
        <v>53</v>
      </c>
      <c r="D46" s="23" t="s">
        <v>51</v>
      </c>
      <c r="E46" s="359">
        <v>90000</v>
      </c>
      <c r="F46" s="157"/>
    </row>
    <row r="47" spans="1:6" ht="20.100000000000001" customHeight="1">
      <c r="A47" s="27">
        <v>8</v>
      </c>
      <c r="B47" s="133" t="s">
        <v>114</v>
      </c>
      <c r="C47" s="19" t="s">
        <v>115</v>
      </c>
      <c r="D47" s="27" t="s">
        <v>116</v>
      </c>
      <c r="E47" s="359">
        <v>90000</v>
      </c>
      <c r="F47" s="157"/>
    </row>
    <row r="48" spans="1:6" ht="20.100000000000001" customHeight="1">
      <c r="A48" s="27">
        <v>9</v>
      </c>
      <c r="B48" s="133" t="s">
        <v>117</v>
      </c>
      <c r="C48" s="19" t="s">
        <v>118</v>
      </c>
      <c r="D48" s="27" t="s">
        <v>72</v>
      </c>
      <c r="E48" s="359">
        <v>54000</v>
      </c>
      <c r="F48" s="157"/>
    </row>
    <row r="49" spans="1:6" ht="20.100000000000001" customHeight="1">
      <c r="A49" s="27">
        <v>10</v>
      </c>
      <c r="B49" s="133" t="s">
        <v>119</v>
      </c>
      <c r="C49" s="19" t="s">
        <v>118</v>
      </c>
      <c r="D49" s="27" t="s">
        <v>79</v>
      </c>
      <c r="E49" s="359">
        <v>54000</v>
      </c>
      <c r="F49" s="157"/>
    </row>
    <row r="50" spans="1:6" ht="20.100000000000001" customHeight="1">
      <c r="A50" s="27">
        <v>11</v>
      </c>
      <c r="B50" s="133" t="s">
        <v>120</v>
      </c>
      <c r="C50" s="19" t="s">
        <v>118</v>
      </c>
      <c r="D50" s="27" t="s">
        <v>79</v>
      </c>
      <c r="E50" s="359">
        <v>54000</v>
      </c>
      <c r="F50" s="157"/>
    </row>
    <row r="51" spans="1:6" ht="20.100000000000001" customHeight="1">
      <c r="A51" s="27">
        <v>12</v>
      </c>
      <c r="B51" s="133" t="s">
        <v>121</v>
      </c>
      <c r="C51" s="19" t="s">
        <v>118</v>
      </c>
      <c r="D51" s="27" t="s">
        <v>79</v>
      </c>
      <c r="E51" s="359">
        <v>54000</v>
      </c>
      <c r="F51" s="157"/>
    </row>
    <row r="52" spans="1:6" ht="25.5" customHeight="1">
      <c r="A52" s="27"/>
      <c r="B52" s="136" t="s">
        <v>91</v>
      </c>
      <c r="C52" s="28">
        <v>12</v>
      </c>
      <c r="D52" s="28"/>
      <c r="E52" s="362">
        <f>SUM(E40:E51)</f>
        <v>1350000</v>
      </c>
      <c r="F52" s="157"/>
    </row>
    <row r="53" spans="1:6" ht="20.100000000000001" customHeight="1">
      <c r="A53" s="27"/>
      <c r="B53" s="103"/>
      <c r="C53" s="28"/>
      <c r="D53" s="28"/>
      <c r="E53" s="363"/>
      <c r="F53" s="157"/>
    </row>
    <row r="54" spans="1:6" ht="20.100000000000001" customHeight="1">
      <c r="A54" s="27"/>
      <c r="B54" s="136" t="s">
        <v>122</v>
      </c>
      <c r="C54" s="28"/>
      <c r="D54" s="28"/>
      <c r="E54" s="363"/>
      <c r="F54" s="157"/>
    </row>
    <row r="55" spans="1:6" ht="20.100000000000001" customHeight="1">
      <c r="A55" s="27">
        <v>1</v>
      </c>
      <c r="B55" s="133" t="s">
        <v>123</v>
      </c>
      <c r="C55" s="138" t="s">
        <v>124</v>
      </c>
      <c r="D55" s="158" t="s">
        <v>95</v>
      </c>
      <c r="E55" s="359">
        <v>270000</v>
      </c>
      <c r="F55" s="157"/>
    </row>
    <row r="56" spans="1:6" ht="20.100000000000001" customHeight="1">
      <c r="A56" s="27">
        <v>2</v>
      </c>
      <c r="B56" s="133" t="s">
        <v>125</v>
      </c>
      <c r="C56" s="138" t="s">
        <v>126</v>
      </c>
      <c r="D56" s="158" t="s">
        <v>127</v>
      </c>
      <c r="E56" s="359">
        <v>126000</v>
      </c>
      <c r="F56" s="157"/>
    </row>
    <row r="57" spans="1:6" ht="20.100000000000001" customHeight="1">
      <c r="A57" s="27"/>
      <c r="B57" s="136" t="s">
        <v>91</v>
      </c>
      <c r="C57" s="28">
        <v>2</v>
      </c>
      <c r="D57" s="28"/>
      <c r="E57" s="362">
        <f>SUM(E55:E56)</f>
        <v>396000</v>
      </c>
      <c r="F57" s="157"/>
    </row>
    <row r="58" spans="1:6" ht="20.100000000000001" customHeight="1">
      <c r="A58" s="27"/>
      <c r="B58" s="136"/>
      <c r="C58" s="28"/>
      <c r="D58" s="28"/>
      <c r="E58" s="363"/>
      <c r="F58" s="157"/>
    </row>
    <row r="59" spans="1:6" ht="20.100000000000001" customHeight="1">
      <c r="A59" s="27"/>
      <c r="B59" s="136" t="s">
        <v>128</v>
      </c>
      <c r="C59" s="28"/>
      <c r="D59" s="28"/>
      <c r="E59" s="363"/>
      <c r="F59" s="157"/>
    </row>
    <row r="60" spans="1:6" ht="20.100000000000001" customHeight="1">
      <c r="A60" s="27">
        <v>1</v>
      </c>
      <c r="B60" s="133" t="s">
        <v>129</v>
      </c>
      <c r="C60" s="92" t="s">
        <v>130</v>
      </c>
      <c r="D60" s="27" t="s">
        <v>95</v>
      </c>
      <c r="E60" s="359">
        <v>270000</v>
      </c>
      <c r="F60" s="157"/>
    </row>
    <row r="61" spans="1:6" ht="20.100000000000001" customHeight="1">
      <c r="A61" s="27">
        <v>2</v>
      </c>
      <c r="B61" s="265" t="s">
        <v>131</v>
      </c>
      <c r="C61" s="92" t="s">
        <v>132</v>
      </c>
      <c r="D61" s="158" t="s">
        <v>133</v>
      </c>
      <c r="E61" s="266">
        <v>126000</v>
      </c>
      <c r="F61" s="157"/>
    </row>
    <row r="62" spans="1:6" ht="20.100000000000001" customHeight="1">
      <c r="A62" s="27">
        <v>3</v>
      </c>
      <c r="B62" s="133" t="s">
        <v>134</v>
      </c>
      <c r="C62" s="19" t="s">
        <v>53</v>
      </c>
      <c r="D62" s="27" t="s">
        <v>116</v>
      </c>
      <c r="E62" s="359">
        <v>90000</v>
      </c>
      <c r="F62" s="157"/>
    </row>
    <row r="63" spans="1:6" ht="20.100000000000001" customHeight="1">
      <c r="A63" s="27">
        <v>4</v>
      </c>
      <c r="B63" s="134" t="s">
        <v>135</v>
      </c>
      <c r="C63" s="92" t="s">
        <v>136</v>
      </c>
      <c r="D63" s="158" t="s">
        <v>60</v>
      </c>
      <c r="E63" s="359">
        <v>90000</v>
      </c>
      <c r="F63" s="157"/>
    </row>
    <row r="64" spans="1:6" ht="20.100000000000001" customHeight="1">
      <c r="A64" s="27">
        <v>5</v>
      </c>
      <c r="B64" s="135" t="s">
        <v>137</v>
      </c>
      <c r="C64" s="92" t="s">
        <v>53</v>
      </c>
      <c r="D64" s="158" t="s">
        <v>51</v>
      </c>
      <c r="E64" s="359">
        <v>90000</v>
      </c>
      <c r="F64" s="157"/>
    </row>
    <row r="65" spans="1:6" ht="20.100000000000001" customHeight="1">
      <c r="A65" s="27">
        <v>7</v>
      </c>
      <c r="B65" s="133" t="s">
        <v>138</v>
      </c>
      <c r="C65" s="19" t="s">
        <v>118</v>
      </c>
      <c r="D65" s="27" t="s">
        <v>69</v>
      </c>
      <c r="E65" s="359">
        <v>54000</v>
      </c>
      <c r="F65" s="157"/>
    </row>
    <row r="66" spans="1:6" ht="20.100000000000001" customHeight="1">
      <c r="A66" s="27">
        <v>8</v>
      </c>
      <c r="B66" s="133" t="s">
        <v>139</v>
      </c>
      <c r="C66" s="92" t="s">
        <v>140</v>
      </c>
      <c r="D66" s="158" t="s">
        <v>69</v>
      </c>
      <c r="E66" s="359">
        <v>54000</v>
      </c>
      <c r="F66" s="157"/>
    </row>
    <row r="67" spans="1:6" ht="20.100000000000001" customHeight="1">
      <c r="A67" s="27">
        <v>9</v>
      </c>
      <c r="B67" s="133" t="s">
        <v>141</v>
      </c>
      <c r="C67" s="92" t="s">
        <v>140</v>
      </c>
      <c r="D67" s="158" t="s">
        <v>69</v>
      </c>
      <c r="E67" s="359">
        <v>54000</v>
      </c>
      <c r="F67" s="157"/>
    </row>
    <row r="68" spans="1:6" ht="20.100000000000001" customHeight="1">
      <c r="A68" s="27">
        <v>10</v>
      </c>
      <c r="B68" s="133" t="s">
        <v>142</v>
      </c>
      <c r="C68" s="19" t="s">
        <v>143</v>
      </c>
      <c r="D68" s="27" t="s">
        <v>66</v>
      </c>
      <c r="E68" s="359">
        <v>54000</v>
      </c>
      <c r="F68" s="157"/>
    </row>
    <row r="69" spans="1:6" ht="21.6" customHeight="1">
      <c r="A69" s="27">
        <v>11</v>
      </c>
      <c r="B69" s="133" t="s">
        <v>144</v>
      </c>
      <c r="C69" s="19" t="s">
        <v>118</v>
      </c>
      <c r="D69" s="27" t="s">
        <v>72</v>
      </c>
      <c r="E69" s="359">
        <v>54000</v>
      </c>
    </row>
    <row r="70" spans="1:6" ht="20.100000000000001" customHeight="1">
      <c r="A70" s="27">
        <v>12</v>
      </c>
      <c r="B70" s="133" t="s">
        <v>145</v>
      </c>
      <c r="C70" s="92" t="s">
        <v>68</v>
      </c>
      <c r="D70" s="27" t="s">
        <v>75</v>
      </c>
      <c r="E70" s="359">
        <v>54000</v>
      </c>
      <c r="F70" s="157"/>
    </row>
    <row r="71" spans="1:6" ht="27" customHeight="1">
      <c r="A71" s="27"/>
      <c r="B71" s="136" t="s">
        <v>91</v>
      </c>
      <c r="C71" s="28">
        <v>12</v>
      </c>
      <c r="D71" s="28"/>
      <c r="E71" s="362">
        <f>SUM(E60:E70)</f>
        <v>990000</v>
      </c>
      <c r="F71" s="157"/>
    </row>
    <row r="72" spans="1:6" ht="20.100000000000001" customHeight="1">
      <c r="A72" s="27"/>
      <c r="B72" s="103"/>
      <c r="C72" s="28"/>
      <c r="D72" s="28"/>
      <c r="E72" s="363"/>
      <c r="F72" s="157"/>
    </row>
    <row r="73" spans="1:6" ht="20.100000000000001" customHeight="1">
      <c r="A73" s="27"/>
      <c r="B73" s="136" t="s">
        <v>146</v>
      </c>
      <c r="C73" s="28"/>
      <c r="D73" s="28"/>
      <c r="E73" s="363"/>
      <c r="F73" s="157"/>
    </row>
    <row r="74" spans="1:6" ht="20.100000000000001" customHeight="1">
      <c r="A74" s="27">
        <v>1</v>
      </c>
      <c r="B74" s="133" t="s">
        <v>147</v>
      </c>
      <c r="C74" s="19" t="s">
        <v>148</v>
      </c>
      <c r="D74" s="27" t="s">
        <v>95</v>
      </c>
      <c r="E74" s="359">
        <v>270000</v>
      </c>
      <c r="F74" s="157"/>
    </row>
    <row r="75" spans="1:6" ht="20.100000000000001" customHeight="1">
      <c r="A75" s="27">
        <v>2</v>
      </c>
      <c r="B75" s="135" t="s">
        <v>149</v>
      </c>
      <c r="C75" s="19" t="s">
        <v>150</v>
      </c>
      <c r="D75" s="158" t="s">
        <v>133</v>
      </c>
      <c r="E75" s="266">
        <v>126000</v>
      </c>
      <c r="F75" s="157"/>
    </row>
    <row r="76" spans="1:6" ht="20.100000000000001" customHeight="1">
      <c r="A76" s="27">
        <v>3</v>
      </c>
      <c r="B76" s="134" t="s">
        <v>151</v>
      </c>
      <c r="C76" s="138" t="s">
        <v>152</v>
      </c>
      <c r="D76" s="27" t="s">
        <v>127</v>
      </c>
      <c r="E76" s="266">
        <v>126000</v>
      </c>
      <c r="F76" s="157"/>
    </row>
    <row r="77" spans="1:6" ht="20.100000000000001" customHeight="1">
      <c r="A77" s="27">
        <v>4</v>
      </c>
      <c r="B77" s="133" t="s">
        <v>153</v>
      </c>
      <c r="C77" s="19" t="s">
        <v>154</v>
      </c>
      <c r="D77" s="158" t="s">
        <v>116</v>
      </c>
      <c r="E77" s="359">
        <v>90000</v>
      </c>
      <c r="F77" s="157"/>
    </row>
    <row r="78" spans="1:6" ht="20.100000000000001" customHeight="1">
      <c r="A78" s="27">
        <v>5</v>
      </c>
      <c r="B78" s="133" t="s">
        <v>155</v>
      </c>
      <c r="C78" s="19" t="s">
        <v>156</v>
      </c>
      <c r="D78" s="27" t="s">
        <v>157</v>
      </c>
      <c r="E78" s="359">
        <v>54000</v>
      </c>
      <c r="F78" s="157"/>
    </row>
    <row r="79" spans="1:6" ht="20.100000000000001" customHeight="1">
      <c r="A79" s="27">
        <v>6</v>
      </c>
      <c r="B79" s="133" t="s">
        <v>158</v>
      </c>
      <c r="C79" s="19" t="s">
        <v>156</v>
      </c>
      <c r="D79" s="27" t="s">
        <v>79</v>
      </c>
      <c r="E79" s="359">
        <v>54000</v>
      </c>
      <c r="F79" s="157"/>
    </row>
    <row r="80" spans="1:6" ht="20.100000000000001" customHeight="1">
      <c r="A80" s="27">
        <v>7</v>
      </c>
      <c r="B80" s="133" t="s">
        <v>159</v>
      </c>
      <c r="C80" s="19" t="s">
        <v>160</v>
      </c>
      <c r="D80" s="27" t="s">
        <v>90</v>
      </c>
      <c r="E80" s="359">
        <v>54000</v>
      </c>
      <c r="F80" s="157"/>
    </row>
    <row r="81" spans="1:6" ht="20.100000000000001" customHeight="1">
      <c r="A81" s="27"/>
      <c r="B81" s="136" t="s">
        <v>91</v>
      </c>
      <c r="C81" s="28">
        <v>7</v>
      </c>
      <c r="D81" s="28"/>
      <c r="E81" s="362">
        <f>SUM(E74:E80)</f>
        <v>774000</v>
      </c>
      <c r="F81" s="157"/>
    </row>
    <row r="82" spans="1:6" ht="20.100000000000001" customHeight="1">
      <c r="A82" s="27"/>
      <c r="B82" s="136"/>
      <c r="C82" s="28"/>
      <c r="D82" s="28"/>
      <c r="E82" s="363"/>
      <c r="F82" s="157"/>
    </row>
    <row r="83" spans="1:6" ht="20.100000000000001" customHeight="1">
      <c r="A83" s="27"/>
      <c r="B83" s="136" t="s">
        <v>161</v>
      </c>
      <c r="C83" s="163"/>
      <c r="D83" s="28"/>
      <c r="E83" s="363"/>
      <c r="F83" s="157"/>
    </row>
    <row r="84" spans="1:6" ht="20.100000000000001" customHeight="1">
      <c r="A84" s="27">
        <v>1</v>
      </c>
      <c r="B84" s="133" t="s">
        <v>162</v>
      </c>
      <c r="C84" s="19" t="s">
        <v>109</v>
      </c>
      <c r="D84" s="27" t="s">
        <v>45</v>
      </c>
      <c r="E84" s="359">
        <v>126000</v>
      </c>
      <c r="F84" s="157"/>
    </row>
    <row r="85" spans="1:6" ht="20.100000000000001" customHeight="1">
      <c r="A85" s="27">
        <v>2</v>
      </c>
      <c r="B85" s="133" t="s">
        <v>163</v>
      </c>
      <c r="C85" s="19" t="s">
        <v>109</v>
      </c>
      <c r="D85" s="27" t="s">
        <v>45</v>
      </c>
      <c r="E85" s="359">
        <v>126000</v>
      </c>
      <c r="F85" s="157"/>
    </row>
    <row r="86" spans="1:6" ht="20.100000000000001" customHeight="1">
      <c r="A86" s="27">
        <v>3</v>
      </c>
      <c r="B86" s="135" t="s">
        <v>164</v>
      </c>
      <c r="C86" s="19" t="s">
        <v>109</v>
      </c>
      <c r="D86" s="27" t="s">
        <v>48</v>
      </c>
      <c r="E86" s="359">
        <v>126000</v>
      </c>
      <c r="F86" s="157"/>
    </row>
    <row r="87" spans="1:6" ht="20.100000000000001" customHeight="1">
      <c r="A87" s="27">
        <v>4</v>
      </c>
      <c r="B87" s="133" t="s">
        <v>165</v>
      </c>
      <c r="C87" s="19" t="s">
        <v>109</v>
      </c>
      <c r="D87" s="27" t="s">
        <v>48</v>
      </c>
      <c r="E87" s="359">
        <v>126000</v>
      </c>
      <c r="F87" s="157"/>
    </row>
    <row r="88" spans="1:6" ht="21.6" customHeight="1">
      <c r="A88" s="27">
        <v>5</v>
      </c>
      <c r="B88" s="133" t="s">
        <v>166</v>
      </c>
      <c r="C88" s="19" t="s">
        <v>167</v>
      </c>
      <c r="D88" s="158" t="s">
        <v>168</v>
      </c>
      <c r="E88" s="359">
        <v>90000</v>
      </c>
      <c r="F88" s="157"/>
    </row>
    <row r="89" spans="1:6" ht="21.6" customHeight="1">
      <c r="A89" s="27">
        <v>6</v>
      </c>
      <c r="B89" s="133" t="s">
        <v>169</v>
      </c>
      <c r="C89" s="138" t="s">
        <v>136</v>
      </c>
      <c r="D89" s="158" t="s">
        <v>60</v>
      </c>
      <c r="E89" s="359">
        <v>90000</v>
      </c>
      <c r="F89" s="157"/>
    </row>
    <row r="90" spans="1:6" ht="21.6" customHeight="1">
      <c r="A90" s="27">
        <v>7</v>
      </c>
      <c r="B90" s="133" t="s">
        <v>170</v>
      </c>
      <c r="C90" s="138" t="s">
        <v>53</v>
      </c>
      <c r="D90" s="158" t="s">
        <v>171</v>
      </c>
      <c r="E90" s="359">
        <v>90000</v>
      </c>
      <c r="F90" s="157"/>
    </row>
    <row r="91" spans="1:6" ht="21.6" customHeight="1">
      <c r="A91" s="27">
        <v>8</v>
      </c>
      <c r="B91" s="133" t="s">
        <v>172</v>
      </c>
      <c r="C91" s="92" t="s">
        <v>140</v>
      </c>
      <c r="D91" s="158" t="s">
        <v>69</v>
      </c>
      <c r="E91" s="359">
        <v>54000</v>
      </c>
      <c r="F91" s="157"/>
    </row>
    <row r="92" spans="1:6" ht="21.6" customHeight="1">
      <c r="A92" s="27">
        <v>9</v>
      </c>
      <c r="B92" s="133" t="s">
        <v>173</v>
      </c>
      <c r="C92" s="92" t="s">
        <v>140</v>
      </c>
      <c r="D92" s="158" t="s">
        <v>69</v>
      </c>
      <c r="E92" s="359">
        <v>54000</v>
      </c>
      <c r="F92" s="157"/>
    </row>
    <row r="93" spans="1:6" ht="21.6" customHeight="1">
      <c r="A93" s="27">
        <v>10</v>
      </c>
      <c r="B93" s="133" t="s">
        <v>174</v>
      </c>
      <c r="C93" s="19" t="s">
        <v>175</v>
      </c>
      <c r="D93" s="27" t="s">
        <v>72</v>
      </c>
      <c r="E93" s="359">
        <v>54000</v>
      </c>
      <c r="F93" s="157"/>
    </row>
    <row r="94" spans="1:6" ht="21.6" customHeight="1">
      <c r="A94" s="27">
        <v>11</v>
      </c>
      <c r="B94" s="133" t="s">
        <v>176</v>
      </c>
      <c r="C94" s="92" t="s">
        <v>177</v>
      </c>
      <c r="D94" s="158" t="s">
        <v>86</v>
      </c>
      <c r="E94" s="359">
        <v>54000</v>
      </c>
      <c r="F94" s="157"/>
    </row>
    <row r="95" spans="1:6" ht="20.100000000000001" customHeight="1">
      <c r="A95" s="27"/>
      <c r="B95" s="136" t="s">
        <v>91</v>
      </c>
      <c r="C95" s="28">
        <v>11</v>
      </c>
      <c r="D95" s="28"/>
      <c r="E95" s="362">
        <f>SUM(E84:E94)</f>
        <v>990000</v>
      </c>
      <c r="F95" s="157"/>
    </row>
    <row r="96" spans="1:6" ht="20.100000000000001" customHeight="1">
      <c r="A96" s="27"/>
      <c r="B96" s="103"/>
      <c r="C96" s="28"/>
      <c r="D96" s="28"/>
      <c r="E96" s="363"/>
      <c r="F96" s="157"/>
    </row>
    <row r="97" spans="1:6" ht="20.100000000000001" customHeight="1">
      <c r="A97" s="27"/>
      <c r="B97" s="136" t="s">
        <v>178</v>
      </c>
      <c r="C97" s="28"/>
      <c r="D97" s="28"/>
      <c r="E97" s="363"/>
      <c r="F97" s="157"/>
    </row>
    <row r="98" spans="1:6" ht="20.100000000000001" customHeight="1">
      <c r="A98" s="27">
        <v>1</v>
      </c>
      <c r="B98" s="135" t="s">
        <v>179</v>
      </c>
      <c r="C98" s="19" t="s">
        <v>180</v>
      </c>
      <c r="D98" s="23" t="s">
        <v>36</v>
      </c>
      <c r="E98" s="359">
        <f>180000</f>
        <v>180000</v>
      </c>
      <c r="F98" s="157"/>
    </row>
    <row r="99" spans="1:6" ht="20.100000000000001" customHeight="1">
      <c r="A99" s="27">
        <v>2</v>
      </c>
      <c r="B99" s="133" t="s">
        <v>181</v>
      </c>
      <c r="C99" s="19" t="s">
        <v>182</v>
      </c>
      <c r="D99" s="158" t="s">
        <v>116</v>
      </c>
      <c r="E99" s="359">
        <v>90000</v>
      </c>
      <c r="F99" s="157"/>
    </row>
    <row r="100" spans="1:6" ht="20.100000000000001" customHeight="1">
      <c r="A100" s="27">
        <v>3</v>
      </c>
      <c r="B100" s="133" t="s">
        <v>183</v>
      </c>
      <c r="C100" s="19" t="s">
        <v>184</v>
      </c>
      <c r="D100" s="158" t="s">
        <v>66</v>
      </c>
      <c r="E100" s="359">
        <v>54000</v>
      </c>
      <c r="F100" s="157"/>
    </row>
    <row r="101" spans="1:6" ht="20.100000000000001" customHeight="1">
      <c r="A101" s="27">
        <v>4</v>
      </c>
      <c r="B101" s="133" t="s">
        <v>185</v>
      </c>
      <c r="C101" s="19" t="s">
        <v>186</v>
      </c>
      <c r="D101" s="158" t="s">
        <v>72</v>
      </c>
      <c r="E101" s="359">
        <v>54000</v>
      </c>
      <c r="F101" s="157"/>
    </row>
    <row r="102" spans="1:6" ht="20.100000000000001" customHeight="1">
      <c r="A102" s="19"/>
      <c r="B102" s="136" t="s">
        <v>91</v>
      </c>
      <c r="C102" s="28">
        <v>4</v>
      </c>
      <c r="D102" s="164"/>
      <c r="E102" s="362">
        <f>SUM(E98:E101)</f>
        <v>378000</v>
      </c>
      <c r="F102" s="157"/>
    </row>
    <row r="103" spans="1:6" ht="20.100000000000001" customHeight="1">
      <c r="A103" s="19"/>
      <c r="B103" s="103"/>
      <c r="C103" s="28"/>
      <c r="D103" s="164"/>
      <c r="E103" s="363"/>
      <c r="F103" s="157"/>
    </row>
    <row r="104" spans="1:6" ht="20.100000000000001" customHeight="1">
      <c r="A104" s="19"/>
      <c r="B104" s="136" t="s">
        <v>187</v>
      </c>
      <c r="C104" s="19"/>
      <c r="D104" s="19"/>
      <c r="E104" s="364"/>
      <c r="F104" s="157"/>
    </row>
    <row r="105" spans="1:6" ht="20.100000000000001" customHeight="1">
      <c r="A105" s="19">
        <v>1</v>
      </c>
      <c r="B105" s="133" t="s">
        <v>188</v>
      </c>
      <c r="C105" s="138" t="s">
        <v>189</v>
      </c>
      <c r="D105" s="158" t="s">
        <v>95</v>
      </c>
      <c r="E105" s="359">
        <v>270000</v>
      </c>
      <c r="F105" s="157"/>
    </row>
    <row r="106" spans="1:6" ht="20.100000000000001" customHeight="1">
      <c r="A106" s="19">
        <v>2</v>
      </c>
      <c r="B106" s="133" t="s">
        <v>190</v>
      </c>
      <c r="C106" s="19" t="s">
        <v>191</v>
      </c>
      <c r="D106" s="23" t="s">
        <v>36</v>
      </c>
      <c r="E106" s="359">
        <v>180000</v>
      </c>
      <c r="F106" s="157"/>
    </row>
    <row r="107" spans="1:6" ht="20.100000000000001" customHeight="1">
      <c r="A107" s="19">
        <v>3</v>
      </c>
      <c r="B107" s="133" t="s">
        <v>192</v>
      </c>
      <c r="C107" s="19" t="s">
        <v>193</v>
      </c>
      <c r="D107" s="27" t="s">
        <v>57</v>
      </c>
      <c r="E107" s="359">
        <v>90000</v>
      </c>
      <c r="F107" s="157"/>
    </row>
    <row r="108" spans="1:6" ht="20.100000000000001" customHeight="1">
      <c r="A108" s="19">
        <v>4</v>
      </c>
      <c r="B108" s="133" t="s">
        <v>194</v>
      </c>
      <c r="C108" s="19" t="s">
        <v>193</v>
      </c>
      <c r="D108" s="27" t="s">
        <v>57</v>
      </c>
      <c r="E108" s="359">
        <v>90000</v>
      </c>
      <c r="F108" s="157"/>
    </row>
    <row r="109" spans="1:6" ht="20.100000000000001" customHeight="1">
      <c r="A109" s="19">
        <v>5</v>
      </c>
      <c r="B109" s="133" t="s">
        <v>195</v>
      </c>
      <c r="C109" s="19" t="s">
        <v>196</v>
      </c>
      <c r="D109" s="158" t="s">
        <v>197</v>
      </c>
      <c r="E109" s="360">
        <v>54000</v>
      </c>
      <c r="F109" s="157"/>
    </row>
    <row r="110" spans="1:6" ht="20.100000000000001" customHeight="1">
      <c r="A110" s="19">
        <v>6</v>
      </c>
      <c r="B110" s="134" t="s">
        <v>198</v>
      </c>
      <c r="C110" s="19" t="s">
        <v>196</v>
      </c>
      <c r="D110" s="27" t="s">
        <v>199</v>
      </c>
      <c r="E110" s="360">
        <v>54000</v>
      </c>
      <c r="F110" s="157"/>
    </row>
    <row r="111" spans="1:6" ht="20.100000000000001" customHeight="1">
      <c r="A111" s="19">
        <v>7</v>
      </c>
      <c r="B111" s="134" t="s">
        <v>200</v>
      </c>
      <c r="C111" s="19" t="s">
        <v>196</v>
      </c>
      <c r="D111" s="158" t="s">
        <v>86</v>
      </c>
      <c r="E111" s="360">
        <v>54000</v>
      </c>
      <c r="F111" s="157"/>
    </row>
    <row r="112" spans="1:6" ht="25.5" customHeight="1">
      <c r="A112" s="19"/>
      <c r="B112" s="136" t="s">
        <v>91</v>
      </c>
      <c r="C112" s="28">
        <v>7</v>
      </c>
      <c r="D112" s="19"/>
      <c r="E112" s="365">
        <f>SUM(E105:E111)</f>
        <v>792000</v>
      </c>
      <c r="F112" s="157"/>
    </row>
    <row r="113" spans="1:6" ht="20.100000000000001" customHeight="1">
      <c r="A113" s="19"/>
      <c r="B113" s="136"/>
      <c r="C113" s="28"/>
      <c r="D113" s="19"/>
      <c r="E113" s="365"/>
      <c r="F113" s="157"/>
    </row>
    <row r="114" spans="1:6" ht="20.100000000000001" customHeight="1">
      <c r="A114" s="27"/>
      <c r="B114" s="136" t="s">
        <v>201</v>
      </c>
      <c r="C114" s="28"/>
      <c r="D114" s="28"/>
      <c r="E114" s="363"/>
      <c r="F114" s="157"/>
    </row>
    <row r="115" spans="1:6" ht="18.75" customHeight="1">
      <c r="A115" s="27">
        <v>1</v>
      </c>
      <c r="B115" s="133" t="s">
        <v>204</v>
      </c>
      <c r="C115" s="19" t="s">
        <v>205</v>
      </c>
      <c r="D115" s="158" t="s">
        <v>66</v>
      </c>
      <c r="E115" s="359">
        <v>54000</v>
      </c>
      <c r="F115" s="157"/>
    </row>
    <row r="116" spans="1:6" ht="20.100000000000001" customHeight="1">
      <c r="A116" s="27">
        <v>2</v>
      </c>
      <c r="B116" s="133" t="s">
        <v>206</v>
      </c>
      <c r="C116" s="138" t="s">
        <v>207</v>
      </c>
      <c r="D116" s="158" t="s">
        <v>203</v>
      </c>
      <c r="E116" s="359">
        <v>54000</v>
      </c>
      <c r="F116" s="157"/>
    </row>
    <row r="117" spans="1:6" ht="24.75" customHeight="1">
      <c r="A117" s="19"/>
      <c r="B117" s="136" t="s">
        <v>91</v>
      </c>
      <c r="C117" s="28">
        <v>2</v>
      </c>
      <c r="D117" s="164"/>
      <c r="E117" s="362">
        <f>SUM(E115:E116)</f>
        <v>108000</v>
      </c>
      <c r="F117" s="157"/>
    </row>
    <row r="118" spans="1:6" ht="20.100000000000001" customHeight="1">
      <c r="A118" s="19"/>
      <c r="B118" s="103"/>
      <c r="C118" s="27"/>
      <c r="D118" s="19"/>
      <c r="E118" s="366"/>
      <c r="F118" s="157"/>
    </row>
    <row r="119" spans="1:6" ht="20.100000000000001" customHeight="1">
      <c r="A119" s="19"/>
      <c r="B119" s="136" t="s">
        <v>208</v>
      </c>
      <c r="C119" s="28"/>
      <c r="D119" s="28"/>
      <c r="E119" s="363"/>
      <c r="F119" s="157"/>
    </row>
    <row r="120" spans="1:6" ht="20.100000000000001" customHeight="1">
      <c r="A120" s="19">
        <v>1</v>
      </c>
      <c r="B120" s="133" t="s">
        <v>209</v>
      </c>
      <c r="C120" s="138" t="s">
        <v>210</v>
      </c>
      <c r="D120" s="158" t="s">
        <v>95</v>
      </c>
      <c r="E120" s="359">
        <f>270000</f>
        <v>270000</v>
      </c>
      <c r="F120" s="157"/>
    </row>
    <row r="121" spans="1:6" ht="20.100000000000001" customHeight="1">
      <c r="A121" s="19">
        <v>2</v>
      </c>
      <c r="B121" s="133" t="s">
        <v>211</v>
      </c>
      <c r="C121" s="138" t="s">
        <v>212</v>
      </c>
      <c r="D121" s="158" t="s">
        <v>107</v>
      </c>
      <c r="E121" s="359">
        <v>180000</v>
      </c>
      <c r="F121" s="157"/>
    </row>
    <row r="122" spans="1:6" ht="20.100000000000001" customHeight="1">
      <c r="A122" s="19">
        <v>3</v>
      </c>
      <c r="B122" s="135" t="s">
        <v>213</v>
      </c>
      <c r="C122" s="138" t="s">
        <v>214</v>
      </c>
      <c r="D122" s="158" t="s">
        <v>45</v>
      </c>
      <c r="E122" s="359">
        <v>126000</v>
      </c>
      <c r="F122" s="157"/>
    </row>
    <row r="123" spans="1:6" ht="20.100000000000001" customHeight="1">
      <c r="A123" s="19">
        <v>4</v>
      </c>
      <c r="B123" s="135" t="s">
        <v>215</v>
      </c>
      <c r="C123" s="138" t="s">
        <v>214</v>
      </c>
      <c r="D123" s="158" t="s">
        <v>48</v>
      </c>
      <c r="E123" s="359">
        <v>126000</v>
      </c>
      <c r="F123" s="157"/>
    </row>
    <row r="124" spans="1:6" ht="20.100000000000001" customHeight="1">
      <c r="A124" s="19">
        <v>5</v>
      </c>
      <c r="B124" s="133" t="s">
        <v>216</v>
      </c>
      <c r="C124" s="138" t="s">
        <v>217</v>
      </c>
      <c r="D124" s="158" t="s">
        <v>54</v>
      </c>
      <c r="E124" s="359">
        <v>90000</v>
      </c>
      <c r="F124" s="157"/>
    </row>
    <row r="125" spans="1:6" ht="20.100000000000001" customHeight="1">
      <c r="A125" s="19">
        <v>6</v>
      </c>
      <c r="B125" s="133" t="s">
        <v>218</v>
      </c>
      <c r="C125" s="138" t="s">
        <v>219</v>
      </c>
      <c r="D125" s="158" t="s">
        <v>116</v>
      </c>
      <c r="E125" s="359">
        <v>90000</v>
      </c>
      <c r="F125" s="157"/>
    </row>
    <row r="126" spans="1:6" ht="20.100000000000001" customHeight="1">
      <c r="A126" s="19">
        <v>7</v>
      </c>
      <c r="B126" s="133" t="s">
        <v>220</v>
      </c>
      <c r="C126" s="138" t="s">
        <v>217</v>
      </c>
      <c r="D126" s="158" t="s">
        <v>116</v>
      </c>
      <c r="E126" s="359">
        <v>90000</v>
      </c>
      <c r="F126" s="157"/>
    </row>
    <row r="127" spans="1:6" ht="20.100000000000001" customHeight="1">
      <c r="A127" s="19">
        <v>8</v>
      </c>
      <c r="B127" s="133" t="s">
        <v>221</v>
      </c>
      <c r="C127" s="138" t="s">
        <v>222</v>
      </c>
      <c r="D127" s="27" t="s">
        <v>75</v>
      </c>
      <c r="E127" s="359">
        <v>54000</v>
      </c>
      <c r="F127" s="157"/>
    </row>
    <row r="128" spans="1:6" ht="20.100000000000001" customHeight="1">
      <c r="A128" s="19">
        <v>9</v>
      </c>
      <c r="B128" s="134" t="s">
        <v>223</v>
      </c>
      <c r="C128" s="138" t="s">
        <v>224</v>
      </c>
      <c r="D128" s="158" t="s">
        <v>90</v>
      </c>
      <c r="E128" s="359">
        <v>54000</v>
      </c>
      <c r="F128" s="157"/>
    </row>
    <row r="129" spans="1:6" ht="20.100000000000001" customHeight="1">
      <c r="A129" s="19">
        <v>10</v>
      </c>
      <c r="B129" s="134" t="s">
        <v>225</v>
      </c>
      <c r="C129" s="138" t="s">
        <v>226</v>
      </c>
      <c r="D129" s="158" t="s">
        <v>90</v>
      </c>
      <c r="E129" s="359">
        <v>54000</v>
      </c>
      <c r="F129" s="157"/>
    </row>
    <row r="130" spans="1:6" ht="28.5" customHeight="1">
      <c r="A130" s="19"/>
      <c r="B130" s="136" t="s">
        <v>91</v>
      </c>
      <c r="C130" s="164" t="s">
        <v>227</v>
      </c>
      <c r="D130" s="158"/>
      <c r="E130" s="363">
        <f>SUM(E120:E129)</f>
        <v>1134000</v>
      </c>
      <c r="F130" s="157"/>
    </row>
    <row r="131" spans="1:6" ht="20.100000000000001" customHeight="1">
      <c r="A131" s="19"/>
      <c r="B131" s="103"/>
      <c r="C131" s="164"/>
      <c r="D131" s="158"/>
      <c r="E131" s="363"/>
      <c r="F131" s="157"/>
    </row>
    <row r="132" spans="1:6" ht="20.100000000000001" customHeight="1">
      <c r="A132" s="19"/>
      <c r="B132" s="136" t="s">
        <v>228</v>
      </c>
      <c r="C132" s="138"/>
      <c r="D132" s="158"/>
      <c r="E132" s="359"/>
      <c r="F132" s="157"/>
    </row>
    <row r="133" spans="1:6" ht="20.100000000000001" customHeight="1">
      <c r="A133" s="168">
        <v>1</v>
      </c>
      <c r="B133" s="133" t="s">
        <v>229</v>
      </c>
      <c r="C133" s="138" t="s">
        <v>230</v>
      </c>
      <c r="D133" s="158" t="s">
        <v>95</v>
      </c>
      <c r="E133" s="359">
        <f>270000</f>
        <v>270000</v>
      </c>
      <c r="F133" s="157"/>
    </row>
    <row r="134" spans="1:6" ht="20.100000000000001" customHeight="1">
      <c r="A134" s="168">
        <v>2</v>
      </c>
      <c r="B134" s="133" t="s">
        <v>231</v>
      </c>
      <c r="C134" s="138" t="s">
        <v>232</v>
      </c>
      <c r="D134" s="158" t="s">
        <v>233</v>
      </c>
      <c r="E134" s="359">
        <v>180000</v>
      </c>
      <c r="F134" s="157"/>
    </row>
    <row r="135" spans="1:6" ht="20.100000000000001" customHeight="1">
      <c r="A135" s="168">
        <v>3</v>
      </c>
      <c r="B135" s="135" t="s">
        <v>234</v>
      </c>
      <c r="C135" s="19" t="s">
        <v>235</v>
      </c>
      <c r="D135" s="23" t="s">
        <v>36</v>
      </c>
      <c r="E135" s="359">
        <v>180000</v>
      </c>
      <c r="F135" s="157"/>
    </row>
    <row r="136" spans="1:6" ht="20.100000000000001" customHeight="1">
      <c r="A136" s="168">
        <v>4</v>
      </c>
      <c r="B136" s="133" t="s">
        <v>236</v>
      </c>
      <c r="C136" s="138" t="s">
        <v>237</v>
      </c>
      <c r="D136" s="158" t="s">
        <v>51</v>
      </c>
      <c r="E136" s="359">
        <v>90000</v>
      </c>
      <c r="F136" s="157"/>
    </row>
    <row r="137" spans="1:6" ht="20.100000000000001" customHeight="1">
      <c r="A137" s="168">
        <v>5</v>
      </c>
      <c r="B137" s="133" t="s">
        <v>238</v>
      </c>
      <c r="C137" s="19" t="s">
        <v>239</v>
      </c>
      <c r="D137" s="158" t="s">
        <v>51</v>
      </c>
      <c r="E137" s="359">
        <v>90000</v>
      </c>
      <c r="F137" s="157"/>
    </row>
    <row r="138" spans="1:6" ht="20.100000000000001" customHeight="1">
      <c r="A138" s="168">
        <v>6</v>
      </c>
      <c r="B138" s="133" t="s">
        <v>240</v>
      </c>
      <c r="C138" s="19" t="s">
        <v>239</v>
      </c>
      <c r="D138" s="158" t="s">
        <v>51</v>
      </c>
      <c r="E138" s="359">
        <v>90000</v>
      </c>
      <c r="F138" s="157"/>
    </row>
    <row r="139" spans="1:6" ht="20.100000000000001" customHeight="1">
      <c r="A139" s="168">
        <v>7</v>
      </c>
      <c r="B139" s="133" t="s">
        <v>241</v>
      </c>
      <c r="C139" s="138" t="s">
        <v>242</v>
      </c>
      <c r="D139" s="158" t="s">
        <v>203</v>
      </c>
      <c r="E139" s="359">
        <v>54000</v>
      </c>
      <c r="F139" s="157"/>
    </row>
    <row r="140" spans="1:6" ht="20.100000000000001" customHeight="1">
      <c r="A140" s="168">
        <v>8</v>
      </c>
      <c r="B140" s="133" t="s">
        <v>243</v>
      </c>
      <c r="C140" s="138" t="s">
        <v>242</v>
      </c>
      <c r="D140" s="158" t="s">
        <v>203</v>
      </c>
      <c r="E140" s="359">
        <v>54000</v>
      </c>
      <c r="F140" s="157"/>
    </row>
    <row r="141" spans="1:6" ht="20.100000000000001" customHeight="1">
      <c r="A141" s="168">
        <v>9</v>
      </c>
      <c r="B141" s="133" t="s">
        <v>244</v>
      </c>
      <c r="C141" s="19" t="s">
        <v>245</v>
      </c>
      <c r="D141" s="158" t="s">
        <v>203</v>
      </c>
      <c r="E141" s="359">
        <v>54000</v>
      </c>
      <c r="F141" s="157"/>
    </row>
    <row r="142" spans="1:6" ht="20.100000000000001" customHeight="1">
      <c r="A142" s="168">
        <v>10</v>
      </c>
      <c r="B142" s="133" t="s">
        <v>246</v>
      </c>
      <c r="C142" s="138" t="s">
        <v>247</v>
      </c>
      <c r="D142" s="158" t="s">
        <v>66</v>
      </c>
      <c r="E142" s="359">
        <v>54000</v>
      </c>
      <c r="F142" s="157"/>
    </row>
    <row r="143" spans="1:6" ht="20.100000000000001" customHeight="1">
      <c r="A143" s="168">
        <v>11</v>
      </c>
      <c r="B143" s="133" t="s">
        <v>248</v>
      </c>
      <c r="C143" s="138" t="s">
        <v>249</v>
      </c>
      <c r="D143" s="158" t="s">
        <v>69</v>
      </c>
      <c r="E143" s="359">
        <v>54000</v>
      </c>
      <c r="F143" s="157"/>
    </row>
    <row r="144" spans="1:6" ht="20.100000000000001" customHeight="1">
      <c r="A144" s="168">
        <v>12</v>
      </c>
      <c r="B144" s="133" t="s">
        <v>250</v>
      </c>
      <c r="C144" s="138" t="s">
        <v>251</v>
      </c>
      <c r="D144" s="158" t="s">
        <v>203</v>
      </c>
      <c r="E144" s="359">
        <v>54000</v>
      </c>
      <c r="F144" s="157"/>
    </row>
    <row r="145" spans="1:6" ht="20.100000000000001" customHeight="1">
      <c r="A145" s="168">
        <v>13</v>
      </c>
      <c r="B145" s="134" t="s">
        <v>252</v>
      </c>
      <c r="C145" s="19" t="s">
        <v>253</v>
      </c>
      <c r="D145" s="158" t="s">
        <v>69</v>
      </c>
      <c r="E145" s="359">
        <v>54000</v>
      </c>
      <c r="F145" s="157"/>
    </row>
    <row r="146" spans="1:6" ht="20.100000000000001" customHeight="1">
      <c r="A146" s="168">
        <v>14</v>
      </c>
      <c r="B146" s="133" t="s">
        <v>254</v>
      </c>
      <c r="C146" s="19" t="s">
        <v>255</v>
      </c>
      <c r="D146" s="158" t="s">
        <v>157</v>
      </c>
      <c r="E146" s="359">
        <v>54000</v>
      </c>
      <c r="F146" s="157"/>
    </row>
    <row r="147" spans="1:6" ht="20.100000000000001" customHeight="1">
      <c r="A147" s="168">
        <v>15</v>
      </c>
      <c r="B147" s="133" t="s">
        <v>256</v>
      </c>
      <c r="C147" s="19" t="s">
        <v>255</v>
      </c>
      <c r="D147" s="158" t="s">
        <v>257</v>
      </c>
      <c r="E147" s="359">
        <v>54000</v>
      </c>
      <c r="F147" s="157"/>
    </row>
    <row r="148" spans="1:6" ht="20.100000000000001" customHeight="1">
      <c r="A148" s="168">
        <v>16</v>
      </c>
      <c r="B148" s="133" t="s">
        <v>258</v>
      </c>
      <c r="C148" s="19" t="s">
        <v>255</v>
      </c>
      <c r="D148" s="158" t="s">
        <v>257</v>
      </c>
      <c r="E148" s="359">
        <v>54000</v>
      </c>
      <c r="F148" s="157"/>
    </row>
    <row r="149" spans="1:6" ht="20.100000000000001" customHeight="1">
      <c r="A149" s="168">
        <v>17</v>
      </c>
      <c r="B149" s="133" t="s">
        <v>259</v>
      </c>
      <c r="C149" s="138" t="s">
        <v>260</v>
      </c>
      <c r="D149" s="158" t="s">
        <v>72</v>
      </c>
      <c r="E149" s="359">
        <v>54000</v>
      </c>
      <c r="F149" s="157"/>
    </row>
    <row r="150" spans="1:6" ht="20.100000000000001" customHeight="1">
      <c r="A150" s="168">
        <v>18</v>
      </c>
      <c r="B150" s="133" t="s">
        <v>261</v>
      </c>
      <c r="C150" s="138" t="s">
        <v>262</v>
      </c>
      <c r="D150" s="27" t="s">
        <v>79</v>
      </c>
      <c r="E150" s="359">
        <v>54000</v>
      </c>
      <c r="F150" s="157"/>
    </row>
    <row r="151" spans="1:6" ht="20.100000000000001" customHeight="1">
      <c r="A151" s="168">
        <v>19</v>
      </c>
      <c r="B151" s="133" t="s">
        <v>263</v>
      </c>
      <c r="C151" s="138" t="s">
        <v>264</v>
      </c>
      <c r="D151" s="158" t="s">
        <v>157</v>
      </c>
      <c r="E151" s="359">
        <v>54000</v>
      </c>
      <c r="F151" s="157"/>
    </row>
    <row r="152" spans="1:6" ht="20.100000000000001" customHeight="1">
      <c r="A152" s="168">
        <v>20</v>
      </c>
      <c r="B152" s="133" t="s">
        <v>265</v>
      </c>
      <c r="C152" s="138" t="s">
        <v>266</v>
      </c>
      <c r="D152" s="158" t="s">
        <v>75</v>
      </c>
      <c r="E152" s="359">
        <v>54000</v>
      </c>
      <c r="F152" s="157"/>
    </row>
    <row r="153" spans="1:6" ht="20.100000000000001" customHeight="1">
      <c r="A153" s="168">
        <v>21</v>
      </c>
      <c r="B153" s="133" t="s">
        <v>267</v>
      </c>
      <c r="C153" s="138" t="s">
        <v>268</v>
      </c>
      <c r="D153" s="158" t="s">
        <v>157</v>
      </c>
      <c r="E153" s="359">
        <v>54000</v>
      </c>
      <c r="F153" s="157"/>
    </row>
    <row r="154" spans="1:6" ht="20.100000000000001" customHeight="1">
      <c r="A154" s="168">
        <v>22</v>
      </c>
      <c r="B154" s="133" t="s">
        <v>269</v>
      </c>
      <c r="C154" s="138" t="s">
        <v>270</v>
      </c>
      <c r="D154" s="158" t="s">
        <v>75</v>
      </c>
      <c r="E154" s="359">
        <v>54000</v>
      </c>
      <c r="F154" s="157"/>
    </row>
    <row r="155" spans="1:6" ht="20.100000000000001" customHeight="1">
      <c r="A155" s="168">
        <v>23</v>
      </c>
      <c r="B155" s="134" t="s">
        <v>271</v>
      </c>
      <c r="C155" s="138" t="s">
        <v>272</v>
      </c>
      <c r="D155" s="158" t="s">
        <v>79</v>
      </c>
      <c r="E155" s="359">
        <v>54000</v>
      </c>
      <c r="F155" s="157"/>
    </row>
    <row r="156" spans="1:6" ht="20.100000000000001" customHeight="1">
      <c r="A156" s="168">
        <v>24</v>
      </c>
      <c r="B156" s="134" t="s">
        <v>273</v>
      </c>
      <c r="C156" s="138" t="s">
        <v>274</v>
      </c>
      <c r="D156" s="158" t="s">
        <v>90</v>
      </c>
      <c r="E156" s="359">
        <v>54000</v>
      </c>
      <c r="F156" s="157"/>
    </row>
    <row r="157" spans="1:6" ht="20.100000000000001" customHeight="1">
      <c r="A157" s="168">
        <v>25</v>
      </c>
      <c r="B157" s="134" t="s">
        <v>275</v>
      </c>
      <c r="C157" s="138" t="s">
        <v>276</v>
      </c>
      <c r="D157" s="158" t="s">
        <v>90</v>
      </c>
      <c r="E157" s="359">
        <v>54000</v>
      </c>
      <c r="F157" s="157"/>
    </row>
    <row r="158" spans="1:6" ht="20.100000000000001" customHeight="1">
      <c r="A158" s="168">
        <v>26</v>
      </c>
      <c r="B158" s="134" t="s">
        <v>277</v>
      </c>
      <c r="C158" s="138" t="s">
        <v>278</v>
      </c>
      <c r="D158" s="158" t="s">
        <v>90</v>
      </c>
      <c r="E158" s="359">
        <v>54000</v>
      </c>
      <c r="F158" s="157"/>
    </row>
    <row r="159" spans="1:6" ht="20.100000000000001" customHeight="1">
      <c r="A159" s="168">
        <v>27</v>
      </c>
      <c r="B159" s="134" t="s">
        <v>279</v>
      </c>
      <c r="C159" s="138" t="s">
        <v>280</v>
      </c>
      <c r="D159" s="158" t="s">
        <v>86</v>
      </c>
      <c r="E159" s="359">
        <v>54000</v>
      </c>
      <c r="F159" s="157"/>
    </row>
    <row r="160" spans="1:6" ht="20.100000000000001" customHeight="1">
      <c r="A160" s="168">
        <v>28</v>
      </c>
      <c r="B160" s="134" t="s">
        <v>281</v>
      </c>
      <c r="C160" s="138" t="s">
        <v>276</v>
      </c>
      <c r="D160" s="158" t="s">
        <v>90</v>
      </c>
      <c r="E160" s="359">
        <v>54000</v>
      </c>
      <c r="F160" s="157"/>
    </row>
    <row r="161" spans="1:6" ht="20.100000000000001" customHeight="1">
      <c r="A161" s="168">
        <v>29</v>
      </c>
      <c r="B161" s="133" t="s">
        <v>282</v>
      </c>
      <c r="C161" s="138" t="s">
        <v>283</v>
      </c>
      <c r="D161" s="158" t="s">
        <v>284</v>
      </c>
      <c r="E161" s="367">
        <v>36000</v>
      </c>
      <c r="F161" s="157"/>
    </row>
    <row r="162" spans="1:6" ht="20.100000000000001" customHeight="1">
      <c r="A162" s="168">
        <v>30</v>
      </c>
      <c r="B162" s="133" t="s">
        <v>285</v>
      </c>
      <c r="C162" s="138" t="s">
        <v>283</v>
      </c>
      <c r="D162" s="158" t="s">
        <v>284</v>
      </c>
      <c r="E162" s="367">
        <v>36000</v>
      </c>
      <c r="F162" s="157"/>
    </row>
    <row r="163" spans="1:6" ht="20.100000000000001" customHeight="1">
      <c r="A163" s="168">
        <v>31</v>
      </c>
      <c r="B163" s="133" t="s">
        <v>286</v>
      </c>
      <c r="C163" s="138" t="s">
        <v>283</v>
      </c>
      <c r="D163" s="158" t="s">
        <v>284</v>
      </c>
      <c r="E163" s="367">
        <v>36000</v>
      </c>
      <c r="F163" s="157"/>
    </row>
    <row r="164" spans="1:6" ht="20.100000000000001" customHeight="1">
      <c r="A164" s="168">
        <v>32</v>
      </c>
      <c r="B164" s="133" t="s">
        <v>287</v>
      </c>
      <c r="C164" s="138" t="s">
        <v>283</v>
      </c>
      <c r="D164" s="158" t="s">
        <v>284</v>
      </c>
      <c r="E164" s="367">
        <v>36000</v>
      </c>
      <c r="F164" s="157"/>
    </row>
    <row r="165" spans="1:6" ht="20.100000000000001" customHeight="1">
      <c r="A165" s="168">
        <v>33</v>
      </c>
      <c r="B165" s="133" t="s">
        <v>288</v>
      </c>
      <c r="C165" s="138" t="s">
        <v>283</v>
      </c>
      <c r="D165" s="158" t="s">
        <v>284</v>
      </c>
      <c r="E165" s="367">
        <v>36000</v>
      </c>
      <c r="F165" s="157"/>
    </row>
    <row r="166" spans="1:6" ht="20.100000000000001" customHeight="1">
      <c r="A166" s="168">
        <v>34</v>
      </c>
      <c r="B166" s="133" t="s">
        <v>289</v>
      </c>
      <c r="C166" s="138" t="s">
        <v>283</v>
      </c>
      <c r="D166" s="158" t="s">
        <v>290</v>
      </c>
      <c r="E166" s="367">
        <v>36000</v>
      </c>
      <c r="F166" s="157"/>
    </row>
    <row r="167" spans="1:6" ht="20.100000000000001" customHeight="1">
      <c r="A167" s="168">
        <v>35</v>
      </c>
      <c r="B167" s="133" t="s">
        <v>291</v>
      </c>
      <c r="C167" s="138" t="s">
        <v>283</v>
      </c>
      <c r="D167" s="158" t="s">
        <v>290</v>
      </c>
      <c r="E167" s="367">
        <v>36000</v>
      </c>
      <c r="F167" s="157"/>
    </row>
    <row r="168" spans="1:6" ht="20.100000000000001" customHeight="1">
      <c r="A168" s="168">
        <v>36</v>
      </c>
      <c r="B168" s="135" t="s">
        <v>292</v>
      </c>
      <c r="C168" s="138" t="s">
        <v>283</v>
      </c>
      <c r="D168" s="158" t="s">
        <v>290</v>
      </c>
      <c r="E168" s="367">
        <v>36000</v>
      </c>
      <c r="F168" s="157"/>
    </row>
    <row r="169" spans="1:6" ht="20.100000000000001" customHeight="1">
      <c r="A169" s="168">
        <v>37</v>
      </c>
      <c r="B169" s="133" t="s">
        <v>293</v>
      </c>
      <c r="C169" s="138" t="s">
        <v>283</v>
      </c>
      <c r="D169" s="158" t="s">
        <v>290</v>
      </c>
      <c r="E169" s="367">
        <v>36000</v>
      </c>
      <c r="F169" s="157"/>
    </row>
    <row r="170" spans="1:6" ht="20.100000000000001" customHeight="1">
      <c r="A170" s="168">
        <v>38</v>
      </c>
      <c r="B170" s="134" t="s">
        <v>294</v>
      </c>
      <c r="C170" s="138" t="s">
        <v>283</v>
      </c>
      <c r="D170" s="158" t="s">
        <v>290</v>
      </c>
      <c r="E170" s="367">
        <v>36000</v>
      </c>
      <c r="F170" s="157"/>
    </row>
    <row r="171" spans="1:6" ht="20.100000000000001" customHeight="1">
      <c r="A171" s="168">
        <v>39</v>
      </c>
      <c r="B171" s="134" t="s">
        <v>295</v>
      </c>
      <c r="C171" s="138" t="s">
        <v>283</v>
      </c>
      <c r="D171" s="158" t="s">
        <v>290</v>
      </c>
      <c r="E171" s="367">
        <v>36000</v>
      </c>
      <c r="F171" s="157"/>
    </row>
    <row r="172" spans="1:6" ht="20.100000000000001" customHeight="1">
      <c r="A172" s="168">
        <v>40</v>
      </c>
      <c r="B172" s="133" t="s">
        <v>296</v>
      </c>
      <c r="C172" s="138" t="s">
        <v>297</v>
      </c>
      <c r="D172" s="158" t="s">
        <v>298</v>
      </c>
      <c r="E172" s="367">
        <v>36000</v>
      </c>
      <c r="F172" s="157"/>
    </row>
    <row r="173" spans="1:6" ht="20.100000000000001" customHeight="1">
      <c r="A173" s="168">
        <v>41</v>
      </c>
      <c r="B173" s="133" t="s">
        <v>299</v>
      </c>
      <c r="C173" s="138" t="s">
        <v>297</v>
      </c>
      <c r="D173" s="158" t="s">
        <v>298</v>
      </c>
      <c r="E173" s="367">
        <v>36000</v>
      </c>
      <c r="F173" s="157"/>
    </row>
    <row r="174" spans="1:6" ht="20.100000000000001" customHeight="1">
      <c r="A174" s="168">
        <v>42</v>
      </c>
      <c r="B174" s="134" t="s">
        <v>300</v>
      </c>
      <c r="C174" s="138" t="s">
        <v>297</v>
      </c>
      <c r="D174" s="158" t="s">
        <v>298</v>
      </c>
      <c r="E174" s="367">
        <v>36000</v>
      </c>
      <c r="F174" s="157"/>
    </row>
    <row r="175" spans="1:6" ht="20.100000000000001" customHeight="1">
      <c r="A175" s="168">
        <v>43</v>
      </c>
      <c r="B175" s="133" t="s">
        <v>301</v>
      </c>
      <c r="C175" s="138" t="s">
        <v>302</v>
      </c>
      <c r="D175" s="158" t="s">
        <v>303</v>
      </c>
      <c r="E175" s="367">
        <v>36000</v>
      </c>
      <c r="F175" s="157"/>
    </row>
    <row r="176" spans="1:6" ht="20.100000000000001" customHeight="1">
      <c r="A176" s="168">
        <v>44</v>
      </c>
      <c r="B176" s="133" t="s">
        <v>304</v>
      </c>
      <c r="C176" s="138" t="s">
        <v>305</v>
      </c>
      <c r="D176" s="158" t="s">
        <v>306</v>
      </c>
      <c r="E176" s="367">
        <v>36000</v>
      </c>
      <c r="F176" s="157"/>
    </row>
    <row r="177" spans="1:6" ht="20.100000000000001" customHeight="1">
      <c r="A177" s="168">
        <v>45</v>
      </c>
      <c r="B177" s="133" t="s">
        <v>307</v>
      </c>
      <c r="C177" s="138" t="s">
        <v>305</v>
      </c>
      <c r="D177" s="158" t="s">
        <v>306</v>
      </c>
      <c r="E177" s="367">
        <v>36000</v>
      </c>
      <c r="F177" s="157"/>
    </row>
    <row r="178" spans="1:6" ht="20.100000000000001" customHeight="1">
      <c r="A178" s="168">
        <v>46</v>
      </c>
      <c r="B178" s="133" t="s">
        <v>308</v>
      </c>
      <c r="C178" s="138" t="s">
        <v>305</v>
      </c>
      <c r="D178" s="158" t="s">
        <v>306</v>
      </c>
      <c r="E178" s="367">
        <v>36000</v>
      </c>
      <c r="F178" s="157"/>
    </row>
    <row r="179" spans="1:6" ht="20.100000000000001" customHeight="1">
      <c r="A179" s="168">
        <v>47</v>
      </c>
      <c r="B179" s="133" t="s">
        <v>309</v>
      </c>
      <c r="C179" s="138" t="s">
        <v>305</v>
      </c>
      <c r="D179" s="158" t="s">
        <v>306</v>
      </c>
      <c r="E179" s="367">
        <v>36000</v>
      </c>
      <c r="F179" s="157"/>
    </row>
    <row r="180" spans="1:6" ht="20.100000000000001" customHeight="1">
      <c r="A180" s="168">
        <v>48</v>
      </c>
      <c r="B180" s="133" t="s">
        <v>310</v>
      </c>
      <c r="C180" s="138" t="s">
        <v>305</v>
      </c>
      <c r="D180" s="158" t="s">
        <v>306</v>
      </c>
      <c r="E180" s="367">
        <v>36000</v>
      </c>
      <c r="F180" s="157"/>
    </row>
    <row r="181" spans="1:6" ht="20.100000000000001" customHeight="1">
      <c r="A181" s="168">
        <v>49</v>
      </c>
      <c r="B181" s="134" t="s">
        <v>311</v>
      </c>
      <c r="C181" s="138" t="s">
        <v>305</v>
      </c>
      <c r="D181" s="158" t="s">
        <v>306</v>
      </c>
      <c r="E181" s="367">
        <v>36000</v>
      </c>
      <c r="F181" s="157"/>
    </row>
    <row r="182" spans="1:6" ht="20.100000000000001" customHeight="1">
      <c r="A182" s="168">
        <v>50</v>
      </c>
      <c r="B182" s="134" t="s">
        <v>312</v>
      </c>
      <c r="C182" s="138" t="s">
        <v>305</v>
      </c>
      <c r="D182" s="158" t="s">
        <v>306</v>
      </c>
      <c r="E182" s="367">
        <v>36000</v>
      </c>
      <c r="F182" s="157"/>
    </row>
    <row r="183" spans="1:6" ht="20.100000000000001" customHeight="1">
      <c r="A183" s="168">
        <v>51</v>
      </c>
      <c r="B183" s="133" t="s">
        <v>313</v>
      </c>
      <c r="C183" s="138" t="s">
        <v>302</v>
      </c>
      <c r="D183" s="158" t="s">
        <v>306</v>
      </c>
      <c r="E183" s="367">
        <v>36000</v>
      </c>
      <c r="F183" s="157"/>
    </row>
    <row r="184" spans="1:6" ht="20.100000000000001" customHeight="1">
      <c r="A184" s="168">
        <v>52</v>
      </c>
      <c r="B184" s="133" t="s">
        <v>314</v>
      </c>
      <c r="C184" s="138" t="s">
        <v>302</v>
      </c>
      <c r="D184" s="158" t="s">
        <v>306</v>
      </c>
      <c r="E184" s="367">
        <v>36000</v>
      </c>
      <c r="F184" s="157"/>
    </row>
    <row r="185" spans="1:6" ht="20.100000000000001" customHeight="1">
      <c r="A185" s="168">
        <v>53</v>
      </c>
      <c r="B185" s="134" t="s">
        <v>315</v>
      </c>
      <c r="C185" s="138" t="s">
        <v>316</v>
      </c>
      <c r="D185" s="158" t="s">
        <v>317</v>
      </c>
      <c r="E185" s="367">
        <v>36000</v>
      </c>
      <c r="F185" s="157"/>
    </row>
    <row r="186" spans="1:6" ht="20.100000000000001" customHeight="1">
      <c r="A186" s="168">
        <v>54</v>
      </c>
      <c r="B186" s="134" t="s">
        <v>318</v>
      </c>
      <c r="C186" s="138" t="s">
        <v>305</v>
      </c>
      <c r="D186" s="158" t="s">
        <v>319</v>
      </c>
      <c r="E186" s="367">
        <v>36000</v>
      </c>
      <c r="F186" s="157"/>
    </row>
    <row r="187" spans="1:6" ht="20.100000000000001" customHeight="1">
      <c r="A187" s="168">
        <v>55</v>
      </c>
      <c r="B187" s="134" t="s">
        <v>320</v>
      </c>
      <c r="C187" s="138" t="s">
        <v>321</v>
      </c>
      <c r="D187" s="158" t="s">
        <v>322</v>
      </c>
      <c r="E187" s="367">
        <v>36000</v>
      </c>
      <c r="F187" s="157"/>
    </row>
    <row r="188" spans="1:6" ht="20.100000000000001" customHeight="1">
      <c r="A188" s="168">
        <v>56</v>
      </c>
      <c r="B188" s="134" t="s">
        <v>323</v>
      </c>
      <c r="C188" s="138" t="s">
        <v>321</v>
      </c>
      <c r="D188" s="158" t="s">
        <v>322</v>
      </c>
      <c r="E188" s="367">
        <v>36000</v>
      </c>
      <c r="F188" s="157"/>
    </row>
    <row r="189" spans="1:6" ht="20.100000000000001" customHeight="1">
      <c r="A189" s="168">
        <v>57</v>
      </c>
      <c r="B189" s="134" t="s">
        <v>324</v>
      </c>
      <c r="C189" s="138" t="s">
        <v>321</v>
      </c>
      <c r="D189" s="158" t="s">
        <v>322</v>
      </c>
      <c r="E189" s="367">
        <v>36000</v>
      </c>
      <c r="F189" s="157"/>
    </row>
    <row r="190" spans="1:6" ht="20.100000000000001" customHeight="1">
      <c r="A190" s="168">
        <v>58</v>
      </c>
      <c r="B190" s="134" t="s">
        <v>325</v>
      </c>
      <c r="C190" s="138" t="s">
        <v>326</v>
      </c>
      <c r="D190" s="158" t="s">
        <v>327</v>
      </c>
      <c r="E190" s="367">
        <v>36000</v>
      </c>
      <c r="F190" s="157"/>
    </row>
    <row r="191" spans="1:6" ht="20.100000000000001" customHeight="1">
      <c r="A191" s="168">
        <v>59</v>
      </c>
      <c r="B191" s="134" t="s">
        <v>328</v>
      </c>
      <c r="C191" s="138" t="s">
        <v>326</v>
      </c>
      <c r="D191" s="158" t="s">
        <v>327</v>
      </c>
      <c r="E191" s="367">
        <v>36000</v>
      </c>
      <c r="F191" s="157"/>
    </row>
    <row r="192" spans="1:6" ht="24.75" customHeight="1">
      <c r="A192" s="168"/>
      <c r="B192" s="154" t="s">
        <v>91</v>
      </c>
      <c r="C192" s="170" t="s">
        <v>329</v>
      </c>
      <c r="D192" s="21"/>
      <c r="E192" s="362">
        <f>SUM(E133:E191)</f>
        <v>3204000</v>
      </c>
      <c r="F192" s="157"/>
    </row>
    <row r="193" spans="1:6" ht="20.100000000000001" customHeight="1">
      <c r="A193" s="406"/>
      <c r="B193" s="406"/>
      <c r="C193" s="406"/>
      <c r="D193" s="406"/>
      <c r="E193" s="406"/>
      <c r="F193" s="157"/>
    </row>
    <row r="194" spans="1:6" ht="29.25" customHeight="1">
      <c r="A194" s="19"/>
      <c r="B194" s="171" t="s">
        <v>330</v>
      </c>
      <c r="C194" s="172">
        <f>C31+C37+C52+C57+C71+C81+C95+C102+C112+C130+C192</f>
        <v>151</v>
      </c>
      <c r="D194" s="173"/>
      <c r="E194" s="368">
        <f>E192+E130+E117+E112+E102+E95+E81+E71+E57+E52+E37+E31</f>
        <v>13230000</v>
      </c>
      <c r="F194" s="157"/>
    </row>
    <row r="195" spans="1:6" ht="20.100000000000001" customHeight="1">
      <c r="B195" s="175"/>
      <c r="D195" s="176"/>
      <c r="E195" s="176"/>
      <c r="F195" s="179"/>
    </row>
    <row r="196" spans="1:6" ht="36.75" customHeight="1">
      <c r="B196" s="175"/>
      <c r="C196" s="176"/>
      <c r="D196" s="176"/>
      <c r="E196" s="339"/>
    </row>
    <row r="197" spans="1:6" ht="20.100000000000001" customHeight="1">
      <c r="E197" s="339"/>
    </row>
    <row r="198" spans="1:6" ht="20.100000000000001" customHeight="1">
      <c r="E198" s="339"/>
    </row>
    <row r="199" spans="1:6" ht="20.100000000000001" customHeight="1">
      <c r="E199" s="339"/>
    </row>
    <row r="200" spans="1:6" ht="20.100000000000001" customHeight="1">
      <c r="E200" s="179"/>
    </row>
  </sheetData>
  <mergeCells count="2">
    <mergeCell ref="A1:E1"/>
    <mergeCell ref="A193:E193"/>
  </mergeCells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8"/>
  <sheetViews>
    <sheetView zoomScaleNormal="100" zoomScaleSheetLayoutView="50" workbookViewId="0">
      <pane xSplit="3" ySplit="7" topLeftCell="D8" activePane="bottomRight" state="frozen"/>
      <selection pane="bottomRight" activeCell="D118" sqref="D118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41" customWidth="1"/>
    <col min="2" max="2" width="43.42578125" style="141" customWidth="1"/>
    <col min="3" max="3" width="40.42578125" style="141" customWidth="1"/>
    <col min="4" max="4" width="11.5703125" style="141" customWidth="1"/>
    <col min="5" max="6" width="19.28515625" style="141" customWidth="1"/>
    <col min="7" max="7" width="21.7109375" style="141" customWidth="1"/>
    <col min="8" max="16384" width="9.140625" style="141"/>
  </cols>
  <sheetData>
    <row r="1" spans="1:7" ht="27" customHeight="1">
      <c r="A1" s="142" t="s">
        <v>0</v>
      </c>
      <c r="B1" s="142"/>
      <c r="C1" s="142"/>
      <c r="D1" s="142"/>
    </row>
    <row r="2" spans="1:7" ht="33.75" customHeight="1">
      <c r="A2" s="407" t="s">
        <v>1</v>
      </c>
      <c r="B2" s="407"/>
      <c r="C2" s="407"/>
      <c r="D2" s="407"/>
      <c r="E2" s="407"/>
      <c r="F2" s="407"/>
    </row>
    <row r="3" spans="1:7" ht="9.75" customHeight="1"/>
    <row r="4" spans="1:7" ht="49.5" customHeight="1">
      <c r="A4" s="19"/>
      <c r="B4" s="147" t="s">
        <v>2</v>
      </c>
      <c r="C4" s="148" t="s">
        <v>3</v>
      </c>
      <c r="D4" s="149" t="s">
        <v>4</v>
      </c>
      <c r="E4" s="312" t="s">
        <v>404</v>
      </c>
      <c r="F4" s="198" t="s">
        <v>405</v>
      </c>
    </row>
    <row r="5" spans="1:7" ht="17.25" customHeight="1">
      <c r="C5" s="154"/>
      <c r="D5" s="154"/>
      <c r="E5" s="187" t="s">
        <v>25</v>
      </c>
      <c r="F5" s="193" t="s">
        <v>25</v>
      </c>
    </row>
    <row r="6" spans="1:7" ht="20.100000000000001" customHeight="1">
      <c r="A6" s="153" t="s">
        <v>26</v>
      </c>
      <c r="B6" s="154" t="s">
        <v>27</v>
      </c>
      <c r="C6" s="154"/>
      <c r="D6" s="154"/>
      <c r="E6" s="187"/>
      <c r="F6" s="193"/>
    </row>
    <row r="7" spans="1:7" ht="20.100000000000001" customHeight="1">
      <c r="A7" s="27">
        <v>1</v>
      </c>
      <c r="B7" s="133" t="s">
        <v>28</v>
      </c>
      <c r="C7" s="138" t="s">
        <v>29</v>
      </c>
      <c r="D7" s="138" t="s">
        <v>30</v>
      </c>
      <c r="E7" s="181">
        <v>1158849.8399999999</v>
      </c>
      <c r="F7" s="184">
        <f>E7/2</f>
        <v>579424.91999999993</v>
      </c>
      <c r="G7" s="157"/>
    </row>
    <row r="8" spans="1:7" ht="20.100000000000001" customHeight="1">
      <c r="A8" s="27">
        <v>2</v>
      </c>
      <c r="B8" s="133" t="s">
        <v>31</v>
      </c>
      <c r="C8" s="138" t="s">
        <v>32</v>
      </c>
      <c r="D8" s="27" t="s">
        <v>33</v>
      </c>
      <c r="E8" s="181">
        <v>541465.02474999998</v>
      </c>
      <c r="F8" s="184">
        <f t="shared" ref="F8:F30" si="0">E8/2</f>
        <v>270732.51237499999</v>
      </c>
      <c r="G8" s="157"/>
    </row>
    <row r="9" spans="1:7" ht="20.100000000000001" customHeight="1">
      <c r="A9" s="27">
        <v>3</v>
      </c>
      <c r="B9" s="135" t="s">
        <v>34</v>
      </c>
      <c r="C9" s="19" t="s">
        <v>35</v>
      </c>
      <c r="D9" s="158" t="s">
        <v>36</v>
      </c>
      <c r="E9" s="181">
        <v>727743.99575</v>
      </c>
      <c r="F9" s="184">
        <f t="shared" si="0"/>
        <v>363871.997875</v>
      </c>
      <c r="G9" s="157"/>
    </row>
    <row r="10" spans="1:7" ht="20.100000000000001" customHeight="1">
      <c r="A10" s="27">
        <v>4</v>
      </c>
      <c r="B10" s="133" t="s">
        <v>37</v>
      </c>
      <c r="C10" s="92" t="s">
        <v>38</v>
      </c>
      <c r="D10" s="23" t="s">
        <v>36</v>
      </c>
      <c r="E10" s="181">
        <v>617743.99575</v>
      </c>
      <c r="F10" s="184">
        <f t="shared" si="0"/>
        <v>308871.997875</v>
      </c>
      <c r="G10" s="157"/>
    </row>
    <row r="11" spans="1:7" ht="20.100000000000001" customHeight="1">
      <c r="A11" s="27">
        <v>5</v>
      </c>
      <c r="B11" s="135" t="s">
        <v>39</v>
      </c>
      <c r="C11" s="19" t="s">
        <v>40</v>
      </c>
      <c r="D11" s="23" t="s">
        <v>36</v>
      </c>
      <c r="E11" s="181">
        <v>677743.99575</v>
      </c>
      <c r="F11" s="184">
        <f t="shared" si="0"/>
        <v>338871.997875</v>
      </c>
      <c r="G11" s="157"/>
    </row>
    <row r="12" spans="1:7" ht="20.100000000000001" customHeight="1">
      <c r="A12" s="27">
        <v>6</v>
      </c>
      <c r="B12" s="134" t="s">
        <v>41</v>
      </c>
      <c r="C12" s="27" t="s">
        <v>42</v>
      </c>
      <c r="D12" s="158" t="s">
        <v>36</v>
      </c>
      <c r="E12" s="181">
        <v>627743.99575</v>
      </c>
      <c r="F12" s="184">
        <f t="shared" si="0"/>
        <v>313871.997875</v>
      </c>
      <c r="G12" s="157"/>
    </row>
    <row r="13" spans="1:7" ht="20.100000000000001" customHeight="1">
      <c r="A13" s="27">
        <v>7</v>
      </c>
      <c r="B13" s="133" t="s">
        <v>43</v>
      </c>
      <c r="C13" s="138" t="s">
        <v>44</v>
      </c>
      <c r="D13" s="158" t="s">
        <v>45</v>
      </c>
      <c r="E13" s="181">
        <v>497553.5025</v>
      </c>
      <c r="F13" s="184">
        <f t="shared" si="0"/>
        <v>248776.75125</v>
      </c>
      <c r="G13" s="157"/>
    </row>
    <row r="14" spans="1:7" ht="20.100000000000001" customHeight="1">
      <c r="A14" s="27">
        <v>8</v>
      </c>
      <c r="B14" s="133" t="s">
        <v>46</v>
      </c>
      <c r="C14" s="19" t="s">
        <v>47</v>
      </c>
      <c r="D14" s="27" t="s">
        <v>48</v>
      </c>
      <c r="E14" s="22">
        <v>604729.22200000007</v>
      </c>
      <c r="F14" s="184">
        <f t="shared" si="0"/>
        <v>302364.61100000003</v>
      </c>
      <c r="G14" s="157"/>
    </row>
    <row r="15" spans="1:7" ht="20.100000000000001" customHeight="1">
      <c r="A15" s="27">
        <v>9</v>
      </c>
      <c r="B15" s="133" t="s">
        <v>49</v>
      </c>
      <c r="C15" s="19" t="s">
        <v>50</v>
      </c>
      <c r="D15" s="158" t="s">
        <v>51</v>
      </c>
      <c r="E15" s="181">
        <v>343333.03524999996</v>
      </c>
      <c r="F15" s="184">
        <f t="shared" si="0"/>
        <v>171666.51762499998</v>
      </c>
      <c r="G15" s="157"/>
    </row>
    <row r="16" spans="1:7" ht="20.100000000000001" customHeight="1">
      <c r="A16" s="27">
        <v>10</v>
      </c>
      <c r="B16" s="135" t="s">
        <v>52</v>
      </c>
      <c r="C16" s="92" t="s">
        <v>53</v>
      </c>
      <c r="D16" s="158" t="s">
        <v>54</v>
      </c>
      <c r="E16" s="181">
        <v>455272.06374999997</v>
      </c>
      <c r="F16" s="184">
        <f t="shared" si="0"/>
        <v>227636.03187499999</v>
      </c>
      <c r="G16" s="157"/>
    </row>
    <row r="17" spans="1:7" ht="20.100000000000001" customHeight="1">
      <c r="A17" s="27">
        <v>11</v>
      </c>
      <c r="B17" s="133" t="s">
        <v>55</v>
      </c>
      <c r="C17" s="19" t="s">
        <v>56</v>
      </c>
      <c r="D17" s="27" t="s">
        <v>57</v>
      </c>
      <c r="E17" s="181">
        <v>326663.07749999996</v>
      </c>
      <c r="F17" s="184">
        <f t="shared" si="0"/>
        <v>163331.53874999998</v>
      </c>
    </row>
    <row r="18" spans="1:7" ht="20.100000000000001" customHeight="1">
      <c r="A18" s="27">
        <v>12</v>
      </c>
      <c r="B18" s="133" t="s">
        <v>58</v>
      </c>
      <c r="C18" s="138" t="s">
        <v>59</v>
      </c>
      <c r="D18" s="158" t="s">
        <v>60</v>
      </c>
      <c r="E18" s="181">
        <v>362001.06050000002</v>
      </c>
      <c r="F18" s="184">
        <f t="shared" si="0"/>
        <v>181000.53025000001</v>
      </c>
      <c r="G18" s="157"/>
    </row>
    <row r="19" spans="1:7" ht="20.100000000000001" customHeight="1">
      <c r="A19" s="27">
        <v>13</v>
      </c>
      <c r="B19" s="134" t="s">
        <v>61</v>
      </c>
      <c r="C19" s="19" t="s">
        <v>62</v>
      </c>
      <c r="D19" s="158" t="s">
        <v>63</v>
      </c>
      <c r="E19" s="181">
        <v>454201.02599999995</v>
      </c>
      <c r="F19" s="184">
        <f t="shared" si="0"/>
        <v>227100.51299999998</v>
      </c>
      <c r="G19" s="157"/>
    </row>
    <row r="20" spans="1:7" ht="18.75" customHeight="1">
      <c r="A20" s="27">
        <v>14</v>
      </c>
      <c r="B20" s="133" t="s">
        <v>64</v>
      </c>
      <c r="C20" s="138" t="s">
        <v>65</v>
      </c>
      <c r="D20" s="158" t="s">
        <v>66</v>
      </c>
      <c r="E20" s="181">
        <v>372454.07400000002</v>
      </c>
      <c r="F20" s="184">
        <f t="shared" si="0"/>
        <v>186227.03700000001</v>
      </c>
      <c r="G20" s="157"/>
    </row>
    <row r="21" spans="1:7" ht="20.100000000000001" customHeight="1">
      <c r="A21" s="27">
        <v>15</v>
      </c>
      <c r="B21" s="135" t="s">
        <v>67</v>
      </c>
      <c r="C21" s="92" t="s">
        <v>68</v>
      </c>
      <c r="D21" s="27" t="s">
        <v>69</v>
      </c>
      <c r="E21" s="181">
        <v>400372.07500000001</v>
      </c>
      <c r="F21" s="184">
        <f t="shared" si="0"/>
        <v>200186.03750000001</v>
      </c>
      <c r="G21" s="157"/>
    </row>
    <row r="22" spans="1:7" ht="20.100000000000001" customHeight="1">
      <c r="A22" s="27">
        <v>16</v>
      </c>
      <c r="B22" s="135" t="s">
        <v>70</v>
      </c>
      <c r="C22" s="92" t="s">
        <v>71</v>
      </c>
      <c r="D22" s="27" t="s">
        <v>72</v>
      </c>
      <c r="E22" s="181">
        <v>328602.07775000005</v>
      </c>
      <c r="F22" s="184">
        <f t="shared" si="0"/>
        <v>164301.03887500003</v>
      </c>
      <c r="G22" s="157"/>
    </row>
    <row r="23" spans="1:7" ht="18.75" customHeight="1">
      <c r="A23" s="27">
        <v>17</v>
      </c>
      <c r="B23" s="19" t="s">
        <v>73</v>
      </c>
      <c r="C23" s="19" t="s">
        <v>74</v>
      </c>
      <c r="D23" s="27" t="s">
        <v>75</v>
      </c>
      <c r="E23" s="181">
        <v>205204.0845</v>
      </c>
      <c r="F23" s="184">
        <f t="shared" si="0"/>
        <v>102602.04225</v>
      </c>
      <c r="G23" s="157"/>
    </row>
    <row r="24" spans="1:7" ht="18.75" customHeight="1">
      <c r="A24" s="27">
        <v>18</v>
      </c>
      <c r="B24" s="134" t="s">
        <v>76</v>
      </c>
      <c r="C24" s="138" t="s">
        <v>74</v>
      </c>
      <c r="D24" s="158" t="s">
        <v>75</v>
      </c>
      <c r="E24" s="181">
        <v>209356.04725</v>
      </c>
      <c r="F24" s="184">
        <f t="shared" si="0"/>
        <v>104678.023625</v>
      </c>
      <c r="G24" s="157"/>
    </row>
    <row r="25" spans="1:7" ht="18.75" customHeight="1">
      <c r="A25" s="27">
        <v>19</v>
      </c>
      <c r="B25" s="134" t="s">
        <v>77</v>
      </c>
      <c r="C25" s="138" t="s">
        <v>78</v>
      </c>
      <c r="D25" s="158" t="s">
        <v>79</v>
      </c>
      <c r="E25" s="24">
        <v>205204.0845</v>
      </c>
      <c r="F25" s="184">
        <f t="shared" si="0"/>
        <v>102602.04225</v>
      </c>
      <c r="G25" s="157"/>
    </row>
    <row r="26" spans="1:7" ht="18.75" customHeight="1">
      <c r="A26" s="27">
        <v>20</v>
      </c>
      <c r="B26" s="134" t="s">
        <v>80</v>
      </c>
      <c r="C26" s="19" t="s">
        <v>81</v>
      </c>
      <c r="D26" s="27" t="s">
        <v>79</v>
      </c>
      <c r="E26" s="181">
        <v>205204.08</v>
      </c>
      <c r="F26" s="184">
        <f t="shared" si="0"/>
        <v>102602.04</v>
      </c>
      <c r="G26" s="157"/>
    </row>
    <row r="27" spans="1:7" ht="18.75" customHeight="1">
      <c r="A27" s="27">
        <v>21</v>
      </c>
      <c r="B27" s="134" t="s">
        <v>82</v>
      </c>
      <c r="C27" s="92" t="s">
        <v>83</v>
      </c>
      <c r="D27" s="158" t="s">
        <v>75</v>
      </c>
      <c r="E27" s="181">
        <v>209356.04725</v>
      </c>
      <c r="F27" s="184">
        <f t="shared" si="0"/>
        <v>104678.023625</v>
      </c>
      <c r="G27" s="157"/>
    </row>
    <row r="28" spans="1:7" ht="18.75" customHeight="1">
      <c r="A28" s="27">
        <v>22</v>
      </c>
      <c r="B28" s="134" t="s">
        <v>84</v>
      </c>
      <c r="C28" s="19" t="s">
        <v>85</v>
      </c>
      <c r="D28" s="27" t="s">
        <v>86</v>
      </c>
      <c r="E28" s="181">
        <v>176816.1</v>
      </c>
      <c r="F28" s="184">
        <f t="shared" si="0"/>
        <v>88408.05</v>
      </c>
      <c r="G28" s="157"/>
    </row>
    <row r="29" spans="1:7" ht="18.75" customHeight="1">
      <c r="A29" s="27">
        <v>23</v>
      </c>
      <c r="B29" s="134" t="s">
        <v>87</v>
      </c>
      <c r="C29" s="138" t="s">
        <v>88</v>
      </c>
      <c r="D29" s="158" t="s">
        <v>86</v>
      </c>
      <c r="E29" s="181">
        <v>176816.1</v>
      </c>
      <c r="F29" s="184">
        <f t="shared" si="0"/>
        <v>88408.05</v>
      </c>
      <c r="G29" s="157"/>
    </row>
    <row r="30" spans="1:7" ht="18.75" customHeight="1">
      <c r="A30" s="27">
        <v>24</v>
      </c>
      <c r="B30" s="134" t="s">
        <v>89</v>
      </c>
      <c r="C30" s="138" t="s">
        <v>88</v>
      </c>
      <c r="D30" s="158" t="s">
        <v>90</v>
      </c>
      <c r="E30" s="181">
        <v>173329.04949999999</v>
      </c>
      <c r="F30" s="184">
        <f t="shared" si="0"/>
        <v>86664.524749999997</v>
      </c>
      <c r="G30" s="157"/>
    </row>
    <row r="31" spans="1:7" ht="26.25" customHeight="1">
      <c r="A31" s="27"/>
      <c r="B31" s="136" t="s">
        <v>91</v>
      </c>
      <c r="C31" s="28">
        <v>24</v>
      </c>
      <c r="D31" s="158"/>
      <c r="E31" s="160">
        <v>10062524.349499997</v>
      </c>
      <c r="F31" s="160">
        <f>SUM(F7:F30)</f>
        <v>5028878.8274999987</v>
      </c>
      <c r="G31" s="157"/>
    </row>
    <row r="32" spans="1:7" ht="18.75" customHeight="1">
      <c r="A32" s="27"/>
      <c r="B32" s="103"/>
      <c r="C32" s="19"/>
      <c r="D32" s="158"/>
      <c r="E32" s="188"/>
      <c r="F32" s="194"/>
      <c r="G32" s="157"/>
    </row>
    <row r="33" spans="1:7" ht="18.75" customHeight="1">
      <c r="A33" s="27"/>
      <c r="B33" s="136" t="s">
        <v>92</v>
      </c>
      <c r="C33" s="19"/>
      <c r="D33" s="158"/>
      <c r="E33" s="181"/>
      <c r="F33" s="184"/>
      <c r="G33" s="157"/>
    </row>
    <row r="34" spans="1:7" ht="18.75" customHeight="1">
      <c r="A34" s="27">
        <v>1</v>
      </c>
      <c r="B34" s="134" t="s">
        <v>93</v>
      </c>
      <c r="C34" s="19" t="s">
        <v>94</v>
      </c>
      <c r="D34" s="27" t="s">
        <v>95</v>
      </c>
      <c r="E34" s="181">
        <v>950209.06350000005</v>
      </c>
      <c r="F34" s="184">
        <f>E34/2</f>
        <v>475104.53175000002</v>
      </c>
      <c r="G34" s="157"/>
    </row>
    <row r="35" spans="1:7" ht="18.75" customHeight="1">
      <c r="A35" s="27">
        <v>2</v>
      </c>
      <c r="B35" s="134" t="s">
        <v>96</v>
      </c>
      <c r="C35" s="19" t="s">
        <v>97</v>
      </c>
      <c r="D35" s="27" t="s">
        <v>90</v>
      </c>
      <c r="E35" s="181">
        <v>173329.04949999999</v>
      </c>
      <c r="F35" s="184">
        <f t="shared" ref="F35:F36" si="1">E35/2</f>
        <v>86664.524749999997</v>
      </c>
      <c r="G35" s="157"/>
    </row>
    <row r="36" spans="1:7" ht="18.75" customHeight="1">
      <c r="A36" s="27">
        <v>3</v>
      </c>
      <c r="B36" s="133" t="s">
        <v>98</v>
      </c>
      <c r="C36" s="138" t="s">
        <v>99</v>
      </c>
      <c r="D36" s="158" t="s">
        <v>72</v>
      </c>
      <c r="E36" s="181">
        <v>228602.07775000003</v>
      </c>
      <c r="F36" s="184">
        <f t="shared" si="1"/>
        <v>114301.03887500001</v>
      </c>
      <c r="G36" s="157"/>
    </row>
    <row r="37" spans="1:7" ht="19.5" customHeight="1">
      <c r="A37" s="27"/>
      <c r="B37" s="135"/>
      <c r="C37" s="28">
        <v>3</v>
      </c>
      <c r="D37" s="27"/>
      <c r="E37" s="160">
        <v>1352140.1907500001</v>
      </c>
      <c r="F37" s="160">
        <f>SUM(F34:F36)</f>
        <v>676070.09537500003</v>
      </c>
      <c r="G37" s="157"/>
    </row>
    <row r="38" spans="1:7" ht="20.100000000000001" customHeight="1">
      <c r="A38" s="27"/>
      <c r="B38" s="135"/>
      <c r="C38" s="19"/>
      <c r="D38" s="27"/>
      <c r="E38" s="188"/>
      <c r="F38" s="184"/>
      <c r="G38" s="157"/>
    </row>
    <row r="39" spans="1:7" ht="20.100000000000001" customHeight="1">
      <c r="A39" s="27"/>
      <c r="B39" s="162" t="s">
        <v>100</v>
      </c>
      <c r="C39" s="147"/>
      <c r="D39" s="151"/>
      <c r="E39" s="181"/>
      <c r="F39" s="184"/>
      <c r="G39" s="157"/>
    </row>
    <row r="40" spans="1:7" ht="20.100000000000001" customHeight="1">
      <c r="A40" s="27">
        <v>1</v>
      </c>
      <c r="B40" s="133" t="s">
        <v>101</v>
      </c>
      <c r="C40" s="19" t="s">
        <v>102</v>
      </c>
      <c r="D40" s="27" t="s">
        <v>95</v>
      </c>
      <c r="E40" s="181">
        <v>1050209.0635000002</v>
      </c>
      <c r="F40" s="184">
        <f>E40/2</f>
        <v>525104.53175000008</v>
      </c>
      <c r="G40" s="157"/>
    </row>
    <row r="41" spans="1:7" ht="20.100000000000001" customHeight="1">
      <c r="A41" s="27">
        <v>2</v>
      </c>
      <c r="B41" s="133" t="s">
        <v>103</v>
      </c>
      <c r="C41" s="19" t="s">
        <v>104</v>
      </c>
      <c r="D41" s="27" t="s">
        <v>45</v>
      </c>
      <c r="E41" s="181">
        <v>527553.50249999994</v>
      </c>
      <c r="F41" s="184">
        <f t="shared" ref="F41:F51" si="2">E41/2</f>
        <v>263776.75124999997</v>
      </c>
      <c r="G41" s="157"/>
    </row>
    <row r="42" spans="1:7" ht="20.100000000000001" customHeight="1">
      <c r="A42" s="27">
        <v>3</v>
      </c>
      <c r="B42" s="133" t="s">
        <v>105</v>
      </c>
      <c r="C42" s="19" t="s">
        <v>106</v>
      </c>
      <c r="D42" s="27" t="s">
        <v>107</v>
      </c>
      <c r="E42" s="181">
        <v>604023.32999999996</v>
      </c>
      <c r="F42" s="184">
        <f t="shared" si="2"/>
        <v>302011.66499999998</v>
      </c>
      <c r="G42" s="157"/>
    </row>
    <row r="43" spans="1:7" ht="20.100000000000001" customHeight="1">
      <c r="A43" s="27">
        <v>4</v>
      </c>
      <c r="B43" s="133" t="s">
        <v>108</v>
      </c>
      <c r="C43" s="19" t="s">
        <v>109</v>
      </c>
      <c r="D43" s="27" t="s">
        <v>45</v>
      </c>
      <c r="E43" s="181">
        <v>527553.50249999994</v>
      </c>
      <c r="F43" s="184">
        <f t="shared" si="2"/>
        <v>263776.75124999997</v>
      </c>
      <c r="G43" s="157"/>
    </row>
    <row r="44" spans="1:7" ht="20.100000000000001" customHeight="1">
      <c r="A44" s="27">
        <v>5</v>
      </c>
      <c r="B44" s="133" t="s">
        <v>110</v>
      </c>
      <c r="C44" s="19" t="s">
        <v>109</v>
      </c>
      <c r="D44" s="27" t="s">
        <v>111</v>
      </c>
      <c r="E44" s="181">
        <v>516137.05000000005</v>
      </c>
      <c r="F44" s="184">
        <f t="shared" si="2"/>
        <v>258068.52500000002</v>
      </c>
      <c r="G44" s="157"/>
    </row>
    <row r="45" spans="1:7" ht="20.100000000000001" customHeight="1">
      <c r="A45" s="27">
        <v>6</v>
      </c>
      <c r="B45" s="133" t="s">
        <v>112</v>
      </c>
      <c r="C45" s="19" t="s">
        <v>109</v>
      </c>
      <c r="D45" s="27" t="s">
        <v>48</v>
      </c>
      <c r="E45" s="181">
        <v>504720.04700000002</v>
      </c>
      <c r="F45" s="184">
        <f t="shared" si="2"/>
        <v>252360.02350000001</v>
      </c>
      <c r="G45" s="157"/>
    </row>
    <row r="46" spans="1:7" ht="20.100000000000001" customHeight="1">
      <c r="A46" s="27">
        <v>7</v>
      </c>
      <c r="B46" s="135" t="s">
        <v>113</v>
      </c>
      <c r="C46" s="19" t="s">
        <v>53</v>
      </c>
      <c r="D46" s="23" t="s">
        <v>51</v>
      </c>
      <c r="E46" s="181">
        <v>413333.03525000007</v>
      </c>
      <c r="F46" s="184">
        <f t="shared" si="2"/>
        <v>206666.51762500004</v>
      </c>
      <c r="G46" s="157"/>
    </row>
    <row r="47" spans="1:7" ht="20.100000000000001" customHeight="1">
      <c r="A47" s="27">
        <v>8</v>
      </c>
      <c r="B47" s="133" t="s">
        <v>114</v>
      </c>
      <c r="C47" s="19" t="s">
        <v>115</v>
      </c>
      <c r="D47" s="27" t="s">
        <v>116</v>
      </c>
      <c r="E47" s="22">
        <v>397211.36749999999</v>
      </c>
      <c r="F47" s="184">
        <f t="shared" si="2"/>
        <v>198605.68375</v>
      </c>
      <c r="G47" s="157"/>
    </row>
    <row r="48" spans="1:7" ht="20.100000000000001" customHeight="1">
      <c r="A48" s="27">
        <v>9</v>
      </c>
      <c r="B48" s="133" t="s">
        <v>117</v>
      </c>
      <c r="C48" s="19" t="s">
        <v>118</v>
      </c>
      <c r="D48" s="27" t="s">
        <v>72</v>
      </c>
      <c r="E48" s="181">
        <v>268602.07775000005</v>
      </c>
      <c r="F48" s="184">
        <f t="shared" si="2"/>
        <v>134301.03887500003</v>
      </c>
      <c r="G48" s="157"/>
    </row>
    <row r="49" spans="1:7" ht="20.100000000000001" customHeight="1">
      <c r="A49" s="27">
        <v>10</v>
      </c>
      <c r="B49" s="133" t="s">
        <v>119</v>
      </c>
      <c r="C49" s="19" t="s">
        <v>118</v>
      </c>
      <c r="D49" s="27" t="s">
        <v>79</v>
      </c>
      <c r="E49" s="181">
        <v>245204.0845</v>
      </c>
      <c r="F49" s="184">
        <f t="shared" si="2"/>
        <v>122602.04225</v>
      </c>
      <c r="G49" s="157"/>
    </row>
    <row r="50" spans="1:7" ht="20.100000000000001" customHeight="1">
      <c r="A50" s="27">
        <v>11</v>
      </c>
      <c r="B50" s="133" t="s">
        <v>120</v>
      </c>
      <c r="C50" s="19" t="s">
        <v>118</v>
      </c>
      <c r="D50" s="27" t="s">
        <v>79</v>
      </c>
      <c r="E50" s="181">
        <v>245204.0845</v>
      </c>
      <c r="F50" s="184">
        <f t="shared" si="2"/>
        <v>122602.04225</v>
      </c>
      <c r="G50" s="157"/>
    </row>
    <row r="51" spans="1:7" ht="20.100000000000001" customHeight="1">
      <c r="A51" s="27">
        <v>12</v>
      </c>
      <c r="B51" s="133" t="s">
        <v>121</v>
      </c>
      <c r="C51" s="19" t="s">
        <v>118</v>
      </c>
      <c r="D51" s="27" t="s">
        <v>79</v>
      </c>
      <c r="E51" s="181">
        <v>245204.0845</v>
      </c>
      <c r="F51" s="184">
        <f t="shared" si="2"/>
        <v>122602.04225</v>
      </c>
      <c r="G51" s="157"/>
    </row>
    <row r="52" spans="1:7" ht="25.5" customHeight="1">
      <c r="A52" s="27"/>
      <c r="B52" s="136" t="s">
        <v>91</v>
      </c>
      <c r="C52" s="28">
        <v>12</v>
      </c>
      <c r="D52" s="28"/>
      <c r="E52" s="65">
        <v>6101043.8132499997</v>
      </c>
      <c r="F52" s="313">
        <f>SUM(F40:F51)</f>
        <v>2772477.6147500002</v>
      </c>
      <c r="G52" s="157"/>
    </row>
    <row r="53" spans="1:7" ht="20.100000000000001" customHeight="1">
      <c r="A53" s="27"/>
      <c r="B53" s="103"/>
      <c r="C53" s="28"/>
      <c r="D53" s="28"/>
      <c r="E53" s="189"/>
      <c r="F53" s="195"/>
      <c r="G53" s="157"/>
    </row>
    <row r="54" spans="1:7" ht="20.100000000000001" customHeight="1">
      <c r="A54" s="27"/>
      <c r="B54" s="136" t="s">
        <v>122</v>
      </c>
      <c r="C54" s="28"/>
      <c r="D54" s="28"/>
      <c r="E54" s="189"/>
      <c r="F54" s="195"/>
      <c r="G54" s="157"/>
    </row>
    <row r="55" spans="1:7" ht="20.100000000000001" customHeight="1">
      <c r="A55" s="27">
        <v>1</v>
      </c>
      <c r="B55" s="133" t="s">
        <v>123</v>
      </c>
      <c r="C55" s="138" t="s">
        <v>124</v>
      </c>
      <c r="D55" s="158" t="s">
        <v>95</v>
      </c>
      <c r="E55" s="181">
        <v>1050209.0635000002</v>
      </c>
      <c r="F55" s="184">
        <f>E55/2</f>
        <v>525104.53175000008</v>
      </c>
      <c r="G55" s="157"/>
    </row>
    <row r="56" spans="1:7" ht="20.100000000000001" customHeight="1">
      <c r="A56" s="27">
        <v>2</v>
      </c>
      <c r="B56" s="133" t="s">
        <v>125</v>
      </c>
      <c r="C56" s="138" t="s">
        <v>126</v>
      </c>
      <c r="D56" s="158" t="s">
        <v>127</v>
      </c>
      <c r="E56" s="181">
        <v>436137.05000000005</v>
      </c>
      <c r="F56" s="184">
        <f>E56/2</f>
        <v>218068.52500000002</v>
      </c>
      <c r="G56" s="157"/>
    </row>
    <row r="57" spans="1:7" ht="20.100000000000001" customHeight="1">
      <c r="A57" s="27"/>
      <c r="B57" s="136" t="s">
        <v>91</v>
      </c>
      <c r="C57" s="28">
        <v>2</v>
      </c>
      <c r="D57" s="28"/>
      <c r="E57" s="65">
        <v>1486346.1135000002</v>
      </c>
      <c r="F57" s="313">
        <f>SUM(F55:F56)</f>
        <v>743173.05675000011</v>
      </c>
      <c r="G57" s="157"/>
    </row>
    <row r="58" spans="1:7" ht="20.100000000000001" customHeight="1">
      <c r="A58" s="27"/>
      <c r="B58" s="136"/>
      <c r="C58" s="28"/>
      <c r="D58" s="28"/>
      <c r="E58" s="189"/>
      <c r="F58" s="195"/>
      <c r="G58" s="157"/>
    </row>
    <row r="59" spans="1:7" ht="20.100000000000001" customHeight="1">
      <c r="A59" s="27"/>
      <c r="B59" s="136" t="s">
        <v>128</v>
      </c>
      <c r="C59" s="28"/>
      <c r="D59" s="28"/>
      <c r="E59" s="189"/>
      <c r="F59" s="195"/>
      <c r="G59" s="157"/>
    </row>
    <row r="60" spans="1:7" ht="20.100000000000001" customHeight="1">
      <c r="A60" s="27">
        <v>1</v>
      </c>
      <c r="B60" s="133" t="s">
        <v>129</v>
      </c>
      <c r="C60" s="92" t="s">
        <v>130</v>
      </c>
      <c r="D60" s="27" t="s">
        <v>95</v>
      </c>
      <c r="E60" s="182">
        <v>1050209.0635000002</v>
      </c>
      <c r="F60" s="185">
        <f>E60/2</f>
        <v>525104.53175000008</v>
      </c>
      <c r="G60" s="157"/>
    </row>
    <row r="61" spans="1:7" ht="20.100000000000001" customHeight="1">
      <c r="A61" s="27">
        <v>2</v>
      </c>
      <c r="B61" s="265" t="s">
        <v>131</v>
      </c>
      <c r="C61" s="92" t="s">
        <v>132</v>
      </c>
      <c r="D61" s="158" t="s">
        <v>133</v>
      </c>
      <c r="E61" s="182">
        <v>504720.04700000002</v>
      </c>
      <c r="F61" s="185">
        <f t="shared" ref="F61:F70" si="3">E61/2</f>
        <v>252360.02350000001</v>
      </c>
      <c r="G61" s="157"/>
    </row>
    <row r="62" spans="1:7" ht="20.100000000000001" customHeight="1">
      <c r="A62" s="27">
        <v>3</v>
      </c>
      <c r="B62" s="133" t="s">
        <v>134</v>
      </c>
      <c r="C62" s="19" t="s">
        <v>53</v>
      </c>
      <c r="D62" s="27" t="s">
        <v>116</v>
      </c>
      <c r="E62" s="24">
        <v>397211.36749999999</v>
      </c>
      <c r="F62" s="185">
        <f t="shared" si="3"/>
        <v>198605.68375</v>
      </c>
      <c r="G62" s="157"/>
    </row>
    <row r="63" spans="1:7" ht="20.100000000000001" customHeight="1">
      <c r="A63" s="27">
        <v>4</v>
      </c>
      <c r="B63" s="134" t="s">
        <v>135</v>
      </c>
      <c r="C63" s="92" t="s">
        <v>136</v>
      </c>
      <c r="D63" s="158" t="s">
        <v>60</v>
      </c>
      <c r="E63" s="181">
        <v>362001.06049999996</v>
      </c>
      <c r="F63" s="185">
        <f t="shared" si="3"/>
        <v>181000.53024999998</v>
      </c>
      <c r="G63" s="157"/>
    </row>
    <row r="64" spans="1:7" ht="20.100000000000001" customHeight="1">
      <c r="A64" s="27">
        <v>5</v>
      </c>
      <c r="B64" s="135" t="s">
        <v>137</v>
      </c>
      <c r="C64" s="92" t="s">
        <v>53</v>
      </c>
      <c r="D64" s="158" t="s">
        <v>51</v>
      </c>
      <c r="E64" s="181">
        <v>413333.03525000007</v>
      </c>
      <c r="F64" s="185">
        <f t="shared" si="3"/>
        <v>206666.51762500004</v>
      </c>
      <c r="G64" s="157"/>
    </row>
    <row r="65" spans="1:7" ht="20.100000000000001" customHeight="1">
      <c r="A65" s="27">
        <v>7</v>
      </c>
      <c r="B65" s="133" t="s">
        <v>138</v>
      </c>
      <c r="C65" s="19" t="s">
        <v>118</v>
      </c>
      <c r="D65" s="27" t="s">
        <v>69</v>
      </c>
      <c r="E65" s="181">
        <v>315372.07500000001</v>
      </c>
      <c r="F65" s="185">
        <f t="shared" si="3"/>
        <v>157686.03750000001</v>
      </c>
      <c r="G65" s="157"/>
    </row>
    <row r="66" spans="1:7" ht="20.100000000000001" customHeight="1">
      <c r="A66" s="27">
        <v>8</v>
      </c>
      <c r="B66" s="133" t="s">
        <v>139</v>
      </c>
      <c r="C66" s="92" t="s">
        <v>140</v>
      </c>
      <c r="D66" s="158" t="s">
        <v>69</v>
      </c>
      <c r="E66" s="181">
        <v>315372.07500000001</v>
      </c>
      <c r="F66" s="185">
        <f t="shared" si="3"/>
        <v>157686.03750000001</v>
      </c>
      <c r="G66" s="157"/>
    </row>
    <row r="67" spans="1:7" ht="20.100000000000001" customHeight="1">
      <c r="A67" s="27">
        <v>9</v>
      </c>
      <c r="B67" s="133" t="s">
        <v>141</v>
      </c>
      <c r="C67" s="92" t="s">
        <v>140</v>
      </c>
      <c r="D67" s="158" t="s">
        <v>69</v>
      </c>
      <c r="E67" s="181">
        <v>315372.07500000001</v>
      </c>
      <c r="F67" s="185">
        <f t="shared" si="3"/>
        <v>157686.03750000001</v>
      </c>
      <c r="G67" s="157"/>
    </row>
    <row r="68" spans="1:7" ht="20.100000000000001" customHeight="1">
      <c r="A68" s="27">
        <v>10</v>
      </c>
      <c r="B68" s="133" t="s">
        <v>142</v>
      </c>
      <c r="C68" s="19" t="s">
        <v>143</v>
      </c>
      <c r="D68" s="27" t="s">
        <v>66</v>
      </c>
      <c r="E68" s="181">
        <v>322454.07400000002</v>
      </c>
      <c r="F68" s="185">
        <f t="shared" si="3"/>
        <v>161227.03700000001</v>
      </c>
      <c r="G68" s="157"/>
    </row>
    <row r="69" spans="1:7" ht="21.6" customHeight="1">
      <c r="A69" s="27">
        <v>11</v>
      </c>
      <c r="B69" s="133" t="s">
        <v>144</v>
      </c>
      <c r="C69" s="19" t="s">
        <v>118</v>
      </c>
      <c r="D69" s="27" t="s">
        <v>72</v>
      </c>
      <c r="E69" s="181">
        <v>268602.07775000005</v>
      </c>
      <c r="F69" s="185">
        <f t="shared" si="3"/>
        <v>134301.03887500003</v>
      </c>
    </row>
    <row r="70" spans="1:7" ht="20.100000000000001" customHeight="1">
      <c r="A70" s="27">
        <v>12</v>
      </c>
      <c r="B70" s="133" t="s">
        <v>145</v>
      </c>
      <c r="C70" s="92" t="s">
        <v>68</v>
      </c>
      <c r="D70" s="27" t="s">
        <v>75</v>
      </c>
      <c r="E70" s="181">
        <v>249356.04725</v>
      </c>
      <c r="F70" s="185">
        <f t="shared" si="3"/>
        <v>124678.023625</v>
      </c>
      <c r="G70" s="157"/>
    </row>
    <row r="71" spans="1:7" ht="27" customHeight="1">
      <c r="A71" s="27"/>
      <c r="B71" s="136" t="s">
        <v>91</v>
      </c>
      <c r="C71" s="28">
        <v>12</v>
      </c>
      <c r="D71" s="28"/>
      <c r="E71" s="65">
        <v>4514002.997750001</v>
      </c>
      <c r="F71" s="65">
        <f>SUM(F60:F70)</f>
        <v>2257001.4988750005</v>
      </c>
      <c r="G71" s="157"/>
    </row>
    <row r="72" spans="1:7" ht="20.100000000000001" customHeight="1">
      <c r="A72" s="27"/>
      <c r="B72" s="103"/>
      <c r="C72" s="28"/>
      <c r="D72" s="28"/>
      <c r="E72" s="189"/>
      <c r="F72" s="195"/>
      <c r="G72" s="157"/>
    </row>
    <row r="73" spans="1:7" ht="20.100000000000001" customHeight="1">
      <c r="A73" s="27"/>
      <c r="B73" s="136" t="s">
        <v>146</v>
      </c>
      <c r="C73" s="28"/>
      <c r="D73" s="28"/>
      <c r="E73" s="189"/>
      <c r="F73" s="195"/>
      <c r="G73" s="157"/>
    </row>
    <row r="74" spans="1:7" ht="20.100000000000001" customHeight="1">
      <c r="A74" s="27">
        <v>1</v>
      </c>
      <c r="B74" s="133" t="s">
        <v>147</v>
      </c>
      <c r="C74" s="19" t="s">
        <v>148</v>
      </c>
      <c r="D74" s="27" t="s">
        <v>95</v>
      </c>
      <c r="E74" s="181">
        <v>1050209.0635000002</v>
      </c>
      <c r="F74" s="184">
        <f>E74/2</f>
        <v>525104.53175000008</v>
      </c>
      <c r="G74" s="157"/>
    </row>
    <row r="75" spans="1:7" ht="20.100000000000001" customHeight="1">
      <c r="A75" s="27">
        <v>2</v>
      </c>
      <c r="B75" s="135" t="s">
        <v>149</v>
      </c>
      <c r="C75" s="19" t="s">
        <v>150</v>
      </c>
      <c r="D75" s="158" t="s">
        <v>133</v>
      </c>
      <c r="E75" s="181">
        <v>504720.04700000002</v>
      </c>
      <c r="F75" s="184">
        <f t="shared" ref="F75:F80" si="4">E75/2</f>
        <v>252360.02350000001</v>
      </c>
      <c r="G75" s="157"/>
    </row>
    <row r="76" spans="1:7" ht="20.100000000000001" customHeight="1">
      <c r="A76" s="27">
        <v>3</v>
      </c>
      <c r="B76" s="134" t="s">
        <v>151</v>
      </c>
      <c r="C76" s="138" t="s">
        <v>152</v>
      </c>
      <c r="D76" s="27" t="s">
        <v>127</v>
      </c>
      <c r="E76" s="181">
        <v>436137.05000000005</v>
      </c>
      <c r="F76" s="184">
        <f t="shared" si="4"/>
        <v>218068.52500000002</v>
      </c>
      <c r="G76" s="157"/>
    </row>
    <row r="77" spans="1:7" ht="20.100000000000001" customHeight="1">
      <c r="A77" s="27">
        <v>4</v>
      </c>
      <c r="B77" s="133" t="s">
        <v>153</v>
      </c>
      <c r="C77" s="19" t="s">
        <v>154</v>
      </c>
      <c r="D77" s="158" t="s">
        <v>116</v>
      </c>
      <c r="E77" s="22">
        <v>397211.36749999999</v>
      </c>
      <c r="F77" s="184">
        <f t="shared" si="4"/>
        <v>198605.68375</v>
      </c>
      <c r="G77" s="157"/>
    </row>
    <row r="78" spans="1:7" ht="20.100000000000001" customHeight="1">
      <c r="A78" s="27">
        <v>5</v>
      </c>
      <c r="B78" s="133" t="s">
        <v>155</v>
      </c>
      <c r="C78" s="19" t="s">
        <v>156</v>
      </c>
      <c r="D78" s="27" t="s">
        <v>157</v>
      </c>
      <c r="E78" s="181">
        <v>273169.11749999999</v>
      </c>
      <c r="F78" s="184">
        <f t="shared" si="4"/>
        <v>136584.55875</v>
      </c>
      <c r="G78" s="157"/>
    </row>
    <row r="79" spans="1:7" ht="20.100000000000001" customHeight="1">
      <c r="A79" s="27">
        <v>6</v>
      </c>
      <c r="B79" s="133" t="s">
        <v>158</v>
      </c>
      <c r="C79" s="19" t="s">
        <v>156</v>
      </c>
      <c r="D79" s="27" t="s">
        <v>79</v>
      </c>
      <c r="E79" s="181">
        <v>245204.0845</v>
      </c>
      <c r="F79" s="184">
        <f t="shared" si="4"/>
        <v>122602.04225</v>
      </c>
      <c r="G79" s="157"/>
    </row>
    <row r="80" spans="1:7" ht="20.100000000000001" customHeight="1">
      <c r="A80" s="27">
        <v>7</v>
      </c>
      <c r="B80" s="133" t="s">
        <v>159</v>
      </c>
      <c r="C80" s="19" t="s">
        <v>160</v>
      </c>
      <c r="D80" s="27" t="s">
        <v>90</v>
      </c>
      <c r="E80" s="181">
        <v>223338.22450000001</v>
      </c>
      <c r="F80" s="184">
        <f t="shared" si="4"/>
        <v>111669.11225000001</v>
      </c>
      <c r="G80" s="157"/>
    </row>
    <row r="81" spans="1:7" ht="20.100000000000001" customHeight="1">
      <c r="A81" s="27"/>
      <c r="B81" s="136" t="s">
        <v>91</v>
      </c>
      <c r="C81" s="28">
        <v>7</v>
      </c>
      <c r="D81" s="28"/>
      <c r="E81" s="65">
        <v>3129988.9545000005</v>
      </c>
      <c r="F81" s="313">
        <f>SUM(F74:F80)</f>
        <v>1564994.4772500002</v>
      </c>
      <c r="G81" s="157"/>
    </row>
    <row r="82" spans="1:7" ht="20.100000000000001" customHeight="1">
      <c r="A82" s="27"/>
      <c r="B82" s="136"/>
      <c r="C82" s="28"/>
      <c r="D82" s="28"/>
      <c r="E82" s="190"/>
      <c r="F82" s="184"/>
      <c r="G82" s="157"/>
    </row>
    <row r="83" spans="1:7" ht="20.100000000000001" customHeight="1">
      <c r="A83" s="27"/>
      <c r="B83" s="136" t="s">
        <v>161</v>
      </c>
      <c r="C83" s="163"/>
      <c r="D83" s="28"/>
      <c r="E83" s="190"/>
      <c r="F83" s="184"/>
      <c r="G83" s="157"/>
    </row>
    <row r="84" spans="1:7" ht="20.100000000000001" customHeight="1">
      <c r="A84" s="27">
        <v>1</v>
      </c>
      <c r="B84" s="133" t="s">
        <v>162</v>
      </c>
      <c r="C84" s="19" t="s">
        <v>109</v>
      </c>
      <c r="D84" s="27" t="s">
        <v>45</v>
      </c>
      <c r="E84" s="181">
        <v>627553.50249999994</v>
      </c>
      <c r="F84" s="184">
        <f>E84/2</f>
        <v>313776.75124999997</v>
      </c>
      <c r="G84" s="157"/>
    </row>
    <row r="85" spans="1:7" ht="20.100000000000001" customHeight="1">
      <c r="A85" s="27">
        <v>2</v>
      </c>
      <c r="B85" s="133" t="s">
        <v>163</v>
      </c>
      <c r="C85" s="19" t="s">
        <v>109</v>
      </c>
      <c r="D85" s="27" t="s">
        <v>45</v>
      </c>
      <c r="E85" s="181">
        <v>527553.50249999994</v>
      </c>
      <c r="F85" s="184">
        <f t="shared" ref="F85:F94" si="5">E85/2</f>
        <v>263776.75124999997</v>
      </c>
      <c r="G85" s="157"/>
    </row>
    <row r="86" spans="1:7" ht="20.100000000000001" customHeight="1">
      <c r="A86" s="27">
        <v>3</v>
      </c>
      <c r="B86" s="135" t="s">
        <v>164</v>
      </c>
      <c r="C86" s="19" t="s">
        <v>109</v>
      </c>
      <c r="D86" s="27" t="s">
        <v>48</v>
      </c>
      <c r="E86" s="22">
        <v>504720.04700000002</v>
      </c>
      <c r="F86" s="184">
        <f t="shared" si="5"/>
        <v>252360.02350000001</v>
      </c>
      <c r="G86" s="157"/>
    </row>
    <row r="87" spans="1:7" ht="20.100000000000001" customHeight="1">
      <c r="A87" s="27">
        <v>4</v>
      </c>
      <c r="B87" s="133" t="s">
        <v>165</v>
      </c>
      <c r="C87" s="19" t="s">
        <v>109</v>
      </c>
      <c r="D87" s="27" t="s">
        <v>48</v>
      </c>
      <c r="E87" s="22">
        <v>504729.22200000007</v>
      </c>
      <c r="F87" s="184">
        <f t="shared" si="5"/>
        <v>252364.61100000003</v>
      </c>
      <c r="G87" s="157"/>
    </row>
    <row r="88" spans="1:7" ht="21.6" customHeight="1">
      <c r="A88" s="27">
        <v>5</v>
      </c>
      <c r="B88" s="133" t="s">
        <v>166</v>
      </c>
      <c r="C88" s="19" t="s">
        <v>167</v>
      </c>
      <c r="D88" s="158" t="s">
        <v>168</v>
      </c>
      <c r="E88" s="181">
        <v>369177.65375</v>
      </c>
      <c r="F88" s="184">
        <f t="shared" si="5"/>
        <v>184588.826875</v>
      </c>
      <c r="G88" s="157"/>
    </row>
    <row r="89" spans="1:7" ht="21.6" customHeight="1">
      <c r="A89" s="27">
        <v>6</v>
      </c>
      <c r="B89" s="133" t="s">
        <v>169</v>
      </c>
      <c r="C89" s="138" t="s">
        <v>136</v>
      </c>
      <c r="D89" s="158" t="s">
        <v>60</v>
      </c>
      <c r="E89" s="181">
        <v>362001.06049999996</v>
      </c>
      <c r="F89" s="184">
        <f t="shared" si="5"/>
        <v>181000.53024999998</v>
      </c>
      <c r="G89" s="157"/>
    </row>
    <row r="90" spans="1:7" ht="21.6" customHeight="1">
      <c r="A90" s="27">
        <v>7</v>
      </c>
      <c r="B90" s="133" t="s">
        <v>170</v>
      </c>
      <c r="C90" s="138" t="s">
        <v>53</v>
      </c>
      <c r="D90" s="158" t="s">
        <v>171</v>
      </c>
      <c r="E90" s="22">
        <v>389153.05674999999</v>
      </c>
      <c r="F90" s="184">
        <f t="shared" si="5"/>
        <v>194576.52837499999</v>
      </c>
      <c r="G90" s="157"/>
    </row>
    <row r="91" spans="1:7" ht="21.6" customHeight="1">
      <c r="A91" s="27">
        <v>8</v>
      </c>
      <c r="B91" s="133" t="s">
        <v>172</v>
      </c>
      <c r="C91" s="92" t="s">
        <v>140</v>
      </c>
      <c r="D91" s="158" t="s">
        <v>69</v>
      </c>
      <c r="E91" s="181">
        <v>315372.07500000001</v>
      </c>
      <c r="F91" s="184">
        <f t="shared" si="5"/>
        <v>157686.03750000001</v>
      </c>
      <c r="G91" s="157"/>
    </row>
    <row r="92" spans="1:7" ht="21.6" customHeight="1">
      <c r="A92" s="27">
        <v>9</v>
      </c>
      <c r="B92" s="133" t="s">
        <v>173</v>
      </c>
      <c r="C92" s="92" t="s">
        <v>140</v>
      </c>
      <c r="D92" s="158" t="s">
        <v>69</v>
      </c>
      <c r="E92" s="181">
        <v>315372.07500000001</v>
      </c>
      <c r="F92" s="184">
        <f t="shared" si="5"/>
        <v>157686.03750000001</v>
      </c>
      <c r="G92" s="157"/>
    </row>
    <row r="93" spans="1:7" ht="21.6" customHeight="1">
      <c r="A93" s="27">
        <v>10</v>
      </c>
      <c r="B93" s="133" t="s">
        <v>174</v>
      </c>
      <c r="C93" s="19" t="s">
        <v>175</v>
      </c>
      <c r="D93" s="27" t="s">
        <v>72</v>
      </c>
      <c r="E93" s="181">
        <v>268602.07775000005</v>
      </c>
      <c r="F93" s="184">
        <f t="shared" si="5"/>
        <v>134301.03887500003</v>
      </c>
      <c r="G93" s="157"/>
    </row>
    <row r="94" spans="1:7" ht="21.6" customHeight="1">
      <c r="A94" s="27">
        <v>11</v>
      </c>
      <c r="B94" s="133" t="s">
        <v>176</v>
      </c>
      <c r="C94" s="92" t="s">
        <v>177</v>
      </c>
      <c r="D94" s="158" t="s">
        <v>86</v>
      </c>
      <c r="E94" s="181">
        <v>223709.10949999999</v>
      </c>
      <c r="F94" s="184">
        <f t="shared" si="5"/>
        <v>111854.55475</v>
      </c>
      <c r="G94" s="157"/>
    </row>
    <row r="95" spans="1:7" ht="20.100000000000001" customHeight="1">
      <c r="A95" s="27"/>
      <c r="B95" s="136" t="s">
        <v>91</v>
      </c>
      <c r="C95" s="28">
        <v>11</v>
      </c>
      <c r="D95" s="28"/>
      <c r="E95" s="65">
        <v>4407943.3822500007</v>
      </c>
      <c r="F95" s="313">
        <f>SUM(F84:F94)</f>
        <v>2203971.6911250004</v>
      </c>
      <c r="G95" s="157"/>
    </row>
    <row r="96" spans="1:7" ht="20.100000000000001" customHeight="1">
      <c r="A96" s="27"/>
      <c r="B96" s="103"/>
      <c r="C96" s="28"/>
      <c r="D96" s="28"/>
      <c r="E96" s="189"/>
      <c r="F96" s="195"/>
      <c r="G96" s="157"/>
    </row>
    <row r="97" spans="1:7" ht="20.100000000000001" customHeight="1">
      <c r="A97" s="27"/>
      <c r="B97" s="136" t="s">
        <v>178</v>
      </c>
      <c r="C97" s="28"/>
      <c r="D97" s="28"/>
      <c r="E97" s="189"/>
      <c r="F97" s="195"/>
      <c r="G97" s="157"/>
    </row>
    <row r="98" spans="1:7" ht="20.100000000000001" customHeight="1">
      <c r="A98" s="27">
        <v>1</v>
      </c>
      <c r="B98" s="135" t="s">
        <v>179</v>
      </c>
      <c r="C98" s="19" t="s">
        <v>180</v>
      </c>
      <c r="D98" s="23" t="s">
        <v>36</v>
      </c>
      <c r="E98" s="181">
        <v>527744</v>
      </c>
      <c r="F98" s="184">
        <f>E98/2</f>
        <v>263872</v>
      </c>
      <c r="G98" s="157"/>
    </row>
    <row r="99" spans="1:7" ht="20.100000000000001" customHeight="1">
      <c r="A99" s="27">
        <v>2</v>
      </c>
      <c r="B99" s="133" t="s">
        <v>181</v>
      </c>
      <c r="C99" s="19" t="s">
        <v>182</v>
      </c>
      <c r="D99" s="158" t="s">
        <v>116</v>
      </c>
      <c r="E99" s="22">
        <v>327211.36749999999</v>
      </c>
      <c r="F99" s="184">
        <f t="shared" ref="F99:F101" si="6">E99/2</f>
        <v>163605.68375</v>
      </c>
      <c r="G99" s="157"/>
    </row>
    <row r="100" spans="1:7" ht="20.100000000000001" customHeight="1">
      <c r="A100" s="27">
        <v>3</v>
      </c>
      <c r="B100" s="133" t="s">
        <v>183</v>
      </c>
      <c r="C100" s="19" t="s">
        <v>184</v>
      </c>
      <c r="D100" s="158" t="s">
        <v>66</v>
      </c>
      <c r="E100" s="181">
        <v>272454.07400000002</v>
      </c>
      <c r="F100" s="184">
        <f t="shared" si="6"/>
        <v>136227.03700000001</v>
      </c>
      <c r="G100" s="157"/>
    </row>
    <row r="101" spans="1:7" ht="20.100000000000001" customHeight="1">
      <c r="A101" s="27">
        <v>4</v>
      </c>
      <c r="B101" s="133" t="s">
        <v>185</v>
      </c>
      <c r="C101" s="19" t="s">
        <v>186</v>
      </c>
      <c r="D101" s="158" t="s">
        <v>72</v>
      </c>
      <c r="E101" s="22">
        <v>228602.07775000003</v>
      </c>
      <c r="F101" s="184">
        <f t="shared" si="6"/>
        <v>114301.03887500001</v>
      </c>
      <c r="G101" s="157"/>
    </row>
    <row r="102" spans="1:7" ht="20.100000000000001" customHeight="1">
      <c r="A102" s="19"/>
      <c r="B102" s="136" t="s">
        <v>91</v>
      </c>
      <c r="C102" s="28">
        <v>4</v>
      </c>
      <c r="D102" s="164"/>
      <c r="E102" s="65">
        <v>1813825.6849999998</v>
      </c>
      <c r="F102" s="65">
        <f>SUM(F98:F101)</f>
        <v>678005.75962499995</v>
      </c>
      <c r="G102" s="157"/>
    </row>
    <row r="103" spans="1:7" ht="20.100000000000001" customHeight="1">
      <c r="A103" s="19"/>
      <c r="B103" s="103"/>
      <c r="C103" s="28"/>
      <c r="D103" s="164"/>
      <c r="E103" s="189"/>
      <c r="F103" s="195"/>
      <c r="G103" s="157"/>
    </row>
    <row r="104" spans="1:7" ht="20.100000000000001" customHeight="1">
      <c r="A104" s="19"/>
      <c r="B104" s="136" t="s">
        <v>187</v>
      </c>
      <c r="C104" s="19"/>
      <c r="D104" s="19"/>
      <c r="E104" s="191"/>
      <c r="F104" s="196"/>
      <c r="G104" s="157"/>
    </row>
    <row r="105" spans="1:7" ht="20.100000000000001" customHeight="1">
      <c r="A105" s="19">
        <v>1</v>
      </c>
      <c r="B105" s="133" t="s">
        <v>188</v>
      </c>
      <c r="C105" s="138" t="s">
        <v>189</v>
      </c>
      <c r="D105" s="158" t="s">
        <v>95</v>
      </c>
      <c r="E105" s="181">
        <v>1050209.0635000002</v>
      </c>
      <c r="F105" s="184">
        <f>E105/2</f>
        <v>525104.53175000008</v>
      </c>
      <c r="G105" s="157"/>
    </row>
    <row r="106" spans="1:7" ht="20.100000000000001" customHeight="1">
      <c r="A106" s="19">
        <v>2</v>
      </c>
      <c r="B106" s="133" t="s">
        <v>190</v>
      </c>
      <c r="C106" s="19" t="s">
        <v>191</v>
      </c>
      <c r="D106" s="23" t="s">
        <v>36</v>
      </c>
      <c r="E106" s="181">
        <v>617743.99575</v>
      </c>
      <c r="F106" s="184">
        <f t="shared" ref="F106:F111" si="7">E106/2</f>
        <v>308871.997875</v>
      </c>
      <c r="G106" s="157"/>
    </row>
    <row r="107" spans="1:7" ht="20.100000000000001" customHeight="1">
      <c r="A107" s="19">
        <v>3</v>
      </c>
      <c r="B107" s="133" t="s">
        <v>192</v>
      </c>
      <c r="C107" s="19" t="s">
        <v>193</v>
      </c>
      <c r="D107" s="27" t="s">
        <v>57</v>
      </c>
      <c r="E107" s="181">
        <v>418096.01602499996</v>
      </c>
      <c r="F107" s="184">
        <f t="shared" si="7"/>
        <v>209048.00801249998</v>
      </c>
      <c r="G107" s="157"/>
    </row>
    <row r="108" spans="1:7" ht="20.100000000000001" customHeight="1">
      <c r="A108" s="19">
        <v>4</v>
      </c>
      <c r="B108" s="133" t="s">
        <v>194</v>
      </c>
      <c r="C108" s="19" t="s">
        <v>193</v>
      </c>
      <c r="D108" s="27" t="s">
        <v>57</v>
      </c>
      <c r="E108" s="181">
        <v>416483.19415499998</v>
      </c>
      <c r="F108" s="184">
        <f t="shared" si="7"/>
        <v>208241.59707749999</v>
      </c>
      <c r="G108" s="157"/>
    </row>
    <row r="109" spans="1:7" ht="20.100000000000001" customHeight="1">
      <c r="A109" s="19">
        <v>5</v>
      </c>
      <c r="B109" s="133" t="s">
        <v>195</v>
      </c>
      <c r="C109" s="19" t="s">
        <v>196</v>
      </c>
      <c r="D109" s="158" t="s">
        <v>197</v>
      </c>
      <c r="E109" s="181">
        <v>262612.71747999999</v>
      </c>
      <c r="F109" s="184">
        <f t="shared" si="7"/>
        <v>131306.35874</v>
      </c>
      <c r="G109" s="157"/>
    </row>
    <row r="110" spans="1:7" ht="20.100000000000001" customHeight="1">
      <c r="A110" s="19">
        <v>6</v>
      </c>
      <c r="B110" s="134" t="s">
        <v>198</v>
      </c>
      <c r="C110" s="19" t="s">
        <v>196</v>
      </c>
      <c r="D110" s="27" t="s">
        <v>199</v>
      </c>
      <c r="E110" s="181">
        <v>258740.79775</v>
      </c>
      <c r="F110" s="184">
        <f t="shared" si="7"/>
        <v>129370.398875</v>
      </c>
      <c r="G110" s="157"/>
    </row>
    <row r="111" spans="1:7" ht="20.100000000000001" customHeight="1">
      <c r="A111" s="19">
        <v>7</v>
      </c>
      <c r="B111" s="134" t="s">
        <v>200</v>
      </c>
      <c r="C111" s="19" t="s">
        <v>196</v>
      </c>
      <c r="D111" s="158" t="s">
        <v>86</v>
      </c>
      <c r="E111" s="181">
        <v>251382.295445</v>
      </c>
      <c r="F111" s="184">
        <f t="shared" si="7"/>
        <v>125691.1477225</v>
      </c>
      <c r="G111" s="157"/>
    </row>
    <row r="112" spans="1:7" ht="25.5" customHeight="1">
      <c r="A112" s="19"/>
      <c r="B112" s="136" t="s">
        <v>91</v>
      </c>
      <c r="C112" s="28">
        <v>7</v>
      </c>
      <c r="D112" s="19"/>
      <c r="E112" s="192">
        <v>3275268.0801050002</v>
      </c>
      <c r="F112" s="336">
        <f>SUM(F105:F111)</f>
        <v>1637634.0400525001</v>
      </c>
      <c r="G112" s="157"/>
    </row>
    <row r="113" spans="1:7" ht="20.100000000000001" customHeight="1">
      <c r="A113" s="19"/>
      <c r="B113" s="136"/>
      <c r="C113" s="28"/>
      <c r="D113" s="19"/>
      <c r="E113" s="192"/>
      <c r="F113" s="336"/>
      <c r="G113" s="157"/>
    </row>
    <row r="114" spans="1:7" ht="20.100000000000001" customHeight="1">
      <c r="A114" s="27"/>
      <c r="B114" s="136" t="s">
        <v>201</v>
      </c>
      <c r="C114" s="28"/>
      <c r="D114" s="28"/>
      <c r="E114" s="189"/>
      <c r="F114" s="195"/>
      <c r="G114" s="157"/>
    </row>
    <row r="115" spans="1:7" ht="18.75" customHeight="1">
      <c r="A115" s="27">
        <v>1</v>
      </c>
      <c r="B115" s="133" t="s">
        <v>204</v>
      </c>
      <c r="C115" s="19" t="s">
        <v>205</v>
      </c>
      <c r="D115" s="158" t="s">
        <v>66</v>
      </c>
      <c r="E115" s="181">
        <v>322454.07400000002</v>
      </c>
      <c r="F115" s="355">
        <f t="shared" ref="F115:F116" si="8">E115/2</f>
        <v>161227.03700000001</v>
      </c>
      <c r="G115" s="157"/>
    </row>
    <row r="116" spans="1:7" ht="20.100000000000001" customHeight="1">
      <c r="A116" s="27">
        <v>2</v>
      </c>
      <c r="B116" s="133" t="s">
        <v>206</v>
      </c>
      <c r="C116" s="138" t="s">
        <v>207</v>
      </c>
      <c r="D116" s="158" t="s">
        <v>203</v>
      </c>
      <c r="E116" s="181">
        <v>284536.99849999999</v>
      </c>
      <c r="F116" s="355">
        <f t="shared" si="8"/>
        <v>142268.49924999999</v>
      </c>
      <c r="G116" s="157"/>
    </row>
    <row r="117" spans="1:7" ht="24.75" customHeight="1">
      <c r="A117" s="19"/>
      <c r="B117" s="136" t="s">
        <v>91</v>
      </c>
      <c r="C117" s="28">
        <v>2</v>
      </c>
      <c r="D117" s="164"/>
      <c r="E117" s="65">
        <v>790446.84587096772</v>
      </c>
      <c r="F117" s="313">
        <f>SUM(F115:F116)</f>
        <v>303495.53625</v>
      </c>
      <c r="G117" s="157"/>
    </row>
    <row r="118" spans="1:7" ht="20.100000000000001" customHeight="1">
      <c r="A118" s="19"/>
      <c r="B118" s="103"/>
      <c r="C118" s="27"/>
      <c r="D118" s="19"/>
      <c r="E118" s="183"/>
      <c r="F118" s="186"/>
      <c r="G118" s="157"/>
    </row>
    <row r="119" spans="1:7" ht="20.100000000000001" customHeight="1">
      <c r="A119" s="19"/>
      <c r="B119" s="136" t="s">
        <v>208</v>
      </c>
      <c r="C119" s="28"/>
      <c r="D119" s="28"/>
      <c r="E119" s="190"/>
      <c r="F119" s="184"/>
      <c r="G119" s="157"/>
    </row>
    <row r="120" spans="1:7" ht="20.100000000000001" customHeight="1">
      <c r="A120" s="19">
        <v>1</v>
      </c>
      <c r="B120" s="133" t="s">
        <v>209</v>
      </c>
      <c r="C120" s="138" t="s">
        <v>210</v>
      </c>
      <c r="D120" s="158" t="s">
        <v>95</v>
      </c>
      <c r="E120" s="181">
        <v>1050209.0635000002</v>
      </c>
      <c r="F120" s="184">
        <f>E120/2</f>
        <v>525104.53175000008</v>
      </c>
      <c r="G120" s="157"/>
    </row>
    <row r="121" spans="1:7" ht="20.100000000000001" customHeight="1">
      <c r="A121" s="19">
        <v>2</v>
      </c>
      <c r="B121" s="133" t="s">
        <v>211</v>
      </c>
      <c r="C121" s="138" t="s">
        <v>212</v>
      </c>
      <c r="D121" s="158" t="s">
        <v>107</v>
      </c>
      <c r="E121" s="181">
        <v>614023.32999999996</v>
      </c>
      <c r="F121" s="184">
        <f t="shared" ref="F121:F129" si="9">E121/2</f>
        <v>307011.66499999998</v>
      </c>
      <c r="G121" s="157"/>
    </row>
    <row r="122" spans="1:7" ht="20.100000000000001" customHeight="1">
      <c r="A122" s="19">
        <v>3</v>
      </c>
      <c r="B122" s="135" t="s">
        <v>213</v>
      </c>
      <c r="C122" s="138" t="s">
        <v>214</v>
      </c>
      <c r="D122" s="158" t="s">
        <v>45</v>
      </c>
      <c r="E122" s="181">
        <v>577553.50249999994</v>
      </c>
      <c r="F122" s="184">
        <f t="shared" si="9"/>
        <v>288776.75124999997</v>
      </c>
      <c r="G122" s="157"/>
    </row>
    <row r="123" spans="1:7" ht="20.100000000000001" customHeight="1">
      <c r="A123" s="19">
        <v>4</v>
      </c>
      <c r="B123" s="135" t="s">
        <v>215</v>
      </c>
      <c r="C123" s="138" t="s">
        <v>214</v>
      </c>
      <c r="D123" s="158" t="s">
        <v>48</v>
      </c>
      <c r="E123" s="181">
        <v>424720.04700000002</v>
      </c>
      <c r="F123" s="184">
        <f t="shared" si="9"/>
        <v>212360.02350000001</v>
      </c>
      <c r="G123" s="157"/>
    </row>
    <row r="124" spans="1:7" ht="20.100000000000001" customHeight="1">
      <c r="A124" s="19">
        <v>5</v>
      </c>
      <c r="B124" s="133" t="s">
        <v>216</v>
      </c>
      <c r="C124" s="138" t="s">
        <v>217</v>
      </c>
      <c r="D124" s="158" t="s">
        <v>54</v>
      </c>
      <c r="E124" s="181">
        <v>335272.06374999997</v>
      </c>
      <c r="F124" s="184">
        <f t="shared" si="9"/>
        <v>167636.03187499999</v>
      </c>
      <c r="G124" s="157"/>
    </row>
    <row r="125" spans="1:7" ht="20.100000000000001" customHeight="1">
      <c r="A125" s="19">
        <v>6</v>
      </c>
      <c r="B125" s="133" t="s">
        <v>218</v>
      </c>
      <c r="C125" s="138" t="s">
        <v>219</v>
      </c>
      <c r="D125" s="158" t="s">
        <v>116</v>
      </c>
      <c r="E125" s="181">
        <v>327211.36749999999</v>
      </c>
      <c r="F125" s="184">
        <f t="shared" si="9"/>
        <v>163605.68375</v>
      </c>
      <c r="G125" s="157"/>
    </row>
    <row r="126" spans="1:7" ht="20.100000000000001" customHeight="1">
      <c r="A126" s="19">
        <v>7</v>
      </c>
      <c r="B126" s="133" t="s">
        <v>220</v>
      </c>
      <c r="C126" s="138" t="s">
        <v>217</v>
      </c>
      <c r="D126" s="158" t="s">
        <v>116</v>
      </c>
      <c r="E126" s="22">
        <v>327211.36749999999</v>
      </c>
      <c r="F126" s="184">
        <f t="shared" si="9"/>
        <v>163605.68375</v>
      </c>
      <c r="G126" s="157"/>
    </row>
    <row r="127" spans="1:7" ht="20.100000000000001" customHeight="1">
      <c r="A127" s="19">
        <v>8</v>
      </c>
      <c r="B127" s="133" t="s">
        <v>221</v>
      </c>
      <c r="C127" s="138" t="s">
        <v>222</v>
      </c>
      <c r="D127" s="27" t="s">
        <v>75</v>
      </c>
      <c r="E127" s="181">
        <v>209356.04725</v>
      </c>
      <c r="F127" s="184">
        <f t="shared" si="9"/>
        <v>104678.023625</v>
      </c>
      <c r="G127" s="157"/>
    </row>
    <row r="128" spans="1:7" ht="20.100000000000001" customHeight="1">
      <c r="A128" s="19">
        <v>9</v>
      </c>
      <c r="B128" s="134" t="s">
        <v>223</v>
      </c>
      <c r="C128" s="138" t="s">
        <v>224</v>
      </c>
      <c r="D128" s="158" t="s">
        <v>90</v>
      </c>
      <c r="E128" s="181">
        <v>173338.22450000001</v>
      </c>
      <c r="F128" s="184">
        <f t="shared" si="9"/>
        <v>86669.112250000006</v>
      </c>
      <c r="G128" s="157"/>
    </row>
    <row r="129" spans="1:7" ht="20.100000000000001" customHeight="1">
      <c r="A129" s="19">
        <v>10</v>
      </c>
      <c r="B129" s="134" t="s">
        <v>225</v>
      </c>
      <c r="C129" s="138" t="s">
        <v>226</v>
      </c>
      <c r="D129" s="158" t="s">
        <v>90</v>
      </c>
      <c r="E129" s="181">
        <v>173329.04949999999</v>
      </c>
      <c r="F129" s="184">
        <f t="shared" si="9"/>
        <v>86664.524749999997</v>
      </c>
      <c r="G129" s="157"/>
    </row>
    <row r="130" spans="1:7" ht="28.5" customHeight="1">
      <c r="A130" s="19"/>
      <c r="B130" s="136" t="s">
        <v>91</v>
      </c>
      <c r="C130" s="164" t="s">
        <v>227</v>
      </c>
      <c r="D130" s="158"/>
      <c r="E130" s="29">
        <v>4802897.8959166668</v>
      </c>
      <c r="F130" s="195">
        <f>SUM(F120:F129)</f>
        <v>2106112.0315</v>
      </c>
      <c r="G130" s="157"/>
    </row>
    <row r="131" spans="1:7" ht="20.100000000000001" customHeight="1">
      <c r="A131" s="19"/>
      <c r="B131" s="103"/>
      <c r="C131" s="164"/>
      <c r="D131" s="158"/>
      <c r="E131" s="190"/>
      <c r="F131" s="197"/>
      <c r="G131" s="157"/>
    </row>
    <row r="132" spans="1:7" ht="20.100000000000001" customHeight="1">
      <c r="A132" s="19"/>
      <c r="B132" s="136" t="s">
        <v>228</v>
      </c>
      <c r="C132" s="138"/>
      <c r="D132" s="158"/>
      <c r="E132" s="181"/>
      <c r="F132" s="184"/>
      <c r="G132" s="157"/>
    </row>
    <row r="133" spans="1:7" ht="20.100000000000001" customHeight="1">
      <c r="A133" s="168">
        <v>1</v>
      </c>
      <c r="B133" s="133" t="s">
        <v>229</v>
      </c>
      <c r="C133" s="138" t="s">
        <v>230</v>
      </c>
      <c r="D133" s="158" t="s">
        <v>95</v>
      </c>
      <c r="E133" s="181">
        <v>950209.06350000005</v>
      </c>
      <c r="F133" s="184">
        <f>E133/2</f>
        <v>475104.53175000002</v>
      </c>
      <c r="G133" s="157"/>
    </row>
    <row r="134" spans="1:7" ht="20.100000000000001" customHeight="1">
      <c r="A134" s="168">
        <v>2</v>
      </c>
      <c r="B134" s="133" t="s">
        <v>231</v>
      </c>
      <c r="C134" s="138" t="s">
        <v>232</v>
      </c>
      <c r="D134" s="158" t="s">
        <v>233</v>
      </c>
      <c r="E134" s="181">
        <v>541465.02474999998</v>
      </c>
      <c r="F134" s="184">
        <f t="shared" ref="F134:F191" si="10">E134/2</f>
        <v>270732.51237499999</v>
      </c>
      <c r="G134" s="157"/>
    </row>
    <row r="135" spans="1:7" ht="20.100000000000001" customHeight="1">
      <c r="A135" s="168">
        <v>3</v>
      </c>
      <c r="B135" s="135" t="s">
        <v>234</v>
      </c>
      <c r="C135" s="19" t="s">
        <v>235</v>
      </c>
      <c r="D135" s="23" t="s">
        <v>36</v>
      </c>
      <c r="E135" s="181">
        <v>577743.99575</v>
      </c>
      <c r="F135" s="184">
        <f t="shared" si="10"/>
        <v>288871.997875</v>
      </c>
      <c r="G135" s="157"/>
    </row>
    <row r="136" spans="1:7" ht="20.100000000000001" customHeight="1">
      <c r="A136" s="168">
        <v>4</v>
      </c>
      <c r="B136" s="133" t="s">
        <v>236</v>
      </c>
      <c r="C136" s="138" t="s">
        <v>237</v>
      </c>
      <c r="D136" s="158" t="s">
        <v>51</v>
      </c>
      <c r="E136" s="181">
        <v>343333.03525000007</v>
      </c>
      <c r="F136" s="184">
        <f t="shared" si="10"/>
        <v>171666.51762500004</v>
      </c>
      <c r="G136" s="157"/>
    </row>
    <row r="137" spans="1:7" ht="20.100000000000001" customHeight="1">
      <c r="A137" s="168">
        <v>5</v>
      </c>
      <c r="B137" s="133" t="s">
        <v>238</v>
      </c>
      <c r="C137" s="19" t="s">
        <v>239</v>
      </c>
      <c r="D137" s="158" t="s">
        <v>51</v>
      </c>
      <c r="E137" s="181">
        <v>343333.03525000007</v>
      </c>
      <c r="F137" s="184">
        <f t="shared" si="10"/>
        <v>171666.51762500004</v>
      </c>
      <c r="G137" s="157"/>
    </row>
    <row r="138" spans="1:7" ht="20.100000000000001" customHeight="1">
      <c r="A138" s="168">
        <v>6</v>
      </c>
      <c r="B138" s="133" t="s">
        <v>240</v>
      </c>
      <c r="C138" s="19" t="s">
        <v>239</v>
      </c>
      <c r="D138" s="158" t="s">
        <v>51</v>
      </c>
      <c r="E138" s="181">
        <v>343333.03525000007</v>
      </c>
      <c r="F138" s="184">
        <f t="shared" si="10"/>
        <v>171666.51762500004</v>
      </c>
      <c r="G138" s="157"/>
    </row>
    <row r="139" spans="1:7" ht="20.100000000000001" customHeight="1">
      <c r="A139" s="168">
        <v>7</v>
      </c>
      <c r="B139" s="133" t="s">
        <v>241</v>
      </c>
      <c r="C139" s="138" t="s">
        <v>242</v>
      </c>
      <c r="D139" s="158" t="s">
        <v>203</v>
      </c>
      <c r="E139" s="181">
        <v>284536.99849999999</v>
      </c>
      <c r="F139" s="184">
        <f t="shared" si="10"/>
        <v>142268.49924999999</v>
      </c>
      <c r="G139" s="157"/>
    </row>
    <row r="140" spans="1:7" ht="20.100000000000001" customHeight="1">
      <c r="A140" s="168">
        <v>8</v>
      </c>
      <c r="B140" s="133" t="s">
        <v>243</v>
      </c>
      <c r="C140" s="138" t="s">
        <v>242</v>
      </c>
      <c r="D140" s="158" t="s">
        <v>203</v>
      </c>
      <c r="E140" s="181">
        <v>284536.99849999999</v>
      </c>
      <c r="F140" s="184">
        <f t="shared" si="10"/>
        <v>142268.49924999999</v>
      </c>
      <c r="G140" s="157"/>
    </row>
    <row r="141" spans="1:7" ht="20.100000000000001" customHeight="1">
      <c r="A141" s="168">
        <v>9</v>
      </c>
      <c r="B141" s="133" t="s">
        <v>244</v>
      </c>
      <c r="C141" s="19" t="s">
        <v>245</v>
      </c>
      <c r="D141" s="158" t="s">
        <v>203</v>
      </c>
      <c r="E141" s="181">
        <v>284536.99849999999</v>
      </c>
      <c r="F141" s="184">
        <f t="shared" si="10"/>
        <v>142268.49924999999</v>
      </c>
      <c r="G141" s="157"/>
    </row>
    <row r="142" spans="1:7" ht="20.100000000000001" customHeight="1">
      <c r="A142" s="168">
        <v>10</v>
      </c>
      <c r="B142" s="133" t="s">
        <v>246</v>
      </c>
      <c r="C142" s="138" t="s">
        <v>247</v>
      </c>
      <c r="D142" s="158" t="s">
        <v>66</v>
      </c>
      <c r="E142" s="181">
        <v>272454.07400000002</v>
      </c>
      <c r="F142" s="184">
        <f t="shared" si="10"/>
        <v>136227.03700000001</v>
      </c>
      <c r="G142" s="157"/>
    </row>
    <row r="143" spans="1:7" ht="20.100000000000001" customHeight="1">
      <c r="A143" s="168">
        <v>11</v>
      </c>
      <c r="B143" s="133" t="s">
        <v>248</v>
      </c>
      <c r="C143" s="138" t="s">
        <v>249</v>
      </c>
      <c r="D143" s="158" t="s">
        <v>69</v>
      </c>
      <c r="E143" s="22">
        <v>265372.07499999995</v>
      </c>
      <c r="F143" s="184">
        <f t="shared" si="10"/>
        <v>132686.03749999998</v>
      </c>
      <c r="G143" s="157"/>
    </row>
    <row r="144" spans="1:7" ht="20.100000000000001" customHeight="1">
      <c r="A144" s="168">
        <v>12</v>
      </c>
      <c r="B144" s="133" t="s">
        <v>250</v>
      </c>
      <c r="C144" s="138" t="s">
        <v>251</v>
      </c>
      <c r="D144" s="158" t="s">
        <v>203</v>
      </c>
      <c r="E144" s="181">
        <v>284536.99849999999</v>
      </c>
      <c r="F144" s="184">
        <f t="shared" si="10"/>
        <v>142268.49924999999</v>
      </c>
      <c r="G144" s="157"/>
    </row>
    <row r="145" spans="1:7" ht="20.100000000000001" customHeight="1">
      <c r="A145" s="168">
        <v>13</v>
      </c>
      <c r="B145" s="134" t="s">
        <v>252</v>
      </c>
      <c r="C145" s="19" t="s">
        <v>253</v>
      </c>
      <c r="D145" s="158" t="s">
        <v>69</v>
      </c>
      <c r="E145" s="22">
        <v>265372.07499999995</v>
      </c>
      <c r="F145" s="184">
        <f t="shared" si="10"/>
        <v>132686.03749999998</v>
      </c>
      <c r="G145" s="157"/>
    </row>
    <row r="146" spans="1:7" ht="20.100000000000001" customHeight="1">
      <c r="A146" s="168">
        <v>14</v>
      </c>
      <c r="B146" s="133" t="s">
        <v>254</v>
      </c>
      <c r="C146" s="19" t="s">
        <v>255</v>
      </c>
      <c r="D146" s="158" t="s">
        <v>157</v>
      </c>
      <c r="E146" s="181">
        <v>237734.04699999996</v>
      </c>
      <c r="F146" s="184">
        <f t="shared" si="10"/>
        <v>118867.02349999998</v>
      </c>
      <c r="G146" s="157"/>
    </row>
    <row r="147" spans="1:7" ht="20.100000000000001" customHeight="1">
      <c r="A147" s="168">
        <v>15</v>
      </c>
      <c r="B147" s="133" t="s">
        <v>256</v>
      </c>
      <c r="C147" s="19" t="s">
        <v>255</v>
      </c>
      <c r="D147" s="158" t="s">
        <v>257</v>
      </c>
      <c r="E147" s="181">
        <v>237734.04699999996</v>
      </c>
      <c r="F147" s="184">
        <f t="shared" si="10"/>
        <v>118867.02349999998</v>
      </c>
      <c r="G147" s="157"/>
    </row>
    <row r="148" spans="1:7" ht="20.100000000000001" customHeight="1">
      <c r="A148" s="168">
        <v>16</v>
      </c>
      <c r="B148" s="133" t="s">
        <v>258</v>
      </c>
      <c r="C148" s="19" t="s">
        <v>255</v>
      </c>
      <c r="D148" s="158" t="s">
        <v>257</v>
      </c>
      <c r="E148" s="181">
        <v>237734.04699999996</v>
      </c>
      <c r="F148" s="184">
        <f t="shared" si="10"/>
        <v>118867.02349999998</v>
      </c>
      <c r="G148" s="157"/>
    </row>
    <row r="149" spans="1:7" ht="20.100000000000001" customHeight="1">
      <c r="A149" s="168">
        <v>17</v>
      </c>
      <c r="B149" s="133" t="s">
        <v>259</v>
      </c>
      <c r="C149" s="138" t="s">
        <v>260</v>
      </c>
      <c r="D149" s="158" t="s">
        <v>72</v>
      </c>
      <c r="E149" s="181">
        <v>228602.07775000003</v>
      </c>
      <c r="F149" s="184">
        <f t="shared" si="10"/>
        <v>114301.03887500001</v>
      </c>
      <c r="G149" s="157"/>
    </row>
    <row r="150" spans="1:7" ht="20.100000000000001" customHeight="1">
      <c r="A150" s="168">
        <v>18</v>
      </c>
      <c r="B150" s="133" t="s">
        <v>261</v>
      </c>
      <c r="C150" s="138" t="s">
        <v>262</v>
      </c>
      <c r="D150" s="27" t="s">
        <v>79</v>
      </c>
      <c r="E150" s="181">
        <v>205204.0845</v>
      </c>
      <c r="F150" s="184">
        <f t="shared" si="10"/>
        <v>102602.04225</v>
      </c>
      <c r="G150" s="157"/>
    </row>
    <row r="151" spans="1:7" ht="20.100000000000001" customHeight="1">
      <c r="A151" s="168">
        <v>19</v>
      </c>
      <c r="B151" s="133" t="s">
        <v>263</v>
      </c>
      <c r="C151" s="138" t="s">
        <v>264</v>
      </c>
      <c r="D151" s="158" t="s">
        <v>157</v>
      </c>
      <c r="E151" s="181">
        <v>237734.04699999996</v>
      </c>
      <c r="F151" s="184">
        <f t="shared" si="10"/>
        <v>118867.02349999998</v>
      </c>
      <c r="G151" s="157"/>
    </row>
    <row r="152" spans="1:7" ht="20.100000000000001" customHeight="1">
      <c r="A152" s="168">
        <v>20</v>
      </c>
      <c r="B152" s="133" t="s">
        <v>265</v>
      </c>
      <c r="C152" s="138" t="s">
        <v>266</v>
      </c>
      <c r="D152" s="158" t="s">
        <v>75</v>
      </c>
      <c r="E152" s="181">
        <v>209356.04725</v>
      </c>
      <c r="F152" s="184">
        <f t="shared" si="10"/>
        <v>104678.023625</v>
      </c>
      <c r="G152" s="157"/>
    </row>
    <row r="153" spans="1:7" ht="20.100000000000001" customHeight="1">
      <c r="A153" s="168">
        <v>21</v>
      </c>
      <c r="B153" s="133" t="s">
        <v>267</v>
      </c>
      <c r="C153" s="138" t="s">
        <v>268</v>
      </c>
      <c r="D153" s="158" t="s">
        <v>157</v>
      </c>
      <c r="E153" s="181">
        <v>237734.04699999996</v>
      </c>
      <c r="F153" s="184">
        <f t="shared" si="10"/>
        <v>118867.02349999998</v>
      </c>
      <c r="G153" s="157"/>
    </row>
    <row r="154" spans="1:7" ht="20.100000000000001" customHeight="1">
      <c r="A154" s="168">
        <v>22</v>
      </c>
      <c r="B154" s="133" t="s">
        <v>269</v>
      </c>
      <c r="C154" s="138" t="s">
        <v>270</v>
      </c>
      <c r="D154" s="158" t="s">
        <v>75</v>
      </c>
      <c r="E154" s="181">
        <v>209356.04725</v>
      </c>
      <c r="F154" s="184">
        <f t="shared" si="10"/>
        <v>104678.023625</v>
      </c>
      <c r="G154" s="157"/>
    </row>
    <row r="155" spans="1:7" ht="20.100000000000001" customHeight="1">
      <c r="A155" s="168">
        <v>23</v>
      </c>
      <c r="B155" s="134" t="s">
        <v>271</v>
      </c>
      <c r="C155" s="138" t="s">
        <v>272</v>
      </c>
      <c r="D155" s="158" t="s">
        <v>79</v>
      </c>
      <c r="E155" s="24">
        <v>205204.0845</v>
      </c>
      <c r="F155" s="184">
        <f t="shared" si="10"/>
        <v>102602.04225</v>
      </c>
      <c r="G155" s="157"/>
    </row>
    <row r="156" spans="1:7" ht="20.100000000000001" customHeight="1">
      <c r="A156" s="168">
        <v>24</v>
      </c>
      <c r="B156" s="134" t="s">
        <v>273</v>
      </c>
      <c r="C156" s="138" t="s">
        <v>274</v>
      </c>
      <c r="D156" s="158" t="s">
        <v>90</v>
      </c>
      <c r="E156" s="181">
        <v>173329.04949999999</v>
      </c>
      <c r="F156" s="184">
        <f t="shared" si="10"/>
        <v>86664.524749999997</v>
      </c>
      <c r="G156" s="157"/>
    </row>
    <row r="157" spans="1:7" ht="20.100000000000001" customHeight="1">
      <c r="A157" s="168">
        <v>25</v>
      </c>
      <c r="B157" s="134" t="s">
        <v>275</v>
      </c>
      <c r="C157" s="138" t="s">
        <v>276</v>
      </c>
      <c r="D157" s="158" t="s">
        <v>90</v>
      </c>
      <c r="E157" s="181">
        <v>173338.22450000001</v>
      </c>
      <c r="F157" s="184">
        <f t="shared" si="10"/>
        <v>86669.112250000006</v>
      </c>
      <c r="G157" s="157"/>
    </row>
    <row r="158" spans="1:7" ht="20.100000000000001" customHeight="1">
      <c r="A158" s="168">
        <v>26</v>
      </c>
      <c r="B158" s="134" t="s">
        <v>277</v>
      </c>
      <c r="C158" s="138" t="s">
        <v>278</v>
      </c>
      <c r="D158" s="158" t="s">
        <v>90</v>
      </c>
      <c r="E158" s="181">
        <v>173338.22450000001</v>
      </c>
      <c r="F158" s="184">
        <f t="shared" si="10"/>
        <v>86669.112250000006</v>
      </c>
      <c r="G158" s="157"/>
    </row>
    <row r="159" spans="1:7" ht="20.100000000000001" customHeight="1">
      <c r="A159" s="168">
        <v>27</v>
      </c>
      <c r="B159" s="134" t="s">
        <v>279</v>
      </c>
      <c r="C159" s="138" t="s">
        <v>280</v>
      </c>
      <c r="D159" s="158" t="s">
        <v>86</v>
      </c>
      <c r="E159" s="181">
        <v>176816.09999999998</v>
      </c>
      <c r="F159" s="184">
        <f t="shared" si="10"/>
        <v>88408.049999999988</v>
      </c>
      <c r="G159" s="157"/>
    </row>
    <row r="160" spans="1:7" ht="20.100000000000001" customHeight="1">
      <c r="A160" s="168">
        <v>28</v>
      </c>
      <c r="B160" s="134" t="s">
        <v>281</v>
      </c>
      <c r="C160" s="138" t="s">
        <v>276</v>
      </c>
      <c r="D160" s="158" t="s">
        <v>90</v>
      </c>
      <c r="E160" s="181">
        <v>173339.22450000001</v>
      </c>
      <c r="F160" s="184">
        <f t="shared" si="10"/>
        <v>86669.612250000006</v>
      </c>
      <c r="G160" s="157"/>
    </row>
    <row r="161" spans="1:7" ht="20.100000000000001" customHeight="1">
      <c r="A161" s="168">
        <v>29</v>
      </c>
      <c r="B161" s="133" t="s">
        <v>282</v>
      </c>
      <c r="C161" s="138" t="s">
        <v>283</v>
      </c>
      <c r="D161" s="158" t="s">
        <v>284</v>
      </c>
      <c r="E161" s="181">
        <v>135590.72999999998</v>
      </c>
      <c r="F161" s="184">
        <f t="shared" si="10"/>
        <v>67795.364999999991</v>
      </c>
      <c r="G161" s="157"/>
    </row>
    <row r="162" spans="1:7" ht="20.100000000000001" customHeight="1">
      <c r="A162" s="168">
        <v>30</v>
      </c>
      <c r="B162" s="133" t="s">
        <v>285</v>
      </c>
      <c r="C162" s="138" t="s">
        <v>283</v>
      </c>
      <c r="D162" s="158" t="s">
        <v>284</v>
      </c>
      <c r="E162" s="181">
        <v>138590.72999999998</v>
      </c>
      <c r="F162" s="184">
        <f t="shared" si="10"/>
        <v>69295.364999999991</v>
      </c>
      <c r="G162" s="157"/>
    </row>
    <row r="163" spans="1:7" ht="20.100000000000001" customHeight="1">
      <c r="A163" s="168">
        <v>31</v>
      </c>
      <c r="B163" s="133" t="s">
        <v>286</v>
      </c>
      <c r="C163" s="138" t="s">
        <v>283</v>
      </c>
      <c r="D163" s="158" t="s">
        <v>284</v>
      </c>
      <c r="E163" s="181">
        <v>135590.72999999998</v>
      </c>
      <c r="F163" s="184">
        <f t="shared" si="10"/>
        <v>67795.364999999991</v>
      </c>
      <c r="G163" s="157"/>
    </row>
    <row r="164" spans="1:7" ht="20.100000000000001" customHeight="1">
      <c r="A164" s="168">
        <v>32</v>
      </c>
      <c r="B164" s="133" t="s">
        <v>287</v>
      </c>
      <c r="C164" s="138" t="s">
        <v>283</v>
      </c>
      <c r="D164" s="158" t="s">
        <v>284</v>
      </c>
      <c r="E164" s="181">
        <v>135590.72999999998</v>
      </c>
      <c r="F164" s="184">
        <f t="shared" si="10"/>
        <v>67795.364999999991</v>
      </c>
      <c r="G164" s="157"/>
    </row>
    <row r="165" spans="1:7" ht="20.100000000000001" customHeight="1">
      <c r="A165" s="168">
        <v>33</v>
      </c>
      <c r="B165" s="133" t="s">
        <v>288</v>
      </c>
      <c r="C165" s="138" t="s">
        <v>283</v>
      </c>
      <c r="D165" s="158" t="s">
        <v>284</v>
      </c>
      <c r="E165" s="181">
        <v>135590.72999999998</v>
      </c>
      <c r="F165" s="184">
        <f t="shared" si="10"/>
        <v>67795.364999999991</v>
      </c>
      <c r="G165" s="157"/>
    </row>
    <row r="166" spans="1:7" ht="20.100000000000001" customHeight="1">
      <c r="A166" s="168">
        <v>34</v>
      </c>
      <c r="B166" s="133" t="s">
        <v>289</v>
      </c>
      <c r="C166" s="138" t="s">
        <v>283</v>
      </c>
      <c r="D166" s="158" t="s">
        <v>290</v>
      </c>
      <c r="E166" s="181">
        <v>125035.03449999999</v>
      </c>
      <c r="F166" s="184">
        <f t="shared" si="10"/>
        <v>62517.517249999997</v>
      </c>
      <c r="G166" s="157"/>
    </row>
    <row r="167" spans="1:7" ht="20.100000000000001" customHeight="1">
      <c r="A167" s="168">
        <v>35</v>
      </c>
      <c r="B167" s="133" t="s">
        <v>291</v>
      </c>
      <c r="C167" s="138" t="s">
        <v>283</v>
      </c>
      <c r="D167" s="158" t="s">
        <v>290</v>
      </c>
      <c r="E167" s="181">
        <v>122035.03449999999</v>
      </c>
      <c r="F167" s="184">
        <f t="shared" si="10"/>
        <v>61017.517249999997</v>
      </c>
      <c r="G167" s="157"/>
    </row>
    <row r="168" spans="1:7" ht="20.100000000000001" customHeight="1">
      <c r="A168" s="168">
        <v>36</v>
      </c>
      <c r="B168" s="135" t="s">
        <v>292</v>
      </c>
      <c r="C168" s="138" t="s">
        <v>283</v>
      </c>
      <c r="D168" s="158" t="s">
        <v>290</v>
      </c>
      <c r="E168" s="181">
        <v>125035.03449999999</v>
      </c>
      <c r="F168" s="184">
        <f t="shared" si="10"/>
        <v>62517.517249999997</v>
      </c>
      <c r="G168" s="157"/>
    </row>
    <row r="169" spans="1:7" ht="20.100000000000001" customHeight="1">
      <c r="A169" s="168">
        <v>37</v>
      </c>
      <c r="B169" s="133" t="s">
        <v>293</v>
      </c>
      <c r="C169" s="138" t="s">
        <v>283</v>
      </c>
      <c r="D169" s="158" t="s">
        <v>290</v>
      </c>
      <c r="E169" s="181">
        <v>122035.03449999999</v>
      </c>
      <c r="F169" s="184">
        <f t="shared" si="10"/>
        <v>61017.517249999997</v>
      </c>
      <c r="G169" s="157"/>
    </row>
    <row r="170" spans="1:7" ht="20.100000000000001" customHeight="1">
      <c r="A170" s="168">
        <v>38</v>
      </c>
      <c r="B170" s="134" t="s">
        <v>294</v>
      </c>
      <c r="C170" s="138" t="s">
        <v>283</v>
      </c>
      <c r="D170" s="158" t="s">
        <v>290</v>
      </c>
      <c r="E170" s="181">
        <v>122035.03449999999</v>
      </c>
      <c r="F170" s="184">
        <f t="shared" si="10"/>
        <v>61017.517249999997</v>
      </c>
      <c r="G170" s="157"/>
    </row>
    <row r="171" spans="1:7" ht="20.100000000000001" customHeight="1">
      <c r="A171" s="168">
        <v>39</v>
      </c>
      <c r="B171" s="134" t="s">
        <v>295</v>
      </c>
      <c r="C171" s="138" t="s">
        <v>283</v>
      </c>
      <c r="D171" s="158" t="s">
        <v>290</v>
      </c>
      <c r="E171" s="181">
        <v>125035.03449999999</v>
      </c>
      <c r="F171" s="184">
        <f t="shared" si="10"/>
        <v>62517.517249999997</v>
      </c>
      <c r="G171" s="157"/>
    </row>
    <row r="172" spans="1:7" ht="20.100000000000001" customHeight="1">
      <c r="A172" s="168">
        <v>40</v>
      </c>
      <c r="B172" s="133" t="s">
        <v>296</v>
      </c>
      <c r="C172" s="138" t="s">
        <v>297</v>
      </c>
      <c r="D172" s="158" t="s">
        <v>298</v>
      </c>
      <c r="E172" s="22">
        <v>122104.99825</v>
      </c>
      <c r="F172" s="184">
        <f t="shared" si="10"/>
        <v>61052.499125000002</v>
      </c>
      <c r="G172" s="157"/>
    </row>
    <row r="173" spans="1:7" ht="20.100000000000001" customHeight="1">
      <c r="A173" s="168">
        <v>41</v>
      </c>
      <c r="B173" s="133" t="s">
        <v>299</v>
      </c>
      <c r="C173" s="138" t="s">
        <v>297</v>
      </c>
      <c r="D173" s="158" t="s">
        <v>298</v>
      </c>
      <c r="E173" s="22">
        <v>122104.99825</v>
      </c>
      <c r="F173" s="184">
        <f t="shared" si="10"/>
        <v>61052.499125000002</v>
      </c>
      <c r="G173" s="157"/>
    </row>
    <row r="174" spans="1:7" ht="20.100000000000001" customHeight="1">
      <c r="A174" s="168">
        <v>42</v>
      </c>
      <c r="B174" s="134" t="s">
        <v>300</v>
      </c>
      <c r="C174" s="138" t="s">
        <v>297</v>
      </c>
      <c r="D174" s="158" t="s">
        <v>298</v>
      </c>
      <c r="E174" s="22">
        <v>122104.99825</v>
      </c>
      <c r="F174" s="184">
        <f t="shared" si="10"/>
        <v>61052.499125000002</v>
      </c>
      <c r="G174" s="157"/>
    </row>
    <row r="175" spans="1:7" ht="20.100000000000001" customHeight="1">
      <c r="A175" s="168">
        <v>43</v>
      </c>
      <c r="B175" s="133" t="s">
        <v>301</v>
      </c>
      <c r="C175" s="138" t="s">
        <v>302</v>
      </c>
      <c r="D175" s="158" t="s">
        <v>303</v>
      </c>
      <c r="E175" s="181">
        <v>80237.012000000002</v>
      </c>
      <c r="F175" s="184">
        <f t="shared" si="10"/>
        <v>40118.506000000001</v>
      </c>
      <c r="G175" s="157"/>
    </row>
    <row r="176" spans="1:7" ht="20.100000000000001" customHeight="1">
      <c r="A176" s="168">
        <v>44</v>
      </c>
      <c r="B176" s="133" t="s">
        <v>304</v>
      </c>
      <c r="C176" s="138" t="s">
        <v>305</v>
      </c>
      <c r="D176" s="158" t="s">
        <v>306</v>
      </c>
      <c r="E176" s="181">
        <v>78671.023000000016</v>
      </c>
      <c r="F176" s="184">
        <f t="shared" si="10"/>
        <v>39335.511500000008</v>
      </c>
      <c r="G176" s="157"/>
    </row>
    <row r="177" spans="1:7" ht="20.100000000000001" customHeight="1">
      <c r="A177" s="168">
        <v>45</v>
      </c>
      <c r="B177" s="133" t="s">
        <v>307</v>
      </c>
      <c r="C177" s="138" t="s">
        <v>305</v>
      </c>
      <c r="D177" s="158" t="s">
        <v>306</v>
      </c>
      <c r="E177" s="181">
        <v>75671.023000000016</v>
      </c>
      <c r="F177" s="184">
        <f t="shared" si="10"/>
        <v>37835.511500000008</v>
      </c>
      <c r="G177" s="157"/>
    </row>
    <row r="178" spans="1:7" ht="20.100000000000001" customHeight="1">
      <c r="A178" s="168">
        <v>46</v>
      </c>
      <c r="B178" s="133" t="s">
        <v>308</v>
      </c>
      <c r="C178" s="138" t="s">
        <v>305</v>
      </c>
      <c r="D178" s="158" t="s">
        <v>306</v>
      </c>
      <c r="E178" s="181">
        <v>78671.023000000016</v>
      </c>
      <c r="F178" s="184">
        <f t="shared" si="10"/>
        <v>39335.511500000008</v>
      </c>
      <c r="G178" s="157"/>
    </row>
    <row r="179" spans="1:7" ht="20.100000000000001" customHeight="1">
      <c r="A179" s="168">
        <v>47</v>
      </c>
      <c r="B179" s="133" t="s">
        <v>309</v>
      </c>
      <c r="C179" s="138" t="s">
        <v>305</v>
      </c>
      <c r="D179" s="158" t="s">
        <v>306</v>
      </c>
      <c r="E179" s="181">
        <v>75671.023000000016</v>
      </c>
      <c r="F179" s="184">
        <f t="shared" si="10"/>
        <v>37835.511500000008</v>
      </c>
      <c r="G179" s="157"/>
    </row>
    <row r="180" spans="1:7" ht="20.100000000000001" customHeight="1">
      <c r="A180" s="168">
        <v>48</v>
      </c>
      <c r="B180" s="133" t="s">
        <v>310</v>
      </c>
      <c r="C180" s="138" t="s">
        <v>305</v>
      </c>
      <c r="D180" s="158" t="s">
        <v>306</v>
      </c>
      <c r="E180" s="181">
        <v>78671.023000000016</v>
      </c>
      <c r="F180" s="184">
        <f t="shared" si="10"/>
        <v>39335.511500000008</v>
      </c>
      <c r="G180" s="157"/>
    </row>
    <row r="181" spans="1:7" ht="20.100000000000001" customHeight="1">
      <c r="A181" s="168">
        <v>49</v>
      </c>
      <c r="B181" s="134" t="s">
        <v>311</v>
      </c>
      <c r="C181" s="138" t="s">
        <v>305</v>
      </c>
      <c r="D181" s="158" t="s">
        <v>306</v>
      </c>
      <c r="E181" s="181">
        <v>75671.023000000016</v>
      </c>
      <c r="F181" s="184">
        <f t="shared" si="10"/>
        <v>37835.511500000008</v>
      </c>
      <c r="G181" s="157"/>
    </row>
    <row r="182" spans="1:7" ht="20.100000000000001" customHeight="1">
      <c r="A182" s="168">
        <v>50</v>
      </c>
      <c r="B182" s="134" t="s">
        <v>312</v>
      </c>
      <c r="C182" s="138" t="s">
        <v>305</v>
      </c>
      <c r="D182" s="158" t="s">
        <v>306</v>
      </c>
      <c r="E182" s="181">
        <v>78671.023000000016</v>
      </c>
      <c r="F182" s="184">
        <f t="shared" si="10"/>
        <v>39335.511500000008</v>
      </c>
      <c r="G182" s="157"/>
    </row>
    <row r="183" spans="1:7" ht="20.100000000000001" customHeight="1">
      <c r="A183" s="168">
        <v>51</v>
      </c>
      <c r="B183" s="133" t="s">
        <v>313</v>
      </c>
      <c r="C183" s="138" t="s">
        <v>302</v>
      </c>
      <c r="D183" s="158" t="s">
        <v>306</v>
      </c>
      <c r="E183" s="181">
        <v>78671.023000000001</v>
      </c>
      <c r="F183" s="184">
        <f t="shared" si="10"/>
        <v>39335.511500000001</v>
      </c>
      <c r="G183" s="157"/>
    </row>
    <row r="184" spans="1:7" ht="20.100000000000001" customHeight="1">
      <c r="A184" s="168">
        <v>52</v>
      </c>
      <c r="B184" s="133" t="s">
        <v>314</v>
      </c>
      <c r="C184" s="138" t="s">
        <v>302</v>
      </c>
      <c r="D184" s="158" t="s">
        <v>306</v>
      </c>
      <c r="E184" s="181">
        <v>78671.023000000016</v>
      </c>
      <c r="F184" s="184">
        <f t="shared" si="10"/>
        <v>39335.511500000008</v>
      </c>
      <c r="G184" s="157"/>
    </row>
    <row r="185" spans="1:7" ht="20.100000000000001" customHeight="1">
      <c r="A185" s="168">
        <v>53</v>
      </c>
      <c r="B185" s="134" t="s">
        <v>315</v>
      </c>
      <c r="C185" s="138" t="s">
        <v>316</v>
      </c>
      <c r="D185" s="158" t="s">
        <v>317</v>
      </c>
      <c r="E185" s="22">
        <v>77103.749500000005</v>
      </c>
      <c r="F185" s="184">
        <f t="shared" si="10"/>
        <v>38551.874750000003</v>
      </c>
      <c r="G185" s="157"/>
    </row>
    <row r="186" spans="1:7" ht="20.100000000000001" customHeight="1">
      <c r="A186" s="168">
        <v>54</v>
      </c>
      <c r="B186" s="134" t="s">
        <v>318</v>
      </c>
      <c r="C186" s="138" t="s">
        <v>305</v>
      </c>
      <c r="D186" s="158" t="s">
        <v>319</v>
      </c>
      <c r="E186" s="181">
        <v>67328.070250000004</v>
      </c>
      <c r="F186" s="184">
        <f t="shared" si="10"/>
        <v>33664.035125000002</v>
      </c>
      <c r="G186" s="157"/>
    </row>
    <row r="187" spans="1:7" ht="20.100000000000001" customHeight="1">
      <c r="A187" s="168">
        <v>55</v>
      </c>
      <c r="B187" s="134" t="s">
        <v>320</v>
      </c>
      <c r="C187" s="138" t="s">
        <v>321</v>
      </c>
      <c r="D187" s="158" t="s">
        <v>322</v>
      </c>
      <c r="E187" s="266">
        <v>61631.996500000001</v>
      </c>
      <c r="F187" s="184">
        <f t="shared" si="10"/>
        <v>30815.998250000001</v>
      </c>
      <c r="G187" s="157"/>
    </row>
    <row r="188" spans="1:7" ht="20.100000000000001" customHeight="1">
      <c r="A188" s="168">
        <v>56</v>
      </c>
      <c r="B188" s="134" t="s">
        <v>323</v>
      </c>
      <c r="C188" s="138" t="s">
        <v>321</v>
      </c>
      <c r="D188" s="158" t="s">
        <v>322</v>
      </c>
      <c r="E188" s="266">
        <v>61631.996500000001</v>
      </c>
      <c r="F188" s="184">
        <f t="shared" si="10"/>
        <v>30815.998250000001</v>
      </c>
      <c r="G188" s="157"/>
    </row>
    <row r="189" spans="1:7" ht="20.100000000000001" customHeight="1">
      <c r="A189" s="168">
        <v>57</v>
      </c>
      <c r="B189" s="134" t="s">
        <v>324</v>
      </c>
      <c r="C189" s="138" t="s">
        <v>321</v>
      </c>
      <c r="D189" s="158" t="s">
        <v>322</v>
      </c>
      <c r="E189" s="266">
        <v>61631.996500000001</v>
      </c>
      <c r="F189" s="184">
        <f t="shared" si="10"/>
        <v>30815.998250000001</v>
      </c>
      <c r="G189" s="157"/>
    </row>
    <row r="190" spans="1:7" ht="20.100000000000001" customHeight="1">
      <c r="A190" s="168">
        <v>58</v>
      </c>
      <c r="B190" s="134" t="s">
        <v>325</v>
      </c>
      <c r="C190" s="138" t="s">
        <v>326</v>
      </c>
      <c r="D190" s="158" t="s">
        <v>327</v>
      </c>
      <c r="E190" s="181">
        <v>70538.03575000001</v>
      </c>
      <c r="F190" s="184">
        <f t="shared" si="10"/>
        <v>35269.017875000005</v>
      </c>
      <c r="G190" s="157"/>
    </row>
    <row r="191" spans="1:7" ht="20.100000000000001" customHeight="1">
      <c r="A191" s="168">
        <v>59</v>
      </c>
      <c r="B191" s="134" t="s">
        <v>328</v>
      </c>
      <c r="C191" s="138" t="s">
        <v>326</v>
      </c>
      <c r="D191" s="158" t="s">
        <v>327</v>
      </c>
      <c r="E191" s="181">
        <v>70538.03575000001</v>
      </c>
      <c r="F191" s="184">
        <f t="shared" si="10"/>
        <v>35269.017875000005</v>
      </c>
      <c r="G191" s="157"/>
    </row>
    <row r="192" spans="1:7" ht="20.100000000000001" customHeight="1">
      <c r="A192" s="168"/>
      <c r="B192" s="154" t="s">
        <v>91</v>
      </c>
      <c r="C192" s="170" t="s">
        <v>329</v>
      </c>
      <c r="D192" s="21"/>
      <c r="E192" s="65">
        <v>11195475.758500002</v>
      </c>
      <c r="F192" s="313">
        <f>SUM(F133:F191)</f>
        <v>5597737.8792500012</v>
      </c>
      <c r="G192" s="157"/>
    </row>
    <row r="193" spans="1:7" ht="19.5" customHeight="1">
      <c r="A193" s="19"/>
      <c r="B193" s="171" t="s">
        <v>330</v>
      </c>
      <c r="C193" s="172">
        <f>C31+C37+C52+C57+C71+C81+C95+C102+C112+C130+C192</f>
        <v>151</v>
      </c>
      <c r="D193" s="173"/>
      <c r="E193" s="174">
        <v>52931904.066892639</v>
      </c>
      <c r="F193" s="174">
        <f>F192+F130+F117+F112+F102+F95+F81+F71+F57+F52+F37+F31</f>
        <v>25569552.508302502</v>
      </c>
      <c r="G193" s="157"/>
    </row>
    <row r="194" spans="1:7" ht="20.100000000000001" customHeight="1">
      <c r="B194" s="175"/>
      <c r="D194" s="176"/>
      <c r="E194" s="177"/>
      <c r="F194" s="178"/>
      <c r="G194" s="179"/>
    </row>
    <row r="195" spans="1:7" ht="36.75" customHeight="1">
      <c r="B195" s="175"/>
      <c r="C195" s="176"/>
      <c r="D195" s="176"/>
      <c r="E195" s="177"/>
      <c r="F195" s="179"/>
    </row>
    <row r="198" spans="1:7" ht="20.100000000000001" customHeight="1">
      <c r="E198" s="179"/>
    </row>
  </sheetData>
  <mergeCells count="1">
    <mergeCell ref="A2:F2"/>
  </mergeCells>
  <pageMargins left="0.23622047244094491" right="0.23622047244094491" top="0.98425196850393704" bottom="0.98425196850393704" header="0.51181102362204722" footer="0.51181102362204722"/>
  <pageSetup paperSize="9" scale="71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G25" sqref="G25"/>
    </sheetView>
  </sheetViews>
  <sheetFormatPr defaultRowHeight="12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9"/>
  <sheetViews>
    <sheetView zoomScaleNormal="100" zoomScaleSheetLayoutView="50" workbookViewId="0">
      <pane xSplit="3" ySplit="6" topLeftCell="T7" activePane="bottomRight" state="frozen"/>
      <selection pane="bottomRight" activeCell="B16" sqref="B16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41" customWidth="1"/>
    <col min="2" max="2" width="39.42578125" style="141" customWidth="1"/>
    <col min="3" max="3" width="26.5703125" style="141" customWidth="1"/>
    <col min="4" max="4" width="14.85546875" style="141" customWidth="1"/>
    <col min="5" max="5" width="17.85546875" style="141" customWidth="1"/>
    <col min="6" max="6" width="19.42578125" style="141" customWidth="1"/>
    <col min="7" max="7" width="16" style="141" customWidth="1"/>
    <col min="8" max="8" width="18.140625" style="141" customWidth="1"/>
    <col min="9" max="9" width="18" style="141" customWidth="1"/>
    <col min="10" max="10" width="20" style="141" customWidth="1"/>
    <col min="11" max="11" width="18.140625" style="141" customWidth="1"/>
    <col min="12" max="12" width="18.28515625" style="141" customWidth="1"/>
    <col min="13" max="13" width="18.140625" style="141" customWidth="1"/>
    <col min="14" max="14" width="15.7109375" style="141" customWidth="1"/>
    <col min="15" max="15" width="18.28515625" style="141" customWidth="1"/>
    <col min="16" max="16" width="17.85546875" style="141" customWidth="1"/>
    <col min="17" max="18" width="19.28515625" style="141" customWidth="1"/>
    <col min="19" max="19" width="20.42578125" style="291" customWidth="1"/>
    <col min="20" max="20" width="16.42578125" style="141" customWidth="1"/>
    <col min="21" max="22" width="17.7109375" style="141" customWidth="1"/>
    <col min="23" max="23" width="14.5703125" style="141" customWidth="1"/>
    <col min="24" max="24" width="17.85546875" style="141" customWidth="1"/>
    <col min="25" max="25" width="21.7109375" style="141" customWidth="1"/>
    <col min="26" max="16384" width="9.140625" style="141"/>
  </cols>
  <sheetData>
    <row r="1" spans="1:25" ht="27" customHeight="1">
      <c r="A1" s="393" t="s">
        <v>0</v>
      </c>
      <c r="B1" s="393"/>
      <c r="C1" s="393"/>
      <c r="D1" s="393"/>
      <c r="E1" s="393"/>
      <c r="F1" s="393"/>
      <c r="G1" s="140">
        <f>'[1]FEB 08'!F8/'[1]FEB 08'!Q8</f>
        <v>0.3</v>
      </c>
      <c r="H1" s="140"/>
      <c r="I1" s="140"/>
      <c r="J1" s="140"/>
      <c r="K1" s="140"/>
      <c r="L1" s="140"/>
      <c r="M1" s="140"/>
      <c r="N1" s="140"/>
      <c r="O1" s="140"/>
      <c r="P1" s="140"/>
    </row>
    <row r="2" spans="1:25" ht="33.75" customHeight="1">
      <c r="A2" s="142" t="s">
        <v>383</v>
      </c>
      <c r="B2" s="143"/>
      <c r="C2" s="142"/>
      <c r="D2" s="142"/>
      <c r="E2" s="144"/>
      <c r="F2" s="144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6"/>
      <c r="R2" s="146"/>
      <c r="S2" s="292"/>
      <c r="T2" s="146"/>
      <c r="U2" s="146"/>
      <c r="V2" s="146"/>
      <c r="W2" s="146"/>
      <c r="X2" s="146"/>
    </row>
    <row r="3" spans="1:25" ht="9.75" customHeight="1">
      <c r="E3" s="140" t="e">
        <f>'[1]FEB 08'!E11/'[1]FEB 08'!M11</f>
        <v>#REF!</v>
      </c>
      <c r="F3" s="140"/>
      <c r="G3" s="140" t="e">
        <f>'[1]FEB 08'!F11/'[1]FEB 08'!Q11</f>
        <v>#REF!</v>
      </c>
      <c r="H3" s="140"/>
      <c r="I3" s="140"/>
      <c r="J3" s="140"/>
      <c r="K3" s="140"/>
      <c r="L3" s="140"/>
      <c r="M3" s="140"/>
      <c r="N3" s="140"/>
      <c r="O3" s="140"/>
      <c r="P3" s="140"/>
    </row>
    <row r="4" spans="1:25" ht="60" customHeight="1">
      <c r="A4" s="19"/>
      <c r="B4" s="148" t="s">
        <v>2</v>
      </c>
      <c r="C4" s="148" t="s">
        <v>3</v>
      </c>
      <c r="D4" s="149" t="s">
        <v>4</v>
      </c>
      <c r="E4" s="150" t="s">
        <v>5</v>
      </c>
      <c r="F4" s="150" t="s">
        <v>6</v>
      </c>
      <c r="G4" s="151" t="s">
        <v>7</v>
      </c>
      <c r="H4" s="151" t="s">
        <v>8</v>
      </c>
      <c r="I4" s="150" t="s">
        <v>9</v>
      </c>
      <c r="J4" s="151" t="s">
        <v>10</v>
      </c>
      <c r="K4" s="151" t="s">
        <v>11</v>
      </c>
      <c r="L4" s="151" t="s">
        <v>12</v>
      </c>
      <c r="M4" s="150" t="s">
        <v>13</v>
      </c>
      <c r="N4" s="150" t="s">
        <v>13</v>
      </c>
      <c r="O4" s="151" t="s">
        <v>14</v>
      </c>
      <c r="P4" s="151" t="s">
        <v>14</v>
      </c>
      <c r="Q4" s="150" t="s">
        <v>15</v>
      </c>
      <c r="R4" s="180" t="s">
        <v>16</v>
      </c>
      <c r="S4" s="151" t="s">
        <v>21</v>
      </c>
      <c r="T4" s="232" t="s">
        <v>22</v>
      </c>
      <c r="U4" s="152" t="s">
        <v>406</v>
      </c>
      <c r="V4" s="198" t="s">
        <v>23</v>
      </c>
      <c r="W4" s="152" t="s">
        <v>395</v>
      </c>
      <c r="X4" s="198" t="s">
        <v>396</v>
      </c>
    </row>
    <row r="5" spans="1:25" ht="17.25" customHeight="1">
      <c r="C5" s="154"/>
      <c r="D5" s="154"/>
      <c r="E5" s="155" t="s">
        <v>25</v>
      </c>
      <c r="F5" s="155" t="s">
        <v>25</v>
      </c>
      <c r="G5" s="155" t="s">
        <v>25</v>
      </c>
      <c r="H5" s="155" t="s">
        <v>25</v>
      </c>
      <c r="I5" s="155" t="s">
        <v>25</v>
      </c>
      <c r="J5" s="155" t="s">
        <v>25</v>
      </c>
      <c r="K5" s="155" t="s">
        <v>25</v>
      </c>
      <c r="L5" s="155" t="s">
        <v>25</v>
      </c>
      <c r="M5" s="155" t="s">
        <v>25</v>
      </c>
      <c r="N5" s="155" t="s">
        <v>25</v>
      </c>
      <c r="O5" s="155" t="s">
        <v>25</v>
      </c>
      <c r="P5" s="155" t="s">
        <v>25</v>
      </c>
      <c r="Q5" s="187" t="s">
        <v>25</v>
      </c>
      <c r="R5" s="154"/>
      <c r="S5" s="293" t="s">
        <v>25</v>
      </c>
      <c r="T5" s="155"/>
      <c r="U5" s="155"/>
      <c r="V5" s="193"/>
      <c r="W5" s="155"/>
      <c r="X5" s="193"/>
    </row>
    <row r="6" spans="1:25" ht="20.100000000000001" customHeight="1">
      <c r="A6" s="153" t="s">
        <v>26</v>
      </c>
      <c r="B6" s="154" t="s">
        <v>27</v>
      </c>
      <c r="C6" s="154"/>
      <c r="D6" s="154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87"/>
      <c r="R6" s="154"/>
      <c r="S6" s="293"/>
      <c r="T6" s="155"/>
      <c r="U6" s="155"/>
      <c r="V6" s="193"/>
      <c r="W6" s="155"/>
      <c r="X6" s="193"/>
    </row>
    <row r="7" spans="1:25" ht="20.100000000000001" customHeight="1">
      <c r="A7" s="19">
        <v>3</v>
      </c>
      <c r="B7" s="133" t="s">
        <v>55</v>
      </c>
      <c r="C7" s="19" t="s">
        <v>56</v>
      </c>
      <c r="D7" s="27" t="s">
        <v>57</v>
      </c>
      <c r="E7" s="24">
        <v>26339.3</v>
      </c>
      <c r="F7" s="24"/>
      <c r="G7" s="24">
        <f>E7*300%</f>
        <v>79017.899999999994</v>
      </c>
      <c r="H7" s="24">
        <f>E7*7.5%</f>
        <v>1975.4474999999998</v>
      </c>
      <c r="I7" s="24">
        <v>0</v>
      </c>
      <c r="J7" s="24">
        <f>E7*50%</f>
        <v>13169.65</v>
      </c>
      <c r="K7" s="24">
        <f>E7*350%</f>
        <v>92187.55</v>
      </c>
      <c r="L7" s="24">
        <f>E7*100%</f>
        <v>26339.3</v>
      </c>
      <c r="M7" s="156">
        <v>70000</v>
      </c>
      <c r="N7" s="156"/>
      <c r="O7" s="24">
        <f>E7*10%</f>
        <v>2633.9300000000003</v>
      </c>
      <c r="P7" s="24">
        <v>15000</v>
      </c>
      <c r="Q7" s="24"/>
      <c r="R7" s="181">
        <f>SUM(E7:Q7)</f>
        <v>326663.07749999996</v>
      </c>
      <c r="S7" s="22">
        <f>42046.06</f>
        <v>42046.06</v>
      </c>
      <c r="T7" s="22">
        <f>42046.06</f>
        <v>42046.06</v>
      </c>
      <c r="U7" s="22"/>
      <c r="V7" s="184">
        <f>R7-T7</f>
        <v>284617.01749999996</v>
      </c>
      <c r="W7" s="157">
        <v>1</v>
      </c>
      <c r="X7" s="339">
        <f>V7*W7</f>
        <v>284617.01749999996</v>
      </c>
    </row>
    <row r="8" spans="1:25" ht="26.25" customHeight="1">
      <c r="A8" s="27"/>
      <c r="B8" s="136" t="s">
        <v>91</v>
      </c>
      <c r="C8" s="28"/>
      <c r="D8" s="158"/>
      <c r="E8" s="160">
        <f t="shared" ref="E8:P8" si="0">SUM(E7:E7)</f>
        <v>26339.3</v>
      </c>
      <c r="F8" s="160">
        <f t="shared" si="0"/>
        <v>0</v>
      </c>
      <c r="G8" s="160">
        <f t="shared" si="0"/>
        <v>79017.899999999994</v>
      </c>
      <c r="H8" s="160">
        <f t="shared" si="0"/>
        <v>1975.4474999999998</v>
      </c>
      <c r="I8" s="160">
        <f t="shared" si="0"/>
        <v>0</v>
      </c>
      <c r="J8" s="160">
        <f t="shared" si="0"/>
        <v>13169.65</v>
      </c>
      <c r="K8" s="160">
        <f t="shared" si="0"/>
        <v>92187.55</v>
      </c>
      <c r="L8" s="160">
        <f t="shared" si="0"/>
        <v>26339.3</v>
      </c>
      <c r="M8" s="160">
        <f t="shared" si="0"/>
        <v>70000</v>
      </c>
      <c r="N8" s="160">
        <f t="shared" si="0"/>
        <v>0</v>
      </c>
      <c r="O8" s="160">
        <f t="shared" si="0"/>
        <v>2633.9300000000003</v>
      </c>
      <c r="P8" s="160">
        <f t="shared" si="0"/>
        <v>15000</v>
      </c>
      <c r="R8" s="337">
        <f>SUM(R7)</f>
        <v>326663.07749999996</v>
      </c>
      <c r="S8" s="160">
        <f>SUM(S7:S7)</f>
        <v>42046.06</v>
      </c>
      <c r="T8" s="160">
        <f>SUM(T7:T7)</f>
        <v>42046.06</v>
      </c>
      <c r="U8" s="160">
        <f>SUM(U7:U7)</f>
        <v>0</v>
      </c>
      <c r="V8" s="194">
        <f>SUM(V7:V7)</f>
        <v>284617.01749999996</v>
      </c>
      <c r="W8" s="160"/>
      <c r="X8" s="194">
        <f>SUM(X7:X7)</f>
        <v>284617.01749999996</v>
      </c>
      <c r="Y8" s="157"/>
    </row>
    <row r="9" spans="1:25" ht="20.100000000000001" customHeight="1">
      <c r="A9" s="27"/>
      <c r="B9" s="135"/>
      <c r="C9" s="19"/>
      <c r="D9" s="27"/>
      <c r="E9" s="160"/>
      <c r="F9" s="160"/>
      <c r="G9" s="160"/>
      <c r="H9" s="160"/>
      <c r="I9" s="160"/>
      <c r="J9" s="160"/>
      <c r="K9" s="160"/>
      <c r="L9" s="156"/>
      <c r="M9" s="156"/>
      <c r="N9" s="160"/>
      <c r="O9" s="160"/>
      <c r="P9" s="160"/>
      <c r="Q9" s="188"/>
      <c r="R9" s="340"/>
      <c r="S9" s="295"/>
      <c r="T9" s="160"/>
      <c r="U9" s="24"/>
      <c r="V9" s="185"/>
      <c r="W9" s="160"/>
      <c r="X9" s="185"/>
      <c r="Y9" s="157"/>
    </row>
    <row r="10" spans="1:25" ht="20.100000000000001" customHeight="1">
      <c r="A10" s="27"/>
      <c r="B10" s="162" t="s">
        <v>407</v>
      </c>
      <c r="C10" s="147"/>
      <c r="D10" s="151"/>
      <c r="E10" s="160"/>
      <c r="F10" s="160"/>
      <c r="G10" s="22"/>
      <c r="H10" s="22"/>
      <c r="I10" s="22"/>
      <c r="J10" s="22"/>
      <c r="K10" s="22"/>
      <c r="L10" s="156"/>
      <c r="M10" s="156"/>
      <c r="N10" s="22"/>
      <c r="O10" s="22"/>
      <c r="P10" s="22"/>
      <c r="Q10" s="181"/>
      <c r="R10" s="151"/>
      <c r="S10" s="296"/>
      <c r="T10" s="22"/>
      <c r="U10" s="24"/>
      <c r="V10" s="185"/>
      <c r="W10" s="22"/>
      <c r="X10" s="185"/>
      <c r="Y10" s="157"/>
    </row>
    <row r="11" spans="1:25" ht="21.6" customHeight="1">
      <c r="A11" s="27">
        <v>10</v>
      </c>
      <c r="B11" s="133" t="s">
        <v>144</v>
      </c>
      <c r="C11" s="19" t="s">
        <v>118</v>
      </c>
      <c r="D11" s="27" t="s">
        <v>72</v>
      </c>
      <c r="E11" s="24">
        <v>17286.330000000002</v>
      </c>
      <c r="F11" s="24"/>
      <c r="G11" s="24">
        <f t="shared" ref="G11" si="1">E11*300%</f>
        <v>51858.990000000005</v>
      </c>
      <c r="H11" s="24">
        <f t="shared" ref="H11" si="2">E11*7.5%</f>
        <v>1296.4747500000001</v>
      </c>
      <c r="I11" s="24"/>
      <c r="J11" s="24">
        <f t="shared" ref="J11" si="3">E11*50%</f>
        <v>8643.1650000000009</v>
      </c>
      <c r="K11" s="24">
        <f t="shared" ref="K11" si="4">E11*350%</f>
        <v>60502.155000000006</v>
      </c>
      <c r="L11" s="24">
        <f t="shared" ref="L11" si="5">E11*100%</f>
        <v>17286.330000000002</v>
      </c>
      <c r="M11" s="156">
        <v>100000</v>
      </c>
      <c r="N11" s="156"/>
      <c r="O11" s="24">
        <f t="shared" ref="O11" si="6">E11*10%</f>
        <v>1728.6330000000003</v>
      </c>
      <c r="P11" s="24">
        <v>10000</v>
      </c>
      <c r="Q11" s="24"/>
      <c r="R11" s="181">
        <f t="shared" ref="R11" si="7">SUM(E11:Q11)</f>
        <v>268602.07775000005</v>
      </c>
      <c r="S11" s="24">
        <f>32291.82</f>
        <v>32291.82</v>
      </c>
      <c r="T11" s="24">
        <f>32291.82</f>
        <v>32291.82</v>
      </c>
      <c r="U11" s="22"/>
      <c r="V11" s="184">
        <f>R11-T11</f>
        <v>236310.25775000005</v>
      </c>
      <c r="W11" s="157">
        <f>(25/31)+2</f>
        <v>2.806451612903226</v>
      </c>
      <c r="X11" s="141">
        <f>V11*W11</f>
        <v>663193.30400806468</v>
      </c>
    </row>
    <row r="12" spans="1:25" ht="25.5" customHeight="1">
      <c r="A12" s="27"/>
      <c r="B12" s="136" t="s">
        <v>91</v>
      </c>
      <c r="C12" s="28"/>
      <c r="D12" s="28"/>
      <c r="E12" s="65">
        <f t="shared" ref="E12:X12" si="8">SUM(E11:E11)</f>
        <v>17286.330000000002</v>
      </c>
      <c r="F12" s="65">
        <f t="shared" si="8"/>
        <v>0</v>
      </c>
      <c r="G12" s="65">
        <f t="shared" si="8"/>
        <v>51858.990000000005</v>
      </c>
      <c r="H12" s="65">
        <f t="shared" si="8"/>
        <v>1296.4747500000001</v>
      </c>
      <c r="I12" s="65">
        <f t="shared" si="8"/>
        <v>0</v>
      </c>
      <c r="J12" s="65">
        <f t="shared" si="8"/>
        <v>8643.1650000000009</v>
      </c>
      <c r="K12" s="65">
        <f t="shared" si="8"/>
        <v>60502.155000000006</v>
      </c>
      <c r="L12" s="65">
        <f t="shared" si="8"/>
        <v>17286.330000000002</v>
      </c>
      <c r="M12" s="65">
        <f t="shared" si="8"/>
        <v>100000</v>
      </c>
      <c r="N12" s="65">
        <f t="shared" si="8"/>
        <v>0</v>
      </c>
      <c r="O12" s="65">
        <f t="shared" si="8"/>
        <v>1728.6330000000003</v>
      </c>
      <c r="P12" s="65">
        <f t="shared" si="8"/>
        <v>10000</v>
      </c>
      <c r="Q12" s="65">
        <f t="shared" si="8"/>
        <v>0</v>
      </c>
      <c r="R12" s="65">
        <f t="shared" si="8"/>
        <v>268602.07775000005</v>
      </c>
      <c r="S12" s="65">
        <f t="shared" si="8"/>
        <v>32291.82</v>
      </c>
      <c r="T12" s="65">
        <f t="shared" si="8"/>
        <v>32291.82</v>
      </c>
      <c r="U12" s="65">
        <f t="shared" si="8"/>
        <v>0</v>
      </c>
      <c r="V12" s="65">
        <f t="shared" si="8"/>
        <v>236310.25775000005</v>
      </c>
      <c r="W12" s="65">
        <f t="shared" si="8"/>
        <v>2.806451612903226</v>
      </c>
      <c r="X12" s="65">
        <f t="shared" si="8"/>
        <v>663193.30400806468</v>
      </c>
      <c r="Y12" s="157"/>
    </row>
    <row r="13" spans="1:25" ht="20.100000000000001" customHeight="1">
      <c r="A13" s="27"/>
      <c r="B13" s="136"/>
      <c r="C13" s="28"/>
      <c r="D13" s="28"/>
      <c r="E13" s="29"/>
      <c r="F13" s="29"/>
      <c r="G13" s="29"/>
      <c r="H13" s="29"/>
      <c r="I13" s="29"/>
      <c r="J13" s="29"/>
      <c r="K13" s="29"/>
      <c r="L13" s="156"/>
      <c r="M13" s="156"/>
      <c r="N13" s="29"/>
      <c r="O13" s="29"/>
      <c r="P13" s="29"/>
      <c r="Q13" s="189"/>
      <c r="R13" s="28"/>
      <c r="S13" s="298"/>
      <c r="T13" s="29"/>
      <c r="U13" s="24"/>
      <c r="V13" s="185"/>
      <c r="W13" s="29"/>
      <c r="X13" s="185"/>
      <c r="Y13" s="157"/>
    </row>
    <row r="14" spans="1:25" ht="19.5" customHeight="1">
      <c r="A14" s="19"/>
      <c r="B14" s="171" t="s">
        <v>330</v>
      </c>
      <c r="C14" s="172"/>
      <c r="D14" s="173"/>
      <c r="E14" s="174">
        <f>E8+E12</f>
        <v>43625.630000000005</v>
      </c>
      <c r="F14" s="174">
        <f t="shared" ref="F14:X14" si="9">F8+F12</f>
        <v>0</v>
      </c>
      <c r="G14" s="174">
        <f t="shared" si="9"/>
        <v>130876.89</v>
      </c>
      <c r="H14" s="174">
        <f t="shared" si="9"/>
        <v>3271.9222499999996</v>
      </c>
      <c r="I14" s="174">
        <f t="shared" si="9"/>
        <v>0</v>
      </c>
      <c r="J14" s="174">
        <f t="shared" si="9"/>
        <v>21812.815000000002</v>
      </c>
      <c r="K14" s="174">
        <f t="shared" si="9"/>
        <v>152689.70500000002</v>
      </c>
      <c r="L14" s="174">
        <f t="shared" si="9"/>
        <v>43625.630000000005</v>
      </c>
      <c r="M14" s="174">
        <f t="shared" si="9"/>
        <v>170000</v>
      </c>
      <c r="N14" s="174">
        <f t="shared" si="9"/>
        <v>0</v>
      </c>
      <c r="O14" s="174">
        <f t="shared" si="9"/>
        <v>4362.5630000000001</v>
      </c>
      <c r="P14" s="174">
        <f t="shared" si="9"/>
        <v>25000</v>
      </c>
      <c r="Q14" s="174">
        <f t="shared" si="9"/>
        <v>0</v>
      </c>
      <c r="R14" s="174">
        <f t="shared" si="9"/>
        <v>595265.15525000007</v>
      </c>
      <c r="S14" s="174">
        <f t="shared" si="9"/>
        <v>74337.88</v>
      </c>
      <c r="T14" s="174">
        <f t="shared" si="9"/>
        <v>74337.88</v>
      </c>
      <c r="U14" s="174">
        <f t="shared" si="9"/>
        <v>0</v>
      </c>
      <c r="V14" s="174">
        <f t="shared" si="9"/>
        <v>520927.27525000001</v>
      </c>
      <c r="W14" s="174"/>
      <c r="X14" s="174">
        <f t="shared" si="9"/>
        <v>947810.32150806463</v>
      </c>
      <c r="Y14" s="157"/>
    </row>
    <row r="15" spans="1:25" ht="20.100000000000001" customHeight="1">
      <c r="B15" s="175"/>
      <c r="D15" s="176"/>
      <c r="E15" s="176"/>
      <c r="F15" s="176"/>
      <c r="G15" s="176"/>
      <c r="H15" s="176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300"/>
      <c r="T15" s="178"/>
      <c r="U15" s="178"/>
      <c r="V15" s="178"/>
      <c r="W15" s="178"/>
      <c r="X15" s="178"/>
      <c r="Y15" s="179"/>
    </row>
    <row r="16" spans="1:25" ht="36.75" customHeight="1">
      <c r="B16" s="175"/>
      <c r="C16" s="176"/>
      <c r="D16" s="176"/>
      <c r="E16" s="176"/>
      <c r="F16" s="176"/>
      <c r="G16" s="176"/>
      <c r="H16" s="176"/>
      <c r="I16" s="177"/>
      <c r="J16" s="177"/>
      <c r="K16" s="177"/>
      <c r="L16" s="177"/>
      <c r="M16" s="177"/>
      <c r="N16" s="177"/>
      <c r="O16" s="177"/>
      <c r="Q16" s="177"/>
      <c r="R16" s="177"/>
      <c r="S16" s="300"/>
      <c r="T16" s="178"/>
      <c r="U16" s="178"/>
      <c r="V16" s="178"/>
      <c r="W16" s="178"/>
      <c r="X16" s="178"/>
    </row>
    <row r="19" spans="17:18" ht="20.100000000000001" customHeight="1">
      <c r="Q19" s="179"/>
      <c r="R19" s="179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21"/>
  <sheetViews>
    <sheetView zoomScale="90" zoomScaleNormal="90" zoomScaleSheetLayoutView="50" workbookViewId="0">
      <pane xSplit="3" ySplit="6" topLeftCell="Z7" activePane="bottomRight" state="frozen"/>
      <selection pane="bottomRight" activeCell="AE8" sqref="AE8:AE10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41" customWidth="1"/>
    <col min="2" max="2" width="37.140625" style="141" customWidth="1"/>
    <col min="3" max="3" width="37.28515625" style="141" customWidth="1"/>
    <col min="4" max="4" width="14.85546875" style="141" customWidth="1"/>
    <col min="5" max="5" width="17.85546875" style="141" customWidth="1"/>
    <col min="6" max="6" width="19.42578125" style="141" customWidth="1"/>
    <col min="7" max="7" width="16" style="141" customWidth="1"/>
    <col min="8" max="8" width="18.140625" style="141" customWidth="1"/>
    <col min="9" max="9" width="18" style="141" customWidth="1"/>
    <col min="10" max="10" width="20" style="141" customWidth="1"/>
    <col min="11" max="11" width="18.140625" style="141" customWidth="1"/>
    <col min="12" max="12" width="18.28515625" style="141" customWidth="1"/>
    <col min="13" max="13" width="18.140625" style="141" customWidth="1"/>
    <col min="14" max="14" width="15.7109375" style="141" customWidth="1"/>
    <col min="15" max="15" width="18.28515625" style="141" customWidth="1"/>
    <col min="16" max="16" width="17.85546875" style="141" customWidth="1"/>
    <col min="17" max="18" width="19.28515625" style="141" customWidth="1"/>
    <col min="19" max="19" width="20.42578125" style="291" customWidth="1"/>
    <col min="20" max="20" width="16.42578125" style="141" customWidth="1"/>
    <col min="21" max="22" width="17.7109375" style="141" customWidth="1"/>
    <col min="23" max="23" width="14.5703125" style="141" customWidth="1"/>
    <col min="24" max="24" width="17.85546875" style="141" customWidth="1"/>
    <col min="25" max="25" width="21.7109375" style="141" customWidth="1"/>
    <col min="26" max="26" width="18.85546875" style="141" customWidth="1"/>
    <col min="27" max="27" width="17.7109375" style="141" customWidth="1"/>
    <col min="28" max="28" width="15.7109375" style="141" customWidth="1"/>
    <col min="29" max="29" width="18.28515625" style="141" customWidth="1"/>
    <col min="30" max="30" width="17.7109375" style="141" customWidth="1"/>
    <col min="31" max="31" width="19.85546875" style="141" customWidth="1"/>
    <col min="32" max="16384" width="9.140625" style="141"/>
  </cols>
  <sheetData>
    <row r="1" spans="1:31" ht="27" customHeight="1">
      <c r="A1" s="393" t="s">
        <v>0</v>
      </c>
      <c r="B1" s="393"/>
      <c r="C1" s="393"/>
      <c r="D1" s="393"/>
      <c r="E1" s="393"/>
      <c r="F1" s="393"/>
      <c r="G1" s="140">
        <f>'[1]FEB 08'!F8/'[1]FEB 08'!Q8</f>
        <v>0.3</v>
      </c>
      <c r="H1" s="140"/>
      <c r="I1" s="140"/>
      <c r="J1" s="140"/>
      <c r="K1" s="140"/>
      <c r="L1" s="140"/>
      <c r="M1" s="140"/>
      <c r="N1" s="140"/>
      <c r="O1" s="140"/>
      <c r="P1" s="140"/>
    </row>
    <row r="2" spans="1:31" ht="33.75" customHeight="1">
      <c r="A2" s="142" t="s">
        <v>383</v>
      </c>
      <c r="B2" s="143"/>
      <c r="C2" s="142"/>
      <c r="D2" s="142"/>
      <c r="E2" s="144"/>
      <c r="F2" s="144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6"/>
      <c r="R2" s="146"/>
      <c r="S2" s="292"/>
      <c r="T2" s="146"/>
      <c r="U2" s="146"/>
      <c r="V2" s="146"/>
      <c r="W2" s="146"/>
      <c r="X2" s="146"/>
    </row>
    <row r="3" spans="1:31" ht="9.75" customHeight="1">
      <c r="E3" s="140" t="e">
        <f>'[1]FEB 08'!E11/'[1]FEB 08'!M11</f>
        <v>#REF!</v>
      </c>
      <c r="F3" s="140"/>
      <c r="G3" s="140" t="e">
        <f>'[1]FEB 08'!F11/'[1]FEB 08'!Q11</f>
        <v>#REF!</v>
      </c>
      <c r="H3" s="140"/>
      <c r="I3" s="140"/>
      <c r="J3" s="140"/>
      <c r="K3" s="140"/>
      <c r="L3" s="140"/>
      <c r="M3" s="140"/>
      <c r="N3" s="140"/>
      <c r="O3" s="140"/>
      <c r="P3" s="140"/>
    </row>
    <row r="4" spans="1:31" ht="62.25" customHeight="1">
      <c r="A4" s="19"/>
      <c r="B4" s="147" t="s">
        <v>2</v>
      </c>
      <c r="C4" s="148" t="s">
        <v>3</v>
      </c>
      <c r="D4" s="149" t="s">
        <v>4</v>
      </c>
      <c r="E4" s="150" t="s">
        <v>5</v>
      </c>
      <c r="F4" s="150" t="s">
        <v>6</v>
      </c>
      <c r="G4" s="151" t="s">
        <v>7</v>
      </c>
      <c r="H4" s="151" t="s">
        <v>8</v>
      </c>
      <c r="I4" s="150" t="s">
        <v>9</v>
      </c>
      <c r="J4" s="151" t="s">
        <v>10</v>
      </c>
      <c r="K4" s="151" t="s">
        <v>11</v>
      </c>
      <c r="L4" s="151" t="s">
        <v>12</v>
      </c>
      <c r="M4" s="150" t="s">
        <v>13</v>
      </c>
      <c r="N4" s="150" t="s">
        <v>13</v>
      </c>
      <c r="O4" s="151" t="s">
        <v>14</v>
      </c>
      <c r="P4" s="151" t="s">
        <v>14</v>
      </c>
      <c r="Q4" s="150" t="s">
        <v>15</v>
      </c>
      <c r="R4" s="180" t="s">
        <v>16</v>
      </c>
      <c r="S4" s="149" t="s">
        <v>386</v>
      </c>
      <c r="T4" s="312" t="s">
        <v>387</v>
      </c>
      <c r="U4" s="152" t="s">
        <v>388</v>
      </c>
      <c r="V4" s="152" t="s">
        <v>389</v>
      </c>
      <c r="W4" s="152" t="s">
        <v>390</v>
      </c>
      <c r="X4" s="152" t="s">
        <v>391</v>
      </c>
      <c r="Y4" s="152" t="s">
        <v>392</v>
      </c>
      <c r="Z4" s="316" t="s">
        <v>393</v>
      </c>
      <c r="AA4" s="317" t="s">
        <v>394</v>
      </c>
      <c r="AB4" s="152" t="s">
        <v>395</v>
      </c>
      <c r="AC4" s="198" t="s">
        <v>396</v>
      </c>
      <c r="AD4" s="198" t="s">
        <v>408</v>
      </c>
      <c r="AE4" s="198" t="s">
        <v>409</v>
      </c>
    </row>
    <row r="5" spans="1:31" ht="17.25" customHeight="1">
      <c r="C5" s="154"/>
      <c r="D5" s="154"/>
      <c r="E5" s="155" t="s">
        <v>25</v>
      </c>
      <c r="F5" s="155" t="s">
        <v>25</v>
      </c>
      <c r="G5" s="155" t="s">
        <v>25</v>
      </c>
      <c r="H5" s="155" t="s">
        <v>25</v>
      </c>
      <c r="I5" s="155" t="s">
        <v>25</v>
      </c>
      <c r="J5" s="155" t="s">
        <v>25</v>
      </c>
      <c r="K5" s="155" t="s">
        <v>25</v>
      </c>
      <c r="L5" s="155" t="s">
        <v>25</v>
      </c>
      <c r="M5" s="155" t="s">
        <v>25</v>
      </c>
      <c r="N5" s="155" t="s">
        <v>25</v>
      </c>
      <c r="O5" s="155" t="s">
        <v>25</v>
      </c>
      <c r="P5" s="155" t="s">
        <v>25</v>
      </c>
      <c r="Q5" s="187" t="s">
        <v>25</v>
      </c>
      <c r="R5" s="154"/>
      <c r="S5" s="293" t="s">
        <v>25</v>
      </c>
      <c r="T5" s="155"/>
      <c r="U5" s="155"/>
      <c r="V5" s="193"/>
      <c r="W5" s="155"/>
      <c r="X5" s="193"/>
    </row>
    <row r="6" spans="1:31" ht="20.100000000000001" customHeight="1">
      <c r="A6" s="153" t="s">
        <v>26</v>
      </c>
      <c r="B6" s="154" t="s">
        <v>410</v>
      </c>
      <c r="C6" s="154"/>
      <c r="D6" s="154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87"/>
      <c r="R6" s="154"/>
      <c r="S6" s="293"/>
      <c r="T6" s="155"/>
      <c r="U6" s="155"/>
      <c r="V6" s="193"/>
      <c r="W6" s="155"/>
      <c r="X6" s="193"/>
    </row>
    <row r="7" spans="1:31" ht="20.100000000000001" customHeight="1">
      <c r="A7" s="19"/>
      <c r="B7" s="133"/>
      <c r="C7" s="19"/>
      <c r="D7" s="27"/>
      <c r="E7" s="24"/>
      <c r="F7" s="24"/>
      <c r="G7" s="24"/>
      <c r="H7" s="24"/>
      <c r="I7" s="24"/>
      <c r="J7" s="24"/>
      <c r="K7" s="24"/>
      <c r="L7" s="24"/>
      <c r="M7" s="156"/>
      <c r="N7" s="156"/>
      <c r="O7" s="24"/>
      <c r="P7" s="24"/>
      <c r="Q7" s="24"/>
      <c r="R7" s="181"/>
      <c r="S7" s="22"/>
      <c r="T7" s="22"/>
      <c r="U7" s="22"/>
      <c r="V7" s="184"/>
      <c r="W7" s="157"/>
      <c r="X7" s="339"/>
    </row>
    <row r="8" spans="1:31" s="309" customFormat="1" ht="20.100000000000001" customHeight="1">
      <c r="A8" s="311">
        <v>40</v>
      </c>
      <c r="B8" s="310" t="s">
        <v>296</v>
      </c>
      <c r="C8" s="303" t="s">
        <v>297</v>
      </c>
      <c r="D8" s="304" t="s">
        <v>298</v>
      </c>
      <c r="E8" s="306">
        <v>5428.12</v>
      </c>
      <c r="F8" s="305"/>
      <c r="G8" s="306">
        <f t="shared" ref="G8:G10" si="0">E8*300%</f>
        <v>16284.36</v>
      </c>
      <c r="H8" s="306">
        <f t="shared" ref="H8:H10" si="1">E8*7.5%</f>
        <v>407.10899999999998</v>
      </c>
      <c r="I8" s="306"/>
      <c r="J8" s="306">
        <f t="shared" ref="J8:J10" si="2">E8*50%</f>
        <v>2714.06</v>
      </c>
      <c r="K8" s="307">
        <f t="shared" ref="K8:K10" si="3">E8*350%</f>
        <v>18998.419999999998</v>
      </c>
      <c r="L8" s="306">
        <f t="shared" ref="L8:L10" si="4">E8*100%</f>
        <v>5428.12</v>
      </c>
      <c r="M8" s="305"/>
      <c r="N8" s="305">
        <f>20000</f>
        <v>20000</v>
      </c>
      <c r="O8" s="306">
        <f t="shared" ref="O8:O10" si="5">E8*10%</f>
        <v>542.81200000000001</v>
      </c>
      <c r="P8" s="306">
        <v>5000</v>
      </c>
      <c r="Q8" s="306">
        <f>7000</f>
        <v>7000</v>
      </c>
      <c r="R8" s="307">
        <f t="shared" ref="R8:R10" si="6">SUM(E8:Q8)</f>
        <v>81803.001000000018</v>
      </c>
      <c r="S8" s="345" t="s">
        <v>298</v>
      </c>
      <c r="T8" s="307">
        <f>122105</f>
        <v>122105</v>
      </c>
      <c r="U8" s="307">
        <f>T8-R8</f>
        <v>40301.998999999982</v>
      </c>
      <c r="V8" s="307"/>
      <c r="W8" s="307"/>
      <c r="X8" s="22">
        <v>4365.3307546666683</v>
      </c>
      <c r="Y8" s="307">
        <f>9152.6</f>
        <v>9152.6</v>
      </c>
      <c r="Z8" s="184">
        <f>Y8-X8</f>
        <v>4787.269245333332</v>
      </c>
      <c r="AA8" s="347">
        <f>U8-Z8</f>
        <v>35514.729754666652</v>
      </c>
      <c r="AB8" s="348">
        <f>(11/31)+3</f>
        <v>3.3548387096774195</v>
      </c>
      <c r="AC8" s="349">
        <f>AA8*AB8</f>
        <v>119146.19014468812</v>
      </c>
      <c r="AD8" s="16">
        <f>66227.57</f>
        <v>66227.570000000007</v>
      </c>
      <c r="AE8" s="346">
        <f>AC8-AD8</f>
        <v>52918.620144688117</v>
      </c>
    </row>
    <row r="9" spans="1:31" s="309" customFormat="1" ht="20.100000000000001" customHeight="1">
      <c r="A9" s="311">
        <v>41</v>
      </c>
      <c r="B9" s="310" t="s">
        <v>299</v>
      </c>
      <c r="C9" s="303" t="s">
        <v>297</v>
      </c>
      <c r="D9" s="304" t="s">
        <v>298</v>
      </c>
      <c r="E9" s="306">
        <v>5428.12</v>
      </c>
      <c r="F9" s="305"/>
      <c r="G9" s="306">
        <f t="shared" si="0"/>
        <v>16284.36</v>
      </c>
      <c r="H9" s="306">
        <f t="shared" si="1"/>
        <v>407.10899999999998</v>
      </c>
      <c r="I9" s="306"/>
      <c r="J9" s="306">
        <f t="shared" si="2"/>
        <v>2714.06</v>
      </c>
      <c r="K9" s="307">
        <f t="shared" si="3"/>
        <v>18998.419999999998</v>
      </c>
      <c r="L9" s="306">
        <f t="shared" si="4"/>
        <v>5428.12</v>
      </c>
      <c r="M9" s="305"/>
      <c r="N9" s="305">
        <f>20000</f>
        <v>20000</v>
      </c>
      <c r="O9" s="306">
        <f t="shared" si="5"/>
        <v>542.81200000000001</v>
      </c>
      <c r="P9" s="306">
        <v>5000</v>
      </c>
      <c r="Q9" s="306">
        <f>7000</f>
        <v>7000</v>
      </c>
      <c r="R9" s="307">
        <f>SUM(E9:Q9)</f>
        <v>81803.001000000018</v>
      </c>
      <c r="S9" s="345" t="s">
        <v>298</v>
      </c>
      <c r="T9" s="307">
        <f t="shared" ref="T9:T10" si="7">122105</f>
        <v>122105</v>
      </c>
      <c r="U9" s="307">
        <f t="shared" ref="U9:U10" si="8">T9-R9</f>
        <v>40301.998999999982</v>
      </c>
      <c r="V9" s="307"/>
      <c r="W9" s="307"/>
      <c r="X9" s="22">
        <f>4365.33075466667</f>
        <v>4365.3307546666701</v>
      </c>
      <c r="Y9" s="307">
        <f t="shared" ref="Y9:Y10" si="9">9152.6</f>
        <v>9152.6</v>
      </c>
      <c r="Z9" s="184">
        <f t="shared" ref="Z9:Z10" si="10">Y9-X9</f>
        <v>4787.2692453333302</v>
      </c>
      <c r="AA9" s="347">
        <f t="shared" ref="AA9:AA10" si="11">U9-Z9</f>
        <v>35514.729754666652</v>
      </c>
      <c r="AB9" s="348">
        <f>(17/31)+2</f>
        <v>2.5483870967741935</v>
      </c>
      <c r="AC9" s="349">
        <f t="shared" ref="AC9:AC10" si="12">AA9*AB9</f>
        <v>90505.279052215017</v>
      </c>
      <c r="AD9" s="185">
        <v>44151.71</v>
      </c>
      <c r="AE9" s="346">
        <f t="shared" ref="AE9:AE10" si="13">AC9-AD9</f>
        <v>46353.569052215018</v>
      </c>
    </row>
    <row r="10" spans="1:31" s="309" customFormat="1" ht="20.100000000000001" customHeight="1">
      <c r="A10" s="311">
        <v>42</v>
      </c>
      <c r="B10" s="302" t="s">
        <v>300</v>
      </c>
      <c r="C10" s="303" t="s">
        <v>297</v>
      </c>
      <c r="D10" s="304" t="s">
        <v>298</v>
      </c>
      <c r="E10" s="306">
        <v>5598.92</v>
      </c>
      <c r="F10" s="305"/>
      <c r="G10" s="306">
        <f t="shared" si="0"/>
        <v>16796.760000000002</v>
      </c>
      <c r="H10" s="306">
        <f t="shared" si="1"/>
        <v>419.91899999999998</v>
      </c>
      <c r="I10" s="306"/>
      <c r="J10" s="306">
        <f t="shared" si="2"/>
        <v>2799.46</v>
      </c>
      <c r="K10" s="307">
        <f t="shared" si="3"/>
        <v>19596.22</v>
      </c>
      <c r="L10" s="306">
        <f t="shared" si="4"/>
        <v>5598.92</v>
      </c>
      <c r="M10" s="305"/>
      <c r="N10" s="305">
        <f>20000</f>
        <v>20000</v>
      </c>
      <c r="O10" s="306">
        <f t="shared" si="5"/>
        <v>559.89200000000005</v>
      </c>
      <c r="P10" s="306">
        <v>5000</v>
      </c>
      <c r="Q10" s="306">
        <f>7000</f>
        <v>7000</v>
      </c>
      <c r="R10" s="307">
        <f t="shared" si="6"/>
        <v>83370.091</v>
      </c>
      <c r="S10" s="345" t="s">
        <v>298</v>
      </c>
      <c r="T10" s="307">
        <f t="shared" si="7"/>
        <v>122105</v>
      </c>
      <c r="U10" s="307">
        <f t="shared" si="8"/>
        <v>38734.909</v>
      </c>
      <c r="V10" s="307"/>
      <c r="W10" s="307"/>
      <c r="X10" s="22">
        <v>4504.4109199999994</v>
      </c>
      <c r="Y10" s="307">
        <f t="shared" si="9"/>
        <v>9152.6</v>
      </c>
      <c r="Z10" s="184">
        <f t="shared" si="10"/>
        <v>4648.189080000001</v>
      </c>
      <c r="AA10" s="347">
        <f t="shared" si="11"/>
        <v>34086.719919999996</v>
      </c>
      <c r="AB10" s="348">
        <v>9</v>
      </c>
      <c r="AC10" s="349">
        <f t="shared" si="12"/>
        <v>306780.47927999997</v>
      </c>
      <c r="AD10" s="185">
        <v>216693.09</v>
      </c>
      <c r="AE10" s="346">
        <f t="shared" si="13"/>
        <v>90087.389279999974</v>
      </c>
    </row>
    <row r="11" spans="1:31" s="309" customFormat="1" ht="20.100000000000001" customHeight="1">
      <c r="A11" s="311"/>
      <c r="B11" s="302"/>
      <c r="C11" s="303"/>
      <c r="D11" s="304"/>
      <c r="E11" s="306"/>
      <c r="F11" s="305"/>
      <c r="G11" s="306"/>
      <c r="H11" s="306"/>
      <c r="I11" s="306"/>
      <c r="J11" s="306"/>
      <c r="K11" s="307"/>
      <c r="L11" s="306"/>
      <c r="M11" s="305"/>
      <c r="N11" s="305"/>
      <c r="O11" s="306"/>
      <c r="P11" s="306"/>
      <c r="Q11" s="306"/>
      <c r="R11" s="307"/>
      <c r="S11" s="307"/>
      <c r="T11" s="307"/>
      <c r="U11" s="307"/>
      <c r="V11" s="307"/>
      <c r="W11" s="342"/>
      <c r="X11" s="343"/>
      <c r="Y11" s="342"/>
      <c r="Z11" s="344"/>
      <c r="AA11" s="308"/>
      <c r="AE11" s="350">
        <f>SUM(AE8:AE10)</f>
        <v>189359.57847690312</v>
      </c>
    </row>
    <row r="12" spans="1:31" ht="21.6" customHeight="1">
      <c r="A12" s="27"/>
      <c r="B12" s="133"/>
      <c r="C12" s="19"/>
      <c r="D12" s="27"/>
      <c r="E12" s="24"/>
      <c r="F12" s="24"/>
      <c r="G12" s="24"/>
      <c r="H12" s="24"/>
      <c r="I12" s="24"/>
      <c r="J12" s="24"/>
      <c r="K12" s="24"/>
      <c r="L12" s="24"/>
      <c r="M12" s="156"/>
      <c r="N12" s="156"/>
      <c r="O12" s="24"/>
      <c r="P12" s="24"/>
      <c r="Q12" s="24"/>
      <c r="R12" s="181"/>
      <c r="S12" s="24"/>
      <c r="T12" s="24"/>
      <c r="U12" s="22"/>
      <c r="V12" s="184"/>
      <c r="W12" s="157"/>
    </row>
    <row r="13" spans="1:31" s="309" customFormat="1" ht="20.100000000000001" customHeight="1">
      <c r="A13" s="311">
        <v>40</v>
      </c>
      <c r="B13" s="310" t="s">
        <v>296</v>
      </c>
      <c r="C13" s="303" t="s">
        <v>297</v>
      </c>
      <c r="D13" s="304" t="s">
        <v>298</v>
      </c>
      <c r="E13" s="306">
        <f>8730.79</f>
        <v>8730.7900000000009</v>
      </c>
      <c r="F13" s="305"/>
      <c r="G13" s="306">
        <f t="shared" ref="G13:G15" si="14">E13*300%</f>
        <v>26192.370000000003</v>
      </c>
      <c r="H13" s="306">
        <f t="shared" ref="H13:H15" si="15">E13*7.5%</f>
        <v>654.80925000000002</v>
      </c>
      <c r="I13" s="306"/>
      <c r="J13" s="306">
        <f t="shared" ref="J13:J15" si="16">E13*50%</f>
        <v>4365.3950000000004</v>
      </c>
      <c r="K13" s="307">
        <f t="shared" ref="K13:K15" si="17">E13*350%</f>
        <v>30557.765000000003</v>
      </c>
      <c r="L13" s="306">
        <f t="shared" ref="L13:L15" si="18">E13*100%</f>
        <v>8730.7900000000009</v>
      </c>
      <c r="M13" s="305"/>
      <c r="N13" s="305">
        <v>30000</v>
      </c>
      <c r="O13" s="306">
        <f t="shared" ref="O13:O15" si="19">E13*10%</f>
        <v>873.07900000000018</v>
      </c>
      <c r="P13" s="306">
        <v>5000</v>
      </c>
      <c r="Q13" s="306">
        <f>7000</f>
        <v>7000</v>
      </c>
      <c r="R13" s="307">
        <f t="shared" ref="R13" si="20">SUM(E13:Q13)</f>
        <v>122104.99825</v>
      </c>
      <c r="S13" s="307"/>
      <c r="T13" s="307">
        <f>10000+5000+5000</f>
        <v>20000</v>
      </c>
      <c r="U13" s="307">
        <f>15625</f>
        <v>15625</v>
      </c>
      <c r="V13" s="307"/>
      <c r="W13" s="307">
        <f>[3]PROMOTIONS!$X$42</f>
        <v>8312.5899999999983</v>
      </c>
      <c r="X13" s="234">
        <f t="shared" ref="X13:X15" si="21">W13+V13+U13+T13+S13</f>
        <v>43937.59</v>
      </c>
      <c r="Y13" s="307">
        <v>106043.96784954835</v>
      </c>
      <c r="Z13" s="184">
        <f t="shared" ref="Z13:Z15" si="22">R13-X13</f>
        <v>78167.408250000008</v>
      </c>
      <c r="AA13" s="308"/>
    </row>
    <row r="14" spans="1:31" s="309" customFormat="1" ht="20.100000000000001" customHeight="1">
      <c r="A14" s="311">
        <v>41</v>
      </c>
      <c r="B14" s="310" t="s">
        <v>299</v>
      </c>
      <c r="C14" s="303" t="s">
        <v>297</v>
      </c>
      <c r="D14" s="304" t="s">
        <v>298</v>
      </c>
      <c r="E14" s="306">
        <f t="shared" ref="E14:E15" si="23">8730.79</f>
        <v>8730.7900000000009</v>
      </c>
      <c r="F14" s="305"/>
      <c r="G14" s="306">
        <f t="shared" si="14"/>
        <v>26192.370000000003</v>
      </c>
      <c r="H14" s="306">
        <f t="shared" si="15"/>
        <v>654.80925000000002</v>
      </c>
      <c r="I14" s="306"/>
      <c r="J14" s="306">
        <f t="shared" si="16"/>
        <v>4365.3950000000004</v>
      </c>
      <c r="K14" s="307">
        <f t="shared" si="17"/>
        <v>30557.765000000003</v>
      </c>
      <c r="L14" s="306">
        <f t="shared" si="18"/>
        <v>8730.7900000000009</v>
      </c>
      <c r="M14" s="305"/>
      <c r="N14" s="305">
        <v>30000</v>
      </c>
      <c r="O14" s="306">
        <f t="shared" si="19"/>
        <v>873.07900000000018</v>
      </c>
      <c r="P14" s="306">
        <v>5000</v>
      </c>
      <c r="Q14" s="306">
        <f>7000</f>
        <v>7000</v>
      </c>
      <c r="R14" s="307">
        <f>SUM(E14:Q14)</f>
        <v>122104.99825</v>
      </c>
      <c r="S14" s="307"/>
      <c r="T14" s="307">
        <v>20000</v>
      </c>
      <c r="U14" s="307">
        <v>18333.330000000002</v>
      </c>
      <c r="V14" s="307"/>
      <c r="W14" s="307">
        <f>[3]PROMOTIONS!$X$42</f>
        <v>8312.5899999999983</v>
      </c>
      <c r="X14" s="234">
        <f t="shared" si="21"/>
        <v>46645.919999999998</v>
      </c>
      <c r="Y14" s="307">
        <v>80609.452233032236</v>
      </c>
      <c r="Z14" s="184">
        <f t="shared" si="22"/>
        <v>75459.078250000006</v>
      </c>
      <c r="AA14" s="308"/>
    </row>
    <row r="15" spans="1:31" s="309" customFormat="1" ht="20.100000000000001" customHeight="1">
      <c r="A15" s="311">
        <v>42</v>
      </c>
      <c r="B15" s="302" t="s">
        <v>300</v>
      </c>
      <c r="C15" s="303" t="s">
        <v>297</v>
      </c>
      <c r="D15" s="304" t="s">
        <v>298</v>
      </c>
      <c r="E15" s="306">
        <f t="shared" si="23"/>
        <v>8730.7900000000009</v>
      </c>
      <c r="F15" s="305"/>
      <c r="G15" s="306">
        <f t="shared" si="14"/>
        <v>26192.370000000003</v>
      </c>
      <c r="H15" s="306">
        <f t="shared" si="15"/>
        <v>654.80925000000002</v>
      </c>
      <c r="I15" s="306"/>
      <c r="J15" s="306">
        <f t="shared" si="16"/>
        <v>4365.3950000000004</v>
      </c>
      <c r="K15" s="307">
        <f t="shared" si="17"/>
        <v>30557.765000000003</v>
      </c>
      <c r="L15" s="306">
        <f t="shared" si="18"/>
        <v>8730.7900000000009</v>
      </c>
      <c r="M15" s="305"/>
      <c r="N15" s="305">
        <v>30000</v>
      </c>
      <c r="O15" s="306">
        <f t="shared" si="19"/>
        <v>873.07900000000018</v>
      </c>
      <c r="P15" s="306">
        <v>5000</v>
      </c>
      <c r="Q15" s="306">
        <f>7000</f>
        <v>7000</v>
      </c>
      <c r="R15" s="307">
        <f t="shared" ref="R15" si="24">SUM(E15:Q15)</f>
        <v>122104.99825</v>
      </c>
      <c r="S15" s="307"/>
      <c r="T15" s="307">
        <f>3000+5000+5000</f>
        <v>13000</v>
      </c>
      <c r="U15" s="307">
        <f>44000</f>
        <v>44000</v>
      </c>
      <c r="V15" s="307"/>
      <c r="W15" s="307">
        <f>[3]PROMOTIONS!$X$42</f>
        <v>8312.5899999999983</v>
      </c>
      <c r="X15" s="234">
        <f t="shared" si="21"/>
        <v>65312.59</v>
      </c>
      <c r="Y15" s="307">
        <v>239903.58369333335</v>
      </c>
      <c r="Z15" s="184">
        <f t="shared" si="22"/>
        <v>56792.408250000008</v>
      </c>
      <c r="AA15" s="308"/>
    </row>
    <row r="16" spans="1:31" ht="19.5" customHeight="1">
      <c r="A16" s="19"/>
      <c r="B16" s="171" t="s">
        <v>330</v>
      </c>
      <c r="C16" s="172"/>
      <c r="D16" s="173"/>
      <c r="E16" s="174">
        <f t="shared" ref="E16:V16" si="25">E8+E14</f>
        <v>14158.91</v>
      </c>
      <c r="F16" s="174">
        <f t="shared" si="25"/>
        <v>0</v>
      </c>
      <c r="G16" s="174">
        <f t="shared" si="25"/>
        <v>42476.73</v>
      </c>
      <c r="H16" s="174">
        <f t="shared" si="25"/>
        <v>1061.9182499999999</v>
      </c>
      <c r="I16" s="174">
        <f t="shared" si="25"/>
        <v>0</v>
      </c>
      <c r="J16" s="174">
        <f t="shared" si="25"/>
        <v>7079.4549999999999</v>
      </c>
      <c r="K16" s="174">
        <f t="shared" si="25"/>
        <v>49556.184999999998</v>
      </c>
      <c r="L16" s="174">
        <f t="shared" si="25"/>
        <v>14158.91</v>
      </c>
      <c r="M16" s="174">
        <f t="shared" si="25"/>
        <v>0</v>
      </c>
      <c r="N16" s="174">
        <f t="shared" si="25"/>
        <v>50000</v>
      </c>
      <c r="O16" s="174">
        <f t="shared" si="25"/>
        <v>1415.8910000000001</v>
      </c>
      <c r="P16" s="174">
        <f t="shared" si="25"/>
        <v>10000</v>
      </c>
      <c r="Q16" s="174">
        <f t="shared" si="25"/>
        <v>14000</v>
      </c>
      <c r="R16" s="174">
        <f t="shared" si="25"/>
        <v>203907.99925000002</v>
      </c>
      <c r="S16" s="174" t="e">
        <f t="shared" si="25"/>
        <v>#VALUE!</v>
      </c>
      <c r="T16" s="174">
        <f t="shared" si="25"/>
        <v>142105</v>
      </c>
      <c r="U16" s="174">
        <f t="shared" si="25"/>
        <v>58635.328999999983</v>
      </c>
      <c r="V16" s="174">
        <f t="shared" si="25"/>
        <v>0</v>
      </c>
      <c r="W16" s="174"/>
      <c r="X16" s="174">
        <f>X8+X14</f>
        <v>51011.250754666667</v>
      </c>
      <c r="Y16" s="157"/>
    </row>
    <row r="17" spans="1:27" ht="20.100000000000001" customHeight="1">
      <c r="B17" s="175"/>
      <c r="D17" s="176"/>
      <c r="E17" s="176"/>
      <c r="F17" s="176"/>
      <c r="G17" s="176"/>
      <c r="H17" s="176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300"/>
      <c r="T17" s="178"/>
      <c r="U17" s="178"/>
      <c r="V17" s="178"/>
      <c r="W17" s="178"/>
      <c r="X17" s="178"/>
      <c r="Y17" s="179"/>
    </row>
    <row r="18" spans="1:27" ht="36.75" customHeight="1">
      <c r="B18" s="175"/>
      <c r="C18" s="176"/>
      <c r="D18" s="176"/>
      <c r="E18" s="176"/>
      <c r="F18" s="176"/>
      <c r="G18" s="176"/>
      <c r="H18" s="176"/>
      <c r="I18" s="177"/>
      <c r="J18" s="177"/>
      <c r="K18" s="177"/>
      <c r="L18" s="177"/>
      <c r="M18" s="177"/>
      <c r="N18" s="177"/>
      <c r="O18" s="177"/>
      <c r="Q18" s="177"/>
      <c r="R18" s="177"/>
      <c r="S18" s="300"/>
      <c r="T18" s="178"/>
      <c r="U18" s="178"/>
      <c r="V18" s="178"/>
      <c r="W18" s="178"/>
      <c r="X18" s="178"/>
    </row>
    <row r="21" spans="1:27" s="291" customFormat="1" ht="20.100000000000001" customHeight="1">
      <c r="A21" s="141"/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79"/>
      <c r="R21" s="179"/>
      <c r="T21" s="141"/>
      <c r="U21" s="141"/>
      <c r="V21" s="141"/>
      <c r="W21" s="141"/>
      <c r="X21" s="141"/>
      <c r="Y21" s="141"/>
      <c r="Z21" s="141"/>
      <c r="AA21" s="14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52"/>
  <sheetViews>
    <sheetView view="pageBreakPreview" zoomScale="50" zoomScaleNormal="100" zoomScaleSheetLayoutView="50" workbookViewId="0">
      <pane xSplit="3" ySplit="6" topLeftCell="D24" activePane="bottomRight" state="frozen"/>
      <selection pane="bottomRight" activeCell="A42" sqref="A42:XFD44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41" customWidth="1"/>
    <col min="2" max="2" width="39.42578125" style="141" customWidth="1"/>
    <col min="3" max="3" width="26.5703125" style="141" customWidth="1"/>
    <col min="4" max="4" width="14.85546875" style="141" customWidth="1"/>
    <col min="5" max="5" width="17.85546875" style="141" customWidth="1"/>
    <col min="6" max="6" width="19.42578125" style="141" customWidth="1"/>
    <col min="7" max="7" width="16" style="141" customWidth="1"/>
    <col min="8" max="8" width="18.140625" style="141" customWidth="1"/>
    <col min="9" max="9" width="18" style="141" customWidth="1"/>
    <col min="10" max="10" width="20" style="141" customWidth="1"/>
    <col min="11" max="11" width="18.140625" style="141" customWidth="1"/>
    <col min="12" max="12" width="18.28515625" style="141" customWidth="1"/>
    <col min="13" max="13" width="18.140625" style="141" customWidth="1"/>
    <col min="14" max="14" width="15.7109375" style="141" customWidth="1"/>
    <col min="15" max="15" width="18.28515625" style="141" customWidth="1"/>
    <col min="16" max="16" width="17.85546875" style="141" customWidth="1"/>
    <col min="17" max="20" width="19.28515625" style="141" customWidth="1"/>
    <col min="21" max="21" width="14.85546875" style="141" customWidth="1"/>
    <col min="22" max="22" width="13.5703125" style="141" customWidth="1"/>
    <col min="23" max="23" width="20.42578125" style="291" customWidth="1"/>
    <col min="24" max="24" width="16.42578125" style="141" customWidth="1"/>
    <col min="25" max="26" width="17.7109375" style="141" customWidth="1"/>
    <col min="27" max="27" width="11.140625" style="141" customWidth="1"/>
    <col min="28" max="28" width="17.85546875" style="141" customWidth="1"/>
    <col min="29" max="29" width="21.7109375" style="141" customWidth="1"/>
    <col min="30" max="16384" width="9.140625" style="141"/>
  </cols>
  <sheetData>
    <row r="1" spans="1:29" ht="27" customHeight="1">
      <c r="A1" s="393" t="s">
        <v>0</v>
      </c>
      <c r="B1" s="393"/>
      <c r="C1" s="393"/>
      <c r="D1" s="393"/>
      <c r="E1" s="393"/>
      <c r="F1" s="393"/>
      <c r="G1" s="140">
        <f>'[1]FEB 08'!F8/'[1]FEB 08'!Q8</f>
        <v>0.3</v>
      </c>
      <c r="H1" s="140"/>
      <c r="I1" s="140"/>
      <c r="J1" s="140"/>
      <c r="K1" s="140"/>
      <c r="L1" s="140"/>
      <c r="M1" s="140"/>
      <c r="N1" s="140"/>
      <c r="O1" s="140"/>
      <c r="P1" s="140"/>
    </row>
    <row r="2" spans="1:29" ht="33.75" customHeight="1">
      <c r="A2" s="142" t="s">
        <v>411</v>
      </c>
      <c r="B2" s="143"/>
      <c r="C2" s="142"/>
      <c r="D2" s="142"/>
      <c r="E2" s="144"/>
      <c r="F2" s="144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6"/>
      <c r="R2" s="146"/>
      <c r="S2" s="146"/>
      <c r="T2" s="146"/>
      <c r="U2" s="146"/>
      <c r="V2" s="146"/>
      <c r="W2" s="292"/>
      <c r="X2" s="146"/>
      <c r="Y2" s="146"/>
      <c r="Z2" s="146"/>
      <c r="AA2" s="146"/>
      <c r="AB2" s="146"/>
    </row>
    <row r="3" spans="1:29" ht="9.75" customHeight="1">
      <c r="E3" s="140" t="e">
        <f>'[1]FEB 08'!E11/'[1]FEB 08'!M11</f>
        <v>#REF!</v>
      </c>
      <c r="F3" s="140"/>
      <c r="G3" s="140" t="e">
        <f>'[1]FEB 08'!F11/'[1]FEB 08'!Q11</f>
        <v>#REF!</v>
      </c>
      <c r="H3" s="140"/>
      <c r="I3" s="140"/>
      <c r="J3" s="140"/>
      <c r="K3" s="140"/>
      <c r="L3" s="140"/>
      <c r="M3" s="140"/>
      <c r="N3" s="140"/>
      <c r="O3" s="140"/>
      <c r="P3" s="140"/>
    </row>
    <row r="4" spans="1:29" ht="60" customHeight="1">
      <c r="A4" s="19"/>
      <c r="B4" s="148" t="s">
        <v>2</v>
      </c>
      <c r="C4" s="148" t="s">
        <v>3</v>
      </c>
      <c r="D4" s="149" t="s">
        <v>384</v>
      </c>
      <c r="E4" s="152" t="s">
        <v>5</v>
      </c>
      <c r="F4" s="28" t="s">
        <v>7</v>
      </c>
      <c r="G4" s="28" t="s">
        <v>8</v>
      </c>
      <c r="H4" s="152" t="s">
        <v>9</v>
      </c>
      <c r="I4" s="28" t="s">
        <v>10</v>
      </c>
      <c r="J4" s="28" t="s">
        <v>11</v>
      </c>
      <c r="K4" s="28" t="s">
        <v>12</v>
      </c>
      <c r="L4" s="152" t="s">
        <v>13</v>
      </c>
      <c r="M4" s="152" t="s">
        <v>13</v>
      </c>
      <c r="N4" s="28" t="s">
        <v>14</v>
      </c>
      <c r="O4" s="28" t="s">
        <v>14</v>
      </c>
      <c r="P4" s="152" t="s">
        <v>15</v>
      </c>
      <c r="Q4" s="312" t="s">
        <v>385</v>
      </c>
      <c r="R4" s="149" t="s">
        <v>386</v>
      </c>
      <c r="S4" s="312" t="s">
        <v>387</v>
      </c>
      <c r="T4" s="152" t="s">
        <v>388</v>
      </c>
      <c r="U4" s="152" t="s">
        <v>389</v>
      </c>
      <c r="V4" s="152" t="s">
        <v>390</v>
      </c>
      <c r="W4" s="152" t="s">
        <v>391</v>
      </c>
      <c r="X4" s="152" t="s">
        <v>392</v>
      </c>
      <c r="Y4" s="316" t="s">
        <v>393</v>
      </c>
      <c r="Z4" s="317" t="s">
        <v>394</v>
      </c>
      <c r="AA4" s="152" t="s">
        <v>395</v>
      </c>
      <c r="AB4" s="198" t="s">
        <v>396</v>
      </c>
    </row>
    <row r="5" spans="1:29" ht="17.25" customHeight="1">
      <c r="C5" s="154"/>
      <c r="D5" s="154"/>
      <c r="E5" s="155" t="s">
        <v>25</v>
      </c>
      <c r="F5" s="155" t="s">
        <v>25</v>
      </c>
      <c r="G5" s="155" t="s">
        <v>25</v>
      </c>
      <c r="H5" s="155" t="s">
        <v>25</v>
      </c>
      <c r="I5" s="155" t="s">
        <v>25</v>
      </c>
      <c r="J5" s="155" t="s">
        <v>25</v>
      </c>
      <c r="K5" s="155" t="s">
        <v>25</v>
      </c>
      <c r="L5" s="155" t="s">
        <v>25</v>
      </c>
      <c r="M5" s="155" t="s">
        <v>25</v>
      </c>
      <c r="N5" s="155" t="s">
        <v>25</v>
      </c>
      <c r="O5" s="155" t="s">
        <v>25</v>
      </c>
      <c r="P5" s="155" t="s">
        <v>25</v>
      </c>
      <c r="Q5" s="187" t="s">
        <v>25</v>
      </c>
      <c r="R5" s="154"/>
      <c r="S5" s="187" t="s">
        <v>25</v>
      </c>
      <c r="T5" s="155"/>
      <c r="U5" s="155" t="s">
        <v>25</v>
      </c>
      <c r="V5" s="155"/>
      <c r="W5" s="293" t="s">
        <v>25</v>
      </c>
      <c r="X5" s="155"/>
      <c r="Y5" s="155"/>
      <c r="Z5" s="193"/>
      <c r="AA5" s="155"/>
      <c r="AB5" s="193"/>
    </row>
    <row r="6" spans="1:29" ht="20.100000000000001" customHeight="1">
      <c r="A6" s="153" t="s">
        <v>26</v>
      </c>
      <c r="B6" s="154" t="s">
        <v>27</v>
      </c>
      <c r="C6" s="154"/>
      <c r="D6" s="154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87"/>
      <c r="R6" s="154"/>
      <c r="S6" s="187"/>
      <c r="T6" s="155"/>
      <c r="U6" s="155"/>
      <c r="V6" s="155"/>
      <c r="W6" s="293"/>
      <c r="X6" s="155"/>
      <c r="Y6" s="155"/>
      <c r="Z6" s="193"/>
      <c r="AA6" s="155"/>
      <c r="AB6" s="193"/>
    </row>
    <row r="7" spans="1:29" ht="18.75" customHeight="1">
      <c r="A7" s="27">
        <v>1</v>
      </c>
      <c r="B7" s="134" t="s">
        <v>77</v>
      </c>
      <c r="C7" s="138" t="s">
        <v>412</v>
      </c>
      <c r="D7" s="158" t="s">
        <v>199</v>
      </c>
      <c r="E7" s="156">
        <v>13492.21</v>
      </c>
      <c r="F7" s="24">
        <f>E7*300%</f>
        <v>40476.629999999997</v>
      </c>
      <c r="G7" s="24">
        <f>E7*7.5%</f>
        <v>1011.9157499999999</v>
      </c>
      <c r="H7" s="24"/>
      <c r="I7" s="24">
        <f>E7*50%</f>
        <v>6746.1049999999996</v>
      </c>
      <c r="J7" s="22">
        <f>E7*350%</f>
        <v>47222.735000000001</v>
      </c>
      <c r="K7" s="24">
        <f>E7*100%</f>
        <v>13492.21</v>
      </c>
      <c r="L7" s="156"/>
      <c r="M7" s="156">
        <f>50000</f>
        <v>50000</v>
      </c>
      <c r="N7" s="24">
        <f>E7*10%</f>
        <v>1349.221</v>
      </c>
      <c r="O7" s="24">
        <v>10000</v>
      </c>
      <c r="P7" s="19"/>
      <c r="Q7" s="182">
        <f>SUM(E7:P7)</f>
        <v>183791.02674999999</v>
      </c>
      <c r="R7" s="158" t="s">
        <v>79</v>
      </c>
      <c r="S7" s="182">
        <f>'SALARY STRUCTURE'!H13+60000</f>
        <v>205203.66666666666</v>
      </c>
      <c r="T7" s="22">
        <f t="shared" ref="T7:T45" si="0">S7-Q7</f>
        <v>21412.639916666667</v>
      </c>
      <c r="U7" s="24"/>
      <c r="V7" s="22"/>
      <c r="W7" s="294">
        <v>18102.902732666666</v>
      </c>
      <c r="X7" s="24">
        <f>'[7]October 2023'!$Z$29</f>
        <v>21640.882666666668</v>
      </c>
      <c r="Y7" s="24">
        <f>X7-W7</f>
        <v>3537.9799340000027</v>
      </c>
      <c r="Z7" s="185">
        <f>T7-Y7</f>
        <v>17874.659982666664</v>
      </c>
      <c r="AA7" s="24">
        <f>(19/31)+4</f>
        <v>4.612903225806452</v>
      </c>
      <c r="AB7" s="185">
        <f>Z7*AA7</f>
        <v>82454.076694236559</v>
      </c>
      <c r="AC7" s="157"/>
    </row>
    <row r="8" spans="1:29" ht="26.25" customHeight="1">
      <c r="A8" s="27"/>
      <c r="B8" s="136" t="s">
        <v>91</v>
      </c>
      <c r="C8" s="28">
        <v>1</v>
      </c>
      <c r="D8" s="158"/>
      <c r="E8" s="160">
        <f t="shared" ref="E8:Q8" si="1">SUM(E7:E7)</f>
        <v>13492.21</v>
      </c>
      <c r="F8" s="160">
        <f t="shared" si="1"/>
        <v>40476.629999999997</v>
      </c>
      <c r="G8" s="160">
        <f t="shared" si="1"/>
        <v>1011.9157499999999</v>
      </c>
      <c r="H8" s="160">
        <f t="shared" si="1"/>
        <v>0</v>
      </c>
      <c r="I8" s="160">
        <f t="shared" si="1"/>
        <v>6746.1049999999996</v>
      </c>
      <c r="J8" s="160">
        <f t="shared" si="1"/>
        <v>47222.735000000001</v>
      </c>
      <c r="K8" s="160">
        <f t="shared" si="1"/>
        <v>13492.21</v>
      </c>
      <c r="L8" s="160">
        <f t="shared" si="1"/>
        <v>0</v>
      </c>
      <c r="M8" s="160">
        <f t="shared" si="1"/>
        <v>50000</v>
      </c>
      <c r="N8" s="160">
        <f t="shared" si="1"/>
        <v>1349.221</v>
      </c>
      <c r="O8" s="160">
        <f t="shared" si="1"/>
        <v>10000</v>
      </c>
      <c r="P8" s="160">
        <f t="shared" si="1"/>
        <v>0</v>
      </c>
      <c r="Q8" s="160">
        <f t="shared" si="1"/>
        <v>183791.02674999999</v>
      </c>
      <c r="R8" s="158"/>
      <c r="S8" s="160">
        <f t="shared" ref="S8:Z8" si="2">SUM(S7:S7)</f>
        <v>205203.66666666666</v>
      </c>
      <c r="T8" s="160">
        <f t="shared" si="2"/>
        <v>21412.639916666667</v>
      </c>
      <c r="U8" s="160">
        <f t="shared" si="2"/>
        <v>0</v>
      </c>
      <c r="V8" s="160">
        <f t="shared" si="2"/>
        <v>0</v>
      </c>
      <c r="W8" s="160">
        <f t="shared" si="2"/>
        <v>18102.902732666666</v>
      </c>
      <c r="X8" s="160">
        <f t="shared" si="2"/>
        <v>21640.882666666668</v>
      </c>
      <c r="Y8" s="160">
        <f t="shared" si="2"/>
        <v>3537.9799340000027</v>
      </c>
      <c r="Z8" s="194">
        <f t="shared" si="2"/>
        <v>17874.659982666664</v>
      </c>
      <c r="AA8" s="160"/>
      <c r="AB8" s="194">
        <f>SUM(AB7:AB7)</f>
        <v>82454.076694236559</v>
      </c>
      <c r="AC8" s="157"/>
    </row>
    <row r="9" spans="1:29" ht="20.100000000000001" customHeight="1">
      <c r="A9" s="27"/>
      <c r="B9" s="135"/>
      <c r="C9" s="19"/>
      <c r="D9" s="27"/>
      <c r="E9" s="160"/>
      <c r="F9" s="160"/>
      <c r="G9" s="160"/>
      <c r="H9" s="160"/>
      <c r="I9" s="160"/>
      <c r="J9" s="160"/>
      <c r="K9" s="160"/>
      <c r="L9" s="156"/>
      <c r="M9" s="156"/>
      <c r="N9" s="160"/>
      <c r="O9" s="160"/>
      <c r="P9" s="160"/>
      <c r="Q9" s="188"/>
      <c r="R9" s="27"/>
      <c r="S9" s="188"/>
      <c r="T9" s="22"/>
      <c r="U9" s="160"/>
      <c r="V9" s="160"/>
      <c r="W9" s="295"/>
      <c r="X9" s="160"/>
      <c r="Y9" s="24"/>
      <c r="Z9" s="185"/>
      <c r="AA9" s="160"/>
      <c r="AB9" s="185"/>
      <c r="AC9" s="157"/>
    </row>
    <row r="10" spans="1:29" ht="20.100000000000001" customHeight="1">
      <c r="A10" s="27"/>
      <c r="B10" s="162" t="s">
        <v>100</v>
      </c>
      <c r="C10" s="147"/>
      <c r="D10" s="151"/>
      <c r="E10" s="160"/>
      <c r="F10" s="160"/>
      <c r="G10" s="22"/>
      <c r="H10" s="22"/>
      <c r="I10" s="22"/>
      <c r="J10" s="22"/>
      <c r="K10" s="22"/>
      <c r="L10" s="156"/>
      <c r="M10" s="156"/>
      <c r="N10" s="22"/>
      <c r="O10" s="22"/>
      <c r="P10" s="22"/>
      <c r="Q10" s="181"/>
      <c r="R10" s="151"/>
      <c r="S10" s="181"/>
      <c r="T10" s="22"/>
      <c r="U10" s="22"/>
      <c r="V10" s="22"/>
      <c r="W10" s="296"/>
      <c r="X10" s="22"/>
      <c r="Y10" s="24"/>
      <c r="Z10" s="185"/>
      <c r="AA10" s="22"/>
      <c r="AB10" s="185"/>
      <c r="AC10" s="157"/>
    </row>
    <row r="11" spans="1:29" ht="20.100000000000001" customHeight="1">
      <c r="A11" s="27">
        <v>2</v>
      </c>
      <c r="B11" s="133" t="s">
        <v>114</v>
      </c>
      <c r="C11" s="19" t="s">
        <v>167</v>
      </c>
      <c r="D11" s="27" t="s">
        <v>168</v>
      </c>
      <c r="E11" s="24">
        <v>25523.45</v>
      </c>
      <c r="F11" s="24">
        <f>E11*300%</f>
        <v>76570.350000000006</v>
      </c>
      <c r="G11" s="24">
        <f>E11*7.5%</f>
        <v>1914.25875</v>
      </c>
      <c r="H11" s="24"/>
      <c r="I11" s="24">
        <f>E11*50%</f>
        <v>12761.725</v>
      </c>
      <c r="J11" s="24">
        <f>E11*350%</f>
        <v>89332.074999999997</v>
      </c>
      <c r="K11" s="24">
        <f>E11*100%</f>
        <v>25523.45</v>
      </c>
      <c r="L11" s="156">
        <f t="shared" ref="L11" si="3">120000</f>
        <v>120000</v>
      </c>
      <c r="M11" s="156"/>
      <c r="N11" s="24">
        <f>E11*10%</f>
        <v>2552.3450000000003</v>
      </c>
      <c r="O11" s="24">
        <v>15000</v>
      </c>
      <c r="P11" s="24"/>
      <c r="Q11" s="181">
        <f>SUM(E11:P11)</f>
        <v>369177.65375</v>
      </c>
      <c r="R11" s="27" t="s">
        <v>116</v>
      </c>
      <c r="S11" s="181">
        <f>'SALARY STRUCTURE'!I17+140000</f>
        <v>397211.25</v>
      </c>
      <c r="T11" s="22">
        <f t="shared" si="0"/>
        <v>28033.596250000002</v>
      </c>
      <c r="U11" s="22">
        <v>638.08625000000006</v>
      </c>
      <c r="V11" s="22">
        <f>690.28</f>
        <v>690.28</v>
      </c>
      <c r="W11" s="294">
        <v>49548.776186666662</v>
      </c>
      <c r="X11" s="24">
        <f>'[7]October 2023'!$Z$50</f>
        <v>54812.468586666662</v>
      </c>
      <c r="Y11" s="24">
        <f t="shared" ref="Y11:Y45" si="4">X11-W11</f>
        <v>5263.6923999999999</v>
      </c>
      <c r="Z11" s="185">
        <f t="shared" ref="Z11:Z45" si="5">T11-Y11</f>
        <v>22769.903850000002</v>
      </c>
      <c r="AA11" s="24">
        <f>(18/31)+1</f>
        <v>1.5806451612903225</v>
      </c>
      <c r="AB11" s="185">
        <f t="shared" ref="AB11:AB45" si="6">Z11*AA11</f>
        <v>35991.138343548388</v>
      </c>
      <c r="AC11" s="157"/>
    </row>
    <row r="12" spans="1:29" ht="25.5" customHeight="1">
      <c r="A12" s="27"/>
      <c r="B12" s="136" t="s">
        <v>91</v>
      </c>
      <c r="C12" s="28">
        <v>1</v>
      </c>
      <c r="D12" s="28"/>
      <c r="E12" s="65">
        <f t="shared" ref="E12:Q12" si="7">SUM(E11:E11)</f>
        <v>25523.45</v>
      </c>
      <c r="F12" s="65">
        <f t="shared" si="7"/>
        <v>76570.350000000006</v>
      </c>
      <c r="G12" s="65">
        <f t="shared" si="7"/>
        <v>1914.25875</v>
      </c>
      <c r="H12" s="65">
        <f t="shared" si="7"/>
        <v>0</v>
      </c>
      <c r="I12" s="65">
        <f t="shared" si="7"/>
        <v>12761.725</v>
      </c>
      <c r="J12" s="65">
        <f t="shared" si="7"/>
        <v>89332.074999999997</v>
      </c>
      <c r="K12" s="65">
        <f t="shared" si="7"/>
        <v>25523.45</v>
      </c>
      <c r="L12" s="65">
        <f t="shared" si="7"/>
        <v>120000</v>
      </c>
      <c r="M12" s="65">
        <f t="shared" si="7"/>
        <v>0</v>
      </c>
      <c r="N12" s="65">
        <f t="shared" si="7"/>
        <v>2552.3450000000003</v>
      </c>
      <c r="O12" s="65">
        <f t="shared" si="7"/>
        <v>15000</v>
      </c>
      <c r="P12" s="65">
        <f t="shared" si="7"/>
        <v>0</v>
      </c>
      <c r="Q12" s="65">
        <f t="shared" si="7"/>
        <v>369177.65375</v>
      </c>
      <c r="R12" s="28"/>
      <c r="S12" s="65">
        <f t="shared" ref="S12:Z12" si="8">SUM(S11:S11)</f>
        <v>397211.25</v>
      </c>
      <c r="T12" s="65">
        <f t="shared" si="8"/>
        <v>28033.596250000002</v>
      </c>
      <c r="U12" s="65">
        <f t="shared" si="8"/>
        <v>638.08625000000006</v>
      </c>
      <c r="V12" s="65">
        <f t="shared" si="8"/>
        <v>690.28</v>
      </c>
      <c r="W12" s="65">
        <f t="shared" si="8"/>
        <v>49548.776186666662</v>
      </c>
      <c r="X12" s="65">
        <f t="shared" si="8"/>
        <v>54812.468586666662</v>
      </c>
      <c r="Y12" s="65">
        <f t="shared" si="8"/>
        <v>5263.6923999999999</v>
      </c>
      <c r="Z12" s="313">
        <f t="shared" si="8"/>
        <v>22769.903850000002</v>
      </c>
      <c r="AA12" s="65"/>
      <c r="AB12" s="313">
        <f>SUM(AB11:AB11)</f>
        <v>35991.138343548388</v>
      </c>
      <c r="AC12" s="157"/>
    </row>
    <row r="13" spans="1:29" ht="20.100000000000001" customHeight="1">
      <c r="A13" s="27"/>
      <c r="B13" s="136"/>
      <c r="C13" s="28"/>
      <c r="D13" s="28"/>
      <c r="E13" s="29"/>
      <c r="F13" s="29"/>
      <c r="G13" s="29"/>
      <c r="H13" s="29"/>
      <c r="I13" s="29"/>
      <c r="J13" s="29"/>
      <c r="K13" s="29"/>
      <c r="L13" s="156"/>
      <c r="M13" s="156"/>
      <c r="N13" s="29"/>
      <c r="O13" s="29"/>
      <c r="P13" s="29"/>
      <c r="Q13" s="189"/>
      <c r="R13" s="28"/>
      <c r="S13" s="189"/>
      <c r="T13" s="22">
        <f t="shared" si="0"/>
        <v>0</v>
      </c>
      <c r="U13" s="29"/>
      <c r="V13" s="29"/>
      <c r="W13" s="298"/>
      <c r="X13" s="29"/>
      <c r="Y13" s="24"/>
      <c r="Z13" s="185"/>
      <c r="AA13" s="29"/>
      <c r="AB13" s="185"/>
      <c r="AC13" s="157"/>
    </row>
    <row r="14" spans="1:29" ht="20.100000000000001" customHeight="1">
      <c r="A14" s="27"/>
      <c r="B14" s="136" t="s">
        <v>128</v>
      </c>
      <c r="C14" s="28"/>
      <c r="D14" s="28"/>
      <c r="E14" s="29"/>
      <c r="F14" s="29"/>
      <c r="G14" s="29"/>
      <c r="H14" s="29"/>
      <c r="I14" s="29"/>
      <c r="J14" s="29"/>
      <c r="K14" s="29"/>
      <c r="L14" s="156"/>
      <c r="M14" s="156"/>
      <c r="N14" s="29"/>
      <c r="O14" s="29"/>
      <c r="P14" s="29"/>
      <c r="Q14" s="189"/>
      <c r="R14" s="28"/>
      <c r="S14" s="189"/>
      <c r="T14" s="22">
        <f t="shared" si="0"/>
        <v>0</v>
      </c>
      <c r="U14" s="29"/>
      <c r="V14" s="29"/>
      <c r="W14" s="298"/>
      <c r="X14" s="29"/>
      <c r="Y14" s="24"/>
      <c r="Z14" s="185"/>
      <c r="AA14" s="29"/>
      <c r="AB14" s="185"/>
      <c r="AC14" s="157"/>
    </row>
    <row r="15" spans="1:29" ht="20.100000000000001" customHeight="1">
      <c r="A15" s="27">
        <v>3</v>
      </c>
      <c r="B15" s="135" t="s">
        <v>164</v>
      </c>
      <c r="C15" s="19" t="s">
        <v>53</v>
      </c>
      <c r="D15" s="27" t="s">
        <v>413</v>
      </c>
      <c r="E15" s="24">
        <f>28489.81</f>
        <v>28489.81</v>
      </c>
      <c r="F15" s="24">
        <f>E15*300%</f>
        <v>85469.430000000008</v>
      </c>
      <c r="G15" s="24">
        <f>E15*7.5%</f>
        <v>2136.7357499999998</v>
      </c>
      <c r="H15" s="24"/>
      <c r="I15" s="24">
        <f>E15*50%</f>
        <v>14244.905000000001</v>
      </c>
      <c r="J15" s="22">
        <f>E15*350%</f>
        <v>99714.335000000006</v>
      </c>
      <c r="K15" s="24">
        <f>E15*100%</f>
        <v>28489.81</v>
      </c>
      <c r="L15" s="156">
        <v>140000</v>
      </c>
      <c r="M15" s="156"/>
      <c r="N15" s="24">
        <f>E15*10%</f>
        <v>2848.9810000000002</v>
      </c>
      <c r="O15" s="24">
        <v>20000</v>
      </c>
      <c r="P15" s="24">
        <v>0</v>
      </c>
      <c r="Q15" s="181">
        <f>SUM(E15:P15)</f>
        <v>421394.00675000006</v>
      </c>
      <c r="R15" s="27" t="s">
        <v>48</v>
      </c>
      <c r="S15" s="181">
        <f>'SALARY STRUCTURE'!H18+160000</f>
        <v>504720.16666666669</v>
      </c>
      <c r="T15" s="22">
        <f t="shared" si="0"/>
        <v>83326.159916666627</v>
      </c>
      <c r="U15" s="22">
        <v>712.24525000000006</v>
      </c>
      <c r="V15" s="22">
        <f>837.69</f>
        <v>837.69</v>
      </c>
      <c r="W15" s="296">
        <v>59441.782042666666</v>
      </c>
      <c r="X15" s="22">
        <f>'[7]October 2023'!$Z$85</f>
        <v>75440.404746666667</v>
      </c>
      <c r="Y15" s="24">
        <f t="shared" si="4"/>
        <v>15998.622704000001</v>
      </c>
      <c r="Z15" s="185">
        <f t="shared" si="5"/>
        <v>67327.537212666619</v>
      </c>
      <c r="AA15" s="22">
        <f>9</f>
        <v>9</v>
      </c>
      <c r="AB15" s="185">
        <f t="shared" si="6"/>
        <v>605947.83491399954</v>
      </c>
      <c r="AC15" s="157"/>
    </row>
    <row r="16" spans="1:29" ht="20.100000000000001" customHeight="1">
      <c r="A16" s="27">
        <v>4</v>
      </c>
      <c r="B16" s="133" t="s">
        <v>134</v>
      </c>
      <c r="C16" s="19" t="s">
        <v>136</v>
      </c>
      <c r="D16" s="27" t="s">
        <v>168</v>
      </c>
      <c r="E16" s="24">
        <v>25523.45</v>
      </c>
      <c r="F16" s="24">
        <f>E16*300%</f>
        <v>76570.350000000006</v>
      </c>
      <c r="G16" s="24">
        <f>E16*7.5%</f>
        <v>1914.25875</v>
      </c>
      <c r="H16" s="24"/>
      <c r="I16" s="24">
        <f>E16*50%</f>
        <v>12761.725</v>
      </c>
      <c r="J16" s="24">
        <f>E16*350%</f>
        <v>89332.074999999997</v>
      </c>
      <c r="K16" s="24">
        <f>E16*100%</f>
        <v>25523.45</v>
      </c>
      <c r="L16" s="156">
        <f t="shared" ref="L16" si="9">120000</f>
        <v>120000</v>
      </c>
      <c r="M16" s="156"/>
      <c r="N16" s="24">
        <f>E16*10%</f>
        <v>2552.3450000000003</v>
      </c>
      <c r="O16" s="24">
        <v>15000</v>
      </c>
      <c r="P16" s="24"/>
      <c r="Q16" s="182">
        <f>SUM(E16:P16)</f>
        <v>369177.65375</v>
      </c>
      <c r="R16" s="27" t="s">
        <v>116</v>
      </c>
      <c r="S16" s="182">
        <f>'SALARY STRUCTURE'!I17+140000</f>
        <v>397211.25</v>
      </c>
      <c r="T16" s="22">
        <f t="shared" si="0"/>
        <v>28033.596250000002</v>
      </c>
      <c r="U16" s="24"/>
      <c r="V16" s="24"/>
      <c r="W16" s="294">
        <v>49548.776186666662</v>
      </c>
      <c r="X16" s="24">
        <f>'[7]October 2023'!$Z$62</f>
        <v>54931.226666666662</v>
      </c>
      <c r="Y16" s="24">
        <f t="shared" si="4"/>
        <v>5382.4504799999995</v>
      </c>
      <c r="Z16" s="185">
        <f t="shared" si="5"/>
        <v>22651.145770000003</v>
      </c>
      <c r="AA16" s="24">
        <f>(7/31)+2</f>
        <v>2.225806451612903</v>
      </c>
      <c r="AB16" s="185">
        <f t="shared" si="6"/>
        <v>50417.066391290326</v>
      </c>
      <c r="AC16" s="157"/>
    </row>
    <row r="17" spans="1:29" ht="20.100000000000001" customHeight="1">
      <c r="A17" s="27"/>
      <c r="B17" s="136" t="s">
        <v>91</v>
      </c>
      <c r="C17" s="28">
        <v>2</v>
      </c>
      <c r="D17" s="28"/>
      <c r="E17" s="65">
        <f t="shared" ref="E17:Q17" si="10">SUM(E15:E16)</f>
        <v>54013.26</v>
      </c>
      <c r="F17" s="65">
        <f t="shared" si="10"/>
        <v>162039.78000000003</v>
      </c>
      <c r="G17" s="65">
        <f t="shared" si="10"/>
        <v>4050.9944999999998</v>
      </c>
      <c r="H17" s="65">
        <f t="shared" si="10"/>
        <v>0</v>
      </c>
      <c r="I17" s="65">
        <f t="shared" si="10"/>
        <v>27006.63</v>
      </c>
      <c r="J17" s="65">
        <f t="shared" si="10"/>
        <v>189046.41</v>
      </c>
      <c r="K17" s="65">
        <f t="shared" si="10"/>
        <v>54013.26</v>
      </c>
      <c r="L17" s="65">
        <f t="shared" si="10"/>
        <v>260000</v>
      </c>
      <c r="M17" s="65">
        <f t="shared" si="10"/>
        <v>0</v>
      </c>
      <c r="N17" s="65">
        <f t="shared" si="10"/>
        <v>5401.3260000000009</v>
      </c>
      <c r="O17" s="65">
        <f t="shared" si="10"/>
        <v>35000</v>
      </c>
      <c r="P17" s="65">
        <f t="shared" si="10"/>
        <v>0</v>
      </c>
      <c r="Q17" s="65">
        <f t="shared" si="10"/>
        <v>790571.6605</v>
      </c>
      <c r="R17" s="28"/>
      <c r="S17" s="65">
        <f>SUM(S15:S16)</f>
        <v>901931.41666666674</v>
      </c>
      <c r="T17" s="65">
        <f t="shared" ref="T17:AB17" si="11">SUM(T15:T16)</f>
        <v>111359.75616666663</v>
      </c>
      <c r="U17" s="65">
        <f t="shared" si="11"/>
        <v>712.24525000000006</v>
      </c>
      <c r="V17" s="65">
        <f t="shared" si="11"/>
        <v>837.69</v>
      </c>
      <c r="W17" s="65">
        <f t="shared" si="11"/>
        <v>108990.55822933333</v>
      </c>
      <c r="X17" s="65">
        <f t="shared" si="11"/>
        <v>130371.63141333332</v>
      </c>
      <c r="Y17" s="65">
        <f t="shared" si="11"/>
        <v>21381.073184000001</v>
      </c>
      <c r="Z17" s="313">
        <f t="shared" si="11"/>
        <v>89978.682982666622</v>
      </c>
      <c r="AA17" s="65"/>
      <c r="AB17" s="313">
        <f t="shared" si="11"/>
        <v>656364.90130528982</v>
      </c>
      <c r="AC17" s="157"/>
    </row>
    <row r="18" spans="1:29" ht="20.100000000000001" customHeight="1">
      <c r="A18" s="27"/>
      <c r="B18" s="103"/>
      <c r="C18" s="28"/>
      <c r="D18" s="28"/>
      <c r="E18" s="29"/>
      <c r="F18" s="29"/>
      <c r="G18" s="29"/>
      <c r="H18" s="29"/>
      <c r="I18" s="29"/>
      <c r="J18" s="29"/>
      <c r="K18" s="29"/>
      <c r="L18" s="156"/>
      <c r="M18" s="156"/>
      <c r="N18" s="29"/>
      <c r="O18" s="29"/>
      <c r="P18" s="29"/>
      <c r="Q18" s="189"/>
      <c r="R18" s="28"/>
      <c r="S18" s="189"/>
      <c r="T18" s="22"/>
      <c r="U18" s="29"/>
      <c r="V18" s="29"/>
      <c r="W18" s="298"/>
      <c r="X18" s="29"/>
      <c r="Y18" s="24">
        <f t="shared" si="4"/>
        <v>0</v>
      </c>
      <c r="Z18" s="185">
        <f t="shared" si="5"/>
        <v>0</v>
      </c>
      <c r="AA18" s="29"/>
      <c r="AB18" s="185">
        <f t="shared" si="6"/>
        <v>0</v>
      </c>
      <c r="AC18" s="157"/>
    </row>
    <row r="19" spans="1:29" ht="20.100000000000001" customHeight="1">
      <c r="A19" s="27"/>
      <c r="B19" s="136" t="s">
        <v>146</v>
      </c>
      <c r="C19" s="28"/>
      <c r="D19" s="28"/>
      <c r="E19" s="29"/>
      <c r="F19" s="29"/>
      <c r="G19" s="29"/>
      <c r="H19" s="29"/>
      <c r="I19" s="29"/>
      <c r="J19" s="29"/>
      <c r="K19" s="29"/>
      <c r="L19" s="156"/>
      <c r="M19" s="156"/>
      <c r="N19" s="29"/>
      <c r="O19" s="29"/>
      <c r="P19" s="29"/>
      <c r="Q19" s="189"/>
      <c r="R19" s="28"/>
      <c r="S19" s="189"/>
      <c r="T19" s="22"/>
      <c r="U19" s="29"/>
      <c r="V19" s="29"/>
      <c r="W19" s="298"/>
      <c r="X19" s="29"/>
      <c r="Y19" s="24">
        <f t="shared" si="4"/>
        <v>0</v>
      </c>
      <c r="Z19" s="185">
        <f t="shared" si="5"/>
        <v>0</v>
      </c>
      <c r="AA19" s="29"/>
      <c r="AB19" s="185">
        <f t="shared" si="6"/>
        <v>0</v>
      </c>
      <c r="AC19" s="157"/>
    </row>
    <row r="20" spans="1:29" ht="20.100000000000001" customHeight="1">
      <c r="A20" s="27">
        <v>5</v>
      </c>
      <c r="B20" s="133" t="s">
        <v>153</v>
      </c>
      <c r="C20" s="19" t="s">
        <v>414</v>
      </c>
      <c r="D20" s="158" t="s">
        <v>168</v>
      </c>
      <c r="E20" s="24">
        <v>25523.45</v>
      </c>
      <c r="F20" s="24">
        <f>E20*300%</f>
        <v>76570.350000000006</v>
      </c>
      <c r="G20" s="24">
        <f>E20*7.5%</f>
        <v>1914.25875</v>
      </c>
      <c r="H20" s="24">
        <v>0</v>
      </c>
      <c r="I20" s="24">
        <f>E20*50%</f>
        <v>12761.725</v>
      </c>
      <c r="J20" s="22">
        <f>E20*350%</f>
        <v>89332.074999999997</v>
      </c>
      <c r="K20" s="24">
        <f>E20*100%</f>
        <v>25523.45</v>
      </c>
      <c r="L20" s="156">
        <f>120000</f>
        <v>120000</v>
      </c>
      <c r="M20" s="156"/>
      <c r="N20" s="24">
        <f>E20*10%</f>
        <v>2552.3450000000003</v>
      </c>
      <c r="O20" s="24">
        <v>15000</v>
      </c>
      <c r="P20" s="24">
        <v>0</v>
      </c>
      <c r="Q20" s="181">
        <f>SUM(E20:P20)</f>
        <v>369177.65375</v>
      </c>
      <c r="R20" s="158" t="s">
        <v>116</v>
      </c>
      <c r="S20" s="181">
        <f>'SALARY STRUCTURE'!I17+140000</f>
        <v>397211.25</v>
      </c>
      <c r="T20" s="22">
        <f t="shared" si="0"/>
        <v>28033.596250000002</v>
      </c>
      <c r="U20" s="22">
        <v>638.08625000000006</v>
      </c>
      <c r="V20" s="22"/>
      <c r="W20" s="294">
        <v>49548.776186666662</v>
      </c>
      <c r="X20" s="24">
        <f>'[7]October 2023'!$Z$78</f>
        <v>54931.226666666662</v>
      </c>
      <c r="Y20" s="24">
        <f t="shared" si="4"/>
        <v>5382.4504799999995</v>
      </c>
      <c r="Z20" s="185">
        <f t="shared" si="5"/>
        <v>22651.145770000003</v>
      </c>
      <c r="AA20" s="24">
        <f>9</f>
        <v>9</v>
      </c>
      <c r="AB20" s="185">
        <f t="shared" si="6"/>
        <v>203860.31193000003</v>
      </c>
      <c r="AC20" s="157"/>
    </row>
    <row r="21" spans="1:29" ht="20.100000000000001" customHeight="1">
      <c r="A21" s="27"/>
      <c r="B21" s="136" t="s">
        <v>91</v>
      </c>
      <c r="C21" s="28">
        <v>1</v>
      </c>
      <c r="D21" s="28"/>
      <c r="E21" s="65">
        <f t="shared" ref="E21:Q21" si="12">SUM(E20:E20)</f>
        <v>25523.45</v>
      </c>
      <c r="F21" s="65">
        <f t="shared" si="12"/>
        <v>76570.350000000006</v>
      </c>
      <c r="G21" s="65">
        <f t="shared" si="12"/>
        <v>1914.25875</v>
      </c>
      <c r="H21" s="65">
        <f t="shared" si="12"/>
        <v>0</v>
      </c>
      <c r="I21" s="65">
        <f t="shared" si="12"/>
        <v>12761.725</v>
      </c>
      <c r="J21" s="65">
        <f t="shared" si="12"/>
        <v>89332.074999999997</v>
      </c>
      <c r="K21" s="65">
        <f t="shared" si="12"/>
        <v>25523.45</v>
      </c>
      <c r="L21" s="65">
        <f t="shared" si="12"/>
        <v>120000</v>
      </c>
      <c r="M21" s="65">
        <f t="shared" si="12"/>
        <v>0</v>
      </c>
      <c r="N21" s="65">
        <f t="shared" si="12"/>
        <v>2552.3450000000003</v>
      </c>
      <c r="O21" s="65">
        <f t="shared" si="12"/>
        <v>15000</v>
      </c>
      <c r="P21" s="65">
        <f t="shared" si="12"/>
        <v>0</v>
      </c>
      <c r="Q21" s="65">
        <f t="shared" si="12"/>
        <v>369177.65375</v>
      </c>
      <c r="R21" s="28"/>
      <c r="S21" s="65">
        <f>SUM(S20:S20)</f>
        <v>397211.25</v>
      </c>
      <c r="T21" s="22"/>
      <c r="U21" s="65">
        <f>SUM(U20:U20)</f>
        <v>638.08625000000006</v>
      </c>
      <c r="V21" s="65"/>
      <c r="W21" s="297">
        <f>SUM(W20:W20)</f>
        <v>49548.776186666662</v>
      </c>
      <c r="X21" s="297">
        <f t="shared" ref="X21:AB21" si="13">SUM(X20:X20)</f>
        <v>54931.226666666662</v>
      </c>
      <c r="Y21" s="297">
        <f t="shared" si="13"/>
        <v>5382.4504799999995</v>
      </c>
      <c r="Z21" s="314">
        <f t="shared" si="13"/>
        <v>22651.145770000003</v>
      </c>
      <c r="AA21" s="297"/>
      <c r="AB21" s="314">
        <f t="shared" si="13"/>
        <v>203860.31193000003</v>
      </c>
      <c r="AC21" s="157"/>
    </row>
    <row r="22" spans="1:29" ht="20.100000000000001" customHeight="1">
      <c r="A22" s="27"/>
      <c r="B22" s="136"/>
      <c r="C22" s="28"/>
      <c r="D22" s="28"/>
      <c r="E22" s="29"/>
      <c r="F22" s="29"/>
      <c r="G22" s="29"/>
      <c r="H22" s="29"/>
      <c r="I22" s="29"/>
      <c r="J22" s="29"/>
      <c r="K22" s="29"/>
      <c r="L22" s="156"/>
      <c r="M22" s="156"/>
      <c r="N22" s="29"/>
      <c r="O22" s="29"/>
      <c r="P22" s="29"/>
      <c r="Q22" s="190"/>
      <c r="R22" s="28"/>
      <c r="S22" s="190"/>
      <c r="T22" s="22"/>
      <c r="U22" s="159"/>
      <c r="V22" s="159"/>
      <c r="W22" s="298"/>
      <c r="X22" s="29"/>
      <c r="Y22" s="24">
        <f t="shared" si="4"/>
        <v>0</v>
      </c>
      <c r="Z22" s="185">
        <f t="shared" si="5"/>
        <v>0</v>
      </c>
      <c r="AA22" s="29"/>
      <c r="AB22" s="185">
        <f t="shared" si="6"/>
        <v>0</v>
      </c>
      <c r="AC22" s="157"/>
    </row>
    <row r="23" spans="1:29" ht="20.100000000000001" customHeight="1">
      <c r="A23" s="27"/>
      <c r="B23" s="136" t="s">
        <v>161</v>
      </c>
      <c r="C23" s="163"/>
      <c r="D23" s="28"/>
      <c r="E23" s="29"/>
      <c r="F23" s="29"/>
      <c r="G23" s="29"/>
      <c r="H23" s="29"/>
      <c r="I23" s="29"/>
      <c r="J23" s="29"/>
      <c r="K23" s="29"/>
      <c r="L23" s="156"/>
      <c r="M23" s="156"/>
      <c r="N23" s="29"/>
      <c r="O23" s="29"/>
      <c r="P23" s="29"/>
      <c r="Q23" s="190"/>
      <c r="R23" s="28"/>
      <c r="S23" s="190"/>
      <c r="T23" s="22"/>
      <c r="U23" s="159"/>
      <c r="V23" s="159"/>
      <c r="W23" s="298"/>
      <c r="X23" s="29"/>
      <c r="Y23" s="24">
        <f t="shared" si="4"/>
        <v>0</v>
      </c>
      <c r="Z23" s="185">
        <f t="shared" si="5"/>
        <v>0</v>
      </c>
      <c r="AA23" s="29"/>
      <c r="AB23" s="185">
        <f t="shared" si="6"/>
        <v>0</v>
      </c>
      <c r="AC23" s="157"/>
    </row>
    <row r="24" spans="1:29" ht="20.100000000000001" customHeight="1">
      <c r="A24" s="27">
        <v>6</v>
      </c>
      <c r="B24" s="133" t="s">
        <v>165</v>
      </c>
      <c r="C24" s="19" t="s">
        <v>115</v>
      </c>
      <c r="D24" s="27" t="s">
        <v>51</v>
      </c>
      <c r="E24" s="24">
        <v>27611.23</v>
      </c>
      <c r="F24" s="24">
        <f>E24*300%</f>
        <v>82833.69</v>
      </c>
      <c r="G24" s="24">
        <f>E24*7.5%</f>
        <v>2070.8422499999997</v>
      </c>
      <c r="H24" s="24"/>
      <c r="I24" s="24">
        <f>E24*50%</f>
        <v>13805.615</v>
      </c>
      <c r="J24" s="24">
        <f>E24*350%</f>
        <v>96639.304999999993</v>
      </c>
      <c r="K24" s="24">
        <f>E24*100%</f>
        <v>27611.23</v>
      </c>
      <c r="L24" s="156">
        <v>140000</v>
      </c>
      <c r="M24" s="156"/>
      <c r="N24" s="24">
        <f>E24*10%</f>
        <v>2761.123</v>
      </c>
      <c r="O24" s="24">
        <v>20000</v>
      </c>
      <c r="P24" s="24"/>
      <c r="Q24" s="181">
        <f>SUM(E24:P24)</f>
        <v>413333.03525000007</v>
      </c>
      <c r="R24" s="27" t="s">
        <v>48</v>
      </c>
      <c r="S24" s="181">
        <f>'SALARY STRUCTURE'!H18+160000</f>
        <v>504720.16666666669</v>
      </c>
      <c r="T24" s="22">
        <f t="shared" si="0"/>
        <v>91387.131416666612</v>
      </c>
      <c r="U24" s="22"/>
      <c r="V24" s="22"/>
      <c r="W24" s="296">
        <v>58026.609434666672</v>
      </c>
      <c r="X24" s="22">
        <f>'[7]October 2023'!$Z$86</f>
        <v>75572.938666666669</v>
      </c>
      <c r="Y24" s="24">
        <f t="shared" si="4"/>
        <v>17546.329231999996</v>
      </c>
      <c r="Z24" s="185">
        <f t="shared" si="5"/>
        <v>73840.802184666623</v>
      </c>
      <c r="AA24" s="22">
        <v>1</v>
      </c>
      <c r="AB24" s="185">
        <f t="shared" si="6"/>
        <v>73840.802184666623</v>
      </c>
      <c r="AC24" s="157"/>
    </row>
    <row r="25" spans="1:29" ht="21.6" customHeight="1">
      <c r="A25" s="27">
        <v>7</v>
      </c>
      <c r="B25" s="133" t="s">
        <v>170</v>
      </c>
      <c r="C25" s="138" t="s">
        <v>136</v>
      </c>
      <c r="D25" s="158" t="s">
        <v>60</v>
      </c>
      <c r="E25" s="24">
        <v>24741.26</v>
      </c>
      <c r="F25" s="24">
        <f>E25*300%</f>
        <v>74223.78</v>
      </c>
      <c r="G25" s="24">
        <f>E25*7.5%</f>
        <v>1855.5944999999997</v>
      </c>
      <c r="H25" s="24">
        <v>0</v>
      </c>
      <c r="I25" s="24">
        <f>E25*50%</f>
        <v>12370.63</v>
      </c>
      <c r="J25" s="22">
        <f>E25*350%</f>
        <v>86594.409999999989</v>
      </c>
      <c r="K25" s="24">
        <f>E25*100%</f>
        <v>24741.26</v>
      </c>
      <c r="L25" s="156">
        <f t="shared" ref="L25" si="14">120000</f>
        <v>120000</v>
      </c>
      <c r="M25" s="156"/>
      <c r="N25" s="24">
        <f>E25*10%</f>
        <v>2474.1260000000002</v>
      </c>
      <c r="O25" s="24">
        <v>15000</v>
      </c>
      <c r="P25" s="24">
        <v>0</v>
      </c>
      <c r="Q25" s="181">
        <f>SUM(E25:P25)</f>
        <v>362001.06049999996</v>
      </c>
      <c r="R25" s="158" t="s">
        <v>171</v>
      </c>
      <c r="S25" s="181">
        <f>'SALARY STRUCTURE'!H17+140000</f>
        <v>389153.41666666663</v>
      </c>
      <c r="T25" s="22">
        <f t="shared" si="0"/>
        <v>27152.356166666665</v>
      </c>
      <c r="U25" s="22"/>
      <c r="V25" s="22"/>
      <c r="W25" s="294">
        <v>48170.870282666663</v>
      </c>
      <c r="X25" s="24">
        <f>'[7]October 2023'!$Z$89</f>
        <v>53384.122666666663</v>
      </c>
      <c r="Y25" s="24">
        <f t="shared" si="4"/>
        <v>5213.2523839999994</v>
      </c>
      <c r="Z25" s="185">
        <f t="shared" si="5"/>
        <v>21939.103782666665</v>
      </c>
      <c r="AA25" s="24">
        <f>(19/31)+2</f>
        <v>2.6129032258064515</v>
      </c>
      <c r="AB25" s="185">
        <f t="shared" si="6"/>
        <v>57324.755045032252</v>
      </c>
      <c r="AC25" s="157"/>
    </row>
    <row r="26" spans="1:29" ht="20.100000000000001" customHeight="1">
      <c r="A26" s="27"/>
      <c r="B26" s="136" t="s">
        <v>91</v>
      </c>
      <c r="C26" s="28">
        <v>2</v>
      </c>
      <c r="D26" s="28"/>
      <c r="E26" s="65">
        <f t="shared" ref="E26:Q26" si="15">SUM(E24:E25)</f>
        <v>52352.49</v>
      </c>
      <c r="F26" s="65">
        <f t="shared" si="15"/>
        <v>157057.47</v>
      </c>
      <c r="G26" s="65">
        <f t="shared" si="15"/>
        <v>3926.4367499999994</v>
      </c>
      <c r="H26" s="65">
        <f t="shared" si="15"/>
        <v>0</v>
      </c>
      <c r="I26" s="65">
        <f t="shared" si="15"/>
        <v>26176.244999999999</v>
      </c>
      <c r="J26" s="65">
        <f t="shared" si="15"/>
        <v>183233.71499999997</v>
      </c>
      <c r="K26" s="65">
        <f t="shared" si="15"/>
        <v>52352.49</v>
      </c>
      <c r="L26" s="65">
        <f t="shared" si="15"/>
        <v>260000</v>
      </c>
      <c r="M26" s="65">
        <f t="shared" si="15"/>
        <v>0</v>
      </c>
      <c r="N26" s="65">
        <f t="shared" si="15"/>
        <v>5235.2489999999998</v>
      </c>
      <c r="O26" s="65">
        <f t="shared" si="15"/>
        <v>35000</v>
      </c>
      <c r="P26" s="65">
        <f t="shared" si="15"/>
        <v>0</v>
      </c>
      <c r="Q26" s="65">
        <f t="shared" si="15"/>
        <v>775334.09575000009</v>
      </c>
      <c r="R26" s="28"/>
      <c r="S26" s="65">
        <f>SUM(S24:S25)</f>
        <v>893873.58333333326</v>
      </c>
      <c r="T26" s="65">
        <f t="shared" ref="T26:AB26" si="16">SUM(T24:T25)</f>
        <v>118539.48758333328</v>
      </c>
      <c r="U26" s="65">
        <f t="shared" si="16"/>
        <v>0</v>
      </c>
      <c r="V26" s="65">
        <f t="shared" si="16"/>
        <v>0</v>
      </c>
      <c r="W26" s="65">
        <f t="shared" si="16"/>
        <v>106197.47971733334</v>
      </c>
      <c r="X26" s="65">
        <f t="shared" si="16"/>
        <v>128957.06133333333</v>
      </c>
      <c r="Y26" s="65">
        <f t="shared" si="16"/>
        <v>22759.581615999996</v>
      </c>
      <c r="Z26" s="313">
        <f t="shared" si="16"/>
        <v>95779.905967333296</v>
      </c>
      <c r="AA26" s="65"/>
      <c r="AB26" s="313">
        <f t="shared" si="16"/>
        <v>131165.55722969887</v>
      </c>
      <c r="AC26" s="157"/>
    </row>
    <row r="27" spans="1:29" ht="20.100000000000001" customHeight="1">
      <c r="A27" s="27"/>
      <c r="B27" s="103"/>
      <c r="C27" s="28"/>
      <c r="D27" s="28"/>
      <c r="E27" s="29"/>
      <c r="F27" s="29"/>
      <c r="G27" s="29"/>
      <c r="H27" s="29"/>
      <c r="I27" s="29"/>
      <c r="J27" s="29"/>
      <c r="K27" s="29"/>
      <c r="L27" s="156"/>
      <c r="M27" s="156"/>
      <c r="N27" s="29"/>
      <c r="O27" s="29"/>
      <c r="P27" s="29"/>
      <c r="Q27" s="189"/>
      <c r="R27" s="28"/>
      <c r="S27" s="189"/>
      <c r="T27" s="22">
        <f t="shared" si="0"/>
        <v>0</v>
      </c>
      <c r="U27" s="29"/>
      <c r="V27" s="29"/>
      <c r="W27" s="298"/>
      <c r="X27" s="29"/>
      <c r="Y27" s="24">
        <f t="shared" si="4"/>
        <v>0</v>
      </c>
      <c r="Z27" s="185">
        <f t="shared" si="5"/>
        <v>0</v>
      </c>
      <c r="AA27" s="29"/>
      <c r="AB27" s="185">
        <f t="shared" si="6"/>
        <v>0</v>
      </c>
      <c r="AC27" s="157"/>
    </row>
    <row r="28" spans="1:29" ht="20.100000000000001" customHeight="1">
      <c r="A28" s="27"/>
      <c r="B28" s="136" t="s">
        <v>178</v>
      </c>
      <c r="C28" s="28"/>
      <c r="D28" s="28"/>
      <c r="E28" s="29"/>
      <c r="F28" s="29"/>
      <c r="G28" s="29"/>
      <c r="H28" s="29"/>
      <c r="I28" s="29"/>
      <c r="J28" s="29"/>
      <c r="K28" s="29"/>
      <c r="L28" s="156"/>
      <c r="M28" s="156"/>
      <c r="N28" s="29"/>
      <c r="O28" s="29"/>
      <c r="P28" s="29"/>
      <c r="Q28" s="189"/>
      <c r="R28" s="28"/>
      <c r="S28" s="189"/>
      <c r="T28" s="22">
        <f t="shared" si="0"/>
        <v>0</v>
      </c>
      <c r="U28" s="29"/>
      <c r="V28" s="29"/>
      <c r="W28" s="298"/>
      <c r="X28" s="29"/>
      <c r="Y28" s="24">
        <f t="shared" si="4"/>
        <v>0</v>
      </c>
      <c r="Z28" s="185">
        <f t="shared" si="5"/>
        <v>0</v>
      </c>
      <c r="AA28" s="29"/>
      <c r="AB28" s="185">
        <f t="shared" si="6"/>
        <v>0</v>
      </c>
      <c r="AC28" s="157"/>
    </row>
    <row r="29" spans="1:29" ht="20.100000000000001" customHeight="1">
      <c r="A29" s="27">
        <v>8</v>
      </c>
      <c r="B29" s="133" t="s">
        <v>46</v>
      </c>
      <c r="C29" s="19" t="s">
        <v>182</v>
      </c>
      <c r="D29" s="27" t="s">
        <v>51</v>
      </c>
      <c r="E29" s="24">
        <v>27611.23</v>
      </c>
      <c r="F29" s="24">
        <f>E29*300%</f>
        <v>82833.69</v>
      </c>
      <c r="G29" s="24">
        <f>E29*7.5%</f>
        <v>2070.8422499999997</v>
      </c>
      <c r="H29" s="24"/>
      <c r="I29" s="24">
        <f>E29*50%</f>
        <v>13805.615</v>
      </c>
      <c r="J29" s="24">
        <f>E29*350%</f>
        <v>96639.304999999993</v>
      </c>
      <c r="K29" s="24">
        <f>E29*100%</f>
        <v>27611.23</v>
      </c>
      <c r="L29" s="156">
        <v>140000</v>
      </c>
      <c r="M29" s="156"/>
      <c r="N29" s="24">
        <f>E29*10%</f>
        <v>2761.123</v>
      </c>
      <c r="O29" s="24">
        <v>20000</v>
      </c>
      <c r="P29" s="24">
        <f>100000</f>
        <v>100000</v>
      </c>
      <c r="Q29" s="181">
        <f>SUM(E29:P29)</f>
        <v>513333.03525000007</v>
      </c>
      <c r="R29" s="27" t="s">
        <v>48</v>
      </c>
      <c r="S29" s="181">
        <f>'SALARY STRUCTURE'!H18+160000+100000</f>
        <v>604720.16666666674</v>
      </c>
      <c r="T29" s="22">
        <f t="shared" si="0"/>
        <v>91387.131416666671</v>
      </c>
      <c r="U29" s="22">
        <v>690.28075000000001</v>
      </c>
      <c r="V29" s="22">
        <f>837.69</f>
        <v>837.69</v>
      </c>
      <c r="W29" s="296">
        <f>77098.29</f>
        <v>77098.289999999994</v>
      </c>
      <c r="X29" s="22">
        <f>'[7]October 2023'!$Z$97</f>
        <v>94644.621866666668</v>
      </c>
      <c r="Y29" s="24">
        <f t="shared" si="4"/>
        <v>17546.331866666675</v>
      </c>
      <c r="Z29" s="185">
        <f t="shared" si="5"/>
        <v>73840.799549999996</v>
      </c>
      <c r="AA29" s="22">
        <f>3</f>
        <v>3</v>
      </c>
      <c r="AB29" s="185">
        <f t="shared" si="6"/>
        <v>221522.39864999999</v>
      </c>
      <c r="AC29" s="157"/>
    </row>
    <row r="30" spans="1:29" ht="20.100000000000001" customHeight="1">
      <c r="A30" s="27">
        <v>9</v>
      </c>
      <c r="B30" s="133" t="s">
        <v>181</v>
      </c>
      <c r="C30" s="19" t="s">
        <v>245</v>
      </c>
      <c r="D30" s="158" t="s">
        <v>168</v>
      </c>
      <c r="E30" s="24">
        <v>25523.45</v>
      </c>
      <c r="F30" s="24">
        <f>E30*300%</f>
        <v>76570.350000000006</v>
      </c>
      <c r="G30" s="24">
        <f>E30*7.5%</f>
        <v>1914.25875</v>
      </c>
      <c r="H30" s="22">
        <v>0</v>
      </c>
      <c r="I30" s="24">
        <f>E30*50%</f>
        <v>12761.725</v>
      </c>
      <c r="J30" s="22">
        <f>E30*350%</f>
        <v>89332.074999999997</v>
      </c>
      <c r="K30" s="24">
        <f>E30*100%</f>
        <v>25523.45</v>
      </c>
      <c r="L30" s="156"/>
      <c r="M30" s="156">
        <v>70000</v>
      </c>
      <c r="N30" s="24">
        <f>E30*10%</f>
        <v>2552.3450000000003</v>
      </c>
      <c r="O30" s="24">
        <v>15000</v>
      </c>
      <c r="P30" s="24">
        <v>0</v>
      </c>
      <c r="Q30" s="181">
        <f>SUM(E30:P30)</f>
        <v>319177.65375</v>
      </c>
      <c r="R30" s="158" t="s">
        <v>116</v>
      </c>
      <c r="S30" s="181">
        <f>'SALARY STRUCTURE'!I17+70000</f>
        <v>327211.25</v>
      </c>
      <c r="T30" s="22">
        <f t="shared" si="0"/>
        <v>8033.5962500000023</v>
      </c>
      <c r="U30" s="22"/>
      <c r="V30" s="22"/>
      <c r="W30" s="294">
        <v>40698.124856666655</v>
      </c>
      <c r="X30" s="24">
        <f>'[7]October 2023'!$Z$129</f>
        <v>42047.769026666661</v>
      </c>
      <c r="Y30" s="24">
        <f t="shared" si="4"/>
        <v>1349.6441700000069</v>
      </c>
      <c r="Z30" s="185">
        <f t="shared" si="5"/>
        <v>6683.9520799999955</v>
      </c>
      <c r="AA30" s="24">
        <v>7</v>
      </c>
      <c r="AB30" s="185">
        <f t="shared" si="6"/>
        <v>46787.664559999968</v>
      </c>
      <c r="AC30" s="157"/>
    </row>
    <row r="31" spans="1:29" ht="20.100000000000001" customHeight="1">
      <c r="A31" s="27">
        <v>10</v>
      </c>
      <c r="B31" s="133" t="s">
        <v>185</v>
      </c>
      <c r="C31" s="19" t="s">
        <v>415</v>
      </c>
      <c r="D31" s="158" t="s">
        <v>199</v>
      </c>
      <c r="E31" s="24">
        <v>13492.21</v>
      </c>
      <c r="F31" s="24">
        <v>40476.629999999997</v>
      </c>
      <c r="G31" s="24">
        <v>1011.9157499999999</v>
      </c>
      <c r="H31" s="24"/>
      <c r="I31" s="24">
        <v>6746.1049999999996</v>
      </c>
      <c r="J31" s="22">
        <v>47222.735000000001</v>
      </c>
      <c r="K31" s="24">
        <v>13492.21</v>
      </c>
      <c r="L31" s="156"/>
      <c r="M31" s="156">
        <v>50000</v>
      </c>
      <c r="N31" s="24">
        <v>1349.221</v>
      </c>
      <c r="O31" s="24">
        <v>10000</v>
      </c>
      <c r="P31" s="24"/>
      <c r="Q31" s="181">
        <v>183791.02674999999</v>
      </c>
      <c r="R31" s="158" t="s">
        <v>72</v>
      </c>
      <c r="S31" s="181">
        <f>'SALARY STRUCTURE'!H14+60000</f>
        <v>228601.58333333334</v>
      </c>
      <c r="T31" s="22">
        <f t="shared" si="0"/>
        <v>44810.556583333353</v>
      </c>
      <c r="U31" s="22"/>
      <c r="V31" s="22"/>
      <c r="W31" s="294">
        <v>18102.902732666666</v>
      </c>
      <c r="X31" s="24">
        <f>'[7]October 2023'!$Z$30</f>
        <v>25571.732666666667</v>
      </c>
      <c r="Y31" s="24">
        <f t="shared" si="4"/>
        <v>7468.8299340000012</v>
      </c>
      <c r="Z31" s="185">
        <f t="shared" si="5"/>
        <v>37341.726649333352</v>
      </c>
      <c r="AA31" s="24">
        <v>1</v>
      </c>
      <c r="AB31" s="185">
        <f t="shared" si="6"/>
        <v>37341.726649333352</v>
      </c>
      <c r="AC31" s="157"/>
    </row>
    <row r="32" spans="1:29" ht="20.100000000000001" customHeight="1">
      <c r="A32" s="19"/>
      <c r="B32" s="136" t="s">
        <v>91</v>
      </c>
      <c r="C32" s="28">
        <v>3</v>
      </c>
      <c r="D32" s="164"/>
      <c r="E32" s="65">
        <f t="shared" ref="E32:Q32" si="17">SUM(E29:E31)</f>
        <v>66626.89</v>
      </c>
      <c r="F32" s="65">
        <f t="shared" si="17"/>
        <v>199880.67</v>
      </c>
      <c r="G32" s="65">
        <f t="shared" si="17"/>
        <v>4997.0167499999998</v>
      </c>
      <c r="H32" s="65">
        <f t="shared" si="17"/>
        <v>0</v>
      </c>
      <c r="I32" s="65">
        <f t="shared" si="17"/>
        <v>33313.445</v>
      </c>
      <c r="J32" s="65">
        <f t="shared" si="17"/>
        <v>233194.11499999999</v>
      </c>
      <c r="K32" s="65">
        <f t="shared" si="17"/>
        <v>66626.89</v>
      </c>
      <c r="L32" s="65">
        <f t="shared" si="17"/>
        <v>140000</v>
      </c>
      <c r="M32" s="65">
        <f t="shared" si="17"/>
        <v>120000</v>
      </c>
      <c r="N32" s="65">
        <f t="shared" si="17"/>
        <v>6662.6890000000003</v>
      </c>
      <c r="O32" s="65">
        <f t="shared" si="17"/>
        <v>45000</v>
      </c>
      <c r="P32" s="65">
        <f t="shared" si="17"/>
        <v>100000</v>
      </c>
      <c r="Q32" s="65">
        <f t="shared" si="17"/>
        <v>1016301.71575</v>
      </c>
      <c r="R32" s="164"/>
      <c r="S32" s="65">
        <f>SUM(S29:S31)</f>
        <v>1160533</v>
      </c>
      <c r="T32" s="22">
        <f t="shared" si="0"/>
        <v>144231.28425000003</v>
      </c>
      <c r="U32" s="65">
        <f>SUM(U29:U31)</f>
        <v>690.28075000000001</v>
      </c>
      <c r="V32" s="65"/>
      <c r="W32" s="297">
        <f>SUM(W29:W31)</f>
        <v>135899.31758933331</v>
      </c>
      <c r="X32" s="297">
        <f t="shared" ref="X32:AB32" si="18">SUM(X29:X31)</f>
        <v>162264.12356000001</v>
      </c>
      <c r="Y32" s="297">
        <f t="shared" si="18"/>
        <v>26364.805970666683</v>
      </c>
      <c r="Z32" s="314">
        <f t="shared" si="18"/>
        <v>117866.47827933333</v>
      </c>
      <c r="AA32" s="297"/>
      <c r="AB32" s="314">
        <f t="shared" si="18"/>
        <v>305651.78985933331</v>
      </c>
      <c r="AC32" s="157"/>
    </row>
    <row r="33" spans="1:29" ht="20.100000000000001" customHeight="1">
      <c r="A33" s="19"/>
      <c r="B33" s="103"/>
      <c r="C33" s="27"/>
      <c r="D33" s="19"/>
      <c r="E33" s="166"/>
      <c r="F33" s="166"/>
      <c r="G33" s="166"/>
      <c r="H33" s="166"/>
      <c r="I33" s="166"/>
      <c r="J33" s="166"/>
      <c r="K33" s="166"/>
      <c r="L33" s="156"/>
      <c r="M33" s="156"/>
      <c r="N33" s="166"/>
      <c r="O33" s="166"/>
      <c r="P33" s="166"/>
      <c r="Q33" s="183"/>
      <c r="R33" s="19"/>
      <c r="S33" s="183"/>
      <c r="T33" s="22"/>
      <c r="U33" s="166"/>
      <c r="V33" s="166"/>
      <c r="W33" s="299"/>
      <c r="X33" s="166"/>
      <c r="Y33" s="24">
        <f t="shared" si="4"/>
        <v>0</v>
      </c>
      <c r="Z33" s="185">
        <f t="shared" si="5"/>
        <v>0</v>
      </c>
      <c r="AA33" s="166"/>
      <c r="AB33" s="185">
        <f t="shared" si="6"/>
        <v>0</v>
      </c>
      <c r="AC33" s="157"/>
    </row>
    <row r="34" spans="1:29" ht="20.100000000000001" customHeight="1">
      <c r="A34" s="19"/>
      <c r="B34" s="136" t="s">
        <v>208</v>
      </c>
      <c r="C34" s="28"/>
      <c r="D34" s="28"/>
      <c r="E34" s="29"/>
      <c r="F34" s="29"/>
      <c r="G34" s="29"/>
      <c r="H34" s="29"/>
      <c r="I34" s="29"/>
      <c r="J34" s="29"/>
      <c r="K34" s="29"/>
      <c r="L34" s="156"/>
      <c r="M34" s="156"/>
      <c r="N34" s="29"/>
      <c r="O34" s="29"/>
      <c r="P34" s="29"/>
      <c r="Q34" s="190"/>
      <c r="R34" s="28"/>
      <c r="S34" s="190"/>
      <c r="T34" s="22"/>
      <c r="U34" s="159"/>
      <c r="V34" s="159"/>
      <c r="W34" s="298"/>
      <c r="X34" s="29"/>
      <c r="Y34" s="24">
        <f t="shared" si="4"/>
        <v>0</v>
      </c>
      <c r="Z34" s="185">
        <f t="shared" si="5"/>
        <v>0</v>
      </c>
      <c r="AA34" s="29"/>
      <c r="AB34" s="185">
        <f t="shared" si="6"/>
        <v>0</v>
      </c>
      <c r="AC34" s="157"/>
    </row>
    <row r="35" spans="1:29" ht="20.100000000000001" customHeight="1">
      <c r="A35" s="19">
        <v>11</v>
      </c>
      <c r="B35" s="133" t="s">
        <v>220</v>
      </c>
      <c r="C35" s="138" t="s">
        <v>416</v>
      </c>
      <c r="D35" s="158" t="s">
        <v>168</v>
      </c>
      <c r="E35" s="24">
        <v>25523.45</v>
      </c>
      <c r="F35" s="24">
        <f>E35*300%</f>
        <v>76570.350000000006</v>
      </c>
      <c r="G35" s="24">
        <f>E35*7.5%</f>
        <v>1914.25875</v>
      </c>
      <c r="H35" s="24"/>
      <c r="I35" s="24">
        <f>E35*50%</f>
        <v>12761.725</v>
      </c>
      <c r="J35" s="22">
        <f>E35*350%</f>
        <v>89332.074999999997</v>
      </c>
      <c r="K35" s="24">
        <f>E35*100%</f>
        <v>25523.45</v>
      </c>
      <c r="L35" s="156"/>
      <c r="M35" s="156">
        <f t="shared" ref="M35" si="19">70000</f>
        <v>70000</v>
      </c>
      <c r="N35" s="24">
        <f>E35*10%</f>
        <v>2552.3450000000003</v>
      </c>
      <c r="O35" s="24">
        <v>15000</v>
      </c>
      <c r="P35" s="24"/>
      <c r="Q35" s="181">
        <f>SUM(E35:P35)</f>
        <v>319177.65375</v>
      </c>
      <c r="R35" s="158" t="s">
        <v>116</v>
      </c>
      <c r="S35" s="181">
        <f>'SALARY STRUCTURE'!I17+70000</f>
        <v>327211.25</v>
      </c>
      <c r="T35" s="22">
        <f t="shared" si="0"/>
        <v>8033.5962500000023</v>
      </c>
      <c r="U35" s="22">
        <v>638.08625000000006</v>
      </c>
      <c r="V35" s="22">
        <f>690.28</f>
        <v>690.28</v>
      </c>
      <c r="W35" s="294">
        <v>40684.599176666663</v>
      </c>
      <c r="X35" s="24">
        <f>'[7]October 2023'!$Z$118</f>
        <v>42034.243346666663</v>
      </c>
      <c r="Y35" s="24">
        <f t="shared" si="4"/>
        <v>1349.6441699999996</v>
      </c>
      <c r="Z35" s="185">
        <f t="shared" si="5"/>
        <v>6683.9520800000028</v>
      </c>
      <c r="AA35" s="24">
        <f>9</f>
        <v>9</v>
      </c>
      <c r="AB35" s="185">
        <f t="shared" si="6"/>
        <v>60155.568720000025</v>
      </c>
      <c r="AC35" s="157"/>
    </row>
    <row r="36" spans="1:29" ht="28.5" customHeight="1">
      <c r="A36" s="19"/>
      <c r="B36" s="136" t="s">
        <v>91</v>
      </c>
      <c r="C36" s="164" t="s">
        <v>417</v>
      </c>
      <c r="D36" s="158"/>
      <c r="E36" s="29">
        <f t="shared" ref="E36:Q36" si="20">SUM(E35:E35)</f>
        <v>25523.45</v>
      </c>
      <c r="F36" s="29">
        <f t="shared" si="20"/>
        <v>76570.350000000006</v>
      </c>
      <c r="G36" s="29">
        <f t="shared" si="20"/>
        <v>1914.25875</v>
      </c>
      <c r="H36" s="29">
        <f t="shared" si="20"/>
        <v>0</v>
      </c>
      <c r="I36" s="29">
        <f t="shared" si="20"/>
        <v>12761.725</v>
      </c>
      <c r="J36" s="29">
        <f t="shared" si="20"/>
        <v>89332.074999999997</v>
      </c>
      <c r="K36" s="29">
        <f t="shared" si="20"/>
        <v>25523.45</v>
      </c>
      <c r="L36" s="29">
        <f t="shared" si="20"/>
        <v>0</v>
      </c>
      <c r="M36" s="29">
        <f t="shared" si="20"/>
        <v>70000</v>
      </c>
      <c r="N36" s="29">
        <f t="shared" si="20"/>
        <v>2552.3450000000003</v>
      </c>
      <c r="O36" s="29">
        <f t="shared" si="20"/>
        <v>15000</v>
      </c>
      <c r="P36" s="29">
        <f t="shared" si="20"/>
        <v>0</v>
      </c>
      <c r="Q36" s="29">
        <f t="shared" si="20"/>
        <v>319177.65375</v>
      </c>
      <c r="R36" s="158"/>
      <c r="S36" s="29">
        <f t="shared" ref="S36:Z36" si="21">SUM(S35:S35)</f>
        <v>327211.25</v>
      </c>
      <c r="T36" s="29">
        <f t="shared" si="21"/>
        <v>8033.5962500000023</v>
      </c>
      <c r="U36" s="29">
        <f t="shared" si="21"/>
        <v>638.08625000000006</v>
      </c>
      <c r="V36" s="29">
        <f t="shared" si="21"/>
        <v>690.28</v>
      </c>
      <c r="W36" s="29">
        <f t="shared" si="21"/>
        <v>40684.599176666663</v>
      </c>
      <c r="X36" s="29">
        <f t="shared" si="21"/>
        <v>42034.243346666663</v>
      </c>
      <c r="Y36" s="29">
        <f t="shared" si="21"/>
        <v>1349.6441699999996</v>
      </c>
      <c r="Z36" s="195">
        <f t="shared" si="21"/>
        <v>6683.9520800000028</v>
      </c>
      <c r="AA36" s="29"/>
      <c r="AB36" s="195">
        <f>SUM(AB35:AB35)</f>
        <v>60155.568720000025</v>
      </c>
      <c r="AC36" s="157"/>
    </row>
    <row r="37" spans="1:29" ht="20.100000000000001" customHeight="1">
      <c r="A37" s="19"/>
      <c r="B37" s="103"/>
      <c r="C37" s="164"/>
      <c r="D37" s="158"/>
      <c r="E37" s="29"/>
      <c r="F37" s="29"/>
      <c r="G37" s="29"/>
      <c r="H37" s="29"/>
      <c r="I37" s="29"/>
      <c r="J37" s="159"/>
      <c r="K37" s="29"/>
      <c r="L37" s="156">
        <f>226713.38+70000</f>
        <v>296713.38</v>
      </c>
      <c r="M37" s="156"/>
      <c r="N37" s="29"/>
      <c r="O37" s="29"/>
      <c r="P37" s="29"/>
      <c r="Q37" s="190"/>
      <c r="R37" s="158"/>
      <c r="S37" s="190"/>
      <c r="T37" s="22"/>
      <c r="U37" s="159"/>
      <c r="V37" s="159"/>
      <c r="W37" s="298"/>
      <c r="X37" s="29"/>
      <c r="Y37" s="24"/>
      <c r="Z37" s="185"/>
      <c r="AA37" s="29"/>
      <c r="AB37" s="185"/>
      <c r="AC37" s="157"/>
    </row>
    <row r="38" spans="1:29" ht="20.100000000000001" customHeight="1">
      <c r="A38" s="19"/>
      <c r="B38" s="136" t="s">
        <v>228</v>
      </c>
      <c r="C38" s="138"/>
      <c r="D38" s="158"/>
      <c r="E38" s="24"/>
      <c r="F38" s="24"/>
      <c r="G38" s="24"/>
      <c r="H38" s="24"/>
      <c r="I38" s="24"/>
      <c r="J38" s="22"/>
      <c r="K38" s="24"/>
      <c r="L38" s="156"/>
      <c r="M38" s="156"/>
      <c r="N38" s="24"/>
      <c r="O38" s="24"/>
      <c r="P38" s="24"/>
      <c r="Q38" s="181"/>
      <c r="R38" s="158"/>
      <c r="S38" s="181"/>
      <c r="T38" s="22"/>
      <c r="U38" s="22"/>
      <c r="V38" s="22"/>
      <c r="W38" s="294"/>
      <c r="X38" s="24"/>
      <c r="Y38" s="24"/>
      <c r="Z38" s="185"/>
      <c r="AA38" s="24"/>
      <c r="AB38" s="185"/>
      <c r="AC38" s="157"/>
    </row>
    <row r="39" spans="1:29" ht="20.100000000000001" customHeight="1">
      <c r="A39" s="168">
        <v>12</v>
      </c>
      <c r="B39" s="133" t="s">
        <v>248</v>
      </c>
      <c r="C39" s="138" t="s">
        <v>418</v>
      </c>
      <c r="D39" s="158" t="s">
        <v>419</v>
      </c>
      <c r="E39" s="156">
        <v>18779.3</v>
      </c>
      <c r="F39" s="24">
        <f t="shared" ref="F39:F45" si="22">E39*300%</f>
        <v>56337.899999999994</v>
      </c>
      <c r="G39" s="24">
        <f t="shared" ref="G39:G45" si="23">E39*7.5%</f>
        <v>1408.4475</v>
      </c>
      <c r="H39" s="24"/>
      <c r="I39" s="24">
        <f t="shared" ref="I39:I45" si="24">E39*50%</f>
        <v>9389.65</v>
      </c>
      <c r="J39" s="22">
        <f t="shared" ref="J39:J45" si="25">E39*350%</f>
        <v>65727.55</v>
      </c>
      <c r="K39" s="24">
        <f t="shared" ref="K39:K45" si="26">E39*100%</f>
        <v>18779.3</v>
      </c>
      <c r="L39" s="156"/>
      <c r="M39" s="156">
        <f>60000</f>
        <v>60000</v>
      </c>
      <c r="N39" s="24">
        <f t="shared" ref="N39:N45" si="27">E39*10%</f>
        <v>1877.93</v>
      </c>
      <c r="O39" s="24">
        <v>10000</v>
      </c>
      <c r="P39" s="24"/>
      <c r="Q39" s="181">
        <f t="shared" ref="Q39:Q45" si="28">SUM(E39:P39)</f>
        <v>242300.07749999996</v>
      </c>
      <c r="R39" s="158" t="s">
        <v>69</v>
      </c>
      <c r="S39" s="181">
        <f>'SALARY STRUCTURE'!H15+60000</f>
        <v>265371.75</v>
      </c>
      <c r="T39" s="22">
        <f t="shared" si="0"/>
        <v>23071.672500000044</v>
      </c>
      <c r="U39" s="22">
        <v>469.48250000000002</v>
      </c>
      <c r="V39" s="22">
        <f>570.95</f>
        <v>570.95000000000005</v>
      </c>
      <c r="W39" s="294">
        <v>27794.206626666662</v>
      </c>
      <c r="X39" s="24">
        <f>'[7]October 2023'!$Z$134</f>
        <v>31653.201066666661</v>
      </c>
      <c r="Y39" s="24">
        <f t="shared" si="4"/>
        <v>3858.9944399999986</v>
      </c>
      <c r="Z39" s="185">
        <f t="shared" si="5"/>
        <v>19212.678060000046</v>
      </c>
      <c r="AA39" s="24">
        <v>9</v>
      </c>
      <c r="AB39" s="185">
        <f t="shared" si="6"/>
        <v>172914.1025400004</v>
      </c>
      <c r="AC39" s="157"/>
    </row>
    <row r="40" spans="1:29" ht="20.100000000000001" customHeight="1">
      <c r="A40" s="168">
        <v>13</v>
      </c>
      <c r="B40" s="134" t="s">
        <v>252</v>
      </c>
      <c r="C40" s="19" t="s">
        <v>262</v>
      </c>
      <c r="D40" s="158" t="s">
        <v>419</v>
      </c>
      <c r="E40" s="24">
        <f>18779.3</f>
        <v>18779.3</v>
      </c>
      <c r="F40" s="24">
        <f t="shared" si="22"/>
        <v>56337.899999999994</v>
      </c>
      <c r="G40" s="24">
        <f t="shared" si="23"/>
        <v>1408.4475</v>
      </c>
      <c r="H40" s="24"/>
      <c r="I40" s="24">
        <f t="shared" si="24"/>
        <v>9389.65</v>
      </c>
      <c r="J40" s="24">
        <f t="shared" si="25"/>
        <v>65727.55</v>
      </c>
      <c r="K40" s="24">
        <f t="shared" si="26"/>
        <v>18779.3</v>
      </c>
      <c r="L40" s="156"/>
      <c r="M40" s="156">
        <v>60000</v>
      </c>
      <c r="N40" s="24">
        <f t="shared" si="27"/>
        <v>1877.93</v>
      </c>
      <c r="O40" s="24">
        <v>10000</v>
      </c>
      <c r="P40" s="24"/>
      <c r="Q40" s="181">
        <f t="shared" si="28"/>
        <v>242300.07749999996</v>
      </c>
      <c r="R40" s="158" t="s">
        <v>69</v>
      </c>
      <c r="S40" s="181">
        <f>'SALARY STRUCTURE'!H15+60000</f>
        <v>265371.75</v>
      </c>
      <c r="T40" s="22">
        <f t="shared" si="0"/>
        <v>23071.672500000044</v>
      </c>
      <c r="U40" s="22">
        <v>0</v>
      </c>
      <c r="V40" s="22"/>
      <c r="W40" s="294">
        <v>27873.079686666664</v>
      </c>
      <c r="X40" s="24">
        <f>'[7]October 2023'!$Z$24</f>
        <v>31749.120666666666</v>
      </c>
      <c r="Y40" s="24">
        <f t="shared" si="4"/>
        <v>3876.0409800000016</v>
      </c>
      <c r="Z40" s="185">
        <f t="shared" si="5"/>
        <v>19195.631520000043</v>
      </c>
      <c r="AA40" s="24">
        <v>1</v>
      </c>
      <c r="AB40" s="185">
        <f t="shared" si="6"/>
        <v>19195.631520000043</v>
      </c>
      <c r="AC40" s="157"/>
    </row>
    <row r="41" spans="1:29" ht="20.100000000000001" customHeight="1">
      <c r="A41" s="168">
        <v>14</v>
      </c>
      <c r="B41" s="134" t="s">
        <v>271</v>
      </c>
      <c r="C41" s="138" t="s">
        <v>276</v>
      </c>
      <c r="D41" s="158" t="s">
        <v>199</v>
      </c>
      <c r="E41" s="156">
        <v>13492.21</v>
      </c>
      <c r="F41" s="24">
        <f t="shared" si="22"/>
        <v>40476.629999999997</v>
      </c>
      <c r="G41" s="24">
        <f t="shared" si="23"/>
        <v>1011.9157499999999</v>
      </c>
      <c r="H41" s="24"/>
      <c r="I41" s="24">
        <f t="shared" si="24"/>
        <v>6746.1049999999996</v>
      </c>
      <c r="J41" s="22">
        <f t="shared" si="25"/>
        <v>47222.735000000001</v>
      </c>
      <c r="K41" s="24">
        <f t="shared" si="26"/>
        <v>13492.21</v>
      </c>
      <c r="L41" s="156"/>
      <c r="M41" s="156">
        <f>50000</f>
        <v>50000</v>
      </c>
      <c r="N41" s="24">
        <f t="shared" si="27"/>
        <v>1349.221</v>
      </c>
      <c r="O41" s="24">
        <v>10000</v>
      </c>
      <c r="P41" s="19"/>
      <c r="Q41" s="182">
        <f t="shared" si="28"/>
        <v>183791.02674999999</v>
      </c>
      <c r="R41" s="158" t="s">
        <v>79</v>
      </c>
      <c r="S41" s="182">
        <f>'SALARY STRUCTURE'!H13+60000</f>
        <v>205203.66666666666</v>
      </c>
      <c r="T41" s="22">
        <f t="shared" si="0"/>
        <v>21412.639916666667</v>
      </c>
      <c r="U41" s="22"/>
      <c r="V41" s="22"/>
      <c r="W41" s="294">
        <v>18102.902732666666</v>
      </c>
      <c r="X41" s="24">
        <f>'[7]October 2023'!$Z$145</f>
        <v>21640.882666666668</v>
      </c>
      <c r="Y41" s="24">
        <f t="shared" si="4"/>
        <v>3537.9799340000027</v>
      </c>
      <c r="Z41" s="185">
        <f t="shared" si="5"/>
        <v>17874.659982666664</v>
      </c>
      <c r="AA41" s="24">
        <v>2</v>
      </c>
      <c r="AB41" s="185">
        <f t="shared" si="6"/>
        <v>35749.319965333329</v>
      </c>
      <c r="AC41" s="157"/>
    </row>
    <row r="42" spans="1:29" ht="20.100000000000001" customHeight="1">
      <c r="A42" s="168">
        <v>15</v>
      </c>
      <c r="B42" s="133" t="s">
        <v>296</v>
      </c>
      <c r="C42" s="138" t="s">
        <v>302</v>
      </c>
      <c r="D42" s="158" t="s">
        <v>400</v>
      </c>
      <c r="E42" s="24">
        <v>5428.12</v>
      </c>
      <c r="F42" s="24">
        <f t="shared" si="22"/>
        <v>16284.36</v>
      </c>
      <c r="G42" s="24">
        <f t="shared" si="23"/>
        <v>407.10899999999998</v>
      </c>
      <c r="H42" s="24"/>
      <c r="I42" s="24">
        <f t="shared" si="24"/>
        <v>2714.06</v>
      </c>
      <c r="J42" s="22">
        <f t="shared" si="25"/>
        <v>18998.419999999998</v>
      </c>
      <c r="K42" s="24">
        <f t="shared" si="26"/>
        <v>5428.12</v>
      </c>
      <c r="L42" s="156"/>
      <c r="M42" s="156">
        <f>20000</f>
        <v>20000</v>
      </c>
      <c r="N42" s="24">
        <f t="shared" si="27"/>
        <v>542.81200000000001</v>
      </c>
      <c r="O42" s="24">
        <v>5000</v>
      </c>
      <c r="P42" s="24">
        <f>7000</f>
        <v>7000</v>
      </c>
      <c r="Q42" s="181">
        <f t="shared" si="28"/>
        <v>81803.001000000018</v>
      </c>
      <c r="R42" s="158" t="s">
        <v>298</v>
      </c>
      <c r="S42" s="181">
        <f>'SALARY STRUCTURE'!D11+30000</f>
        <v>115104.91666666667</v>
      </c>
      <c r="T42" s="22">
        <f t="shared" si="0"/>
        <v>33301.915666666653</v>
      </c>
      <c r="U42" s="22"/>
      <c r="V42" s="22"/>
      <c r="W42" s="296">
        <v>4365.3307546666683</v>
      </c>
      <c r="X42" s="22">
        <f>'[7]October 2023'!$Z$164</f>
        <v>8312.5899999999983</v>
      </c>
      <c r="Y42" s="24">
        <f t="shared" si="4"/>
        <v>3947.25924533333</v>
      </c>
      <c r="Z42" s="185">
        <f t="shared" si="5"/>
        <v>29354.656421333322</v>
      </c>
      <c r="AA42" s="22">
        <f>(10/31)+2</f>
        <v>2.3225806451612905</v>
      </c>
      <c r="AB42" s="185">
        <f t="shared" si="6"/>
        <v>68178.55684954836</v>
      </c>
      <c r="AC42" s="157"/>
    </row>
    <row r="43" spans="1:29" s="333" customFormat="1" ht="20.100000000000001" customHeight="1">
      <c r="A43" s="326">
        <v>16</v>
      </c>
      <c r="B43" s="327" t="s">
        <v>299</v>
      </c>
      <c r="C43" s="328" t="s">
        <v>302</v>
      </c>
      <c r="D43" s="329" t="s">
        <v>400</v>
      </c>
      <c r="E43" s="16">
        <v>5428.12</v>
      </c>
      <c r="F43" s="16">
        <f t="shared" si="22"/>
        <v>16284.36</v>
      </c>
      <c r="G43" s="16">
        <f t="shared" si="23"/>
        <v>407.10899999999998</v>
      </c>
      <c r="H43" s="16"/>
      <c r="I43" s="16">
        <f t="shared" si="24"/>
        <v>2714.06</v>
      </c>
      <c r="J43" s="14">
        <f t="shared" si="25"/>
        <v>18998.419999999998</v>
      </c>
      <c r="K43" s="16">
        <f t="shared" si="26"/>
        <v>5428.12</v>
      </c>
      <c r="L43" s="330"/>
      <c r="M43" s="330">
        <f>20000</f>
        <v>20000</v>
      </c>
      <c r="N43" s="16">
        <f t="shared" si="27"/>
        <v>542.81200000000001</v>
      </c>
      <c r="O43" s="16">
        <v>5000</v>
      </c>
      <c r="P43" s="16">
        <f>7000</f>
        <v>7000</v>
      </c>
      <c r="Q43" s="14">
        <f t="shared" si="28"/>
        <v>81803.001000000018</v>
      </c>
      <c r="R43" s="329" t="s">
        <v>298</v>
      </c>
      <c r="S43" s="14">
        <f>'SALARY STRUCTURE'!D11+30000</f>
        <v>115104.91666666667</v>
      </c>
      <c r="T43" s="14">
        <f t="shared" si="0"/>
        <v>33301.915666666653</v>
      </c>
      <c r="U43" s="14"/>
      <c r="V43" s="14"/>
      <c r="W43" s="331">
        <f>4365.33075466667</f>
        <v>4365.3307546666701</v>
      </c>
      <c r="X43" s="14">
        <f>'[7]October 2023'!$Z$164</f>
        <v>8312.5899999999983</v>
      </c>
      <c r="Y43" s="16">
        <f t="shared" si="4"/>
        <v>3947.2592453333282</v>
      </c>
      <c r="Z43" s="16">
        <f t="shared" si="5"/>
        <v>29354.656421333326</v>
      </c>
      <c r="AA43" s="14">
        <f>(17/31)+1</f>
        <v>1.5483870967741935</v>
      </c>
      <c r="AB43" s="16">
        <f t="shared" si="6"/>
        <v>45452.371233032245</v>
      </c>
      <c r="AC43" s="332"/>
    </row>
    <row r="44" spans="1:29" ht="20.100000000000001" customHeight="1">
      <c r="A44" s="168">
        <v>17</v>
      </c>
      <c r="B44" s="134" t="s">
        <v>300</v>
      </c>
      <c r="C44" s="138" t="s">
        <v>302</v>
      </c>
      <c r="D44" s="158" t="s">
        <v>401</v>
      </c>
      <c r="E44" s="24">
        <f>5598.92</f>
        <v>5598.92</v>
      </c>
      <c r="F44" s="24">
        <f t="shared" si="22"/>
        <v>16796.760000000002</v>
      </c>
      <c r="G44" s="24">
        <f t="shared" si="23"/>
        <v>419.91899999999998</v>
      </c>
      <c r="H44" s="24"/>
      <c r="I44" s="24">
        <f t="shared" si="24"/>
        <v>2799.46</v>
      </c>
      <c r="J44" s="22">
        <f t="shared" si="25"/>
        <v>19596.22</v>
      </c>
      <c r="K44" s="24">
        <f t="shared" si="26"/>
        <v>5598.92</v>
      </c>
      <c r="L44" s="156"/>
      <c r="M44" s="156">
        <f>20000</f>
        <v>20000</v>
      </c>
      <c r="N44" s="24">
        <f t="shared" si="27"/>
        <v>559.89200000000005</v>
      </c>
      <c r="O44" s="24">
        <v>5000</v>
      </c>
      <c r="P44" s="24">
        <f>7000</f>
        <v>7000</v>
      </c>
      <c r="Q44" s="181">
        <f t="shared" si="28"/>
        <v>83370.091</v>
      </c>
      <c r="R44" s="158" t="s">
        <v>298</v>
      </c>
      <c r="S44" s="181">
        <v>115104.91666666667</v>
      </c>
      <c r="T44" s="22">
        <f t="shared" si="0"/>
        <v>31734.825666666671</v>
      </c>
      <c r="U44" s="22"/>
      <c r="V44" s="22"/>
      <c r="W44" s="296">
        <v>4504.4109199999994</v>
      </c>
      <c r="X44" s="22">
        <f>'[7]October 2023'!$Z$164</f>
        <v>8312.5899999999983</v>
      </c>
      <c r="Y44" s="24">
        <f t="shared" si="4"/>
        <v>3808.179079999999</v>
      </c>
      <c r="Z44" s="185">
        <f t="shared" si="5"/>
        <v>27926.646586666673</v>
      </c>
      <c r="AA44" s="22">
        <v>8</v>
      </c>
      <c r="AB44" s="185">
        <f t="shared" si="6"/>
        <v>223413.17269333338</v>
      </c>
      <c r="AC44" s="157"/>
    </row>
    <row r="45" spans="1:29" ht="20.100000000000001" customHeight="1">
      <c r="A45" s="168">
        <v>18</v>
      </c>
      <c r="B45" s="134" t="s">
        <v>315</v>
      </c>
      <c r="C45" s="138" t="s">
        <v>305</v>
      </c>
      <c r="D45" s="158" t="s">
        <v>420</v>
      </c>
      <c r="E45" s="24">
        <f>4689.38</f>
        <v>4689.38</v>
      </c>
      <c r="F45" s="24">
        <f t="shared" si="22"/>
        <v>14068.14</v>
      </c>
      <c r="G45" s="24">
        <f t="shared" si="23"/>
        <v>351.70350000000002</v>
      </c>
      <c r="H45" s="24"/>
      <c r="I45" s="24">
        <f t="shared" si="24"/>
        <v>2344.69</v>
      </c>
      <c r="J45" s="22">
        <f t="shared" si="25"/>
        <v>16412.830000000002</v>
      </c>
      <c r="K45" s="24">
        <f t="shared" si="26"/>
        <v>4689.38</v>
      </c>
      <c r="L45" s="156"/>
      <c r="M45" s="156">
        <f>15000</f>
        <v>15000</v>
      </c>
      <c r="N45" s="24">
        <f t="shared" si="27"/>
        <v>468.93800000000005</v>
      </c>
      <c r="O45" s="24">
        <v>5000</v>
      </c>
      <c r="P45" s="24">
        <f>4000</f>
        <v>4000</v>
      </c>
      <c r="Q45" s="181">
        <f t="shared" si="28"/>
        <v>67025.061499999996</v>
      </c>
      <c r="R45" s="158" t="s">
        <v>317</v>
      </c>
      <c r="S45" s="181">
        <f>'SALARY STRUCTURE'!I9+20000+7000</f>
        <v>77104.416666666657</v>
      </c>
      <c r="T45" s="22">
        <f t="shared" si="0"/>
        <v>10079.355166666661</v>
      </c>
      <c r="U45" s="22"/>
      <c r="V45" s="22"/>
      <c r="W45" s="296">
        <v>3064.8720786666654</v>
      </c>
      <c r="X45" s="22">
        <f>'[7]October 2023'!$Z$177</f>
        <v>3951.8553333333325</v>
      </c>
      <c r="Y45" s="24">
        <f t="shared" si="4"/>
        <v>886.98325466666711</v>
      </c>
      <c r="Z45" s="185">
        <f t="shared" si="5"/>
        <v>9192.3719119999932</v>
      </c>
      <c r="AA45" s="22">
        <f>(23/31)+6</f>
        <v>6.741935483870968</v>
      </c>
      <c r="AB45" s="185">
        <f t="shared" si="6"/>
        <v>61974.378374451568</v>
      </c>
      <c r="AC45" s="157"/>
    </row>
    <row r="46" spans="1:29" ht="20.100000000000001" customHeight="1">
      <c r="A46" s="168"/>
      <c r="B46" s="154" t="s">
        <v>91</v>
      </c>
      <c r="C46" s="170" t="s">
        <v>421</v>
      </c>
      <c r="D46" s="21"/>
      <c r="E46" s="65">
        <f t="shared" ref="E46:Q46" si="29">SUM(E39:E45)</f>
        <v>72195.350000000006</v>
      </c>
      <c r="F46" s="65">
        <f t="shared" si="29"/>
        <v>216586.05</v>
      </c>
      <c r="G46" s="65">
        <f t="shared" si="29"/>
        <v>5414.6512499999999</v>
      </c>
      <c r="H46" s="65">
        <f t="shared" si="29"/>
        <v>0</v>
      </c>
      <c r="I46" s="65">
        <f t="shared" si="29"/>
        <v>36097.675000000003</v>
      </c>
      <c r="J46" s="65">
        <f t="shared" si="29"/>
        <v>252683.72499999998</v>
      </c>
      <c r="K46" s="65">
        <f t="shared" si="29"/>
        <v>72195.350000000006</v>
      </c>
      <c r="L46" s="65">
        <f t="shared" si="29"/>
        <v>0</v>
      </c>
      <c r="M46" s="65">
        <f t="shared" si="29"/>
        <v>245000</v>
      </c>
      <c r="N46" s="65">
        <f t="shared" si="29"/>
        <v>7219.5349999999999</v>
      </c>
      <c r="O46" s="65">
        <f t="shared" si="29"/>
        <v>50000</v>
      </c>
      <c r="P46" s="65">
        <f t="shared" si="29"/>
        <v>25000</v>
      </c>
      <c r="Q46" s="65">
        <f t="shared" si="29"/>
        <v>982392.33624999993</v>
      </c>
      <c r="R46" s="21"/>
      <c r="S46" s="65">
        <f>SUM(S39:S45)</f>
        <v>1158366.3333333333</v>
      </c>
      <c r="T46" s="65">
        <f t="shared" ref="T46:AB46" si="30">SUM(T39:T45)</f>
        <v>175973.99708333338</v>
      </c>
      <c r="U46" s="65">
        <f t="shared" si="30"/>
        <v>469.48250000000002</v>
      </c>
      <c r="V46" s="65">
        <f t="shared" si="30"/>
        <v>570.95000000000005</v>
      </c>
      <c r="W46" s="65">
        <f t="shared" si="30"/>
        <v>90070.133554</v>
      </c>
      <c r="X46" s="65">
        <f t="shared" si="30"/>
        <v>113932.82973333332</v>
      </c>
      <c r="Y46" s="65">
        <f t="shared" si="30"/>
        <v>23862.696179333325</v>
      </c>
      <c r="Z46" s="313">
        <f t="shared" si="30"/>
        <v>152111.30090400006</v>
      </c>
      <c r="AA46" s="65"/>
      <c r="AB46" s="313">
        <f t="shared" si="30"/>
        <v>626877.5331756993</v>
      </c>
      <c r="AC46" s="157"/>
    </row>
    <row r="47" spans="1:29" ht="19.5" customHeight="1">
      <c r="A47" s="19"/>
      <c r="B47" s="171" t="s">
        <v>330</v>
      </c>
      <c r="C47" s="172">
        <f>C46+C36+C32+C26+C21+C17+C12+C8</f>
        <v>18</v>
      </c>
      <c r="D47" s="173"/>
      <c r="E47" s="174">
        <f t="shared" ref="E47:AB47" si="31">E46+E36+E32+E26+E21+E17+E12+E8</f>
        <v>335250.55000000005</v>
      </c>
      <c r="F47" s="174">
        <f t="shared" si="31"/>
        <v>1005751.65</v>
      </c>
      <c r="G47" s="174">
        <f t="shared" si="31"/>
        <v>25143.791249999998</v>
      </c>
      <c r="H47" s="174">
        <f t="shared" si="31"/>
        <v>0</v>
      </c>
      <c r="I47" s="174">
        <f t="shared" si="31"/>
        <v>167625.27500000002</v>
      </c>
      <c r="J47" s="174">
        <f t="shared" si="31"/>
        <v>1173376.925</v>
      </c>
      <c r="K47" s="174">
        <f t="shared" si="31"/>
        <v>335250.55000000005</v>
      </c>
      <c r="L47" s="174">
        <f t="shared" si="31"/>
        <v>900000</v>
      </c>
      <c r="M47" s="174">
        <f t="shared" si="31"/>
        <v>485000</v>
      </c>
      <c r="N47" s="174">
        <f t="shared" si="31"/>
        <v>33525.055000000008</v>
      </c>
      <c r="O47" s="174">
        <f t="shared" si="31"/>
        <v>220000</v>
      </c>
      <c r="P47" s="174">
        <f t="shared" si="31"/>
        <v>125000</v>
      </c>
      <c r="Q47" s="174">
        <f t="shared" si="31"/>
        <v>4805923.7962499997</v>
      </c>
      <c r="R47" s="174">
        <f t="shared" si="31"/>
        <v>0</v>
      </c>
      <c r="S47" s="174">
        <f t="shared" si="31"/>
        <v>5441541.75</v>
      </c>
      <c r="T47" s="174">
        <f t="shared" si="31"/>
        <v>607584.35750000004</v>
      </c>
      <c r="U47" s="174">
        <f t="shared" si="31"/>
        <v>3786.2672500000008</v>
      </c>
      <c r="V47" s="174">
        <f t="shared" si="31"/>
        <v>2789.2</v>
      </c>
      <c r="W47" s="174">
        <f t="shared" si="31"/>
        <v>599042.5433726667</v>
      </c>
      <c r="X47" s="174">
        <f t="shared" si="31"/>
        <v>708944.46730666654</v>
      </c>
      <c r="Y47" s="174">
        <f t="shared" si="31"/>
        <v>109901.92393400002</v>
      </c>
      <c r="Z47" s="315">
        <f t="shared" si="31"/>
        <v>525716.02981600002</v>
      </c>
      <c r="AA47" s="174">
        <f t="shared" si="31"/>
        <v>0</v>
      </c>
      <c r="AB47" s="315">
        <f t="shared" si="31"/>
        <v>2102520.8772578062</v>
      </c>
      <c r="AC47" s="157"/>
    </row>
    <row r="48" spans="1:29" ht="20.100000000000001" customHeight="1">
      <c r="B48" s="175"/>
      <c r="D48" s="176"/>
      <c r="E48" s="176"/>
      <c r="F48" s="176"/>
      <c r="G48" s="176"/>
      <c r="H48" s="176"/>
      <c r="I48" s="177"/>
      <c r="J48" s="177"/>
      <c r="K48" s="177"/>
      <c r="L48" s="177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300"/>
      <c r="X48" s="178"/>
      <c r="Y48" s="178"/>
      <c r="Z48" s="178"/>
      <c r="AA48" s="178"/>
      <c r="AB48" s="178"/>
      <c r="AC48" s="179"/>
    </row>
    <row r="49" spans="2:28" ht="36.75" customHeight="1">
      <c r="B49" s="175"/>
      <c r="C49" s="176"/>
      <c r="D49" s="176"/>
      <c r="E49" s="176"/>
      <c r="F49" s="176"/>
      <c r="G49" s="176"/>
      <c r="H49" s="176"/>
      <c r="I49" s="177"/>
      <c r="J49" s="177"/>
      <c r="K49" s="177"/>
      <c r="L49" s="177"/>
      <c r="M49" s="177"/>
      <c r="N49" s="177"/>
      <c r="O49" s="177"/>
      <c r="Q49" s="177"/>
      <c r="R49" s="177"/>
      <c r="S49" s="177"/>
      <c r="T49" s="177"/>
      <c r="U49" s="177"/>
      <c r="V49" s="177"/>
      <c r="W49" s="300"/>
      <c r="X49" s="178"/>
      <c r="Y49" s="178"/>
      <c r="Z49" s="178"/>
      <c r="AA49" s="178"/>
      <c r="AB49" s="178"/>
    </row>
    <row r="52" spans="2:28" ht="20.100000000000001" customHeight="1">
      <c r="Q52" s="179"/>
      <c r="R52" s="179"/>
      <c r="S52" s="179"/>
      <c r="T52" s="179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7"/>
  <sheetViews>
    <sheetView workbookViewId="0">
      <selection activeCell="H14" sqref="H14"/>
    </sheetView>
  </sheetViews>
  <sheetFormatPr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301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75" t="s">
        <v>422</v>
      </c>
      <c r="B1" s="275"/>
      <c r="C1" s="275"/>
      <c r="D1" s="275"/>
      <c r="E1" s="275"/>
      <c r="F1" s="275"/>
      <c r="G1" s="275"/>
      <c r="H1" s="324"/>
      <c r="I1" s="275"/>
      <c r="J1" s="275"/>
      <c r="K1" s="275"/>
      <c r="L1" s="275"/>
      <c r="M1" s="275"/>
      <c r="N1" s="275"/>
      <c r="O1" s="275"/>
      <c r="P1" s="275"/>
      <c r="Q1" s="320"/>
      <c r="R1" s="320"/>
    </row>
    <row r="2" spans="1:18">
      <c r="A2" s="275" t="s">
        <v>423</v>
      </c>
      <c r="B2" s="275"/>
      <c r="C2" s="275"/>
      <c r="D2" s="275"/>
      <c r="E2" s="275"/>
      <c r="F2" s="275"/>
      <c r="G2" s="275"/>
      <c r="H2" s="325"/>
      <c r="I2" s="275"/>
      <c r="J2" s="275"/>
      <c r="K2" s="275"/>
      <c r="L2" s="275"/>
      <c r="M2" s="275"/>
      <c r="N2" s="275"/>
      <c r="O2" s="275"/>
      <c r="P2" s="275"/>
      <c r="Q2" s="320"/>
      <c r="R2" s="320"/>
    </row>
    <row r="3" spans="1:18">
      <c r="A3" s="275"/>
      <c r="B3" s="275" t="s">
        <v>424</v>
      </c>
      <c r="C3" s="275" t="s">
        <v>425</v>
      </c>
      <c r="D3" s="275" t="s">
        <v>426</v>
      </c>
      <c r="E3" s="275" t="s">
        <v>427</v>
      </c>
      <c r="F3" s="275" t="s">
        <v>428</v>
      </c>
      <c r="G3" s="275" t="s">
        <v>429</v>
      </c>
      <c r="H3" s="325" t="s">
        <v>430</v>
      </c>
      <c r="I3" s="275" t="s">
        <v>431</v>
      </c>
      <c r="J3" s="275" t="s">
        <v>432</v>
      </c>
      <c r="K3" s="275" t="s">
        <v>433</v>
      </c>
      <c r="L3" s="275" t="s">
        <v>434</v>
      </c>
      <c r="M3" s="275" t="s">
        <v>435</v>
      </c>
      <c r="N3" s="275" t="s">
        <v>436</v>
      </c>
      <c r="O3" s="275" t="s">
        <v>437</v>
      </c>
      <c r="P3" s="275" t="s">
        <v>438</v>
      </c>
      <c r="Q3" s="320"/>
      <c r="R3" s="320"/>
    </row>
    <row r="4" spans="1:18">
      <c r="A4" s="275" t="s">
        <v>439</v>
      </c>
      <c r="B4" s="275" t="s">
        <v>25</v>
      </c>
      <c r="C4" s="275" t="s">
        <v>25</v>
      </c>
      <c r="D4" s="275" t="s">
        <v>25</v>
      </c>
      <c r="E4" s="275" t="s">
        <v>25</v>
      </c>
      <c r="F4" s="275" t="s">
        <v>25</v>
      </c>
      <c r="G4" s="275" t="s">
        <v>25</v>
      </c>
      <c r="H4" s="325" t="s">
        <v>25</v>
      </c>
      <c r="I4" s="275" t="s">
        <v>25</v>
      </c>
      <c r="J4" s="275" t="s">
        <v>25</v>
      </c>
      <c r="K4" s="275" t="s">
        <v>25</v>
      </c>
      <c r="L4" s="275" t="s">
        <v>25</v>
      </c>
      <c r="M4" s="275" t="s">
        <v>25</v>
      </c>
      <c r="N4" s="275" t="s">
        <v>25</v>
      </c>
      <c r="O4" s="275" t="s">
        <v>25</v>
      </c>
      <c r="P4" s="275" t="s">
        <v>25</v>
      </c>
      <c r="Q4" s="320"/>
      <c r="R4" s="320"/>
    </row>
    <row r="5" spans="1:18" ht="14.25">
      <c r="A5" s="322" t="s">
        <v>440</v>
      </c>
      <c r="B5" s="322">
        <v>32012.166666666668</v>
      </c>
      <c r="C5" s="322">
        <v>32710.5</v>
      </c>
      <c r="D5" s="322">
        <v>33408.75</v>
      </c>
      <c r="E5" s="322">
        <v>34107.083333333336</v>
      </c>
      <c r="F5" s="322">
        <v>34805.5</v>
      </c>
      <c r="G5" s="322">
        <v>35503.75</v>
      </c>
      <c r="H5" s="323">
        <v>36202.083333333336</v>
      </c>
      <c r="I5" s="322">
        <v>36900.333333333336</v>
      </c>
      <c r="J5" s="322">
        <v>37598.666666666664</v>
      </c>
      <c r="K5" s="322">
        <v>38297.083333333336</v>
      </c>
      <c r="L5" s="322">
        <v>38995.333333333336</v>
      </c>
      <c r="M5" s="322">
        <v>39693.666666666664</v>
      </c>
      <c r="N5" s="322">
        <v>40391.916666666664</v>
      </c>
      <c r="O5" s="322">
        <v>41090.166666666664</v>
      </c>
      <c r="P5" s="322">
        <v>41788.666666666664</v>
      </c>
      <c r="Q5" s="320"/>
      <c r="R5" s="320"/>
    </row>
    <row r="6" spans="1:18" ht="14.25">
      <c r="A6" s="322" t="s">
        <v>441</v>
      </c>
      <c r="B6" s="322">
        <v>32532.166666666668</v>
      </c>
      <c r="C6" s="322">
        <v>33445.166666666664</v>
      </c>
      <c r="D6" s="322">
        <v>34358.333333333336</v>
      </c>
      <c r="E6" s="322">
        <v>35271.25</v>
      </c>
      <c r="F6" s="322">
        <v>36184.25</v>
      </c>
      <c r="G6" s="322">
        <v>37097.416666666664</v>
      </c>
      <c r="H6" s="323">
        <v>38010.333333333336</v>
      </c>
      <c r="I6" s="322">
        <v>38923.416666666664</v>
      </c>
      <c r="J6" s="322">
        <v>39836.416666666664</v>
      </c>
      <c r="K6" s="322">
        <v>40749.416666666664</v>
      </c>
      <c r="L6" s="322">
        <v>41662.5</v>
      </c>
      <c r="M6" s="322">
        <v>42575.5</v>
      </c>
      <c r="N6" s="322">
        <v>43488.666666666664</v>
      </c>
      <c r="O6" s="322">
        <v>44401.583333333336</v>
      </c>
      <c r="P6" s="322">
        <v>45314.583333333336</v>
      </c>
      <c r="Q6" s="320"/>
      <c r="R6" s="320"/>
    </row>
    <row r="7" spans="1:18" ht="14.25">
      <c r="A7" s="322" t="s">
        <v>442</v>
      </c>
      <c r="B7" s="322">
        <v>32976.25</v>
      </c>
      <c r="C7" s="322">
        <v>34098.416666666664</v>
      </c>
      <c r="D7" s="322">
        <v>35220.666666666664</v>
      </c>
      <c r="E7" s="322">
        <v>36343</v>
      </c>
      <c r="F7" s="322">
        <v>37465.166666666664</v>
      </c>
      <c r="G7" s="322">
        <v>38587.416666666664</v>
      </c>
      <c r="H7" s="323">
        <v>39709.666666666664</v>
      </c>
      <c r="I7" s="322">
        <v>40823.583333333336</v>
      </c>
      <c r="J7" s="322">
        <v>41954.083333333336</v>
      </c>
      <c r="K7" s="322">
        <v>43076.416666666664</v>
      </c>
      <c r="L7" s="322">
        <v>44198.666666666664</v>
      </c>
      <c r="M7" s="322">
        <v>45445.833333333336</v>
      </c>
      <c r="N7" s="322">
        <v>46443.166666666664</v>
      </c>
      <c r="O7" s="322">
        <v>47565.333333333336</v>
      </c>
      <c r="P7" s="322">
        <v>48687.5</v>
      </c>
      <c r="Q7" s="320"/>
      <c r="R7" s="320"/>
    </row>
    <row r="8" spans="1:18" ht="14.25">
      <c r="A8" s="322" t="s">
        <v>443</v>
      </c>
      <c r="B8" s="322">
        <v>34542.5</v>
      </c>
      <c r="C8" s="322">
        <v>35890.833333333336</v>
      </c>
      <c r="D8" s="322">
        <v>37238.916666666664</v>
      </c>
      <c r="E8" s="322">
        <v>38587.166666666664</v>
      </c>
      <c r="F8" s="322">
        <v>39935.5</v>
      </c>
      <c r="G8" s="322">
        <v>41283.75</v>
      </c>
      <c r="H8" s="323">
        <v>42631.916666666664</v>
      </c>
      <c r="I8" s="322">
        <v>43980</v>
      </c>
      <c r="J8" s="322">
        <v>45328.333333333336</v>
      </c>
      <c r="K8" s="322">
        <v>46676.416666666664</v>
      </c>
      <c r="L8" s="322">
        <v>48024.666666666664</v>
      </c>
      <c r="M8" s="322">
        <v>49373</v>
      </c>
      <c r="N8" s="322">
        <v>50721.166666666664</v>
      </c>
      <c r="O8" s="322">
        <v>52069.416666666664</v>
      </c>
      <c r="P8" s="322">
        <v>53417.5</v>
      </c>
      <c r="Q8" s="320"/>
      <c r="R8" s="320"/>
    </row>
    <row r="9" spans="1:18" ht="14.25">
      <c r="A9" s="322" t="s">
        <v>444</v>
      </c>
      <c r="B9" s="322">
        <v>39140.333333333336</v>
      </c>
      <c r="C9" s="322">
        <v>40706.583333333336</v>
      </c>
      <c r="D9" s="322">
        <v>42272.833333333336</v>
      </c>
      <c r="E9" s="322">
        <v>43839.083333333336</v>
      </c>
      <c r="F9" s="322">
        <v>45405.5</v>
      </c>
      <c r="G9" s="322">
        <v>46971.75</v>
      </c>
      <c r="H9" s="323">
        <v>48538</v>
      </c>
      <c r="I9" s="322">
        <v>50104.416666666664</v>
      </c>
      <c r="J9" s="322">
        <v>51670.666666666664</v>
      </c>
      <c r="K9" s="322">
        <v>53236.916666666664</v>
      </c>
      <c r="L9" s="322">
        <v>54803.166666666664</v>
      </c>
      <c r="M9" s="322">
        <v>56369.583333333336</v>
      </c>
      <c r="N9" s="322">
        <v>57936</v>
      </c>
      <c r="O9" s="322">
        <v>59502.083333333336</v>
      </c>
      <c r="P9" s="322">
        <v>61068.333333333336</v>
      </c>
      <c r="Q9" s="320"/>
      <c r="R9" s="320"/>
    </row>
    <row r="10" spans="1:18" ht="14.25">
      <c r="A10" s="322" t="s">
        <v>445</v>
      </c>
      <c r="B10" s="322">
        <v>47723.333333333336</v>
      </c>
      <c r="C10" s="322">
        <v>49632.5</v>
      </c>
      <c r="D10" s="322">
        <v>51541.75</v>
      </c>
      <c r="E10" s="322">
        <v>53450.916666666664</v>
      </c>
      <c r="F10" s="322">
        <v>55360.166666666664</v>
      </c>
      <c r="G10" s="322">
        <v>57269.416666666664</v>
      </c>
      <c r="H10" s="323">
        <v>59178.666666666664</v>
      </c>
      <c r="I10" s="322">
        <v>61087.833333333336</v>
      </c>
      <c r="J10" s="322">
        <v>62997.083333333336</v>
      </c>
      <c r="K10" s="322">
        <v>64906.25</v>
      </c>
      <c r="L10" s="322">
        <v>66815.5</v>
      </c>
      <c r="M10" s="322">
        <v>68724.666666666672</v>
      </c>
      <c r="N10" s="322">
        <v>70633.916666666672</v>
      </c>
      <c r="O10" s="322">
        <v>72543.166666666672</v>
      </c>
      <c r="P10" s="322">
        <v>74452.416666666672</v>
      </c>
      <c r="Q10" s="320"/>
      <c r="R10" s="320"/>
    </row>
    <row r="11" spans="1:18" ht="14.25">
      <c r="A11" s="322" t="s">
        <v>446</v>
      </c>
      <c r="B11" s="322">
        <v>79244.583333333328</v>
      </c>
      <c r="C11" s="322">
        <v>82174.666666666672</v>
      </c>
      <c r="D11" s="322">
        <v>85104.916666666672</v>
      </c>
      <c r="E11" s="322">
        <v>88034.916666666672</v>
      </c>
      <c r="F11" s="322">
        <v>106590</v>
      </c>
      <c r="G11" s="322">
        <v>93895</v>
      </c>
      <c r="H11" s="323">
        <v>96825.166666666672</v>
      </c>
      <c r="I11" s="322">
        <v>99755.166666666672</v>
      </c>
      <c r="J11" s="322">
        <v>102685.33333333333</v>
      </c>
      <c r="K11" s="322">
        <v>105615.33333333333</v>
      </c>
      <c r="L11" s="322">
        <v>108545.5</v>
      </c>
      <c r="M11" s="322">
        <v>111468</v>
      </c>
      <c r="N11" s="322">
        <v>114405.66666666667</v>
      </c>
      <c r="O11" s="322">
        <v>117335.83333333333</v>
      </c>
      <c r="P11" s="322">
        <v>120265.83333333333</v>
      </c>
      <c r="Q11" s="320"/>
      <c r="R11" s="320"/>
    </row>
    <row r="12" spans="1:18" ht="14.25">
      <c r="A12" s="322" t="s">
        <v>447</v>
      </c>
      <c r="B12" s="322">
        <v>102403.75</v>
      </c>
      <c r="C12" s="322">
        <v>105891.25</v>
      </c>
      <c r="D12" s="322">
        <v>109378.75</v>
      </c>
      <c r="E12" s="322">
        <v>112866.25</v>
      </c>
      <c r="F12" s="322">
        <v>116353.66666666667</v>
      </c>
      <c r="G12" s="322">
        <v>119841.16666666667</v>
      </c>
      <c r="H12" s="323">
        <v>123328.66666666667</v>
      </c>
      <c r="I12" s="322">
        <v>126816.16666666667</v>
      </c>
      <c r="J12" s="322">
        <v>130303.66666666667</v>
      </c>
      <c r="K12" s="322">
        <v>133791.16666666666</v>
      </c>
      <c r="L12" s="322">
        <v>137278.66666666666</v>
      </c>
      <c r="M12" s="322">
        <v>140766.16666666666</v>
      </c>
      <c r="N12" s="322">
        <v>144253.66666666666</v>
      </c>
      <c r="O12" s="322">
        <v>147741.16666666666</v>
      </c>
      <c r="P12" s="322">
        <v>151228.66666666666</v>
      </c>
      <c r="Q12" s="320"/>
      <c r="R12" s="320"/>
    </row>
    <row r="13" spans="1:18" ht="14.25">
      <c r="A13" s="322" t="s">
        <v>448</v>
      </c>
      <c r="B13" s="322">
        <v>120290</v>
      </c>
      <c r="C13" s="322">
        <v>124442.16666666667</v>
      </c>
      <c r="D13" s="322">
        <v>128594.58333333333</v>
      </c>
      <c r="E13" s="322">
        <v>132746.75</v>
      </c>
      <c r="F13" s="322">
        <v>136899.08333333334</v>
      </c>
      <c r="G13" s="322">
        <v>141051.25</v>
      </c>
      <c r="H13" s="323">
        <v>145203.66666666666</v>
      </c>
      <c r="I13" s="322">
        <v>149355.83333333334</v>
      </c>
      <c r="J13" s="322">
        <v>153508</v>
      </c>
      <c r="K13" s="322">
        <v>157660.33333333334</v>
      </c>
      <c r="L13" s="322">
        <v>161812.5</v>
      </c>
      <c r="M13" s="322">
        <v>165964.91666666666</v>
      </c>
      <c r="N13" s="322">
        <v>170117.08333333334</v>
      </c>
      <c r="O13" s="322">
        <v>174269.41666666666</v>
      </c>
      <c r="P13" s="322">
        <v>178421.58333333334</v>
      </c>
      <c r="Q13" s="320"/>
      <c r="R13" s="320"/>
    </row>
    <row r="14" spans="1:18" ht="14.25">
      <c r="A14" s="322" t="s">
        <v>449</v>
      </c>
      <c r="B14" s="322">
        <v>141204.91666666666</v>
      </c>
      <c r="C14" s="322">
        <v>145770.91666666666</v>
      </c>
      <c r="D14" s="322">
        <v>150337.08333333334</v>
      </c>
      <c r="E14" s="322">
        <v>154903.33333333334</v>
      </c>
      <c r="F14" s="322">
        <v>159469.41666666666</v>
      </c>
      <c r="G14" s="322">
        <v>164035.5</v>
      </c>
      <c r="H14" s="323">
        <v>168601.58333333334</v>
      </c>
      <c r="I14" s="322">
        <v>173167.66666666666</v>
      </c>
      <c r="J14" s="322">
        <v>177733.75</v>
      </c>
      <c r="K14" s="322">
        <v>182299.91666666666</v>
      </c>
      <c r="L14" s="322">
        <v>186865.91666666666</v>
      </c>
      <c r="M14" s="322">
        <v>191432.16666666666</v>
      </c>
      <c r="N14" s="322">
        <v>195998.33333333334</v>
      </c>
      <c r="O14" s="322">
        <v>200564.41666666666</v>
      </c>
      <c r="P14" s="322">
        <v>205130.5</v>
      </c>
      <c r="Q14" s="320"/>
      <c r="R14" s="320"/>
    </row>
    <row r="15" spans="1:18" ht="14.25">
      <c r="A15" s="322" t="s">
        <v>450</v>
      </c>
      <c r="B15" s="322">
        <v>162876.25</v>
      </c>
      <c r="C15" s="322">
        <v>169958.91666666666</v>
      </c>
      <c r="D15" s="322">
        <v>177039.91666666666</v>
      </c>
      <c r="E15" s="322">
        <v>184124.08333333334</v>
      </c>
      <c r="F15" s="322">
        <v>191206.58333333334</v>
      </c>
      <c r="G15" s="322">
        <v>198289.25</v>
      </c>
      <c r="H15" s="323">
        <v>205371.75</v>
      </c>
      <c r="I15" s="322">
        <v>212454.41666666666</v>
      </c>
      <c r="J15" s="322">
        <v>219536.91666666666</v>
      </c>
      <c r="K15" s="322">
        <v>226619.58333333334</v>
      </c>
      <c r="L15" s="322">
        <v>233702.08333333334</v>
      </c>
      <c r="M15" s="322"/>
      <c r="N15" s="322"/>
      <c r="O15" s="322"/>
      <c r="P15" s="322"/>
      <c r="Q15" s="320"/>
      <c r="R15" s="320"/>
    </row>
    <row r="16" spans="1:18" ht="14.25">
      <c r="A16" s="322" t="s">
        <v>451</v>
      </c>
      <c r="B16" s="322">
        <v>181786.41666666666</v>
      </c>
      <c r="C16" s="322">
        <v>189274.25</v>
      </c>
      <c r="D16" s="322">
        <v>198324.58333333334</v>
      </c>
      <c r="E16" s="322">
        <v>204249.91666666666</v>
      </c>
      <c r="F16" s="322">
        <v>211737.66666666666</v>
      </c>
      <c r="G16" s="322">
        <v>219225.5</v>
      </c>
      <c r="H16" s="323">
        <v>226713.33333333334</v>
      </c>
      <c r="I16" s="322">
        <v>234201.16666666666</v>
      </c>
      <c r="J16" s="322">
        <v>242001.41666666666</v>
      </c>
      <c r="K16" s="322">
        <v>249176.75</v>
      </c>
      <c r="L16" s="322">
        <v>256664.58333333334</v>
      </c>
      <c r="M16" s="322"/>
      <c r="N16" s="322"/>
      <c r="O16" s="322"/>
      <c r="P16" s="322"/>
      <c r="Q16" s="320"/>
      <c r="R16" s="320"/>
    </row>
    <row r="17" spans="1:18" ht="14.25">
      <c r="A17" s="322" t="s">
        <v>452</v>
      </c>
      <c r="B17" s="322">
        <v>200784.08333333334</v>
      </c>
      <c r="C17" s="322">
        <v>208845.16666666666</v>
      </c>
      <c r="D17" s="322">
        <v>216904.66666666666</v>
      </c>
      <c r="E17" s="322">
        <v>224967.16666666666</v>
      </c>
      <c r="F17" s="322">
        <v>233028.33333333334</v>
      </c>
      <c r="G17" s="322">
        <v>241089.25</v>
      </c>
      <c r="H17" s="323">
        <v>249153.41666666666</v>
      </c>
      <c r="I17" s="322">
        <v>257211.25</v>
      </c>
      <c r="J17" s="322">
        <v>265272.41666666669</v>
      </c>
      <c r="K17" s="322">
        <v>273333.41666666669</v>
      </c>
      <c r="L17" s="322">
        <v>281394.41666666669</v>
      </c>
      <c r="M17" s="322"/>
      <c r="N17" s="322"/>
      <c r="O17" s="322"/>
      <c r="P17" s="322"/>
      <c r="Q17" s="320"/>
      <c r="R17" s="320"/>
    </row>
    <row r="18" spans="1:18" ht="14.25">
      <c r="A18" s="322" t="s">
        <v>453</v>
      </c>
      <c r="B18" s="322">
        <v>276221.25</v>
      </c>
      <c r="C18" s="322">
        <v>287637.83333333331</v>
      </c>
      <c r="D18" s="322">
        <v>299054.25</v>
      </c>
      <c r="E18" s="322">
        <v>312760.25</v>
      </c>
      <c r="F18" s="322">
        <v>321887.16666666669</v>
      </c>
      <c r="G18" s="322">
        <v>333303.75</v>
      </c>
      <c r="H18" s="323">
        <v>344720.16666666669</v>
      </c>
      <c r="I18" s="322">
        <v>356136.75</v>
      </c>
      <c r="J18" s="322">
        <v>367553.16666666669</v>
      </c>
      <c r="K18" s="322"/>
      <c r="L18" s="322"/>
      <c r="M18" s="322"/>
      <c r="N18" s="322"/>
      <c r="O18" s="322"/>
      <c r="P18" s="322"/>
      <c r="Q18" s="320"/>
      <c r="R18" s="320"/>
    </row>
    <row r="19" spans="1:18" ht="14.25">
      <c r="A19" s="322" t="s">
        <v>454</v>
      </c>
      <c r="B19" s="322">
        <v>341699.58333333331</v>
      </c>
      <c r="C19" s="322">
        <v>355420.16666666669</v>
      </c>
      <c r="D19" s="322">
        <v>369154.91666666669</v>
      </c>
      <c r="E19" s="322">
        <v>382861.41666666669</v>
      </c>
      <c r="F19" s="322">
        <v>396582.08333333331</v>
      </c>
      <c r="G19" s="322">
        <v>410302.66666666669</v>
      </c>
      <c r="H19" s="323">
        <v>424023.33333333331</v>
      </c>
      <c r="I19" s="322">
        <v>437743.91666666669</v>
      </c>
      <c r="J19" s="322">
        <v>451464.58333333331</v>
      </c>
      <c r="K19" s="322"/>
      <c r="L19" s="322"/>
      <c r="M19" s="322"/>
      <c r="N19" s="322"/>
      <c r="O19" s="322"/>
      <c r="P19" s="322"/>
      <c r="Q19" s="320"/>
      <c r="R19" s="320"/>
    </row>
    <row r="20" spans="1:18" ht="14.25">
      <c r="A20" s="322" t="s">
        <v>455</v>
      </c>
      <c r="B20" s="322">
        <v>652000</v>
      </c>
      <c r="C20" s="322">
        <v>676776.16666666663</v>
      </c>
      <c r="D20" s="322">
        <v>701552.16666666663</v>
      </c>
      <c r="E20" s="322">
        <v>726328.33333333337</v>
      </c>
      <c r="F20" s="322">
        <v>751104.41666666663</v>
      </c>
      <c r="G20" s="322">
        <v>775880.5</v>
      </c>
      <c r="H20" s="323">
        <v>800656.58333333337</v>
      </c>
      <c r="I20" s="322">
        <v>825432.66666666663</v>
      </c>
      <c r="J20" s="322">
        <v>850208.75</v>
      </c>
      <c r="K20" s="322"/>
      <c r="L20" s="322"/>
      <c r="M20" s="322"/>
      <c r="N20" s="322"/>
      <c r="O20" s="322"/>
      <c r="P20" s="322"/>
      <c r="Q20" s="320"/>
      <c r="R20" s="320"/>
    </row>
    <row r="21" spans="1:18" ht="14.25">
      <c r="A21" s="322"/>
      <c r="B21" s="322"/>
      <c r="C21" s="322"/>
      <c r="D21" s="322"/>
      <c r="E21" s="322"/>
      <c r="F21" s="322"/>
      <c r="G21" s="322"/>
      <c r="H21" s="323"/>
      <c r="I21" s="322"/>
      <c r="J21" s="322"/>
      <c r="K21" s="322"/>
      <c r="L21" s="322"/>
      <c r="M21" s="322"/>
      <c r="N21" s="322"/>
      <c r="O21" s="322"/>
      <c r="P21" s="322"/>
      <c r="Q21" s="320"/>
      <c r="R21" s="320"/>
    </row>
    <row r="22" spans="1:18">
      <c r="A22" s="320"/>
      <c r="B22" s="320"/>
      <c r="C22" s="320"/>
      <c r="D22" s="320"/>
      <c r="E22" s="320"/>
      <c r="F22" s="320"/>
      <c r="G22" s="320"/>
      <c r="H22" s="321"/>
      <c r="I22" s="320"/>
      <c r="J22" s="230"/>
      <c r="K22" s="320"/>
      <c r="L22" s="320"/>
      <c r="M22" s="320"/>
      <c r="N22" s="320"/>
      <c r="O22" s="320"/>
      <c r="P22" s="320"/>
      <c r="Q22" s="320"/>
      <c r="R22" s="320"/>
    </row>
    <row r="23" spans="1:18">
      <c r="D23" s="33"/>
      <c r="F23" s="33"/>
      <c r="H23" s="319"/>
    </row>
    <row r="24" spans="1:18">
      <c r="H24" s="319"/>
    </row>
    <row r="25" spans="1:18">
      <c r="H25" s="319"/>
    </row>
    <row r="26" spans="1:18">
      <c r="H26" s="319"/>
    </row>
    <row r="27" spans="1:18">
      <c r="H27" s="319"/>
    </row>
    <row r="28" spans="1:18">
      <c r="H28" s="319"/>
    </row>
    <row r="29" spans="1:18">
      <c r="H29" s="319"/>
    </row>
    <row r="30" spans="1:18">
      <c r="H30" s="319"/>
    </row>
    <row r="31" spans="1:18">
      <c r="H31" s="319"/>
    </row>
    <row r="32" spans="1:18">
      <c r="H32" s="319"/>
    </row>
    <row r="33" spans="8:8">
      <c r="H33" s="319"/>
    </row>
    <row r="34" spans="8:8">
      <c r="H34" s="319"/>
    </row>
    <row r="35" spans="8:8">
      <c r="H35" s="319"/>
    </row>
    <row r="36" spans="8:8">
      <c r="H36" s="319"/>
    </row>
    <row r="37" spans="8:8">
      <c r="H37" s="319"/>
    </row>
    <row r="38" spans="8:8">
      <c r="H38" s="319"/>
    </row>
    <row r="39" spans="8:8">
      <c r="H39" s="319"/>
    </row>
    <row r="40" spans="8:8">
      <c r="H40" s="319"/>
    </row>
    <row r="41" spans="8:8">
      <c r="H41" s="319"/>
    </row>
    <row r="42" spans="8:8">
      <c r="H42" s="319"/>
    </row>
    <row r="43" spans="8:8">
      <c r="H43" s="319"/>
    </row>
    <row r="44" spans="8:8">
      <c r="H44" s="319"/>
    </row>
    <row r="45" spans="8:8">
      <c r="H45" s="319"/>
    </row>
    <row r="46" spans="8:8">
      <c r="H46" s="319"/>
    </row>
    <row r="47" spans="8:8">
      <c r="H47" s="319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93"/>
  <sheetViews>
    <sheetView topLeftCell="A158" zoomScaleNormal="100" workbookViewId="0">
      <selection activeCell="L173" sqref="L173"/>
    </sheetView>
  </sheetViews>
  <sheetFormatPr defaultRowHeight="12.75"/>
  <cols>
    <col min="1" max="1" width="5.42578125" style="8" customWidth="1"/>
    <col min="2" max="2" width="33.28515625" style="8" customWidth="1"/>
    <col min="3" max="3" width="28.28515625" style="8" customWidth="1"/>
    <col min="4" max="4" width="8.28515625" style="8" customWidth="1"/>
    <col min="5" max="5" width="9.42578125" style="8" customWidth="1"/>
    <col min="6" max="6" width="9.140625" style="8" customWidth="1"/>
    <col min="7" max="7" width="8.7109375" style="8" customWidth="1"/>
    <col min="8" max="8" width="9.28515625" style="8" customWidth="1"/>
    <col min="9" max="9" width="11.7109375" style="8" customWidth="1"/>
    <col min="10" max="16384" width="9.140625" style="8"/>
  </cols>
  <sheetData>
    <row r="1" spans="1:11" ht="14.25">
      <c r="A1" s="408" t="s">
        <v>0</v>
      </c>
      <c r="B1" s="408"/>
      <c r="C1" s="408"/>
      <c r="D1" s="408"/>
      <c r="E1" s="408"/>
      <c r="F1" s="408"/>
      <c r="G1" s="408"/>
      <c r="H1" s="408"/>
      <c r="I1" s="408"/>
      <c r="J1" s="272"/>
      <c r="K1" s="272"/>
    </row>
    <row r="2" spans="1:11" ht="14.25">
      <c r="A2" s="408" t="s">
        <v>456</v>
      </c>
      <c r="B2" s="408"/>
      <c r="C2" s="408"/>
      <c r="D2" s="408"/>
      <c r="E2" s="408"/>
      <c r="F2" s="408"/>
      <c r="G2" s="408"/>
      <c r="H2" s="408"/>
      <c r="I2" s="408"/>
      <c r="J2" s="270"/>
      <c r="K2" s="270"/>
    </row>
    <row r="3" spans="1:11" ht="23.25" customHeight="1">
      <c r="A3" s="409" t="s">
        <v>457</v>
      </c>
      <c r="B3" s="409"/>
      <c r="C3" s="409"/>
      <c r="D3" s="409"/>
      <c r="E3" s="409"/>
      <c r="F3" s="409"/>
      <c r="G3" s="409"/>
      <c r="H3" s="409"/>
      <c r="I3" s="409"/>
    </row>
    <row r="5" spans="1:11" ht="42.75" customHeight="1">
      <c r="A5" s="273" t="s">
        <v>26</v>
      </c>
      <c r="B5" s="273" t="s">
        <v>2</v>
      </c>
      <c r="C5" s="273" t="s">
        <v>3</v>
      </c>
      <c r="D5" s="274" t="s">
        <v>4</v>
      </c>
      <c r="E5" s="274" t="s">
        <v>458</v>
      </c>
      <c r="F5" s="274" t="s">
        <v>459</v>
      </c>
      <c r="G5" s="274" t="s">
        <v>460</v>
      </c>
      <c r="H5" s="274" t="s">
        <v>461</v>
      </c>
      <c r="I5" s="277" t="s">
        <v>462</v>
      </c>
    </row>
    <row r="6" spans="1:11">
      <c r="B6" s="275" t="s">
        <v>27</v>
      </c>
    </row>
    <row r="7" spans="1:11">
      <c r="A7" s="284">
        <v>1</v>
      </c>
      <c r="B7" s="284" t="s">
        <v>28</v>
      </c>
      <c r="C7" s="284" t="s">
        <v>29</v>
      </c>
      <c r="D7" s="284" t="s">
        <v>463</v>
      </c>
      <c r="E7" s="285">
        <v>35000</v>
      </c>
      <c r="F7" s="285">
        <v>35000</v>
      </c>
      <c r="G7" s="285">
        <v>35000</v>
      </c>
      <c r="H7" s="285">
        <v>35000</v>
      </c>
      <c r="I7" s="285">
        <f>E7+F7+G7+H7</f>
        <v>140000</v>
      </c>
    </row>
    <row r="8" spans="1:11">
      <c r="A8" s="284">
        <v>2</v>
      </c>
      <c r="B8" s="286" t="s">
        <v>464</v>
      </c>
      <c r="C8" s="284" t="s">
        <v>465</v>
      </c>
      <c r="D8" s="284" t="s">
        <v>233</v>
      </c>
      <c r="E8" s="285">
        <v>35000</v>
      </c>
      <c r="F8" s="285">
        <v>35000</v>
      </c>
      <c r="G8" s="285">
        <v>35000</v>
      </c>
      <c r="H8" s="285">
        <v>35000</v>
      </c>
      <c r="I8" s="285">
        <f t="shared" ref="I8:I27" si="0">E8+F8+G8+H8</f>
        <v>140000</v>
      </c>
    </row>
    <row r="9" spans="1:11">
      <c r="A9" s="284">
        <v>3</v>
      </c>
      <c r="B9" s="284" t="s">
        <v>31</v>
      </c>
      <c r="C9" s="284" t="s">
        <v>32</v>
      </c>
      <c r="D9" s="284" t="s">
        <v>33</v>
      </c>
      <c r="E9" s="285">
        <v>35000</v>
      </c>
      <c r="F9" s="285">
        <v>35000</v>
      </c>
      <c r="G9" s="285">
        <v>35000</v>
      </c>
      <c r="H9" s="285">
        <v>35000</v>
      </c>
      <c r="I9" s="285">
        <f t="shared" si="0"/>
        <v>140000</v>
      </c>
    </row>
    <row r="10" spans="1:11">
      <c r="A10" s="284">
        <v>4</v>
      </c>
      <c r="B10" s="284" t="s">
        <v>34</v>
      </c>
      <c r="C10" s="284" t="s">
        <v>35</v>
      </c>
      <c r="D10" s="284" t="s">
        <v>36</v>
      </c>
      <c r="E10" s="285">
        <v>35000</v>
      </c>
      <c r="F10" s="285">
        <v>35000</v>
      </c>
      <c r="G10" s="285">
        <v>35000</v>
      </c>
      <c r="H10" s="285">
        <v>35000</v>
      </c>
      <c r="I10" s="285">
        <f t="shared" si="0"/>
        <v>140000</v>
      </c>
    </row>
    <row r="11" spans="1:11">
      <c r="A11" s="284">
        <v>5</v>
      </c>
      <c r="B11" s="284" t="s">
        <v>179</v>
      </c>
      <c r="C11" s="284" t="s">
        <v>466</v>
      </c>
      <c r="D11" s="284" t="s">
        <v>36</v>
      </c>
      <c r="E11" s="285">
        <v>35000</v>
      </c>
      <c r="F11" s="285">
        <v>35000</v>
      </c>
      <c r="G11" s="285">
        <v>35000</v>
      </c>
      <c r="H11" s="285">
        <v>35000</v>
      </c>
      <c r="I11" s="285">
        <f t="shared" si="0"/>
        <v>140000</v>
      </c>
    </row>
    <row r="12" spans="1:11">
      <c r="A12" s="284">
        <v>6</v>
      </c>
      <c r="B12" s="284" t="s">
        <v>37</v>
      </c>
      <c r="C12" s="284" t="s">
        <v>38</v>
      </c>
      <c r="D12" s="284" t="s">
        <v>36</v>
      </c>
      <c r="E12" s="285">
        <v>35000</v>
      </c>
      <c r="F12" s="285">
        <v>35000</v>
      </c>
      <c r="G12" s="285">
        <v>35000</v>
      </c>
      <c r="H12" s="285">
        <v>35000</v>
      </c>
      <c r="I12" s="285">
        <f t="shared" si="0"/>
        <v>140000</v>
      </c>
    </row>
    <row r="13" spans="1:11">
      <c r="A13" s="284">
        <v>7</v>
      </c>
      <c r="B13" s="284" t="s">
        <v>39</v>
      </c>
      <c r="C13" s="284" t="s">
        <v>40</v>
      </c>
      <c r="D13" s="284" t="s">
        <v>36</v>
      </c>
      <c r="E13" s="285">
        <v>35000</v>
      </c>
      <c r="F13" s="285">
        <v>35000</v>
      </c>
      <c r="G13" s="285">
        <v>35000</v>
      </c>
      <c r="H13" s="285">
        <v>35000</v>
      </c>
      <c r="I13" s="285">
        <f t="shared" si="0"/>
        <v>140000</v>
      </c>
    </row>
    <row r="14" spans="1:11">
      <c r="A14" s="284">
        <v>8</v>
      </c>
      <c r="B14" s="284" t="s">
        <v>43</v>
      </c>
      <c r="C14" s="284" t="s">
        <v>44</v>
      </c>
      <c r="D14" s="284" t="s">
        <v>45</v>
      </c>
      <c r="E14" s="285">
        <v>35000</v>
      </c>
      <c r="F14" s="285">
        <v>35000</v>
      </c>
      <c r="G14" s="285">
        <v>35000</v>
      </c>
      <c r="H14" s="285">
        <v>35000</v>
      </c>
      <c r="I14" s="285">
        <f t="shared" si="0"/>
        <v>140000</v>
      </c>
    </row>
    <row r="15" spans="1:11">
      <c r="A15" s="284">
        <v>9</v>
      </c>
      <c r="B15" s="284" t="s">
        <v>467</v>
      </c>
      <c r="C15" s="284" t="s">
        <v>50</v>
      </c>
      <c r="D15" s="284" t="s">
        <v>51</v>
      </c>
      <c r="E15" s="285">
        <v>35000</v>
      </c>
      <c r="F15" s="285">
        <v>35000</v>
      </c>
      <c r="G15" s="285">
        <v>35000</v>
      </c>
      <c r="H15" s="285">
        <v>35000</v>
      </c>
      <c r="I15" s="285">
        <f t="shared" si="0"/>
        <v>140000</v>
      </c>
    </row>
    <row r="16" spans="1:11">
      <c r="A16" s="284">
        <v>11</v>
      </c>
      <c r="B16" s="284" t="s">
        <v>49</v>
      </c>
      <c r="C16" s="284" t="s">
        <v>50</v>
      </c>
      <c r="D16" s="284" t="s">
        <v>51</v>
      </c>
      <c r="E16" s="285">
        <v>35000</v>
      </c>
      <c r="F16" s="285">
        <v>35000</v>
      </c>
      <c r="G16" s="285">
        <v>35000</v>
      </c>
      <c r="H16" s="285">
        <v>35000</v>
      </c>
      <c r="I16" s="285">
        <f t="shared" si="0"/>
        <v>140000</v>
      </c>
    </row>
    <row r="17" spans="1:9">
      <c r="A17" s="284">
        <v>12</v>
      </c>
      <c r="B17" s="284" t="s">
        <v>58</v>
      </c>
      <c r="C17" s="284" t="s">
        <v>59</v>
      </c>
      <c r="D17" s="284" t="s">
        <v>60</v>
      </c>
      <c r="E17" s="285">
        <v>35000</v>
      </c>
      <c r="F17" s="285">
        <v>35000</v>
      </c>
      <c r="G17" s="285">
        <v>35000</v>
      </c>
      <c r="H17" s="285">
        <v>35000</v>
      </c>
      <c r="I17" s="285">
        <f t="shared" si="0"/>
        <v>140000</v>
      </c>
    </row>
    <row r="18" spans="1:9">
      <c r="A18" s="284">
        <v>13</v>
      </c>
      <c r="B18" s="284" t="s">
        <v>61</v>
      </c>
      <c r="C18" s="284" t="s">
        <v>62</v>
      </c>
      <c r="D18" s="284" t="s">
        <v>63</v>
      </c>
      <c r="E18" s="285">
        <v>35000</v>
      </c>
      <c r="F18" s="285">
        <v>35000</v>
      </c>
      <c r="G18" s="285">
        <v>35000</v>
      </c>
      <c r="H18" s="285">
        <v>35000</v>
      </c>
      <c r="I18" s="285">
        <f t="shared" si="0"/>
        <v>140000</v>
      </c>
    </row>
    <row r="19" spans="1:9">
      <c r="A19" s="284">
        <v>14</v>
      </c>
      <c r="B19" s="284" t="s">
        <v>64</v>
      </c>
      <c r="C19" s="284" t="s">
        <v>65</v>
      </c>
      <c r="D19" s="284" t="s">
        <v>66</v>
      </c>
      <c r="E19" s="285">
        <v>35000</v>
      </c>
      <c r="F19" s="285">
        <v>35000</v>
      </c>
      <c r="G19" s="285">
        <v>35000</v>
      </c>
      <c r="H19" s="285">
        <v>35000</v>
      </c>
      <c r="I19" s="285">
        <f t="shared" si="0"/>
        <v>140000</v>
      </c>
    </row>
    <row r="20" spans="1:9">
      <c r="A20" s="284">
        <v>16</v>
      </c>
      <c r="B20" s="284" t="s">
        <v>76</v>
      </c>
      <c r="C20" s="284" t="s">
        <v>74</v>
      </c>
      <c r="D20" s="284" t="s">
        <v>75</v>
      </c>
      <c r="E20" s="285">
        <v>35000</v>
      </c>
      <c r="F20" s="285">
        <v>35000</v>
      </c>
      <c r="G20" s="285">
        <v>35000</v>
      </c>
      <c r="H20" s="285">
        <v>35000</v>
      </c>
      <c r="I20" s="285">
        <f t="shared" si="0"/>
        <v>140000</v>
      </c>
    </row>
    <row r="21" spans="1:9">
      <c r="A21" s="284">
        <v>17</v>
      </c>
      <c r="B21" s="284" t="s">
        <v>468</v>
      </c>
      <c r="C21" s="284" t="s">
        <v>469</v>
      </c>
      <c r="D21" s="284" t="s">
        <v>75</v>
      </c>
      <c r="E21" s="285">
        <v>35000</v>
      </c>
      <c r="F21" s="285">
        <v>35000</v>
      </c>
      <c r="G21" s="285">
        <v>35000</v>
      </c>
      <c r="H21" s="285">
        <v>35000</v>
      </c>
      <c r="I21" s="285">
        <f t="shared" si="0"/>
        <v>140000</v>
      </c>
    </row>
    <row r="22" spans="1:9">
      <c r="A22" s="284">
        <v>18</v>
      </c>
      <c r="B22" s="284" t="s">
        <v>77</v>
      </c>
      <c r="C22" s="284" t="s">
        <v>412</v>
      </c>
      <c r="D22" s="284" t="s">
        <v>199</v>
      </c>
      <c r="E22" s="285">
        <v>35000</v>
      </c>
      <c r="F22" s="285">
        <v>35000</v>
      </c>
      <c r="G22" s="285">
        <v>35000</v>
      </c>
      <c r="H22" s="285">
        <v>35000</v>
      </c>
      <c r="I22" s="285">
        <f t="shared" si="0"/>
        <v>140000</v>
      </c>
    </row>
    <row r="23" spans="1:9">
      <c r="A23" s="284">
        <v>19</v>
      </c>
      <c r="B23" s="284" t="s">
        <v>80</v>
      </c>
      <c r="C23" s="284" t="s">
        <v>470</v>
      </c>
      <c r="D23" s="284" t="s">
        <v>199</v>
      </c>
      <c r="E23" s="285">
        <v>35000</v>
      </c>
      <c r="F23" s="285">
        <v>35000</v>
      </c>
      <c r="G23" s="285">
        <v>35000</v>
      </c>
      <c r="H23" s="285">
        <v>35000</v>
      </c>
      <c r="I23" s="285">
        <f t="shared" si="0"/>
        <v>140000</v>
      </c>
    </row>
    <row r="24" spans="1:9">
      <c r="A24" s="284">
        <v>20</v>
      </c>
      <c r="B24" s="284" t="s">
        <v>82</v>
      </c>
      <c r="C24" s="284" t="s">
        <v>83</v>
      </c>
      <c r="D24" s="284" t="s">
        <v>75</v>
      </c>
      <c r="E24" s="285">
        <v>35000</v>
      </c>
      <c r="F24" s="285">
        <v>35000</v>
      </c>
      <c r="G24" s="285">
        <v>35000</v>
      </c>
      <c r="H24" s="285">
        <v>35000</v>
      </c>
      <c r="I24" s="285">
        <f t="shared" si="0"/>
        <v>140000</v>
      </c>
    </row>
    <row r="25" spans="1:9">
      <c r="A25" s="284">
        <v>21</v>
      </c>
      <c r="B25" s="284" t="s">
        <v>84</v>
      </c>
      <c r="C25" s="284" t="s">
        <v>85</v>
      </c>
      <c r="D25" s="284" t="s">
        <v>86</v>
      </c>
      <c r="E25" s="285">
        <v>35000</v>
      </c>
      <c r="F25" s="285">
        <v>35000</v>
      </c>
      <c r="G25" s="285">
        <v>35000</v>
      </c>
      <c r="H25" s="285">
        <v>35000</v>
      </c>
      <c r="I25" s="285">
        <f t="shared" si="0"/>
        <v>140000</v>
      </c>
    </row>
    <row r="26" spans="1:9">
      <c r="A26" s="284">
        <v>22</v>
      </c>
      <c r="B26" s="284" t="s">
        <v>87</v>
      </c>
      <c r="C26" s="284" t="s">
        <v>88</v>
      </c>
      <c r="D26" s="284" t="s">
        <v>86</v>
      </c>
      <c r="E26" s="285">
        <v>35000</v>
      </c>
      <c r="F26" s="285">
        <v>35000</v>
      </c>
      <c r="G26" s="285">
        <v>35000</v>
      </c>
      <c r="H26" s="285">
        <v>35000</v>
      </c>
      <c r="I26" s="285">
        <f t="shared" si="0"/>
        <v>140000</v>
      </c>
    </row>
    <row r="27" spans="1:9">
      <c r="A27" s="284">
        <v>23</v>
      </c>
      <c r="B27" s="284" t="s">
        <v>89</v>
      </c>
      <c r="C27" s="284" t="s">
        <v>88</v>
      </c>
      <c r="D27" s="284" t="s">
        <v>90</v>
      </c>
      <c r="E27" s="287">
        <v>35000</v>
      </c>
      <c r="F27" s="287">
        <v>35000</v>
      </c>
      <c r="G27" s="287">
        <v>35000</v>
      </c>
      <c r="H27" s="287">
        <v>35000</v>
      </c>
      <c r="I27" s="287">
        <f t="shared" si="0"/>
        <v>140000</v>
      </c>
    </row>
    <row r="28" spans="1:9">
      <c r="A28" s="284"/>
      <c r="B28" s="288" t="s">
        <v>471</v>
      </c>
      <c r="C28" s="284"/>
      <c r="D28" s="284"/>
      <c r="E28" s="289">
        <f>SUM(E7:E27)</f>
        <v>735000</v>
      </c>
      <c r="F28" s="289">
        <f>SUM(F7:F27)</f>
        <v>735000</v>
      </c>
      <c r="G28" s="289">
        <f>SUM(G7:G27)</f>
        <v>735000</v>
      </c>
      <c r="H28" s="289">
        <f>SUM(H7:H27)</f>
        <v>735000</v>
      </c>
      <c r="I28" s="289">
        <f>SUM(I7:I27)</f>
        <v>2940000</v>
      </c>
    </row>
    <row r="29" spans="1:9">
      <c r="E29" s="271"/>
      <c r="F29" s="271"/>
      <c r="G29" s="271"/>
      <c r="H29" s="271"/>
      <c r="I29" s="271"/>
    </row>
    <row r="30" spans="1:9">
      <c r="B30" s="275" t="s">
        <v>92</v>
      </c>
      <c r="E30" s="271"/>
      <c r="F30" s="271"/>
      <c r="G30" s="271"/>
      <c r="H30" s="271"/>
      <c r="I30" s="271"/>
    </row>
    <row r="31" spans="1:9">
      <c r="A31" s="284">
        <v>1</v>
      </c>
      <c r="B31" s="284" t="s">
        <v>93</v>
      </c>
      <c r="C31" s="284" t="s">
        <v>94</v>
      </c>
      <c r="D31" s="284" t="s">
        <v>95</v>
      </c>
      <c r="E31" s="285">
        <v>35000</v>
      </c>
      <c r="F31" s="285">
        <v>35000</v>
      </c>
      <c r="G31" s="285">
        <v>35000</v>
      </c>
      <c r="H31" s="285">
        <v>35000</v>
      </c>
      <c r="I31" s="285">
        <f>E31+F31+G31+H31</f>
        <v>140000</v>
      </c>
    </row>
    <row r="32" spans="1:9">
      <c r="A32" s="284">
        <v>2</v>
      </c>
      <c r="B32" s="284" t="s">
        <v>96</v>
      </c>
      <c r="C32" s="284" t="s">
        <v>97</v>
      </c>
      <c r="D32" s="284" t="s">
        <v>90</v>
      </c>
      <c r="E32" s="287">
        <v>35000</v>
      </c>
      <c r="F32" s="287">
        <v>35000</v>
      </c>
      <c r="G32" s="287">
        <v>35000</v>
      </c>
      <c r="H32" s="287">
        <v>35000</v>
      </c>
      <c r="I32" s="285">
        <f>E32+F32+G32+H32</f>
        <v>140000</v>
      </c>
    </row>
    <row r="33" spans="1:9">
      <c r="A33" s="284"/>
      <c r="B33" s="288" t="s">
        <v>472</v>
      </c>
      <c r="C33" s="284"/>
      <c r="D33" s="284"/>
      <c r="E33" s="289">
        <f>SUM(E31:E32)</f>
        <v>70000</v>
      </c>
      <c r="F33" s="289">
        <f t="shared" ref="F33:H33" si="1">SUM(F31:F32)</f>
        <v>70000</v>
      </c>
      <c r="G33" s="289">
        <f t="shared" si="1"/>
        <v>70000</v>
      </c>
      <c r="H33" s="289">
        <f t="shared" si="1"/>
        <v>70000</v>
      </c>
      <c r="I33" s="289">
        <f>SUM(I31:I32)</f>
        <v>280000</v>
      </c>
    </row>
    <row r="34" spans="1:9">
      <c r="E34" s="271"/>
      <c r="F34" s="271"/>
      <c r="G34" s="271"/>
      <c r="H34" s="271"/>
      <c r="I34" s="271"/>
    </row>
    <row r="35" spans="1:9">
      <c r="B35" s="275" t="s">
        <v>100</v>
      </c>
      <c r="E35" s="271"/>
      <c r="F35" s="271"/>
      <c r="G35" s="271"/>
      <c r="H35" s="271"/>
      <c r="I35" s="271"/>
    </row>
    <row r="36" spans="1:9">
      <c r="A36" s="284">
        <v>1</v>
      </c>
      <c r="B36" s="284" t="s">
        <v>101</v>
      </c>
      <c r="C36" s="284" t="s">
        <v>102</v>
      </c>
      <c r="D36" s="284" t="s">
        <v>95</v>
      </c>
      <c r="E36" s="285">
        <v>35000</v>
      </c>
      <c r="F36" s="285">
        <v>35000</v>
      </c>
      <c r="G36" s="285">
        <v>35000</v>
      </c>
      <c r="H36" s="285">
        <v>35000</v>
      </c>
      <c r="I36" s="285">
        <f>E36+F36+G36+H36</f>
        <v>140000</v>
      </c>
    </row>
    <row r="37" spans="1:9">
      <c r="A37" s="284">
        <v>2</v>
      </c>
      <c r="B37" s="284" t="s">
        <v>103</v>
      </c>
      <c r="C37" s="284" t="s">
        <v>104</v>
      </c>
      <c r="D37" s="284" t="s">
        <v>45</v>
      </c>
      <c r="E37" s="285">
        <v>35000</v>
      </c>
      <c r="F37" s="285">
        <v>35000</v>
      </c>
      <c r="G37" s="285">
        <v>35000</v>
      </c>
      <c r="H37" s="285">
        <v>35000</v>
      </c>
      <c r="I37" s="285">
        <f t="shared" ref="I37:I48" si="2">E37+F37+G37+H37</f>
        <v>140000</v>
      </c>
    </row>
    <row r="38" spans="1:9">
      <c r="A38" s="284">
        <v>3</v>
      </c>
      <c r="B38" s="284" t="s">
        <v>105</v>
      </c>
      <c r="C38" s="284" t="s">
        <v>109</v>
      </c>
      <c r="D38" s="284" t="s">
        <v>45</v>
      </c>
      <c r="E38" s="285">
        <v>35000</v>
      </c>
      <c r="F38" s="285">
        <v>35000</v>
      </c>
      <c r="G38" s="285">
        <v>35000</v>
      </c>
      <c r="H38" s="285">
        <v>35000</v>
      </c>
      <c r="I38" s="285">
        <f t="shared" si="2"/>
        <v>140000</v>
      </c>
    </row>
    <row r="39" spans="1:9">
      <c r="A39" s="284">
        <v>4</v>
      </c>
      <c r="B39" s="284" t="s">
        <v>108</v>
      </c>
      <c r="C39" s="284" t="s">
        <v>109</v>
      </c>
      <c r="D39" s="284" t="s">
        <v>45</v>
      </c>
      <c r="E39" s="285">
        <v>35000</v>
      </c>
      <c r="F39" s="285">
        <v>35000</v>
      </c>
      <c r="G39" s="285">
        <v>35000</v>
      </c>
      <c r="H39" s="285">
        <v>35000</v>
      </c>
      <c r="I39" s="285">
        <f t="shared" si="2"/>
        <v>140000</v>
      </c>
    </row>
    <row r="40" spans="1:9">
      <c r="A40" s="284">
        <v>5</v>
      </c>
      <c r="B40" s="284" t="s">
        <v>110</v>
      </c>
      <c r="C40" s="284" t="s">
        <v>109</v>
      </c>
      <c r="D40" s="284" t="s">
        <v>111</v>
      </c>
      <c r="E40" s="285">
        <v>35000</v>
      </c>
      <c r="F40" s="285">
        <v>35000</v>
      </c>
      <c r="G40" s="285">
        <v>35000</v>
      </c>
      <c r="H40" s="285">
        <v>35000</v>
      </c>
      <c r="I40" s="285">
        <f t="shared" si="2"/>
        <v>140000</v>
      </c>
    </row>
    <row r="41" spans="1:9">
      <c r="A41" s="284">
        <v>6</v>
      </c>
      <c r="B41" s="284" t="s">
        <v>112</v>
      </c>
      <c r="C41" s="284" t="s">
        <v>115</v>
      </c>
      <c r="D41" s="284" t="s">
        <v>51</v>
      </c>
      <c r="E41" s="285">
        <v>35000</v>
      </c>
      <c r="F41" s="285">
        <v>35000</v>
      </c>
      <c r="G41" s="285">
        <v>35000</v>
      </c>
      <c r="H41" s="285">
        <v>35000</v>
      </c>
      <c r="I41" s="285">
        <f t="shared" si="2"/>
        <v>140000</v>
      </c>
    </row>
    <row r="42" spans="1:9">
      <c r="A42" s="284">
        <v>7</v>
      </c>
      <c r="B42" s="284" t="s">
        <v>113</v>
      </c>
      <c r="C42" s="284" t="s">
        <v>53</v>
      </c>
      <c r="D42" s="284" t="s">
        <v>51</v>
      </c>
      <c r="E42" s="285">
        <v>35000</v>
      </c>
      <c r="F42" s="285">
        <v>35000</v>
      </c>
      <c r="G42" s="285">
        <v>35000</v>
      </c>
      <c r="H42" s="285">
        <v>35000</v>
      </c>
      <c r="I42" s="285">
        <f t="shared" si="2"/>
        <v>140000</v>
      </c>
    </row>
    <row r="43" spans="1:9">
      <c r="A43" s="284">
        <v>8</v>
      </c>
      <c r="B43" s="284" t="s">
        <v>473</v>
      </c>
      <c r="C43" s="284" t="s">
        <v>53</v>
      </c>
      <c r="D43" s="284" t="s">
        <v>54</v>
      </c>
      <c r="E43" s="285">
        <v>35000</v>
      </c>
      <c r="F43" s="285">
        <v>35000</v>
      </c>
      <c r="G43" s="285">
        <v>35000</v>
      </c>
      <c r="H43" s="285">
        <v>35000</v>
      </c>
      <c r="I43" s="285">
        <f t="shared" si="2"/>
        <v>140000</v>
      </c>
    </row>
    <row r="44" spans="1:9">
      <c r="A44" s="284">
        <v>9</v>
      </c>
      <c r="B44" s="284" t="s">
        <v>114</v>
      </c>
      <c r="C44" s="284" t="s">
        <v>167</v>
      </c>
      <c r="D44" s="284" t="s">
        <v>168</v>
      </c>
      <c r="E44" s="285">
        <v>35000</v>
      </c>
      <c r="F44" s="285">
        <v>35000</v>
      </c>
      <c r="G44" s="285">
        <v>35000</v>
      </c>
      <c r="H44" s="285">
        <v>35000</v>
      </c>
      <c r="I44" s="285">
        <f t="shared" si="2"/>
        <v>140000</v>
      </c>
    </row>
    <row r="45" spans="1:9">
      <c r="A45" s="284">
        <v>10</v>
      </c>
      <c r="B45" s="284" t="s">
        <v>117</v>
      </c>
      <c r="C45" s="284" t="s">
        <v>118</v>
      </c>
      <c r="D45" s="284" t="s">
        <v>72</v>
      </c>
      <c r="E45" s="285">
        <v>35000</v>
      </c>
      <c r="F45" s="285">
        <v>35000</v>
      </c>
      <c r="G45" s="285">
        <v>35000</v>
      </c>
      <c r="H45" s="285">
        <v>35000</v>
      </c>
      <c r="I45" s="285">
        <f t="shared" si="2"/>
        <v>140000</v>
      </c>
    </row>
    <row r="46" spans="1:9">
      <c r="A46" s="284">
        <v>11</v>
      </c>
      <c r="B46" s="284" t="s">
        <v>119</v>
      </c>
      <c r="C46" s="284" t="s">
        <v>118</v>
      </c>
      <c r="D46" s="284" t="s">
        <v>79</v>
      </c>
      <c r="E46" s="285">
        <v>35000</v>
      </c>
      <c r="F46" s="285">
        <v>35000</v>
      </c>
      <c r="G46" s="285">
        <v>35000</v>
      </c>
      <c r="H46" s="285">
        <v>35000</v>
      </c>
      <c r="I46" s="285">
        <f t="shared" si="2"/>
        <v>140000</v>
      </c>
    </row>
    <row r="47" spans="1:9">
      <c r="A47" s="284">
        <v>12</v>
      </c>
      <c r="B47" s="284" t="s">
        <v>120</v>
      </c>
      <c r="C47" s="284" t="s">
        <v>118</v>
      </c>
      <c r="D47" s="284" t="s">
        <v>79</v>
      </c>
      <c r="E47" s="285">
        <v>35000</v>
      </c>
      <c r="F47" s="285">
        <v>35000</v>
      </c>
      <c r="G47" s="285">
        <v>35000</v>
      </c>
      <c r="H47" s="285">
        <v>35000</v>
      </c>
      <c r="I47" s="285">
        <f t="shared" si="2"/>
        <v>140000</v>
      </c>
    </row>
    <row r="48" spans="1:9">
      <c r="A48" s="284">
        <v>13</v>
      </c>
      <c r="B48" s="284" t="s">
        <v>121</v>
      </c>
      <c r="C48" s="284" t="s">
        <v>118</v>
      </c>
      <c r="D48" s="284" t="s">
        <v>79</v>
      </c>
      <c r="E48" s="287">
        <v>35000</v>
      </c>
      <c r="F48" s="287">
        <v>35000</v>
      </c>
      <c r="G48" s="287">
        <v>35000</v>
      </c>
      <c r="H48" s="287">
        <v>35000</v>
      </c>
      <c r="I48" s="287">
        <f t="shared" si="2"/>
        <v>140000</v>
      </c>
    </row>
    <row r="49" spans="1:9">
      <c r="A49" s="284"/>
      <c r="B49" s="288" t="s">
        <v>474</v>
      </c>
      <c r="C49" s="284"/>
      <c r="D49" s="284"/>
      <c r="E49" s="289">
        <f>SUM(E36:E48)</f>
        <v>455000</v>
      </c>
      <c r="F49" s="289">
        <f t="shared" ref="F49:H49" si="3">SUM(F36:F48)</f>
        <v>455000</v>
      </c>
      <c r="G49" s="289">
        <f t="shared" si="3"/>
        <v>455000</v>
      </c>
      <c r="H49" s="289">
        <f t="shared" si="3"/>
        <v>455000</v>
      </c>
      <c r="I49" s="289">
        <f>SUM(I36:I48)</f>
        <v>1820000</v>
      </c>
    </row>
    <row r="50" spans="1:9">
      <c r="E50" s="271"/>
      <c r="F50" s="271"/>
      <c r="G50" s="271"/>
      <c r="H50" s="271"/>
      <c r="I50" s="271"/>
    </row>
    <row r="51" spans="1:9">
      <c r="B51" s="275" t="s">
        <v>122</v>
      </c>
      <c r="E51" s="271"/>
      <c r="F51" s="271"/>
      <c r="G51" s="271"/>
      <c r="H51" s="271"/>
      <c r="I51" s="271"/>
    </row>
    <row r="52" spans="1:9">
      <c r="A52" s="284">
        <v>1</v>
      </c>
      <c r="B52" s="286" t="s">
        <v>123</v>
      </c>
      <c r="C52" s="284" t="s">
        <v>124</v>
      </c>
      <c r="D52" s="284" t="s">
        <v>95</v>
      </c>
      <c r="E52" s="285">
        <v>35000</v>
      </c>
      <c r="F52" s="285">
        <v>35000</v>
      </c>
      <c r="G52" s="285">
        <v>35000</v>
      </c>
      <c r="H52" s="285">
        <v>35000</v>
      </c>
      <c r="I52" s="285">
        <f>E52+F52+G52+H52</f>
        <v>140000</v>
      </c>
    </row>
    <row r="53" spans="1:9">
      <c r="A53" s="284">
        <v>2</v>
      </c>
      <c r="B53" s="284" t="s">
        <v>125</v>
      </c>
      <c r="C53" s="284" t="s">
        <v>126</v>
      </c>
      <c r="D53" s="284" t="s">
        <v>127</v>
      </c>
      <c r="E53" s="287">
        <v>35000</v>
      </c>
      <c r="F53" s="287">
        <v>35000</v>
      </c>
      <c r="G53" s="287">
        <v>35000</v>
      </c>
      <c r="H53" s="287">
        <v>35000</v>
      </c>
      <c r="I53" s="287">
        <f>E53+F53+G53+H53</f>
        <v>140000</v>
      </c>
    </row>
    <row r="54" spans="1:9">
      <c r="A54" s="284"/>
      <c r="B54" s="288" t="s">
        <v>475</v>
      </c>
      <c r="C54" s="284"/>
      <c r="D54" s="284"/>
      <c r="E54" s="289">
        <f>SUM(E52:E53)</f>
        <v>70000</v>
      </c>
      <c r="F54" s="289">
        <f t="shared" ref="F54:H54" si="4">SUM(F52:F53)</f>
        <v>70000</v>
      </c>
      <c r="G54" s="289">
        <f t="shared" si="4"/>
        <v>70000</v>
      </c>
      <c r="H54" s="289">
        <f t="shared" si="4"/>
        <v>70000</v>
      </c>
      <c r="I54" s="289">
        <f>SUM(I52:I53)</f>
        <v>280000</v>
      </c>
    </row>
    <row r="55" spans="1:9">
      <c r="E55" s="271"/>
      <c r="F55" s="271"/>
      <c r="G55" s="271"/>
      <c r="H55" s="271"/>
      <c r="I55" s="271"/>
    </row>
    <row r="56" spans="1:9">
      <c r="B56" s="275" t="s">
        <v>128</v>
      </c>
      <c r="E56" s="271"/>
      <c r="F56" s="271"/>
      <c r="G56" s="271"/>
      <c r="H56" s="271"/>
      <c r="I56" s="271"/>
    </row>
    <row r="57" spans="1:9">
      <c r="A57" s="284">
        <v>1</v>
      </c>
      <c r="B57" s="284" t="s">
        <v>129</v>
      </c>
      <c r="C57" s="284" t="s">
        <v>130</v>
      </c>
      <c r="D57" s="284" t="s">
        <v>95</v>
      </c>
      <c r="E57" s="285">
        <v>35000</v>
      </c>
      <c r="F57" s="285">
        <v>35000</v>
      </c>
      <c r="G57" s="285">
        <v>35000</v>
      </c>
      <c r="H57" s="285">
        <v>35000</v>
      </c>
      <c r="I57" s="285">
        <f>E57+F57+G57+H57</f>
        <v>140000</v>
      </c>
    </row>
    <row r="58" spans="1:9">
      <c r="A58" s="284">
        <v>2</v>
      </c>
      <c r="B58" s="284" t="s">
        <v>131</v>
      </c>
      <c r="C58" s="284" t="s">
        <v>132</v>
      </c>
      <c r="D58" s="284" t="s">
        <v>133</v>
      </c>
      <c r="E58" s="285">
        <v>35000</v>
      </c>
      <c r="F58" s="285">
        <v>35000</v>
      </c>
      <c r="G58" s="285">
        <v>35000</v>
      </c>
      <c r="H58" s="285">
        <v>35000</v>
      </c>
      <c r="I58" s="285">
        <f t="shared" ref="I58:I68" si="5">E58+F58+G58+H58</f>
        <v>140000</v>
      </c>
    </row>
    <row r="59" spans="1:9">
      <c r="A59" s="284">
        <v>3</v>
      </c>
      <c r="B59" s="284" t="s">
        <v>134</v>
      </c>
      <c r="C59" s="284" t="s">
        <v>136</v>
      </c>
      <c r="D59" s="284" t="s">
        <v>168</v>
      </c>
      <c r="E59" s="285">
        <v>35000</v>
      </c>
      <c r="F59" s="285">
        <v>35000</v>
      </c>
      <c r="G59" s="285">
        <v>35000</v>
      </c>
      <c r="H59" s="285">
        <v>35000</v>
      </c>
      <c r="I59" s="285">
        <f t="shared" si="5"/>
        <v>140000</v>
      </c>
    </row>
    <row r="60" spans="1:9">
      <c r="A60" s="284">
        <v>4</v>
      </c>
      <c r="B60" s="284" t="s">
        <v>135</v>
      </c>
      <c r="C60" s="284" t="s">
        <v>136</v>
      </c>
      <c r="D60" s="284" t="s">
        <v>60</v>
      </c>
      <c r="E60" s="285">
        <v>35000</v>
      </c>
      <c r="F60" s="285">
        <v>35000</v>
      </c>
      <c r="G60" s="285">
        <v>35000</v>
      </c>
      <c r="H60" s="285">
        <v>35000</v>
      </c>
      <c r="I60" s="285">
        <f t="shared" si="5"/>
        <v>140000</v>
      </c>
    </row>
    <row r="61" spans="1:9">
      <c r="A61" s="284">
        <v>5</v>
      </c>
      <c r="B61" s="284" t="s">
        <v>137</v>
      </c>
      <c r="C61" s="284" t="s">
        <v>53</v>
      </c>
      <c r="D61" s="284" t="s">
        <v>51</v>
      </c>
      <c r="E61" s="285">
        <v>35000</v>
      </c>
      <c r="F61" s="285">
        <v>35000</v>
      </c>
      <c r="G61" s="285">
        <v>35000</v>
      </c>
      <c r="H61" s="285">
        <v>35000</v>
      </c>
      <c r="I61" s="285">
        <f t="shared" si="5"/>
        <v>140000</v>
      </c>
    </row>
    <row r="62" spans="1:9">
      <c r="A62" s="284">
        <v>6</v>
      </c>
      <c r="B62" s="284" t="s">
        <v>52</v>
      </c>
      <c r="C62" s="284" t="s">
        <v>53</v>
      </c>
      <c r="D62" s="284" t="s">
        <v>54</v>
      </c>
      <c r="E62" s="285">
        <v>35000</v>
      </c>
      <c r="F62" s="285">
        <v>35000</v>
      </c>
      <c r="G62" s="285">
        <v>35000</v>
      </c>
      <c r="H62" s="285">
        <v>35000</v>
      </c>
      <c r="I62" s="285">
        <f t="shared" si="5"/>
        <v>140000</v>
      </c>
    </row>
    <row r="63" spans="1:9">
      <c r="A63" s="284">
        <v>7</v>
      </c>
      <c r="B63" s="284" t="s">
        <v>138</v>
      </c>
      <c r="C63" s="284" t="s">
        <v>118</v>
      </c>
      <c r="D63" s="284" t="s">
        <v>69</v>
      </c>
      <c r="E63" s="285">
        <v>35000</v>
      </c>
      <c r="F63" s="285">
        <v>35000</v>
      </c>
      <c r="G63" s="285">
        <v>35000</v>
      </c>
      <c r="H63" s="285">
        <v>35000</v>
      </c>
      <c r="I63" s="285">
        <f t="shared" si="5"/>
        <v>140000</v>
      </c>
    </row>
    <row r="64" spans="1:9">
      <c r="A64" s="284">
        <v>8</v>
      </c>
      <c r="B64" s="284" t="s">
        <v>139</v>
      </c>
      <c r="C64" s="284" t="s">
        <v>140</v>
      </c>
      <c r="D64" s="284" t="s">
        <v>69</v>
      </c>
      <c r="E64" s="285">
        <v>35000</v>
      </c>
      <c r="F64" s="285">
        <v>35000</v>
      </c>
      <c r="G64" s="285">
        <v>35000</v>
      </c>
      <c r="H64" s="285">
        <v>35000</v>
      </c>
      <c r="I64" s="285">
        <f t="shared" si="5"/>
        <v>140000</v>
      </c>
    </row>
    <row r="65" spans="1:9">
      <c r="A65" s="284">
        <v>9</v>
      </c>
      <c r="B65" s="284" t="s">
        <v>141</v>
      </c>
      <c r="C65" s="284" t="s">
        <v>140</v>
      </c>
      <c r="D65" s="284" t="s">
        <v>69</v>
      </c>
      <c r="E65" s="285">
        <v>35000</v>
      </c>
      <c r="F65" s="285">
        <v>35000</v>
      </c>
      <c r="G65" s="285">
        <v>35000</v>
      </c>
      <c r="H65" s="285">
        <v>35000</v>
      </c>
      <c r="I65" s="285">
        <f t="shared" si="5"/>
        <v>140000</v>
      </c>
    </row>
    <row r="66" spans="1:9">
      <c r="A66" s="284">
        <v>10</v>
      </c>
      <c r="B66" s="284" t="s">
        <v>142</v>
      </c>
      <c r="C66" s="284" t="s">
        <v>143</v>
      </c>
      <c r="D66" s="284" t="s">
        <v>66</v>
      </c>
      <c r="E66" s="285">
        <v>35000</v>
      </c>
      <c r="F66" s="285">
        <v>35000</v>
      </c>
      <c r="G66" s="285">
        <v>35000</v>
      </c>
      <c r="H66" s="285">
        <v>35000</v>
      </c>
      <c r="I66" s="285">
        <f t="shared" si="5"/>
        <v>140000</v>
      </c>
    </row>
    <row r="67" spans="1:9">
      <c r="A67" s="284">
        <v>11</v>
      </c>
      <c r="B67" s="284" t="s">
        <v>145</v>
      </c>
      <c r="C67" s="284" t="s">
        <v>68</v>
      </c>
      <c r="D67" s="284" t="s">
        <v>75</v>
      </c>
      <c r="E67" s="285">
        <v>35000</v>
      </c>
      <c r="F67" s="285">
        <v>35000</v>
      </c>
      <c r="G67" s="285">
        <v>35000</v>
      </c>
      <c r="H67" s="285">
        <v>35000</v>
      </c>
      <c r="I67" s="285">
        <f t="shared" si="5"/>
        <v>140000</v>
      </c>
    </row>
    <row r="68" spans="1:9">
      <c r="A68" s="284">
        <v>12</v>
      </c>
      <c r="B68" s="284" t="s">
        <v>67</v>
      </c>
      <c r="C68" s="284" t="s">
        <v>68</v>
      </c>
      <c r="D68" s="284" t="s">
        <v>86</v>
      </c>
      <c r="E68" s="287">
        <v>35000</v>
      </c>
      <c r="F68" s="287">
        <v>35000</v>
      </c>
      <c r="G68" s="287">
        <v>35000</v>
      </c>
      <c r="H68" s="287">
        <v>35000</v>
      </c>
      <c r="I68" s="287">
        <f t="shared" si="5"/>
        <v>140000</v>
      </c>
    </row>
    <row r="69" spans="1:9">
      <c r="A69" s="284"/>
      <c r="B69" s="288" t="s">
        <v>476</v>
      </c>
      <c r="C69" s="284"/>
      <c r="D69" s="284"/>
      <c r="E69" s="289">
        <f>SUM(E57:E68)</f>
        <v>420000</v>
      </c>
      <c r="F69" s="289">
        <f t="shared" ref="F69:H69" si="6">SUM(F57:F68)</f>
        <v>420000</v>
      </c>
      <c r="G69" s="289">
        <f t="shared" si="6"/>
        <v>420000</v>
      </c>
      <c r="H69" s="289">
        <f t="shared" si="6"/>
        <v>420000</v>
      </c>
      <c r="I69" s="289">
        <f>SUM(I57:I68)</f>
        <v>1680000</v>
      </c>
    </row>
    <row r="70" spans="1:9">
      <c r="E70" s="271"/>
      <c r="F70" s="271"/>
      <c r="G70" s="271"/>
      <c r="H70" s="271"/>
      <c r="I70" s="271"/>
    </row>
    <row r="71" spans="1:9">
      <c r="B71" s="275" t="s">
        <v>146</v>
      </c>
      <c r="E71" s="271"/>
      <c r="F71" s="271"/>
      <c r="G71" s="271"/>
      <c r="H71" s="271"/>
      <c r="I71" s="271"/>
    </row>
    <row r="72" spans="1:9">
      <c r="A72" s="284">
        <v>1</v>
      </c>
      <c r="B72" s="284" t="s">
        <v>147</v>
      </c>
      <c r="C72" s="284" t="s">
        <v>148</v>
      </c>
      <c r="D72" s="284" t="s">
        <v>95</v>
      </c>
      <c r="E72" s="285">
        <v>35000</v>
      </c>
      <c r="F72" s="285">
        <v>35000</v>
      </c>
      <c r="G72" s="285">
        <v>35000</v>
      </c>
      <c r="H72" s="285">
        <v>35000</v>
      </c>
      <c r="I72" s="285">
        <f>E72+F72+G72+H72</f>
        <v>140000</v>
      </c>
    </row>
    <row r="73" spans="1:9">
      <c r="A73" s="284">
        <v>2</v>
      </c>
      <c r="B73" s="284" t="s">
        <v>149</v>
      </c>
      <c r="C73" s="284" t="s">
        <v>150</v>
      </c>
      <c r="D73" s="284" t="s">
        <v>133</v>
      </c>
      <c r="E73" s="285">
        <v>35000</v>
      </c>
      <c r="F73" s="285">
        <v>35000</v>
      </c>
      <c r="G73" s="285">
        <v>35000</v>
      </c>
      <c r="H73" s="285">
        <v>35000</v>
      </c>
      <c r="I73" s="285">
        <f t="shared" ref="I73:I78" si="7">E73+F73+G73+H73</f>
        <v>140000</v>
      </c>
    </row>
    <row r="74" spans="1:9">
      <c r="A74" s="284">
        <v>3</v>
      </c>
      <c r="B74" s="284" t="s">
        <v>151</v>
      </c>
      <c r="C74" s="284" t="s">
        <v>152</v>
      </c>
      <c r="D74" s="284" t="s">
        <v>127</v>
      </c>
      <c r="E74" s="285">
        <v>35000</v>
      </c>
      <c r="F74" s="285">
        <v>35000</v>
      </c>
      <c r="G74" s="285">
        <v>35000</v>
      </c>
      <c r="H74" s="285">
        <v>35000</v>
      </c>
      <c r="I74" s="285">
        <f t="shared" si="7"/>
        <v>140000</v>
      </c>
    </row>
    <row r="75" spans="1:9">
      <c r="A75" s="284">
        <v>4</v>
      </c>
      <c r="B75" s="284" t="s">
        <v>153</v>
      </c>
      <c r="C75" s="284" t="s">
        <v>414</v>
      </c>
      <c r="D75" s="284" t="s">
        <v>168</v>
      </c>
      <c r="E75" s="285">
        <v>35000</v>
      </c>
      <c r="F75" s="285">
        <v>35000</v>
      </c>
      <c r="G75" s="285">
        <v>35000</v>
      </c>
      <c r="H75" s="285">
        <v>35000</v>
      </c>
      <c r="I75" s="285">
        <f t="shared" si="7"/>
        <v>140000</v>
      </c>
    </row>
    <row r="76" spans="1:9">
      <c r="A76" s="284">
        <v>5</v>
      </c>
      <c r="B76" s="284" t="s">
        <v>155</v>
      </c>
      <c r="C76" s="284" t="s">
        <v>156</v>
      </c>
      <c r="D76" s="284" t="s">
        <v>157</v>
      </c>
      <c r="E76" s="285">
        <v>35000</v>
      </c>
      <c r="F76" s="285">
        <v>35000</v>
      </c>
      <c r="G76" s="285">
        <v>35000</v>
      </c>
      <c r="H76" s="285">
        <v>35000</v>
      </c>
      <c r="I76" s="285">
        <f t="shared" si="7"/>
        <v>140000</v>
      </c>
    </row>
    <row r="77" spans="1:9">
      <c r="A77" s="284">
        <v>6</v>
      </c>
      <c r="B77" s="284" t="s">
        <v>158</v>
      </c>
      <c r="C77" s="284" t="s">
        <v>156</v>
      </c>
      <c r="D77" s="284" t="s">
        <v>79</v>
      </c>
      <c r="E77" s="285">
        <v>35000</v>
      </c>
      <c r="F77" s="285">
        <v>35000</v>
      </c>
      <c r="G77" s="285">
        <v>35000</v>
      </c>
      <c r="H77" s="285">
        <v>35000</v>
      </c>
      <c r="I77" s="285">
        <f t="shared" si="7"/>
        <v>140000</v>
      </c>
    </row>
    <row r="78" spans="1:9">
      <c r="A78" s="284">
        <v>7</v>
      </c>
      <c r="B78" s="284" t="s">
        <v>159</v>
      </c>
      <c r="C78" s="284" t="s">
        <v>160</v>
      </c>
      <c r="D78" s="284" t="s">
        <v>90</v>
      </c>
      <c r="E78" s="287">
        <v>35000</v>
      </c>
      <c r="F78" s="287">
        <v>35000</v>
      </c>
      <c r="G78" s="287">
        <v>35000</v>
      </c>
      <c r="H78" s="287">
        <v>35000</v>
      </c>
      <c r="I78" s="287">
        <f t="shared" si="7"/>
        <v>140000</v>
      </c>
    </row>
    <row r="79" spans="1:9">
      <c r="A79" s="284"/>
      <c r="B79" s="288" t="s">
        <v>477</v>
      </c>
      <c r="C79" s="284"/>
      <c r="D79" s="284"/>
      <c r="E79" s="289">
        <f>SUM(E72:E78)</f>
        <v>245000</v>
      </c>
      <c r="F79" s="289">
        <f t="shared" ref="F79:H79" si="8">SUM(F72:F78)</f>
        <v>245000</v>
      </c>
      <c r="G79" s="289">
        <f t="shared" si="8"/>
        <v>245000</v>
      </c>
      <c r="H79" s="289">
        <f t="shared" si="8"/>
        <v>245000</v>
      </c>
      <c r="I79" s="289">
        <f>SUM(I72:I78)</f>
        <v>980000</v>
      </c>
    </row>
    <row r="80" spans="1:9">
      <c r="E80" s="271"/>
      <c r="F80" s="271"/>
      <c r="G80" s="271"/>
      <c r="H80" s="271"/>
      <c r="I80" s="271"/>
    </row>
    <row r="81" spans="1:9">
      <c r="B81" s="275" t="s">
        <v>161</v>
      </c>
      <c r="E81" s="271"/>
      <c r="F81" s="271"/>
      <c r="G81" s="271"/>
      <c r="H81" s="271"/>
      <c r="I81" s="271"/>
    </row>
    <row r="82" spans="1:9">
      <c r="A82" s="284">
        <v>1</v>
      </c>
      <c r="B82" s="284" t="s">
        <v>162</v>
      </c>
      <c r="C82" s="284" t="s">
        <v>109</v>
      </c>
      <c r="D82" s="284" t="s">
        <v>45</v>
      </c>
      <c r="E82" s="285">
        <v>35000</v>
      </c>
      <c r="F82" s="285">
        <v>35000</v>
      </c>
      <c r="G82" s="285">
        <v>35000</v>
      </c>
      <c r="H82" s="285">
        <v>35000</v>
      </c>
      <c r="I82" s="285">
        <f t="shared" ref="I82:I92" si="9">35000*4</f>
        <v>140000</v>
      </c>
    </row>
    <row r="83" spans="1:9">
      <c r="A83" s="284">
        <v>2</v>
      </c>
      <c r="B83" s="284" t="s">
        <v>163</v>
      </c>
      <c r="C83" s="284" t="s">
        <v>109</v>
      </c>
      <c r="D83" s="284" t="s">
        <v>45</v>
      </c>
      <c r="E83" s="285">
        <v>35000</v>
      </c>
      <c r="F83" s="285">
        <v>35000</v>
      </c>
      <c r="G83" s="285">
        <v>35000</v>
      </c>
      <c r="H83" s="285">
        <v>35000</v>
      </c>
      <c r="I83" s="285">
        <f t="shared" si="9"/>
        <v>140000</v>
      </c>
    </row>
    <row r="84" spans="1:9">
      <c r="A84" s="284">
        <v>3</v>
      </c>
      <c r="B84" s="284" t="s">
        <v>164</v>
      </c>
      <c r="C84" s="284" t="s">
        <v>53</v>
      </c>
      <c r="D84" s="284" t="s">
        <v>413</v>
      </c>
      <c r="E84" s="285">
        <v>35000</v>
      </c>
      <c r="F84" s="285">
        <v>35000</v>
      </c>
      <c r="G84" s="285">
        <v>35000</v>
      </c>
      <c r="H84" s="285">
        <v>35000</v>
      </c>
      <c r="I84" s="285">
        <f t="shared" si="9"/>
        <v>140000</v>
      </c>
    </row>
    <row r="85" spans="1:9">
      <c r="A85" s="284">
        <v>4</v>
      </c>
      <c r="B85" s="284" t="s">
        <v>165</v>
      </c>
      <c r="C85" s="284" t="s">
        <v>115</v>
      </c>
      <c r="D85" s="284" t="s">
        <v>51</v>
      </c>
      <c r="E85" s="285">
        <v>35000</v>
      </c>
      <c r="F85" s="285">
        <v>35000</v>
      </c>
      <c r="G85" s="285">
        <v>35000</v>
      </c>
      <c r="H85" s="285">
        <v>35000</v>
      </c>
      <c r="I85" s="285">
        <f t="shared" si="9"/>
        <v>140000</v>
      </c>
    </row>
    <row r="86" spans="1:9">
      <c r="A86" s="284">
        <v>5</v>
      </c>
      <c r="B86" s="284" t="s">
        <v>166</v>
      </c>
      <c r="C86" s="284" t="s">
        <v>167</v>
      </c>
      <c r="D86" s="284" t="s">
        <v>168</v>
      </c>
      <c r="E86" s="285">
        <v>35000</v>
      </c>
      <c r="F86" s="285">
        <v>35000</v>
      </c>
      <c r="G86" s="285">
        <v>35000</v>
      </c>
      <c r="H86" s="285">
        <v>35000</v>
      </c>
      <c r="I86" s="285">
        <f t="shared" si="9"/>
        <v>140000</v>
      </c>
    </row>
    <row r="87" spans="1:9">
      <c r="A87" s="284">
        <v>6</v>
      </c>
      <c r="B87" s="284" t="s">
        <v>169</v>
      </c>
      <c r="C87" s="284" t="s">
        <v>136</v>
      </c>
      <c r="D87" s="284" t="s">
        <v>60</v>
      </c>
      <c r="E87" s="285">
        <v>35000</v>
      </c>
      <c r="F87" s="285">
        <v>35000</v>
      </c>
      <c r="G87" s="285">
        <v>35000</v>
      </c>
      <c r="H87" s="285">
        <v>35000</v>
      </c>
      <c r="I87" s="285">
        <f t="shared" si="9"/>
        <v>140000</v>
      </c>
    </row>
    <row r="88" spans="1:9">
      <c r="A88" s="284">
        <v>7</v>
      </c>
      <c r="B88" s="284" t="s">
        <v>170</v>
      </c>
      <c r="C88" s="284" t="s">
        <v>136</v>
      </c>
      <c r="D88" s="284" t="s">
        <v>60</v>
      </c>
      <c r="E88" s="285">
        <v>35000</v>
      </c>
      <c r="F88" s="285">
        <v>35000</v>
      </c>
      <c r="G88" s="285">
        <v>35000</v>
      </c>
      <c r="H88" s="285">
        <v>35000</v>
      </c>
      <c r="I88" s="285">
        <f t="shared" si="9"/>
        <v>140000</v>
      </c>
    </row>
    <row r="89" spans="1:9">
      <c r="A89" s="284">
        <v>8</v>
      </c>
      <c r="B89" s="284" t="s">
        <v>172</v>
      </c>
      <c r="C89" s="284" t="s">
        <v>140</v>
      </c>
      <c r="D89" s="284" t="s">
        <v>69</v>
      </c>
      <c r="E89" s="285">
        <v>35000</v>
      </c>
      <c r="F89" s="285">
        <v>35000</v>
      </c>
      <c r="G89" s="285">
        <v>35000</v>
      </c>
      <c r="H89" s="285">
        <v>35000</v>
      </c>
      <c r="I89" s="285">
        <f t="shared" si="9"/>
        <v>140000</v>
      </c>
    </row>
    <row r="90" spans="1:9">
      <c r="A90" s="284">
        <v>9</v>
      </c>
      <c r="B90" s="284" t="s">
        <v>173</v>
      </c>
      <c r="C90" s="284" t="s">
        <v>140</v>
      </c>
      <c r="D90" s="284" t="s">
        <v>69</v>
      </c>
      <c r="E90" s="285">
        <v>35000</v>
      </c>
      <c r="F90" s="285">
        <v>35000</v>
      </c>
      <c r="G90" s="285">
        <v>35000</v>
      </c>
      <c r="H90" s="285">
        <v>35000</v>
      </c>
      <c r="I90" s="285">
        <f t="shared" si="9"/>
        <v>140000</v>
      </c>
    </row>
    <row r="91" spans="1:9">
      <c r="A91" s="284">
        <v>10</v>
      </c>
      <c r="B91" s="284" t="s">
        <v>174</v>
      </c>
      <c r="C91" s="284" t="s">
        <v>175</v>
      </c>
      <c r="D91" s="284" t="s">
        <v>72</v>
      </c>
      <c r="E91" s="285">
        <v>35000</v>
      </c>
      <c r="F91" s="285">
        <v>35000</v>
      </c>
      <c r="G91" s="285">
        <v>35000</v>
      </c>
      <c r="H91" s="285">
        <v>35000</v>
      </c>
      <c r="I91" s="285">
        <f t="shared" si="9"/>
        <v>140000</v>
      </c>
    </row>
    <row r="92" spans="1:9">
      <c r="A92" s="284">
        <v>11</v>
      </c>
      <c r="B92" s="284" t="s">
        <v>176</v>
      </c>
      <c r="C92" s="284" t="s">
        <v>177</v>
      </c>
      <c r="D92" s="284" t="s">
        <v>86</v>
      </c>
      <c r="E92" s="287">
        <v>35000</v>
      </c>
      <c r="F92" s="287">
        <v>35000</v>
      </c>
      <c r="G92" s="287">
        <v>35000</v>
      </c>
      <c r="H92" s="287">
        <v>35000</v>
      </c>
      <c r="I92" s="287">
        <f t="shared" si="9"/>
        <v>140000</v>
      </c>
    </row>
    <row r="93" spans="1:9">
      <c r="A93" s="284"/>
      <c r="B93" s="288" t="s">
        <v>478</v>
      </c>
      <c r="C93" s="284"/>
      <c r="D93" s="284"/>
      <c r="E93" s="289">
        <f>SUM(E82:E92)</f>
        <v>385000</v>
      </c>
      <c r="F93" s="289">
        <f t="shared" ref="F93:H93" si="10">SUM(F82:F92)</f>
        <v>385000</v>
      </c>
      <c r="G93" s="289">
        <f t="shared" si="10"/>
        <v>385000</v>
      </c>
      <c r="H93" s="289">
        <f t="shared" si="10"/>
        <v>385000</v>
      </c>
      <c r="I93" s="289">
        <f>SUM(I82:I92)</f>
        <v>1540000</v>
      </c>
    </row>
    <row r="94" spans="1:9">
      <c r="E94" s="271"/>
      <c r="F94" s="271"/>
      <c r="G94" s="271"/>
      <c r="H94" s="271"/>
      <c r="I94" s="271"/>
    </row>
    <row r="95" spans="1:9">
      <c r="B95" s="275" t="s">
        <v>178</v>
      </c>
      <c r="E95" s="271"/>
      <c r="F95" s="271"/>
      <c r="G95" s="271"/>
      <c r="H95" s="271"/>
      <c r="I95" s="271"/>
    </row>
    <row r="96" spans="1:9">
      <c r="A96" s="284">
        <v>1</v>
      </c>
      <c r="B96" s="284" t="s">
        <v>41</v>
      </c>
      <c r="C96" s="284" t="s">
        <v>42</v>
      </c>
      <c r="D96" s="284" t="s">
        <v>36</v>
      </c>
      <c r="E96" s="285">
        <v>35000</v>
      </c>
      <c r="F96" s="285">
        <v>35000</v>
      </c>
      <c r="G96" s="285">
        <v>35000</v>
      </c>
      <c r="H96" s="285">
        <v>35000</v>
      </c>
      <c r="I96" s="285">
        <f>E96+F96+G96+H96</f>
        <v>140000</v>
      </c>
    </row>
    <row r="97" spans="1:9">
      <c r="A97" s="284">
        <v>2</v>
      </c>
      <c r="B97" s="284" t="s">
        <v>46</v>
      </c>
      <c r="C97" s="284" t="s">
        <v>182</v>
      </c>
      <c r="D97" s="284" t="s">
        <v>51</v>
      </c>
      <c r="E97" s="285">
        <v>35000</v>
      </c>
      <c r="F97" s="285">
        <v>35000</v>
      </c>
      <c r="G97" s="285">
        <v>35000</v>
      </c>
      <c r="H97" s="285">
        <v>35000</v>
      </c>
      <c r="I97" s="285">
        <f t="shared" ref="I97:I99" si="11">E97+F97+G97+H97</f>
        <v>140000</v>
      </c>
    </row>
    <row r="98" spans="1:9">
      <c r="A98" s="284">
        <v>3</v>
      </c>
      <c r="B98" s="284" t="s">
        <v>183</v>
      </c>
      <c r="C98" s="284" t="s">
        <v>184</v>
      </c>
      <c r="D98" s="284" t="s">
        <v>66</v>
      </c>
      <c r="E98" s="285">
        <v>35000</v>
      </c>
      <c r="F98" s="285">
        <v>35000</v>
      </c>
      <c r="G98" s="285">
        <v>35000</v>
      </c>
      <c r="H98" s="285">
        <v>35000</v>
      </c>
      <c r="I98" s="285">
        <f t="shared" si="11"/>
        <v>140000</v>
      </c>
    </row>
    <row r="99" spans="1:9">
      <c r="A99" s="284">
        <v>4</v>
      </c>
      <c r="B99" s="284" t="s">
        <v>185</v>
      </c>
      <c r="C99" s="284" t="s">
        <v>415</v>
      </c>
      <c r="D99" s="284" t="s">
        <v>199</v>
      </c>
      <c r="E99" s="287">
        <v>35000</v>
      </c>
      <c r="F99" s="287">
        <v>35000</v>
      </c>
      <c r="G99" s="287">
        <v>35000</v>
      </c>
      <c r="H99" s="287">
        <v>35000</v>
      </c>
      <c r="I99" s="287">
        <f t="shared" si="11"/>
        <v>140000</v>
      </c>
    </row>
    <row r="100" spans="1:9">
      <c r="A100" s="284"/>
      <c r="B100" s="288" t="s">
        <v>479</v>
      </c>
      <c r="C100" s="284"/>
      <c r="D100" s="284"/>
      <c r="E100" s="289">
        <f>SUM(E96:E99)</f>
        <v>140000</v>
      </c>
      <c r="F100" s="289">
        <f t="shared" ref="F100:H100" si="12">SUM(F96:F99)</f>
        <v>140000</v>
      </c>
      <c r="G100" s="289">
        <f t="shared" si="12"/>
        <v>140000</v>
      </c>
      <c r="H100" s="289">
        <f t="shared" si="12"/>
        <v>140000</v>
      </c>
      <c r="I100" s="289">
        <f>SUM(I96:I99)</f>
        <v>560000</v>
      </c>
    </row>
    <row r="101" spans="1:9">
      <c r="E101" s="271"/>
      <c r="F101" s="271"/>
      <c r="G101" s="271"/>
      <c r="H101" s="271"/>
      <c r="I101" s="271"/>
    </row>
    <row r="102" spans="1:9">
      <c r="B102" s="275" t="s">
        <v>187</v>
      </c>
      <c r="E102" s="271"/>
      <c r="F102" s="271"/>
      <c r="G102" s="271"/>
      <c r="H102" s="271"/>
      <c r="I102" s="271"/>
    </row>
    <row r="103" spans="1:9">
      <c r="A103" s="284">
        <v>1</v>
      </c>
      <c r="B103" s="284" t="s">
        <v>188</v>
      </c>
      <c r="C103" s="284" t="s">
        <v>189</v>
      </c>
      <c r="D103" s="284" t="s">
        <v>95</v>
      </c>
      <c r="E103" s="285">
        <f>35000</f>
        <v>35000</v>
      </c>
      <c r="F103" s="285">
        <f>35000</f>
        <v>35000</v>
      </c>
      <c r="G103" s="285">
        <f>35000</f>
        <v>35000</v>
      </c>
      <c r="H103" s="285">
        <f>35000</f>
        <v>35000</v>
      </c>
      <c r="I103" s="285">
        <f>E103+F103+G103+H103</f>
        <v>140000</v>
      </c>
    </row>
    <row r="104" spans="1:9">
      <c r="A104" s="284">
        <v>2</v>
      </c>
      <c r="B104" s="284" t="s">
        <v>190</v>
      </c>
      <c r="C104" s="284" t="s">
        <v>191</v>
      </c>
      <c r="D104" s="284" t="s">
        <v>36</v>
      </c>
      <c r="E104" s="285">
        <f>35000</f>
        <v>35000</v>
      </c>
      <c r="F104" s="285">
        <f>35000</f>
        <v>35000</v>
      </c>
      <c r="G104" s="285">
        <f>35000</f>
        <v>35000</v>
      </c>
      <c r="H104" s="285">
        <f>35000</f>
        <v>35000</v>
      </c>
      <c r="I104" s="285">
        <f t="shared" ref="I104:I109" si="13">E104+F104+G104+H104</f>
        <v>140000</v>
      </c>
    </row>
    <row r="105" spans="1:9">
      <c r="A105" s="284">
        <v>3</v>
      </c>
      <c r="B105" s="284" t="s">
        <v>192</v>
      </c>
      <c r="C105" s="284" t="s">
        <v>193</v>
      </c>
      <c r="D105" s="284" t="s">
        <v>57</v>
      </c>
      <c r="E105" s="285">
        <f>35000</f>
        <v>35000</v>
      </c>
      <c r="F105" s="285">
        <f>35000</f>
        <v>35000</v>
      </c>
      <c r="G105" s="285">
        <f>35000</f>
        <v>35000</v>
      </c>
      <c r="H105" s="285">
        <f>35000</f>
        <v>35000</v>
      </c>
      <c r="I105" s="285">
        <f t="shared" si="13"/>
        <v>140000</v>
      </c>
    </row>
    <row r="106" spans="1:9">
      <c r="A106" s="284">
        <v>4</v>
      </c>
      <c r="B106" s="284" t="s">
        <v>194</v>
      </c>
      <c r="C106" s="284" t="s">
        <v>193</v>
      </c>
      <c r="D106" s="284" t="s">
        <v>57</v>
      </c>
      <c r="E106" s="285">
        <f>35000</f>
        <v>35000</v>
      </c>
      <c r="F106" s="285">
        <f>35000</f>
        <v>35000</v>
      </c>
      <c r="G106" s="285">
        <f>35000</f>
        <v>35000</v>
      </c>
      <c r="H106" s="285">
        <f>35000</f>
        <v>35000</v>
      </c>
      <c r="I106" s="285">
        <f t="shared" si="13"/>
        <v>140000</v>
      </c>
    </row>
    <row r="107" spans="1:9">
      <c r="A107" s="284">
        <v>5</v>
      </c>
      <c r="B107" s="284" t="s">
        <v>195</v>
      </c>
      <c r="C107" s="284" t="s">
        <v>196</v>
      </c>
      <c r="D107" s="284" t="s">
        <v>197</v>
      </c>
      <c r="E107" s="285">
        <f>35000</f>
        <v>35000</v>
      </c>
      <c r="F107" s="285">
        <f>35000</f>
        <v>35000</v>
      </c>
      <c r="G107" s="285">
        <f>35000</f>
        <v>35000</v>
      </c>
      <c r="H107" s="285">
        <f>35000</f>
        <v>35000</v>
      </c>
      <c r="I107" s="285">
        <f t="shared" si="13"/>
        <v>140000</v>
      </c>
    </row>
    <row r="108" spans="1:9">
      <c r="A108" s="284">
        <v>6</v>
      </c>
      <c r="B108" s="284" t="s">
        <v>198</v>
      </c>
      <c r="C108" s="284" t="s">
        <v>196</v>
      </c>
      <c r="D108" s="284" t="s">
        <v>199</v>
      </c>
      <c r="E108" s="285">
        <f>35000</f>
        <v>35000</v>
      </c>
      <c r="F108" s="285">
        <f>35000</f>
        <v>35000</v>
      </c>
      <c r="G108" s="285">
        <f>35000</f>
        <v>35000</v>
      </c>
      <c r="H108" s="285">
        <f>35000</f>
        <v>35000</v>
      </c>
      <c r="I108" s="285">
        <f t="shared" si="13"/>
        <v>140000</v>
      </c>
    </row>
    <row r="109" spans="1:9">
      <c r="A109" s="284">
        <v>7</v>
      </c>
      <c r="B109" s="284" t="s">
        <v>200</v>
      </c>
      <c r="C109" s="284" t="s">
        <v>196</v>
      </c>
      <c r="D109" s="284" t="s">
        <v>86</v>
      </c>
      <c r="E109" s="287">
        <f>35000</f>
        <v>35000</v>
      </c>
      <c r="F109" s="287">
        <f>35000</f>
        <v>35000</v>
      </c>
      <c r="G109" s="287">
        <f>35000</f>
        <v>35000</v>
      </c>
      <c r="H109" s="287">
        <f>35000</f>
        <v>35000</v>
      </c>
      <c r="I109" s="287">
        <f t="shared" si="13"/>
        <v>140000</v>
      </c>
    </row>
    <row r="110" spans="1:9">
      <c r="A110" s="284"/>
      <c r="B110" s="288" t="s">
        <v>480</v>
      </c>
      <c r="C110" s="284"/>
      <c r="D110" s="284"/>
      <c r="E110" s="289">
        <f>SUM(E103:E109)</f>
        <v>245000</v>
      </c>
      <c r="F110" s="289">
        <f t="shared" ref="F110:H110" si="14">SUM(F103:F109)</f>
        <v>245000</v>
      </c>
      <c r="G110" s="289">
        <f t="shared" si="14"/>
        <v>245000</v>
      </c>
      <c r="H110" s="289">
        <f t="shared" si="14"/>
        <v>245000</v>
      </c>
      <c r="I110" s="289">
        <f>SUM(I103:I109)</f>
        <v>980000</v>
      </c>
    </row>
    <row r="111" spans="1:9">
      <c r="I111" s="278"/>
    </row>
    <row r="112" spans="1:9">
      <c r="B112" s="275" t="s">
        <v>201</v>
      </c>
      <c r="E112" s="271"/>
      <c r="F112" s="271"/>
      <c r="G112" s="271"/>
      <c r="H112" s="271"/>
      <c r="I112" s="271"/>
    </row>
    <row r="113" spans="1:9">
      <c r="A113" s="284">
        <v>1</v>
      </c>
      <c r="B113" s="284" t="s">
        <v>202</v>
      </c>
      <c r="C113" s="284" t="s">
        <v>140</v>
      </c>
      <c r="D113" s="284" t="s">
        <v>203</v>
      </c>
      <c r="E113" s="285">
        <v>35000</v>
      </c>
      <c r="F113" s="285">
        <v>35000</v>
      </c>
      <c r="G113" s="285">
        <v>35000</v>
      </c>
      <c r="H113" s="285">
        <v>35000</v>
      </c>
      <c r="I113" s="285">
        <f>E113+F113+G113+H113</f>
        <v>140000</v>
      </c>
    </row>
    <row r="114" spans="1:9">
      <c r="A114" s="284">
        <v>2</v>
      </c>
      <c r="B114" s="284" t="s">
        <v>204</v>
      </c>
      <c r="C114" s="284" t="s">
        <v>205</v>
      </c>
      <c r="D114" s="284" t="s">
        <v>66</v>
      </c>
      <c r="E114" s="285">
        <v>35000</v>
      </c>
      <c r="F114" s="285">
        <v>35000</v>
      </c>
      <c r="G114" s="285">
        <v>35000</v>
      </c>
      <c r="H114" s="285">
        <v>35000</v>
      </c>
      <c r="I114" s="285">
        <f t="shared" ref="I114:I115" si="15">E114+F114+G114+H114</f>
        <v>140000</v>
      </c>
    </row>
    <row r="115" spans="1:9">
      <c r="A115" s="284">
        <v>3</v>
      </c>
      <c r="B115" s="284" t="s">
        <v>206</v>
      </c>
      <c r="C115" s="284" t="s">
        <v>207</v>
      </c>
      <c r="D115" s="284" t="s">
        <v>203</v>
      </c>
      <c r="E115" s="287">
        <v>35000</v>
      </c>
      <c r="F115" s="287">
        <v>35000</v>
      </c>
      <c r="G115" s="287">
        <v>35000</v>
      </c>
      <c r="H115" s="287">
        <v>35000</v>
      </c>
      <c r="I115" s="287">
        <f t="shared" si="15"/>
        <v>140000</v>
      </c>
    </row>
    <row r="116" spans="1:9">
      <c r="A116" s="284"/>
      <c r="B116" s="288" t="s">
        <v>481</v>
      </c>
      <c r="C116" s="284"/>
      <c r="D116" s="284"/>
      <c r="E116" s="289">
        <f>SUM(E113:E115)</f>
        <v>105000</v>
      </c>
      <c r="F116" s="289">
        <f t="shared" ref="F116:H116" si="16">SUM(F113:F115)</f>
        <v>105000</v>
      </c>
      <c r="G116" s="289">
        <f t="shared" si="16"/>
        <v>105000</v>
      </c>
      <c r="H116" s="289">
        <f t="shared" si="16"/>
        <v>105000</v>
      </c>
      <c r="I116" s="289">
        <f>SUM(I113:I115)</f>
        <v>420000</v>
      </c>
    </row>
    <row r="117" spans="1:9">
      <c r="E117" s="276"/>
      <c r="F117" s="276"/>
      <c r="G117" s="276"/>
      <c r="H117" s="276"/>
      <c r="I117" s="276"/>
    </row>
    <row r="118" spans="1:9">
      <c r="B118" s="275" t="s">
        <v>208</v>
      </c>
      <c r="E118" s="271"/>
      <c r="F118" s="271"/>
      <c r="G118" s="271"/>
      <c r="H118" s="271"/>
      <c r="I118" s="271"/>
    </row>
    <row r="119" spans="1:9">
      <c r="A119" s="284">
        <v>1</v>
      </c>
      <c r="B119" s="284" t="s">
        <v>209</v>
      </c>
      <c r="C119" s="284" t="s">
        <v>210</v>
      </c>
      <c r="D119" s="284" t="s">
        <v>95</v>
      </c>
      <c r="E119" s="285">
        <v>35000</v>
      </c>
      <c r="F119" s="285">
        <v>35000</v>
      </c>
      <c r="G119" s="285">
        <v>35000</v>
      </c>
      <c r="H119" s="285">
        <v>35000</v>
      </c>
      <c r="I119" s="285">
        <f>E119+F119+G119+H119</f>
        <v>140000</v>
      </c>
    </row>
    <row r="120" spans="1:9">
      <c r="A120" s="284">
        <v>2</v>
      </c>
      <c r="B120" s="284" t="s">
        <v>211</v>
      </c>
      <c r="C120" s="284" t="s">
        <v>214</v>
      </c>
      <c r="D120" s="284" t="s">
        <v>45</v>
      </c>
      <c r="E120" s="285">
        <v>35000</v>
      </c>
      <c r="F120" s="285">
        <v>35000</v>
      </c>
      <c r="G120" s="285">
        <v>35000</v>
      </c>
      <c r="H120" s="285">
        <v>35000</v>
      </c>
      <c r="I120" s="285">
        <f t="shared" ref="I120:I127" si="17">E120+F120+G120+H120</f>
        <v>140000</v>
      </c>
    </row>
    <row r="121" spans="1:9">
      <c r="A121" s="284">
        <v>3</v>
      </c>
      <c r="B121" s="284" t="s">
        <v>213</v>
      </c>
      <c r="C121" s="284" t="s">
        <v>214</v>
      </c>
      <c r="D121" s="284" t="s">
        <v>45</v>
      </c>
      <c r="E121" s="285">
        <v>35000</v>
      </c>
      <c r="F121" s="285">
        <v>35000</v>
      </c>
      <c r="G121" s="285">
        <v>35000</v>
      </c>
      <c r="H121" s="285">
        <v>35000</v>
      </c>
      <c r="I121" s="285">
        <f t="shared" si="17"/>
        <v>140000</v>
      </c>
    </row>
    <row r="122" spans="1:9">
      <c r="A122" s="284">
        <v>5</v>
      </c>
      <c r="B122" s="284" t="s">
        <v>216</v>
      </c>
      <c r="C122" s="284" t="s">
        <v>217</v>
      </c>
      <c r="D122" s="284" t="s">
        <v>54</v>
      </c>
      <c r="E122" s="285">
        <v>35000</v>
      </c>
      <c r="F122" s="285">
        <v>35000</v>
      </c>
      <c r="G122" s="285">
        <v>35000</v>
      </c>
      <c r="H122" s="285">
        <v>35000</v>
      </c>
      <c r="I122" s="285">
        <f t="shared" si="17"/>
        <v>140000</v>
      </c>
    </row>
    <row r="123" spans="1:9">
      <c r="A123" s="284">
        <v>6</v>
      </c>
      <c r="B123" s="284" t="s">
        <v>218</v>
      </c>
      <c r="C123" s="284" t="s">
        <v>219</v>
      </c>
      <c r="D123" s="284" t="s">
        <v>168</v>
      </c>
      <c r="E123" s="285">
        <v>35000</v>
      </c>
      <c r="F123" s="285">
        <v>35000</v>
      </c>
      <c r="G123" s="285">
        <v>35000</v>
      </c>
      <c r="H123" s="285">
        <v>35000</v>
      </c>
      <c r="I123" s="285">
        <f t="shared" si="17"/>
        <v>140000</v>
      </c>
    </row>
    <row r="124" spans="1:9">
      <c r="A124" s="284">
        <v>7</v>
      </c>
      <c r="B124" s="284" t="s">
        <v>220</v>
      </c>
      <c r="C124" s="284" t="s">
        <v>416</v>
      </c>
      <c r="D124" s="284" t="s">
        <v>168</v>
      </c>
      <c r="E124" s="285">
        <v>35000</v>
      </c>
      <c r="F124" s="285">
        <v>35000</v>
      </c>
      <c r="G124" s="285">
        <v>35000</v>
      </c>
      <c r="H124" s="285">
        <v>35000</v>
      </c>
      <c r="I124" s="285">
        <f t="shared" si="17"/>
        <v>140000</v>
      </c>
    </row>
    <row r="125" spans="1:9">
      <c r="A125" s="284">
        <v>8</v>
      </c>
      <c r="B125" s="284" t="s">
        <v>221</v>
      </c>
      <c r="C125" s="284" t="s">
        <v>222</v>
      </c>
      <c r="D125" s="284" t="s">
        <v>75</v>
      </c>
      <c r="E125" s="285">
        <v>35000</v>
      </c>
      <c r="F125" s="285">
        <v>35000</v>
      </c>
      <c r="G125" s="285">
        <v>35000</v>
      </c>
      <c r="H125" s="285">
        <v>35000</v>
      </c>
      <c r="I125" s="285">
        <f t="shared" si="17"/>
        <v>140000</v>
      </c>
    </row>
    <row r="126" spans="1:9">
      <c r="A126" s="284">
        <v>9</v>
      </c>
      <c r="B126" s="284" t="s">
        <v>223</v>
      </c>
      <c r="C126" s="284" t="s">
        <v>224</v>
      </c>
      <c r="D126" s="284" t="s">
        <v>90</v>
      </c>
      <c r="E126" s="285">
        <v>35000</v>
      </c>
      <c r="F126" s="285">
        <v>35000</v>
      </c>
      <c r="G126" s="285">
        <v>35000</v>
      </c>
      <c r="H126" s="285">
        <v>35000</v>
      </c>
      <c r="I126" s="285">
        <f t="shared" si="17"/>
        <v>140000</v>
      </c>
    </row>
    <row r="127" spans="1:9">
      <c r="A127" s="284">
        <v>10</v>
      </c>
      <c r="B127" s="284" t="s">
        <v>225</v>
      </c>
      <c r="C127" s="284" t="s">
        <v>226</v>
      </c>
      <c r="D127" s="284" t="s">
        <v>90</v>
      </c>
      <c r="E127" s="287">
        <v>35000</v>
      </c>
      <c r="F127" s="287">
        <v>35000</v>
      </c>
      <c r="G127" s="287">
        <v>35000</v>
      </c>
      <c r="H127" s="287">
        <v>35000</v>
      </c>
      <c r="I127" s="287">
        <f t="shared" si="17"/>
        <v>140000</v>
      </c>
    </row>
    <row r="128" spans="1:9">
      <c r="A128" s="284"/>
      <c r="B128" s="288" t="s">
        <v>482</v>
      </c>
      <c r="C128" s="284"/>
      <c r="D128" s="284"/>
      <c r="E128" s="289">
        <f>SUM(E119:E127)</f>
        <v>315000</v>
      </c>
      <c r="F128" s="289">
        <f>SUM(F119:F127)</f>
        <v>315000</v>
      </c>
      <c r="G128" s="289">
        <f>SUM(G119:G127)</f>
        <v>315000</v>
      </c>
      <c r="H128" s="289">
        <f>SUM(H119:H127)</f>
        <v>315000</v>
      </c>
      <c r="I128" s="289">
        <f>SUM(I119:I127)</f>
        <v>1260000</v>
      </c>
    </row>
    <row r="129" spans="1:9">
      <c r="E129" s="271"/>
      <c r="F129" s="271"/>
      <c r="G129" s="271"/>
      <c r="H129" s="271"/>
      <c r="I129" s="271"/>
    </row>
    <row r="130" spans="1:9">
      <c r="B130" s="275" t="s">
        <v>228</v>
      </c>
      <c r="E130" s="271"/>
      <c r="F130" s="271"/>
      <c r="G130" s="271"/>
      <c r="H130" s="271"/>
      <c r="I130" s="271"/>
    </row>
    <row r="131" spans="1:9">
      <c r="A131" s="284">
        <v>1</v>
      </c>
      <c r="B131" s="284" t="s">
        <v>229</v>
      </c>
      <c r="C131" s="284" t="s">
        <v>230</v>
      </c>
      <c r="D131" s="284" t="s">
        <v>95</v>
      </c>
      <c r="E131" s="285">
        <v>35000</v>
      </c>
      <c r="F131" s="285">
        <v>35000</v>
      </c>
      <c r="G131" s="285">
        <v>35000</v>
      </c>
      <c r="H131" s="285">
        <v>35000</v>
      </c>
      <c r="I131" s="285">
        <f>E131+F131+G131+H131</f>
        <v>140000</v>
      </c>
    </row>
    <row r="132" spans="1:9">
      <c r="A132" s="284">
        <v>3</v>
      </c>
      <c r="B132" s="284" t="s">
        <v>234</v>
      </c>
      <c r="C132" s="284" t="s">
        <v>235</v>
      </c>
      <c r="D132" s="284" t="s">
        <v>36</v>
      </c>
      <c r="E132" s="285">
        <v>35000</v>
      </c>
      <c r="F132" s="285">
        <v>35000</v>
      </c>
      <c r="G132" s="285">
        <v>35000</v>
      </c>
      <c r="H132" s="285">
        <v>35000</v>
      </c>
      <c r="I132" s="285">
        <f t="shared" ref="I132:I189" si="18">E132+F132+G132+H132</f>
        <v>140000</v>
      </c>
    </row>
    <row r="133" spans="1:9">
      <c r="A133" s="284">
        <v>4</v>
      </c>
      <c r="B133" s="284" t="s">
        <v>236</v>
      </c>
      <c r="C133" s="284" t="s">
        <v>237</v>
      </c>
      <c r="D133" s="284" t="s">
        <v>51</v>
      </c>
      <c r="E133" s="285">
        <v>35000</v>
      </c>
      <c r="F133" s="285">
        <v>35000</v>
      </c>
      <c r="G133" s="285">
        <v>35000</v>
      </c>
      <c r="H133" s="285">
        <v>35000</v>
      </c>
      <c r="I133" s="285">
        <f t="shared" si="18"/>
        <v>140000</v>
      </c>
    </row>
    <row r="134" spans="1:9">
      <c r="A134" s="284">
        <v>5</v>
      </c>
      <c r="B134" s="284" t="s">
        <v>238</v>
      </c>
      <c r="C134" s="284" t="s">
        <v>239</v>
      </c>
      <c r="D134" s="284" t="s">
        <v>51</v>
      </c>
      <c r="E134" s="285">
        <v>35000</v>
      </c>
      <c r="F134" s="285">
        <v>35000</v>
      </c>
      <c r="G134" s="285">
        <v>35000</v>
      </c>
      <c r="H134" s="285">
        <v>35000</v>
      </c>
      <c r="I134" s="285">
        <f t="shared" si="18"/>
        <v>140000</v>
      </c>
    </row>
    <row r="135" spans="1:9">
      <c r="A135" s="284">
        <v>6</v>
      </c>
      <c r="B135" s="284" t="s">
        <v>240</v>
      </c>
      <c r="C135" s="284" t="s">
        <v>239</v>
      </c>
      <c r="D135" s="284" t="s">
        <v>51</v>
      </c>
      <c r="E135" s="285">
        <v>35000</v>
      </c>
      <c r="F135" s="285">
        <v>35000</v>
      </c>
      <c r="G135" s="285">
        <v>35000</v>
      </c>
      <c r="H135" s="285">
        <v>35000</v>
      </c>
      <c r="I135" s="285">
        <f t="shared" si="18"/>
        <v>140000</v>
      </c>
    </row>
    <row r="136" spans="1:9">
      <c r="A136" s="284">
        <v>7</v>
      </c>
      <c r="B136" s="284" t="s">
        <v>181</v>
      </c>
      <c r="C136" s="284" t="s">
        <v>245</v>
      </c>
      <c r="D136" s="284" t="s">
        <v>168</v>
      </c>
      <c r="E136" s="285">
        <v>35000</v>
      </c>
      <c r="F136" s="285">
        <v>35000</v>
      </c>
      <c r="G136" s="285">
        <v>35000</v>
      </c>
      <c r="H136" s="285">
        <v>35000</v>
      </c>
      <c r="I136" s="285">
        <f t="shared" si="18"/>
        <v>140000</v>
      </c>
    </row>
    <row r="137" spans="1:9">
      <c r="A137" s="284">
        <v>8</v>
      </c>
      <c r="B137" s="284" t="s">
        <v>241</v>
      </c>
      <c r="C137" s="284" t="s">
        <v>242</v>
      </c>
      <c r="D137" s="284" t="s">
        <v>203</v>
      </c>
      <c r="E137" s="285">
        <v>35000</v>
      </c>
      <c r="F137" s="285">
        <v>35000</v>
      </c>
      <c r="G137" s="285">
        <v>35000</v>
      </c>
      <c r="H137" s="285">
        <v>35000</v>
      </c>
      <c r="I137" s="285">
        <f t="shared" si="18"/>
        <v>140000</v>
      </c>
    </row>
    <row r="138" spans="1:9">
      <c r="A138" s="284">
        <v>9</v>
      </c>
      <c r="B138" s="284" t="s">
        <v>243</v>
      </c>
      <c r="C138" s="284" t="s">
        <v>242</v>
      </c>
      <c r="D138" s="284" t="s">
        <v>203</v>
      </c>
      <c r="E138" s="285">
        <v>35000</v>
      </c>
      <c r="F138" s="285">
        <v>35000</v>
      </c>
      <c r="G138" s="285">
        <v>35000</v>
      </c>
      <c r="H138" s="285">
        <v>35000</v>
      </c>
      <c r="I138" s="285">
        <f t="shared" si="18"/>
        <v>140000</v>
      </c>
    </row>
    <row r="139" spans="1:9">
      <c r="A139" s="284">
        <v>10</v>
      </c>
      <c r="B139" s="284" t="s">
        <v>244</v>
      </c>
      <c r="C139" s="284" t="s">
        <v>245</v>
      </c>
      <c r="D139" s="284" t="s">
        <v>203</v>
      </c>
      <c r="E139" s="285">
        <v>35000</v>
      </c>
      <c r="F139" s="285">
        <v>35000</v>
      </c>
      <c r="G139" s="285">
        <v>35000</v>
      </c>
      <c r="H139" s="285">
        <v>35000</v>
      </c>
      <c r="I139" s="285">
        <f t="shared" si="18"/>
        <v>140000</v>
      </c>
    </row>
    <row r="140" spans="1:9">
      <c r="A140" s="284">
        <v>11</v>
      </c>
      <c r="B140" s="284" t="s">
        <v>246</v>
      </c>
      <c r="C140" s="284" t="s">
        <v>247</v>
      </c>
      <c r="D140" s="284" t="s">
        <v>66</v>
      </c>
      <c r="E140" s="285">
        <v>35000</v>
      </c>
      <c r="F140" s="285">
        <v>35000</v>
      </c>
      <c r="G140" s="285">
        <v>35000</v>
      </c>
      <c r="H140" s="285">
        <v>35000</v>
      </c>
      <c r="I140" s="285">
        <f t="shared" si="18"/>
        <v>140000</v>
      </c>
    </row>
    <row r="141" spans="1:9">
      <c r="A141" s="284">
        <v>12</v>
      </c>
      <c r="B141" s="284" t="s">
        <v>248</v>
      </c>
      <c r="C141" s="284" t="s">
        <v>418</v>
      </c>
      <c r="D141" s="284" t="s">
        <v>419</v>
      </c>
      <c r="E141" s="285">
        <v>35000</v>
      </c>
      <c r="F141" s="285">
        <v>35000</v>
      </c>
      <c r="G141" s="285">
        <v>35000</v>
      </c>
      <c r="H141" s="285">
        <v>35000</v>
      </c>
      <c r="I141" s="285">
        <f t="shared" si="18"/>
        <v>140000</v>
      </c>
    </row>
    <row r="142" spans="1:9">
      <c r="A142" s="284">
        <v>13</v>
      </c>
      <c r="B142" s="284" t="s">
        <v>250</v>
      </c>
      <c r="C142" s="284" t="s">
        <v>251</v>
      </c>
      <c r="D142" s="284" t="s">
        <v>203</v>
      </c>
      <c r="E142" s="285">
        <v>35000</v>
      </c>
      <c r="F142" s="285">
        <v>35000</v>
      </c>
      <c r="G142" s="285">
        <v>35000</v>
      </c>
      <c r="H142" s="285">
        <v>35000</v>
      </c>
      <c r="I142" s="285">
        <f t="shared" si="18"/>
        <v>140000</v>
      </c>
    </row>
    <row r="143" spans="1:9">
      <c r="A143" s="284">
        <v>14</v>
      </c>
      <c r="B143" s="284" t="s">
        <v>252</v>
      </c>
      <c r="C143" s="284" t="s">
        <v>262</v>
      </c>
      <c r="D143" s="284" t="s">
        <v>419</v>
      </c>
      <c r="E143" s="285">
        <v>35000</v>
      </c>
      <c r="F143" s="285">
        <v>35000</v>
      </c>
      <c r="G143" s="285">
        <v>35000</v>
      </c>
      <c r="H143" s="285">
        <v>35000</v>
      </c>
      <c r="I143" s="285">
        <f t="shared" si="18"/>
        <v>140000</v>
      </c>
    </row>
    <row r="144" spans="1:9">
      <c r="A144" s="284">
        <v>15</v>
      </c>
      <c r="B144" s="284" t="s">
        <v>254</v>
      </c>
      <c r="C144" s="284" t="s">
        <v>255</v>
      </c>
      <c r="D144" s="284" t="s">
        <v>157</v>
      </c>
      <c r="E144" s="285">
        <v>35000</v>
      </c>
      <c r="F144" s="285">
        <v>35000</v>
      </c>
      <c r="G144" s="285">
        <v>35000</v>
      </c>
      <c r="H144" s="285">
        <v>35000</v>
      </c>
      <c r="I144" s="285">
        <f t="shared" si="18"/>
        <v>140000</v>
      </c>
    </row>
    <row r="145" spans="1:9">
      <c r="A145" s="284">
        <v>16</v>
      </c>
      <c r="B145" s="284" t="s">
        <v>256</v>
      </c>
      <c r="C145" s="284" t="s">
        <v>255</v>
      </c>
      <c r="D145" s="284" t="s">
        <v>257</v>
      </c>
      <c r="E145" s="285">
        <v>35000</v>
      </c>
      <c r="F145" s="285">
        <v>35000</v>
      </c>
      <c r="G145" s="285">
        <v>35000</v>
      </c>
      <c r="H145" s="285">
        <v>35000</v>
      </c>
      <c r="I145" s="285">
        <f t="shared" si="18"/>
        <v>140000</v>
      </c>
    </row>
    <row r="146" spans="1:9">
      <c r="A146" s="284">
        <v>17</v>
      </c>
      <c r="B146" s="284" t="s">
        <v>258</v>
      </c>
      <c r="C146" s="284" t="s">
        <v>255</v>
      </c>
      <c r="D146" s="284" t="s">
        <v>257</v>
      </c>
      <c r="E146" s="285">
        <v>35000</v>
      </c>
      <c r="F146" s="285">
        <v>35000</v>
      </c>
      <c r="G146" s="285">
        <v>35000</v>
      </c>
      <c r="H146" s="285">
        <v>35000</v>
      </c>
      <c r="I146" s="285">
        <f t="shared" si="18"/>
        <v>140000</v>
      </c>
    </row>
    <row r="147" spans="1:9">
      <c r="A147" s="284">
        <v>18</v>
      </c>
      <c r="B147" s="284" t="s">
        <v>259</v>
      </c>
      <c r="C147" s="284" t="s">
        <v>260</v>
      </c>
      <c r="D147" s="284" t="s">
        <v>72</v>
      </c>
      <c r="E147" s="285">
        <v>35000</v>
      </c>
      <c r="F147" s="285">
        <v>35000</v>
      </c>
      <c r="G147" s="285">
        <v>35000</v>
      </c>
      <c r="H147" s="285">
        <v>35000</v>
      </c>
      <c r="I147" s="285">
        <f t="shared" si="18"/>
        <v>140000</v>
      </c>
    </row>
    <row r="148" spans="1:9">
      <c r="A148" s="284">
        <v>19</v>
      </c>
      <c r="B148" s="284" t="s">
        <v>261</v>
      </c>
      <c r="C148" s="284" t="s">
        <v>262</v>
      </c>
      <c r="D148" s="284" t="s">
        <v>79</v>
      </c>
      <c r="E148" s="285">
        <v>35000</v>
      </c>
      <c r="F148" s="285">
        <v>35000</v>
      </c>
      <c r="G148" s="285">
        <v>35000</v>
      </c>
      <c r="H148" s="285">
        <v>35000</v>
      </c>
      <c r="I148" s="285">
        <f t="shared" si="18"/>
        <v>140000</v>
      </c>
    </row>
    <row r="149" spans="1:9">
      <c r="A149" s="284">
        <v>20</v>
      </c>
      <c r="B149" s="284" t="s">
        <v>263</v>
      </c>
      <c r="C149" s="284" t="s">
        <v>264</v>
      </c>
      <c r="D149" s="284" t="s">
        <v>157</v>
      </c>
      <c r="E149" s="285">
        <v>35000</v>
      </c>
      <c r="F149" s="285">
        <v>35000</v>
      </c>
      <c r="G149" s="285">
        <v>35000</v>
      </c>
      <c r="H149" s="285">
        <v>35000</v>
      </c>
      <c r="I149" s="285">
        <f t="shared" si="18"/>
        <v>140000</v>
      </c>
    </row>
    <row r="150" spans="1:9">
      <c r="A150" s="284">
        <v>21</v>
      </c>
      <c r="B150" s="284" t="s">
        <v>265</v>
      </c>
      <c r="C150" s="284" t="s">
        <v>266</v>
      </c>
      <c r="D150" s="284" t="s">
        <v>75</v>
      </c>
      <c r="E150" s="285">
        <v>35000</v>
      </c>
      <c r="F150" s="285">
        <v>35000</v>
      </c>
      <c r="G150" s="285">
        <v>35000</v>
      </c>
      <c r="H150" s="285">
        <v>35000</v>
      </c>
      <c r="I150" s="285">
        <f t="shared" si="18"/>
        <v>140000</v>
      </c>
    </row>
    <row r="151" spans="1:9">
      <c r="A151" s="284">
        <v>22</v>
      </c>
      <c r="B151" s="284" t="s">
        <v>267</v>
      </c>
      <c r="C151" s="284" t="s">
        <v>268</v>
      </c>
      <c r="D151" s="284" t="s">
        <v>157</v>
      </c>
      <c r="E151" s="285">
        <v>35000</v>
      </c>
      <c r="F151" s="285">
        <v>35000</v>
      </c>
      <c r="G151" s="285">
        <v>35000</v>
      </c>
      <c r="H151" s="285">
        <v>35000</v>
      </c>
      <c r="I151" s="285">
        <f t="shared" si="18"/>
        <v>140000</v>
      </c>
    </row>
    <row r="152" spans="1:9">
      <c r="A152" s="284">
        <v>23</v>
      </c>
      <c r="B152" s="284" t="s">
        <v>269</v>
      </c>
      <c r="C152" s="284" t="s">
        <v>270</v>
      </c>
      <c r="D152" s="284" t="s">
        <v>75</v>
      </c>
      <c r="E152" s="285">
        <v>35000</v>
      </c>
      <c r="F152" s="285">
        <v>35000</v>
      </c>
      <c r="G152" s="285">
        <v>35000</v>
      </c>
      <c r="H152" s="285">
        <v>35000</v>
      </c>
      <c r="I152" s="285">
        <f t="shared" si="18"/>
        <v>140000</v>
      </c>
    </row>
    <row r="153" spans="1:9">
      <c r="A153" s="284">
        <v>24</v>
      </c>
      <c r="B153" s="284" t="s">
        <v>271</v>
      </c>
      <c r="C153" s="284" t="s">
        <v>276</v>
      </c>
      <c r="D153" s="284" t="s">
        <v>199</v>
      </c>
      <c r="E153" s="285">
        <v>35000</v>
      </c>
      <c r="F153" s="285">
        <v>35000</v>
      </c>
      <c r="G153" s="285">
        <v>35000</v>
      </c>
      <c r="H153" s="285">
        <v>35000</v>
      </c>
      <c r="I153" s="285">
        <f t="shared" si="18"/>
        <v>140000</v>
      </c>
    </row>
    <row r="154" spans="1:9">
      <c r="A154" s="284">
        <v>25</v>
      </c>
      <c r="B154" s="284" t="s">
        <v>273</v>
      </c>
      <c r="C154" s="284" t="s">
        <v>274</v>
      </c>
      <c r="D154" s="284" t="s">
        <v>90</v>
      </c>
      <c r="E154" s="285">
        <v>35000</v>
      </c>
      <c r="F154" s="285">
        <v>35000</v>
      </c>
      <c r="G154" s="285">
        <v>35000</v>
      </c>
      <c r="H154" s="285">
        <v>35000</v>
      </c>
      <c r="I154" s="285">
        <f t="shared" si="18"/>
        <v>140000</v>
      </c>
    </row>
    <row r="155" spans="1:9">
      <c r="A155" s="284">
        <v>26</v>
      </c>
      <c r="B155" s="284" t="s">
        <v>275</v>
      </c>
      <c r="C155" s="284" t="s">
        <v>276</v>
      </c>
      <c r="D155" s="284" t="s">
        <v>90</v>
      </c>
      <c r="E155" s="285">
        <v>35000</v>
      </c>
      <c r="F155" s="285">
        <v>35000</v>
      </c>
      <c r="G155" s="285">
        <v>35000</v>
      </c>
      <c r="H155" s="285">
        <v>35000</v>
      </c>
      <c r="I155" s="285">
        <f t="shared" si="18"/>
        <v>140000</v>
      </c>
    </row>
    <row r="156" spans="1:9">
      <c r="A156" s="284">
        <v>27</v>
      </c>
      <c r="B156" s="284" t="s">
        <v>277</v>
      </c>
      <c r="C156" s="284" t="s">
        <v>278</v>
      </c>
      <c r="D156" s="284" t="s">
        <v>90</v>
      </c>
      <c r="E156" s="285">
        <v>35000</v>
      </c>
      <c r="F156" s="285">
        <v>35000</v>
      </c>
      <c r="G156" s="285">
        <v>35000</v>
      </c>
      <c r="H156" s="285">
        <v>35000</v>
      </c>
      <c r="I156" s="285">
        <f t="shared" si="18"/>
        <v>140000</v>
      </c>
    </row>
    <row r="157" spans="1:9">
      <c r="A157" s="284">
        <v>28</v>
      </c>
      <c r="B157" s="284" t="s">
        <v>279</v>
      </c>
      <c r="C157" s="284" t="s">
        <v>280</v>
      </c>
      <c r="D157" s="284" t="s">
        <v>86</v>
      </c>
      <c r="E157" s="285">
        <v>35000</v>
      </c>
      <c r="F157" s="285">
        <v>35000</v>
      </c>
      <c r="G157" s="285">
        <v>35000</v>
      </c>
      <c r="H157" s="285">
        <v>35000</v>
      </c>
      <c r="I157" s="285">
        <f t="shared" si="18"/>
        <v>140000</v>
      </c>
    </row>
    <row r="158" spans="1:9">
      <c r="A158" s="284">
        <v>29</v>
      </c>
      <c r="B158" s="284" t="s">
        <v>281</v>
      </c>
      <c r="C158" s="284" t="s">
        <v>276</v>
      </c>
      <c r="D158" s="284" t="s">
        <v>90</v>
      </c>
      <c r="E158" s="285">
        <v>35000</v>
      </c>
      <c r="F158" s="285">
        <v>35000</v>
      </c>
      <c r="G158" s="285">
        <v>35000</v>
      </c>
      <c r="H158" s="285">
        <v>35000</v>
      </c>
      <c r="I158" s="285">
        <f t="shared" si="18"/>
        <v>140000</v>
      </c>
    </row>
    <row r="159" spans="1:9">
      <c r="A159" s="284">
        <v>30</v>
      </c>
      <c r="B159" s="284" t="s">
        <v>282</v>
      </c>
      <c r="C159" s="284" t="s">
        <v>283</v>
      </c>
      <c r="D159" s="284" t="s">
        <v>284</v>
      </c>
      <c r="E159" s="285">
        <v>35000</v>
      </c>
      <c r="F159" s="285">
        <v>35000</v>
      </c>
      <c r="G159" s="285">
        <v>35000</v>
      </c>
      <c r="H159" s="285">
        <v>35000</v>
      </c>
      <c r="I159" s="285">
        <f t="shared" si="18"/>
        <v>140000</v>
      </c>
    </row>
    <row r="160" spans="1:9">
      <c r="A160" s="284">
        <v>31</v>
      </c>
      <c r="B160" s="284" t="s">
        <v>285</v>
      </c>
      <c r="C160" s="284" t="s">
        <v>283</v>
      </c>
      <c r="D160" s="284" t="s">
        <v>284</v>
      </c>
      <c r="E160" s="285">
        <v>35000</v>
      </c>
      <c r="F160" s="285">
        <v>35000</v>
      </c>
      <c r="G160" s="285">
        <v>35000</v>
      </c>
      <c r="H160" s="285">
        <v>35000</v>
      </c>
      <c r="I160" s="285">
        <f t="shared" si="18"/>
        <v>140000</v>
      </c>
    </row>
    <row r="161" spans="1:9">
      <c r="A161" s="284">
        <v>32</v>
      </c>
      <c r="B161" s="284" t="s">
        <v>286</v>
      </c>
      <c r="C161" s="284" t="s">
        <v>283</v>
      </c>
      <c r="D161" s="284" t="s">
        <v>284</v>
      </c>
      <c r="E161" s="285">
        <v>35000</v>
      </c>
      <c r="F161" s="285">
        <v>35000</v>
      </c>
      <c r="G161" s="285">
        <v>35000</v>
      </c>
      <c r="H161" s="285">
        <v>35000</v>
      </c>
      <c r="I161" s="285">
        <f t="shared" si="18"/>
        <v>140000</v>
      </c>
    </row>
    <row r="162" spans="1:9">
      <c r="A162" s="284">
        <v>33</v>
      </c>
      <c r="B162" s="284" t="s">
        <v>287</v>
      </c>
      <c r="C162" s="284" t="s">
        <v>283</v>
      </c>
      <c r="D162" s="284" t="s">
        <v>284</v>
      </c>
      <c r="E162" s="285">
        <v>35000</v>
      </c>
      <c r="F162" s="285">
        <v>35000</v>
      </c>
      <c r="G162" s="285">
        <v>35000</v>
      </c>
      <c r="H162" s="285">
        <v>35000</v>
      </c>
      <c r="I162" s="285">
        <f t="shared" si="18"/>
        <v>140000</v>
      </c>
    </row>
    <row r="163" spans="1:9">
      <c r="A163" s="284">
        <v>34</v>
      </c>
      <c r="B163" s="284" t="s">
        <v>288</v>
      </c>
      <c r="C163" s="284" t="s">
        <v>283</v>
      </c>
      <c r="D163" s="284" t="s">
        <v>284</v>
      </c>
      <c r="E163" s="285">
        <v>35000</v>
      </c>
      <c r="F163" s="285">
        <v>35000</v>
      </c>
      <c r="G163" s="285">
        <v>35000</v>
      </c>
      <c r="H163" s="285">
        <v>35000</v>
      </c>
      <c r="I163" s="285">
        <f t="shared" si="18"/>
        <v>140000</v>
      </c>
    </row>
    <row r="164" spans="1:9">
      <c r="A164" s="284">
        <v>35</v>
      </c>
      <c r="B164" s="284" t="s">
        <v>289</v>
      </c>
      <c r="C164" s="284" t="s">
        <v>283</v>
      </c>
      <c r="D164" s="284" t="s">
        <v>290</v>
      </c>
      <c r="E164" s="285">
        <v>35000</v>
      </c>
      <c r="F164" s="285">
        <v>35000</v>
      </c>
      <c r="G164" s="285">
        <v>35000</v>
      </c>
      <c r="H164" s="285">
        <v>35000</v>
      </c>
      <c r="I164" s="285">
        <f t="shared" si="18"/>
        <v>140000</v>
      </c>
    </row>
    <row r="165" spans="1:9">
      <c r="A165" s="284">
        <v>36</v>
      </c>
      <c r="B165" s="284" t="s">
        <v>291</v>
      </c>
      <c r="C165" s="284" t="s">
        <v>283</v>
      </c>
      <c r="D165" s="284" t="s">
        <v>290</v>
      </c>
      <c r="E165" s="285">
        <v>35000</v>
      </c>
      <c r="F165" s="285">
        <v>35000</v>
      </c>
      <c r="G165" s="285">
        <v>35000</v>
      </c>
      <c r="H165" s="285">
        <v>35000</v>
      </c>
      <c r="I165" s="285">
        <f t="shared" si="18"/>
        <v>140000</v>
      </c>
    </row>
    <row r="166" spans="1:9">
      <c r="A166" s="284">
        <v>37</v>
      </c>
      <c r="B166" s="284" t="s">
        <v>292</v>
      </c>
      <c r="C166" s="284" t="s">
        <v>283</v>
      </c>
      <c r="D166" s="284" t="s">
        <v>290</v>
      </c>
      <c r="E166" s="285">
        <v>35000</v>
      </c>
      <c r="F166" s="285">
        <v>35000</v>
      </c>
      <c r="G166" s="285">
        <v>35000</v>
      </c>
      <c r="H166" s="285">
        <v>35000</v>
      </c>
      <c r="I166" s="285">
        <f t="shared" si="18"/>
        <v>140000</v>
      </c>
    </row>
    <row r="167" spans="1:9">
      <c r="A167" s="284">
        <v>38</v>
      </c>
      <c r="B167" s="284" t="s">
        <v>293</v>
      </c>
      <c r="C167" s="284" t="s">
        <v>283</v>
      </c>
      <c r="D167" s="284" t="s">
        <v>290</v>
      </c>
      <c r="E167" s="285">
        <v>35000</v>
      </c>
      <c r="F167" s="285">
        <v>35000</v>
      </c>
      <c r="G167" s="285">
        <v>35000</v>
      </c>
      <c r="H167" s="285">
        <v>35000</v>
      </c>
      <c r="I167" s="285">
        <f t="shared" si="18"/>
        <v>140000</v>
      </c>
    </row>
    <row r="168" spans="1:9">
      <c r="A168" s="284">
        <v>39</v>
      </c>
      <c r="B168" s="284" t="s">
        <v>294</v>
      </c>
      <c r="C168" s="284" t="s">
        <v>283</v>
      </c>
      <c r="D168" s="284" t="s">
        <v>290</v>
      </c>
      <c r="E168" s="285">
        <v>35000</v>
      </c>
      <c r="F168" s="285">
        <v>35000</v>
      </c>
      <c r="G168" s="285">
        <v>35000</v>
      </c>
      <c r="H168" s="285">
        <v>35000</v>
      </c>
      <c r="I168" s="285">
        <f t="shared" si="18"/>
        <v>140000</v>
      </c>
    </row>
    <row r="169" spans="1:9">
      <c r="A169" s="284">
        <v>40</v>
      </c>
      <c r="B169" s="284" t="s">
        <v>295</v>
      </c>
      <c r="C169" s="284" t="s">
        <v>283</v>
      </c>
      <c r="D169" s="284" t="s">
        <v>290</v>
      </c>
      <c r="E169" s="285">
        <v>35000</v>
      </c>
      <c r="F169" s="285">
        <v>35000</v>
      </c>
      <c r="G169" s="285">
        <v>35000</v>
      </c>
      <c r="H169" s="285">
        <v>35000</v>
      </c>
      <c r="I169" s="285">
        <f t="shared" si="18"/>
        <v>140000</v>
      </c>
    </row>
    <row r="170" spans="1:9">
      <c r="A170" s="284">
        <v>41</v>
      </c>
      <c r="B170" s="284" t="s">
        <v>296</v>
      </c>
      <c r="C170" s="284" t="s">
        <v>302</v>
      </c>
      <c r="D170" s="284" t="s">
        <v>400</v>
      </c>
      <c r="E170" s="285">
        <v>35000</v>
      </c>
      <c r="F170" s="285">
        <v>35000</v>
      </c>
      <c r="G170" s="285">
        <v>35000</v>
      </c>
      <c r="H170" s="285">
        <v>35000</v>
      </c>
      <c r="I170" s="285">
        <f t="shared" si="18"/>
        <v>140000</v>
      </c>
    </row>
    <row r="171" spans="1:9">
      <c r="A171" s="284">
        <v>42</v>
      </c>
      <c r="B171" s="284" t="s">
        <v>299</v>
      </c>
      <c r="C171" s="284" t="s">
        <v>302</v>
      </c>
      <c r="D171" s="284" t="s">
        <v>400</v>
      </c>
      <c r="E171" s="285">
        <v>35000</v>
      </c>
      <c r="F171" s="285">
        <v>35000</v>
      </c>
      <c r="G171" s="285">
        <v>35000</v>
      </c>
      <c r="H171" s="285">
        <v>35000</v>
      </c>
      <c r="I171" s="285">
        <f t="shared" si="18"/>
        <v>140000</v>
      </c>
    </row>
    <row r="172" spans="1:9">
      <c r="A172" s="284">
        <v>43</v>
      </c>
      <c r="B172" s="284" t="s">
        <v>300</v>
      </c>
      <c r="C172" s="284" t="s">
        <v>302</v>
      </c>
      <c r="D172" s="284" t="s">
        <v>401</v>
      </c>
      <c r="E172" s="285">
        <v>35000</v>
      </c>
      <c r="F172" s="285">
        <v>35000</v>
      </c>
      <c r="G172" s="285">
        <v>35000</v>
      </c>
      <c r="H172" s="285">
        <v>35000</v>
      </c>
      <c r="I172" s="285">
        <f t="shared" si="18"/>
        <v>140000</v>
      </c>
    </row>
    <row r="173" spans="1:9">
      <c r="A173" s="284">
        <v>44</v>
      </c>
      <c r="B173" s="284" t="s">
        <v>301</v>
      </c>
      <c r="C173" s="284" t="s">
        <v>302</v>
      </c>
      <c r="D173" s="284" t="s">
        <v>303</v>
      </c>
      <c r="E173" s="285">
        <v>35000</v>
      </c>
      <c r="F173" s="285">
        <v>35000</v>
      </c>
      <c r="G173" s="285">
        <v>35000</v>
      </c>
      <c r="H173" s="285">
        <v>35000</v>
      </c>
      <c r="I173" s="285">
        <f t="shared" si="18"/>
        <v>140000</v>
      </c>
    </row>
    <row r="174" spans="1:9">
      <c r="A174" s="284">
        <v>45</v>
      </c>
      <c r="B174" s="284" t="s">
        <v>304</v>
      </c>
      <c r="C174" s="284" t="s">
        <v>305</v>
      </c>
      <c r="D174" s="284" t="s">
        <v>306</v>
      </c>
      <c r="E174" s="285">
        <v>35000</v>
      </c>
      <c r="F174" s="285">
        <v>35000</v>
      </c>
      <c r="G174" s="285">
        <v>35000</v>
      </c>
      <c r="H174" s="285">
        <v>35000</v>
      </c>
      <c r="I174" s="285">
        <f t="shared" si="18"/>
        <v>140000</v>
      </c>
    </row>
    <row r="175" spans="1:9">
      <c r="A175" s="284">
        <v>46</v>
      </c>
      <c r="B175" s="284" t="s">
        <v>307</v>
      </c>
      <c r="C175" s="284" t="s">
        <v>305</v>
      </c>
      <c r="D175" s="284" t="s">
        <v>306</v>
      </c>
      <c r="E175" s="285">
        <v>35000</v>
      </c>
      <c r="F175" s="285">
        <v>35000</v>
      </c>
      <c r="G175" s="285">
        <v>35000</v>
      </c>
      <c r="H175" s="285">
        <v>35000</v>
      </c>
      <c r="I175" s="285">
        <f t="shared" si="18"/>
        <v>140000</v>
      </c>
    </row>
    <row r="176" spans="1:9">
      <c r="A176" s="284">
        <v>47</v>
      </c>
      <c r="B176" s="284" t="s">
        <v>308</v>
      </c>
      <c r="C176" s="284" t="s">
        <v>305</v>
      </c>
      <c r="D176" s="284" t="s">
        <v>306</v>
      </c>
      <c r="E176" s="285">
        <v>35000</v>
      </c>
      <c r="F176" s="285">
        <v>35000</v>
      </c>
      <c r="G176" s="285">
        <v>35000</v>
      </c>
      <c r="H176" s="285">
        <v>35000</v>
      </c>
      <c r="I176" s="285">
        <f t="shared" si="18"/>
        <v>140000</v>
      </c>
    </row>
    <row r="177" spans="1:9">
      <c r="A177" s="284">
        <v>48</v>
      </c>
      <c r="B177" s="284" t="s">
        <v>309</v>
      </c>
      <c r="C177" s="284" t="s">
        <v>305</v>
      </c>
      <c r="D177" s="284" t="s">
        <v>306</v>
      </c>
      <c r="E177" s="285">
        <v>35000</v>
      </c>
      <c r="F177" s="285">
        <v>35000</v>
      </c>
      <c r="G177" s="285">
        <v>35000</v>
      </c>
      <c r="H177" s="285">
        <v>35000</v>
      </c>
      <c r="I177" s="285">
        <f t="shared" si="18"/>
        <v>140000</v>
      </c>
    </row>
    <row r="178" spans="1:9">
      <c r="A178" s="284">
        <v>49</v>
      </c>
      <c r="B178" s="284" t="s">
        <v>310</v>
      </c>
      <c r="C178" s="284" t="s">
        <v>305</v>
      </c>
      <c r="D178" s="284" t="s">
        <v>306</v>
      </c>
      <c r="E178" s="285">
        <v>35000</v>
      </c>
      <c r="F178" s="285">
        <v>35000</v>
      </c>
      <c r="G178" s="285">
        <v>35000</v>
      </c>
      <c r="H178" s="285">
        <v>35000</v>
      </c>
      <c r="I178" s="285">
        <f t="shared" si="18"/>
        <v>140000</v>
      </c>
    </row>
    <row r="179" spans="1:9">
      <c r="A179" s="284">
        <v>50</v>
      </c>
      <c r="B179" s="284" t="s">
        <v>311</v>
      </c>
      <c r="C179" s="284" t="s">
        <v>305</v>
      </c>
      <c r="D179" s="284" t="s">
        <v>306</v>
      </c>
      <c r="E179" s="285">
        <v>35000</v>
      </c>
      <c r="F179" s="285">
        <v>35000</v>
      </c>
      <c r="G179" s="285">
        <v>35000</v>
      </c>
      <c r="H179" s="285">
        <v>35000</v>
      </c>
      <c r="I179" s="285">
        <f t="shared" si="18"/>
        <v>140000</v>
      </c>
    </row>
    <row r="180" spans="1:9">
      <c r="A180" s="284">
        <v>51</v>
      </c>
      <c r="B180" s="284" t="s">
        <v>312</v>
      </c>
      <c r="C180" s="284" t="s">
        <v>305</v>
      </c>
      <c r="D180" s="284" t="s">
        <v>306</v>
      </c>
      <c r="E180" s="285">
        <v>35000</v>
      </c>
      <c r="F180" s="285">
        <v>35000</v>
      </c>
      <c r="G180" s="285">
        <v>35000</v>
      </c>
      <c r="H180" s="285">
        <v>35000</v>
      </c>
      <c r="I180" s="285">
        <f t="shared" si="18"/>
        <v>140000</v>
      </c>
    </row>
    <row r="181" spans="1:9">
      <c r="A181" s="284">
        <v>52</v>
      </c>
      <c r="B181" s="284" t="s">
        <v>313</v>
      </c>
      <c r="C181" s="284" t="s">
        <v>302</v>
      </c>
      <c r="D181" s="284" t="s">
        <v>306</v>
      </c>
      <c r="E181" s="285">
        <v>35000</v>
      </c>
      <c r="F181" s="285">
        <v>35000</v>
      </c>
      <c r="G181" s="285">
        <v>35000</v>
      </c>
      <c r="H181" s="285">
        <v>35000</v>
      </c>
      <c r="I181" s="285">
        <f t="shared" si="18"/>
        <v>140000</v>
      </c>
    </row>
    <row r="182" spans="1:9">
      <c r="A182" s="284">
        <v>53</v>
      </c>
      <c r="B182" s="284" t="s">
        <v>314</v>
      </c>
      <c r="C182" s="284" t="s">
        <v>302</v>
      </c>
      <c r="D182" s="284" t="s">
        <v>306</v>
      </c>
      <c r="E182" s="285">
        <v>35000</v>
      </c>
      <c r="F182" s="285">
        <v>35000</v>
      </c>
      <c r="G182" s="285">
        <v>35000</v>
      </c>
      <c r="H182" s="285">
        <v>35000</v>
      </c>
      <c r="I182" s="285">
        <f t="shared" si="18"/>
        <v>140000</v>
      </c>
    </row>
    <row r="183" spans="1:9">
      <c r="A183" s="284">
        <v>54</v>
      </c>
      <c r="B183" s="284" t="s">
        <v>315</v>
      </c>
      <c r="C183" s="284" t="s">
        <v>305</v>
      </c>
      <c r="D183" s="284" t="s">
        <v>420</v>
      </c>
      <c r="E183" s="285">
        <v>35000</v>
      </c>
      <c r="F183" s="285">
        <v>35000</v>
      </c>
      <c r="G183" s="285">
        <v>35000</v>
      </c>
      <c r="H183" s="285">
        <v>35000</v>
      </c>
      <c r="I183" s="285">
        <f t="shared" si="18"/>
        <v>140000</v>
      </c>
    </row>
    <row r="184" spans="1:9">
      <c r="A184" s="284">
        <v>55</v>
      </c>
      <c r="B184" s="284" t="s">
        <v>318</v>
      </c>
      <c r="C184" s="284" t="s">
        <v>305</v>
      </c>
      <c r="D184" s="284" t="s">
        <v>319</v>
      </c>
      <c r="E184" s="285">
        <v>35000</v>
      </c>
      <c r="F184" s="285">
        <v>35000</v>
      </c>
      <c r="G184" s="285">
        <v>35000</v>
      </c>
      <c r="H184" s="285">
        <v>35000</v>
      </c>
      <c r="I184" s="285">
        <f t="shared" si="18"/>
        <v>140000</v>
      </c>
    </row>
    <row r="185" spans="1:9">
      <c r="A185" s="284">
        <v>56</v>
      </c>
      <c r="B185" s="284" t="s">
        <v>320</v>
      </c>
      <c r="C185" s="284" t="s">
        <v>321</v>
      </c>
      <c r="D185" s="284" t="s">
        <v>322</v>
      </c>
      <c r="E185" s="285">
        <v>35000</v>
      </c>
      <c r="F185" s="285">
        <v>35000</v>
      </c>
      <c r="G185" s="285">
        <v>35000</v>
      </c>
      <c r="H185" s="285">
        <v>35000</v>
      </c>
      <c r="I185" s="285">
        <f t="shared" si="18"/>
        <v>140000</v>
      </c>
    </row>
    <row r="186" spans="1:9">
      <c r="A186" s="284">
        <v>57</v>
      </c>
      <c r="B186" s="284" t="s">
        <v>323</v>
      </c>
      <c r="C186" s="284" t="s">
        <v>321</v>
      </c>
      <c r="D186" s="284" t="s">
        <v>322</v>
      </c>
      <c r="E186" s="285">
        <v>35000</v>
      </c>
      <c r="F186" s="285">
        <v>35000</v>
      </c>
      <c r="G186" s="285">
        <v>35000</v>
      </c>
      <c r="H186" s="285">
        <v>35000</v>
      </c>
      <c r="I186" s="285">
        <f t="shared" si="18"/>
        <v>140000</v>
      </c>
    </row>
    <row r="187" spans="1:9">
      <c r="A187" s="284">
        <v>58</v>
      </c>
      <c r="B187" s="284" t="s">
        <v>324</v>
      </c>
      <c r="C187" s="284" t="s">
        <v>321</v>
      </c>
      <c r="D187" s="284" t="s">
        <v>322</v>
      </c>
      <c r="E187" s="285">
        <v>35000</v>
      </c>
      <c r="F187" s="285">
        <v>35000</v>
      </c>
      <c r="G187" s="285">
        <v>35000</v>
      </c>
      <c r="H187" s="285">
        <v>35000</v>
      </c>
      <c r="I187" s="285">
        <f t="shared" si="18"/>
        <v>140000</v>
      </c>
    </row>
    <row r="188" spans="1:9">
      <c r="A188" s="284">
        <v>59</v>
      </c>
      <c r="B188" s="284" t="s">
        <v>325</v>
      </c>
      <c r="C188" s="284" t="s">
        <v>326</v>
      </c>
      <c r="D188" s="284" t="s">
        <v>327</v>
      </c>
      <c r="E188" s="285">
        <v>35000</v>
      </c>
      <c r="F188" s="285">
        <v>35000</v>
      </c>
      <c r="G188" s="285">
        <v>35000</v>
      </c>
      <c r="H188" s="285">
        <v>35000</v>
      </c>
      <c r="I188" s="285">
        <f t="shared" si="18"/>
        <v>140000</v>
      </c>
    </row>
    <row r="189" spans="1:9">
      <c r="A189" s="284">
        <v>60</v>
      </c>
      <c r="B189" s="284" t="s">
        <v>328</v>
      </c>
      <c r="C189" s="284" t="s">
        <v>326</v>
      </c>
      <c r="D189" s="284" t="s">
        <v>327</v>
      </c>
      <c r="E189" s="287">
        <v>35000</v>
      </c>
      <c r="F189" s="287">
        <v>35000</v>
      </c>
      <c r="G189" s="287">
        <v>35000</v>
      </c>
      <c r="H189" s="287">
        <v>35000</v>
      </c>
      <c r="I189" s="287">
        <f t="shared" si="18"/>
        <v>140000</v>
      </c>
    </row>
    <row r="190" spans="1:9">
      <c r="A190" s="284"/>
      <c r="B190" s="288" t="s">
        <v>483</v>
      </c>
      <c r="C190" s="284"/>
      <c r="D190" s="284"/>
      <c r="E190" s="289">
        <f>SUM(E131:E189)</f>
        <v>2065000</v>
      </c>
      <c r="F190" s="289">
        <f t="shared" ref="F190:H190" si="19">SUM(F131:F189)</f>
        <v>2065000</v>
      </c>
      <c r="G190" s="289">
        <f t="shared" si="19"/>
        <v>2065000</v>
      </c>
      <c r="H190" s="289">
        <f t="shared" si="19"/>
        <v>2065000</v>
      </c>
      <c r="I190" s="289">
        <f>SUM(I131:I189)</f>
        <v>8260000</v>
      </c>
    </row>
    <row r="191" spans="1:9">
      <c r="E191" s="271"/>
      <c r="F191" s="271"/>
      <c r="G191" s="271"/>
      <c r="H191" s="271"/>
      <c r="I191" s="276"/>
    </row>
    <row r="192" spans="1:9" ht="24" customHeight="1">
      <c r="A192" s="284"/>
      <c r="B192" s="410" t="s">
        <v>484</v>
      </c>
      <c r="C192" s="410"/>
      <c r="D192" s="410"/>
      <c r="E192" s="410"/>
      <c r="F192" s="410"/>
      <c r="G192" s="410"/>
      <c r="H192" s="410"/>
      <c r="I192" s="290">
        <f>I190+I116+I110+I100+I93+I79+I69+I54+I49+I33+I28</f>
        <v>19740000</v>
      </c>
    </row>
    <row r="193" spans="5:8">
      <c r="E193" s="271"/>
      <c r="F193" s="271"/>
      <c r="G193" s="271"/>
      <c r="H193" s="271"/>
    </row>
  </sheetData>
  <mergeCells count="4">
    <mergeCell ref="A1:I1"/>
    <mergeCell ref="A2:I2"/>
    <mergeCell ref="A3:I3"/>
    <mergeCell ref="B192:H192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rowBreaks count="3" manualBreakCount="3">
    <brk id="34" max="8" man="1"/>
    <brk id="69" max="8" man="1"/>
    <brk id="101" max="8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63"/>
  <sheetViews>
    <sheetView zoomScaleNormal="100" workbookViewId="0">
      <selection activeCell="L13" sqref="L13"/>
    </sheetView>
  </sheetViews>
  <sheetFormatPr defaultRowHeight="12.75"/>
  <cols>
    <col min="1" max="1" width="4" style="8" customWidth="1"/>
    <col min="2" max="2" width="28.28515625" style="8" customWidth="1"/>
    <col min="3" max="3" width="20.140625" style="8" customWidth="1"/>
    <col min="4" max="4" width="15.5703125" style="8" customWidth="1"/>
    <col min="5" max="5" width="13" style="8" customWidth="1"/>
    <col min="6" max="6" width="14.85546875" style="8" customWidth="1"/>
    <col min="7" max="7" width="14.5703125" style="8" customWidth="1"/>
    <col min="8" max="8" width="13" style="8" customWidth="1"/>
    <col min="9" max="16384" width="9.140625" style="8"/>
  </cols>
  <sheetData>
    <row r="1" spans="1:10" ht="20.25">
      <c r="A1" s="411" t="s">
        <v>0</v>
      </c>
      <c r="B1" s="411"/>
      <c r="C1" s="411"/>
      <c r="D1" s="411"/>
      <c r="E1" s="411"/>
      <c r="F1" s="411"/>
      <c r="G1" s="411"/>
      <c r="H1" s="411"/>
      <c r="I1" s="272"/>
      <c r="J1" s="272"/>
    </row>
    <row r="2" spans="1:10" ht="18.75">
      <c r="A2" s="412" t="s">
        <v>456</v>
      </c>
      <c r="B2" s="412"/>
      <c r="C2" s="412"/>
      <c r="D2" s="412"/>
      <c r="E2" s="412"/>
      <c r="F2" s="412"/>
      <c r="G2" s="412"/>
      <c r="H2" s="412"/>
      <c r="I2" s="270"/>
      <c r="J2" s="270"/>
    </row>
    <row r="3" spans="1:10" ht="37.5" customHeight="1">
      <c r="A3" s="413" t="s">
        <v>457</v>
      </c>
      <c r="B3" s="413"/>
      <c r="C3" s="413"/>
      <c r="D3" s="413"/>
      <c r="E3" s="413"/>
      <c r="F3" s="413"/>
      <c r="G3" s="413"/>
      <c r="H3" s="413"/>
    </row>
    <row r="5" spans="1:10" ht="42.75" customHeight="1">
      <c r="A5" s="280" t="s">
        <v>26</v>
      </c>
      <c r="B5" s="378" t="s">
        <v>2</v>
      </c>
      <c r="C5" s="378" t="s">
        <v>3</v>
      </c>
      <c r="D5" s="281" t="s">
        <v>485</v>
      </c>
      <c r="E5" s="281" t="s">
        <v>406</v>
      </c>
      <c r="F5" s="281" t="s">
        <v>23</v>
      </c>
      <c r="G5" s="281" t="s">
        <v>24</v>
      </c>
      <c r="H5" s="282" t="s">
        <v>462</v>
      </c>
      <c r="I5" s="1"/>
    </row>
    <row r="6" spans="1:10" ht="18.75">
      <c r="A6" s="31">
        <v>1</v>
      </c>
      <c r="B6" s="31" t="s">
        <v>486</v>
      </c>
      <c r="C6" s="31" t="s">
        <v>487</v>
      </c>
      <c r="D6" s="268">
        <v>35000</v>
      </c>
      <c r="E6" s="268">
        <v>35000</v>
      </c>
      <c r="F6" s="268">
        <v>35000</v>
      </c>
      <c r="G6" s="268">
        <v>35000</v>
      </c>
      <c r="H6" s="268">
        <f t="shared" ref="H6" si="0">D6+E6+F6+G6</f>
        <v>140000</v>
      </c>
      <c r="I6" s="1"/>
    </row>
    <row r="7" spans="1:10" ht="18.75">
      <c r="A7" s="31">
        <v>2</v>
      </c>
      <c r="B7" s="31" t="s">
        <v>488</v>
      </c>
      <c r="C7" s="31" t="s">
        <v>487</v>
      </c>
      <c r="D7" s="268">
        <v>35000</v>
      </c>
      <c r="E7" s="268">
        <v>35000</v>
      </c>
      <c r="F7" s="268">
        <v>35000</v>
      </c>
      <c r="G7" s="268">
        <v>35000</v>
      </c>
      <c r="H7" s="268">
        <f t="shared" ref="H7" si="1">D7+E7+F7+G7</f>
        <v>140000</v>
      </c>
      <c r="I7" s="1"/>
    </row>
    <row r="8" spans="1:10" ht="18.75">
      <c r="A8" s="31">
        <v>3</v>
      </c>
      <c r="B8" s="31" t="s">
        <v>489</v>
      </c>
      <c r="C8" s="31" t="s">
        <v>490</v>
      </c>
      <c r="D8" s="268">
        <v>35000</v>
      </c>
      <c r="E8" s="268">
        <v>35000</v>
      </c>
      <c r="F8" s="268">
        <v>35000</v>
      </c>
      <c r="G8" s="268">
        <v>35000</v>
      </c>
      <c r="H8" s="268">
        <f>D8+E8+F8+G8</f>
        <v>140000</v>
      </c>
      <c r="I8" s="1"/>
    </row>
    <row r="9" spans="1:10" ht="18.75">
      <c r="A9" s="31">
        <v>4</v>
      </c>
      <c r="B9" s="31" t="s">
        <v>488</v>
      </c>
      <c r="C9" s="31" t="s">
        <v>487</v>
      </c>
      <c r="D9" s="268">
        <v>35000</v>
      </c>
      <c r="E9" s="268">
        <v>35000</v>
      </c>
      <c r="F9" s="268">
        <v>35000</v>
      </c>
      <c r="G9" s="268">
        <v>35000</v>
      </c>
      <c r="H9" s="268">
        <f t="shared" ref="H9:H58" si="2">D9+E9+F9+G9</f>
        <v>140000</v>
      </c>
      <c r="I9" s="1"/>
    </row>
    <row r="10" spans="1:10" ht="18.75">
      <c r="A10" s="31">
        <v>5</v>
      </c>
      <c r="B10" s="31" t="s">
        <v>491</v>
      </c>
      <c r="C10" s="31" t="s">
        <v>492</v>
      </c>
      <c r="D10" s="268">
        <v>35000</v>
      </c>
      <c r="E10" s="268">
        <v>35000</v>
      </c>
      <c r="F10" s="268">
        <v>35000</v>
      </c>
      <c r="G10" s="268">
        <v>35000</v>
      </c>
      <c r="H10" s="268">
        <f t="shared" si="2"/>
        <v>140000</v>
      </c>
      <c r="I10" s="1"/>
    </row>
    <row r="11" spans="1:10" ht="18.75">
      <c r="A11" s="31">
        <v>6</v>
      </c>
      <c r="B11" s="31" t="s">
        <v>493</v>
      </c>
      <c r="C11" s="31" t="s">
        <v>494</v>
      </c>
      <c r="D11" s="268">
        <v>35000</v>
      </c>
      <c r="E11" s="268">
        <v>35000</v>
      </c>
      <c r="F11" s="268">
        <v>35000</v>
      </c>
      <c r="G11" s="268">
        <v>35000</v>
      </c>
      <c r="H11" s="268">
        <f t="shared" si="2"/>
        <v>140000</v>
      </c>
      <c r="I11" s="1"/>
    </row>
    <row r="12" spans="1:10" ht="18.75">
      <c r="A12" s="31">
        <v>7</v>
      </c>
      <c r="B12" s="31" t="s">
        <v>495</v>
      </c>
      <c r="C12" s="31" t="s">
        <v>496</v>
      </c>
      <c r="D12" s="268">
        <v>35000</v>
      </c>
      <c r="E12" s="268">
        <v>35000</v>
      </c>
      <c r="F12" s="268">
        <v>35000</v>
      </c>
      <c r="G12" s="268">
        <v>35000</v>
      </c>
      <c r="H12" s="268">
        <f t="shared" si="2"/>
        <v>140000</v>
      </c>
      <c r="I12" s="1"/>
    </row>
    <row r="13" spans="1:10" ht="18.75">
      <c r="A13" s="31">
        <v>8</v>
      </c>
      <c r="B13" s="31" t="s">
        <v>497</v>
      </c>
      <c r="C13" s="31" t="s">
        <v>498</v>
      </c>
      <c r="D13" s="268">
        <v>35000</v>
      </c>
      <c r="E13" s="268">
        <v>35000</v>
      </c>
      <c r="F13" s="268">
        <v>35000</v>
      </c>
      <c r="G13" s="268">
        <v>35000</v>
      </c>
      <c r="H13" s="268">
        <f t="shared" si="2"/>
        <v>140000</v>
      </c>
      <c r="I13" s="1"/>
    </row>
    <row r="14" spans="1:10" ht="18.75">
      <c r="A14" s="31">
        <v>9</v>
      </c>
      <c r="B14" s="31" t="s">
        <v>499</v>
      </c>
      <c r="C14" s="31" t="s">
        <v>498</v>
      </c>
      <c r="D14" s="268">
        <v>35000</v>
      </c>
      <c r="E14" s="268">
        <v>35000</v>
      </c>
      <c r="F14" s="268">
        <v>35000</v>
      </c>
      <c r="G14" s="268">
        <v>35000</v>
      </c>
      <c r="H14" s="268">
        <f t="shared" si="2"/>
        <v>140000</v>
      </c>
      <c r="I14" s="1"/>
    </row>
    <row r="15" spans="1:10" ht="18.75">
      <c r="A15" s="31">
        <v>10</v>
      </c>
      <c r="B15" s="31" t="s">
        <v>500</v>
      </c>
      <c r="C15" s="31" t="s">
        <v>496</v>
      </c>
      <c r="D15" s="268">
        <v>35000</v>
      </c>
      <c r="E15" s="268">
        <v>35000</v>
      </c>
      <c r="F15" s="268">
        <v>35000</v>
      </c>
      <c r="G15" s="268">
        <v>35000</v>
      </c>
      <c r="H15" s="268">
        <f t="shared" si="2"/>
        <v>140000</v>
      </c>
      <c r="I15" s="1"/>
    </row>
    <row r="16" spans="1:10" ht="18.75">
      <c r="A16" s="31">
        <v>11</v>
      </c>
      <c r="B16" s="31" t="s">
        <v>501</v>
      </c>
      <c r="C16" s="31" t="s">
        <v>502</v>
      </c>
      <c r="D16" s="268">
        <v>35000</v>
      </c>
      <c r="E16" s="268">
        <v>35000</v>
      </c>
      <c r="F16" s="268">
        <v>35000</v>
      </c>
      <c r="G16" s="268">
        <v>35000</v>
      </c>
      <c r="H16" s="268">
        <f t="shared" si="2"/>
        <v>140000</v>
      </c>
      <c r="I16" s="1"/>
    </row>
    <row r="17" spans="1:9" ht="18.75">
      <c r="A17" s="31">
        <v>12</v>
      </c>
      <c r="B17" s="31" t="s">
        <v>503</v>
      </c>
      <c r="C17" s="31" t="s">
        <v>490</v>
      </c>
      <c r="D17" s="268">
        <v>35000</v>
      </c>
      <c r="E17" s="268">
        <v>35000</v>
      </c>
      <c r="F17" s="268">
        <v>35000</v>
      </c>
      <c r="G17" s="268">
        <v>35000</v>
      </c>
      <c r="H17" s="268">
        <f t="shared" si="2"/>
        <v>140000</v>
      </c>
      <c r="I17" s="1"/>
    </row>
    <row r="18" spans="1:9" ht="18.75">
      <c r="A18" s="31">
        <v>13</v>
      </c>
      <c r="B18" s="31" t="s">
        <v>504</v>
      </c>
      <c r="C18" s="31" t="s">
        <v>505</v>
      </c>
      <c r="D18" s="268">
        <v>35000</v>
      </c>
      <c r="E18" s="268">
        <v>35000</v>
      </c>
      <c r="F18" s="268">
        <v>35000</v>
      </c>
      <c r="G18" s="268">
        <v>35000</v>
      </c>
      <c r="H18" s="268">
        <f t="shared" si="2"/>
        <v>140000</v>
      </c>
      <c r="I18" s="1"/>
    </row>
    <row r="19" spans="1:9" ht="18.75">
      <c r="A19" s="31">
        <v>14</v>
      </c>
      <c r="B19" s="31" t="s">
        <v>506</v>
      </c>
      <c r="C19" s="31" t="s">
        <v>492</v>
      </c>
      <c r="D19" s="268">
        <v>35000</v>
      </c>
      <c r="E19" s="268">
        <v>35000</v>
      </c>
      <c r="F19" s="268">
        <v>35000</v>
      </c>
      <c r="G19" s="268">
        <v>35000</v>
      </c>
      <c r="H19" s="268">
        <f t="shared" si="2"/>
        <v>140000</v>
      </c>
      <c r="I19" s="1"/>
    </row>
    <row r="20" spans="1:9" ht="18.75">
      <c r="A20" s="31">
        <v>15</v>
      </c>
      <c r="B20" s="31" t="s">
        <v>507</v>
      </c>
      <c r="C20" s="31" t="s">
        <v>508</v>
      </c>
      <c r="D20" s="268">
        <v>35000</v>
      </c>
      <c r="E20" s="268">
        <v>35000</v>
      </c>
      <c r="F20" s="268">
        <v>35000</v>
      </c>
      <c r="G20" s="268">
        <v>35000</v>
      </c>
      <c r="H20" s="268">
        <f t="shared" si="2"/>
        <v>140000</v>
      </c>
      <c r="I20" s="1"/>
    </row>
    <row r="21" spans="1:9" ht="18.75">
      <c r="A21" s="31">
        <v>16</v>
      </c>
      <c r="B21" s="31" t="s">
        <v>509</v>
      </c>
      <c r="C21" s="31" t="s">
        <v>510</v>
      </c>
      <c r="D21" s="268">
        <v>35000</v>
      </c>
      <c r="E21" s="268">
        <v>35000</v>
      </c>
      <c r="F21" s="268">
        <v>35000</v>
      </c>
      <c r="G21" s="268">
        <v>35000</v>
      </c>
      <c r="H21" s="268">
        <f t="shared" si="2"/>
        <v>140000</v>
      </c>
      <c r="I21" s="1"/>
    </row>
    <row r="22" spans="1:9" ht="18.75">
      <c r="A22" s="31">
        <v>17</v>
      </c>
      <c r="B22" s="31" t="s">
        <v>511</v>
      </c>
      <c r="C22" s="31" t="s">
        <v>492</v>
      </c>
      <c r="D22" s="268">
        <v>35000</v>
      </c>
      <c r="E22" s="268">
        <v>35000</v>
      </c>
      <c r="F22" s="268">
        <v>35000</v>
      </c>
      <c r="G22" s="268">
        <v>35000</v>
      </c>
      <c r="H22" s="268">
        <f t="shared" si="2"/>
        <v>140000</v>
      </c>
      <c r="I22" s="1"/>
    </row>
    <row r="23" spans="1:9" ht="18.75">
      <c r="A23" s="31">
        <v>18</v>
      </c>
      <c r="B23" s="31" t="s">
        <v>512</v>
      </c>
      <c r="C23" s="31" t="s">
        <v>513</v>
      </c>
      <c r="D23" s="268">
        <v>35000</v>
      </c>
      <c r="E23" s="268">
        <v>35000</v>
      </c>
      <c r="F23" s="268">
        <v>35000</v>
      </c>
      <c r="G23" s="268">
        <v>35000</v>
      </c>
      <c r="H23" s="268">
        <f t="shared" si="2"/>
        <v>140000</v>
      </c>
      <c r="I23" s="1"/>
    </row>
    <row r="24" spans="1:9" ht="18.75">
      <c r="A24" s="31">
        <v>19</v>
      </c>
      <c r="B24" s="31" t="s">
        <v>514</v>
      </c>
      <c r="C24" s="31" t="s">
        <v>513</v>
      </c>
      <c r="D24" s="268">
        <v>35000</v>
      </c>
      <c r="E24" s="268">
        <v>35000</v>
      </c>
      <c r="F24" s="268">
        <v>35000</v>
      </c>
      <c r="G24" s="268">
        <v>35000</v>
      </c>
      <c r="H24" s="268">
        <f t="shared" si="2"/>
        <v>140000</v>
      </c>
      <c r="I24" s="1"/>
    </row>
    <row r="25" spans="1:9" ht="18.75">
      <c r="A25" s="31">
        <v>20</v>
      </c>
      <c r="B25" s="31" t="s">
        <v>515</v>
      </c>
      <c r="C25" s="31" t="s">
        <v>513</v>
      </c>
      <c r="D25" s="268">
        <v>35000</v>
      </c>
      <c r="E25" s="268">
        <v>35000</v>
      </c>
      <c r="F25" s="268">
        <v>35000</v>
      </c>
      <c r="G25" s="268">
        <v>35000</v>
      </c>
      <c r="H25" s="268">
        <f t="shared" si="2"/>
        <v>140000</v>
      </c>
      <c r="I25" s="1"/>
    </row>
    <row r="26" spans="1:9" ht="18.75">
      <c r="A26" s="31">
        <v>21</v>
      </c>
      <c r="B26" s="31" t="s">
        <v>516</v>
      </c>
      <c r="C26" s="31" t="s">
        <v>513</v>
      </c>
      <c r="D26" s="268">
        <v>35000</v>
      </c>
      <c r="E26" s="268">
        <v>35000</v>
      </c>
      <c r="F26" s="268">
        <v>35000</v>
      </c>
      <c r="G26" s="268">
        <v>35000</v>
      </c>
      <c r="H26" s="268">
        <f t="shared" si="2"/>
        <v>140000</v>
      </c>
      <c r="I26" s="1"/>
    </row>
    <row r="27" spans="1:9" ht="18.75">
      <c r="A27" s="31">
        <v>22</v>
      </c>
      <c r="B27" s="31" t="s">
        <v>517</v>
      </c>
      <c r="C27" s="31" t="s">
        <v>518</v>
      </c>
      <c r="D27" s="268">
        <v>35000</v>
      </c>
      <c r="E27" s="268">
        <v>35000</v>
      </c>
      <c r="F27" s="268">
        <v>35000</v>
      </c>
      <c r="G27" s="268">
        <v>35000</v>
      </c>
      <c r="H27" s="268">
        <f t="shared" si="2"/>
        <v>140000</v>
      </c>
      <c r="I27" s="1"/>
    </row>
    <row r="28" spans="1:9" ht="18.75">
      <c r="A28" s="31">
        <v>23</v>
      </c>
      <c r="B28" s="31" t="s">
        <v>519</v>
      </c>
      <c r="C28" s="31" t="s">
        <v>520</v>
      </c>
      <c r="D28" s="268">
        <v>35000</v>
      </c>
      <c r="E28" s="268">
        <v>35000</v>
      </c>
      <c r="F28" s="268">
        <v>35000</v>
      </c>
      <c r="G28" s="268">
        <v>35000</v>
      </c>
      <c r="H28" s="268">
        <f t="shared" si="2"/>
        <v>140000</v>
      </c>
      <c r="I28" s="1"/>
    </row>
    <row r="29" spans="1:9" ht="18.75">
      <c r="A29" s="31">
        <v>24</v>
      </c>
      <c r="B29" s="31" t="s">
        <v>521</v>
      </c>
      <c r="C29" s="31" t="s">
        <v>522</v>
      </c>
      <c r="D29" s="268">
        <v>35000</v>
      </c>
      <c r="E29" s="268">
        <v>35000</v>
      </c>
      <c r="F29" s="268">
        <v>35000</v>
      </c>
      <c r="G29" s="268">
        <v>35000</v>
      </c>
      <c r="H29" s="268">
        <f t="shared" si="2"/>
        <v>140000</v>
      </c>
      <c r="I29" s="1"/>
    </row>
    <row r="30" spans="1:9" ht="18.75">
      <c r="A30" s="31">
        <v>25</v>
      </c>
      <c r="B30" s="31" t="s">
        <v>523</v>
      </c>
      <c r="C30" s="31" t="s">
        <v>502</v>
      </c>
      <c r="D30" s="268">
        <v>35000</v>
      </c>
      <c r="E30" s="268">
        <v>35000</v>
      </c>
      <c r="F30" s="268">
        <v>35000</v>
      </c>
      <c r="G30" s="268">
        <v>35000</v>
      </c>
      <c r="H30" s="268">
        <f t="shared" si="2"/>
        <v>140000</v>
      </c>
      <c r="I30" s="1"/>
    </row>
    <row r="31" spans="1:9" ht="18.75">
      <c r="A31" s="31">
        <v>26</v>
      </c>
      <c r="B31" s="31" t="s">
        <v>524</v>
      </c>
      <c r="C31" s="31" t="s">
        <v>513</v>
      </c>
      <c r="D31" s="268">
        <v>35000</v>
      </c>
      <c r="E31" s="268">
        <v>35000</v>
      </c>
      <c r="F31" s="268">
        <v>35000</v>
      </c>
      <c r="G31" s="268">
        <v>35000</v>
      </c>
      <c r="H31" s="268">
        <f t="shared" si="2"/>
        <v>140000</v>
      </c>
      <c r="I31" s="1"/>
    </row>
    <row r="32" spans="1:9" ht="18.75">
      <c r="A32" s="31">
        <v>27</v>
      </c>
      <c r="B32" s="31" t="s">
        <v>525</v>
      </c>
      <c r="C32" s="31" t="s">
        <v>490</v>
      </c>
      <c r="D32" s="268">
        <v>35000</v>
      </c>
      <c r="E32" s="268">
        <v>35000</v>
      </c>
      <c r="F32" s="268">
        <v>35000</v>
      </c>
      <c r="G32" s="268">
        <v>35000</v>
      </c>
      <c r="H32" s="268">
        <f t="shared" si="2"/>
        <v>140000</v>
      </c>
      <c r="I32" s="1"/>
    </row>
    <row r="33" spans="1:9" ht="18.75">
      <c r="A33" s="31">
        <v>28</v>
      </c>
      <c r="B33" s="31" t="s">
        <v>526</v>
      </c>
      <c r="C33" s="31" t="s">
        <v>490</v>
      </c>
      <c r="D33" s="268">
        <v>35000</v>
      </c>
      <c r="E33" s="268">
        <v>35000</v>
      </c>
      <c r="F33" s="268">
        <v>35000</v>
      </c>
      <c r="G33" s="268">
        <v>35000</v>
      </c>
      <c r="H33" s="268">
        <f t="shared" si="2"/>
        <v>140000</v>
      </c>
      <c r="I33" s="1"/>
    </row>
    <row r="34" spans="1:9" ht="18.75">
      <c r="A34" s="31">
        <v>29</v>
      </c>
      <c r="B34" s="31" t="s">
        <v>527</v>
      </c>
      <c r="C34" s="31" t="s">
        <v>513</v>
      </c>
      <c r="D34" s="268">
        <v>35000</v>
      </c>
      <c r="E34" s="268">
        <v>35000</v>
      </c>
      <c r="F34" s="268">
        <v>35000</v>
      </c>
      <c r="G34" s="268">
        <v>35000</v>
      </c>
      <c r="H34" s="268">
        <f t="shared" si="2"/>
        <v>140000</v>
      </c>
      <c r="I34" s="1"/>
    </row>
    <row r="35" spans="1:9" ht="18.75">
      <c r="A35" s="31">
        <v>30</v>
      </c>
      <c r="B35" s="31" t="s">
        <v>528</v>
      </c>
      <c r="C35" s="31" t="s">
        <v>513</v>
      </c>
      <c r="D35" s="268">
        <v>35000</v>
      </c>
      <c r="E35" s="268">
        <v>35000</v>
      </c>
      <c r="F35" s="268">
        <v>35000</v>
      </c>
      <c r="G35" s="268">
        <v>35000</v>
      </c>
      <c r="H35" s="268">
        <f t="shared" si="2"/>
        <v>140000</v>
      </c>
      <c r="I35" s="1"/>
    </row>
    <row r="36" spans="1:9" ht="18.75">
      <c r="A36" s="31">
        <v>31</v>
      </c>
      <c r="B36" s="31" t="s">
        <v>529</v>
      </c>
      <c r="C36" s="31" t="s">
        <v>530</v>
      </c>
      <c r="D36" s="268">
        <v>35000</v>
      </c>
      <c r="E36" s="268">
        <v>35000</v>
      </c>
      <c r="F36" s="268">
        <v>35000</v>
      </c>
      <c r="G36" s="268">
        <v>35000</v>
      </c>
      <c r="H36" s="268">
        <f t="shared" si="2"/>
        <v>140000</v>
      </c>
      <c r="I36" s="1"/>
    </row>
    <row r="37" spans="1:9" ht="18.75">
      <c r="A37" s="31">
        <v>32</v>
      </c>
      <c r="B37" s="31" t="s">
        <v>531</v>
      </c>
      <c r="C37" s="31" t="s">
        <v>513</v>
      </c>
      <c r="D37" s="268">
        <v>35000</v>
      </c>
      <c r="E37" s="268">
        <v>35000</v>
      </c>
      <c r="F37" s="268">
        <v>35000</v>
      </c>
      <c r="G37" s="268">
        <v>35000</v>
      </c>
      <c r="H37" s="268">
        <f t="shared" si="2"/>
        <v>140000</v>
      </c>
      <c r="I37" s="1"/>
    </row>
    <row r="38" spans="1:9" ht="18.75">
      <c r="A38" s="31">
        <v>33</v>
      </c>
      <c r="B38" s="31" t="s">
        <v>532</v>
      </c>
      <c r="C38" s="31" t="s">
        <v>533</v>
      </c>
      <c r="D38" s="268">
        <v>35000</v>
      </c>
      <c r="E38" s="268">
        <v>35000</v>
      </c>
      <c r="F38" s="268">
        <v>35000</v>
      </c>
      <c r="G38" s="268">
        <v>35000</v>
      </c>
      <c r="H38" s="268">
        <f t="shared" si="2"/>
        <v>140000</v>
      </c>
      <c r="I38" s="1"/>
    </row>
    <row r="39" spans="1:9" ht="18.75">
      <c r="A39" s="31">
        <v>34</v>
      </c>
      <c r="B39" s="31" t="s">
        <v>534</v>
      </c>
      <c r="C39" s="31" t="s">
        <v>513</v>
      </c>
      <c r="D39" s="268">
        <v>35000</v>
      </c>
      <c r="E39" s="268">
        <v>35000</v>
      </c>
      <c r="F39" s="268">
        <v>35000</v>
      </c>
      <c r="G39" s="268">
        <v>35000</v>
      </c>
      <c r="H39" s="268">
        <f t="shared" si="2"/>
        <v>140000</v>
      </c>
      <c r="I39" s="1"/>
    </row>
    <row r="40" spans="1:9" ht="18.75">
      <c r="A40" s="31">
        <v>35</v>
      </c>
      <c r="B40" s="31" t="s">
        <v>535</v>
      </c>
      <c r="C40" s="31" t="s">
        <v>513</v>
      </c>
      <c r="D40" s="268">
        <v>35000</v>
      </c>
      <c r="E40" s="268">
        <v>35000</v>
      </c>
      <c r="F40" s="268">
        <v>35000</v>
      </c>
      <c r="G40" s="268">
        <v>35000</v>
      </c>
      <c r="H40" s="268">
        <f t="shared" si="2"/>
        <v>140000</v>
      </c>
      <c r="I40" s="1"/>
    </row>
    <row r="41" spans="1:9" ht="18.75">
      <c r="A41" s="31">
        <v>36</v>
      </c>
      <c r="B41" s="31" t="s">
        <v>536</v>
      </c>
      <c r="C41" s="31" t="s">
        <v>492</v>
      </c>
      <c r="D41" s="268">
        <v>35000</v>
      </c>
      <c r="E41" s="268">
        <v>35000</v>
      </c>
      <c r="F41" s="268">
        <v>35000</v>
      </c>
      <c r="G41" s="268">
        <v>35000</v>
      </c>
      <c r="H41" s="268">
        <f t="shared" si="2"/>
        <v>140000</v>
      </c>
      <c r="I41" s="1"/>
    </row>
    <row r="42" spans="1:9" ht="18.75">
      <c r="A42" s="31">
        <v>37</v>
      </c>
      <c r="B42" s="31" t="s">
        <v>537</v>
      </c>
      <c r="C42" s="31" t="s">
        <v>492</v>
      </c>
      <c r="D42" s="268">
        <v>35000</v>
      </c>
      <c r="E42" s="268">
        <v>35000</v>
      </c>
      <c r="F42" s="268">
        <v>35000</v>
      </c>
      <c r="G42" s="268">
        <v>35000</v>
      </c>
      <c r="H42" s="268">
        <f t="shared" si="2"/>
        <v>140000</v>
      </c>
      <c r="I42" s="1"/>
    </row>
    <row r="43" spans="1:9" ht="18.75">
      <c r="A43" s="31">
        <v>38</v>
      </c>
      <c r="B43" s="31" t="s">
        <v>538</v>
      </c>
      <c r="C43" s="31" t="s">
        <v>492</v>
      </c>
      <c r="D43" s="268">
        <v>35000</v>
      </c>
      <c r="E43" s="268">
        <v>35000</v>
      </c>
      <c r="F43" s="268">
        <v>35000</v>
      </c>
      <c r="G43" s="268">
        <v>35000</v>
      </c>
      <c r="H43" s="268">
        <f t="shared" si="2"/>
        <v>140000</v>
      </c>
      <c r="I43" s="1"/>
    </row>
    <row r="44" spans="1:9" ht="18.75">
      <c r="A44" s="31">
        <v>39</v>
      </c>
      <c r="B44" s="31" t="s">
        <v>539</v>
      </c>
      <c r="C44" s="31" t="s">
        <v>492</v>
      </c>
      <c r="D44" s="268">
        <v>35000</v>
      </c>
      <c r="E44" s="268">
        <v>35000</v>
      </c>
      <c r="F44" s="268">
        <v>35000</v>
      </c>
      <c r="G44" s="268">
        <v>35000</v>
      </c>
      <c r="H44" s="268">
        <f t="shared" si="2"/>
        <v>140000</v>
      </c>
      <c r="I44" s="1"/>
    </row>
    <row r="45" spans="1:9" ht="18.75">
      <c r="A45" s="31">
        <v>40</v>
      </c>
      <c r="B45" s="31" t="s">
        <v>540</v>
      </c>
      <c r="C45" s="31" t="s">
        <v>492</v>
      </c>
      <c r="D45" s="268">
        <v>35000</v>
      </c>
      <c r="E45" s="268">
        <v>35000</v>
      </c>
      <c r="F45" s="268">
        <v>35000</v>
      </c>
      <c r="G45" s="268">
        <v>35000</v>
      </c>
      <c r="H45" s="268">
        <f t="shared" si="2"/>
        <v>140000</v>
      </c>
      <c r="I45" s="1"/>
    </row>
    <row r="46" spans="1:9" ht="18.75">
      <c r="A46" s="31">
        <v>41</v>
      </c>
      <c r="B46" s="31" t="s">
        <v>541</v>
      </c>
      <c r="C46" s="31" t="s">
        <v>492</v>
      </c>
      <c r="D46" s="268">
        <v>35000</v>
      </c>
      <c r="E46" s="268">
        <v>35000</v>
      </c>
      <c r="F46" s="268">
        <v>35000</v>
      </c>
      <c r="G46" s="268">
        <v>35000</v>
      </c>
      <c r="H46" s="268">
        <f t="shared" si="2"/>
        <v>140000</v>
      </c>
      <c r="I46" s="1"/>
    </row>
    <row r="47" spans="1:9" ht="18.75">
      <c r="A47" s="31">
        <v>42</v>
      </c>
      <c r="B47" s="31" t="s">
        <v>542</v>
      </c>
      <c r="C47" s="31" t="s">
        <v>513</v>
      </c>
      <c r="D47" s="268">
        <v>35000</v>
      </c>
      <c r="E47" s="268">
        <v>35000</v>
      </c>
      <c r="F47" s="268">
        <v>35000</v>
      </c>
      <c r="G47" s="268">
        <v>35000</v>
      </c>
      <c r="H47" s="268">
        <f t="shared" si="2"/>
        <v>140000</v>
      </c>
      <c r="I47" s="1"/>
    </row>
    <row r="48" spans="1:9" ht="18.75">
      <c r="A48" s="31">
        <v>43</v>
      </c>
      <c r="B48" s="31" t="s">
        <v>543</v>
      </c>
      <c r="C48" s="31" t="s">
        <v>492</v>
      </c>
      <c r="D48" s="268">
        <v>35000</v>
      </c>
      <c r="E48" s="268">
        <v>35000</v>
      </c>
      <c r="F48" s="268">
        <v>35000</v>
      </c>
      <c r="G48" s="268">
        <v>35000</v>
      </c>
      <c r="H48" s="268">
        <f t="shared" si="2"/>
        <v>140000</v>
      </c>
      <c r="I48" s="1"/>
    </row>
    <row r="49" spans="1:9" ht="18.75">
      <c r="A49" s="31">
        <v>44</v>
      </c>
      <c r="B49" s="31" t="s">
        <v>544</v>
      </c>
      <c r="C49" s="31" t="s">
        <v>492</v>
      </c>
      <c r="D49" s="268">
        <v>35000</v>
      </c>
      <c r="E49" s="268">
        <v>35000</v>
      </c>
      <c r="F49" s="268">
        <v>35000</v>
      </c>
      <c r="G49" s="268">
        <v>35000</v>
      </c>
      <c r="H49" s="268">
        <f t="shared" si="2"/>
        <v>140000</v>
      </c>
      <c r="I49" s="1"/>
    </row>
    <row r="50" spans="1:9" ht="18.75">
      <c r="A50" s="31">
        <v>45</v>
      </c>
      <c r="B50" s="31" t="s">
        <v>545</v>
      </c>
      <c r="C50" s="31" t="s">
        <v>513</v>
      </c>
      <c r="D50" s="268">
        <v>35000</v>
      </c>
      <c r="E50" s="268">
        <v>35000</v>
      </c>
      <c r="F50" s="268">
        <v>35000</v>
      </c>
      <c r="G50" s="268">
        <v>35000</v>
      </c>
      <c r="H50" s="268">
        <f t="shared" si="2"/>
        <v>140000</v>
      </c>
      <c r="I50" s="1"/>
    </row>
    <row r="51" spans="1:9" ht="18.75">
      <c r="A51" s="31">
        <v>46</v>
      </c>
      <c r="B51" s="31" t="s">
        <v>546</v>
      </c>
      <c r="C51" s="31" t="s">
        <v>492</v>
      </c>
      <c r="D51" s="268">
        <v>35000</v>
      </c>
      <c r="E51" s="268">
        <v>35000</v>
      </c>
      <c r="F51" s="268">
        <v>35000</v>
      </c>
      <c r="G51" s="268">
        <v>35000</v>
      </c>
      <c r="H51" s="268">
        <f t="shared" si="2"/>
        <v>140000</v>
      </c>
      <c r="I51" s="1"/>
    </row>
    <row r="52" spans="1:9" ht="18.75">
      <c r="A52" s="31">
        <v>47</v>
      </c>
      <c r="B52" s="31" t="s">
        <v>547</v>
      </c>
      <c r="C52" s="31" t="s">
        <v>492</v>
      </c>
      <c r="D52" s="268">
        <v>35000</v>
      </c>
      <c r="E52" s="268">
        <v>35000</v>
      </c>
      <c r="F52" s="268">
        <v>35000</v>
      </c>
      <c r="G52" s="268">
        <v>35000</v>
      </c>
      <c r="H52" s="268">
        <f t="shared" si="2"/>
        <v>140000</v>
      </c>
      <c r="I52" s="1"/>
    </row>
    <row r="53" spans="1:9" ht="18.75">
      <c r="A53" s="31">
        <v>48</v>
      </c>
      <c r="B53" s="31" t="s">
        <v>548</v>
      </c>
      <c r="C53" s="31" t="s">
        <v>513</v>
      </c>
      <c r="D53" s="268">
        <v>35000</v>
      </c>
      <c r="E53" s="268">
        <v>35000</v>
      </c>
      <c r="F53" s="268">
        <v>35000</v>
      </c>
      <c r="G53" s="268">
        <v>35000</v>
      </c>
      <c r="H53" s="268">
        <f t="shared" si="2"/>
        <v>140000</v>
      </c>
      <c r="I53" s="1"/>
    </row>
    <row r="54" spans="1:9" ht="18.75">
      <c r="A54" s="31">
        <v>49</v>
      </c>
      <c r="B54" s="31" t="s">
        <v>549</v>
      </c>
      <c r="C54" s="31" t="s">
        <v>513</v>
      </c>
      <c r="D54" s="268">
        <v>35000</v>
      </c>
      <c r="E54" s="268">
        <v>35000</v>
      </c>
      <c r="F54" s="268">
        <v>35000</v>
      </c>
      <c r="G54" s="268">
        <v>35000</v>
      </c>
      <c r="H54" s="268">
        <f t="shared" si="2"/>
        <v>140000</v>
      </c>
      <c r="I54" s="1"/>
    </row>
    <row r="55" spans="1:9" ht="18.75">
      <c r="A55" s="31">
        <v>50</v>
      </c>
      <c r="B55" s="31" t="s">
        <v>550</v>
      </c>
      <c r="C55" s="31" t="s">
        <v>513</v>
      </c>
      <c r="D55" s="268">
        <v>35000</v>
      </c>
      <c r="E55" s="268">
        <v>35000</v>
      </c>
      <c r="F55" s="268">
        <v>35000</v>
      </c>
      <c r="G55" s="268">
        <v>35000</v>
      </c>
      <c r="H55" s="268">
        <f t="shared" si="2"/>
        <v>140000</v>
      </c>
      <c r="I55" s="1"/>
    </row>
    <row r="56" spans="1:9" ht="18.75">
      <c r="A56" s="31">
        <v>51</v>
      </c>
      <c r="B56" s="31" t="s">
        <v>551</v>
      </c>
      <c r="C56" s="31" t="s">
        <v>513</v>
      </c>
      <c r="D56" s="268">
        <v>35000</v>
      </c>
      <c r="E56" s="268">
        <v>35000</v>
      </c>
      <c r="F56" s="268">
        <v>35000</v>
      </c>
      <c r="G56" s="268">
        <v>35000</v>
      </c>
      <c r="H56" s="268">
        <f t="shared" si="2"/>
        <v>140000</v>
      </c>
      <c r="I56" s="1"/>
    </row>
    <row r="57" spans="1:9" ht="18.75">
      <c r="A57" s="31">
        <v>52</v>
      </c>
      <c r="B57" s="31" t="s">
        <v>552</v>
      </c>
      <c r="C57" s="31" t="s">
        <v>492</v>
      </c>
      <c r="D57" s="268">
        <v>35000</v>
      </c>
      <c r="E57" s="268">
        <v>35000</v>
      </c>
      <c r="F57" s="268">
        <v>35000</v>
      </c>
      <c r="G57" s="268">
        <v>35000</v>
      </c>
      <c r="H57" s="268">
        <f t="shared" si="2"/>
        <v>140000</v>
      </c>
      <c r="I57" s="1"/>
    </row>
    <row r="58" spans="1:9" ht="18.75">
      <c r="A58" s="31">
        <v>53</v>
      </c>
      <c r="B58" s="31" t="s">
        <v>553</v>
      </c>
      <c r="C58" s="31" t="s">
        <v>492</v>
      </c>
      <c r="D58" s="268">
        <v>35000</v>
      </c>
      <c r="E58" s="268">
        <v>35000</v>
      </c>
      <c r="F58" s="268">
        <v>35000</v>
      </c>
      <c r="G58" s="268">
        <v>35000</v>
      </c>
      <c r="H58" s="268">
        <f t="shared" si="2"/>
        <v>140000</v>
      </c>
      <c r="I58" s="1"/>
    </row>
    <row r="59" spans="1:9" ht="18.75">
      <c r="A59" s="20"/>
      <c r="B59" s="31"/>
      <c r="C59" s="31"/>
      <c r="D59" s="283">
        <f>SUM(D8:D58)</f>
        <v>1785000</v>
      </c>
      <c r="E59" s="283">
        <f>SUM(E8:E58)</f>
        <v>1785000</v>
      </c>
      <c r="F59" s="283">
        <f>SUM(F8:F58)</f>
        <v>1785000</v>
      </c>
      <c r="G59" s="283">
        <f>SUM(G8:G58)</f>
        <v>1785000</v>
      </c>
      <c r="H59" s="283">
        <f>SUM(H8:H58)</f>
        <v>7140000</v>
      </c>
      <c r="I59" s="1"/>
    </row>
    <row r="60" spans="1:9">
      <c r="D60" s="271"/>
      <c r="E60" s="271"/>
      <c r="F60" s="271"/>
      <c r="G60" s="271"/>
      <c r="H60" s="271"/>
    </row>
    <row r="61" spans="1:9">
      <c r="D61" s="271"/>
      <c r="E61" s="271"/>
      <c r="F61" s="271"/>
      <c r="G61" s="271"/>
      <c r="H61" s="276"/>
    </row>
    <row r="62" spans="1:9">
      <c r="A62" s="275"/>
      <c r="B62" s="275"/>
      <c r="C62" s="275"/>
      <c r="D62" s="276"/>
      <c r="E62" s="276"/>
      <c r="F62" s="276"/>
      <c r="G62" s="276"/>
      <c r="H62" s="279"/>
    </row>
    <row r="63" spans="1:9">
      <c r="D63" s="271"/>
      <c r="E63" s="271"/>
      <c r="F63" s="271"/>
      <c r="G63" s="271"/>
    </row>
  </sheetData>
  <mergeCells count="3">
    <mergeCell ref="A1:H1"/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60"/>
  <sheetViews>
    <sheetView workbookViewId="0">
      <selection activeCell="H6" sqref="H6"/>
    </sheetView>
  </sheetViews>
  <sheetFormatPr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77" t="s">
        <v>554</v>
      </c>
      <c r="B1" s="1"/>
      <c r="C1" s="1"/>
      <c r="D1" s="1"/>
      <c r="E1" s="1"/>
      <c r="F1" s="1"/>
      <c r="G1" s="1"/>
      <c r="H1" s="1"/>
      <c r="I1" s="1"/>
      <c r="J1" s="1"/>
    </row>
    <row r="2" spans="1:10" ht="50.25" customHeight="1">
      <c r="A2" s="379" t="s">
        <v>26</v>
      </c>
      <c r="B2" s="20" t="s">
        <v>555</v>
      </c>
      <c r="C2" s="20" t="s">
        <v>3</v>
      </c>
      <c r="D2" s="267" t="s">
        <v>556</v>
      </c>
      <c r="E2" s="267" t="s">
        <v>21</v>
      </c>
      <c r="F2" s="267" t="s">
        <v>557</v>
      </c>
      <c r="G2" s="1"/>
      <c r="H2" s="1"/>
      <c r="I2" s="1"/>
      <c r="J2" s="1"/>
    </row>
    <row r="3" spans="1:10" ht="35.1" customHeight="1">
      <c r="A3" s="3">
        <v>1</v>
      </c>
      <c r="B3" s="31" t="s">
        <v>144</v>
      </c>
      <c r="C3" s="31" t="s">
        <v>118</v>
      </c>
      <c r="D3" s="268">
        <f>20000*28</f>
        <v>560000</v>
      </c>
      <c r="E3" s="318">
        <f>86186.67</f>
        <v>86186.67</v>
      </c>
      <c r="F3" s="268">
        <f>D3-E3</f>
        <v>473813.33</v>
      </c>
      <c r="G3" s="1"/>
      <c r="H3" s="1"/>
      <c r="I3" s="1"/>
      <c r="J3" s="1"/>
    </row>
    <row r="4" spans="1:10" ht="39.75" customHeight="1">
      <c r="A4" s="3">
        <v>2</v>
      </c>
      <c r="B4" s="102" t="s">
        <v>558</v>
      </c>
      <c r="C4" s="31" t="s">
        <v>559</v>
      </c>
      <c r="D4" s="268">
        <f>20000*28</f>
        <v>560000</v>
      </c>
      <c r="E4" s="318">
        <f>86186.67</f>
        <v>86186.67</v>
      </c>
      <c r="F4" s="268">
        <f t="shared" ref="F4" si="0">D4-E4</f>
        <v>473813.33</v>
      </c>
      <c r="G4" s="1"/>
      <c r="H4" s="1"/>
      <c r="I4" s="1"/>
      <c r="J4" s="1"/>
    </row>
    <row r="5" spans="1:10" ht="36" customHeight="1">
      <c r="A5" s="31"/>
      <c r="B5" s="20" t="s">
        <v>91</v>
      </c>
      <c r="C5" s="20"/>
      <c r="D5" s="269">
        <f>SUM(D3:D4)</f>
        <v>1120000</v>
      </c>
      <c r="E5" s="269">
        <f>SUM(E3:E4)</f>
        <v>172373.34</v>
      </c>
      <c r="F5" s="269">
        <f>SUM(F3:F4)</f>
        <v>947626.66</v>
      </c>
      <c r="G5" s="1"/>
      <c r="H5" s="1"/>
      <c r="I5" s="1"/>
      <c r="J5" s="1"/>
    </row>
    <row r="6" spans="1:10" ht="18.7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8.7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8.7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8.7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8.7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.7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.7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.7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.7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.7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.7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.7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.7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8.7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8.7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8.7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.7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.7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.7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.7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.7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.7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.7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.7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.7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.7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8.7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8.7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.7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8.7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8.7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8.7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8.7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8.7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8.7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8.7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8.7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8.7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8.7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8.7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8.7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8.7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8.7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.7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8.7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8.7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8.7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8.7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.7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8.7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8.7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8.7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8.7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8.7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8.7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8.7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8.7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.7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8.7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8.7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8.7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8.7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8.7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8.7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.7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8.7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.7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8.7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8.7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.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8.7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8.7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8.7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8.7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.7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8.7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8.7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.7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8.7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8.7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8.7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8.7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8.7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8.7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8.7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8.7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8.7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8.7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8.7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8.7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8.7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8.7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8.7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8.7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8.7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8.7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8.7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8.7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8.7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8.7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8.7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8.7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.7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8.7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8.7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8.7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8.7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8.7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8.7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8.7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8.7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8.7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8.7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8.7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8.7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8.7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8.7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8.7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8.7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8.7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8.7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8.7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8.7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8.7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8.7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8.7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8.7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8.7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8.7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8.7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8.7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8.7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8.7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8.7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8.7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8.7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8.7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8.7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8.7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8.7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8.7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8.7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8.7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8.7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8.7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8.7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8.7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8.7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8.7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8.7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8.7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8.7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8.7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8.7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8.75">
      <c r="A160" s="1"/>
      <c r="B160" s="1"/>
      <c r="C160" s="1"/>
      <c r="D160" s="1"/>
      <c r="E160" s="1"/>
      <c r="F160" s="1"/>
      <c r="G160" s="1"/>
      <c r="H160" s="1"/>
      <c r="I160" s="1"/>
      <c r="J160" s="1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90"/>
  <sheetViews>
    <sheetView zoomScaleNormal="100" zoomScaleSheetLayoutView="100" workbookViewId="0">
      <pane xSplit="3" ySplit="7" topLeftCell="D8" activePane="bottomRight" state="frozen"/>
      <selection pane="bottomRight" activeCell="F42" sqref="F4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41" customWidth="1"/>
    <col min="2" max="2" width="42.85546875" style="141" customWidth="1"/>
    <col min="3" max="3" width="38" style="141" customWidth="1"/>
    <col min="4" max="4" width="12.42578125" style="141" customWidth="1"/>
    <col min="5" max="5" width="21.85546875" style="141" customWidth="1"/>
    <col min="6" max="6" width="21.7109375" style="141" customWidth="1"/>
    <col min="7" max="16384" width="9.140625" style="141"/>
  </cols>
  <sheetData>
    <row r="1" spans="1:6" ht="27" customHeight="1">
      <c r="A1" s="246" t="s">
        <v>0</v>
      </c>
      <c r="B1" s="246"/>
      <c r="C1" s="246"/>
      <c r="D1" s="246"/>
      <c r="E1" s="247"/>
    </row>
    <row r="2" spans="1:6" ht="33.75" customHeight="1">
      <c r="A2" s="246" t="s">
        <v>560</v>
      </c>
      <c r="B2" s="143"/>
      <c r="C2" s="142"/>
      <c r="D2" s="142"/>
      <c r="E2" s="146"/>
    </row>
    <row r="3" spans="1:6" ht="9.75" customHeight="1"/>
    <row r="4" spans="1:6" ht="49.5" customHeight="1">
      <c r="A4" s="241"/>
      <c r="B4" s="248" t="s">
        <v>2</v>
      </c>
      <c r="C4" s="249" t="s">
        <v>3</v>
      </c>
      <c r="D4" s="250" t="s">
        <v>4</v>
      </c>
      <c r="E4" s="251" t="s">
        <v>403</v>
      </c>
    </row>
    <row r="5" spans="1:6" ht="17.25" customHeight="1">
      <c r="C5" s="154"/>
      <c r="D5" s="154"/>
      <c r="E5" s="193" t="s">
        <v>25</v>
      </c>
    </row>
    <row r="6" spans="1:6" ht="20.100000000000001" customHeight="1">
      <c r="A6" s="153" t="s">
        <v>26</v>
      </c>
      <c r="B6" s="154" t="s">
        <v>27</v>
      </c>
      <c r="C6" s="154"/>
      <c r="D6" s="154"/>
      <c r="E6" s="193"/>
    </row>
    <row r="7" spans="1:6" ht="20.100000000000001" customHeight="1">
      <c r="A7" s="27">
        <v>1</v>
      </c>
      <c r="B7" s="133" t="s">
        <v>28</v>
      </c>
      <c r="C7" s="138" t="s">
        <v>29</v>
      </c>
      <c r="D7" s="138" t="s">
        <v>30</v>
      </c>
      <c r="E7" s="252">
        <v>450000</v>
      </c>
      <c r="F7" s="157"/>
    </row>
    <row r="8" spans="1:6" ht="20.100000000000001" customHeight="1">
      <c r="A8" s="27">
        <v>2</v>
      </c>
      <c r="B8" s="133" t="s">
        <v>464</v>
      </c>
      <c r="C8" s="19" t="s">
        <v>561</v>
      </c>
      <c r="D8" s="27" t="s">
        <v>233</v>
      </c>
      <c r="E8" s="252">
        <v>150000</v>
      </c>
      <c r="F8" s="157"/>
    </row>
    <row r="9" spans="1:6" ht="20.100000000000001" customHeight="1">
      <c r="A9" s="27">
        <v>3</v>
      </c>
      <c r="B9" s="135" t="s">
        <v>562</v>
      </c>
      <c r="C9" s="19" t="s">
        <v>563</v>
      </c>
      <c r="D9" s="27" t="s">
        <v>233</v>
      </c>
      <c r="E9" s="252">
        <v>150000</v>
      </c>
      <c r="F9" s="157"/>
    </row>
    <row r="10" spans="1:6" ht="20.100000000000001" customHeight="1">
      <c r="A10" s="27">
        <v>4</v>
      </c>
      <c r="B10" s="133" t="s">
        <v>31</v>
      </c>
      <c r="C10" s="138" t="s">
        <v>32</v>
      </c>
      <c r="D10" s="27" t="s">
        <v>33</v>
      </c>
      <c r="E10" s="252">
        <v>150000</v>
      </c>
      <c r="F10" s="157"/>
    </row>
    <row r="11" spans="1:6" ht="20.100000000000001" customHeight="1">
      <c r="A11" s="27">
        <v>5</v>
      </c>
      <c r="B11" s="135" t="s">
        <v>34</v>
      </c>
      <c r="C11" s="19" t="s">
        <v>35</v>
      </c>
      <c r="D11" s="158" t="s">
        <v>36</v>
      </c>
      <c r="E11" s="252">
        <v>150000</v>
      </c>
      <c r="F11" s="157"/>
    </row>
    <row r="12" spans="1:6" ht="20.100000000000001" customHeight="1">
      <c r="A12" s="27">
        <v>6</v>
      </c>
      <c r="B12" s="135" t="s">
        <v>179</v>
      </c>
      <c r="C12" s="19" t="s">
        <v>466</v>
      </c>
      <c r="D12" s="23" t="s">
        <v>36</v>
      </c>
      <c r="E12" s="252">
        <v>150000</v>
      </c>
      <c r="F12" s="157"/>
    </row>
    <row r="13" spans="1:6" ht="20.100000000000001" customHeight="1">
      <c r="A13" s="27">
        <v>7</v>
      </c>
      <c r="B13" s="133" t="s">
        <v>37</v>
      </c>
      <c r="C13" s="92" t="s">
        <v>38</v>
      </c>
      <c r="D13" s="23" t="s">
        <v>36</v>
      </c>
      <c r="E13" s="252">
        <v>150000</v>
      </c>
      <c r="F13" s="157"/>
    </row>
    <row r="14" spans="1:6" ht="20.100000000000001" customHeight="1">
      <c r="A14" s="27">
        <v>8</v>
      </c>
      <c r="B14" s="135" t="s">
        <v>39</v>
      </c>
      <c r="C14" s="19" t="s">
        <v>40</v>
      </c>
      <c r="D14" s="23" t="s">
        <v>36</v>
      </c>
      <c r="E14" s="252">
        <v>150000</v>
      </c>
      <c r="F14" s="157"/>
    </row>
    <row r="15" spans="1:6" ht="20.100000000000001" customHeight="1">
      <c r="A15" s="27">
        <v>9</v>
      </c>
      <c r="B15" s="133" t="s">
        <v>43</v>
      </c>
      <c r="C15" s="138" t="s">
        <v>44</v>
      </c>
      <c r="D15" s="158" t="s">
        <v>45</v>
      </c>
      <c r="E15" s="252">
        <v>105000</v>
      </c>
      <c r="F15" s="157"/>
    </row>
    <row r="16" spans="1:6" ht="20.100000000000001" customHeight="1">
      <c r="A16" s="27">
        <v>10</v>
      </c>
      <c r="B16" s="134" t="s">
        <v>151</v>
      </c>
      <c r="C16" s="138" t="s">
        <v>152</v>
      </c>
      <c r="D16" s="27" t="s">
        <v>127</v>
      </c>
      <c r="E16" s="252">
        <v>105000</v>
      </c>
      <c r="F16" s="157"/>
    </row>
    <row r="17" spans="1:6" ht="20.100000000000001" customHeight="1">
      <c r="A17" s="27">
        <v>11</v>
      </c>
      <c r="B17" s="137" t="s">
        <v>564</v>
      </c>
      <c r="C17" s="19" t="s">
        <v>565</v>
      </c>
      <c r="D17" s="23" t="s">
        <v>51</v>
      </c>
      <c r="E17" s="252">
        <v>75000</v>
      </c>
      <c r="F17" s="157"/>
    </row>
    <row r="18" spans="1:6" ht="19.5" customHeight="1">
      <c r="A18" s="27">
        <v>12</v>
      </c>
      <c r="B18" s="135" t="s">
        <v>467</v>
      </c>
      <c r="C18" s="19" t="s">
        <v>50</v>
      </c>
      <c r="D18" s="27" t="s">
        <v>51</v>
      </c>
      <c r="E18" s="252">
        <v>75000</v>
      </c>
      <c r="F18" s="157"/>
    </row>
    <row r="19" spans="1:6" ht="19.5" customHeight="1">
      <c r="A19" s="27">
        <v>13</v>
      </c>
      <c r="B19" s="135" t="s">
        <v>566</v>
      </c>
      <c r="C19" s="19" t="s">
        <v>567</v>
      </c>
      <c r="D19" s="27" t="s">
        <v>51</v>
      </c>
      <c r="E19" s="252">
        <v>75000</v>
      </c>
      <c r="F19" s="157"/>
    </row>
    <row r="20" spans="1:6" ht="20.100000000000001" customHeight="1">
      <c r="A20" s="27">
        <v>14</v>
      </c>
      <c r="B20" s="133" t="s">
        <v>49</v>
      </c>
      <c r="C20" s="19" t="s">
        <v>50</v>
      </c>
      <c r="D20" s="158" t="s">
        <v>51</v>
      </c>
      <c r="E20" s="252">
        <v>75000</v>
      </c>
      <c r="F20" s="157"/>
    </row>
    <row r="21" spans="1:6" ht="20.100000000000001" customHeight="1">
      <c r="A21" s="27">
        <v>15</v>
      </c>
      <c r="B21" s="133" t="s">
        <v>58</v>
      </c>
      <c r="C21" s="138" t="s">
        <v>59</v>
      </c>
      <c r="D21" s="158" t="s">
        <v>60</v>
      </c>
      <c r="E21" s="252">
        <v>75000</v>
      </c>
      <c r="F21" s="157"/>
    </row>
    <row r="22" spans="1:6" ht="20.100000000000001" customHeight="1">
      <c r="A22" s="27">
        <v>16</v>
      </c>
      <c r="B22" s="134" t="s">
        <v>61</v>
      </c>
      <c r="C22" s="19" t="s">
        <v>62</v>
      </c>
      <c r="D22" s="158" t="s">
        <v>63</v>
      </c>
      <c r="E22" s="252">
        <v>75000</v>
      </c>
      <c r="F22" s="157"/>
    </row>
    <row r="23" spans="1:6" ht="20.100000000000001" customHeight="1">
      <c r="A23" s="27">
        <v>17</v>
      </c>
      <c r="B23" s="133" t="s">
        <v>206</v>
      </c>
      <c r="C23" s="138" t="s">
        <v>207</v>
      </c>
      <c r="D23" s="158" t="s">
        <v>203</v>
      </c>
      <c r="E23" s="252">
        <v>45000</v>
      </c>
      <c r="F23" s="157"/>
    </row>
    <row r="24" spans="1:6" ht="18.75" customHeight="1">
      <c r="A24" s="27">
        <v>18</v>
      </c>
      <c r="B24" s="133" t="s">
        <v>64</v>
      </c>
      <c r="C24" s="138" t="s">
        <v>65</v>
      </c>
      <c r="D24" s="158" t="s">
        <v>66</v>
      </c>
      <c r="E24" s="252">
        <v>45000</v>
      </c>
      <c r="F24" s="157"/>
    </row>
    <row r="25" spans="1:6" ht="18.75" customHeight="1">
      <c r="A25" s="27">
        <v>19</v>
      </c>
      <c r="B25" s="133" t="s">
        <v>204</v>
      </c>
      <c r="C25" s="19" t="s">
        <v>205</v>
      </c>
      <c r="D25" s="158" t="s">
        <v>66</v>
      </c>
      <c r="E25" s="252">
        <v>45000</v>
      </c>
      <c r="F25" s="157"/>
    </row>
    <row r="26" spans="1:6" ht="18.75" customHeight="1">
      <c r="A26" s="27">
        <v>20</v>
      </c>
      <c r="B26" s="134" t="s">
        <v>568</v>
      </c>
      <c r="C26" s="138" t="s">
        <v>88</v>
      </c>
      <c r="D26" s="158" t="s">
        <v>257</v>
      </c>
      <c r="E26" s="252">
        <v>45000</v>
      </c>
      <c r="F26" s="157"/>
    </row>
    <row r="27" spans="1:6" ht="18.75" customHeight="1">
      <c r="A27" s="27">
        <v>21</v>
      </c>
      <c r="B27" s="19" t="s">
        <v>73</v>
      </c>
      <c r="C27" s="19" t="s">
        <v>74</v>
      </c>
      <c r="D27" s="27" t="s">
        <v>75</v>
      </c>
      <c r="E27" s="252">
        <v>45000</v>
      </c>
      <c r="F27" s="157"/>
    </row>
    <row r="28" spans="1:6" ht="18.75" customHeight="1">
      <c r="A28" s="27">
        <v>22</v>
      </c>
      <c r="B28" s="134" t="s">
        <v>76</v>
      </c>
      <c r="C28" s="138" t="s">
        <v>74</v>
      </c>
      <c r="D28" s="158" t="s">
        <v>75</v>
      </c>
      <c r="E28" s="252">
        <v>45000</v>
      </c>
      <c r="F28" s="157"/>
    </row>
    <row r="29" spans="1:6" ht="18.75" customHeight="1">
      <c r="A29" s="27">
        <v>23</v>
      </c>
      <c r="B29" s="133" t="s">
        <v>468</v>
      </c>
      <c r="C29" s="138" t="s">
        <v>469</v>
      </c>
      <c r="D29" s="158" t="s">
        <v>75</v>
      </c>
      <c r="E29" s="252">
        <v>45000</v>
      </c>
      <c r="F29" s="157"/>
    </row>
    <row r="30" spans="1:6" ht="18.75" customHeight="1">
      <c r="A30" s="27">
        <v>24</v>
      </c>
      <c r="B30" s="134" t="s">
        <v>77</v>
      </c>
      <c r="C30" s="138" t="s">
        <v>412</v>
      </c>
      <c r="D30" s="158" t="s">
        <v>199</v>
      </c>
      <c r="E30" s="252">
        <v>45000</v>
      </c>
      <c r="F30" s="157"/>
    </row>
    <row r="31" spans="1:6" ht="18.75" customHeight="1">
      <c r="A31" s="27">
        <v>25</v>
      </c>
      <c r="B31" s="134" t="s">
        <v>80</v>
      </c>
      <c r="C31" s="19" t="s">
        <v>470</v>
      </c>
      <c r="D31" s="27" t="s">
        <v>199</v>
      </c>
      <c r="E31" s="252">
        <v>45000</v>
      </c>
      <c r="F31" s="157"/>
    </row>
    <row r="32" spans="1:6" ht="18.75" customHeight="1">
      <c r="A32" s="27">
        <v>26</v>
      </c>
      <c r="B32" s="134" t="s">
        <v>82</v>
      </c>
      <c r="C32" s="92" t="s">
        <v>83</v>
      </c>
      <c r="D32" s="158" t="s">
        <v>75</v>
      </c>
      <c r="E32" s="252">
        <v>45000</v>
      </c>
      <c r="F32" s="157"/>
    </row>
    <row r="33" spans="1:6" ht="18.75" customHeight="1">
      <c r="A33" s="27">
        <v>27</v>
      </c>
      <c r="B33" s="134" t="s">
        <v>84</v>
      </c>
      <c r="C33" s="19" t="s">
        <v>85</v>
      </c>
      <c r="D33" s="27" t="s">
        <v>86</v>
      </c>
      <c r="E33" s="252">
        <v>45000</v>
      </c>
      <c r="F33" s="157"/>
    </row>
    <row r="34" spans="1:6" ht="18.75" customHeight="1">
      <c r="A34" s="27">
        <v>28</v>
      </c>
      <c r="B34" s="134" t="s">
        <v>87</v>
      </c>
      <c r="C34" s="138" t="s">
        <v>88</v>
      </c>
      <c r="D34" s="158" t="s">
        <v>86</v>
      </c>
      <c r="E34" s="252">
        <v>45000</v>
      </c>
      <c r="F34" s="157"/>
    </row>
    <row r="35" spans="1:6" ht="18.75" customHeight="1">
      <c r="A35" s="27">
        <v>29</v>
      </c>
      <c r="B35" s="134" t="s">
        <v>569</v>
      </c>
      <c r="C35" s="138" t="s">
        <v>88</v>
      </c>
      <c r="D35" s="158" t="s">
        <v>86</v>
      </c>
      <c r="E35" s="252">
        <v>45000</v>
      </c>
      <c r="F35" s="157"/>
    </row>
    <row r="36" spans="1:6" ht="18.75" customHeight="1">
      <c r="A36" s="27">
        <v>30</v>
      </c>
      <c r="B36" s="134" t="s">
        <v>225</v>
      </c>
      <c r="C36" s="138" t="s">
        <v>226</v>
      </c>
      <c r="D36" s="158" t="s">
        <v>90</v>
      </c>
      <c r="E36" s="252">
        <v>45000</v>
      </c>
      <c r="F36" s="157"/>
    </row>
    <row r="37" spans="1:6" ht="26.25" customHeight="1">
      <c r="A37" s="27"/>
      <c r="B37" s="136" t="s">
        <v>91</v>
      </c>
      <c r="C37" s="28">
        <v>30</v>
      </c>
      <c r="D37" s="158"/>
      <c r="E37" s="253">
        <f>SUM(E7:E36)</f>
        <v>2790000</v>
      </c>
      <c r="F37" s="157"/>
    </row>
    <row r="38" spans="1:6" ht="18.75" customHeight="1">
      <c r="A38" s="27"/>
      <c r="B38" s="103"/>
      <c r="C38" s="19"/>
      <c r="D38" s="158"/>
      <c r="E38" s="254"/>
      <c r="F38" s="157"/>
    </row>
    <row r="39" spans="1:6" ht="18.75" customHeight="1">
      <c r="A39" s="27"/>
      <c r="B39" s="136" t="s">
        <v>92</v>
      </c>
      <c r="C39" s="19"/>
      <c r="D39" s="158"/>
      <c r="E39" s="252"/>
      <c r="F39" s="157"/>
    </row>
    <row r="40" spans="1:6" ht="18.75" customHeight="1">
      <c r="A40" s="27">
        <v>1</v>
      </c>
      <c r="B40" s="134" t="s">
        <v>93</v>
      </c>
      <c r="C40" s="19" t="s">
        <v>94</v>
      </c>
      <c r="D40" s="27" t="s">
        <v>95</v>
      </c>
      <c r="E40" s="252">
        <v>225000</v>
      </c>
      <c r="F40" s="157"/>
    </row>
    <row r="41" spans="1:6" ht="18.75" customHeight="1">
      <c r="A41" s="27">
        <v>2</v>
      </c>
      <c r="B41" s="134" t="s">
        <v>96</v>
      </c>
      <c r="C41" s="19" t="s">
        <v>97</v>
      </c>
      <c r="D41" s="27" t="s">
        <v>90</v>
      </c>
      <c r="E41" s="252">
        <v>45000</v>
      </c>
      <c r="F41" s="157"/>
    </row>
    <row r="42" spans="1:6" ht="19.5" customHeight="1">
      <c r="A42" s="27"/>
      <c r="B42" s="135"/>
      <c r="C42" s="28">
        <v>2</v>
      </c>
      <c r="D42" s="27"/>
      <c r="E42" s="253">
        <f>SUM(E40:E41)</f>
        <v>270000</v>
      </c>
      <c r="F42" s="157"/>
    </row>
    <row r="43" spans="1:6" ht="20.100000000000001" customHeight="1">
      <c r="A43" s="27"/>
      <c r="B43" s="135"/>
      <c r="C43" s="19"/>
      <c r="D43" s="27"/>
      <c r="E43" s="252"/>
      <c r="F43" s="157"/>
    </row>
    <row r="44" spans="1:6" ht="20.100000000000001" customHeight="1">
      <c r="A44" s="27"/>
      <c r="B44" s="162" t="s">
        <v>100</v>
      </c>
      <c r="C44" s="147"/>
      <c r="D44" s="151"/>
      <c r="E44" s="252"/>
      <c r="F44" s="157"/>
    </row>
    <row r="45" spans="1:6" ht="20.100000000000001" customHeight="1">
      <c r="A45" s="27">
        <v>1</v>
      </c>
      <c r="B45" s="133" t="s">
        <v>101</v>
      </c>
      <c r="C45" s="19" t="s">
        <v>102</v>
      </c>
      <c r="D45" s="27" t="s">
        <v>95</v>
      </c>
      <c r="E45" s="252">
        <v>225000</v>
      </c>
      <c r="F45" s="157"/>
    </row>
    <row r="46" spans="1:6" ht="20.100000000000001" customHeight="1">
      <c r="A46" s="27">
        <v>2</v>
      </c>
      <c r="B46" s="133" t="s">
        <v>103</v>
      </c>
      <c r="C46" s="19" t="s">
        <v>104</v>
      </c>
      <c r="D46" s="27" t="s">
        <v>45</v>
      </c>
      <c r="E46" s="252">
        <v>105000</v>
      </c>
      <c r="F46" s="157"/>
    </row>
    <row r="47" spans="1:6" ht="20.100000000000001" customHeight="1">
      <c r="A47" s="27">
        <v>3</v>
      </c>
      <c r="B47" s="133" t="s">
        <v>105</v>
      </c>
      <c r="C47" s="19" t="s">
        <v>109</v>
      </c>
      <c r="D47" s="27" t="s">
        <v>45</v>
      </c>
      <c r="E47" s="252">
        <v>105000</v>
      </c>
      <c r="F47" s="157"/>
    </row>
    <row r="48" spans="1:6" ht="20.100000000000001" customHeight="1">
      <c r="A48" s="27">
        <v>4</v>
      </c>
      <c r="B48" s="133" t="s">
        <v>108</v>
      </c>
      <c r="C48" s="19" t="s">
        <v>109</v>
      </c>
      <c r="D48" s="27" t="s">
        <v>45</v>
      </c>
      <c r="E48" s="252">
        <v>105000</v>
      </c>
      <c r="F48" s="157"/>
    </row>
    <row r="49" spans="1:6" ht="20.100000000000001" customHeight="1">
      <c r="A49" s="27">
        <v>5</v>
      </c>
      <c r="B49" s="133" t="s">
        <v>110</v>
      </c>
      <c r="C49" s="19" t="s">
        <v>109</v>
      </c>
      <c r="D49" s="27" t="s">
        <v>111</v>
      </c>
      <c r="E49" s="252">
        <v>105000</v>
      </c>
      <c r="F49" s="157"/>
    </row>
    <row r="50" spans="1:6" ht="20.100000000000001" customHeight="1">
      <c r="A50" s="27">
        <v>6</v>
      </c>
      <c r="B50" s="133" t="s">
        <v>112</v>
      </c>
      <c r="C50" s="19" t="s">
        <v>115</v>
      </c>
      <c r="D50" s="27" t="s">
        <v>51</v>
      </c>
      <c r="E50" s="252">
        <v>75000</v>
      </c>
      <c r="F50" s="157"/>
    </row>
    <row r="51" spans="1:6" ht="20.100000000000001" customHeight="1">
      <c r="A51" s="27">
        <v>7</v>
      </c>
      <c r="B51" s="135" t="s">
        <v>113</v>
      </c>
      <c r="C51" s="19" t="s">
        <v>53</v>
      </c>
      <c r="D51" s="23" t="s">
        <v>51</v>
      </c>
      <c r="E51" s="252">
        <v>75000</v>
      </c>
      <c r="F51" s="157"/>
    </row>
    <row r="52" spans="1:6" ht="20.100000000000001" customHeight="1">
      <c r="A52" s="27">
        <v>8</v>
      </c>
      <c r="B52" s="133" t="s">
        <v>473</v>
      </c>
      <c r="C52" s="19" t="s">
        <v>53</v>
      </c>
      <c r="D52" s="27" t="s">
        <v>54</v>
      </c>
      <c r="E52" s="252">
        <v>75000</v>
      </c>
      <c r="F52" s="157"/>
    </row>
    <row r="53" spans="1:6" ht="20.100000000000001" customHeight="1">
      <c r="A53" s="27">
        <v>9</v>
      </c>
      <c r="B53" s="133" t="s">
        <v>114</v>
      </c>
      <c r="C53" s="19" t="s">
        <v>167</v>
      </c>
      <c r="D53" s="27" t="s">
        <v>168</v>
      </c>
      <c r="E53" s="252">
        <v>75000</v>
      </c>
      <c r="F53" s="157"/>
    </row>
    <row r="54" spans="1:6" ht="20.100000000000001" customHeight="1">
      <c r="A54" s="27">
        <v>10</v>
      </c>
      <c r="B54" s="133" t="s">
        <v>119</v>
      </c>
      <c r="C54" s="19" t="s">
        <v>118</v>
      </c>
      <c r="D54" s="27" t="s">
        <v>79</v>
      </c>
      <c r="E54" s="252">
        <v>45000</v>
      </c>
      <c r="F54" s="157"/>
    </row>
    <row r="55" spans="1:6" ht="20.100000000000001" customHeight="1">
      <c r="A55" s="27">
        <v>11</v>
      </c>
      <c r="B55" s="133" t="s">
        <v>120</v>
      </c>
      <c r="C55" s="19" t="s">
        <v>118</v>
      </c>
      <c r="D55" s="27" t="s">
        <v>79</v>
      </c>
      <c r="E55" s="252">
        <v>45000</v>
      </c>
      <c r="F55" s="157"/>
    </row>
    <row r="56" spans="1:6" ht="20.100000000000001" customHeight="1">
      <c r="A56" s="27">
        <v>12</v>
      </c>
      <c r="B56" s="133" t="s">
        <v>121</v>
      </c>
      <c r="C56" s="19" t="s">
        <v>118</v>
      </c>
      <c r="D56" s="27" t="s">
        <v>79</v>
      </c>
      <c r="E56" s="252">
        <v>45000</v>
      </c>
      <c r="F56" s="157"/>
    </row>
    <row r="57" spans="1:6" ht="25.5" customHeight="1">
      <c r="A57" s="27"/>
      <c r="B57" s="136" t="s">
        <v>91</v>
      </c>
      <c r="C57" s="28">
        <v>12</v>
      </c>
      <c r="D57" s="28"/>
      <c r="E57" s="255">
        <f>SUM(E45:E56)</f>
        <v>1080000</v>
      </c>
      <c r="F57" s="157"/>
    </row>
    <row r="58" spans="1:6" ht="20.100000000000001" customHeight="1">
      <c r="A58" s="27"/>
      <c r="B58" s="103"/>
      <c r="C58" s="28"/>
      <c r="D58" s="28"/>
      <c r="E58" s="256"/>
      <c r="F58" s="157"/>
    </row>
    <row r="59" spans="1:6" ht="20.100000000000001" customHeight="1">
      <c r="A59" s="27"/>
      <c r="B59" s="136" t="s">
        <v>122</v>
      </c>
      <c r="C59" s="28"/>
      <c r="D59" s="28"/>
      <c r="E59" s="256"/>
      <c r="F59" s="157"/>
    </row>
    <row r="60" spans="1:6" ht="20.100000000000001" customHeight="1">
      <c r="A60" s="27">
        <v>1</v>
      </c>
      <c r="B60" s="133" t="s">
        <v>123</v>
      </c>
      <c r="C60" s="138" t="s">
        <v>124</v>
      </c>
      <c r="D60" s="158" t="s">
        <v>95</v>
      </c>
      <c r="E60" s="252">
        <v>225000</v>
      </c>
      <c r="F60" s="157"/>
    </row>
    <row r="61" spans="1:6" ht="20.100000000000001" customHeight="1">
      <c r="A61" s="27">
        <v>2</v>
      </c>
      <c r="B61" s="133" t="s">
        <v>125</v>
      </c>
      <c r="C61" s="138" t="s">
        <v>126</v>
      </c>
      <c r="D61" s="158" t="s">
        <v>127</v>
      </c>
      <c r="E61" s="252">
        <v>105000</v>
      </c>
      <c r="F61" s="157"/>
    </row>
    <row r="62" spans="1:6" ht="20.100000000000001" customHeight="1">
      <c r="A62" s="27"/>
      <c r="B62" s="136" t="s">
        <v>91</v>
      </c>
      <c r="C62" s="28">
        <v>2</v>
      </c>
      <c r="D62" s="28"/>
      <c r="E62" s="255">
        <f>SUM(E60:E61)</f>
        <v>330000</v>
      </c>
      <c r="F62" s="157"/>
    </row>
    <row r="63" spans="1:6" ht="20.100000000000001" customHeight="1">
      <c r="A63" s="27"/>
      <c r="B63" s="136"/>
      <c r="C63" s="28"/>
      <c r="D63" s="28"/>
      <c r="E63" s="256"/>
      <c r="F63" s="157"/>
    </row>
    <row r="64" spans="1:6" ht="20.100000000000001" customHeight="1">
      <c r="A64" s="27"/>
      <c r="B64" s="136" t="s">
        <v>128</v>
      </c>
      <c r="C64" s="28"/>
      <c r="D64" s="28"/>
      <c r="E64" s="256"/>
      <c r="F64" s="157"/>
    </row>
    <row r="65" spans="1:6" ht="20.100000000000001" customHeight="1">
      <c r="A65" s="27">
        <v>1</v>
      </c>
      <c r="B65" s="133" t="s">
        <v>129</v>
      </c>
      <c r="C65" s="92" t="s">
        <v>130</v>
      </c>
      <c r="D65" s="27" t="s">
        <v>95</v>
      </c>
      <c r="E65" s="257">
        <v>225000</v>
      </c>
      <c r="F65" s="157"/>
    </row>
    <row r="66" spans="1:6" ht="20.100000000000001" customHeight="1">
      <c r="A66" s="27">
        <v>2</v>
      </c>
      <c r="B66" s="134" t="s">
        <v>131</v>
      </c>
      <c r="C66" s="92" t="s">
        <v>132</v>
      </c>
      <c r="D66" s="158" t="s">
        <v>133</v>
      </c>
      <c r="E66" s="252">
        <v>105000</v>
      </c>
      <c r="F66" s="157"/>
    </row>
    <row r="67" spans="1:6" ht="20.100000000000001" customHeight="1">
      <c r="A67" s="27">
        <v>3</v>
      </c>
      <c r="B67" s="133" t="s">
        <v>134</v>
      </c>
      <c r="C67" s="19" t="s">
        <v>136</v>
      </c>
      <c r="D67" s="27" t="s">
        <v>168</v>
      </c>
      <c r="E67" s="257">
        <v>75000</v>
      </c>
      <c r="F67" s="157"/>
    </row>
    <row r="68" spans="1:6" ht="20.100000000000001" customHeight="1">
      <c r="A68" s="27">
        <v>4</v>
      </c>
      <c r="B68" s="134" t="s">
        <v>135</v>
      </c>
      <c r="C68" s="92" t="s">
        <v>136</v>
      </c>
      <c r="D68" s="158" t="s">
        <v>60</v>
      </c>
      <c r="E68" s="257">
        <v>75000</v>
      </c>
      <c r="F68" s="157"/>
    </row>
    <row r="69" spans="1:6" ht="20.100000000000001" customHeight="1">
      <c r="A69" s="27">
        <v>5</v>
      </c>
      <c r="B69" s="135" t="s">
        <v>137</v>
      </c>
      <c r="C69" s="92" t="s">
        <v>53</v>
      </c>
      <c r="D69" s="158" t="s">
        <v>51</v>
      </c>
      <c r="E69" s="257">
        <v>75000</v>
      </c>
      <c r="F69" s="157"/>
    </row>
    <row r="70" spans="1:6" ht="20.100000000000001" customHeight="1">
      <c r="A70" s="27">
        <v>6</v>
      </c>
      <c r="B70" s="135" t="s">
        <v>52</v>
      </c>
      <c r="C70" s="92" t="s">
        <v>53</v>
      </c>
      <c r="D70" s="158" t="s">
        <v>54</v>
      </c>
      <c r="E70" s="257">
        <v>75000</v>
      </c>
      <c r="F70" s="157"/>
    </row>
    <row r="71" spans="1:6" ht="20.100000000000001" customHeight="1">
      <c r="A71" s="27">
        <v>7</v>
      </c>
      <c r="B71" s="133" t="s">
        <v>138</v>
      </c>
      <c r="C71" s="19" t="s">
        <v>118</v>
      </c>
      <c r="D71" s="27" t="s">
        <v>69</v>
      </c>
      <c r="E71" s="252">
        <v>45000</v>
      </c>
      <c r="F71" s="157"/>
    </row>
    <row r="72" spans="1:6" ht="20.100000000000001" customHeight="1">
      <c r="A72" s="27">
        <v>8</v>
      </c>
      <c r="B72" s="133" t="s">
        <v>202</v>
      </c>
      <c r="C72" s="92" t="s">
        <v>140</v>
      </c>
      <c r="D72" s="158" t="s">
        <v>203</v>
      </c>
      <c r="E72" s="252">
        <v>45000</v>
      </c>
      <c r="F72" s="157"/>
    </row>
    <row r="73" spans="1:6" ht="20.100000000000001" customHeight="1">
      <c r="A73" s="27">
        <v>9</v>
      </c>
      <c r="B73" s="133" t="s">
        <v>139</v>
      </c>
      <c r="C73" s="92" t="s">
        <v>140</v>
      </c>
      <c r="D73" s="158" t="s">
        <v>69</v>
      </c>
      <c r="E73" s="252">
        <v>45000</v>
      </c>
      <c r="F73" s="157"/>
    </row>
    <row r="74" spans="1:6" ht="20.100000000000001" customHeight="1">
      <c r="A74" s="27">
        <v>10</v>
      </c>
      <c r="B74" s="133" t="s">
        <v>141</v>
      </c>
      <c r="C74" s="92" t="s">
        <v>140</v>
      </c>
      <c r="D74" s="158" t="s">
        <v>69</v>
      </c>
      <c r="E74" s="252">
        <v>45000</v>
      </c>
      <c r="F74" s="157"/>
    </row>
    <row r="75" spans="1:6" ht="20.100000000000001" customHeight="1">
      <c r="A75" s="27">
        <v>11</v>
      </c>
      <c r="B75" s="133" t="s">
        <v>142</v>
      </c>
      <c r="C75" s="19" t="s">
        <v>143</v>
      </c>
      <c r="D75" s="27" t="s">
        <v>66</v>
      </c>
      <c r="E75" s="252">
        <v>45000</v>
      </c>
      <c r="F75" s="157"/>
    </row>
    <row r="76" spans="1:6" ht="20.100000000000001" customHeight="1">
      <c r="A76" s="27">
        <v>12</v>
      </c>
      <c r="B76" s="133" t="s">
        <v>570</v>
      </c>
      <c r="C76" s="92" t="s">
        <v>118</v>
      </c>
      <c r="D76" s="27" t="s">
        <v>157</v>
      </c>
      <c r="E76" s="252">
        <v>45000</v>
      </c>
      <c r="F76" s="157"/>
    </row>
    <row r="77" spans="1:6" ht="20.100000000000001" customHeight="1">
      <c r="A77" s="27">
        <v>13</v>
      </c>
      <c r="B77" s="133" t="s">
        <v>145</v>
      </c>
      <c r="C77" s="92" t="s">
        <v>68</v>
      </c>
      <c r="D77" s="27" t="s">
        <v>75</v>
      </c>
      <c r="E77" s="252">
        <v>45000</v>
      </c>
      <c r="F77" s="157"/>
    </row>
    <row r="78" spans="1:6" ht="20.100000000000001" customHeight="1">
      <c r="A78" s="27">
        <v>14</v>
      </c>
      <c r="B78" s="135" t="s">
        <v>67</v>
      </c>
      <c r="C78" s="92" t="s">
        <v>68</v>
      </c>
      <c r="D78" s="27" t="s">
        <v>86</v>
      </c>
      <c r="E78" s="252">
        <v>45000</v>
      </c>
      <c r="F78" s="157"/>
    </row>
    <row r="79" spans="1:6" ht="20.100000000000001" customHeight="1">
      <c r="A79" s="27"/>
      <c r="B79" s="136" t="s">
        <v>91</v>
      </c>
      <c r="C79" s="28">
        <v>14</v>
      </c>
      <c r="D79" s="28"/>
      <c r="E79" s="255">
        <f>SUM(E65:E78)</f>
        <v>990000</v>
      </c>
      <c r="F79" s="157"/>
    </row>
    <row r="80" spans="1:6" ht="20.100000000000001" customHeight="1">
      <c r="A80" s="27"/>
      <c r="B80" s="103"/>
      <c r="C80" s="28"/>
      <c r="D80" s="28"/>
      <c r="E80" s="256"/>
      <c r="F80" s="157"/>
    </row>
    <row r="81" spans="1:6" ht="20.100000000000001" customHeight="1">
      <c r="A81" s="27"/>
      <c r="B81" s="136" t="s">
        <v>146</v>
      </c>
      <c r="C81" s="28"/>
      <c r="D81" s="28"/>
      <c r="E81" s="256"/>
      <c r="F81" s="157"/>
    </row>
    <row r="82" spans="1:6" ht="20.100000000000001" customHeight="1">
      <c r="A82" s="27">
        <v>1</v>
      </c>
      <c r="B82" s="133" t="s">
        <v>147</v>
      </c>
      <c r="C82" s="19" t="s">
        <v>148</v>
      </c>
      <c r="D82" s="27" t="s">
        <v>95</v>
      </c>
      <c r="E82" s="252">
        <v>225000</v>
      </c>
      <c r="F82" s="157"/>
    </row>
    <row r="83" spans="1:6" ht="20.100000000000001" customHeight="1">
      <c r="A83" s="27">
        <v>2</v>
      </c>
      <c r="B83" s="135" t="s">
        <v>149</v>
      </c>
      <c r="C83" s="19" t="s">
        <v>150</v>
      </c>
      <c r="D83" s="158" t="s">
        <v>133</v>
      </c>
      <c r="E83" s="252">
        <v>105000</v>
      </c>
      <c r="F83" s="157"/>
    </row>
    <row r="84" spans="1:6" ht="20.100000000000001" customHeight="1">
      <c r="A84" s="27">
        <v>3</v>
      </c>
      <c r="B84" s="135" t="s">
        <v>571</v>
      </c>
      <c r="C84" s="19" t="s">
        <v>572</v>
      </c>
      <c r="D84" s="158" t="s">
        <v>133</v>
      </c>
      <c r="E84" s="252">
        <v>105000</v>
      </c>
      <c r="F84" s="157"/>
    </row>
    <row r="85" spans="1:6" ht="20.100000000000001" customHeight="1">
      <c r="A85" s="27">
        <v>4</v>
      </c>
      <c r="B85" s="133" t="s">
        <v>153</v>
      </c>
      <c r="C85" s="19" t="s">
        <v>414</v>
      </c>
      <c r="D85" s="158" t="s">
        <v>168</v>
      </c>
      <c r="E85" s="252">
        <v>75000</v>
      </c>
      <c r="F85" s="157"/>
    </row>
    <row r="86" spans="1:6" ht="20.100000000000001" customHeight="1">
      <c r="A86" s="27">
        <v>5</v>
      </c>
      <c r="B86" s="133" t="s">
        <v>155</v>
      </c>
      <c r="C86" s="19" t="s">
        <v>156</v>
      </c>
      <c r="D86" s="27" t="s">
        <v>157</v>
      </c>
      <c r="E86" s="252">
        <v>45000</v>
      </c>
      <c r="F86" s="157"/>
    </row>
    <row r="87" spans="1:6" ht="20.100000000000001" customHeight="1">
      <c r="A87" s="27"/>
      <c r="B87" s="136" t="s">
        <v>91</v>
      </c>
      <c r="C87" s="28">
        <v>5</v>
      </c>
      <c r="D87" s="28"/>
      <c r="E87" s="255">
        <f>SUM(E82:E86)</f>
        <v>555000</v>
      </c>
      <c r="F87" s="157"/>
    </row>
    <row r="88" spans="1:6" ht="20.100000000000001" customHeight="1">
      <c r="A88" s="27"/>
      <c r="B88" s="136"/>
      <c r="C88" s="28"/>
      <c r="D88" s="28"/>
      <c r="E88" s="252"/>
      <c r="F88" s="157"/>
    </row>
    <row r="89" spans="1:6" ht="20.100000000000001" customHeight="1">
      <c r="A89" s="27"/>
      <c r="B89" s="136" t="s">
        <v>161</v>
      </c>
      <c r="C89" s="163"/>
      <c r="D89" s="28"/>
      <c r="E89" s="252"/>
      <c r="F89" s="157"/>
    </row>
    <row r="90" spans="1:6" ht="20.100000000000001" customHeight="1">
      <c r="A90" s="27">
        <v>1</v>
      </c>
      <c r="B90" s="133" t="s">
        <v>162</v>
      </c>
      <c r="C90" s="19" t="s">
        <v>109</v>
      </c>
      <c r="D90" s="27" t="s">
        <v>45</v>
      </c>
      <c r="E90" s="252">
        <v>105000</v>
      </c>
      <c r="F90" s="157"/>
    </row>
    <row r="91" spans="1:6" ht="20.100000000000001" customHeight="1">
      <c r="A91" s="27">
        <v>2</v>
      </c>
      <c r="B91" s="133" t="s">
        <v>163</v>
      </c>
      <c r="C91" s="19" t="s">
        <v>109</v>
      </c>
      <c r="D91" s="27" t="s">
        <v>45</v>
      </c>
      <c r="E91" s="252">
        <v>105000</v>
      </c>
      <c r="F91" s="157"/>
    </row>
    <row r="92" spans="1:6" ht="20.100000000000001" customHeight="1">
      <c r="A92" s="27">
        <v>3</v>
      </c>
      <c r="B92" s="135" t="s">
        <v>164</v>
      </c>
      <c r="C92" s="19" t="s">
        <v>53</v>
      </c>
      <c r="D92" s="27" t="s">
        <v>413</v>
      </c>
      <c r="E92" s="257">
        <v>75000</v>
      </c>
      <c r="F92" s="157"/>
    </row>
    <row r="93" spans="1:6" ht="20.100000000000001" customHeight="1">
      <c r="A93" s="27">
        <v>4</v>
      </c>
      <c r="B93" s="133" t="s">
        <v>165</v>
      </c>
      <c r="C93" s="19" t="s">
        <v>115</v>
      </c>
      <c r="D93" s="27" t="s">
        <v>51</v>
      </c>
      <c r="E93" s="257">
        <v>75000</v>
      </c>
      <c r="F93" s="157"/>
    </row>
    <row r="94" spans="1:6" ht="21.6" customHeight="1">
      <c r="A94" s="27">
        <v>5</v>
      </c>
      <c r="B94" s="133" t="s">
        <v>166</v>
      </c>
      <c r="C94" s="19" t="s">
        <v>167</v>
      </c>
      <c r="D94" s="158" t="s">
        <v>168</v>
      </c>
      <c r="E94" s="257">
        <v>75000</v>
      </c>
      <c r="F94" s="157"/>
    </row>
    <row r="95" spans="1:6" ht="21.6" customHeight="1">
      <c r="A95" s="27">
        <v>6</v>
      </c>
      <c r="B95" s="133" t="s">
        <v>169</v>
      </c>
      <c r="C95" s="138" t="s">
        <v>136</v>
      </c>
      <c r="D95" s="158" t="s">
        <v>60</v>
      </c>
      <c r="E95" s="257">
        <v>75000</v>
      </c>
      <c r="F95" s="157"/>
    </row>
    <row r="96" spans="1:6" ht="21.6" customHeight="1">
      <c r="A96" s="27">
        <v>7</v>
      </c>
      <c r="B96" s="133" t="s">
        <v>170</v>
      </c>
      <c r="C96" s="138" t="s">
        <v>136</v>
      </c>
      <c r="D96" s="158" t="s">
        <v>60</v>
      </c>
      <c r="E96" s="257">
        <v>75000</v>
      </c>
      <c r="F96" s="157"/>
    </row>
    <row r="97" spans="1:6" ht="21.6" customHeight="1">
      <c r="A97" s="27">
        <v>8</v>
      </c>
      <c r="B97" s="133" t="s">
        <v>172</v>
      </c>
      <c r="C97" s="92" t="s">
        <v>140</v>
      </c>
      <c r="D97" s="158" t="s">
        <v>69</v>
      </c>
      <c r="E97" s="252">
        <v>45000</v>
      </c>
      <c r="F97" s="157"/>
    </row>
    <row r="98" spans="1:6" ht="21.6" customHeight="1">
      <c r="A98" s="27">
        <v>9</v>
      </c>
      <c r="B98" s="133" t="s">
        <v>174</v>
      </c>
      <c r="C98" s="19" t="s">
        <v>175</v>
      </c>
      <c r="D98" s="27" t="s">
        <v>72</v>
      </c>
      <c r="E98" s="252">
        <v>45000</v>
      </c>
      <c r="F98" s="157"/>
    </row>
    <row r="99" spans="1:6" ht="21.6" customHeight="1">
      <c r="A99" s="27">
        <v>10</v>
      </c>
      <c r="B99" s="133" t="s">
        <v>176</v>
      </c>
      <c r="C99" s="92" t="s">
        <v>177</v>
      </c>
      <c r="D99" s="158" t="s">
        <v>86</v>
      </c>
      <c r="E99" s="252">
        <v>45000</v>
      </c>
      <c r="F99" s="157"/>
    </row>
    <row r="100" spans="1:6" ht="20.100000000000001" customHeight="1">
      <c r="A100" s="27"/>
      <c r="B100" s="136" t="s">
        <v>91</v>
      </c>
      <c r="C100" s="28">
        <v>10</v>
      </c>
      <c r="D100" s="28"/>
      <c r="E100" s="255">
        <f>SUM(E90:E99)</f>
        <v>720000</v>
      </c>
      <c r="F100" s="157"/>
    </row>
    <row r="101" spans="1:6" ht="20.100000000000001" customHeight="1">
      <c r="A101" s="27"/>
      <c r="B101" s="103"/>
      <c r="C101" s="28"/>
      <c r="D101" s="28"/>
      <c r="E101" s="256"/>
      <c r="F101" s="157"/>
    </row>
    <row r="102" spans="1:6" ht="20.100000000000001" customHeight="1">
      <c r="A102" s="27"/>
      <c r="B102" s="136" t="s">
        <v>178</v>
      </c>
      <c r="C102" s="28"/>
      <c r="D102" s="28"/>
      <c r="E102" s="256"/>
      <c r="F102" s="157"/>
    </row>
    <row r="103" spans="1:6" ht="20.100000000000001" customHeight="1">
      <c r="A103" s="27">
        <v>1</v>
      </c>
      <c r="B103" s="134" t="s">
        <v>41</v>
      </c>
      <c r="C103" s="27" t="s">
        <v>42</v>
      </c>
      <c r="D103" s="158" t="s">
        <v>36</v>
      </c>
      <c r="E103" s="252">
        <v>150000</v>
      </c>
      <c r="F103" s="157"/>
    </row>
    <row r="104" spans="1:6" ht="20.100000000000001" customHeight="1">
      <c r="A104" s="27">
        <v>2</v>
      </c>
      <c r="B104" s="133" t="s">
        <v>46</v>
      </c>
      <c r="C104" s="19" t="s">
        <v>182</v>
      </c>
      <c r="D104" s="27" t="s">
        <v>51</v>
      </c>
      <c r="E104" s="252">
        <v>75000</v>
      </c>
      <c r="F104" s="157"/>
    </row>
    <row r="105" spans="1:6" ht="20.100000000000001" customHeight="1">
      <c r="A105" s="27">
        <v>3</v>
      </c>
      <c r="B105" s="133" t="s">
        <v>183</v>
      </c>
      <c r="C105" s="19" t="s">
        <v>184</v>
      </c>
      <c r="D105" s="158" t="s">
        <v>66</v>
      </c>
      <c r="E105" s="252">
        <v>45000</v>
      </c>
      <c r="F105" s="157"/>
    </row>
    <row r="106" spans="1:6" ht="20.100000000000001" customHeight="1">
      <c r="A106" s="27">
        <v>4</v>
      </c>
      <c r="B106" s="133" t="s">
        <v>573</v>
      </c>
      <c r="C106" s="19" t="s">
        <v>574</v>
      </c>
      <c r="D106" s="158" t="s">
        <v>199</v>
      </c>
      <c r="E106" s="252">
        <v>45000</v>
      </c>
      <c r="F106" s="157"/>
    </row>
    <row r="107" spans="1:6" ht="20.100000000000001" customHeight="1">
      <c r="A107" s="19"/>
      <c r="B107" s="136" t="s">
        <v>91</v>
      </c>
      <c r="C107" s="28">
        <v>3</v>
      </c>
      <c r="D107" s="164"/>
      <c r="E107" s="255">
        <f>SUM(E103:E106)</f>
        <v>315000</v>
      </c>
      <c r="F107" s="157"/>
    </row>
    <row r="108" spans="1:6" ht="20.100000000000001" customHeight="1">
      <c r="A108" s="19"/>
      <c r="B108" s="103"/>
      <c r="C108" s="28"/>
      <c r="D108" s="164"/>
      <c r="E108" s="256"/>
      <c r="F108" s="157"/>
    </row>
    <row r="109" spans="1:6" ht="20.100000000000001" customHeight="1">
      <c r="A109" s="19"/>
      <c r="B109" s="136" t="s">
        <v>187</v>
      </c>
      <c r="C109" s="19"/>
      <c r="D109" s="19"/>
      <c r="E109" s="258"/>
      <c r="F109" s="157"/>
    </row>
    <row r="110" spans="1:6" ht="20.100000000000001" customHeight="1">
      <c r="A110" s="19">
        <v>1</v>
      </c>
      <c r="B110" s="133" t="s">
        <v>188</v>
      </c>
      <c r="C110" s="138" t="s">
        <v>189</v>
      </c>
      <c r="D110" s="158" t="s">
        <v>95</v>
      </c>
      <c r="E110" s="252">
        <v>225000</v>
      </c>
      <c r="F110" s="157"/>
    </row>
    <row r="111" spans="1:6" ht="20.100000000000001" customHeight="1">
      <c r="A111" s="19">
        <v>2</v>
      </c>
      <c r="B111" s="133" t="s">
        <v>190</v>
      </c>
      <c r="C111" s="19" t="s">
        <v>191</v>
      </c>
      <c r="D111" s="23" t="s">
        <v>36</v>
      </c>
      <c r="E111" s="252">
        <v>150000</v>
      </c>
      <c r="F111" s="157"/>
    </row>
    <row r="112" spans="1:6" ht="20.100000000000001" customHeight="1">
      <c r="A112" s="19">
        <v>3</v>
      </c>
      <c r="B112" s="133" t="s">
        <v>192</v>
      </c>
      <c r="C112" s="19" t="s">
        <v>193</v>
      </c>
      <c r="D112" s="27" t="s">
        <v>57</v>
      </c>
      <c r="E112" s="252">
        <v>75000</v>
      </c>
      <c r="F112" s="157"/>
    </row>
    <row r="113" spans="1:6" ht="20.100000000000001" customHeight="1">
      <c r="A113" s="19">
        <v>4</v>
      </c>
      <c r="B113" s="133" t="s">
        <v>194</v>
      </c>
      <c r="C113" s="19" t="s">
        <v>193</v>
      </c>
      <c r="D113" s="27" t="s">
        <v>57</v>
      </c>
      <c r="E113" s="252">
        <v>75000</v>
      </c>
      <c r="F113" s="157"/>
    </row>
    <row r="114" spans="1:6" ht="20.100000000000001" customHeight="1">
      <c r="A114" s="19">
        <v>5</v>
      </c>
      <c r="B114" s="133" t="s">
        <v>195</v>
      </c>
      <c r="C114" s="19" t="s">
        <v>196</v>
      </c>
      <c r="D114" s="158" t="s">
        <v>197</v>
      </c>
      <c r="E114" s="252">
        <v>45000</v>
      </c>
      <c r="F114" s="157"/>
    </row>
    <row r="115" spans="1:6" ht="20.100000000000001" customHeight="1">
      <c r="A115" s="19">
        <v>6</v>
      </c>
      <c r="B115" s="134" t="s">
        <v>198</v>
      </c>
      <c r="C115" s="19" t="s">
        <v>196</v>
      </c>
      <c r="D115" s="27" t="s">
        <v>199</v>
      </c>
      <c r="E115" s="252">
        <v>45000</v>
      </c>
      <c r="F115" s="157"/>
    </row>
    <row r="116" spans="1:6" ht="20.100000000000001" customHeight="1">
      <c r="A116" s="19">
        <v>7</v>
      </c>
      <c r="B116" s="134" t="s">
        <v>200</v>
      </c>
      <c r="C116" s="19" t="s">
        <v>196</v>
      </c>
      <c r="D116" s="158" t="s">
        <v>86</v>
      </c>
      <c r="E116" s="252">
        <v>45000</v>
      </c>
      <c r="F116" s="157"/>
    </row>
    <row r="117" spans="1:6" ht="20.100000000000001" customHeight="1">
      <c r="A117" s="19"/>
      <c r="B117" s="136" t="s">
        <v>91</v>
      </c>
      <c r="C117" s="28">
        <v>7</v>
      </c>
      <c r="D117" s="19"/>
      <c r="E117" s="259">
        <f>SUM(E110:E116)</f>
        <v>660000</v>
      </c>
      <c r="F117" s="157"/>
    </row>
    <row r="118" spans="1:6" ht="20.100000000000001" customHeight="1">
      <c r="A118" s="19"/>
      <c r="B118" s="103"/>
      <c r="C118" s="27"/>
      <c r="D118" s="19"/>
      <c r="E118" s="260"/>
      <c r="F118" s="157"/>
    </row>
    <row r="119" spans="1:6" ht="20.100000000000001" customHeight="1">
      <c r="A119" s="19"/>
      <c r="B119" s="136" t="s">
        <v>208</v>
      </c>
      <c r="C119" s="28"/>
      <c r="D119" s="28"/>
      <c r="E119" s="252"/>
      <c r="F119" s="157"/>
    </row>
    <row r="120" spans="1:6" ht="20.100000000000001" customHeight="1">
      <c r="A120" s="19">
        <v>1</v>
      </c>
      <c r="B120" s="133" t="s">
        <v>209</v>
      </c>
      <c r="C120" s="138" t="s">
        <v>210</v>
      </c>
      <c r="D120" s="158" t="s">
        <v>95</v>
      </c>
      <c r="E120" s="252">
        <v>225000</v>
      </c>
      <c r="F120" s="157"/>
    </row>
    <row r="121" spans="1:6" ht="20.100000000000001" customHeight="1">
      <c r="A121" s="19">
        <v>2</v>
      </c>
      <c r="B121" s="133" t="s">
        <v>211</v>
      </c>
      <c r="C121" s="138" t="s">
        <v>214</v>
      </c>
      <c r="D121" s="158" t="s">
        <v>45</v>
      </c>
      <c r="E121" s="252">
        <v>105000</v>
      </c>
      <c r="F121" s="157"/>
    </row>
    <row r="122" spans="1:6" ht="20.100000000000001" customHeight="1">
      <c r="A122" s="19">
        <v>3</v>
      </c>
      <c r="B122" s="135" t="s">
        <v>213</v>
      </c>
      <c r="C122" s="138" t="s">
        <v>214</v>
      </c>
      <c r="D122" s="158" t="s">
        <v>45</v>
      </c>
      <c r="E122" s="252">
        <v>105000</v>
      </c>
      <c r="F122" s="157"/>
    </row>
    <row r="123" spans="1:6" ht="20.100000000000001" customHeight="1">
      <c r="A123" s="19">
        <v>4</v>
      </c>
      <c r="B123" s="135" t="s">
        <v>215</v>
      </c>
      <c r="C123" s="138" t="s">
        <v>214</v>
      </c>
      <c r="D123" s="158" t="s">
        <v>48</v>
      </c>
      <c r="E123" s="252">
        <v>105000</v>
      </c>
      <c r="F123" s="157"/>
    </row>
    <row r="124" spans="1:6" ht="20.100000000000001" customHeight="1">
      <c r="A124" s="19">
        <v>5</v>
      </c>
      <c r="B124" s="133" t="s">
        <v>216</v>
      </c>
      <c r="C124" s="138" t="s">
        <v>217</v>
      </c>
      <c r="D124" s="158" t="s">
        <v>54</v>
      </c>
      <c r="E124" s="252">
        <v>75000</v>
      </c>
      <c r="F124" s="157"/>
    </row>
    <row r="125" spans="1:6" ht="20.100000000000001" customHeight="1">
      <c r="A125" s="19">
        <v>6</v>
      </c>
      <c r="B125" s="133" t="s">
        <v>218</v>
      </c>
      <c r="C125" s="138" t="s">
        <v>219</v>
      </c>
      <c r="D125" s="158" t="s">
        <v>168</v>
      </c>
      <c r="E125" s="252">
        <v>75000</v>
      </c>
      <c r="F125" s="157"/>
    </row>
    <row r="126" spans="1:6" ht="20.100000000000001" customHeight="1">
      <c r="A126" s="19">
        <v>7</v>
      </c>
      <c r="B126" s="133" t="s">
        <v>220</v>
      </c>
      <c r="C126" s="138" t="s">
        <v>416</v>
      </c>
      <c r="D126" s="158" t="s">
        <v>168</v>
      </c>
      <c r="E126" s="252">
        <v>75000</v>
      </c>
      <c r="F126" s="157"/>
    </row>
    <row r="127" spans="1:6" ht="20.100000000000001" customHeight="1">
      <c r="A127" s="19">
        <v>8</v>
      </c>
      <c r="B127" s="133" t="s">
        <v>221</v>
      </c>
      <c r="C127" s="138" t="s">
        <v>222</v>
      </c>
      <c r="D127" s="27" t="s">
        <v>75</v>
      </c>
      <c r="E127" s="252">
        <v>45000</v>
      </c>
      <c r="F127" s="157"/>
    </row>
    <row r="128" spans="1:6" ht="20.100000000000001" customHeight="1">
      <c r="A128" s="19">
        <v>9</v>
      </c>
      <c r="B128" s="134" t="s">
        <v>223</v>
      </c>
      <c r="C128" s="138" t="s">
        <v>224</v>
      </c>
      <c r="D128" s="158" t="s">
        <v>86</v>
      </c>
      <c r="E128" s="252">
        <v>45000</v>
      </c>
      <c r="F128" s="157"/>
    </row>
    <row r="129" spans="1:6" ht="20.100000000000001" customHeight="1">
      <c r="A129" s="19"/>
      <c r="B129" s="136" t="s">
        <v>91</v>
      </c>
      <c r="C129" s="164" t="s">
        <v>575</v>
      </c>
      <c r="D129" s="158"/>
      <c r="E129" s="261">
        <f>SUM(E120:E128)</f>
        <v>855000</v>
      </c>
      <c r="F129" s="157"/>
    </row>
    <row r="130" spans="1:6" ht="20.100000000000001" customHeight="1">
      <c r="A130" s="19"/>
      <c r="B130" s="103"/>
      <c r="C130" s="164"/>
      <c r="D130" s="158"/>
      <c r="E130" s="262"/>
      <c r="F130" s="157"/>
    </row>
    <row r="131" spans="1:6" ht="20.100000000000001" customHeight="1">
      <c r="A131" s="19"/>
      <c r="B131" s="136" t="s">
        <v>228</v>
      </c>
      <c r="C131" s="138"/>
      <c r="D131" s="158"/>
      <c r="E131" s="252"/>
      <c r="F131" s="157"/>
    </row>
    <row r="132" spans="1:6" ht="20.100000000000001" customHeight="1">
      <c r="A132" s="168">
        <v>1</v>
      </c>
      <c r="B132" s="133" t="s">
        <v>229</v>
      </c>
      <c r="C132" s="138" t="s">
        <v>230</v>
      </c>
      <c r="D132" s="158" t="s">
        <v>95</v>
      </c>
      <c r="E132" s="252">
        <v>225000</v>
      </c>
      <c r="F132" s="157"/>
    </row>
    <row r="133" spans="1:6" ht="20.100000000000001" customHeight="1">
      <c r="A133" s="168">
        <v>2</v>
      </c>
      <c r="B133" s="133" t="s">
        <v>231</v>
      </c>
      <c r="C133" s="138" t="s">
        <v>232</v>
      </c>
      <c r="D133" s="158" t="s">
        <v>233</v>
      </c>
      <c r="E133" s="252">
        <v>150000</v>
      </c>
      <c r="F133" s="157"/>
    </row>
    <row r="134" spans="1:6" ht="20.100000000000001" customHeight="1">
      <c r="A134" s="168">
        <v>3</v>
      </c>
      <c r="B134" s="135" t="s">
        <v>234</v>
      </c>
      <c r="C134" s="19" t="s">
        <v>235</v>
      </c>
      <c r="D134" s="23" t="s">
        <v>36</v>
      </c>
      <c r="E134" s="252">
        <v>150000</v>
      </c>
      <c r="F134" s="157"/>
    </row>
    <row r="135" spans="1:6" ht="20.100000000000001" customHeight="1">
      <c r="A135" s="168">
        <v>4</v>
      </c>
      <c r="B135" s="133" t="s">
        <v>236</v>
      </c>
      <c r="C135" s="138" t="s">
        <v>237</v>
      </c>
      <c r="D135" s="158" t="s">
        <v>51</v>
      </c>
      <c r="E135" s="252">
        <v>75000</v>
      </c>
      <c r="F135" s="157"/>
    </row>
    <row r="136" spans="1:6" ht="20.100000000000001" customHeight="1">
      <c r="A136" s="168">
        <v>5</v>
      </c>
      <c r="B136" s="133" t="s">
        <v>238</v>
      </c>
      <c r="C136" s="19" t="s">
        <v>239</v>
      </c>
      <c r="D136" s="158" t="s">
        <v>51</v>
      </c>
      <c r="E136" s="252">
        <v>75000</v>
      </c>
      <c r="F136" s="157"/>
    </row>
    <row r="137" spans="1:6" ht="20.100000000000001" customHeight="1">
      <c r="A137" s="168">
        <v>6</v>
      </c>
      <c r="B137" s="133" t="s">
        <v>181</v>
      </c>
      <c r="C137" s="19" t="s">
        <v>245</v>
      </c>
      <c r="D137" s="158" t="s">
        <v>168</v>
      </c>
      <c r="E137" s="252">
        <v>75000</v>
      </c>
      <c r="F137" s="157"/>
    </row>
    <row r="138" spans="1:6" ht="20.100000000000001" customHeight="1">
      <c r="A138" s="168">
        <v>7</v>
      </c>
      <c r="B138" s="133" t="s">
        <v>241</v>
      </c>
      <c r="C138" s="138" t="s">
        <v>242</v>
      </c>
      <c r="D138" s="158" t="s">
        <v>203</v>
      </c>
      <c r="E138" s="252">
        <v>45000</v>
      </c>
      <c r="F138" s="157"/>
    </row>
    <row r="139" spans="1:6" ht="20.100000000000001" customHeight="1">
      <c r="A139" s="168">
        <v>8</v>
      </c>
      <c r="B139" s="133" t="s">
        <v>243</v>
      </c>
      <c r="C139" s="138" t="s">
        <v>242</v>
      </c>
      <c r="D139" s="158" t="s">
        <v>203</v>
      </c>
      <c r="E139" s="252">
        <v>45000</v>
      </c>
      <c r="F139" s="157"/>
    </row>
    <row r="140" spans="1:6" ht="20.100000000000001" customHeight="1">
      <c r="A140" s="168">
        <v>9</v>
      </c>
      <c r="B140" s="133" t="s">
        <v>244</v>
      </c>
      <c r="C140" s="19" t="s">
        <v>245</v>
      </c>
      <c r="D140" s="158" t="s">
        <v>203</v>
      </c>
      <c r="E140" s="252">
        <v>45000</v>
      </c>
      <c r="F140" s="157"/>
    </row>
    <row r="141" spans="1:6" ht="20.100000000000001" customHeight="1">
      <c r="A141" s="168">
        <v>10</v>
      </c>
      <c r="B141" s="133" t="s">
        <v>246</v>
      </c>
      <c r="C141" s="138" t="s">
        <v>251</v>
      </c>
      <c r="D141" s="158" t="s">
        <v>66</v>
      </c>
      <c r="E141" s="252">
        <v>45000</v>
      </c>
      <c r="F141" s="157"/>
    </row>
    <row r="142" spans="1:6" ht="20.100000000000001" customHeight="1">
      <c r="A142" s="168">
        <v>11</v>
      </c>
      <c r="B142" s="133" t="s">
        <v>248</v>
      </c>
      <c r="C142" s="138" t="s">
        <v>418</v>
      </c>
      <c r="D142" s="158" t="s">
        <v>419</v>
      </c>
      <c r="E142" s="252">
        <v>45000</v>
      </c>
      <c r="F142" s="157"/>
    </row>
    <row r="143" spans="1:6" ht="20.100000000000001" customHeight="1">
      <c r="A143" s="168">
        <v>12</v>
      </c>
      <c r="B143" s="133" t="s">
        <v>250</v>
      </c>
      <c r="C143" s="138" t="s">
        <v>251</v>
      </c>
      <c r="D143" s="158" t="s">
        <v>203</v>
      </c>
      <c r="E143" s="252">
        <v>45000</v>
      </c>
      <c r="F143" s="157"/>
    </row>
    <row r="144" spans="1:6" ht="20.100000000000001" customHeight="1">
      <c r="A144" s="168">
        <v>13</v>
      </c>
      <c r="B144" s="134" t="s">
        <v>252</v>
      </c>
      <c r="C144" s="19" t="s">
        <v>262</v>
      </c>
      <c r="D144" s="158" t="s">
        <v>419</v>
      </c>
      <c r="E144" s="252">
        <v>45000</v>
      </c>
      <c r="F144" s="157"/>
    </row>
    <row r="145" spans="1:6" ht="20.100000000000001" customHeight="1">
      <c r="A145" s="168">
        <v>14</v>
      </c>
      <c r="B145" s="133" t="s">
        <v>254</v>
      </c>
      <c r="C145" s="19" t="s">
        <v>255</v>
      </c>
      <c r="D145" s="158" t="s">
        <v>157</v>
      </c>
      <c r="E145" s="252">
        <v>45000</v>
      </c>
      <c r="F145" s="157"/>
    </row>
    <row r="146" spans="1:6" ht="20.100000000000001" customHeight="1">
      <c r="A146" s="168">
        <v>15</v>
      </c>
      <c r="B146" s="133" t="s">
        <v>256</v>
      </c>
      <c r="C146" s="19" t="s">
        <v>255</v>
      </c>
      <c r="D146" s="158" t="s">
        <v>257</v>
      </c>
      <c r="E146" s="252">
        <v>45000</v>
      </c>
      <c r="F146" s="157"/>
    </row>
    <row r="147" spans="1:6" ht="20.100000000000001" customHeight="1">
      <c r="A147" s="168">
        <v>16</v>
      </c>
      <c r="B147" s="133" t="s">
        <v>258</v>
      </c>
      <c r="C147" s="19" t="s">
        <v>255</v>
      </c>
      <c r="D147" s="158" t="s">
        <v>257</v>
      </c>
      <c r="E147" s="252">
        <v>45000</v>
      </c>
      <c r="F147" s="157"/>
    </row>
    <row r="148" spans="1:6" ht="20.100000000000001" customHeight="1">
      <c r="A148" s="168">
        <v>17</v>
      </c>
      <c r="B148" s="133" t="s">
        <v>259</v>
      </c>
      <c r="C148" s="138" t="s">
        <v>260</v>
      </c>
      <c r="D148" s="158" t="s">
        <v>72</v>
      </c>
      <c r="E148" s="252">
        <v>45000</v>
      </c>
      <c r="F148" s="157"/>
    </row>
    <row r="149" spans="1:6" ht="20.100000000000001" customHeight="1">
      <c r="A149" s="168">
        <v>18</v>
      </c>
      <c r="B149" s="133" t="s">
        <v>261</v>
      </c>
      <c r="C149" s="138" t="s">
        <v>262</v>
      </c>
      <c r="D149" s="27" t="s">
        <v>79</v>
      </c>
      <c r="E149" s="252">
        <v>45000</v>
      </c>
      <c r="F149" s="157"/>
    </row>
    <row r="150" spans="1:6" ht="20.100000000000001" customHeight="1">
      <c r="A150" s="168">
        <v>19</v>
      </c>
      <c r="B150" s="133" t="s">
        <v>263</v>
      </c>
      <c r="C150" s="138" t="s">
        <v>264</v>
      </c>
      <c r="D150" s="158" t="s">
        <v>157</v>
      </c>
      <c r="E150" s="252">
        <v>45000</v>
      </c>
      <c r="F150" s="157"/>
    </row>
    <row r="151" spans="1:6" ht="20.100000000000001" customHeight="1">
      <c r="A151" s="168">
        <v>20</v>
      </c>
      <c r="B151" s="133" t="s">
        <v>265</v>
      </c>
      <c r="C151" s="138" t="s">
        <v>266</v>
      </c>
      <c r="D151" s="158" t="s">
        <v>75</v>
      </c>
      <c r="E151" s="252">
        <v>45000</v>
      </c>
      <c r="F151" s="157"/>
    </row>
    <row r="152" spans="1:6" ht="20.100000000000001" customHeight="1">
      <c r="A152" s="168">
        <v>21</v>
      </c>
      <c r="B152" s="133" t="s">
        <v>267</v>
      </c>
      <c r="C152" s="138" t="s">
        <v>268</v>
      </c>
      <c r="D152" s="158" t="s">
        <v>157</v>
      </c>
      <c r="E152" s="252">
        <v>45000</v>
      </c>
      <c r="F152" s="157"/>
    </row>
    <row r="153" spans="1:6" ht="20.100000000000001" customHeight="1">
      <c r="A153" s="168">
        <v>22</v>
      </c>
      <c r="B153" s="133" t="s">
        <v>269</v>
      </c>
      <c r="C153" s="138" t="s">
        <v>270</v>
      </c>
      <c r="D153" s="158" t="s">
        <v>75</v>
      </c>
      <c r="E153" s="252">
        <v>45000</v>
      </c>
      <c r="F153" s="157"/>
    </row>
    <row r="154" spans="1:6" ht="20.100000000000001" customHeight="1">
      <c r="A154" s="168">
        <v>23</v>
      </c>
      <c r="B154" s="134" t="s">
        <v>271</v>
      </c>
      <c r="C154" s="138" t="s">
        <v>276</v>
      </c>
      <c r="D154" s="158" t="s">
        <v>199</v>
      </c>
      <c r="E154" s="252">
        <v>45000</v>
      </c>
      <c r="F154" s="157"/>
    </row>
    <row r="155" spans="1:6" ht="20.100000000000001" customHeight="1">
      <c r="A155" s="168">
        <v>24</v>
      </c>
      <c r="B155" s="134" t="s">
        <v>273</v>
      </c>
      <c r="C155" s="138" t="s">
        <v>274</v>
      </c>
      <c r="D155" s="158" t="s">
        <v>90</v>
      </c>
      <c r="E155" s="252">
        <v>45000</v>
      </c>
      <c r="F155" s="157"/>
    </row>
    <row r="156" spans="1:6" ht="20.100000000000001" customHeight="1">
      <c r="A156" s="168">
        <v>25</v>
      </c>
      <c r="B156" s="134" t="s">
        <v>275</v>
      </c>
      <c r="C156" s="138" t="s">
        <v>276</v>
      </c>
      <c r="D156" s="158" t="s">
        <v>90</v>
      </c>
      <c r="E156" s="252">
        <v>45000</v>
      </c>
      <c r="F156" s="157"/>
    </row>
    <row r="157" spans="1:6" ht="20.100000000000001" customHeight="1">
      <c r="A157" s="168">
        <v>26</v>
      </c>
      <c r="B157" s="134" t="s">
        <v>277</v>
      </c>
      <c r="C157" s="138" t="s">
        <v>278</v>
      </c>
      <c r="D157" s="158" t="s">
        <v>86</v>
      </c>
      <c r="E157" s="252">
        <v>45000</v>
      </c>
      <c r="F157" s="157"/>
    </row>
    <row r="158" spans="1:6" ht="20.100000000000001" customHeight="1">
      <c r="A158" s="168">
        <v>27</v>
      </c>
      <c r="B158" s="134" t="s">
        <v>279</v>
      </c>
      <c r="C158" s="138" t="s">
        <v>280</v>
      </c>
      <c r="D158" s="158" t="s">
        <v>86</v>
      </c>
      <c r="E158" s="252">
        <v>45000</v>
      </c>
      <c r="F158" s="157"/>
    </row>
    <row r="159" spans="1:6" ht="20.100000000000001" customHeight="1">
      <c r="A159" s="168">
        <v>28</v>
      </c>
      <c r="B159" s="133" t="s">
        <v>282</v>
      </c>
      <c r="C159" s="138" t="s">
        <v>283</v>
      </c>
      <c r="D159" s="158" t="s">
        <v>284</v>
      </c>
      <c r="E159" s="252">
        <v>30000</v>
      </c>
      <c r="F159" s="157"/>
    </row>
    <row r="160" spans="1:6" ht="20.100000000000001" customHeight="1">
      <c r="A160" s="168">
        <v>29</v>
      </c>
      <c r="B160" s="133" t="s">
        <v>285</v>
      </c>
      <c r="C160" s="138" t="s">
        <v>283</v>
      </c>
      <c r="D160" s="158" t="s">
        <v>284</v>
      </c>
      <c r="E160" s="252">
        <v>30000</v>
      </c>
      <c r="F160" s="157"/>
    </row>
    <row r="161" spans="1:6" ht="20.100000000000001" customHeight="1">
      <c r="A161" s="168">
        <v>30</v>
      </c>
      <c r="B161" s="133" t="s">
        <v>286</v>
      </c>
      <c r="C161" s="138" t="s">
        <v>283</v>
      </c>
      <c r="D161" s="158" t="s">
        <v>284</v>
      </c>
      <c r="E161" s="252">
        <v>30000</v>
      </c>
      <c r="F161" s="157"/>
    </row>
    <row r="162" spans="1:6" ht="20.100000000000001" customHeight="1">
      <c r="A162" s="168">
        <v>32</v>
      </c>
      <c r="B162" s="133" t="s">
        <v>287</v>
      </c>
      <c r="C162" s="138" t="s">
        <v>283</v>
      </c>
      <c r="D162" s="158" t="s">
        <v>284</v>
      </c>
      <c r="E162" s="252">
        <v>30000</v>
      </c>
      <c r="F162" s="157"/>
    </row>
    <row r="163" spans="1:6" ht="20.100000000000001" customHeight="1">
      <c r="A163" s="168">
        <v>33</v>
      </c>
      <c r="B163" s="133" t="s">
        <v>288</v>
      </c>
      <c r="C163" s="138" t="s">
        <v>283</v>
      </c>
      <c r="D163" s="158" t="s">
        <v>284</v>
      </c>
      <c r="E163" s="252">
        <v>30000</v>
      </c>
      <c r="F163" s="157"/>
    </row>
    <row r="164" spans="1:6" ht="20.100000000000001" customHeight="1">
      <c r="A164" s="168">
        <v>34</v>
      </c>
      <c r="B164" s="133" t="s">
        <v>289</v>
      </c>
      <c r="C164" s="138" t="s">
        <v>283</v>
      </c>
      <c r="D164" s="158" t="s">
        <v>290</v>
      </c>
      <c r="E164" s="252">
        <v>30000</v>
      </c>
      <c r="F164" s="157"/>
    </row>
    <row r="165" spans="1:6" ht="20.100000000000001" customHeight="1">
      <c r="A165" s="168">
        <v>35</v>
      </c>
      <c r="B165" s="133" t="s">
        <v>291</v>
      </c>
      <c r="C165" s="138" t="s">
        <v>283</v>
      </c>
      <c r="D165" s="158" t="s">
        <v>290</v>
      </c>
      <c r="E165" s="252">
        <v>30000</v>
      </c>
      <c r="F165" s="157"/>
    </row>
    <row r="166" spans="1:6" ht="20.100000000000001" customHeight="1">
      <c r="A166" s="168">
        <v>36</v>
      </c>
      <c r="B166" s="133" t="s">
        <v>576</v>
      </c>
      <c r="C166" s="138" t="s">
        <v>283</v>
      </c>
      <c r="D166" s="158" t="s">
        <v>290</v>
      </c>
      <c r="E166" s="252">
        <v>30000</v>
      </c>
      <c r="F166" s="157"/>
    </row>
    <row r="167" spans="1:6" ht="20.100000000000001" customHeight="1">
      <c r="A167" s="168">
        <v>37</v>
      </c>
      <c r="B167" s="135" t="s">
        <v>292</v>
      </c>
      <c r="C167" s="138" t="s">
        <v>283</v>
      </c>
      <c r="D167" s="158" t="s">
        <v>290</v>
      </c>
      <c r="E167" s="252">
        <v>30000</v>
      </c>
      <c r="F167" s="157"/>
    </row>
    <row r="168" spans="1:6" ht="20.100000000000001" customHeight="1">
      <c r="A168" s="168">
        <v>38</v>
      </c>
      <c r="B168" s="133" t="s">
        <v>293</v>
      </c>
      <c r="C168" s="138" t="s">
        <v>283</v>
      </c>
      <c r="D168" s="158" t="s">
        <v>290</v>
      </c>
      <c r="E168" s="252">
        <v>30000</v>
      </c>
      <c r="F168" s="157"/>
    </row>
    <row r="169" spans="1:6" ht="20.100000000000001" customHeight="1">
      <c r="A169" s="168">
        <v>39</v>
      </c>
      <c r="B169" s="134" t="s">
        <v>294</v>
      </c>
      <c r="C169" s="138" t="s">
        <v>283</v>
      </c>
      <c r="D169" s="158" t="s">
        <v>290</v>
      </c>
      <c r="E169" s="252">
        <v>30000</v>
      </c>
      <c r="F169" s="157"/>
    </row>
    <row r="170" spans="1:6" ht="20.100000000000001" customHeight="1">
      <c r="A170" s="168">
        <v>40</v>
      </c>
      <c r="B170" s="134" t="s">
        <v>295</v>
      </c>
      <c r="C170" s="138" t="s">
        <v>283</v>
      </c>
      <c r="D170" s="158" t="s">
        <v>290</v>
      </c>
      <c r="E170" s="252">
        <v>30000</v>
      </c>
      <c r="F170" s="157"/>
    </row>
    <row r="171" spans="1:6" ht="20.100000000000001" customHeight="1">
      <c r="A171" s="168">
        <v>41</v>
      </c>
      <c r="B171" s="133" t="s">
        <v>296</v>
      </c>
      <c r="C171" s="138" t="s">
        <v>302</v>
      </c>
      <c r="D171" s="158" t="s">
        <v>400</v>
      </c>
      <c r="E171" s="252">
        <v>30000</v>
      </c>
      <c r="F171" s="157"/>
    </row>
    <row r="172" spans="1:6" ht="20.100000000000001" customHeight="1">
      <c r="A172" s="168">
        <v>42</v>
      </c>
      <c r="B172" s="133" t="s">
        <v>299</v>
      </c>
      <c r="C172" s="138" t="s">
        <v>302</v>
      </c>
      <c r="D172" s="158" t="s">
        <v>400</v>
      </c>
      <c r="E172" s="252">
        <v>30000</v>
      </c>
      <c r="F172" s="157"/>
    </row>
    <row r="173" spans="1:6" ht="20.100000000000001" customHeight="1">
      <c r="A173" s="168">
        <v>43</v>
      </c>
      <c r="B173" s="134" t="s">
        <v>300</v>
      </c>
      <c r="C173" s="138" t="s">
        <v>302</v>
      </c>
      <c r="D173" s="158" t="s">
        <v>401</v>
      </c>
      <c r="E173" s="252">
        <v>30000</v>
      </c>
      <c r="F173" s="157"/>
    </row>
    <row r="174" spans="1:6" ht="20.100000000000001" customHeight="1">
      <c r="A174" s="168">
        <v>44</v>
      </c>
      <c r="B174" s="133" t="s">
        <v>301</v>
      </c>
      <c r="C174" s="138" t="s">
        <v>302</v>
      </c>
      <c r="D174" s="158" t="s">
        <v>303</v>
      </c>
      <c r="E174" s="252">
        <v>30000</v>
      </c>
      <c r="F174" s="157"/>
    </row>
    <row r="175" spans="1:6" ht="20.100000000000001" customHeight="1">
      <c r="A175" s="168">
        <v>45</v>
      </c>
      <c r="B175" s="133" t="s">
        <v>304</v>
      </c>
      <c r="C175" s="138" t="s">
        <v>305</v>
      </c>
      <c r="D175" s="158" t="s">
        <v>306</v>
      </c>
      <c r="E175" s="252">
        <v>30000</v>
      </c>
      <c r="F175" s="157"/>
    </row>
    <row r="176" spans="1:6" ht="20.100000000000001" customHeight="1">
      <c r="A176" s="168">
        <v>46</v>
      </c>
      <c r="B176" s="133" t="s">
        <v>307</v>
      </c>
      <c r="C176" s="138" t="s">
        <v>305</v>
      </c>
      <c r="D176" s="158" t="s">
        <v>306</v>
      </c>
      <c r="E176" s="252">
        <v>30000</v>
      </c>
      <c r="F176" s="157"/>
    </row>
    <row r="177" spans="1:6" ht="20.100000000000001" customHeight="1">
      <c r="A177" s="168">
        <v>47</v>
      </c>
      <c r="B177" s="133" t="s">
        <v>308</v>
      </c>
      <c r="C177" s="138" t="s">
        <v>305</v>
      </c>
      <c r="D177" s="158" t="s">
        <v>306</v>
      </c>
      <c r="E177" s="252">
        <v>30000</v>
      </c>
      <c r="F177" s="157"/>
    </row>
    <row r="178" spans="1:6" ht="20.100000000000001" customHeight="1">
      <c r="A178" s="168">
        <v>48</v>
      </c>
      <c r="B178" s="133" t="s">
        <v>309</v>
      </c>
      <c r="C178" s="138" t="s">
        <v>305</v>
      </c>
      <c r="D178" s="158" t="s">
        <v>306</v>
      </c>
      <c r="E178" s="252">
        <v>30000</v>
      </c>
      <c r="F178" s="157"/>
    </row>
    <row r="179" spans="1:6" ht="20.100000000000001" customHeight="1">
      <c r="A179" s="168">
        <v>49</v>
      </c>
      <c r="B179" s="133" t="s">
        <v>310</v>
      </c>
      <c r="C179" s="138" t="s">
        <v>305</v>
      </c>
      <c r="D179" s="158" t="s">
        <v>306</v>
      </c>
      <c r="E179" s="252">
        <v>30000</v>
      </c>
      <c r="F179" s="157"/>
    </row>
    <row r="180" spans="1:6" ht="20.100000000000001" customHeight="1">
      <c r="A180" s="168">
        <v>50</v>
      </c>
      <c r="B180" s="134" t="s">
        <v>311</v>
      </c>
      <c r="C180" s="138" t="s">
        <v>305</v>
      </c>
      <c r="D180" s="158" t="s">
        <v>306</v>
      </c>
      <c r="E180" s="252">
        <v>30000</v>
      </c>
      <c r="F180" s="157"/>
    </row>
    <row r="181" spans="1:6" ht="20.100000000000001" customHeight="1">
      <c r="A181" s="168">
        <v>51</v>
      </c>
      <c r="B181" s="134" t="s">
        <v>312</v>
      </c>
      <c r="C181" s="138" t="s">
        <v>305</v>
      </c>
      <c r="D181" s="158" t="s">
        <v>306</v>
      </c>
      <c r="E181" s="252">
        <v>30000</v>
      </c>
      <c r="F181" s="157"/>
    </row>
    <row r="182" spans="1:6" ht="20.100000000000001" customHeight="1">
      <c r="A182" s="168">
        <v>52</v>
      </c>
      <c r="B182" s="133" t="s">
        <v>313</v>
      </c>
      <c r="C182" s="138" t="s">
        <v>302</v>
      </c>
      <c r="D182" s="158" t="s">
        <v>306</v>
      </c>
      <c r="E182" s="252">
        <v>30000</v>
      </c>
      <c r="F182" s="157"/>
    </row>
    <row r="183" spans="1:6" ht="20.100000000000001" customHeight="1">
      <c r="A183" s="168">
        <v>53</v>
      </c>
      <c r="B183" s="133" t="s">
        <v>314</v>
      </c>
      <c r="C183" s="138" t="s">
        <v>302</v>
      </c>
      <c r="D183" s="158" t="s">
        <v>306</v>
      </c>
      <c r="E183" s="252">
        <v>30000</v>
      </c>
      <c r="F183" s="157"/>
    </row>
    <row r="184" spans="1:6" ht="20.100000000000001" customHeight="1">
      <c r="A184" s="168">
        <v>54</v>
      </c>
      <c r="B184" s="134" t="s">
        <v>315</v>
      </c>
      <c r="C184" s="138" t="s">
        <v>305</v>
      </c>
      <c r="D184" s="158" t="s">
        <v>420</v>
      </c>
      <c r="E184" s="252">
        <v>30000</v>
      </c>
      <c r="F184" s="157"/>
    </row>
    <row r="185" spans="1:6" ht="20.100000000000001" customHeight="1">
      <c r="A185" s="168">
        <v>55</v>
      </c>
      <c r="B185" s="134" t="s">
        <v>318</v>
      </c>
      <c r="C185" s="138" t="s">
        <v>305</v>
      </c>
      <c r="D185" s="158" t="s">
        <v>319</v>
      </c>
      <c r="E185" s="252">
        <v>30000</v>
      </c>
      <c r="F185" s="157"/>
    </row>
    <row r="186" spans="1:6" ht="20.100000000000001" customHeight="1">
      <c r="A186" s="168"/>
      <c r="B186" s="154" t="s">
        <v>91</v>
      </c>
      <c r="C186" s="170" t="s">
        <v>577</v>
      </c>
      <c r="D186" s="21"/>
      <c r="E186" s="263">
        <f>SUM(E132:E185)</f>
        <v>2505000</v>
      </c>
      <c r="F186" s="157"/>
    </row>
    <row r="187" spans="1:6" ht="9" customHeight="1">
      <c r="A187" s="168"/>
      <c r="B187" s="154"/>
      <c r="C187" s="170"/>
      <c r="D187" s="21"/>
      <c r="E187" s="263"/>
      <c r="F187" s="157"/>
    </row>
    <row r="188" spans="1:6" ht="30" customHeight="1">
      <c r="A188" s="19"/>
      <c r="B188" s="242" t="s">
        <v>330</v>
      </c>
      <c r="C188" s="243">
        <f>C37+C42+C57+C62+C79+C87+C100+C107+C117+C129+C186</f>
        <v>149</v>
      </c>
      <c r="D188" s="244"/>
      <c r="E188" s="245">
        <f>E186+E129+E117+E107+E100+E87+E79+E62+E57+E42+E37</f>
        <v>11070000</v>
      </c>
      <c r="F188" s="157"/>
    </row>
    <row r="189" spans="1:6" ht="20.100000000000001" customHeight="1">
      <c r="B189" s="175"/>
      <c r="D189" s="176"/>
      <c r="E189" s="224"/>
      <c r="F189" s="179"/>
    </row>
    <row r="190" spans="1:6" ht="65.25" customHeight="1">
      <c r="B190" s="175"/>
      <c r="C190" s="176"/>
      <c r="D190" s="176"/>
      <c r="E190" s="225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95"/>
  <sheetViews>
    <sheetView view="pageBreakPreview" zoomScaleNormal="100" zoomScaleSheetLayoutView="100" workbookViewId="0">
      <pane xSplit="3" ySplit="7" topLeftCell="D19" activePane="bottomRight" state="frozen"/>
      <selection pane="bottomRight" activeCell="I6" sqref="I6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41" customWidth="1"/>
    <col min="2" max="2" width="44.5703125" style="141" customWidth="1"/>
    <col min="3" max="3" width="38" style="141" customWidth="1"/>
    <col min="4" max="4" width="12.42578125" style="141" customWidth="1"/>
    <col min="5" max="5" width="21.85546875" style="141" customWidth="1"/>
    <col min="6" max="6" width="21.7109375" style="141" customWidth="1"/>
    <col min="7" max="16384" width="9.140625" style="141"/>
  </cols>
  <sheetData>
    <row r="1" spans="1:6" ht="27" customHeight="1">
      <c r="A1" s="246" t="s">
        <v>0</v>
      </c>
      <c r="B1" s="246"/>
      <c r="C1" s="246"/>
      <c r="D1" s="246"/>
      <c r="E1" s="247"/>
    </row>
    <row r="2" spans="1:6" ht="33.75" customHeight="1">
      <c r="A2" s="246" t="s">
        <v>560</v>
      </c>
      <c r="B2" s="143"/>
      <c r="C2" s="142"/>
      <c r="D2" s="142"/>
      <c r="E2" s="146"/>
    </row>
    <row r="3" spans="1:6" ht="9.75" customHeight="1"/>
    <row r="4" spans="1:6" ht="49.5" customHeight="1">
      <c r="A4" s="241"/>
      <c r="B4" s="248" t="s">
        <v>2</v>
      </c>
      <c r="C4" s="249" t="s">
        <v>3</v>
      </c>
      <c r="D4" s="250" t="s">
        <v>4</v>
      </c>
      <c r="E4" s="251" t="s">
        <v>403</v>
      </c>
    </row>
    <row r="5" spans="1:6" ht="17.25" customHeight="1">
      <c r="C5" s="154"/>
      <c r="D5" s="154"/>
      <c r="E5" s="193" t="s">
        <v>25</v>
      </c>
    </row>
    <row r="6" spans="1:6" ht="20.100000000000001" customHeight="1">
      <c r="A6" s="153" t="s">
        <v>26</v>
      </c>
      <c r="B6" s="154" t="s">
        <v>27</v>
      </c>
      <c r="C6" s="154"/>
      <c r="D6" s="154"/>
      <c r="E6" s="193"/>
    </row>
    <row r="7" spans="1:6" ht="20.100000000000001" customHeight="1">
      <c r="A7" s="27">
        <v>1</v>
      </c>
      <c r="B7" s="133" t="s">
        <v>28</v>
      </c>
      <c r="C7" s="138" t="s">
        <v>29</v>
      </c>
      <c r="D7" s="138" t="s">
        <v>30</v>
      </c>
      <c r="E7" s="252">
        <v>450000</v>
      </c>
      <c r="F7" s="157"/>
    </row>
    <row r="8" spans="1:6" ht="20.100000000000001" customHeight="1">
      <c r="A8" s="27">
        <v>2</v>
      </c>
      <c r="B8" s="133" t="s">
        <v>464</v>
      </c>
      <c r="C8" s="19" t="s">
        <v>561</v>
      </c>
      <c r="D8" s="27" t="s">
        <v>233</v>
      </c>
      <c r="E8" s="252">
        <v>150000</v>
      </c>
      <c r="F8" s="157"/>
    </row>
    <row r="9" spans="1:6" ht="20.100000000000001" customHeight="1">
      <c r="A9" s="27">
        <v>3</v>
      </c>
      <c r="B9" s="135" t="s">
        <v>562</v>
      </c>
      <c r="C9" s="19" t="s">
        <v>563</v>
      </c>
      <c r="D9" s="27" t="s">
        <v>233</v>
      </c>
      <c r="E9" s="252">
        <v>150000</v>
      </c>
      <c r="F9" s="157"/>
    </row>
    <row r="10" spans="1:6" ht="20.100000000000001" customHeight="1">
      <c r="A10" s="27">
        <v>4</v>
      </c>
      <c r="B10" s="133" t="s">
        <v>31</v>
      </c>
      <c r="C10" s="138" t="s">
        <v>32</v>
      </c>
      <c r="D10" s="27" t="s">
        <v>33</v>
      </c>
      <c r="E10" s="252">
        <v>150000</v>
      </c>
      <c r="F10" s="157"/>
    </row>
    <row r="11" spans="1:6" ht="20.100000000000001" customHeight="1">
      <c r="A11" s="27">
        <v>5</v>
      </c>
      <c r="B11" s="135" t="s">
        <v>34</v>
      </c>
      <c r="C11" s="19" t="s">
        <v>35</v>
      </c>
      <c r="D11" s="158" t="s">
        <v>36</v>
      </c>
      <c r="E11" s="252">
        <v>150000</v>
      </c>
      <c r="F11" s="157"/>
    </row>
    <row r="12" spans="1:6" ht="20.100000000000001" customHeight="1">
      <c r="A12" s="27">
        <v>6</v>
      </c>
      <c r="B12" s="135" t="s">
        <v>179</v>
      </c>
      <c r="C12" s="19" t="s">
        <v>466</v>
      </c>
      <c r="D12" s="23" t="s">
        <v>36</v>
      </c>
      <c r="E12" s="252">
        <v>150000</v>
      </c>
      <c r="F12" s="157"/>
    </row>
    <row r="13" spans="1:6" ht="20.100000000000001" customHeight="1">
      <c r="A13" s="27">
        <v>7</v>
      </c>
      <c r="B13" s="133" t="s">
        <v>37</v>
      </c>
      <c r="C13" s="92" t="s">
        <v>38</v>
      </c>
      <c r="D13" s="23" t="s">
        <v>36</v>
      </c>
      <c r="E13" s="252">
        <v>150000</v>
      </c>
      <c r="F13" s="157"/>
    </row>
    <row r="14" spans="1:6" ht="20.100000000000001" customHeight="1">
      <c r="A14" s="27">
        <v>8</v>
      </c>
      <c r="B14" s="135" t="s">
        <v>39</v>
      </c>
      <c r="C14" s="19" t="s">
        <v>40</v>
      </c>
      <c r="D14" s="23" t="s">
        <v>36</v>
      </c>
      <c r="E14" s="252">
        <v>150000</v>
      </c>
      <c r="F14" s="157"/>
    </row>
    <row r="15" spans="1:6" ht="20.100000000000001" customHeight="1">
      <c r="A15" s="27">
        <v>9</v>
      </c>
      <c r="B15" s="133" t="s">
        <v>43</v>
      </c>
      <c r="C15" s="138" t="s">
        <v>44</v>
      </c>
      <c r="D15" s="158" t="s">
        <v>45</v>
      </c>
      <c r="E15" s="252">
        <v>105000</v>
      </c>
      <c r="F15" s="157"/>
    </row>
    <row r="16" spans="1:6" ht="20.100000000000001" customHeight="1">
      <c r="A16" s="27">
        <v>10</v>
      </c>
      <c r="B16" s="134" t="s">
        <v>151</v>
      </c>
      <c r="C16" s="138" t="s">
        <v>152</v>
      </c>
      <c r="D16" s="27" t="s">
        <v>127</v>
      </c>
      <c r="E16" s="252">
        <v>105000</v>
      </c>
      <c r="F16" s="157"/>
    </row>
    <row r="17" spans="1:6" ht="20.100000000000001" customHeight="1">
      <c r="A17" s="27">
        <v>11</v>
      </c>
      <c r="B17" s="137" t="s">
        <v>564</v>
      </c>
      <c r="C17" s="19" t="s">
        <v>565</v>
      </c>
      <c r="D17" s="23" t="s">
        <v>51</v>
      </c>
      <c r="E17" s="252">
        <v>75000</v>
      </c>
      <c r="F17" s="157"/>
    </row>
    <row r="18" spans="1:6" ht="19.5" customHeight="1">
      <c r="A18" s="27">
        <v>12</v>
      </c>
      <c r="B18" s="135" t="s">
        <v>467</v>
      </c>
      <c r="C18" s="19" t="s">
        <v>50</v>
      </c>
      <c r="D18" s="27" t="s">
        <v>51</v>
      </c>
      <c r="E18" s="252">
        <v>75000</v>
      </c>
      <c r="F18" s="157"/>
    </row>
    <row r="19" spans="1:6" ht="19.5" customHeight="1">
      <c r="A19" s="27">
        <v>13</v>
      </c>
      <c r="B19" s="135" t="s">
        <v>566</v>
      </c>
      <c r="C19" s="19" t="s">
        <v>567</v>
      </c>
      <c r="D19" s="27" t="s">
        <v>51</v>
      </c>
      <c r="E19" s="252">
        <v>75000</v>
      </c>
      <c r="F19" s="157"/>
    </row>
    <row r="20" spans="1:6" ht="20.100000000000001" customHeight="1">
      <c r="A20" s="27">
        <v>14</v>
      </c>
      <c r="B20" s="133" t="s">
        <v>49</v>
      </c>
      <c r="C20" s="19" t="s">
        <v>50</v>
      </c>
      <c r="D20" s="158" t="s">
        <v>51</v>
      </c>
      <c r="E20" s="252">
        <v>75000</v>
      </c>
      <c r="F20" s="157"/>
    </row>
    <row r="21" spans="1:6" ht="20.100000000000001" customHeight="1">
      <c r="A21" s="27">
        <v>15</v>
      </c>
      <c r="B21" s="133" t="s">
        <v>58</v>
      </c>
      <c r="C21" s="138" t="s">
        <v>59</v>
      </c>
      <c r="D21" s="158" t="s">
        <v>60</v>
      </c>
      <c r="E21" s="252">
        <v>75000</v>
      </c>
      <c r="F21" s="157"/>
    </row>
    <row r="22" spans="1:6" ht="20.100000000000001" customHeight="1">
      <c r="A22" s="27">
        <v>16</v>
      </c>
      <c r="B22" s="134" t="s">
        <v>61</v>
      </c>
      <c r="C22" s="19" t="s">
        <v>62</v>
      </c>
      <c r="D22" s="158" t="s">
        <v>63</v>
      </c>
      <c r="E22" s="252">
        <v>75000</v>
      </c>
      <c r="F22" s="157"/>
    </row>
    <row r="23" spans="1:6" ht="20.100000000000001" customHeight="1">
      <c r="A23" s="27">
        <v>17</v>
      </c>
      <c r="B23" s="133" t="s">
        <v>206</v>
      </c>
      <c r="C23" s="138" t="s">
        <v>207</v>
      </c>
      <c r="D23" s="158" t="s">
        <v>203</v>
      </c>
      <c r="E23" s="252">
        <v>45000</v>
      </c>
      <c r="F23" s="157"/>
    </row>
    <row r="24" spans="1:6" ht="18.75" customHeight="1">
      <c r="A24" s="27">
        <v>18</v>
      </c>
      <c r="B24" s="133" t="s">
        <v>64</v>
      </c>
      <c r="C24" s="138" t="s">
        <v>65</v>
      </c>
      <c r="D24" s="158" t="s">
        <v>66</v>
      </c>
      <c r="E24" s="252">
        <v>45000</v>
      </c>
      <c r="F24" s="157"/>
    </row>
    <row r="25" spans="1:6" ht="18.75" customHeight="1">
      <c r="A25" s="27">
        <v>19</v>
      </c>
      <c r="B25" s="134" t="s">
        <v>568</v>
      </c>
      <c r="C25" s="138" t="s">
        <v>88</v>
      </c>
      <c r="D25" s="158" t="s">
        <v>257</v>
      </c>
      <c r="E25" s="252">
        <v>45000</v>
      </c>
      <c r="F25" s="157"/>
    </row>
    <row r="26" spans="1:6" ht="18.75" customHeight="1">
      <c r="A26" s="27">
        <v>20</v>
      </c>
      <c r="B26" s="19" t="s">
        <v>73</v>
      </c>
      <c r="C26" s="19" t="s">
        <v>74</v>
      </c>
      <c r="D26" s="27" t="s">
        <v>75</v>
      </c>
      <c r="E26" s="252">
        <v>45000</v>
      </c>
      <c r="F26" s="157"/>
    </row>
    <row r="27" spans="1:6" ht="18.75" customHeight="1">
      <c r="A27" s="27">
        <v>21</v>
      </c>
      <c r="B27" s="134" t="s">
        <v>76</v>
      </c>
      <c r="C27" s="138" t="s">
        <v>74</v>
      </c>
      <c r="D27" s="158" t="s">
        <v>75</v>
      </c>
      <c r="E27" s="252">
        <v>45000</v>
      </c>
      <c r="F27" s="157"/>
    </row>
    <row r="28" spans="1:6" ht="18.75" customHeight="1">
      <c r="A28" s="27">
        <v>22</v>
      </c>
      <c r="B28" s="133" t="s">
        <v>468</v>
      </c>
      <c r="C28" s="138" t="s">
        <v>469</v>
      </c>
      <c r="D28" s="158" t="s">
        <v>75</v>
      </c>
      <c r="E28" s="252">
        <v>45000</v>
      </c>
      <c r="F28" s="157"/>
    </row>
    <row r="29" spans="1:6" ht="18.75" customHeight="1">
      <c r="A29" s="27">
        <v>23</v>
      </c>
      <c r="B29" s="134" t="s">
        <v>77</v>
      </c>
      <c r="C29" s="138" t="s">
        <v>412</v>
      </c>
      <c r="D29" s="158" t="s">
        <v>199</v>
      </c>
      <c r="E29" s="252">
        <v>45000</v>
      </c>
      <c r="F29" s="157"/>
    </row>
    <row r="30" spans="1:6" ht="18.75" customHeight="1">
      <c r="A30" s="27">
        <v>24</v>
      </c>
      <c r="B30" s="134" t="s">
        <v>80</v>
      </c>
      <c r="C30" s="19" t="s">
        <v>470</v>
      </c>
      <c r="D30" s="27" t="s">
        <v>199</v>
      </c>
      <c r="E30" s="252">
        <v>45000</v>
      </c>
      <c r="F30" s="157"/>
    </row>
    <row r="31" spans="1:6" ht="18.75" customHeight="1">
      <c r="A31" s="27">
        <v>25</v>
      </c>
      <c r="B31" s="134" t="s">
        <v>82</v>
      </c>
      <c r="C31" s="92" t="s">
        <v>83</v>
      </c>
      <c r="D31" s="158" t="s">
        <v>75</v>
      </c>
      <c r="E31" s="252">
        <v>45000</v>
      </c>
      <c r="F31" s="157"/>
    </row>
    <row r="32" spans="1:6" ht="18.75" customHeight="1">
      <c r="A32" s="27">
        <v>26</v>
      </c>
      <c r="B32" s="134" t="s">
        <v>84</v>
      </c>
      <c r="C32" s="19" t="s">
        <v>85</v>
      </c>
      <c r="D32" s="27" t="s">
        <v>86</v>
      </c>
      <c r="E32" s="252">
        <v>45000</v>
      </c>
      <c r="F32" s="157"/>
    </row>
    <row r="33" spans="1:6" ht="18.75" customHeight="1">
      <c r="A33" s="27">
        <v>27</v>
      </c>
      <c r="B33" s="134" t="s">
        <v>87</v>
      </c>
      <c r="C33" s="138" t="s">
        <v>88</v>
      </c>
      <c r="D33" s="158" t="s">
        <v>86</v>
      </c>
      <c r="E33" s="252">
        <v>45000</v>
      </c>
      <c r="F33" s="157"/>
    </row>
    <row r="34" spans="1:6" ht="18.75" customHeight="1">
      <c r="A34" s="27">
        <v>28</v>
      </c>
      <c r="B34" s="134" t="s">
        <v>569</v>
      </c>
      <c r="C34" s="138" t="s">
        <v>88</v>
      </c>
      <c r="D34" s="158" t="s">
        <v>86</v>
      </c>
      <c r="E34" s="252">
        <v>45000</v>
      </c>
      <c r="F34" s="157"/>
    </row>
    <row r="35" spans="1:6" ht="18.75" customHeight="1">
      <c r="A35" s="27">
        <v>29</v>
      </c>
      <c r="B35" s="134" t="s">
        <v>225</v>
      </c>
      <c r="C35" s="138" t="s">
        <v>226</v>
      </c>
      <c r="D35" s="158" t="s">
        <v>90</v>
      </c>
      <c r="E35" s="252">
        <v>45000</v>
      </c>
      <c r="F35" s="157"/>
    </row>
    <row r="36" spans="1:6" ht="26.25" customHeight="1">
      <c r="A36" s="27"/>
      <c r="B36" s="136" t="s">
        <v>91</v>
      </c>
      <c r="C36" s="28">
        <v>29</v>
      </c>
      <c r="D36" s="158"/>
      <c r="E36" s="253">
        <f>SUM(E7:E35)</f>
        <v>2745000</v>
      </c>
      <c r="F36" s="157"/>
    </row>
    <row r="37" spans="1:6" ht="18.75" customHeight="1">
      <c r="A37" s="27"/>
      <c r="B37" s="103"/>
      <c r="C37" s="19"/>
      <c r="D37" s="158"/>
      <c r="E37" s="254"/>
      <c r="F37" s="157"/>
    </row>
    <row r="38" spans="1:6" ht="18.75" customHeight="1">
      <c r="A38" s="27"/>
      <c r="B38" s="136" t="s">
        <v>92</v>
      </c>
      <c r="C38" s="19"/>
      <c r="D38" s="158"/>
      <c r="E38" s="252"/>
      <c r="F38" s="157"/>
    </row>
    <row r="39" spans="1:6" ht="18.75" customHeight="1">
      <c r="A39" s="27">
        <v>1</v>
      </c>
      <c r="B39" s="134" t="s">
        <v>93</v>
      </c>
      <c r="C39" s="19" t="s">
        <v>94</v>
      </c>
      <c r="D39" s="27" t="s">
        <v>95</v>
      </c>
      <c r="E39" s="252">
        <v>225000</v>
      </c>
      <c r="F39" s="157"/>
    </row>
    <row r="40" spans="1:6" ht="18.75" customHeight="1">
      <c r="A40" s="27">
        <v>2</v>
      </c>
      <c r="B40" s="134" t="s">
        <v>96</v>
      </c>
      <c r="C40" s="19" t="s">
        <v>97</v>
      </c>
      <c r="D40" s="27" t="s">
        <v>90</v>
      </c>
      <c r="E40" s="252">
        <v>45000</v>
      </c>
      <c r="F40" s="157"/>
    </row>
    <row r="41" spans="1:6" ht="19.5" customHeight="1">
      <c r="A41" s="27"/>
      <c r="B41" s="135"/>
      <c r="C41" s="28">
        <v>2</v>
      </c>
      <c r="D41" s="27"/>
      <c r="E41" s="253">
        <f>SUM(E39:E40)</f>
        <v>270000</v>
      </c>
      <c r="F41" s="157"/>
    </row>
    <row r="42" spans="1:6" ht="20.100000000000001" customHeight="1">
      <c r="A42" s="27"/>
      <c r="B42" s="135"/>
      <c r="C42" s="19"/>
      <c r="D42" s="27"/>
      <c r="E42" s="252"/>
      <c r="F42" s="157"/>
    </row>
    <row r="43" spans="1:6" ht="20.100000000000001" customHeight="1">
      <c r="A43" s="27"/>
      <c r="B43" s="162" t="s">
        <v>100</v>
      </c>
      <c r="C43" s="147"/>
      <c r="D43" s="151"/>
      <c r="E43" s="252"/>
      <c r="F43" s="157"/>
    </row>
    <row r="44" spans="1:6" ht="20.100000000000001" customHeight="1">
      <c r="A44" s="27">
        <v>1</v>
      </c>
      <c r="B44" s="133" t="s">
        <v>101</v>
      </c>
      <c r="C44" s="19" t="s">
        <v>102</v>
      </c>
      <c r="D44" s="27" t="s">
        <v>95</v>
      </c>
      <c r="E44" s="252">
        <v>225000</v>
      </c>
      <c r="F44" s="157"/>
    </row>
    <row r="45" spans="1:6" ht="20.100000000000001" customHeight="1">
      <c r="A45" s="27">
        <v>2</v>
      </c>
      <c r="B45" s="133" t="s">
        <v>103</v>
      </c>
      <c r="C45" s="19" t="s">
        <v>104</v>
      </c>
      <c r="D45" s="27" t="s">
        <v>45</v>
      </c>
      <c r="E45" s="252">
        <v>105000</v>
      </c>
      <c r="F45" s="157"/>
    </row>
    <row r="46" spans="1:6" ht="20.100000000000001" customHeight="1">
      <c r="A46" s="27">
        <v>3</v>
      </c>
      <c r="B46" s="133" t="s">
        <v>105</v>
      </c>
      <c r="C46" s="19" t="s">
        <v>109</v>
      </c>
      <c r="D46" s="27" t="s">
        <v>45</v>
      </c>
      <c r="E46" s="252">
        <v>105000</v>
      </c>
      <c r="F46" s="157"/>
    </row>
    <row r="47" spans="1:6" ht="20.100000000000001" customHeight="1">
      <c r="A47" s="27">
        <v>4</v>
      </c>
      <c r="B47" s="133" t="s">
        <v>108</v>
      </c>
      <c r="C47" s="19" t="s">
        <v>109</v>
      </c>
      <c r="D47" s="27" t="s">
        <v>45</v>
      </c>
      <c r="E47" s="252">
        <v>105000</v>
      </c>
      <c r="F47" s="157"/>
    </row>
    <row r="48" spans="1:6" ht="20.100000000000001" customHeight="1">
      <c r="A48" s="27">
        <v>5</v>
      </c>
      <c r="B48" s="133" t="s">
        <v>110</v>
      </c>
      <c r="C48" s="19" t="s">
        <v>109</v>
      </c>
      <c r="D48" s="27" t="s">
        <v>111</v>
      </c>
      <c r="E48" s="252">
        <v>105000</v>
      </c>
      <c r="F48" s="157"/>
    </row>
    <row r="49" spans="1:6" ht="20.100000000000001" customHeight="1">
      <c r="A49" s="27">
        <v>6</v>
      </c>
      <c r="B49" s="133" t="s">
        <v>112</v>
      </c>
      <c r="C49" s="19" t="s">
        <v>115</v>
      </c>
      <c r="D49" s="27" t="s">
        <v>51</v>
      </c>
      <c r="E49" s="252">
        <v>75000</v>
      </c>
      <c r="F49" s="157"/>
    </row>
    <row r="50" spans="1:6" ht="20.100000000000001" customHeight="1">
      <c r="A50" s="27">
        <v>7</v>
      </c>
      <c r="B50" s="135" t="s">
        <v>113</v>
      </c>
      <c r="C50" s="19" t="s">
        <v>53</v>
      </c>
      <c r="D50" s="23" t="s">
        <v>51</v>
      </c>
      <c r="E50" s="252">
        <v>75000</v>
      </c>
      <c r="F50" s="157"/>
    </row>
    <row r="51" spans="1:6" ht="20.100000000000001" customHeight="1">
      <c r="A51" s="27">
        <v>8</v>
      </c>
      <c r="B51" s="133" t="s">
        <v>473</v>
      </c>
      <c r="C51" s="19" t="s">
        <v>53</v>
      </c>
      <c r="D51" s="27" t="s">
        <v>54</v>
      </c>
      <c r="E51" s="252">
        <v>75000</v>
      </c>
      <c r="F51" s="157"/>
    </row>
    <row r="52" spans="1:6" ht="20.100000000000001" customHeight="1">
      <c r="A52" s="27">
        <v>9</v>
      </c>
      <c r="B52" s="133" t="s">
        <v>114</v>
      </c>
      <c r="C52" s="19" t="s">
        <v>167</v>
      </c>
      <c r="D52" s="27" t="s">
        <v>168</v>
      </c>
      <c r="E52" s="252">
        <v>75000</v>
      </c>
      <c r="F52" s="157"/>
    </row>
    <row r="53" spans="1:6" ht="20.100000000000001" customHeight="1">
      <c r="A53" s="27">
        <v>10</v>
      </c>
      <c r="B53" s="133" t="s">
        <v>119</v>
      </c>
      <c r="C53" s="19" t="s">
        <v>118</v>
      </c>
      <c r="D53" s="27" t="s">
        <v>79</v>
      </c>
      <c r="E53" s="252">
        <v>45000</v>
      </c>
      <c r="F53" s="157"/>
    </row>
    <row r="54" spans="1:6" ht="20.100000000000001" customHeight="1">
      <c r="A54" s="27">
        <v>11</v>
      </c>
      <c r="B54" s="133" t="s">
        <v>120</v>
      </c>
      <c r="C54" s="19" t="s">
        <v>118</v>
      </c>
      <c r="D54" s="27" t="s">
        <v>79</v>
      </c>
      <c r="E54" s="252">
        <v>45000</v>
      </c>
      <c r="F54" s="157"/>
    </row>
    <row r="55" spans="1:6" ht="20.100000000000001" customHeight="1">
      <c r="A55" s="27">
        <v>12</v>
      </c>
      <c r="B55" s="133" t="s">
        <v>121</v>
      </c>
      <c r="C55" s="19" t="s">
        <v>118</v>
      </c>
      <c r="D55" s="27" t="s">
        <v>79</v>
      </c>
      <c r="E55" s="252">
        <v>45000</v>
      </c>
      <c r="F55" s="157"/>
    </row>
    <row r="56" spans="1:6" ht="25.5" customHeight="1">
      <c r="A56" s="27"/>
      <c r="B56" s="136" t="s">
        <v>91</v>
      </c>
      <c r="C56" s="28">
        <v>12</v>
      </c>
      <c r="D56" s="28"/>
      <c r="E56" s="255">
        <f>SUM(E44:E55)</f>
        <v>1080000</v>
      </c>
      <c r="F56" s="157"/>
    </row>
    <row r="57" spans="1:6" ht="20.100000000000001" customHeight="1">
      <c r="A57" s="27"/>
      <c r="B57" s="103"/>
      <c r="C57" s="28"/>
      <c r="D57" s="28"/>
      <c r="E57" s="256"/>
      <c r="F57" s="157"/>
    </row>
    <row r="58" spans="1:6" ht="20.100000000000001" customHeight="1">
      <c r="A58" s="27"/>
      <c r="B58" s="136" t="s">
        <v>122</v>
      </c>
      <c r="C58" s="28"/>
      <c r="D58" s="28"/>
      <c r="E58" s="256"/>
      <c r="F58" s="157"/>
    </row>
    <row r="59" spans="1:6" ht="20.100000000000001" customHeight="1">
      <c r="A59" s="27">
        <v>1</v>
      </c>
      <c r="B59" s="133" t="s">
        <v>123</v>
      </c>
      <c r="C59" s="138" t="s">
        <v>124</v>
      </c>
      <c r="D59" s="158" t="s">
        <v>95</v>
      </c>
      <c r="E59" s="252">
        <v>225000</v>
      </c>
      <c r="F59" s="157"/>
    </row>
    <row r="60" spans="1:6" ht="20.100000000000001" customHeight="1">
      <c r="A60" s="27">
        <v>2</v>
      </c>
      <c r="B60" s="133" t="s">
        <v>125</v>
      </c>
      <c r="C60" s="138" t="s">
        <v>126</v>
      </c>
      <c r="D60" s="158" t="s">
        <v>127</v>
      </c>
      <c r="E60" s="252">
        <v>105000</v>
      </c>
      <c r="F60" s="157"/>
    </row>
    <row r="61" spans="1:6" ht="20.100000000000001" customHeight="1">
      <c r="A61" s="27"/>
      <c r="B61" s="136" t="s">
        <v>91</v>
      </c>
      <c r="C61" s="28">
        <v>2</v>
      </c>
      <c r="D61" s="28"/>
      <c r="E61" s="255">
        <f>SUM(E59:E60)</f>
        <v>330000</v>
      </c>
      <c r="F61" s="157"/>
    </row>
    <row r="62" spans="1:6" ht="20.100000000000001" customHeight="1">
      <c r="A62" s="27"/>
      <c r="B62" s="136"/>
      <c r="C62" s="28"/>
      <c r="D62" s="28"/>
      <c r="E62" s="256"/>
      <c r="F62" s="157"/>
    </row>
    <row r="63" spans="1:6" ht="20.100000000000001" customHeight="1">
      <c r="A63" s="27"/>
      <c r="B63" s="136" t="s">
        <v>128</v>
      </c>
      <c r="C63" s="28"/>
      <c r="D63" s="28"/>
      <c r="E63" s="256"/>
      <c r="F63" s="157"/>
    </row>
    <row r="64" spans="1:6" ht="20.100000000000001" customHeight="1">
      <c r="A64" s="27">
        <v>1</v>
      </c>
      <c r="B64" s="133" t="s">
        <v>129</v>
      </c>
      <c r="C64" s="92" t="s">
        <v>130</v>
      </c>
      <c r="D64" s="27" t="s">
        <v>95</v>
      </c>
      <c r="E64" s="257">
        <v>225000</v>
      </c>
      <c r="F64" s="157"/>
    </row>
    <row r="65" spans="1:6" ht="20.100000000000001" customHeight="1">
      <c r="A65" s="27">
        <v>2</v>
      </c>
      <c r="B65" s="134" t="s">
        <v>131</v>
      </c>
      <c r="C65" s="92" t="s">
        <v>132</v>
      </c>
      <c r="D65" s="158" t="s">
        <v>133</v>
      </c>
      <c r="E65" s="252">
        <v>105000</v>
      </c>
      <c r="F65" s="157"/>
    </row>
    <row r="66" spans="1:6" ht="20.100000000000001" customHeight="1">
      <c r="A66" s="27">
        <v>3</v>
      </c>
      <c r="B66" s="133" t="s">
        <v>134</v>
      </c>
      <c r="C66" s="19" t="s">
        <v>136</v>
      </c>
      <c r="D66" s="27" t="s">
        <v>168</v>
      </c>
      <c r="E66" s="257">
        <v>75000</v>
      </c>
      <c r="F66" s="157"/>
    </row>
    <row r="67" spans="1:6" ht="20.100000000000001" customHeight="1">
      <c r="A67" s="27">
        <v>4</v>
      </c>
      <c r="B67" s="134" t="s">
        <v>135</v>
      </c>
      <c r="C67" s="92" t="s">
        <v>136</v>
      </c>
      <c r="D67" s="158" t="s">
        <v>60</v>
      </c>
      <c r="E67" s="257">
        <v>75000</v>
      </c>
      <c r="F67" s="157"/>
    </row>
    <row r="68" spans="1:6" ht="20.100000000000001" customHeight="1">
      <c r="A68" s="27">
        <v>5</v>
      </c>
      <c r="B68" s="135" t="s">
        <v>137</v>
      </c>
      <c r="C68" s="92" t="s">
        <v>53</v>
      </c>
      <c r="D68" s="158" t="s">
        <v>51</v>
      </c>
      <c r="E68" s="257">
        <v>75000</v>
      </c>
      <c r="F68" s="157"/>
    </row>
    <row r="69" spans="1:6" ht="20.100000000000001" customHeight="1">
      <c r="A69" s="27">
        <v>6</v>
      </c>
      <c r="B69" s="135" t="s">
        <v>52</v>
      </c>
      <c r="C69" s="92" t="s">
        <v>53</v>
      </c>
      <c r="D69" s="158" t="s">
        <v>54</v>
      </c>
      <c r="E69" s="257">
        <v>75000</v>
      </c>
      <c r="F69" s="157"/>
    </row>
    <row r="70" spans="1:6" ht="20.100000000000001" customHeight="1">
      <c r="A70" s="27">
        <v>7</v>
      </c>
      <c r="B70" s="133" t="s">
        <v>138</v>
      </c>
      <c r="C70" s="19" t="s">
        <v>118</v>
      </c>
      <c r="D70" s="27" t="s">
        <v>69</v>
      </c>
      <c r="E70" s="252">
        <v>45000</v>
      </c>
      <c r="F70" s="157"/>
    </row>
    <row r="71" spans="1:6" ht="20.100000000000001" customHeight="1">
      <c r="A71" s="27">
        <v>8</v>
      </c>
      <c r="B71" s="133" t="s">
        <v>139</v>
      </c>
      <c r="C71" s="92" t="s">
        <v>140</v>
      </c>
      <c r="D71" s="158" t="s">
        <v>69</v>
      </c>
      <c r="E71" s="252">
        <v>45000</v>
      </c>
      <c r="F71" s="157"/>
    </row>
    <row r="72" spans="1:6" ht="20.100000000000001" customHeight="1">
      <c r="A72" s="27">
        <v>9</v>
      </c>
      <c r="B72" s="133" t="s">
        <v>141</v>
      </c>
      <c r="C72" s="92" t="s">
        <v>140</v>
      </c>
      <c r="D72" s="158" t="s">
        <v>69</v>
      </c>
      <c r="E72" s="252">
        <v>45000</v>
      </c>
      <c r="F72" s="157"/>
    </row>
    <row r="73" spans="1:6" ht="20.100000000000001" customHeight="1">
      <c r="A73" s="27">
        <v>10</v>
      </c>
      <c r="B73" s="133" t="s">
        <v>142</v>
      </c>
      <c r="C73" s="19" t="s">
        <v>143</v>
      </c>
      <c r="D73" s="27" t="s">
        <v>66</v>
      </c>
      <c r="E73" s="252">
        <v>45000</v>
      </c>
      <c r="F73" s="157"/>
    </row>
    <row r="74" spans="1:6" ht="20.100000000000001" customHeight="1">
      <c r="A74" s="27">
        <v>11</v>
      </c>
      <c r="B74" s="133" t="s">
        <v>570</v>
      </c>
      <c r="C74" s="92" t="s">
        <v>118</v>
      </c>
      <c r="D74" s="27" t="s">
        <v>157</v>
      </c>
      <c r="E74" s="252">
        <v>45000</v>
      </c>
      <c r="F74" s="157"/>
    </row>
    <row r="75" spans="1:6" ht="20.100000000000001" customHeight="1">
      <c r="A75" s="27">
        <v>12</v>
      </c>
      <c r="B75" s="133" t="s">
        <v>145</v>
      </c>
      <c r="C75" s="92" t="s">
        <v>68</v>
      </c>
      <c r="D75" s="27" t="s">
        <v>75</v>
      </c>
      <c r="E75" s="252">
        <v>45000</v>
      </c>
      <c r="F75" s="157"/>
    </row>
    <row r="76" spans="1:6" ht="20.100000000000001" customHeight="1">
      <c r="A76" s="27">
        <v>13</v>
      </c>
      <c r="B76" s="135" t="s">
        <v>67</v>
      </c>
      <c r="C76" s="92" t="s">
        <v>68</v>
      </c>
      <c r="D76" s="27" t="s">
        <v>86</v>
      </c>
      <c r="E76" s="252">
        <v>45000</v>
      </c>
      <c r="F76" s="157"/>
    </row>
    <row r="77" spans="1:6" ht="20.100000000000001" customHeight="1">
      <c r="A77" s="27"/>
      <c r="B77" s="136" t="s">
        <v>91</v>
      </c>
      <c r="C77" s="28">
        <v>13</v>
      </c>
      <c r="D77" s="28"/>
      <c r="E77" s="255">
        <f>SUM(E64:E76)</f>
        <v>945000</v>
      </c>
      <c r="F77" s="157"/>
    </row>
    <row r="78" spans="1:6" ht="20.100000000000001" customHeight="1">
      <c r="A78" s="27"/>
      <c r="B78" s="103"/>
      <c r="C78" s="28"/>
      <c r="D78" s="28"/>
      <c r="E78" s="256"/>
      <c r="F78" s="157"/>
    </row>
    <row r="79" spans="1:6" ht="20.100000000000001" customHeight="1">
      <c r="A79" s="27"/>
      <c r="B79" s="136" t="s">
        <v>146</v>
      </c>
      <c r="C79" s="28"/>
      <c r="D79" s="28"/>
      <c r="E79" s="256"/>
      <c r="F79" s="157"/>
    </row>
    <row r="80" spans="1:6" ht="20.100000000000001" customHeight="1">
      <c r="A80" s="27">
        <v>1</v>
      </c>
      <c r="B80" s="133" t="s">
        <v>147</v>
      </c>
      <c r="C80" s="19" t="s">
        <v>148</v>
      </c>
      <c r="D80" s="27" t="s">
        <v>95</v>
      </c>
      <c r="E80" s="252">
        <v>225000</v>
      </c>
      <c r="F80" s="157"/>
    </row>
    <row r="81" spans="1:6" ht="20.100000000000001" customHeight="1">
      <c r="A81" s="27">
        <v>2</v>
      </c>
      <c r="B81" s="135" t="s">
        <v>149</v>
      </c>
      <c r="C81" s="19" t="s">
        <v>150</v>
      </c>
      <c r="D81" s="158" t="s">
        <v>133</v>
      </c>
      <c r="E81" s="252">
        <v>105000</v>
      </c>
      <c r="F81" s="157"/>
    </row>
    <row r="82" spans="1:6" ht="20.100000000000001" customHeight="1">
      <c r="A82" s="27">
        <v>3</v>
      </c>
      <c r="B82" s="135" t="s">
        <v>571</v>
      </c>
      <c r="C82" s="19" t="s">
        <v>572</v>
      </c>
      <c r="D82" s="158" t="s">
        <v>133</v>
      </c>
      <c r="E82" s="252">
        <v>105000</v>
      </c>
      <c r="F82" s="157"/>
    </row>
    <row r="83" spans="1:6" ht="20.100000000000001" customHeight="1">
      <c r="A83" s="27">
        <v>4</v>
      </c>
      <c r="B83" s="133" t="s">
        <v>153</v>
      </c>
      <c r="C83" s="19" t="s">
        <v>414</v>
      </c>
      <c r="D83" s="158" t="s">
        <v>168</v>
      </c>
      <c r="E83" s="252">
        <v>75000</v>
      </c>
      <c r="F83" s="157"/>
    </row>
    <row r="84" spans="1:6" ht="20.100000000000001" customHeight="1">
      <c r="A84" s="27">
        <v>5</v>
      </c>
      <c r="B84" s="133" t="s">
        <v>155</v>
      </c>
      <c r="C84" s="19" t="s">
        <v>156</v>
      </c>
      <c r="D84" s="27" t="s">
        <v>157</v>
      </c>
      <c r="E84" s="252">
        <v>45000</v>
      </c>
      <c r="F84" s="157"/>
    </row>
    <row r="85" spans="1:6" ht="20.100000000000001" customHeight="1">
      <c r="A85" s="27"/>
      <c r="B85" s="136" t="s">
        <v>91</v>
      </c>
      <c r="C85" s="28">
        <v>5</v>
      </c>
      <c r="D85" s="28"/>
      <c r="E85" s="255">
        <f>SUM(E80:E84)</f>
        <v>555000</v>
      </c>
      <c r="F85" s="157"/>
    </row>
    <row r="86" spans="1:6" ht="20.100000000000001" customHeight="1">
      <c r="A86" s="27"/>
      <c r="B86" s="136"/>
      <c r="C86" s="28"/>
      <c r="D86" s="28"/>
      <c r="E86" s="252"/>
      <c r="F86" s="157"/>
    </row>
    <row r="87" spans="1:6" ht="20.100000000000001" customHeight="1">
      <c r="A87" s="27"/>
      <c r="B87" s="136" t="s">
        <v>161</v>
      </c>
      <c r="C87" s="163"/>
      <c r="D87" s="28"/>
      <c r="E87" s="252"/>
      <c r="F87" s="157"/>
    </row>
    <row r="88" spans="1:6" ht="20.100000000000001" customHeight="1">
      <c r="A88" s="27">
        <v>1</v>
      </c>
      <c r="B88" s="133" t="s">
        <v>162</v>
      </c>
      <c r="C88" s="19" t="s">
        <v>109</v>
      </c>
      <c r="D88" s="27" t="s">
        <v>45</v>
      </c>
      <c r="E88" s="252">
        <v>105000</v>
      </c>
      <c r="F88" s="157"/>
    </row>
    <row r="89" spans="1:6" ht="20.100000000000001" customHeight="1">
      <c r="A89" s="27">
        <v>2</v>
      </c>
      <c r="B89" s="133" t="s">
        <v>163</v>
      </c>
      <c r="C89" s="19" t="s">
        <v>109</v>
      </c>
      <c r="D89" s="27" t="s">
        <v>45</v>
      </c>
      <c r="E89" s="252">
        <v>105000</v>
      </c>
      <c r="F89" s="157"/>
    </row>
    <row r="90" spans="1:6" ht="20.100000000000001" customHeight="1">
      <c r="A90" s="27">
        <v>3</v>
      </c>
      <c r="B90" s="135" t="s">
        <v>164</v>
      </c>
      <c r="C90" s="19" t="s">
        <v>53</v>
      </c>
      <c r="D90" s="27" t="s">
        <v>413</v>
      </c>
      <c r="E90" s="257">
        <v>75000</v>
      </c>
      <c r="F90" s="157"/>
    </row>
    <row r="91" spans="1:6" ht="20.100000000000001" customHeight="1">
      <c r="A91" s="27">
        <v>4</v>
      </c>
      <c r="B91" s="133" t="s">
        <v>165</v>
      </c>
      <c r="C91" s="19" t="s">
        <v>115</v>
      </c>
      <c r="D91" s="27" t="s">
        <v>51</v>
      </c>
      <c r="E91" s="257">
        <v>75000</v>
      </c>
      <c r="F91" s="157"/>
    </row>
    <row r="92" spans="1:6" ht="21.6" customHeight="1">
      <c r="A92" s="27">
        <v>5</v>
      </c>
      <c r="B92" s="133" t="s">
        <v>166</v>
      </c>
      <c r="C92" s="19" t="s">
        <v>167</v>
      </c>
      <c r="D92" s="158" t="s">
        <v>168</v>
      </c>
      <c r="E92" s="257">
        <v>75000</v>
      </c>
      <c r="F92" s="157"/>
    </row>
    <row r="93" spans="1:6" ht="21.6" customHeight="1">
      <c r="A93" s="27">
        <v>6</v>
      </c>
      <c r="B93" s="133" t="s">
        <v>169</v>
      </c>
      <c r="C93" s="138" t="s">
        <v>136</v>
      </c>
      <c r="D93" s="158" t="s">
        <v>60</v>
      </c>
      <c r="E93" s="257">
        <v>75000</v>
      </c>
      <c r="F93" s="157"/>
    </row>
    <row r="94" spans="1:6" ht="21.6" customHeight="1">
      <c r="A94" s="27">
        <v>7</v>
      </c>
      <c r="B94" s="133" t="s">
        <v>170</v>
      </c>
      <c r="C94" s="138" t="s">
        <v>136</v>
      </c>
      <c r="D94" s="158" t="s">
        <v>60</v>
      </c>
      <c r="E94" s="257">
        <v>75000</v>
      </c>
      <c r="F94" s="157"/>
    </row>
    <row r="95" spans="1:6" ht="21.6" customHeight="1">
      <c r="A95" s="27">
        <v>8</v>
      </c>
      <c r="B95" s="133" t="s">
        <v>172</v>
      </c>
      <c r="C95" s="92" t="s">
        <v>140</v>
      </c>
      <c r="D95" s="158" t="s">
        <v>69</v>
      </c>
      <c r="E95" s="252">
        <v>45000</v>
      </c>
      <c r="F95" s="157"/>
    </row>
    <row r="96" spans="1:6" ht="21.6" customHeight="1">
      <c r="A96" s="27">
        <v>9</v>
      </c>
      <c r="B96" s="133" t="s">
        <v>174</v>
      </c>
      <c r="C96" s="19" t="s">
        <v>175</v>
      </c>
      <c r="D96" s="27" t="s">
        <v>72</v>
      </c>
      <c r="E96" s="252">
        <v>45000</v>
      </c>
      <c r="F96" s="157"/>
    </row>
    <row r="97" spans="1:6" ht="21.6" customHeight="1">
      <c r="A97" s="27">
        <v>10</v>
      </c>
      <c r="B97" s="133" t="s">
        <v>176</v>
      </c>
      <c r="C97" s="92" t="s">
        <v>177</v>
      </c>
      <c r="D97" s="158" t="s">
        <v>86</v>
      </c>
      <c r="E97" s="252">
        <v>45000</v>
      </c>
      <c r="F97" s="157"/>
    </row>
    <row r="98" spans="1:6" ht="20.100000000000001" customHeight="1">
      <c r="A98" s="27"/>
      <c r="B98" s="136" t="s">
        <v>91</v>
      </c>
      <c r="C98" s="28">
        <v>10</v>
      </c>
      <c r="D98" s="28"/>
      <c r="E98" s="255">
        <f>SUM(E88:E97)</f>
        <v>720000</v>
      </c>
      <c r="F98" s="157"/>
    </row>
    <row r="99" spans="1:6" ht="20.100000000000001" customHeight="1">
      <c r="A99" s="27"/>
      <c r="B99" s="103"/>
      <c r="C99" s="28"/>
      <c r="D99" s="28"/>
      <c r="E99" s="256"/>
      <c r="F99" s="157"/>
    </row>
    <row r="100" spans="1:6" ht="20.100000000000001" customHeight="1">
      <c r="A100" s="27"/>
      <c r="B100" s="136" t="s">
        <v>178</v>
      </c>
      <c r="C100" s="28"/>
      <c r="D100" s="28"/>
      <c r="E100" s="256"/>
      <c r="F100" s="157"/>
    </row>
    <row r="101" spans="1:6" ht="20.100000000000001" customHeight="1">
      <c r="A101" s="27">
        <v>1</v>
      </c>
      <c r="B101" s="134" t="s">
        <v>41</v>
      </c>
      <c r="C101" s="27" t="s">
        <v>42</v>
      </c>
      <c r="D101" s="158" t="s">
        <v>36</v>
      </c>
      <c r="E101" s="252">
        <v>150000</v>
      </c>
      <c r="F101" s="157"/>
    </row>
    <row r="102" spans="1:6" ht="20.100000000000001" customHeight="1">
      <c r="A102" s="27">
        <v>2</v>
      </c>
      <c r="B102" s="133" t="s">
        <v>46</v>
      </c>
      <c r="C102" s="19" t="s">
        <v>182</v>
      </c>
      <c r="D102" s="27" t="s">
        <v>51</v>
      </c>
      <c r="E102" s="252">
        <v>75000</v>
      </c>
      <c r="F102" s="157"/>
    </row>
    <row r="103" spans="1:6" ht="20.100000000000001" customHeight="1">
      <c r="A103" s="27">
        <v>3</v>
      </c>
      <c r="B103" s="133" t="s">
        <v>183</v>
      </c>
      <c r="C103" s="19" t="s">
        <v>184</v>
      </c>
      <c r="D103" s="158" t="s">
        <v>66</v>
      </c>
      <c r="E103" s="252">
        <v>45000</v>
      </c>
      <c r="F103" s="157"/>
    </row>
    <row r="104" spans="1:6" ht="20.100000000000001" customHeight="1">
      <c r="A104" s="27">
        <v>4</v>
      </c>
      <c r="B104" s="133" t="s">
        <v>573</v>
      </c>
      <c r="C104" s="19" t="s">
        <v>574</v>
      </c>
      <c r="D104" s="158" t="s">
        <v>199</v>
      </c>
      <c r="E104" s="252">
        <v>45000</v>
      </c>
      <c r="F104" s="157"/>
    </row>
    <row r="105" spans="1:6" ht="20.100000000000001" customHeight="1">
      <c r="A105" s="19"/>
      <c r="B105" s="136" t="s">
        <v>91</v>
      </c>
      <c r="C105" s="28">
        <v>3</v>
      </c>
      <c r="D105" s="164"/>
      <c r="E105" s="255">
        <f>SUM(E101:E104)</f>
        <v>315000</v>
      </c>
      <c r="F105" s="157"/>
    </row>
    <row r="106" spans="1:6" ht="20.100000000000001" customHeight="1">
      <c r="A106" s="19"/>
      <c r="B106" s="103"/>
      <c r="C106" s="28"/>
      <c r="D106" s="164"/>
      <c r="E106" s="256"/>
      <c r="F106" s="157"/>
    </row>
    <row r="107" spans="1:6" ht="20.100000000000001" customHeight="1">
      <c r="A107" s="19"/>
      <c r="B107" s="136" t="s">
        <v>187</v>
      </c>
      <c r="C107" s="19"/>
      <c r="D107" s="19"/>
      <c r="E107" s="258"/>
      <c r="F107" s="157"/>
    </row>
    <row r="108" spans="1:6" ht="20.100000000000001" customHeight="1">
      <c r="A108" s="19">
        <v>1</v>
      </c>
      <c r="B108" s="133" t="s">
        <v>188</v>
      </c>
      <c r="C108" s="138" t="s">
        <v>189</v>
      </c>
      <c r="D108" s="158" t="s">
        <v>95</v>
      </c>
      <c r="E108" s="252">
        <v>225000</v>
      </c>
      <c r="F108" s="157"/>
    </row>
    <row r="109" spans="1:6" ht="20.100000000000001" customHeight="1">
      <c r="A109" s="19">
        <v>2</v>
      </c>
      <c r="B109" s="133" t="s">
        <v>190</v>
      </c>
      <c r="C109" s="19" t="s">
        <v>191</v>
      </c>
      <c r="D109" s="23" t="s">
        <v>36</v>
      </c>
      <c r="E109" s="252">
        <v>150000</v>
      </c>
      <c r="F109" s="157"/>
    </row>
    <row r="110" spans="1:6" ht="20.100000000000001" customHeight="1">
      <c r="A110" s="19">
        <v>3</v>
      </c>
      <c r="B110" s="133" t="s">
        <v>192</v>
      </c>
      <c r="C110" s="19" t="s">
        <v>193</v>
      </c>
      <c r="D110" s="27" t="s">
        <v>57</v>
      </c>
      <c r="E110" s="252">
        <v>75000</v>
      </c>
      <c r="F110" s="157"/>
    </row>
    <row r="111" spans="1:6" ht="20.100000000000001" customHeight="1">
      <c r="A111" s="19">
        <v>4</v>
      </c>
      <c r="B111" s="133" t="s">
        <v>194</v>
      </c>
      <c r="C111" s="19" t="s">
        <v>193</v>
      </c>
      <c r="D111" s="27" t="s">
        <v>57</v>
      </c>
      <c r="E111" s="252">
        <v>75000</v>
      </c>
      <c r="F111" s="157"/>
    </row>
    <row r="112" spans="1:6" ht="20.100000000000001" customHeight="1">
      <c r="A112" s="19">
        <v>5</v>
      </c>
      <c r="B112" s="133" t="s">
        <v>195</v>
      </c>
      <c r="C112" s="19" t="s">
        <v>196</v>
      </c>
      <c r="D112" s="158" t="s">
        <v>197</v>
      </c>
      <c r="E112" s="252">
        <v>45000</v>
      </c>
      <c r="F112" s="157"/>
    </row>
    <row r="113" spans="1:6" ht="20.100000000000001" customHeight="1">
      <c r="A113" s="19">
        <v>6</v>
      </c>
      <c r="B113" s="134" t="s">
        <v>198</v>
      </c>
      <c r="C113" s="19" t="s">
        <v>196</v>
      </c>
      <c r="D113" s="27" t="s">
        <v>199</v>
      </c>
      <c r="E113" s="252">
        <v>45000</v>
      </c>
      <c r="F113" s="157"/>
    </row>
    <row r="114" spans="1:6" ht="20.100000000000001" customHeight="1">
      <c r="A114" s="19">
        <v>7</v>
      </c>
      <c r="B114" s="134" t="s">
        <v>200</v>
      </c>
      <c r="C114" s="19" t="s">
        <v>196</v>
      </c>
      <c r="D114" s="158" t="s">
        <v>86</v>
      </c>
      <c r="E114" s="252">
        <v>45000</v>
      </c>
      <c r="F114" s="157"/>
    </row>
    <row r="115" spans="1:6" ht="20.100000000000001" customHeight="1">
      <c r="A115" s="19"/>
      <c r="B115" s="136" t="s">
        <v>91</v>
      </c>
      <c r="C115" s="28">
        <v>7</v>
      </c>
      <c r="D115" s="19"/>
      <c r="E115" s="259">
        <f>SUM(E108:E114)</f>
        <v>660000</v>
      </c>
      <c r="F115" s="157"/>
    </row>
    <row r="116" spans="1:6" ht="20.100000000000001" customHeight="1">
      <c r="A116" s="19"/>
      <c r="B116" s="136"/>
      <c r="C116" s="28"/>
      <c r="D116" s="19"/>
      <c r="E116" s="259"/>
      <c r="F116" s="157"/>
    </row>
    <row r="117" spans="1:6" ht="48.75" customHeight="1">
      <c r="A117" s="27"/>
      <c r="B117" s="136" t="s">
        <v>578</v>
      </c>
      <c r="C117" s="28"/>
      <c r="D117" s="28"/>
      <c r="E117" s="259"/>
      <c r="F117" s="157"/>
    </row>
    <row r="118" spans="1:6" ht="27" customHeight="1">
      <c r="A118" s="27">
        <v>1</v>
      </c>
      <c r="B118" s="133" t="s">
        <v>202</v>
      </c>
      <c r="C118" s="92" t="s">
        <v>140</v>
      </c>
      <c r="D118" s="158" t="s">
        <v>203</v>
      </c>
      <c r="E118" s="252">
        <v>45000</v>
      </c>
      <c r="F118" s="157"/>
    </row>
    <row r="119" spans="1:6" ht="27" customHeight="1">
      <c r="A119" s="27">
        <v>2</v>
      </c>
      <c r="B119" s="133" t="s">
        <v>204</v>
      </c>
      <c r="C119" s="19" t="s">
        <v>205</v>
      </c>
      <c r="D119" s="158" t="s">
        <v>66</v>
      </c>
      <c r="E119" s="252">
        <v>45000</v>
      </c>
      <c r="F119" s="157"/>
    </row>
    <row r="120" spans="1:6" ht="27" customHeight="1">
      <c r="A120" s="19"/>
      <c r="B120" s="136" t="s">
        <v>91</v>
      </c>
      <c r="C120" s="28">
        <v>2</v>
      </c>
      <c r="D120" s="164"/>
      <c r="E120" s="259">
        <f>SUM(E118:E119)</f>
        <v>90000</v>
      </c>
      <c r="F120" s="157"/>
    </row>
    <row r="121" spans="1:6" ht="20.100000000000001" customHeight="1">
      <c r="A121" s="19"/>
      <c r="B121" s="103"/>
      <c r="C121" s="27"/>
      <c r="D121" s="19"/>
      <c r="E121" s="260"/>
      <c r="F121" s="157"/>
    </row>
    <row r="122" spans="1:6" ht="20.100000000000001" customHeight="1">
      <c r="A122" s="19"/>
      <c r="B122" s="136" t="s">
        <v>208</v>
      </c>
      <c r="C122" s="28"/>
      <c r="D122" s="28"/>
      <c r="E122" s="252"/>
      <c r="F122" s="157"/>
    </row>
    <row r="123" spans="1:6" ht="20.100000000000001" customHeight="1">
      <c r="A123" s="19">
        <v>1</v>
      </c>
      <c r="B123" s="133" t="s">
        <v>209</v>
      </c>
      <c r="C123" s="138" t="s">
        <v>210</v>
      </c>
      <c r="D123" s="158" t="s">
        <v>95</v>
      </c>
      <c r="E123" s="252">
        <v>225000</v>
      </c>
      <c r="F123" s="157"/>
    </row>
    <row r="124" spans="1:6" ht="20.100000000000001" customHeight="1">
      <c r="A124" s="19">
        <v>2</v>
      </c>
      <c r="B124" s="133" t="s">
        <v>211</v>
      </c>
      <c r="C124" s="138" t="s">
        <v>214</v>
      </c>
      <c r="D124" s="158" t="s">
        <v>45</v>
      </c>
      <c r="E124" s="252">
        <v>105000</v>
      </c>
      <c r="F124" s="157"/>
    </row>
    <row r="125" spans="1:6" ht="20.100000000000001" customHeight="1">
      <c r="A125" s="19">
        <v>3</v>
      </c>
      <c r="B125" s="135" t="s">
        <v>213</v>
      </c>
      <c r="C125" s="138" t="s">
        <v>214</v>
      </c>
      <c r="D125" s="158" t="s">
        <v>45</v>
      </c>
      <c r="E125" s="252">
        <v>105000</v>
      </c>
      <c r="F125" s="157"/>
    </row>
    <row r="126" spans="1:6" ht="20.100000000000001" customHeight="1">
      <c r="A126" s="19">
        <v>4</v>
      </c>
      <c r="B126" s="135" t="s">
        <v>215</v>
      </c>
      <c r="C126" s="138" t="s">
        <v>214</v>
      </c>
      <c r="D126" s="158" t="s">
        <v>48</v>
      </c>
      <c r="E126" s="252">
        <v>105000</v>
      </c>
      <c r="F126" s="157"/>
    </row>
    <row r="127" spans="1:6" ht="20.100000000000001" customHeight="1">
      <c r="A127" s="19">
        <v>5</v>
      </c>
      <c r="B127" s="133" t="s">
        <v>216</v>
      </c>
      <c r="C127" s="138" t="s">
        <v>217</v>
      </c>
      <c r="D127" s="158" t="s">
        <v>54</v>
      </c>
      <c r="E127" s="252">
        <v>75000</v>
      </c>
      <c r="F127" s="157"/>
    </row>
    <row r="128" spans="1:6" ht="20.100000000000001" customHeight="1">
      <c r="A128" s="19">
        <v>6</v>
      </c>
      <c r="B128" s="133" t="s">
        <v>218</v>
      </c>
      <c r="C128" s="138" t="s">
        <v>219</v>
      </c>
      <c r="D128" s="158" t="s">
        <v>168</v>
      </c>
      <c r="E128" s="252">
        <v>75000</v>
      </c>
      <c r="F128" s="157"/>
    </row>
    <row r="129" spans="1:6" ht="20.100000000000001" customHeight="1">
      <c r="A129" s="19">
        <v>7</v>
      </c>
      <c r="B129" s="133" t="s">
        <v>220</v>
      </c>
      <c r="C129" s="138" t="s">
        <v>416</v>
      </c>
      <c r="D129" s="158" t="s">
        <v>168</v>
      </c>
      <c r="E129" s="252">
        <v>75000</v>
      </c>
      <c r="F129" s="157"/>
    </row>
    <row r="130" spans="1:6" ht="20.100000000000001" customHeight="1">
      <c r="A130" s="19">
        <v>8</v>
      </c>
      <c r="B130" s="133" t="s">
        <v>221</v>
      </c>
      <c r="C130" s="138" t="s">
        <v>222</v>
      </c>
      <c r="D130" s="27" t="s">
        <v>75</v>
      </c>
      <c r="E130" s="252">
        <v>45000</v>
      </c>
      <c r="F130" s="157"/>
    </row>
    <row r="131" spans="1:6" ht="20.100000000000001" customHeight="1">
      <c r="A131" s="19">
        <v>9</v>
      </c>
      <c r="B131" s="134" t="s">
        <v>223</v>
      </c>
      <c r="C131" s="138" t="s">
        <v>224</v>
      </c>
      <c r="D131" s="158" t="s">
        <v>86</v>
      </c>
      <c r="E131" s="252">
        <v>45000</v>
      </c>
      <c r="F131" s="157"/>
    </row>
    <row r="132" spans="1:6" ht="20.100000000000001" customHeight="1">
      <c r="A132" s="19"/>
      <c r="B132" s="136" t="s">
        <v>91</v>
      </c>
      <c r="C132" s="164" t="s">
        <v>575</v>
      </c>
      <c r="D132" s="158"/>
      <c r="E132" s="261">
        <f>SUM(E123:E131)</f>
        <v>855000</v>
      </c>
      <c r="F132" s="157"/>
    </row>
    <row r="133" spans="1:6" ht="20.100000000000001" customHeight="1">
      <c r="A133" s="19"/>
      <c r="B133" s="103"/>
      <c r="C133" s="164"/>
      <c r="D133" s="158"/>
      <c r="E133" s="262"/>
      <c r="F133" s="157"/>
    </row>
    <row r="134" spans="1:6" ht="20.100000000000001" customHeight="1">
      <c r="A134" s="19"/>
      <c r="B134" s="136" t="s">
        <v>228</v>
      </c>
      <c r="C134" s="138"/>
      <c r="D134" s="158"/>
      <c r="E134" s="252"/>
      <c r="F134" s="157"/>
    </row>
    <row r="135" spans="1:6" ht="20.100000000000001" customHeight="1">
      <c r="A135" s="168">
        <v>1</v>
      </c>
      <c r="B135" s="133" t="s">
        <v>229</v>
      </c>
      <c r="C135" s="138" t="s">
        <v>230</v>
      </c>
      <c r="D135" s="158" t="s">
        <v>95</v>
      </c>
      <c r="E135" s="252">
        <v>225000</v>
      </c>
      <c r="F135" s="157"/>
    </row>
    <row r="136" spans="1:6" ht="20.100000000000001" customHeight="1">
      <c r="A136" s="168">
        <v>2</v>
      </c>
      <c r="B136" s="133" t="s">
        <v>231</v>
      </c>
      <c r="C136" s="138" t="s">
        <v>232</v>
      </c>
      <c r="D136" s="158" t="s">
        <v>233</v>
      </c>
      <c r="E136" s="252">
        <v>150000</v>
      </c>
      <c r="F136" s="157"/>
    </row>
    <row r="137" spans="1:6" ht="20.100000000000001" customHeight="1">
      <c r="A137" s="168">
        <v>3</v>
      </c>
      <c r="B137" s="135" t="s">
        <v>234</v>
      </c>
      <c r="C137" s="19" t="s">
        <v>235</v>
      </c>
      <c r="D137" s="23" t="s">
        <v>36</v>
      </c>
      <c r="E137" s="252">
        <v>150000</v>
      </c>
      <c r="F137" s="157"/>
    </row>
    <row r="138" spans="1:6" ht="20.100000000000001" customHeight="1">
      <c r="A138" s="168">
        <v>4</v>
      </c>
      <c r="B138" s="133" t="s">
        <v>236</v>
      </c>
      <c r="C138" s="138" t="s">
        <v>237</v>
      </c>
      <c r="D138" s="158" t="s">
        <v>51</v>
      </c>
      <c r="E138" s="252">
        <v>75000</v>
      </c>
      <c r="F138" s="157"/>
    </row>
    <row r="139" spans="1:6" ht="20.100000000000001" customHeight="1">
      <c r="A139" s="168">
        <v>5</v>
      </c>
      <c r="B139" s="133" t="s">
        <v>238</v>
      </c>
      <c r="C139" s="19" t="s">
        <v>239</v>
      </c>
      <c r="D139" s="158" t="s">
        <v>51</v>
      </c>
      <c r="E139" s="252">
        <v>75000</v>
      </c>
      <c r="F139" s="157"/>
    </row>
    <row r="140" spans="1:6" ht="20.100000000000001" customHeight="1">
      <c r="A140" s="168">
        <v>6</v>
      </c>
      <c r="B140" s="133" t="s">
        <v>181</v>
      </c>
      <c r="C140" s="19" t="s">
        <v>245</v>
      </c>
      <c r="D140" s="158" t="s">
        <v>168</v>
      </c>
      <c r="E140" s="252">
        <v>75000</v>
      </c>
      <c r="F140" s="157"/>
    </row>
    <row r="141" spans="1:6" ht="20.100000000000001" customHeight="1">
      <c r="A141" s="168">
        <v>7</v>
      </c>
      <c r="B141" s="133" t="s">
        <v>241</v>
      </c>
      <c r="C141" s="138" t="s">
        <v>242</v>
      </c>
      <c r="D141" s="158" t="s">
        <v>203</v>
      </c>
      <c r="E141" s="252">
        <v>45000</v>
      </c>
      <c r="F141" s="157"/>
    </row>
    <row r="142" spans="1:6" ht="20.100000000000001" customHeight="1">
      <c r="A142" s="168">
        <v>8</v>
      </c>
      <c r="B142" s="133" t="s">
        <v>243</v>
      </c>
      <c r="C142" s="138" t="s">
        <v>242</v>
      </c>
      <c r="D142" s="158" t="s">
        <v>203</v>
      </c>
      <c r="E142" s="252">
        <v>45000</v>
      </c>
      <c r="F142" s="157"/>
    </row>
    <row r="143" spans="1:6" ht="20.100000000000001" customHeight="1">
      <c r="A143" s="168">
        <v>9</v>
      </c>
      <c r="B143" s="133" t="s">
        <v>244</v>
      </c>
      <c r="C143" s="19" t="s">
        <v>245</v>
      </c>
      <c r="D143" s="158" t="s">
        <v>203</v>
      </c>
      <c r="E143" s="252">
        <v>45000</v>
      </c>
      <c r="F143" s="157"/>
    </row>
    <row r="144" spans="1:6" ht="20.100000000000001" customHeight="1">
      <c r="A144" s="168">
        <v>10</v>
      </c>
      <c r="B144" s="133" t="s">
        <v>246</v>
      </c>
      <c r="C144" s="138" t="s">
        <v>251</v>
      </c>
      <c r="D144" s="158" t="s">
        <v>66</v>
      </c>
      <c r="E144" s="252">
        <v>45000</v>
      </c>
      <c r="F144" s="157"/>
    </row>
    <row r="145" spans="1:6" ht="20.100000000000001" customHeight="1">
      <c r="A145" s="168">
        <v>11</v>
      </c>
      <c r="B145" s="133" t="s">
        <v>248</v>
      </c>
      <c r="C145" s="138" t="s">
        <v>418</v>
      </c>
      <c r="D145" s="158" t="s">
        <v>419</v>
      </c>
      <c r="E145" s="252">
        <v>45000</v>
      </c>
      <c r="F145" s="157"/>
    </row>
    <row r="146" spans="1:6" ht="20.100000000000001" customHeight="1">
      <c r="A146" s="168">
        <v>12</v>
      </c>
      <c r="B146" s="133" t="s">
        <v>250</v>
      </c>
      <c r="C146" s="138" t="s">
        <v>251</v>
      </c>
      <c r="D146" s="158" t="s">
        <v>203</v>
      </c>
      <c r="E146" s="252">
        <v>45000</v>
      </c>
      <c r="F146" s="157"/>
    </row>
    <row r="147" spans="1:6" ht="20.100000000000001" customHeight="1">
      <c r="A147" s="168">
        <v>13</v>
      </c>
      <c r="B147" s="134" t="s">
        <v>252</v>
      </c>
      <c r="C147" s="19" t="s">
        <v>262</v>
      </c>
      <c r="D147" s="158" t="s">
        <v>419</v>
      </c>
      <c r="E147" s="252">
        <v>45000</v>
      </c>
      <c r="F147" s="157"/>
    </row>
    <row r="148" spans="1:6" ht="20.100000000000001" customHeight="1">
      <c r="A148" s="168">
        <v>14</v>
      </c>
      <c r="B148" s="133" t="s">
        <v>254</v>
      </c>
      <c r="C148" s="19" t="s">
        <v>255</v>
      </c>
      <c r="D148" s="158" t="s">
        <v>157</v>
      </c>
      <c r="E148" s="252">
        <v>45000</v>
      </c>
      <c r="F148" s="157"/>
    </row>
    <row r="149" spans="1:6" ht="20.100000000000001" customHeight="1">
      <c r="A149" s="168">
        <v>15</v>
      </c>
      <c r="B149" s="133" t="s">
        <v>256</v>
      </c>
      <c r="C149" s="19" t="s">
        <v>255</v>
      </c>
      <c r="D149" s="158" t="s">
        <v>257</v>
      </c>
      <c r="E149" s="252">
        <v>45000</v>
      </c>
      <c r="F149" s="157"/>
    </row>
    <row r="150" spans="1:6" ht="20.100000000000001" customHeight="1">
      <c r="A150" s="168">
        <v>16</v>
      </c>
      <c r="B150" s="133" t="s">
        <v>258</v>
      </c>
      <c r="C150" s="19" t="s">
        <v>255</v>
      </c>
      <c r="D150" s="158" t="s">
        <v>257</v>
      </c>
      <c r="E150" s="252">
        <v>45000</v>
      </c>
      <c r="F150" s="157"/>
    </row>
    <row r="151" spans="1:6" ht="20.100000000000001" customHeight="1">
      <c r="A151" s="168">
        <v>17</v>
      </c>
      <c r="B151" s="133" t="s">
        <v>259</v>
      </c>
      <c r="C151" s="138" t="s">
        <v>260</v>
      </c>
      <c r="D151" s="158" t="s">
        <v>72</v>
      </c>
      <c r="E151" s="252">
        <v>45000</v>
      </c>
      <c r="F151" s="157"/>
    </row>
    <row r="152" spans="1:6" ht="20.100000000000001" customHeight="1">
      <c r="A152" s="168">
        <v>18</v>
      </c>
      <c r="B152" s="133" t="s">
        <v>261</v>
      </c>
      <c r="C152" s="138" t="s">
        <v>262</v>
      </c>
      <c r="D152" s="27" t="s">
        <v>79</v>
      </c>
      <c r="E152" s="252">
        <v>45000</v>
      </c>
      <c r="F152" s="157"/>
    </row>
    <row r="153" spans="1:6" ht="20.100000000000001" customHeight="1">
      <c r="A153" s="168">
        <v>19</v>
      </c>
      <c r="B153" s="133" t="s">
        <v>263</v>
      </c>
      <c r="C153" s="138" t="s">
        <v>264</v>
      </c>
      <c r="D153" s="158" t="s">
        <v>157</v>
      </c>
      <c r="E153" s="252">
        <v>45000</v>
      </c>
      <c r="F153" s="157"/>
    </row>
    <row r="154" spans="1:6" ht="20.100000000000001" customHeight="1">
      <c r="A154" s="168">
        <v>20</v>
      </c>
      <c r="B154" s="133" t="s">
        <v>265</v>
      </c>
      <c r="C154" s="138" t="s">
        <v>266</v>
      </c>
      <c r="D154" s="158" t="s">
        <v>75</v>
      </c>
      <c r="E154" s="252">
        <v>45000</v>
      </c>
      <c r="F154" s="157"/>
    </row>
    <row r="155" spans="1:6" ht="20.100000000000001" customHeight="1">
      <c r="A155" s="168">
        <v>21</v>
      </c>
      <c r="B155" s="133" t="s">
        <v>267</v>
      </c>
      <c r="C155" s="138" t="s">
        <v>268</v>
      </c>
      <c r="D155" s="158" t="s">
        <v>157</v>
      </c>
      <c r="E155" s="252">
        <v>45000</v>
      </c>
      <c r="F155" s="157"/>
    </row>
    <row r="156" spans="1:6" ht="20.100000000000001" customHeight="1">
      <c r="A156" s="168">
        <v>22</v>
      </c>
      <c r="B156" s="133" t="s">
        <v>269</v>
      </c>
      <c r="C156" s="138" t="s">
        <v>270</v>
      </c>
      <c r="D156" s="158" t="s">
        <v>75</v>
      </c>
      <c r="E156" s="252">
        <v>45000</v>
      </c>
      <c r="F156" s="157"/>
    </row>
    <row r="157" spans="1:6" ht="20.100000000000001" customHeight="1">
      <c r="A157" s="168">
        <v>23</v>
      </c>
      <c r="B157" s="134" t="s">
        <v>271</v>
      </c>
      <c r="C157" s="138" t="s">
        <v>276</v>
      </c>
      <c r="D157" s="158" t="s">
        <v>199</v>
      </c>
      <c r="E157" s="252">
        <v>45000</v>
      </c>
      <c r="F157" s="157"/>
    </row>
    <row r="158" spans="1:6" ht="20.100000000000001" customHeight="1">
      <c r="A158" s="168">
        <v>24</v>
      </c>
      <c r="B158" s="134" t="s">
        <v>273</v>
      </c>
      <c r="C158" s="138" t="s">
        <v>274</v>
      </c>
      <c r="D158" s="158" t="s">
        <v>90</v>
      </c>
      <c r="E158" s="252">
        <v>45000</v>
      </c>
      <c r="F158" s="157"/>
    </row>
    <row r="159" spans="1:6" ht="20.100000000000001" customHeight="1">
      <c r="A159" s="168">
        <v>25</v>
      </c>
      <c r="B159" s="134" t="s">
        <v>275</v>
      </c>
      <c r="C159" s="138" t="s">
        <v>276</v>
      </c>
      <c r="D159" s="158" t="s">
        <v>90</v>
      </c>
      <c r="E159" s="252">
        <v>45000</v>
      </c>
      <c r="F159" s="157"/>
    </row>
    <row r="160" spans="1:6" ht="20.100000000000001" customHeight="1">
      <c r="A160" s="168">
        <v>26</v>
      </c>
      <c r="B160" s="134" t="s">
        <v>277</v>
      </c>
      <c r="C160" s="138" t="s">
        <v>278</v>
      </c>
      <c r="D160" s="158" t="s">
        <v>86</v>
      </c>
      <c r="E160" s="252">
        <v>45000</v>
      </c>
      <c r="F160" s="157"/>
    </row>
    <row r="161" spans="1:6" ht="20.100000000000001" customHeight="1">
      <c r="A161" s="168">
        <v>27</v>
      </c>
      <c r="B161" s="134" t="s">
        <v>279</v>
      </c>
      <c r="C161" s="138" t="s">
        <v>280</v>
      </c>
      <c r="D161" s="158" t="s">
        <v>86</v>
      </c>
      <c r="E161" s="252">
        <v>45000</v>
      </c>
      <c r="F161" s="157"/>
    </row>
    <row r="162" spans="1:6" ht="20.100000000000001" customHeight="1">
      <c r="A162" s="168">
        <v>28</v>
      </c>
      <c r="B162" s="133" t="s">
        <v>282</v>
      </c>
      <c r="C162" s="138" t="s">
        <v>283</v>
      </c>
      <c r="D162" s="158" t="s">
        <v>284</v>
      </c>
      <c r="E162" s="252">
        <v>30000</v>
      </c>
      <c r="F162" s="157"/>
    </row>
    <row r="163" spans="1:6" ht="20.100000000000001" customHeight="1">
      <c r="A163" s="168">
        <v>29</v>
      </c>
      <c r="B163" s="133" t="s">
        <v>285</v>
      </c>
      <c r="C163" s="138" t="s">
        <v>283</v>
      </c>
      <c r="D163" s="158" t="s">
        <v>284</v>
      </c>
      <c r="E163" s="252">
        <v>30000</v>
      </c>
      <c r="F163" s="157"/>
    </row>
    <row r="164" spans="1:6" ht="20.100000000000001" customHeight="1">
      <c r="A164" s="168">
        <v>30</v>
      </c>
      <c r="B164" s="133" t="s">
        <v>286</v>
      </c>
      <c r="C164" s="138" t="s">
        <v>283</v>
      </c>
      <c r="D164" s="158" t="s">
        <v>284</v>
      </c>
      <c r="E164" s="252">
        <v>30000</v>
      </c>
      <c r="F164" s="157"/>
    </row>
    <row r="165" spans="1:6" ht="20.100000000000001" customHeight="1">
      <c r="A165" s="168">
        <v>32</v>
      </c>
      <c r="B165" s="133" t="s">
        <v>287</v>
      </c>
      <c r="C165" s="138" t="s">
        <v>283</v>
      </c>
      <c r="D165" s="158" t="s">
        <v>284</v>
      </c>
      <c r="E165" s="252">
        <v>30000</v>
      </c>
      <c r="F165" s="157"/>
    </row>
    <row r="166" spans="1:6" ht="20.100000000000001" customHeight="1">
      <c r="A166" s="168">
        <v>33</v>
      </c>
      <c r="B166" s="133" t="s">
        <v>288</v>
      </c>
      <c r="C166" s="138" t="s">
        <v>283</v>
      </c>
      <c r="D166" s="158" t="s">
        <v>284</v>
      </c>
      <c r="E166" s="252">
        <v>30000</v>
      </c>
      <c r="F166" s="157"/>
    </row>
    <row r="167" spans="1:6" ht="20.100000000000001" customHeight="1">
      <c r="A167" s="168">
        <v>34</v>
      </c>
      <c r="B167" s="133" t="s">
        <v>289</v>
      </c>
      <c r="C167" s="138" t="s">
        <v>283</v>
      </c>
      <c r="D167" s="158" t="s">
        <v>290</v>
      </c>
      <c r="E167" s="252">
        <v>30000</v>
      </c>
      <c r="F167" s="157"/>
    </row>
    <row r="168" spans="1:6" ht="20.100000000000001" customHeight="1">
      <c r="A168" s="168">
        <v>35</v>
      </c>
      <c r="B168" s="133" t="s">
        <v>291</v>
      </c>
      <c r="C168" s="138" t="s">
        <v>283</v>
      </c>
      <c r="D168" s="158" t="s">
        <v>290</v>
      </c>
      <c r="E168" s="252">
        <v>30000</v>
      </c>
      <c r="F168" s="157"/>
    </row>
    <row r="169" spans="1:6" ht="20.100000000000001" customHeight="1">
      <c r="A169" s="168">
        <v>36</v>
      </c>
      <c r="B169" s="135" t="s">
        <v>292</v>
      </c>
      <c r="C169" s="138" t="s">
        <v>283</v>
      </c>
      <c r="D169" s="158" t="s">
        <v>290</v>
      </c>
      <c r="E169" s="252">
        <v>30000</v>
      </c>
      <c r="F169" s="157"/>
    </row>
    <row r="170" spans="1:6" ht="20.100000000000001" customHeight="1">
      <c r="A170" s="168">
        <v>37</v>
      </c>
      <c r="B170" s="133" t="s">
        <v>293</v>
      </c>
      <c r="C170" s="138" t="s">
        <v>283</v>
      </c>
      <c r="D170" s="158" t="s">
        <v>290</v>
      </c>
      <c r="E170" s="252">
        <v>30000</v>
      </c>
      <c r="F170" s="157"/>
    </row>
    <row r="171" spans="1:6" ht="20.100000000000001" customHeight="1">
      <c r="A171" s="168">
        <v>38</v>
      </c>
      <c r="B171" s="134" t="s">
        <v>294</v>
      </c>
      <c r="C171" s="138" t="s">
        <v>283</v>
      </c>
      <c r="D171" s="158" t="s">
        <v>290</v>
      </c>
      <c r="E171" s="252">
        <v>30000</v>
      </c>
      <c r="F171" s="157"/>
    </row>
    <row r="172" spans="1:6" ht="20.100000000000001" customHeight="1">
      <c r="A172" s="168">
        <v>39</v>
      </c>
      <c r="B172" s="134" t="s">
        <v>295</v>
      </c>
      <c r="C172" s="138" t="s">
        <v>283</v>
      </c>
      <c r="D172" s="158" t="s">
        <v>290</v>
      </c>
      <c r="E172" s="252">
        <v>30000</v>
      </c>
      <c r="F172" s="157"/>
    </row>
    <row r="173" spans="1:6" ht="20.100000000000001" customHeight="1">
      <c r="A173" s="168">
        <v>40</v>
      </c>
      <c r="B173" s="133" t="s">
        <v>296</v>
      </c>
      <c r="C173" s="138" t="s">
        <v>302</v>
      </c>
      <c r="D173" s="158" t="s">
        <v>400</v>
      </c>
      <c r="E173" s="252">
        <v>30000</v>
      </c>
      <c r="F173" s="157"/>
    </row>
    <row r="174" spans="1:6" ht="20.100000000000001" customHeight="1">
      <c r="A174" s="168">
        <v>41</v>
      </c>
      <c r="B174" s="133" t="s">
        <v>299</v>
      </c>
      <c r="C174" s="138" t="s">
        <v>302</v>
      </c>
      <c r="D174" s="158" t="s">
        <v>400</v>
      </c>
      <c r="E174" s="252">
        <v>30000</v>
      </c>
      <c r="F174" s="157"/>
    </row>
    <row r="175" spans="1:6" ht="20.100000000000001" customHeight="1">
      <c r="A175" s="168">
        <v>42</v>
      </c>
      <c r="B175" s="134" t="s">
        <v>300</v>
      </c>
      <c r="C175" s="138" t="s">
        <v>302</v>
      </c>
      <c r="D175" s="158" t="s">
        <v>401</v>
      </c>
      <c r="E175" s="252">
        <v>30000</v>
      </c>
      <c r="F175" s="157"/>
    </row>
    <row r="176" spans="1:6" ht="20.100000000000001" customHeight="1">
      <c r="A176" s="168">
        <v>43</v>
      </c>
      <c r="B176" s="133" t="s">
        <v>301</v>
      </c>
      <c r="C176" s="138" t="s">
        <v>302</v>
      </c>
      <c r="D176" s="158" t="s">
        <v>303</v>
      </c>
      <c r="E176" s="252">
        <v>30000</v>
      </c>
      <c r="F176" s="157"/>
    </row>
    <row r="177" spans="1:6" ht="20.100000000000001" customHeight="1">
      <c r="A177" s="168">
        <v>44</v>
      </c>
      <c r="B177" s="133" t="s">
        <v>304</v>
      </c>
      <c r="C177" s="138" t="s">
        <v>305</v>
      </c>
      <c r="D177" s="158" t="s">
        <v>306</v>
      </c>
      <c r="E177" s="252">
        <v>30000</v>
      </c>
      <c r="F177" s="157"/>
    </row>
    <row r="178" spans="1:6" ht="20.100000000000001" customHeight="1">
      <c r="A178" s="168">
        <v>45</v>
      </c>
      <c r="B178" s="133" t="s">
        <v>307</v>
      </c>
      <c r="C178" s="138" t="s">
        <v>305</v>
      </c>
      <c r="D178" s="158" t="s">
        <v>306</v>
      </c>
      <c r="E178" s="252">
        <v>30000</v>
      </c>
      <c r="F178" s="157"/>
    </row>
    <row r="179" spans="1:6" ht="20.100000000000001" customHeight="1">
      <c r="A179" s="168">
        <v>46</v>
      </c>
      <c r="B179" s="133" t="s">
        <v>308</v>
      </c>
      <c r="C179" s="138" t="s">
        <v>305</v>
      </c>
      <c r="D179" s="158" t="s">
        <v>306</v>
      </c>
      <c r="E179" s="252">
        <v>30000</v>
      </c>
      <c r="F179" s="157"/>
    </row>
    <row r="180" spans="1:6" ht="20.100000000000001" customHeight="1">
      <c r="A180" s="168">
        <v>47</v>
      </c>
      <c r="B180" s="133" t="s">
        <v>309</v>
      </c>
      <c r="C180" s="138" t="s">
        <v>305</v>
      </c>
      <c r="D180" s="158" t="s">
        <v>306</v>
      </c>
      <c r="E180" s="252">
        <v>30000</v>
      </c>
      <c r="F180" s="157"/>
    </row>
    <row r="181" spans="1:6" ht="20.100000000000001" customHeight="1">
      <c r="A181" s="168">
        <v>48</v>
      </c>
      <c r="B181" s="133" t="s">
        <v>310</v>
      </c>
      <c r="C181" s="138" t="s">
        <v>305</v>
      </c>
      <c r="D181" s="158" t="s">
        <v>306</v>
      </c>
      <c r="E181" s="252">
        <v>30000</v>
      </c>
      <c r="F181" s="157"/>
    </row>
    <row r="182" spans="1:6" ht="20.100000000000001" customHeight="1">
      <c r="A182" s="168">
        <v>49</v>
      </c>
      <c r="B182" s="134" t="s">
        <v>311</v>
      </c>
      <c r="C182" s="138" t="s">
        <v>305</v>
      </c>
      <c r="D182" s="158" t="s">
        <v>306</v>
      </c>
      <c r="E182" s="252">
        <v>30000</v>
      </c>
      <c r="F182" s="157"/>
    </row>
    <row r="183" spans="1:6" ht="20.100000000000001" customHeight="1">
      <c r="A183" s="168">
        <v>50</v>
      </c>
      <c r="B183" s="134" t="s">
        <v>312</v>
      </c>
      <c r="C183" s="138" t="s">
        <v>305</v>
      </c>
      <c r="D183" s="158" t="s">
        <v>306</v>
      </c>
      <c r="E183" s="252">
        <v>30000</v>
      </c>
      <c r="F183" s="157"/>
    </row>
    <row r="184" spans="1:6" ht="20.100000000000001" customHeight="1">
      <c r="A184" s="168">
        <v>51</v>
      </c>
      <c r="B184" s="133" t="s">
        <v>313</v>
      </c>
      <c r="C184" s="138" t="s">
        <v>302</v>
      </c>
      <c r="D184" s="158" t="s">
        <v>306</v>
      </c>
      <c r="E184" s="252">
        <v>30000</v>
      </c>
      <c r="F184" s="157"/>
    </row>
    <row r="185" spans="1:6" ht="20.100000000000001" customHeight="1">
      <c r="A185" s="168">
        <v>52</v>
      </c>
      <c r="B185" s="133" t="s">
        <v>314</v>
      </c>
      <c r="C185" s="138" t="s">
        <v>302</v>
      </c>
      <c r="D185" s="158" t="s">
        <v>306</v>
      </c>
      <c r="E185" s="252">
        <v>30000</v>
      </c>
      <c r="F185" s="157"/>
    </row>
    <row r="186" spans="1:6" ht="20.100000000000001" customHeight="1">
      <c r="A186" s="168">
        <v>53</v>
      </c>
      <c r="B186" s="134" t="s">
        <v>315</v>
      </c>
      <c r="C186" s="138" t="s">
        <v>305</v>
      </c>
      <c r="D186" s="158" t="s">
        <v>420</v>
      </c>
      <c r="E186" s="252">
        <v>30000</v>
      </c>
      <c r="F186" s="157"/>
    </row>
    <row r="187" spans="1:6" ht="20.100000000000001" customHeight="1">
      <c r="A187" s="168">
        <v>54</v>
      </c>
      <c r="B187" s="134" t="s">
        <v>318</v>
      </c>
      <c r="C187" s="138" t="s">
        <v>305</v>
      </c>
      <c r="D187" s="158" t="s">
        <v>319</v>
      </c>
      <c r="E187" s="252">
        <v>30000</v>
      </c>
      <c r="F187" s="157"/>
    </row>
    <row r="188" spans="1:6" ht="20.100000000000001" customHeight="1">
      <c r="A188" s="168"/>
      <c r="B188" s="154" t="s">
        <v>91</v>
      </c>
      <c r="C188" s="170" t="s">
        <v>579</v>
      </c>
      <c r="D188" s="21"/>
      <c r="E188" s="263">
        <f>SUM(E135:E187)</f>
        <v>2475000</v>
      </c>
      <c r="F188" s="157"/>
    </row>
    <row r="189" spans="1:6" ht="9" customHeight="1">
      <c r="A189" s="168"/>
      <c r="B189" s="154"/>
      <c r="C189" s="170"/>
      <c r="D189" s="21"/>
      <c r="E189" s="263"/>
      <c r="F189" s="157"/>
    </row>
    <row r="190" spans="1:6" ht="30" customHeight="1">
      <c r="A190" s="19"/>
      <c r="B190" s="242" t="s">
        <v>330</v>
      </c>
      <c r="C190" s="243">
        <f>C36+C41+C56+C61+C77+C85+C98+C105+C115+C132+C188</f>
        <v>146</v>
      </c>
      <c r="D190" s="244"/>
      <c r="E190" s="245">
        <f>E188+E132+E120+E115+E105+E98+E85+E77+E61+E56+E41+E36</f>
        <v>11040000</v>
      </c>
      <c r="F190" s="157"/>
    </row>
    <row r="191" spans="1:6" ht="20.100000000000001" customHeight="1">
      <c r="B191" s="175"/>
      <c r="D191" s="176"/>
      <c r="E191" s="224"/>
      <c r="F191" s="179"/>
    </row>
    <row r="192" spans="1:6" ht="65.25" customHeight="1">
      <c r="B192" s="175"/>
      <c r="C192" s="176"/>
      <c r="D192" s="176"/>
      <c r="E192" s="225"/>
      <c r="F192" s="264">
        <f>'[8]Sallah Welfare June 2023 '!$D$73</f>
        <v>2842500</v>
      </c>
    </row>
    <row r="193" spans="6:6" ht="20.100000000000001" customHeight="1">
      <c r="F193" s="264">
        <v>830000</v>
      </c>
    </row>
    <row r="194" spans="6:6" ht="20.100000000000001" customHeight="1">
      <c r="F194" s="264">
        <f>E190</f>
        <v>11040000</v>
      </c>
    </row>
    <row r="195" spans="6:6" ht="20.100000000000001" customHeight="1">
      <c r="F195" s="264">
        <f>SUM(F192:F194)</f>
        <v>14712500</v>
      </c>
    </row>
  </sheetData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94"/>
  <sheetViews>
    <sheetView view="pageBreakPreview" zoomScaleNormal="100" zoomScaleSheetLayoutView="100" workbookViewId="0">
      <pane xSplit="3" ySplit="7" topLeftCell="D8" activePane="bottomRight" state="frozen"/>
      <selection pane="bottomRight" activeCell="F169" sqref="F16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41" customWidth="1"/>
    <col min="2" max="2" width="44.5703125" style="141" customWidth="1"/>
    <col min="3" max="3" width="37.5703125" style="141" customWidth="1"/>
    <col min="4" max="4" width="12.42578125" style="141" customWidth="1"/>
    <col min="5" max="5" width="21.5703125" style="141" customWidth="1"/>
    <col min="6" max="6" width="21.7109375" style="141" customWidth="1"/>
    <col min="7" max="10" width="9.140625" style="141"/>
    <col min="11" max="11" width="8.42578125" style="141" customWidth="1"/>
    <col min="12" max="16384" width="9.140625" style="141"/>
  </cols>
  <sheetData>
    <row r="1" spans="1:6" ht="27" customHeight="1">
      <c r="A1" s="246" t="s">
        <v>0</v>
      </c>
      <c r="B1" s="246"/>
      <c r="C1" s="246"/>
      <c r="D1" s="246"/>
      <c r="E1" s="246"/>
    </row>
    <row r="2" spans="1:6" ht="33.75" customHeight="1">
      <c r="A2" s="246" t="s">
        <v>560</v>
      </c>
      <c r="B2" s="143"/>
      <c r="C2" s="142"/>
      <c r="D2" s="142"/>
      <c r="E2" s="142"/>
    </row>
    <row r="3" spans="1:6" ht="9.75" customHeight="1"/>
    <row r="4" spans="1:6" ht="49.5" customHeight="1">
      <c r="A4" s="241"/>
      <c r="B4" s="248" t="s">
        <v>2</v>
      </c>
      <c r="C4" s="249" t="s">
        <v>3</v>
      </c>
      <c r="D4" s="250" t="s">
        <v>4</v>
      </c>
      <c r="E4" s="251" t="s">
        <v>403</v>
      </c>
    </row>
    <row r="5" spans="1:6" ht="17.25" customHeight="1">
      <c r="C5" s="154"/>
      <c r="D5" s="154"/>
      <c r="E5" s="193" t="s">
        <v>25</v>
      </c>
    </row>
    <row r="6" spans="1:6" ht="20.100000000000001" customHeight="1">
      <c r="A6" s="153" t="s">
        <v>26</v>
      </c>
      <c r="B6" s="154" t="s">
        <v>27</v>
      </c>
      <c r="C6" s="154"/>
      <c r="D6" s="154"/>
      <c r="E6" s="193"/>
    </row>
    <row r="7" spans="1:6" ht="20.100000000000001" customHeight="1">
      <c r="A7" s="27">
        <v>1</v>
      </c>
      <c r="B7" s="133" t="s">
        <v>28</v>
      </c>
      <c r="C7" s="138" t="s">
        <v>29</v>
      </c>
      <c r="D7" s="138" t="s">
        <v>30</v>
      </c>
      <c r="E7" s="252">
        <v>540000</v>
      </c>
      <c r="F7" s="157"/>
    </row>
    <row r="8" spans="1:6" ht="20.100000000000001" customHeight="1">
      <c r="A8" s="27">
        <v>2</v>
      </c>
      <c r="B8" s="133" t="s">
        <v>464</v>
      </c>
      <c r="C8" s="19" t="s">
        <v>561</v>
      </c>
      <c r="D8" s="27" t="s">
        <v>233</v>
      </c>
      <c r="E8" s="252">
        <v>180000</v>
      </c>
      <c r="F8" s="157"/>
    </row>
    <row r="9" spans="1:6" ht="20.100000000000001" customHeight="1">
      <c r="A9" s="27">
        <v>3</v>
      </c>
      <c r="B9" s="133" t="s">
        <v>31</v>
      </c>
      <c r="C9" s="138" t="s">
        <v>32</v>
      </c>
      <c r="D9" s="27" t="s">
        <v>33</v>
      </c>
      <c r="E9" s="252">
        <v>180000</v>
      </c>
      <c r="F9" s="157"/>
    </row>
    <row r="10" spans="1:6" ht="20.100000000000001" customHeight="1">
      <c r="A10" s="27">
        <v>4</v>
      </c>
      <c r="B10" s="135" t="s">
        <v>34</v>
      </c>
      <c r="C10" s="19" t="s">
        <v>35</v>
      </c>
      <c r="D10" s="158" t="s">
        <v>36</v>
      </c>
      <c r="E10" s="252">
        <v>180000</v>
      </c>
      <c r="F10" s="157"/>
    </row>
    <row r="11" spans="1:6" ht="20.100000000000001" customHeight="1">
      <c r="A11" s="27">
        <v>5</v>
      </c>
      <c r="B11" s="135" t="s">
        <v>179</v>
      </c>
      <c r="C11" s="19" t="s">
        <v>466</v>
      </c>
      <c r="D11" s="23" t="s">
        <v>36</v>
      </c>
      <c r="E11" s="252">
        <v>180000</v>
      </c>
      <c r="F11" s="157"/>
    </row>
    <row r="12" spans="1:6" ht="20.100000000000001" customHeight="1">
      <c r="A12" s="27">
        <v>6</v>
      </c>
      <c r="B12" s="133" t="s">
        <v>37</v>
      </c>
      <c r="C12" s="92" t="s">
        <v>38</v>
      </c>
      <c r="D12" s="23" t="s">
        <v>36</v>
      </c>
      <c r="E12" s="252">
        <v>180000</v>
      </c>
      <c r="F12" s="157"/>
    </row>
    <row r="13" spans="1:6" ht="20.100000000000001" customHeight="1">
      <c r="A13" s="27">
        <v>7</v>
      </c>
      <c r="B13" s="135" t="s">
        <v>39</v>
      </c>
      <c r="C13" s="19" t="s">
        <v>40</v>
      </c>
      <c r="D13" s="23" t="s">
        <v>36</v>
      </c>
      <c r="E13" s="252">
        <v>180000</v>
      </c>
      <c r="F13" s="157"/>
    </row>
    <row r="14" spans="1:6" ht="20.100000000000001" customHeight="1">
      <c r="A14" s="27">
        <v>8</v>
      </c>
      <c r="B14" s="133" t="s">
        <v>43</v>
      </c>
      <c r="C14" s="138" t="s">
        <v>44</v>
      </c>
      <c r="D14" s="158" t="s">
        <v>45</v>
      </c>
      <c r="E14" s="252">
        <v>126000</v>
      </c>
      <c r="F14" s="157"/>
    </row>
    <row r="15" spans="1:6" ht="20.100000000000001" customHeight="1">
      <c r="A15" s="27">
        <v>9</v>
      </c>
      <c r="B15" s="134" t="s">
        <v>151</v>
      </c>
      <c r="C15" s="138" t="s">
        <v>152</v>
      </c>
      <c r="D15" s="27" t="s">
        <v>127</v>
      </c>
      <c r="E15" s="252">
        <v>126000</v>
      </c>
      <c r="F15" s="157"/>
    </row>
    <row r="16" spans="1:6" ht="20.100000000000001" customHeight="1">
      <c r="A16" s="27">
        <v>10</v>
      </c>
      <c r="B16" s="137" t="s">
        <v>564</v>
      </c>
      <c r="C16" s="19" t="s">
        <v>565</v>
      </c>
      <c r="D16" s="23" t="s">
        <v>51</v>
      </c>
      <c r="E16" s="252">
        <v>90000</v>
      </c>
      <c r="F16" s="157"/>
    </row>
    <row r="17" spans="1:6" ht="19.5" customHeight="1">
      <c r="A17" s="27">
        <v>11</v>
      </c>
      <c r="B17" s="135" t="s">
        <v>467</v>
      </c>
      <c r="C17" s="19" t="s">
        <v>50</v>
      </c>
      <c r="D17" s="27" t="s">
        <v>51</v>
      </c>
      <c r="E17" s="252">
        <v>90000</v>
      </c>
      <c r="F17" s="157"/>
    </row>
    <row r="18" spans="1:6" ht="19.5" customHeight="1">
      <c r="A18" s="27">
        <v>12</v>
      </c>
      <c r="B18" s="135" t="s">
        <v>566</v>
      </c>
      <c r="C18" s="19" t="s">
        <v>567</v>
      </c>
      <c r="D18" s="27" t="s">
        <v>51</v>
      </c>
      <c r="E18" s="252">
        <v>90000</v>
      </c>
      <c r="F18" s="157"/>
    </row>
    <row r="19" spans="1:6" ht="20.100000000000001" customHeight="1">
      <c r="A19" s="27">
        <v>13</v>
      </c>
      <c r="B19" s="133" t="s">
        <v>49</v>
      </c>
      <c r="C19" s="19" t="s">
        <v>50</v>
      </c>
      <c r="D19" s="158" t="s">
        <v>51</v>
      </c>
      <c r="E19" s="252">
        <v>90000</v>
      </c>
      <c r="F19" s="157"/>
    </row>
    <row r="20" spans="1:6" ht="20.100000000000001" customHeight="1">
      <c r="A20" s="27">
        <v>14</v>
      </c>
      <c r="B20" s="133" t="s">
        <v>58</v>
      </c>
      <c r="C20" s="138" t="s">
        <v>59</v>
      </c>
      <c r="D20" s="158" t="s">
        <v>60</v>
      </c>
      <c r="E20" s="252">
        <v>90000</v>
      </c>
      <c r="F20" s="157"/>
    </row>
    <row r="21" spans="1:6" ht="20.100000000000001" customHeight="1">
      <c r="A21" s="27">
        <v>15</v>
      </c>
      <c r="B21" s="134" t="s">
        <v>61</v>
      </c>
      <c r="C21" s="19" t="s">
        <v>62</v>
      </c>
      <c r="D21" s="158" t="s">
        <v>63</v>
      </c>
      <c r="E21" s="252">
        <v>90000</v>
      </c>
      <c r="F21" s="157"/>
    </row>
    <row r="22" spans="1:6" ht="20.100000000000001" customHeight="1">
      <c r="A22" s="27">
        <v>16</v>
      </c>
      <c r="B22" s="133" t="s">
        <v>206</v>
      </c>
      <c r="C22" s="138" t="s">
        <v>207</v>
      </c>
      <c r="D22" s="158" t="s">
        <v>203</v>
      </c>
      <c r="E22" s="252">
        <v>54000</v>
      </c>
      <c r="F22" s="157"/>
    </row>
    <row r="23" spans="1:6" ht="18.75" customHeight="1">
      <c r="A23" s="27">
        <v>17</v>
      </c>
      <c r="B23" s="133" t="s">
        <v>64</v>
      </c>
      <c r="C23" s="138" t="s">
        <v>65</v>
      </c>
      <c r="D23" s="158" t="s">
        <v>66</v>
      </c>
      <c r="E23" s="252">
        <v>54000</v>
      </c>
      <c r="F23" s="157"/>
    </row>
    <row r="24" spans="1:6" ht="18.75" customHeight="1">
      <c r="A24" s="27">
        <v>18</v>
      </c>
      <c r="B24" s="134" t="s">
        <v>568</v>
      </c>
      <c r="C24" s="138" t="s">
        <v>88</v>
      </c>
      <c r="D24" s="158" t="s">
        <v>257</v>
      </c>
      <c r="E24" s="252">
        <v>54000</v>
      </c>
      <c r="F24" s="157"/>
    </row>
    <row r="25" spans="1:6" ht="18.75" customHeight="1">
      <c r="A25" s="27">
        <v>19</v>
      </c>
      <c r="B25" s="19" t="s">
        <v>73</v>
      </c>
      <c r="C25" s="19" t="s">
        <v>74</v>
      </c>
      <c r="D25" s="27" t="s">
        <v>75</v>
      </c>
      <c r="E25" s="252">
        <v>54000</v>
      </c>
      <c r="F25" s="157"/>
    </row>
    <row r="26" spans="1:6" ht="18.75" customHeight="1">
      <c r="A26" s="27">
        <v>20</v>
      </c>
      <c r="B26" s="134" t="s">
        <v>76</v>
      </c>
      <c r="C26" s="138" t="s">
        <v>74</v>
      </c>
      <c r="D26" s="158" t="s">
        <v>75</v>
      </c>
      <c r="E26" s="252">
        <v>54000</v>
      </c>
      <c r="F26" s="157"/>
    </row>
    <row r="27" spans="1:6" ht="18.75" customHeight="1">
      <c r="A27" s="27">
        <v>21</v>
      </c>
      <c r="B27" s="133" t="s">
        <v>468</v>
      </c>
      <c r="C27" s="138" t="s">
        <v>469</v>
      </c>
      <c r="D27" s="158" t="s">
        <v>75</v>
      </c>
      <c r="E27" s="252">
        <v>54000</v>
      </c>
      <c r="F27" s="157"/>
    </row>
    <row r="28" spans="1:6" ht="18.75" customHeight="1">
      <c r="A28" s="27">
        <v>22</v>
      </c>
      <c r="B28" s="134" t="s">
        <v>77</v>
      </c>
      <c r="C28" s="138" t="s">
        <v>412</v>
      </c>
      <c r="D28" s="158" t="s">
        <v>199</v>
      </c>
      <c r="E28" s="252">
        <v>54000</v>
      </c>
      <c r="F28" s="157"/>
    </row>
    <row r="29" spans="1:6" ht="18.75" customHeight="1">
      <c r="A29" s="27">
        <v>23</v>
      </c>
      <c r="B29" s="134" t="s">
        <v>80</v>
      </c>
      <c r="C29" s="19" t="s">
        <v>470</v>
      </c>
      <c r="D29" s="27" t="s">
        <v>199</v>
      </c>
      <c r="E29" s="252">
        <v>54000</v>
      </c>
      <c r="F29" s="157"/>
    </row>
    <row r="30" spans="1:6" ht="18.75" customHeight="1">
      <c r="A30" s="27">
        <v>24</v>
      </c>
      <c r="B30" s="134" t="s">
        <v>82</v>
      </c>
      <c r="C30" s="92" t="s">
        <v>83</v>
      </c>
      <c r="D30" s="158" t="s">
        <v>75</v>
      </c>
      <c r="E30" s="252">
        <v>54000</v>
      </c>
      <c r="F30" s="157"/>
    </row>
    <row r="31" spans="1:6" ht="18.75" customHeight="1">
      <c r="A31" s="27">
        <v>25</v>
      </c>
      <c r="B31" s="134" t="s">
        <v>84</v>
      </c>
      <c r="C31" s="19" t="s">
        <v>85</v>
      </c>
      <c r="D31" s="27" t="s">
        <v>86</v>
      </c>
      <c r="E31" s="252">
        <v>54000</v>
      </c>
      <c r="F31" s="157"/>
    </row>
    <row r="32" spans="1:6" ht="18.75" customHeight="1">
      <c r="A32" s="27">
        <v>26</v>
      </c>
      <c r="B32" s="134" t="s">
        <v>87</v>
      </c>
      <c r="C32" s="138" t="s">
        <v>88</v>
      </c>
      <c r="D32" s="158" t="s">
        <v>86</v>
      </c>
      <c r="E32" s="252">
        <v>54000</v>
      </c>
      <c r="F32" s="157"/>
    </row>
    <row r="33" spans="1:6" ht="18.75" customHeight="1">
      <c r="A33" s="27">
        <v>27</v>
      </c>
      <c r="B33" s="134" t="s">
        <v>569</v>
      </c>
      <c r="C33" s="138" t="s">
        <v>88</v>
      </c>
      <c r="D33" s="158" t="s">
        <v>86</v>
      </c>
      <c r="E33" s="252">
        <v>54000</v>
      </c>
      <c r="F33" s="157"/>
    </row>
    <row r="34" spans="1:6" ht="18.75" customHeight="1">
      <c r="A34" s="27">
        <v>28</v>
      </c>
      <c r="B34" s="134" t="s">
        <v>225</v>
      </c>
      <c r="C34" s="138" t="s">
        <v>226</v>
      </c>
      <c r="D34" s="158" t="s">
        <v>90</v>
      </c>
      <c r="E34" s="252">
        <v>54000</v>
      </c>
      <c r="F34" s="157"/>
    </row>
    <row r="35" spans="1:6" ht="26.25" customHeight="1">
      <c r="A35" s="27"/>
      <c r="B35" s="136" t="s">
        <v>91</v>
      </c>
      <c r="C35" s="28">
        <v>28</v>
      </c>
      <c r="D35" s="158"/>
      <c r="E35" s="253">
        <f>SUM(E7:E34)</f>
        <v>3114000</v>
      </c>
      <c r="F35" s="157"/>
    </row>
    <row r="36" spans="1:6" ht="18.75" customHeight="1">
      <c r="A36" s="27"/>
      <c r="B36" s="103"/>
      <c r="C36" s="19"/>
      <c r="D36" s="158"/>
      <c r="E36" s="254"/>
      <c r="F36" s="157"/>
    </row>
    <row r="37" spans="1:6" ht="18.75" customHeight="1">
      <c r="A37" s="27"/>
      <c r="B37" s="136" t="s">
        <v>92</v>
      </c>
      <c r="C37" s="19"/>
      <c r="D37" s="158"/>
      <c r="E37" s="252"/>
      <c r="F37" s="157"/>
    </row>
    <row r="38" spans="1:6" ht="18.75" customHeight="1">
      <c r="A38" s="27">
        <v>1</v>
      </c>
      <c r="B38" s="134" t="s">
        <v>93</v>
      </c>
      <c r="C38" s="19" t="s">
        <v>94</v>
      </c>
      <c r="D38" s="27" t="s">
        <v>95</v>
      </c>
      <c r="E38" s="252">
        <v>270000</v>
      </c>
      <c r="F38" s="157"/>
    </row>
    <row r="39" spans="1:6" ht="18.75" customHeight="1">
      <c r="A39" s="27">
        <v>2</v>
      </c>
      <c r="B39" s="134" t="s">
        <v>96</v>
      </c>
      <c r="C39" s="19" t="s">
        <v>97</v>
      </c>
      <c r="D39" s="27" t="s">
        <v>90</v>
      </c>
      <c r="E39" s="252">
        <v>54000</v>
      </c>
      <c r="F39" s="157"/>
    </row>
    <row r="40" spans="1:6" ht="19.5" customHeight="1">
      <c r="A40" s="27"/>
      <c r="B40" s="135"/>
      <c r="C40" s="28">
        <v>2</v>
      </c>
      <c r="D40" s="27"/>
      <c r="E40" s="253">
        <v>324000</v>
      </c>
      <c r="F40" s="157"/>
    </row>
    <row r="41" spans="1:6" ht="20.100000000000001" customHeight="1">
      <c r="A41" s="27"/>
      <c r="B41" s="135"/>
      <c r="C41" s="19"/>
      <c r="D41" s="27"/>
      <c r="E41" s="252"/>
      <c r="F41" s="157"/>
    </row>
    <row r="42" spans="1:6" ht="20.100000000000001" customHeight="1">
      <c r="A42" s="27"/>
      <c r="B42" s="162" t="s">
        <v>100</v>
      </c>
      <c r="C42" s="147"/>
      <c r="D42" s="151"/>
      <c r="E42" s="252"/>
      <c r="F42" s="157"/>
    </row>
    <row r="43" spans="1:6" ht="20.100000000000001" customHeight="1">
      <c r="A43" s="27">
        <v>1</v>
      </c>
      <c r="B43" s="133" t="s">
        <v>101</v>
      </c>
      <c r="C43" s="19" t="s">
        <v>102</v>
      </c>
      <c r="D43" s="27" t="s">
        <v>95</v>
      </c>
      <c r="E43" s="252">
        <v>270000</v>
      </c>
      <c r="F43" s="157"/>
    </row>
    <row r="44" spans="1:6" ht="20.100000000000001" customHeight="1">
      <c r="A44" s="27">
        <v>2</v>
      </c>
      <c r="B44" s="133" t="s">
        <v>103</v>
      </c>
      <c r="C44" s="19" t="s">
        <v>104</v>
      </c>
      <c r="D44" s="27" t="s">
        <v>45</v>
      </c>
      <c r="E44" s="252">
        <v>126000</v>
      </c>
      <c r="F44" s="157"/>
    </row>
    <row r="45" spans="1:6" ht="20.100000000000001" customHeight="1">
      <c r="A45" s="27">
        <v>3</v>
      </c>
      <c r="B45" s="133" t="s">
        <v>105</v>
      </c>
      <c r="C45" s="19" t="s">
        <v>109</v>
      </c>
      <c r="D45" s="27" t="s">
        <v>45</v>
      </c>
      <c r="E45" s="252">
        <v>126000</v>
      </c>
      <c r="F45" s="157"/>
    </row>
    <row r="46" spans="1:6" ht="20.100000000000001" customHeight="1">
      <c r="A46" s="27">
        <v>4</v>
      </c>
      <c r="B46" s="133" t="s">
        <v>108</v>
      </c>
      <c r="C46" s="19" t="s">
        <v>109</v>
      </c>
      <c r="D46" s="27" t="s">
        <v>45</v>
      </c>
      <c r="E46" s="252">
        <v>126000</v>
      </c>
      <c r="F46" s="157"/>
    </row>
    <row r="47" spans="1:6" ht="20.100000000000001" customHeight="1">
      <c r="A47" s="27">
        <v>5</v>
      </c>
      <c r="B47" s="133" t="s">
        <v>110</v>
      </c>
      <c r="C47" s="19" t="s">
        <v>109</v>
      </c>
      <c r="D47" s="27" t="s">
        <v>111</v>
      </c>
      <c r="E47" s="252">
        <v>126000</v>
      </c>
      <c r="F47" s="157"/>
    </row>
    <row r="48" spans="1:6" ht="20.100000000000001" customHeight="1">
      <c r="A48" s="27">
        <v>6</v>
      </c>
      <c r="B48" s="133" t="s">
        <v>112</v>
      </c>
      <c r="C48" s="19" t="s">
        <v>115</v>
      </c>
      <c r="D48" s="27" t="s">
        <v>51</v>
      </c>
      <c r="E48" s="252">
        <v>90000</v>
      </c>
      <c r="F48" s="157"/>
    </row>
    <row r="49" spans="1:6" ht="20.100000000000001" customHeight="1">
      <c r="A49" s="27">
        <v>7</v>
      </c>
      <c r="B49" s="135" t="s">
        <v>113</v>
      </c>
      <c r="C49" s="19" t="s">
        <v>53</v>
      </c>
      <c r="D49" s="23" t="s">
        <v>51</v>
      </c>
      <c r="E49" s="252">
        <v>90000</v>
      </c>
      <c r="F49" s="157"/>
    </row>
    <row r="50" spans="1:6" ht="20.100000000000001" customHeight="1">
      <c r="A50" s="27">
        <v>8</v>
      </c>
      <c r="B50" s="133" t="s">
        <v>473</v>
      </c>
      <c r="C50" s="19" t="s">
        <v>53</v>
      </c>
      <c r="D50" s="27" t="s">
        <v>54</v>
      </c>
      <c r="E50" s="252">
        <v>90000</v>
      </c>
      <c r="F50" s="157"/>
    </row>
    <row r="51" spans="1:6" ht="20.100000000000001" customHeight="1">
      <c r="A51" s="27">
        <v>9</v>
      </c>
      <c r="B51" s="133" t="s">
        <v>114</v>
      </c>
      <c r="C51" s="19" t="s">
        <v>167</v>
      </c>
      <c r="D51" s="27" t="s">
        <v>168</v>
      </c>
      <c r="E51" s="252">
        <v>90000</v>
      </c>
      <c r="F51" s="157"/>
    </row>
    <row r="52" spans="1:6" ht="20.100000000000001" customHeight="1">
      <c r="A52" s="27">
        <v>10</v>
      </c>
      <c r="B52" s="133" t="s">
        <v>119</v>
      </c>
      <c r="C52" s="19" t="s">
        <v>118</v>
      </c>
      <c r="D52" s="27" t="s">
        <v>79</v>
      </c>
      <c r="E52" s="252">
        <v>54000</v>
      </c>
      <c r="F52" s="157"/>
    </row>
    <row r="53" spans="1:6" ht="20.100000000000001" customHeight="1">
      <c r="A53" s="27">
        <v>11</v>
      </c>
      <c r="B53" s="133" t="s">
        <v>120</v>
      </c>
      <c r="C53" s="19" t="s">
        <v>118</v>
      </c>
      <c r="D53" s="27" t="s">
        <v>79</v>
      </c>
      <c r="E53" s="252">
        <v>54000</v>
      </c>
      <c r="F53" s="157"/>
    </row>
    <row r="54" spans="1:6" ht="20.100000000000001" customHeight="1">
      <c r="A54" s="27">
        <v>12</v>
      </c>
      <c r="B54" s="133" t="s">
        <v>121</v>
      </c>
      <c r="C54" s="19" t="s">
        <v>118</v>
      </c>
      <c r="D54" s="27" t="s">
        <v>79</v>
      </c>
      <c r="E54" s="252">
        <v>54000</v>
      </c>
      <c r="F54" s="157"/>
    </row>
    <row r="55" spans="1:6" ht="25.5" customHeight="1">
      <c r="A55" s="27"/>
      <c r="B55" s="136" t="s">
        <v>91</v>
      </c>
      <c r="C55" s="28">
        <v>12</v>
      </c>
      <c r="D55" s="28"/>
      <c r="E55" s="255">
        <v>1296000</v>
      </c>
      <c r="F55" s="157"/>
    </row>
    <row r="56" spans="1:6" ht="20.100000000000001" customHeight="1">
      <c r="A56" s="27"/>
      <c r="B56" s="103"/>
      <c r="C56" s="28"/>
      <c r="D56" s="28"/>
      <c r="E56" s="256"/>
      <c r="F56" s="157"/>
    </row>
    <row r="57" spans="1:6" ht="20.100000000000001" customHeight="1">
      <c r="A57" s="27"/>
      <c r="B57" s="136" t="s">
        <v>122</v>
      </c>
      <c r="C57" s="28"/>
      <c r="D57" s="28"/>
      <c r="E57" s="256"/>
      <c r="F57" s="157"/>
    </row>
    <row r="58" spans="1:6" ht="20.100000000000001" customHeight="1">
      <c r="A58" s="27">
        <v>1</v>
      </c>
      <c r="B58" s="133" t="s">
        <v>123</v>
      </c>
      <c r="C58" s="138" t="s">
        <v>124</v>
      </c>
      <c r="D58" s="158" t="s">
        <v>95</v>
      </c>
      <c r="E58" s="252">
        <v>270000</v>
      </c>
      <c r="F58" s="157"/>
    </row>
    <row r="59" spans="1:6" ht="20.100000000000001" customHeight="1">
      <c r="A59" s="27">
        <v>2</v>
      </c>
      <c r="B59" s="133" t="s">
        <v>125</v>
      </c>
      <c r="C59" s="138" t="s">
        <v>126</v>
      </c>
      <c r="D59" s="158" t="s">
        <v>127</v>
      </c>
      <c r="E59" s="252">
        <v>126000</v>
      </c>
      <c r="F59" s="157"/>
    </row>
    <row r="60" spans="1:6" ht="20.100000000000001" customHeight="1">
      <c r="A60" s="27"/>
      <c r="B60" s="136" t="s">
        <v>91</v>
      </c>
      <c r="C60" s="28">
        <v>2</v>
      </c>
      <c r="D60" s="28"/>
      <c r="E60" s="255">
        <v>396000</v>
      </c>
      <c r="F60" s="157"/>
    </row>
    <row r="61" spans="1:6" ht="20.100000000000001" customHeight="1">
      <c r="A61" s="27"/>
      <c r="B61" s="136"/>
      <c r="C61" s="28"/>
      <c r="D61" s="28"/>
      <c r="E61" s="256"/>
      <c r="F61" s="157"/>
    </row>
    <row r="62" spans="1:6" ht="20.100000000000001" customHeight="1">
      <c r="A62" s="27"/>
      <c r="B62" s="136" t="s">
        <v>128</v>
      </c>
      <c r="C62" s="28"/>
      <c r="D62" s="28"/>
      <c r="E62" s="256"/>
      <c r="F62" s="157"/>
    </row>
    <row r="63" spans="1:6" ht="20.100000000000001" customHeight="1">
      <c r="A63" s="27">
        <v>1</v>
      </c>
      <c r="B63" s="133" t="s">
        <v>129</v>
      </c>
      <c r="C63" s="92" t="s">
        <v>130</v>
      </c>
      <c r="D63" s="27" t="s">
        <v>95</v>
      </c>
      <c r="E63" s="257">
        <v>270000</v>
      </c>
      <c r="F63" s="157"/>
    </row>
    <row r="64" spans="1:6" ht="20.100000000000001" customHeight="1">
      <c r="A64" s="27">
        <v>2</v>
      </c>
      <c r="B64" s="134" t="s">
        <v>131</v>
      </c>
      <c r="C64" s="92" t="s">
        <v>132</v>
      </c>
      <c r="D64" s="158" t="s">
        <v>133</v>
      </c>
      <c r="E64" s="252">
        <v>126000</v>
      </c>
      <c r="F64" s="157"/>
    </row>
    <row r="65" spans="1:6" ht="20.100000000000001" customHeight="1">
      <c r="A65" s="27">
        <v>3</v>
      </c>
      <c r="B65" s="133" t="s">
        <v>134</v>
      </c>
      <c r="C65" s="19" t="s">
        <v>136</v>
      </c>
      <c r="D65" s="27" t="s">
        <v>168</v>
      </c>
      <c r="E65" s="257">
        <v>90000</v>
      </c>
      <c r="F65" s="157"/>
    </row>
    <row r="66" spans="1:6" ht="20.100000000000001" customHeight="1">
      <c r="A66" s="27">
        <v>4</v>
      </c>
      <c r="B66" s="134" t="s">
        <v>135</v>
      </c>
      <c r="C66" s="92" t="s">
        <v>136</v>
      </c>
      <c r="D66" s="158" t="s">
        <v>60</v>
      </c>
      <c r="E66" s="257">
        <v>90000</v>
      </c>
      <c r="F66" s="157"/>
    </row>
    <row r="67" spans="1:6" ht="20.100000000000001" customHeight="1">
      <c r="A67" s="27">
        <v>5</v>
      </c>
      <c r="B67" s="135" t="s">
        <v>137</v>
      </c>
      <c r="C67" s="92" t="s">
        <v>53</v>
      </c>
      <c r="D67" s="158" t="s">
        <v>51</v>
      </c>
      <c r="E67" s="257">
        <v>90000</v>
      </c>
      <c r="F67" s="157"/>
    </row>
    <row r="68" spans="1:6" ht="20.100000000000001" customHeight="1">
      <c r="A68" s="27">
        <v>6</v>
      </c>
      <c r="B68" s="135" t="s">
        <v>52</v>
      </c>
      <c r="C68" s="92" t="s">
        <v>53</v>
      </c>
      <c r="D68" s="158" t="s">
        <v>54</v>
      </c>
      <c r="E68" s="257">
        <v>90000</v>
      </c>
      <c r="F68" s="157"/>
    </row>
    <row r="69" spans="1:6" ht="20.100000000000001" customHeight="1">
      <c r="A69" s="27">
        <v>7</v>
      </c>
      <c r="B69" s="133" t="s">
        <v>138</v>
      </c>
      <c r="C69" s="19" t="s">
        <v>118</v>
      </c>
      <c r="D69" s="27" t="s">
        <v>69</v>
      </c>
      <c r="E69" s="252">
        <v>54000</v>
      </c>
      <c r="F69" s="157"/>
    </row>
    <row r="70" spans="1:6" ht="20.100000000000001" customHeight="1">
      <c r="A70" s="27">
        <v>8</v>
      </c>
      <c r="B70" s="133" t="s">
        <v>139</v>
      </c>
      <c r="C70" s="92" t="s">
        <v>140</v>
      </c>
      <c r="D70" s="158" t="s">
        <v>69</v>
      </c>
      <c r="E70" s="252">
        <v>54000</v>
      </c>
      <c r="F70" s="157"/>
    </row>
    <row r="71" spans="1:6" ht="20.100000000000001" customHeight="1">
      <c r="A71" s="27">
        <v>9</v>
      </c>
      <c r="B71" s="133" t="s">
        <v>141</v>
      </c>
      <c r="C71" s="92" t="s">
        <v>140</v>
      </c>
      <c r="D71" s="158" t="s">
        <v>69</v>
      </c>
      <c r="E71" s="252">
        <v>54000</v>
      </c>
      <c r="F71" s="157"/>
    </row>
    <row r="72" spans="1:6" ht="20.100000000000001" customHeight="1">
      <c r="A72" s="27">
        <v>10</v>
      </c>
      <c r="B72" s="133" t="s">
        <v>142</v>
      </c>
      <c r="C72" s="19" t="s">
        <v>143</v>
      </c>
      <c r="D72" s="27" t="s">
        <v>66</v>
      </c>
      <c r="E72" s="252">
        <v>54000</v>
      </c>
      <c r="F72" s="157"/>
    </row>
    <row r="73" spans="1:6" ht="20.100000000000001" customHeight="1">
      <c r="A73" s="27">
        <v>11</v>
      </c>
      <c r="B73" s="133" t="s">
        <v>570</v>
      </c>
      <c r="C73" s="92" t="s">
        <v>118</v>
      </c>
      <c r="D73" s="27" t="s">
        <v>157</v>
      </c>
      <c r="E73" s="252">
        <v>54000</v>
      </c>
      <c r="F73" s="157"/>
    </row>
    <row r="74" spans="1:6" ht="20.100000000000001" customHeight="1">
      <c r="A74" s="27">
        <v>12</v>
      </c>
      <c r="B74" s="133" t="s">
        <v>145</v>
      </c>
      <c r="C74" s="92" t="s">
        <v>68</v>
      </c>
      <c r="D74" s="27" t="s">
        <v>75</v>
      </c>
      <c r="E74" s="252">
        <v>54000</v>
      </c>
      <c r="F74" s="157"/>
    </row>
    <row r="75" spans="1:6" ht="20.100000000000001" customHeight="1">
      <c r="A75" s="27">
        <v>13</v>
      </c>
      <c r="B75" s="135" t="s">
        <v>67</v>
      </c>
      <c r="C75" s="92" t="s">
        <v>68</v>
      </c>
      <c r="D75" s="27" t="s">
        <v>86</v>
      </c>
      <c r="E75" s="252">
        <v>54000</v>
      </c>
      <c r="F75" s="157"/>
    </row>
    <row r="76" spans="1:6" ht="20.100000000000001" customHeight="1">
      <c r="A76" s="27"/>
      <c r="B76" s="136" t="s">
        <v>91</v>
      </c>
      <c r="C76" s="28">
        <v>13</v>
      </c>
      <c r="D76" s="28"/>
      <c r="E76" s="255">
        <v>1134000</v>
      </c>
      <c r="F76" s="157"/>
    </row>
    <row r="77" spans="1:6" ht="20.100000000000001" customHeight="1">
      <c r="A77" s="27"/>
      <c r="B77" s="103"/>
      <c r="C77" s="28"/>
      <c r="D77" s="28"/>
      <c r="E77" s="256"/>
      <c r="F77" s="157"/>
    </row>
    <row r="78" spans="1:6" ht="20.100000000000001" customHeight="1">
      <c r="A78" s="27"/>
      <c r="B78" s="136" t="s">
        <v>146</v>
      </c>
      <c r="C78" s="28"/>
      <c r="D78" s="28"/>
      <c r="E78" s="256"/>
      <c r="F78" s="157"/>
    </row>
    <row r="79" spans="1:6" ht="20.100000000000001" customHeight="1">
      <c r="A79" s="27">
        <v>1</v>
      </c>
      <c r="B79" s="133" t="s">
        <v>147</v>
      </c>
      <c r="C79" s="19" t="s">
        <v>148</v>
      </c>
      <c r="D79" s="27" t="s">
        <v>95</v>
      </c>
      <c r="E79" s="252">
        <v>270000</v>
      </c>
      <c r="F79" s="157"/>
    </row>
    <row r="80" spans="1:6" ht="20.100000000000001" customHeight="1">
      <c r="A80" s="27">
        <v>2</v>
      </c>
      <c r="B80" s="135" t="s">
        <v>149</v>
      </c>
      <c r="C80" s="19" t="s">
        <v>150</v>
      </c>
      <c r="D80" s="158" t="s">
        <v>133</v>
      </c>
      <c r="E80" s="252">
        <v>126000</v>
      </c>
      <c r="F80" s="157"/>
    </row>
    <row r="81" spans="1:6" ht="20.100000000000001" customHeight="1">
      <c r="A81" s="27">
        <v>3</v>
      </c>
      <c r="B81" s="135" t="s">
        <v>571</v>
      </c>
      <c r="C81" s="19" t="s">
        <v>572</v>
      </c>
      <c r="D81" s="158" t="s">
        <v>133</v>
      </c>
      <c r="E81" s="252">
        <v>126000</v>
      </c>
      <c r="F81" s="157"/>
    </row>
    <row r="82" spans="1:6" ht="20.100000000000001" customHeight="1">
      <c r="A82" s="27">
        <v>4</v>
      </c>
      <c r="B82" s="133" t="s">
        <v>153</v>
      </c>
      <c r="C82" s="19" t="s">
        <v>414</v>
      </c>
      <c r="D82" s="158" t="s">
        <v>168</v>
      </c>
      <c r="E82" s="252">
        <v>90000</v>
      </c>
      <c r="F82" s="157"/>
    </row>
    <row r="83" spans="1:6" ht="20.100000000000001" customHeight="1">
      <c r="A83" s="27">
        <v>5</v>
      </c>
      <c r="B83" s="133" t="s">
        <v>155</v>
      </c>
      <c r="C83" s="19" t="s">
        <v>156</v>
      </c>
      <c r="D83" s="27" t="s">
        <v>157</v>
      </c>
      <c r="E83" s="252">
        <v>54000</v>
      </c>
      <c r="F83" s="157"/>
    </row>
    <row r="84" spans="1:6" ht="20.100000000000001" customHeight="1">
      <c r="A84" s="27"/>
      <c r="B84" s="136" t="s">
        <v>91</v>
      </c>
      <c r="C84" s="28">
        <v>5</v>
      </c>
      <c r="D84" s="28"/>
      <c r="E84" s="255">
        <v>666000</v>
      </c>
      <c r="F84" s="157"/>
    </row>
    <row r="85" spans="1:6" ht="20.100000000000001" customHeight="1">
      <c r="A85" s="27"/>
      <c r="B85" s="136"/>
      <c r="C85" s="28"/>
      <c r="D85" s="28"/>
      <c r="E85" s="252"/>
      <c r="F85" s="157"/>
    </row>
    <row r="86" spans="1:6" ht="20.100000000000001" customHeight="1">
      <c r="A86" s="27"/>
      <c r="B86" s="136" t="s">
        <v>161</v>
      </c>
      <c r="C86" s="163"/>
      <c r="D86" s="28"/>
      <c r="E86" s="252"/>
      <c r="F86" s="157"/>
    </row>
    <row r="87" spans="1:6" ht="20.100000000000001" customHeight="1">
      <c r="A87" s="27">
        <v>1</v>
      </c>
      <c r="B87" s="133" t="s">
        <v>162</v>
      </c>
      <c r="C87" s="19" t="s">
        <v>109</v>
      </c>
      <c r="D87" s="27" t="s">
        <v>45</v>
      </c>
      <c r="E87" s="252">
        <v>126000</v>
      </c>
      <c r="F87" s="157"/>
    </row>
    <row r="88" spans="1:6" ht="20.100000000000001" customHeight="1">
      <c r="A88" s="27">
        <v>2</v>
      </c>
      <c r="B88" s="133" t="s">
        <v>163</v>
      </c>
      <c r="C88" s="19" t="s">
        <v>109</v>
      </c>
      <c r="D88" s="27" t="s">
        <v>45</v>
      </c>
      <c r="E88" s="252">
        <v>126000</v>
      </c>
      <c r="F88" s="157"/>
    </row>
    <row r="89" spans="1:6" ht="20.100000000000001" customHeight="1">
      <c r="A89" s="27">
        <v>3</v>
      </c>
      <c r="B89" s="135" t="s">
        <v>164</v>
      </c>
      <c r="C89" s="19" t="s">
        <v>53</v>
      </c>
      <c r="D89" s="27" t="s">
        <v>413</v>
      </c>
      <c r="E89" s="257">
        <v>90000</v>
      </c>
      <c r="F89" s="157"/>
    </row>
    <row r="90" spans="1:6" ht="20.100000000000001" customHeight="1">
      <c r="A90" s="27">
        <v>4</v>
      </c>
      <c r="B90" s="133" t="s">
        <v>165</v>
      </c>
      <c r="C90" s="19" t="s">
        <v>115</v>
      </c>
      <c r="D90" s="27" t="s">
        <v>51</v>
      </c>
      <c r="E90" s="257">
        <v>90000</v>
      </c>
      <c r="F90" s="157"/>
    </row>
    <row r="91" spans="1:6" ht="21.6" customHeight="1">
      <c r="A91" s="27">
        <v>5</v>
      </c>
      <c r="B91" s="133" t="s">
        <v>166</v>
      </c>
      <c r="C91" s="19" t="s">
        <v>167</v>
      </c>
      <c r="D91" s="158" t="s">
        <v>168</v>
      </c>
      <c r="E91" s="257">
        <v>90000</v>
      </c>
      <c r="F91" s="157"/>
    </row>
    <row r="92" spans="1:6" ht="21.6" customHeight="1">
      <c r="A92" s="27">
        <v>6</v>
      </c>
      <c r="B92" s="133" t="s">
        <v>169</v>
      </c>
      <c r="C92" s="138" t="s">
        <v>136</v>
      </c>
      <c r="D92" s="158" t="s">
        <v>60</v>
      </c>
      <c r="E92" s="257">
        <v>90000</v>
      </c>
      <c r="F92" s="157"/>
    </row>
    <row r="93" spans="1:6" ht="21.6" customHeight="1">
      <c r="A93" s="27">
        <v>7</v>
      </c>
      <c r="B93" s="133" t="s">
        <v>170</v>
      </c>
      <c r="C93" s="138" t="s">
        <v>136</v>
      </c>
      <c r="D93" s="158" t="s">
        <v>60</v>
      </c>
      <c r="E93" s="257">
        <v>90000</v>
      </c>
      <c r="F93" s="157"/>
    </row>
    <row r="94" spans="1:6" ht="21.6" customHeight="1">
      <c r="A94" s="27">
        <v>8</v>
      </c>
      <c r="B94" s="133" t="s">
        <v>172</v>
      </c>
      <c r="C94" s="92" t="s">
        <v>140</v>
      </c>
      <c r="D94" s="158" t="s">
        <v>69</v>
      </c>
      <c r="E94" s="252">
        <v>54000</v>
      </c>
      <c r="F94" s="157"/>
    </row>
    <row r="95" spans="1:6" ht="21.6" customHeight="1">
      <c r="A95" s="27">
        <v>9</v>
      </c>
      <c r="B95" s="133" t="s">
        <v>174</v>
      </c>
      <c r="C95" s="19" t="s">
        <v>175</v>
      </c>
      <c r="D95" s="27" t="s">
        <v>72</v>
      </c>
      <c r="E95" s="252">
        <v>54000</v>
      </c>
      <c r="F95" s="157"/>
    </row>
    <row r="96" spans="1:6" ht="21.6" customHeight="1">
      <c r="A96" s="27">
        <v>10</v>
      </c>
      <c r="B96" s="133" t="s">
        <v>176</v>
      </c>
      <c r="C96" s="92" t="s">
        <v>177</v>
      </c>
      <c r="D96" s="158" t="s">
        <v>86</v>
      </c>
      <c r="E96" s="252">
        <v>54000</v>
      </c>
      <c r="F96" s="157"/>
    </row>
    <row r="97" spans="1:6" ht="20.100000000000001" customHeight="1">
      <c r="A97" s="27"/>
      <c r="B97" s="136" t="s">
        <v>91</v>
      </c>
      <c r="C97" s="28">
        <v>10</v>
      </c>
      <c r="D97" s="28"/>
      <c r="E97" s="255">
        <v>864000</v>
      </c>
      <c r="F97" s="157"/>
    </row>
    <row r="98" spans="1:6" ht="20.100000000000001" customHeight="1">
      <c r="A98" s="27"/>
      <c r="B98" s="103"/>
      <c r="C98" s="28"/>
      <c r="D98" s="28"/>
      <c r="E98" s="256"/>
      <c r="F98" s="157"/>
    </row>
    <row r="99" spans="1:6" ht="20.100000000000001" customHeight="1">
      <c r="A99" s="27"/>
      <c r="B99" s="136" t="s">
        <v>178</v>
      </c>
      <c r="C99" s="28"/>
      <c r="D99" s="28"/>
      <c r="E99" s="256"/>
      <c r="F99" s="157"/>
    </row>
    <row r="100" spans="1:6" ht="20.100000000000001" customHeight="1">
      <c r="A100" s="27">
        <v>1</v>
      </c>
      <c r="B100" s="134" t="s">
        <v>41</v>
      </c>
      <c r="C100" s="27" t="s">
        <v>42</v>
      </c>
      <c r="D100" s="158" t="s">
        <v>36</v>
      </c>
      <c r="E100" s="252">
        <v>180000</v>
      </c>
      <c r="F100" s="157"/>
    </row>
    <row r="101" spans="1:6" ht="20.100000000000001" customHeight="1">
      <c r="A101" s="27">
        <v>2</v>
      </c>
      <c r="B101" s="133" t="s">
        <v>46</v>
      </c>
      <c r="C101" s="19" t="s">
        <v>182</v>
      </c>
      <c r="D101" s="27" t="s">
        <v>51</v>
      </c>
      <c r="E101" s="252">
        <v>90000</v>
      </c>
      <c r="F101" s="157"/>
    </row>
    <row r="102" spans="1:6" ht="20.100000000000001" customHeight="1">
      <c r="A102" s="27">
        <v>3</v>
      </c>
      <c r="B102" s="133" t="s">
        <v>183</v>
      </c>
      <c r="C102" s="19" t="s">
        <v>184</v>
      </c>
      <c r="D102" s="158" t="s">
        <v>66</v>
      </c>
      <c r="E102" s="252">
        <v>54000</v>
      </c>
      <c r="F102" s="157"/>
    </row>
    <row r="103" spans="1:6" ht="20.100000000000001" customHeight="1">
      <c r="A103" s="27">
        <v>4</v>
      </c>
      <c r="B103" s="133" t="s">
        <v>573</v>
      </c>
      <c r="C103" s="19" t="s">
        <v>574</v>
      </c>
      <c r="D103" s="158" t="s">
        <v>199</v>
      </c>
      <c r="E103" s="252">
        <v>54000</v>
      </c>
      <c r="F103" s="157"/>
    </row>
    <row r="104" spans="1:6" ht="20.100000000000001" customHeight="1">
      <c r="A104" s="19"/>
      <c r="B104" s="136" t="s">
        <v>91</v>
      </c>
      <c r="C104" s="28">
        <v>3</v>
      </c>
      <c r="D104" s="164"/>
      <c r="E104" s="255">
        <v>378000</v>
      </c>
      <c r="F104" s="157"/>
    </row>
    <row r="105" spans="1:6" ht="20.100000000000001" customHeight="1">
      <c r="A105" s="19"/>
      <c r="B105" s="103"/>
      <c r="C105" s="28"/>
      <c r="D105" s="164"/>
      <c r="E105" s="256"/>
      <c r="F105" s="157"/>
    </row>
    <row r="106" spans="1:6" ht="20.100000000000001" customHeight="1">
      <c r="A106" s="19"/>
      <c r="B106" s="136" t="s">
        <v>187</v>
      </c>
      <c r="C106" s="19"/>
      <c r="D106" s="19"/>
      <c r="E106" s="258"/>
      <c r="F106" s="157"/>
    </row>
    <row r="107" spans="1:6" ht="20.100000000000001" customHeight="1">
      <c r="A107" s="19">
        <v>1</v>
      </c>
      <c r="B107" s="133" t="s">
        <v>188</v>
      </c>
      <c r="C107" s="138" t="s">
        <v>189</v>
      </c>
      <c r="D107" s="158" t="s">
        <v>95</v>
      </c>
      <c r="E107" s="252">
        <v>270000</v>
      </c>
      <c r="F107" s="157"/>
    </row>
    <row r="108" spans="1:6" ht="20.100000000000001" customHeight="1">
      <c r="A108" s="19">
        <v>2</v>
      </c>
      <c r="B108" s="133" t="s">
        <v>190</v>
      </c>
      <c r="C108" s="19" t="s">
        <v>191</v>
      </c>
      <c r="D108" s="23" t="s">
        <v>36</v>
      </c>
      <c r="E108" s="252">
        <v>180000</v>
      </c>
      <c r="F108" s="157"/>
    </row>
    <row r="109" spans="1:6" ht="20.100000000000001" customHeight="1">
      <c r="A109" s="19">
        <v>3</v>
      </c>
      <c r="B109" s="133" t="s">
        <v>192</v>
      </c>
      <c r="C109" s="19" t="s">
        <v>193</v>
      </c>
      <c r="D109" s="27" t="s">
        <v>57</v>
      </c>
      <c r="E109" s="252">
        <v>90000</v>
      </c>
      <c r="F109" s="157"/>
    </row>
    <row r="110" spans="1:6" ht="20.100000000000001" customHeight="1">
      <c r="A110" s="19">
        <v>4</v>
      </c>
      <c r="B110" s="133" t="s">
        <v>194</v>
      </c>
      <c r="C110" s="19" t="s">
        <v>193</v>
      </c>
      <c r="D110" s="27" t="s">
        <v>57</v>
      </c>
      <c r="E110" s="252">
        <v>90000</v>
      </c>
      <c r="F110" s="157"/>
    </row>
    <row r="111" spans="1:6" ht="20.100000000000001" customHeight="1">
      <c r="A111" s="19">
        <v>5</v>
      </c>
      <c r="B111" s="133" t="s">
        <v>195</v>
      </c>
      <c r="C111" s="19" t="s">
        <v>196</v>
      </c>
      <c r="D111" s="158" t="s">
        <v>197</v>
      </c>
      <c r="E111" s="252">
        <v>54000</v>
      </c>
      <c r="F111" s="157"/>
    </row>
    <row r="112" spans="1:6" ht="20.100000000000001" customHeight="1">
      <c r="A112" s="19">
        <v>6</v>
      </c>
      <c r="B112" s="134" t="s">
        <v>198</v>
      </c>
      <c r="C112" s="19" t="s">
        <v>196</v>
      </c>
      <c r="D112" s="27" t="s">
        <v>199</v>
      </c>
      <c r="E112" s="252">
        <v>54000</v>
      </c>
      <c r="F112" s="157"/>
    </row>
    <row r="113" spans="1:6" ht="20.100000000000001" customHeight="1">
      <c r="A113" s="19">
        <v>7</v>
      </c>
      <c r="B113" s="134" t="s">
        <v>200</v>
      </c>
      <c r="C113" s="19" t="s">
        <v>196</v>
      </c>
      <c r="D113" s="158" t="s">
        <v>86</v>
      </c>
      <c r="E113" s="252">
        <v>54000</v>
      </c>
      <c r="F113" s="157"/>
    </row>
    <row r="114" spans="1:6" ht="20.100000000000001" customHeight="1">
      <c r="A114" s="19"/>
      <c r="B114" s="136" t="s">
        <v>91</v>
      </c>
      <c r="C114" s="28">
        <v>7</v>
      </c>
      <c r="D114" s="19"/>
      <c r="E114" s="259">
        <v>792000</v>
      </c>
      <c r="F114" s="157"/>
    </row>
    <row r="115" spans="1:6" ht="20.100000000000001" customHeight="1">
      <c r="A115" s="19"/>
      <c r="B115" s="136"/>
      <c r="C115" s="28"/>
      <c r="D115" s="19"/>
      <c r="E115" s="259"/>
      <c r="F115" s="157"/>
    </row>
    <row r="116" spans="1:6" ht="43.5" customHeight="1">
      <c r="A116" s="27"/>
      <c r="B116" s="136" t="s">
        <v>580</v>
      </c>
      <c r="C116" s="28"/>
      <c r="D116" s="28"/>
      <c r="E116" s="259"/>
      <c r="F116" s="157"/>
    </row>
    <row r="117" spans="1:6" ht="27" customHeight="1">
      <c r="A117" s="27">
        <v>1</v>
      </c>
      <c r="B117" s="133" t="s">
        <v>202</v>
      </c>
      <c r="C117" s="92" t="s">
        <v>140</v>
      </c>
      <c r="D117" s="158" t="s">
        <v>203</v>
      </c>
      <c r="E117" s="252">
        <v>54000</v>
      </c>
      <c r="F117" s="157"/>
    </row>
    <row r="118" spans="1:6" ht="27" customHeight="1">
      <c r="A118" s="27">
        <v>2</v>
      </c>
      <c r="B118" s="133" t="s">
        <v>204</v>
      </c>
      <c r="C118" s="19" t="s">
        <v>205</v>
      </c>
      <c r="D118" s="158" t="s">
        <v>66</v>
      </c>
      <c r="E118" s="252">
        <v>54000</v>
      </c>
      <c r="F118" s="157"/>
    </row>
    <row r="119" spans="1:6" ht="27" customHeight="1">
      <c r="A119" s="19"/>
      <c r="B119" s="136" t="s">
        <v>91</v>
      </c>
      <c r="C119" s="28">
        <v>2</v>
      </c>
      <c r="D119" s="164"/>
      <c r="E119" s="259">
        <v>108000</v>
      </c>
      <c r="F119" s="157"/>
    </row>
    <row r="120" spans="1:6" ht="20.100000000000001" customHeight="1">
      <c r="A120" s="19"/>
      <c r="B120" s="103"/>
      <c r="C120" s="27"/>
      <c r="D120" s="19"/>
      <c r="E120" s="260"/>
      <c r="F120" s="157"/>
    </row>
    <row r="121" spans="1:6" ht="20.100000000000001" customHeight="1">
      <c r="A121" s="19"/>
      <c r="B121" s="136" t="s">
        <v>208</v>
      </c>
      <c r="C121" s="28"/>
      <c r="D121" s="28"/>
      <c r="E121" s="252"/>
      <c r="F121" s="157"/>
    </row>
    <row r="122" spans="1:6" ht="20.100000000000001" customHeight="1">
      <c r="A122" s="19">
        <v>1</v>
      </c>
      <c r="B122" s="133" t="s">
        <v>209</v>
      </c>
      <c r="C122" s="138" t="s">
        <v>210</v>
      </c>
      <c r="D122" s="158" t="s">
        <v>95</v>
      </c>
      <c r="E122" s="252">
        <v>270000</v>
      </c>
      <c r="F122" s="157"/>
    </row>
    <row r="123" spans="1:6" ht="20.100000000000001" customHeight="1">
      <c r="A123" s="19">
        <v>2</v>
      </c>
      <c r="B123" s="133" t="s">
        <v>211</v>
      </c>
      <c r="C123" s="138" t="s">
        <v>214</v>
      </c>
      <c r="D123" s="158" t="s">
        <v>45</v>
      </c>
      <c r="E123" s="252">
        <v>126000</v>
      </c>
      <c r="F123" s="157"/>
    </row>
    <row r="124" spans="1:6" ht="20.100000000000001" customHeight="1">
      <c r="A124" s="19">
        <v>3</v>
      </c>
      <c r="B124" s="135" t="s">
        <v>213</v>
      </c>
      <c r="C124" s="138" t="s">
        <v>214</v>
      </c>
      <c r="D124" s="158" t="s">
        <v>45</v>
      </c>
      <c r="E124" s="252">
        <v>126000</v>
      </c>
      <c r="F124" s="157"/>
    </row>
    <row r="125" spans="1:6" ht="20.100000000000001" customHeight="1">
      <c r="A125" s="19">
        <v>4</v>
      </c>
      <c r="B125" s="135" t="s">
        <v>215</v>
      </c>
      <c r="C125" s="138" t="s">
        <v>214</v>
      </c>
      <c r="D125" s="158" t="s">
        <v>48</v>
      </c>
      <c r="E125" s="252">
        <v>126000</v>
      </c>
      <c r="F125" s="157"/>
    </row>
    <row r="126" spans="1:6" ht="20.100000000000001" customHeight="1">
      <c r="A126" s="19">
        <v>5</v>
      </c>
      <c r="B126" s="133" t="s">
        <v>216</v>
      </c>
      <c r="C126" s="138" t="s">
        <v>217</v>
      </c>
      <c r="D126" s="158" t="s">
        <v>54</v>
      </c>
      <c r="E126" s="252">
        <v>90000</v>
      </c>
      <c r="F126" s="157"/>
    </row>
    <row r="127" spans="1:6" ht="20.100000000000001" customHeight="1">
      <c r="A127" s="19">
        <v>6</v>
      </c>
      <c r="B127" s="133" t="s">
        <v>218</v>
      </c>
      <c r="C127" s="138" t="s">
        <v>219</v>
      </c>
      <c r="D127" s="158" t="s">
        <v>168</v>
      </c>
      <c r="E127" s="252">
        <v>90000</v>
      </c>
      <c r="F127" s="157"/>
    </row>
    <row r="128" spans="1:6" ht="20.100000000000001" customHeight="1">
      <c r="A128" s="19">
        <v>7</v>
      </c>
      <c r="B128" s="133" t="s">
        <v>220</v>
      </c>
      <c r="C128" s="138" t="s">
        <v>416</v>
      </c>
      <c r="D128" s="158" t="s">
        <v>168</v>
      </c>
      <c r="E128" s="252">
        <v>90000</v>
      </c>
      <c r="F128" s="157"/>
    </row>
    <row r="129" spans="1:6" ht="20.100000000000001" customHeight="1">
      <c r="A129" s="19">
        <v>8</v>
      </c>
      <c r="B129" s="133" t="s">
        <v>221</v>
      </c>
      <c r="C129" s="138" t="s">
        <v>222</v>
      </c>
      <c r="D129" s="27" t="s">
        <v>75</v>
      </c>
      <c r="E129" s="252">
        <v>54000</v>
      </c>
      <c r="F129" s="157"/>
    </row>
    <row r="130" spans="1:6" ht="20.100000000000001" customHeight="1">
      <c r="A130" s="19">
        <v>9</v>
      </c>
      <c r="B130" s="134" t="s">
        <v>223</v>
      </c>
      <c r="C130" s="138" t="s">
        <v>224</v>
      </c>
      <c r="D130" s="158" t="s">
        <v>86</v>
      </c>
      <c r="E130" s="252">
        <v>54000</v>
      </c>
      <c r="F130" s="157"/>
    </row>
    <row r="131" spans="1:6" ht="20.100000000000001" customHeight="1">
      <c r="A131" s="19"/>
      <c r="B131" s="136" t="s">
        <v>91</v>
      </c>
      <c r="C131" s="164" t="s">
        <v>575</v>
      </c>
      <c r="D131" s="158"/>
      <c r="E131" s="261">
        <v>1026000</v>
      </c>
      <c r="F131" s="157"/>
    </row>
    <row r="132" spans="1:6" ht="20.100000000000001" customHeight="1">
      <c r="A132" s="19"/>
      <c r="B132" s="103"/>
      <c r="C132" s="164"/>
      <c r="D132" s="158"/>
      <c r="E132" s="262"/>
      <c r="F132" s="157"/>
    </row>
    <row r="133" spans="1:6" ht="20.100000000000001" customHeight="1">
      <c r="A133" s="19"/>
      <c r="B133" s="136" t="s">
        <v>228</v>
      </c>
      <c r="C133" s="138"/>
      <c r="D133" s="158"/>
      <c r="E133" s="252"/>
      <c r="F133" s="157"/>
    </row>
    <row r="134" spans="1:6" ht="20.100000000000001" customHeight="1">
      <c r="A134" s="168">
        <v>1</v>
      </c>
      <c r="B134" s="133" t="s">
        <v>229</v>
      </c>
      <c r="C134" s="138" t="s">
        <v>230</v>
      </c>
      <c r="D134" s="158" t="s">
        <v>95</v>
      </c>
      <c r="E134" s="252">
        <v>270000</v>
      </c>
      <c r="F134" s="157"/>
    </row>
    <row r="135" spans="1:6" ht="20.100000000000001" customHeight="1">
      <c r="A135" s="168">
        <v>2</v>
      </c>
      <c r="B135" s="133" t="s">
        <v>231</v>
      </c>
      <c r="C135" s="138" t="s">
        <v>232</v>
      </c>
      <c r="D135" s="158" t="s">
        <v>233</v>
      </c>
      <c r="E135" s="252">
        <v>180000</v>
      </c>
      <c r="F135" s="157"/>
    </row>
    <row r="136" spans="1:6" ht="20.100000000000001" customHeight="1">
      <c r="A136" s="168">
        <v>3</v>
      </c>
      <c r="B136" s="135" t="s">
        <v>234</v>
      </c>
      <c r="C136" s="19" t="s">
        <v>235</v>
      </c>
      <c r="D136" s="23" t="s">
        <v>36</v>
      </c>
      <c r="E136" s="252">
        <v>180000</v>
      </c>
      <c r="F136" s="157"/>
    </row>
    <row r="137" spans="1:6" ht="20.100000000000001" customHeight="1">
      <c r="A137" s="168">
        <v>4</v>
      </c>
      <c r="B137" s="133" t="s">
        <v>236</v>
      </c>
      <c r="C137" s="138" t="s">
        <v>237</v>
      </c>
      <c r="D137" s="158" t="s">
        <v>51</v>
      </c>
      <c r="E137" s="252">
        <v>90000</v>
      </c>
      <c r="F137" s="157"/>
    </row>
    <row r="138" spans="1:6" ht="20.100000000000001" customHeight="1">
      <c r="A138" s="168">
        <v>5</v>
      </c>
      <c r="B138" s="133" t="s">
        <v>238</v>
      </c>
      <c r="C138" s="19" t="s">
        <v>239</v>
      </c>
      <c r="D138" s="158" t="s">
        <v>51</v>
      </c>
      <c r="E138" s="252">
        <v>90000</v>
      </c>
      <c r="F138" s="157"/>
    </row>
    <row r="139" spans="1:6" ht="20.100000000000001" customHeight="1">
      <c r="A139" s="168">
        <v>6</v>
      </c>
      <c r="B139" s="133" t="s">
        <v>181</v>
      </c>
      <c r="C139" s="19" t="s">
        <v>245</v>
      </c>
      <c r="D139" s="158" t="s">
        <v>168</v>
      </c>
      <c r="E139" s="252">
        <v>90000</v>
      </c>
      <c r="F139" s="157"/>
    </row>
    <row r="140" spans="1:6" ht="20.100000000000001" customHeight="1">
      <c r="A140" s="168">
        <v>7</v>
      </c>
      <c r="B140" s="133" t="s">
        <v>241</v>
      </c>
      <c r="C140" s="138" t="s">
        <v>242</v>
      </c>
      <c r="D140" s="158" t="s">
        <v>203</v>
      </c>
      <c r="E140" s="252">
        <v>54000</v>
      </c>
      <c r="F140" s="157"/>
    </row>
    <row r="141" spans="1:6" ht="20.100000000000001" customHeight="1">
      <c r="A141" s="168">
        <v>8</v>
      </c>
      <c r="B141" s="133" t="s">
        <v>243</v>
      </c>
      <c r="C141" s="138" t="s">
        <v>242</v>
      </c>
      <c r="D141" s="158" t="s">
        <v>203</v>
      </c>
      <c r="E141" s="252">
        <v>54000</v>
      </c>
      <c r="F141" s="157"/>
    </row>
    <row r="142" spans="1:6" ht="20.100000000000001" customHeight="1">
      <c r="A142" s="168">
        <v>9</v>
      </c>
      <c r="B142" s="133" t="s">
        <v>244</v>
      </c>
      <c r="C142" s="19" t="s">
        <v>245</v>
      </c>
      <c r="D142" s="158" t="s">
        <v>203</v>
      </c>
      <c r="E142" s="252">
        <v>54000</v>
      </c>
      <c r="F142" s="157"/>
    </row>
    <row r="143" spans="1:6" ht="20.100000000000001" customHeight="1">
      <c r="A143" s="168">
        <v>10</v>
      </c>
      <c r="B143" s="133" t="s">
        <v>246</v>
      </c>
      <c r="C143" s="138" t="s">
        <v>251</v>
      </c>
      <c r="D143" s="158" t="s">
        <v>66</v>
      </c>
      <c r="E143" s="252">
        <v>54000</v>
      </c>
      <c r="F143" s="157"/>
    </row>
    <row r="144" spans="1:6" ht="20.100000000000001" customHeight="1">
      <c r="A144" s="168">
        <v>11</v>
      </c>
      <c r="B144" s="133" t="s">
        <v>248</v>
      </c>
      <c r="C144" s="138" t="s">
        <v>418</v>
      </c>
      <c r="D144" s="158" t="s">
        <v>419</v>
      </c>
      <c r="E144" s="252">
        <v>54000</v>
      </c>
      <c r="F144" s="157"/>
    </row>
    <row r="145" spans="1:6" ht="20.100000000000001" customHeight="1">
      <c r="A145" s="168">
        <v>12</v>
      </c>
      <c r="B145" s="133" t="s">
        <v>250</v>
      </c>
      <c r="C145" s="138" t="s">
        <v>251</v>
      </c>
      <c r="D145" s="158" t="s">
        <v>203</v>
      </c>
      <c r="E145" s="252">
        <v>54000</v>
      </c>
      <c r="F145" s="157"/>
    </row>
    <row r="146" spans="1:6" ht="20.100000000000001" customHeight="1">
      <c r="A146" s="168">
        <v>13</v>
      </c>
      <c r="B146" s="134" t="s">
        <v>252</v>
      </c>
      <c r="C146" s="19" t="s">
        <v>262</v>
      </c>
      <c r="D146" s="158" t="s">
        <v>419</v>
      </c>
      <c r="E146" s="252">
        <v>54000</v>
      </c>
      <c r="F146" s="157"/>
    </row>
    <row r="147" spans="1:6" ht="20.100000000000001" customHeight="1">
      <c r="A147" s="168">
        <v>14</v>
      </c>
      <c r="B147" s="133" t="s">
        <v>254</v>
      </c>
      <c r="C147" s="19" t="s">
        <v>255</v>
      </c>
      <c r="D147" s="158" t="s">
        <v>157</v>
      </c>
      <c r="E147" s="252">
        <v>54000</v>
      </c>
      <c r="F147" s="157"/>
    </row>
    <row r="148" spans="1:6" ht="20.100000000000001" customHeight="1">
      <c r="A148" s="168">
        <v>15</v>
      </c>
      <c r="B148" s="133" t="s">
        <v>256</v>
      </c>
      <c r="C148" s="19" t="s">
        <v>255</v>
      </c>
      <c r="D148" s="158" t="s">
        <v>257</v>
      </c>
      <c r="E148" s="252">
        <v>54000</v>
      </c>
      <c r="F148" s="157"/>
    </row>
    <row r="149" spans="1:6" ht="20.100000000000001" customHeight="1">
      <c r="A149" s="168">
        <v>16</v>
      </c>
      <c r="B149" s="133" t="s">
        <v>258</v>
      </c>
      <c r="C149" s="19" t="s">
        <v>255</v>
      </c>
      <c r="D149" s="158" t="s">
        <v>257</v>
      </c>
      <c r="E149" s="252">
        <v>54000</v>
      </c>
      <c r="F149" s="157"/>
    </row>
    <row r="150" spans="1:6" ht="20.100000000000001" customHeight="1">
      <c r="A150" s="168">
        <v>17</v>
      </c>
      <c r="B150" s="133" t="s">
        <v>259</v>
      </c>
      <c r="C150" s="138" t="s">
        <v>260</v>
      </c>
      <c r="D150" s="158" t="s">
        <v>72</v>
      </c>
      <c r="E150" s="252">
        <v>54000</v>
      </c>
      <c r="F150" s="157"/>
    </row>
    <row r="151" spans="1:6" ht="20.100000000000001" customHeight="1">
      <c r="A151" s="168">
        <v>18</v>
      </c>
      <c r="B151" s="133" t="s">
        <v>261</v>
      </c>
      <c r="C151" s="138" t="s">
        <v>262</v>
      </c>
      <c r="D151" s="27" t="s">
        <v>79</v>
      </c>
      <c r="E151" s="252">
        <v>54000</v>
      </c>
      <c r="F151" s="157"/>
    </row>
    <row r="152" spans="1:6" ht="20.100000000000001" customHeight="1">
      <c r="A152" s="168">
        <v>19</v>
      </c>
      <c r="B152" s="133" t="s">
        <v>263</v>
      </c>
      <c r="C152" s="138" t="s">
        <v>264</v>
      </c>
      <c r="D152" s="158" t="s">
        <v>157</v>
      </c>
      <c r="E152" s="252">
        <v>54000</v>
      </c>
      <c r="F152" s="157"/>
    </row>
    <row r="153" spans="1:6" ht="20.100000000000001" customHeight="1">
      <c r="A153" s="168">
        <v>20</v>
      </c>
      <c r="B153" s="133" t="s">
        <v>265</v>
      </c>
      <c r="C153" s="138" t="s">
        <v>266</v>
      </c>
      <c r="D153" s="158" t="s">
        <v>75</v>
      </c>
      <c r="E153" s="252">
        <v>54000</v>
      </c>
      <c r="F153" s="157"/>
    </row>
    <row r="154" spans="1:6" ht="20.100000000000001" customHeight="1">
      <c r="A154" s="168">
        <v>21</v>
      </c>
      <c r="B154" s="133" t="s">
        <v>267</v>
      </c>
      <c r="C154" s="138" t="s">
        <v>268</v>
      </c>
      <c r="D154" s="158" t="s">
        <v>157</v>
      </c>
      <c r="E154" s="252">
        <v>54000</v>
      </c>
      <c r="F154" s="157"/>
    </row>
    <row r="155" spans="1:6" ht="20.100000000000001" customHeight="1">
      <c r="A155" s="168">
        <v>22</v>
      </c>
      <c r="B155" s="133" t="s">
        <v>269</v>
      </c>
      <c r="C155" s="138" t="s">
        <v>270</v>
      </c>
      <c r="D155" s="158" t="s">
        <v>75</v>
      </c>
      <c r="E155" s="252">
        <v>54000</v>
      </c>
      <c r="F155" s="157"/>
    </row>
    <row r="156" spans="1:6" ht="20.100000000000001" customHeight="1">
      <c r="A156" s="168">
        <v>23</v>
      </c>
      <c r="B156" s="134" t="s">
        <v>271</v>
      </c>
      <c r="C156" s="138" t="s">
        <v>276</v>
      </c>
      <c r="D156" s="158" t="s">
        <v>199</v>
      </c>
      <c r="E156" s="252">
        <v>54000</v>
      </c>
      <c r="F156" s="157"/>
    </row>
    <row r="157" spans="1:6" ht="20.100000000000001" customHeight="1">
      <c r="A157" s="168">
        <v>24</v>
      </c>
      <c r="B157" s="134" t="s">
        <v>273</v>
      </c>
      <c r="C157" s="138" t="s">
        <v>274</v>
      </c>
      <c r="D157" s="158" t="s">
        <v>90</v>
      </c>
      <c r="E157" s="252">
        <v>54000</v>
      </c>
      <c r="F157" s="157"/>
    </row>
    <row r="158" spans="1:6" ht="20.100000000000001" customHeight="1">
      <c r="A158" s="168">
        <v>25</v>
      </c>
      <c r="B158" s="134" t="s">
        <v>275</v>
      </c>
      <c r="C158" s="138" t="s">
        <v>276</v>
      </c>
      <c r="D158" s="158" t="s">
        <v>90</v>
      </c>
      <c r="E158" s="252">
        <v>54000</v>
      </c>
      <c r="F158" s="157"/>
    </row>
    <row r="159" spans="1:6" ht="20.100000000000001" customHeight="1">
      <c r="A159" s="168">
        <v>26</v>
      </c>
      <c r="B159" s="134" t="s">
        <v>277</v>
      </c>
      <c r="C159" s="138" t="s">
        <v>278</v>
      </c>
      <c r="D159" s="158" t="s">
        <v>86</v>
      </c>
      <c r="E159" s="252">
        <v>54000</v>
      </c>
      <c r="F159" s="157"/>
    </row>
    <row r="160" spans="1:6" ht="20.100000000000001" customHeight="1">
      <c r="A160" s="168">
        <v>27</v>
      </c>
      <c r="B160" s="134" t="s">
        <v>279</v>
      </c>
      <c r="C160" s="138" t="s">
        <v>280</v>
      </c>
      <c r="D160" s="158" t="s">
        <v>86</v>
      </c>
      <c r="E160" s="252">
        <v>54000</v>
      </c>
      <c r="F160" s="157"/>
    </row>
    <row r="161" spans="1:6" ht="20.100000000000001" customHeight="1">
      <c r="A161" s="168">
        <v>28</v>
      </c>
      <c r="B161" s="133" t="s">
        <v>282</v>
      </c>
      <c r="C161" s="138" t="s">
        <v>283</v>
      </c>
      <c r="D161" s="158" t="s">
        <v>284</v>
      </c>
      <c r="E161" s="252">
        <v>36000</v>
      </c>
      <c r="F161" s="157"/>
    </row>
    <row r="162" spans="1:6" ht="20.100000000000001" customHeight="1">
      <c r="A162" s="168">
        <v>29</v>
      </c>
      <c r="B162" s="133" t="s">
        <v>285</v>
      </c>
      <c r="C162" s="138" t="s">
        <v>283</v>
      </c>
      <c r="D162" s="158" t="s">
        <v>284</v>
      </c>
      <c r="E162" s="252">
        <v>36000</v>
      </c>
      <c r="F162" s="157"/>
    </row>
    <row r="163" spans="1:6" ht="20.100000000000001" customHeight="1">
      <c r="A163" s="168">
        <v>30</v>
      </c>
      <c r="B163" s="133" t="s">
        <v>286</v>
      </c>
      <c r="C163" s="138" t="s">
        <v>283</v>
      </c>
      <c r="D163" s="158" t="s">
        <v>284</v>
      </c>
      <c r="E163" s="252">
        <v>36000</v>
      </c>
      <c r="F163" s="157"/>
    </row>
    <row r="164" spans="1:6" ht="20.100000000000001" customHeight="1">
      <c r="A164" s="168">
        <v>32</v>
      </c>
      <c r="B164" s="133" t="s">
        <v>287</v>
      </c>
      <c r="C164" s="138" t="s">
        <v>283</v>
      </c>
      <c r="D164" s="158" t="s">
        <v>284</v>
      </c>
      <c r="E164" s="252">
        <v>36000</v>
      </c>
      <c r="F164" s="157"/>
    </row>
    <row r="165" spans="1:6" ht="20.100000000000001" customHeight="1">
      <c r="A165" s="168">
        <v>33</v>
      </c>
      <c r="B165" s="133" t="s">
        <v>288</v>
      </c>
      <c r="C165" s="138" t="s">
        <v>283</v>
      </c>
      <c r="D165" s="158" t="s">
        <v>284</v>
      </c>
      <c r="E165" s="252">
        <v>36000</v>
      </c>
      <c r="F165" s="157"/>
    </row>
    <row r="166" spans="1:6" ht="20.100000000000001" customHeight="1">
      <c r="A166" s="168">
        <v>34</v>
      </c>
      <c r="B166" s="133" t="s">
        <v>289</v>
      </c>
      <c r="C166" s="138" t="s">
        <v>283</v>
      </c>
      <c r="D166" s="158" t="s">
        <v>290</v>
      </c>
      <c r="E166" s="252">
        <v>36000</v>
      </c>
      <c r="F166" s="157"/>
    </row>
    <row r="167" spans="1:6" ht="20.100000000000001" customHeight="1">
      <c r="A167" s="168">
        <v>35</v>
      </c>
      <c r="B167" s="133" t="s">
        <v>291</v>
      </c>
      <c r="C167" s="138" t="s">
        <v>283</v>
      </c>
      <c r="D167" s="158" t="s">
        <v>290</v>
      </c>
      <c r="E167" s="252">
        <v>36000</v>
      </c>
      <c r="F167" s="157"/>
    </row>
    <row r="168" spans="1:6" ht="20.100000000000001" customHeight="1">
      <c r="A168" s="168">
        <v>36</v>
      </c>
      <c r="B168" s="135" t="s">
        <v>292</v>
      </c>
      <c r="C168" s="138" t="s">
        <v>283</v>
      </c>
      <c r="D168" s="158" t="s">
        <v>290</v>
      </c>
      <c r="E168" s="252">
        <v>36000</v>
      </c>
      <c r="F168" s="157"/>
    </row>
    <row r="169" spans="1:6" ht="20.100000000000001" customHeight="1">
      <c r="A169" s="168">
        <v>37</v>
      </c>
      <c r="B169" s="133" t="s">
        <v>293</v>
      </c>
      <c r="C169" s="138" t="s">
        <v>283</v>
      </c>
      <c r="D169" s="158" t="s">
        <v>290</v>
      </c>
      <c r="E169" s="252">
        <v>36000</v>
      </c>
      <c r="F169" s="157"/>
    </row>
    <row r="170" spans="1:6" ht="20.100000000000001" customHeight="1">
      <c r="A170" s="168">
        <v>38</v>
      </c>
      <c r="B170" s="134" t="s">
        <v>294</v>
      </c>
      <c r="C170" s="138" t="s">
        <v>283</v>
      </c>
      <c r="D170" s="158" t="s">
        <v>290</v>
      </c>
      <c r="E170" s="252">
        <v>36000</v>
      </c>
      <c r="F170" s="157"/>
    </row>
    <row r="171" spans="1:6" ht="20.100000000000001" customHeight="1">
      <c r="A171" s="168">
        <v>39</v>
      </c>
      <c r="B171" s="134" t="s">
        <v>295</v>
      </c>
      <c r="C171" s="138" t="s">
        <v>283</v>
      </c>
      <c r="D171" s="158" t="s">
        <v>290</v>
      </c>
      <c r="E171" s="252">
        <v>36000</v>
      </c>
      <c r="F171" s="157"/>
    </row>
    <row r="172" spans="1:6" ht="20.100000000000001" customHeight="1">
      <c r="A172" s="168">
        <v>40</v>
      </c>
      <c r="B172" s="133" t="s">
        <v>296</v>
      </c>
      <c r="C172" s="138" t="s">
        <v>302</v>
      </c>
      <c r="D172" s="158" t="s">
        <v>400</v>
      </c>
      <c r="E172" s="252">
        <v>36000</v>
      </c>
      <c r="F172" s="157"/>
    </row>
    <row r="173" spans="1:6" ht="20.100000000000001" customHeight="1">
      <c r="A173" s="168">
        <v>41</v>
      </c>
      <c r="B173" s="133" t="s">
        <v>299</v>
      </c>
      <c r="C173" s="138" t="s">
        <v>302</v>
      </c>
      <c r="D173" s="158" t="s">
        <v>400</v>
      </c>
      <c r="E173" s="252">
        <v>36000</v>
      </c>
      <c r="F173" s="157"/>
    </row>
    <row r="174" spans="1:6" ht="20.100000000000001" customHeight="1">
      <c r="A174" s="168">
        <v>42</v>
      </c>
      <c r="B174" s="134" t="s">
        <v>300</v>
      </c>
      <c r="C174" s="138" t="s">
        <v>302</v>
      </c>
      <c r="D174" s="158" t="s">
        <v>401</v>
      </c>
      <c r="E174" s="252">
        <v>36000</v>
      </c>
      <c r="F174" s="157"/>
    </row>
    <row r="175" spans="1:6" ht="20.100000000000001" customHeight="1">
      <c r="A175" s="168">
        <v>43</v>
      </c>
      <c r="B175" s="133" t="s">
        <v>301</v>
      </c>
      <c r="C175" s="138" t="s">
        <v>302</v>
      </c>
      <c r="D175" s="158" t="s">
        <v>303</v>
      </c>
      <c r="E175" s="252">
        <v>36000</v>
      </c>
      <c r="F175" s="157"/>
    </row>
    <row r="176" spans="1:6" ht="20.100000000000001" customHeight="1">
      <c r="A176" s="168">
        <v>44</v>
      </c>
      <c r="B176" s="133" t="s">
        <v>304</v>
      </c>
      <c r="C176" s="138" t="s">
        <v>305</v>
      </c>
      <c r="D176" s="158" t="s">
        <v>306</v>
      </c>
      <c r="E176" s="252">
        <v>36000</v>
      </c>
      <c r="F176" s="157"/>
    </row>
    <row r="177" spans="1:6" ht="20.100000000000001" customHeight="1">
      <c r="A177" s="168">
        <v>45</v>
      </c>
      <c r="B177" s="133" t="s">
        <v>307</v>
      </c>
      <c r="C177" s="138" t="s">
        <v>305</v>
      </c>
      <c r="D177" s="158" t="s">
        <v>306</v>
      </c>
      <c r="E177" s="252">
        <v>36000</v>
      </c>
      <c r="F177" s="157"/>
    </row>
    <row r="178" spans="1:6" ht="20.100000000000001" customHeight="1">
      <c r="A178" s="168">
        <v>46</v>
      </c>
      <c r="B178" s="133" t="s">
        <v>308</v>
      </c>
      <c r="C178" s="138" t="s">
        <v>305</v>
      </c>
      <c r="D178" s="158" t="s">
        <v>306</v>
      </c>
      <c r="E178" s="252">
        <v>36000</v>
      </c>
      <c r="F178" s="157"/>
    </row>
    <row r="179" spans="1:6" ht="20.100000000000001" customHeight="1">
      <c r="A179" s="168">
        <v>47</v>
      </c>
      <c r="B179" s="133" t="s">
        <v>309</v>
      </c>
      <c r="C179" s="138" t="s">
        <v>305</v>
      </c>
      <c r="D179" s="158" t="s">
        <v>306</v>
      </c>
      <c r="E179" s="252">
        <v>36000</v>
      </c>
      <c r="F179" s="157"/>
    </row>
    <row r="180" spans="1:6" ht="20.100000000000001" customHeight="1">
      <c r="A180" s="168">
        <v>48</v>
      </c>
      <c r="B180" s="133" t="s">
        <v>310</v>
      </c>
      <c r="C180" s="138" t="s">
        <v>305</v>
      </c>
      <c r="D180" s="158" t="s">
        <v>306</v>
      </c>
      <c r="E180" s="252">
        <v>36000</v>
      </c>
      <c r="F180" s="157"/>
    </row>
    <row r="181" spans="1:6" ht="20.100000000000001" customHeight="1">
      <c r="A181" s="168">
        <v>49</v>
      </c>
      <c r="B181" s="134" t="s">
        <v>311</v>
      </c>
      <c r="C181" s="138" t="s">
        <v>305</v>
      </c>
      <c r="D181" s="158" t="s">
        <v>306</v>
      </c>
      <c r="E181" s="252">
        <v>36000</v>
      </c>
      <c r="F181" s="157"/>
    </row>
    <row r="182" spans="1:6" ht="20.100000000000001" customHeight="1">
      <c r="A182" s="168">
        <v>50</v>
      </c>
      <c r="B182" s="134" t="s">
        <v>312</v>
      </c>
      <c r="C182" s="138" t="s">
        <v>305</v>
      </c>
      <c r="D182" s="158" t="s">
        <v>306</v>
      </c>
      <c r="E182" s="252">
        <v>36000</v>
      </c>
      <c r="F182" s="157"/>
    </row>
    <row r="183" spans="1:6" ht="20.100000000000001" customHeight="1">
      <c r="A183" s="168">
        <v>51</v>
      </c>
      <c r="B183" s="133" t="s">
        <v>313</v>
      </c>
      <c r="C183" s="138" t="s">
        <v>302</v>
      </c>
      <c r="D183" s="158" t="s">
        <v>306</v>
      </c>
      <c r="E183" s="252">
        <v>36000</v>
      </c>
      <c r="F183" s="157"/>
    </row>
    <row r="184" spans="1:6" ht="20.100000000000001" customHeight="1">
      <c r="A184" s="168">
        <v>52</v>
      </c>
      <c r="B184" s="133" t="s">
        <v>314</v>
      </c>
      <c r="C184" s="138" t="s">
        <v>302</v>
      </c>
      <c r="D184" s="158" t="s">
        <v>306</v>
      </c>
      <c r="E184" s="252">
        <v>36000</v>
      </c>
      <c r="F184" s="157"/>
    </row>
    <row r="185" spans="1:6" ht="20.100000000000001" customHeight="1">
      <c r="A185" s="168">
        <v>53</v>
      </c>
      <c r="B185" s="134" t="s">
        <v>315</v>
      </c>
      <c r="C185" s="138" t="s">
        <v>305</v>
      </c>
      <c r="D185" s="158" t="s">
        <v>420</v>
      </c>
      <c r="E185" s="252">
        <v>36000</v>
      </c>
      <c r="F185" s="157"/>
    </row>
    <row r="186" spans="1:6" ht="20.100000000000001" customHeight="1">
      <c r="A186" s="168">
        <v>54</v>
      </c>
      <c r="B186" s="134" t="s">
        <v>318</v>
      </c>
      <c r="C186" s="138" t="s">
        <v>305</v>
      </c>
      <c r="D186" s="158" t="s">
        <v>319</v>
      </c>
      <c r="E186" s="252">
        <v>36000</v>
      </c>
      <c r="F186" s="157"/>
    </row>
    <row r="187" spans="1:6" ht="20.100000000000001" customHeight="1">
      <c r="A187" s="168"/>
      <c r="B187" s="154" t="s">
        <v>91</v>
      </c>
      <c r="C187" s="170" t="s">
        <v>579</v>
      </c>
      <c r="D187" s="21"/>
      <c r="E187" s="263">
        <v>2970000</v>
      </c>
      <c r="F187" s="157"/>
    </row>
    <row r="188" spans="1:6" ht="9" customHeight="1">
      <c r="A188" s="168"/>
      <c r="B188" s="154"/>
      <c r="C188" s="170"/>
      <c r="D188" s="21"/>
      <c r="E188" s="263"/>
      <c r="F188" s="157"/>
    </row>
    <row r="189" spans="1:6" ht="40.5" customHeight="1">
      <c r="A189" s="19"/>
      <c r="B189" s="242" t="s">
        <v>330</v>
      </c>
      <c r="C189" s="243">
        <f>C35+C40+C55+C60+C76+C84+C97+C104+C114+C131+C187</f>
        <v>145</v>
      </c>
      <c r="D189" s="244"/>
      <c r="E189" s="245">
        <f>E187+E131+E119+E114+E104+E97+E84+E76+E60+E55+E40+E35</f>
        <v>13068000</v>
      </c>
      <c r="F189" s="157"/>
    </row>
    <row r="190" spans="1:6" ht="20.100000000000001" customHeight="1">
      <c r="B190" s="175"/>
      <c r="D190" s="176"/>
      <c r="E190" s="176"/>
      <c r="F190" s="179"/>
    </row>
    <row r="191" spans="1:6" ht="65.25" customHeight="1">
      <c r="B191" s="175"/>
      <c r="C191" s="176"/>
      <c r="D191" s="176"/>
      <c r="E191" s="176"/>
      <c r="F191" s="264"/>
    </row>
    <row r="192" spans="1:6" ht="20.100000000000001" customHeight="1">
      <c r="F192" s="264"/>
    </row>
    <row r="193" spans="6:6" ht="20.100000000000001" customHeight="1">
      <c r="F193" s="264"/>
    </row>
    <row r="194" spans="6:6" ht="20.100000000000001" customHeight="1">
      <c r="F194" s="264">
        <f>SUM(F191:F193)</f>
        <v>0</v>
      </c>
    </row>
  </sheetData>
  <pageMargins left="0.23622047244094491" right="0.23622047244094491" top="0.98425196850393704" bottom="0.98425196850393704" header="0.51181102362204722" footer="0.51181102362204722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91"/>
  <sheetViews>
    <sheetView view="pageBreakPreview" zoomScaleNormal="100" zoomScaleSheetLayoutView="100" workbookViewId="0">
      <pane xSplit="3" ySplit="6" topLeftCell="D28" activePane="bottomRight" state="frozen"/>
      <selection pane="bottomRight" activeCell="E49" sqref="E4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41" customWidth="1"/>
    <col min="2" max="2" width="43.85546875" style="141" customWidth="1"/>
    <col min="3" max="3" width="40.42578125" style="141" customWidth="1"/>
    <col min="4" max="4" width="11.5703125" style="141" customWidth="1"/>
    <col min="5" max="5" width="17.7109375" style="141" customWidth="1"/>
    <col min="6" max="6" width="20.42578125" style="141" customWidth="1"/>
    <col min="7" max="7" width="19.5703125" style="141" customWidth="1"/>
    <col min="8" max="8" width="20.140625" style="141" customWidth="1"/>
    <col min="9" max="9" width="21.7109375" style="141" customWidth="1"/>
    <col min="10" max="16384" width="9.140625" style="141"/>
  </cols>
  <sheetData>
    <row r="1" spans="1:9" ht="27" customHeight="1">
      <c r="A1" s="393" t="s">
        <v>0</v>
      </c>
      <c r="B1" s="393"/>
      <c r="C1" s="393"/>
      <c r="D1" s="393"/>
    </row>
    <row r="2" spans="1:9" ht="33.75" customHeight="1">
      <c r="A2" s="142" t="s">
        <v>581</v>
      </c>
      <c r="B2" s="143"/>
      <c r="C2" s="142"/>
      <c r="D2" s="142"/>
      <c r="E2" s="146"/>
      <c r="F2" s="146"/>
      <c r="G2" s="146"/>
    </row>
    <row r="3" spans="1:9" ht="9.75" customHeight="1"/>
    <row r="4" spans="1:9" ht="45" customHeight="1">
      <c r="A4" s="19"/>
      <c r="B4" s="147" t="s">
        <v>2</v>
      </c>
      <c r="C4" s="148" t="s">
        <v>3</v>
      </c>
      <c r="D4" s="149" t="s">
        <v>4</v>
      </c>
      <c r="E4" s="151" t="s">
        <v>582</v>
      </c>
      <c r="F4" s="151" t="s">
        <v>392</v>
      </c>
      <c r="G4" s="152" t="s">
        <v>583</v>
      </c>
    </row>
    <row r="5" spans="1:9" ht="20.100000000000001" customHeight="1">
      <c r="A5" s="153" t="s">
        <v>26</v>
      </c>
      <c r="B5" s="154" t="s">
        <v>27</v>
      </c>
      <c r="C5" s="154"/>
      <c r="D5" s="154"/>
      <c r="E5" s="155" t="s">
        <v>25</v>
      </c>
      <c r="F5" s="193" t="s">
        <v>25</v>
      </c>
      <c r="G5" s="155" t="s">
        <v>25</v>
      </c>
    </row>
    <row r="6" spans="1:9" ht="20.100000000000001" customHeight="1">
      <c r="A6" s="27">
        <v>1</v>
      </c>
      <c r="B6" s="133" t="s">
        <v>28</v>
      </c>
      <c r="C6" s="138" t="s">
        <v>29</v>
      </c>
      <c r="D6" s="138" t="s">
        <v>30</v>
      </c>
      <c r="E6" s="22">
        <f>201165.84</f>
        <v>201165.84</v>
      </c>
      <c r="F6" s="184">
        <v>201165.83594666663</v>
      </c>
      <c r="G6" s="22">
        <v>0</v>
      </c>
      <c r="H6" s="157"/>
      <c r="I6" s="157"/>
    </row>
    <row r="7" spans="1:9" ht="20.100000000000001" customHeight="1">
      <c r="A7" s="27">
        <v>2</v>
      </c>
      <c r="B7" s="133" t="s">
        <v>464</v>
      </c>
      <c r="C7" s="19" t="s">
        <v>561</v>
      </c>
      <c r="D7" s="27" t="s">
        <v>233</v>
      </c>
      <c r="E7" s="24" t="e">
        <f>#REF!</f>
        <v>#REF!</v>
      </c>
      <c r="F7" s="184">
        <v>128510.39445866668</v>
      </c>
      <c r="G7" s="22" t="e">
        <f>F7-E7</f>
        <v>#REF!</v>
      </c>
      <c r="H7" s="157"/>
      <c r="I7" s="157"/>
    </row>
    <row r="8" spans="1:9" ht="20.100000000000001" customHeight="1">
      <c r="A8" s="27">
        <v>3</v>
      </c>
      <c r="B8" s="135" t="s">
        <v>562</v>
      </c>
      <c r="C8" s="19" t="s">
        <v>563</v>
      </c>
      <c r="D8" s="27" t="s">
        <v>233</v>
      </c>
      <c r="E8" s="22">
        <f>116473.51</f>
        <v>116473.51</v>
      </c>
      <c r="F8" s="184">
        <v>119107.95141866668</v>
      </c>
      <c r="G8" s="22">
        <f t="shared" ref="G8:G36" si="0">F8-E8</f>
        <v>2634.4414186666836</v>
      </c>
      <c r="H8" s="157"/>
      <c r="I8" s="157"/>
    </row>
    <row r="9" spans="1:9" ht="20.100000000000001" customHeight="1">
      <c r="A9" s="27">
        <v>4</v>
      </c>
      <c r="B9" s="133" t="s">
        <v>31</v>
      </c>
      <c r="C9" s="138" t="s">
        <v>32</v>
      </c>
      <c r="D9" s="27" t="s">
        <v>33</v>
      </c>
      <c r="E9" s="22">
        <f>79993.51</f>
        <v>79993.509999999995</v>
      </c>
      <c r="F9" s="184">
        <v>82627.951418666678</v>
      </c>
      <c r="G9" s="22">
        <f t="shared" si="0"/>
        <v>2634.4414186666836</v>
      </c>
      <c r="H9" s="157"/>
      <c r="I9" s="157"/>
    </row>
    <row r="10" spans="1:9" ht="20.100000000000001" customHeight="1">
      <c r="A10" s="27">
        <v>5</v>
      </c>
      <c r="B10" s="135" t="s">
        <v>34</v>
      </c>
      <c r="C10" s="19" t="s">
        <v>35</v>
      </c>
      <c r="D10" s="158" t="s">
        <v>36</v>
      </c>
      <c r="E10" s="24">
        <f>107095.69</f>
        <v>107095.69</v>
      </c>
      <c r="F10" s="184">
        <v>109730.05337066665</v>
      </c>
      <c r="G10" s="22">
        <f t="shared" si="0"/>
        <v>2634.3633706666442</v>
      </c>
      <c r="H10" s="157"/>
      <c r="I10" s="157"/>
    </row>
    <row r="11" spans="1:9" ht="20.100000000000001" customHeight="1">
      <c r="A11" s="27">
        <v>6</v>
      </c>
      <c r="B11" s="135" t="s">
        <v>179</v>
      </c>
      <c r="C11" s="19" t="s">
        <v>466</v>
      </c>
      <c r="D11" s="23" t="s">
        <v>36</v>
      </c>
      <c r="E11" s="22" t="e">
        <f>#REF!</f>
        <v>#REF!</v>
      </c>
      <c r="F11" s="184">
        <v>99032.677850666674</v>
      </c>
      <c r="G11" s="22" t="e">
        <f t="shared" si="0"/>
        <v>#REF!</v>
      </c>
      <c r="H11" s="157"/>
      <c r="I11" s="157"/>
    </row>
    <row r="12" spans="1:9" ht="20.100000000000001" customHeight="1">
      <c r="A12" s="27">
        <v>7</v>
      </c>
      <c r="B12" s="133" t="s">
        <v>37</v>
      </c>
      <c r="C12" s="92" t="s">
        <v>38</v>
      </c>
      <c r="D12" s="23" t="s">
        <v>36</v>
      </c>
      <c r="E12" s="24" t="e">
        <f>#REF!</f>
        <v>#REF!</v>
      </c>
      <c r="F12" s="184">
        <v>79832.677850666674</v>
      </c>
      <c r="G12" s="22" t="e">
        <f t="shared" si="0"/>
        <v>#REF!</v>
      </c>
      <c r="H12" s="157"/>
      <c r="I12" s="157"/>
    </row>
    <row r="13" spans="1:9" ht="20.100000000000001" customHeight="1">
      <c r="A13" s="27">
        <v>8</v>
      </c>
      <c r="B13" s="135" t="s">
        <v>39</v>
      </c>
      <c r="C13" s="19" t="s">
        <v>40</v>
      </c>
      <c r="D13" s="23" t="s">
        <v>36</v>
      </c>
      <c r="E13" s="22" t="e">
        <f>#REF!</f>
        <v>#REF!</v>
      </c>
      <c r="F13" s="184">
        <v>79832.677850666674</v>
      </c>
      <c r="G13" s="22" t="e">
        <f t="shared" si="0"/>
        <v>#REF!</v>
      </c>
      <c r="H13" s="157"/>
      <c r="I13" s="157"/>
    </row>
    <row r="14" spans="1:9" ht="20.100000000000001" customHeight="1">
      <c r="A14" s="27">
        <v>9</v>
      </c>
      <c r="B14" s="133" t="s">
        <v>43</v>
      </c>
      <c r="C14" s="138" t="s">
        <v>44</v>
      </c>
      <c r="D14" s="158" t="s">
        <v>45</v>
      </c>
      <c r="E14" s="24">
        <f>64436.1</f>
        <v>64436.1</v>
      </c>
      <c r="F14" s="184">
        <v>64436.103146666661</v>
      </c>
      <c r="G14" s="22">
        <f t="shared" si="0"/>
        <v>3.1466666623600759E-3</v>
      </c>
      <c r="H14" s="157"/>
      <c r="I14" s="157"/>
    </row>
    <row r="15" spans="1:9" ht="20.100000000000001" customHeight="1">
      <c r="A15" s="27">
        <v>10</v>
      </c>
      <c r="B15" s="134" t="s">
        <v>151</v>
      </c>
      <c r="C15" s="138" t="s">
        <v>152</v>
      </c>
      <c r="D15" s="27" t="s">
        <v>127</v>
      </c>
      <c r="E15" s="22">
        <f>60212.92</f>
        <v>60212.92</v>
      </c>
      <c r="F15" s="184">
        <v>62404.980266666658</v>
      </c>
      <c r="G15" s="22">
        <f t="shared" si="0"/>
        <v>2192.06026666666</v>
      </c>
      <c r="H15" s="157"/>
      <c r="I15" s="157"/>
    </row>
    <row r="16" spans="1:9" ht="20.100000000000001" customHeight="1">
      <c r="A16" s="27">
        <v>11</v>
      </c>
      <c r="B16" s="137" t="s">
        <v>564</v>
      </c>
      <c r="C16" s="19" t="s">
        <v>565</v>
      </c>
      <c r="D16" s="23" t="s">
        <v>51</v>
      </c>
      <c r="E16" s="22">
        <f>52638.9</f>
        <v>52638.9</v>
      </c>
      <c r="F16" s="184">
        <v>54186.609434666672</v>
      </c>
      <c r="G16" s="22">
        <f t="shared" si="0"/>
        <v>1547.7094346666709</v>
      </c>
      <c r="H16" s="157"/>
      <c r="I16" s="157"/>
    </row>
    <row r="17" spans="1:9" ht="19.5" customHeight="1">
      <c r="A17" s="27">
        <v>12</v>
      </c>
      <c r="B17" s="135" t="s">
        <v>467</v>
      </c>
      <c r="C17" s="19" t="s">
        <v>50</v>
      </c>
      <c r="D17" s="27" t="s">
        <v>51</v>
      </c>
      <c r="E17" s="22">
        <f>43380</f>
        <v>43380</v>
      </c>
      <c r="F17" s="184">
        <v>44734.339388666653</v>
      </c>
      <c r="G17" s="22">
        <f t="shared" si="0"/>
        <v>1354.3393886666527</v>
      </c>
      <c r="H17" s="157"/>
      <c r="I17" s="157"/>
    </row>
    <row r="18" spans="1:9" ht="19.5" customHeight="1">
      <c r="A18" s="27">
        <v>13</v>
      </c>
      <c r="B18" s="135" t="s">
        <v>566</v>
      </c>
      <c r="C18" s="19" t="s">
        <v>567</v>
      </c>
      <c r="D18" s="27" t="s">
        <v>51</v>
      </c>
      <c r="E18" s="22">
        <f>85278.9</f>
        <v>85278.9</v>
      </c>
      <c r="F18" s="184">
        <v>86826.60943466665</v>
      </c>
      <c r="G18" s="22">
        <f t="shared" si="0"/>
        <v>1547.7094346666563</v>
      </c>
      <c r="H18" s="157"/>
      <c r="I18" s="157"/>
    </row>
    <row r="19" spans="1:9" ht="20.100000000000001" customHeight="1">
      <c r="A19" s="27">
        <v>14</v>
      </c>
      <c r="B19" s="133" t="s">
        <v>49</v>
      </c>
      <c r="C19" s="19" t="s">
        <v>50</v>
      </c>
      <c r="D19" s="158" t="s">
        <v>51</v>
      </c>
      <c r="E19" s="24" t="e">
        <f>#REF!</f>
        <v>#REF!</v>
      </c>
      <c r="F19" s="184">
        <v>44006.616588666657</v>
      </c>
      <c r="G19" s="22" t="e">
        <f t="shared" si="0"/>
        <v>#REF!</v>
      </c>
      <c r="H19" s="157"/>
      <c r="I19" s="157"/>
    </row>
    <row r="20" spans="1:9" ht="20.100000000000001" customHeight="1">
      <c r="A20" s="27">
        <v>15</v>
      </c>
      <c r="B20" s="133" t="s">
        <v>58</v>
      </c>
      <c r="C20" s="138" t="s">
        <v>59</v>
      </c>
      <c r="D20" s="158" t="s">
        <v>60</v>
      </c>
      <c r="E20" s="24">
        <f>46673.26</f>
        <v>46673.26</v>
      </c>
      <c r="F20" s="184">
        <v>46666.666666666664</v>
      </c>
      <c r="G20" s="22">
        <f t="shared" si="0"/>
        <v>-6.5933333333377959</v>
      </c>
      <c r="H20" s="157"/>
      <c r="I20" s="157"/>
    </row>
    <row r="21" spans="1:9" ht="20.100000000000001" customHeight="1">
      <c r="A21" s="27">
        <v>16</v>
      </c>
      <c r="B21" s="134" t="s">
        <v>61</v>
      </c>
      <c r="C21" s="19" t="s">
        <v>62</v>
      </c>
      <c r="D21" s="158" t="s">
        <v>63</v>
      </c>
      <c r="E21" s="24">
        <f>63364.81</f>
        <v>63364.81</v>
      </c>
      <c r="F21" s="184">
        <v>64913.263658666656</v>
      </c>
      <c r="G21" s="22">
        <f t="shared" si="0"/>
        <v>1548.4536586666582</v>
      </c>
      <c r="H21" s="157"/>
      <c r="I21" s="157"/>
    </row>
    <row r="22" spans="1:9" ht="20.100000000000001" customHeight="1">
      <c r="A22" s="27">
        <v>17</v>
      </c>
      <c r="B22" s="133" t="s">
        <v>206</v>
      </c>
      <c r="C22" s="138" t="s">
        <v>207</v>
      </c>
      <c r="D22" s="158" t="s">
        <v>203</v>
      </c>
      <c r="E22" s="24">
        <f>31848.56</f>
        <v>31848.560000000001</v>
      </c>
      <c r="F22" s="184">
        <v>34871.967414666666</v>
      </c>
      <c r="G22" s="22">
        <f t="shared" si="0"/>
        <v>3023.4074146666644</v>
      </c>
      <c r="H22" s="157"/>
      <c r="I22" s="157"/>
    </row>
    <row r="23" spans="1:9" ht="18.75" customHeight="1">
      <c r="A23" s="27">
        <v>18</v>
      </c>
      <c r="B23" s="133" t="s">
        <v>64</v>
      </c>
      <c r="C23" s="138" t="s">
        <v>65</v>
      </c>
      <c r="D23" s="158" t="s">
        <v>66</v>
      </c>
      <c r="E23" s="24" t="e">
        <f>#REF!</f>
        <v>#REF!</v>
      </c>
      <c r="F23" s="184">
        <v>32008.563458666671</v>
      </c>
      <c r="G23" s="22" t="e">
        <f t="shared" si="0"/>
        <v>#REF!</v>
      </c>
      <c r="H23" s="157"/>
      <c r="I23" s="157"/>
    </row>
    <row r="24" spans="1:9" ht="18.75" customHeight="1">
      <c r="A24" s="27">
        <v>19</v>
      </c>
      <c r="B24" s="133" t="s">
        <v>204</v>
      </c>
      <c r="C24" s="19" t="s">
        <v>205</v>
      </c>
      <c r="D24" s="158" t="s">
        <v>66</v>
      </c>
      <c r="E24" s="24" t="e">
        <f>#REF!</f>
        <v>#REF!</v>
      </c>
      <c r="F24" s="184">
        <v>32098.951098666672</v>
      </c>
      <c r="G24" s="22" t="e">
        <f t="shared" si="0"/>
        <v>#REF!</v>
      </c>
      <c r="H24" s="157"/>
      <c r="I24" s="157"/>
    </row>
    <row r="25" spans="1:9" ht="18.75" customHeight="1">
      <c r="A25" s="27">
        <v>20</v>
      </c>
      <c r="B25" s="134" t="s">
        <v>252</v>
      </c>
      <c r="C25" s="19" t="s">
        <v>584</v>
      </c>
      <c r="D25" s="158" t="s">
        <v>419</v>
      </c>
      <c r="E25" s="24">
        <f>27105.99</f>
        <v>27105.99</v>
      </c>
      <c r="F25" s="184">
        <v>27873.079686666664</v>
      </c>
      <c r="G25" s="22">
        <f t="shared" si="0"/>
        <v>767.0896866666626</v>
      </c>
      <c r="H25" s="157"/>
      <c r="I25" s="157"/>
    </row>
    <row r="26" spans="1:9" ht="18.75" customHeight="1">
      <c r="A26" s="27">
        <v>21</v>
      </c>
      <c r="B26" s="134" t="s">
        <v>568</v>
      </c>
      <c r="C26" s="138" t="s">
        <v>88</v>
      </c>
      <c r="D26" s="158" t="s">
        <v>257</v>
      </c>
      <c r="E26" s="156">
        <f>26339.08</f>
        <v>26339.08</v>
      </c>
      <c r="F26" s="184">
        <v>27105.986562666669</v>
      </c>
      <c r="G26" s="22">
        <f t="shared" si="0"/>
        <v>766.90656266666701</v>
      </c>
      <c r="H26" s="157"/>
      <c r="I26" s="157"/>
    </row>
    <row r="27" spans="1:9" ht="18.75" customHeight="1">
      <c r="A27" s="27">
        <v>22</v>
      </c>
      <c r="B27" s="19" t="s">
        <v>73</v>
      </c>
      <c r="C27" s="19" t="s">
        <v>74</v>
      </c>
      <c r="D27" s="27" t="s">
        <v>75</v>
      </c>
      <c r="E27" s="24">
        <v>21640.95</v>
      </c>
      <c r="F27" s="184">
        <v>21640.952862666669</v>
      </c>
      <c r="G27" s="22">
        <f t="shared" si="0"/>
        <v>2.8626666680793278E-3</v>
      </c>
      <c r="H27" s="157"/>
      <c r="I27" s="157"/>
    </row>
    <row r="28" spans="1:9" ht="18.75" customHeight="1">
      <c r="A28" s="27">
        <v>23</v>
      </c>
      <c r="B28" s="134" t="s">
        <v>76</v>
      </c>
      <c r="C28" s="138" t="s">
        <v>74</v>
      </c>
      <c r="D28" s="158" t="s">
        <v>75</v>
      </c>
      <c r="E28" s="24">
        <f>21640.95</f>
        <v>21640.95</v>
      </c>
      <c r="F28" s="184">
        <v>22338.48260466666</v>
      </c>
      <c r="G28" s="22">
        <f t="shared" si="0"/>
        <v>697.53260466665961</v>
      </c>
      <c r="H28" s="157"/>
      <c r="I28" s="157"/>
    </row>
    <row r="29" spans="1:9" ht="18.75" customHeight="1">
      <c r="A29" s="27">
        <v>24</v>
      </c>
      <c r="B29" s="133" t="s">
        <v>468</v>
      </c>
      <c r="C29" s="138" t="s">
        <v>469</v>
      </c>
      <c r="D29" s="158" t="s">
        <v>75</v>
      </c>
      <c r="E29" s="24">
        <v>21640.95</v>
      </c>
      <c r="F29" s="184">
        <v>22338.48260466666</v>
      </c>
      <c r="G29" s="22">
        <f t="shared" si="0"/>
        <v>697.53260466665961</v>
      </c>
      <c r="H29" s="157"/>
      <c r="I29" s="157"/>
    </row>
    <row r="30" spans="1:9" ht="18.75" customHeight="1">
      <c r="A30" s="27">
        <v>25</v>
      </c>
      <c r="B30" s="134" t="s">
        <v>77</v>
      </c>
      <c r="C30" s="138" t="s">
        <v>412</v>
      </c>
      <c r="D30" s="158" t="s">
        <v>585</v>
      </c>
      <c r="E30" s="24">
        <f>17572.89</f>
        <v>17572.89</v>
      </c>
      <c r="F30" s="184">
        <v>18102.902732666666</v>
      </c>
      <c r="G30" s="22">
        <f t="shared" si="0"/>
        <v>530.01273266666612</v>
      </c>
      <c r="H30" s="157"/>
      <c r="I30" s="157"/>
    </row>
    <row r="31" spans="1:9" ht="18.75" customHeight="1">
      <c r="A31" s="27">
        <v>26</v>
      </c>
      <c r="B31" s="133" t="s">
        <v>185</v>
      </c>
      <c r="C31" s="92" t="s">
        <v>586</v>
      </c>
      <c r="D31" s="158" t="s">
        <v>199</v>
      </c>
      <c r="E31" s="156">
        <f>17572.89</f>
        <v>17572.89</v>
      </c>
      <c r="F31" s="184">
        <v>18102.902732666666</v>
      </c>
      <c r="G31" s="22">
        <f t="shared" si="0"/>
        <v>530.01273266666612</v>
      </c>
      <c r="H31" s="157"/>
      <c r="I31" s="157"/>
    </row>
    <row r="32" spans="1:9" ht="18.75" customHeight="1">
      <c r="A32" s="27">
        <v>27</v>
      </c>
      <c r="B32" s="134" t="s">
        <v>80</v>
      </c>
      <c r="C32" s="19" t="s">
        <v>470</v>
      </c>
      <c r="D32" s="27" t="s">
        <v>199</v>
      </c>
      <c r="E32" s="24">
        <f>17572.89</f>
        <v>17572.89</v>
      </c>
      <c r="F32" s="184">
        <v>18102.902732666666</v>
      </c>
      <c r="G32" s="22">
        <f t="shared" si="0"/>
        <v>530.01273266666612</v>
      </c>
      <c r="H32" s="157"/>
      <c r="I32" s="157"/>
    </row>
    <row r="33" spans="1:9" ht="18.75" customHeight="1">
      <c r="A33" s="27">
        <v>28</v>
      </c>
      <c r="B33" s="134" t="s">
        <v>82</v>
      </c>
      <c r="C33" s="92" t="s">
        <v>83</v>
      </c>
      <c r="D33" s="158" t="s">
        <v>75</v>
      </c>
      <c r="E33" s="156">
        <v>21640.95</v>
      </c>
      <c r="F33" s="184">
        <v>22338.48260466666</v>
      </c>
      <c r="G33" s="22">
        <f t="shared" si="0"/>
        <v>697.53260466665961</v>
      </c>
      <c r="H33" s="157"/>
      <c r="I33" s="157"/>
    </row>
    <row r="34" spans="1:9" ht="18.75" customHeight="1">
      <c r="A34" s="27">
        <v>29</v>
      </c>
      <c r="B34" s="134" t="s">
        <v>84</v>
      </c>
      <c r="C34" s="19" t="s">
        <v>587</v>
      </c>
      <c r="D34" s="27" t="s">
        <v>86</v>
      </c>
      <c r="E34" s="24">
        <f>16512.68</f>
        <v>16512.68</v>
      </c>
      <c r="F34" s="184">
        <v>17042.713866666669</v>
      </c>
      <c r="G34" s="22">
        <f t="shared" si="0"/>
        <v>530.03386666666847</v>
      </c>
      <c r="H34" s="157"/>
      <c r="I34" s="157"/>
    </row>
    <row r="35" spans="1:9" ht="18.75" customHeight="1">
      <c r="A35" s="27">
        <v>30</v>
      </c>
      <c r="B35" s="134" t="s">
        <v>87</v>
      </c>
      <c r="C35" s="138" t="s">
        <v>88</v>
      </c>
      <c r="D35" s="158" t="s">
        <v>86</v>
      </c>
      <c r="E35" s="24">
        <f t="shared" ref="E35:E36" si="1">16512.68</f>
        <v>16512.68</v>
      </c>
      <c r="F35" s="184">
        <v>17042.865866666671</v>
      </c>
      <c r="G35" s="22">
        <f t="shared" si="0"/>
        <v>530.18586666667034</v>
      </c>
      <c r="H35" s="157"/>
      <c r="I35" s="157"/>
    </row>
    <row r="36" spans="1:9" ht="18.75" customHeight="1">
      <c r="A36" s="27">
        <v>31</v>
      </c>
      <c r="B36" s="134" t="s">
        <v>569</v>
      </c>
      <c r="C36" s="138" t="s">
        <v>88</v>
      </c>
      <c r="D36" s="158" t="s">
        <v>86</v>
      </c>
      <c r="E36" s="24">
        <f t="shared" si="1"/>
        <v>16512.68</v>
      </c>
      <c r="F36" s="184">
        <v>17043.017866666672</v>
      </c>
      <c r="G36" s="22">
        <f t="shared" si="0"/>
        <v>530.3378666666722</v>
      </c>
      <c r="H36" s="157"/>
      <c r="I36" s="157"/>
    </row>
    <row r="37" spans="1:9" ht="26.25" customHeight="1">
      <c r="A37" s="27"/>
      <c r="B37" s="136" t="s">
        <v>91</v>
      </c>
      <c r="C37" s="28">
        <v>31</v>
      </c>
      <c r="D37" s="158"/>
      <c r="E37" s="160" t="e">
        <f t="shared" ref="E37" si="2">SUM(E6:E36)</f>
        <v>#REF!</v>
      </c>
      <c r="F37" s="160">
        <f t="shared" ref="F37" si="3">SUM(F6:F36)</f>
        <v>1716067.6634466664</v>
      </c>
      <c r="G37" s="160" t="e">
        <f t="shared" ref="G37" si="4">SUM(G6:G36)</f>
        <v>#REF!</v>
      </c>
      <c r="H37" s="157"/>
      <c r="I37" s="157"/>
    </row>
    <row r="38" spans="1:9" ht="18.75" customHeight="1">
      <c r="A38" s="27"/>
      <c r="B38" s="103"/>
      <c r="C38" s="19"/>
      <c r="D38" s="158"/>
      <c r="E38" s="160"/>
      <c r="F38" s="194"/>
      <c r="G38" s="160"/>
      <c r="H38" s="157"/>
      <c r="I38" s="157"/>
    </row>
    <row r="39" spans="1:9" ht="18.75" customHeight="1">
      <c r="A39" s="27"/>
      <c r="B39" s="136" t="s">
        <v>92</v>
      </c>
      <c r="C39" s="19"/>
      <c r="D39" s="158"/>
      <c r="E39" s="24"/>
      <c r="F39" s="184"/>
      <c r="G39" s="22"/>
      <c r="H39" s="157"/>
      <c r="I39" s="157"/>
    </row>
    <row r="40" spans="1:9" ht="18.75" customHeight="1">
      <c r="A40" s="27">
        <v>1</v>
      </c>
      <c r="B40" s="134" t="s">
        <v>93</v>
      </c>
      <c r="C40" s="19" t="s">
        <v>94</v>
      </c>
      <c r="D40" s="27" t="s">
        <v>95</v>
      </c>
      <c r="E40" s="24">
        <f>156349.82</f>
        <v>156349.82</v>
      </c>
      <c r="F40" s="184">
        <v>161106.80685866668</v>
      </c>
      <c r="G40" s="22">
        <f>F40-E40</f>
        <v>4756.9868586666707</v>
      </c>
      <c r="H40" s="157"/>
      <c r="I40" s="157"/>
    </row>
    <row r="41" spans="1:9" ht="18.75" customHeight="1">
      <c r="A41" s="27">
        <v>2</v>
      </c>
      <c r="B41" s="134" t="s">
        <v>96</v>
      </c>
      <c r="C41" s="19" t="s">
        <v>97</v>
      </c>
      <c r="D41" s="27" t="s">
        <v>90</v>
      </c>
      <c r="E41" s="24">
        <f>16512.68</f>
        <v>16512.68</v>
      </c>
      <c r="F41" s="184">
        <v>16512.68219066667</v>
      </c>
      <c r="G41" s="22">
        <f>F41-E41</f>
        <v>2.1906666697759647E-3</v>
      </c>
      <c r="H41" s="157"/>
      <c r="I41" s="157"/>
    </row>
    <row r="42" spans="1:9" ht="19.5" customHeight="1">
      <c r="A42" s="27"/>
      <c r="B42" s="135"/>
      <c r="C42" s="28">
        <v>2</v>
      </c>
      <c r="D42" s="27"/>
      <c r="E42" s="160">
        <f>SUM(E40:E41)</f>
        <v>172862.5</v>
      </c>
      <c r="F42" s="194">
        <f>SUM(F40:F41)</f>
        <v>177619.48904933335</v>
      </c>
      <c r="G42" s="194">
        <f>SUM(G40:G41)</f>
        <v>4756.9890493333405</v>
      </c>
      <c r="H42" s="157"/>
      <c r="I42" s="157"/>
    </row>
    <row r="43" spans="1:9" ht="20.100000000000001" customHeight="1">
      <c r="A43" s="27"/>
      <c r="B43" s="135"/>
      <c r="C43" s="19"/>
      <c r="D43" s="27"/>
      <c r="E43" s="160"/>
      <c r="F43" s="184"/>
      <c r="G43" s="22"/>
      <c r="H43" s="157"/>
      <c r="I43" s="157"/>
    </row>
    <row r="44" spans="1:9" ht="20.100000000000001" customHeight="1">
      <c r="A44" s="27"/>
      <c r="B44" s="162" t="s">
        <v>100</v>
      </c>
      <c r="C44" s="147"/>
      <c r="D44" s="151"/>
      <c r="E44" s="22"/>
      <c r="F44" s="184"/>
      <c r="G44" s="22"/>
      <c r="H44" s="157"/>
      <c r="I44" s="157"/>
    </row>
    <row r="45" spans="1:9" ht="20.100000000000001" customHeight="1">
      <c r="A45" s="27">
        <v>1</v>
      </c>
      <c r="B45" s="133" t="s">
        <v>101</v>
      </c>
      <c r="C45" s="19" t="s">
        <v>102</v>
      </c>
      <c r="D45" s="27" t="s">
        <v>95</v>
      </c>
      <c r="E45" s="24">
        <f>180306.81</f>
        <v>180306.81</v>
      </c>
      <c r="F45" s="184">
        <v>180306.80685866671</v>
      </c>
      <c r="G45" s="22">
        <f>F45-E45</f>
        <v>-3.1413332908414304E-3</v>
      </c>
      <c r="H45" s="157"/>
      <c r="I45" s="157"/>
    </row>
    <row r="46" spans="1:9" ht="20.100000000000001" customHeight="1">
      <c r="A46" s="27">
        <v>2</v>
      </c>
      <c r="B46" s="133" t="s">
        <v>103</v>
      </c>
      <c r="C46" s="19" t="s">
        <v>104</v>
      </c>
      <c r="D46" s="27" t="s">
        <v>45</v>
      </c>
      <c r="E46" s="24">
        <f>79956.94</f>
        <v>79956.94</v>
      </c>
      <c r="F46" s="184">
        <v>79956.939146666657</v>
      </c>
      <c r="G46" s="22">
        <f t="shared" ref="G46:G56" si="5">F46-E46</f>
        <v>-8.5333334573078901E-4</v>
      </c>
      <c r="H46" s="157"/>
      <c r="I46" s="157"/>
    </row>
    <row r="47" spans="1:9" ht="20.100000000000001" customHeight="1">
      <c r="A47" s="27">
        <v>3</v>
      </c>
      <c r="B47" s="133" t="s">
        <v>105</v>
      </c>
      <c r="C47" s="19" t="s">
        <v>109</v>
      </c>
      <c r="D47" s="27" t="s">
        <v>45</v>
      </c>
      <c r="E47" s="24">
        <f>79956.94</f>
        <v>79956.94</v>
      </c>
      <c r="F47" s="184">
        <v>79956.939146666657</v>
      </c>
      <c r="G47" s="22">
        <f t="shared" si="5"/>
        <v>-8.5333334573078901E-4</v>
      </c>
      <c r="H47" s="157"/>
      <c r="I47" s="157"/>
    </row>
    <row r="48" spans="1:9" ht="20.100000000000001" customHeight="1">
      <c r="A48" s="27">
        <v>4</v>
      </c>
      <c r="B48" s="133" t="s">
        <v>108</v>
      </c>
      <c r="C48" s="19" t="s">
        <v>109</v>
      </c>
      <c r="D48" s="27" t="s">
        <v>45</v>
      </c>
      <c r="E48" s="24">
        <f>77764.98</f>
        <v>77764.98</v>
      </c>
      <c r="F48" s="184">
        <v>79956.939146666657</v>
      </c>
      <c r="G48" s="22">
        <f t="shared" si="5"/>
        <v>2191.9591466666607</v>
      </c>
      <c r="H48" s="157"/>
      <c r="I48" s="157"/>
    </row>
    <row r="49" spans="1:9" ht="20.100000000000001" customHeight="1">
      <c r="A49" s="27">
        <v>5</v>
      </c>
      <c r="B49" s="133" t="s">
        <v>110</v>
      </c>
      <c r="C49" s="19" t="s">
        <v>109</v>
      </c>
      <c r="D49" s="27" t="s">
        <v>111</v>
      </c>
      <c r="E49" s="24" t="e">
        <f>#REF!</f>
        <v>#REF!</v>
      </c>
      <c r="F49" s="184">
        <v>70061.519786666671</v>
      </c>
      <c r="G49" s="22" t="e">
        <f t="shared" si="5"/>
        <v>#REF!</v>
      </c>
      <c r="H49" s="157"/>
      <c r="I49" s="157"/>
    </row>
    <row r="50" spans="1:9" ht="20.100000000000001" customHeight="1">
      <c r="A50" s="27">
        <v>6</v>
      </c>
      <c r="B50" s="133" t="s">
        <v>112</v>
      </c>
      <c r="C50" s="19" t="s">
        <v>115</v>
      </c>
      <c r="D50" s="27" t="s">
        <v>51</v>
      </c>
      <c r="E50" s="24">
        <f>56478.9</f>
        <v>56478.9</v>
      </c>
      <c r="F50" s="184">
        <v>57889.864794666668</v>
      </c>
      <c r="G50" s="22">
        <f t="shared" si="5"/>
        <v>1410.9647946666664</v>
      </c>
      <c r="H50" s="157"/>
      <c r="I50" s="157"/>
    </row>
    <row r="51" spans="1:9" ht="20.100000000000001" customHeight="1">
      <c r="A51" s="27">
        <v>7</v>
      </c>
      <c r="B51" s="135" t="s">
        <v>113</v>
      </c>
      <c r="C51" s="19" t="s">
        <v>53</v>
      </c>
      <c r="D51" s="23" t="s">
        <v>51</v>
      </c>
      <c r="E51" s="22">
        <f>56478.9</f>
        <v>56478.9</v>
      </c>
      <c r="F51" s="184">
        <v>58026.609434666672</v>
      </c>
      <c r="G51" s="22">
        <f t="shared" si="5"/>
        <v>1547.7094346666709</v>
      </c>
      <c r="H51" s="157"/>
      <c r="I51" s="157"/>
    </row>
    <row r="52" spans="1:9" ht="20.100000000000001" customHeight="1">
      <c r="A52" s="27">
        <v>8</v>
      </c>
      <c r="B52" s="133" t="s">
        <v>473</v>
      </c>
      <c r="C52" s="19" t="s">
        <v>53</v>
      </c>
      <c r="D52" s="27" t="s">
        <v>54</v>
      </c>
      <c r="E52" s="24" t="e">
        <f>#REF!</f>
        <v>#REF!</v>
      </c>
      <c r="F52" s="184">
        <v>55518.902906666663</v>
      </c>
      <c r="G52" s="22" t="e">
        <f t="shared" si="5"/>
        <v>#REF!</v>
      </c>
      <c r="H52" s="157"/>
      <c r="I52" s="157"/>
    </row>
    <row r="53" spans="1:9" ht="20.100000000000001" customHeight="1">
      <c r="A53" s="27">
        <v>9</v>
      </c>
      <c r="B53" s="133" t="s">
        <v>114</v>
      </c>
      <c r="C53" s="19" t="s">
        <v>167</v>
      </c>
      <c r="D53" s="27" t="s">
        <v>168</v>
      </c>
      <c r="E53" s="24">
        <f>48052.11</f>
        <v>48052.11</v>
      </c>
      <c r="F53" s="184">
        <v>49548.776186666662</v>
      </c>
      <c r="G53" s="22">
        <f t="shared" si="5"/>
        <v>1496.6661866666618</v>
      </c>
      <c r="H53" s="157"/>
      <c r="I53" s="157"/>
    </row>
    <row r="54" spans="1:9" ht="20.100000000000001" customHeight="1">
      <c r="A54" s="27">
        <v>10</v>
      </c>
      <c r="B54" s="133" t="s">
        <v>119</v>
      </c>
      <c r="C54" s="19" t="s">
        <v>118</v>
      </c>
      <c r="D54" s="27" t="s">
        <v>79</v>
      </c>
      <c r="E54" s="24">
        <f>28360.95</f>
        <v>28360.95</v>
      </c>
      <c r="F54" s="184">
        <v>28360.952862666662</v>
      </c>
      <c r="G54" s="22">
        <f t="shared" si="5"/>
        <v>2.8626666608033702E-3</v>
      </c>
      <c r="H54" s="157"/>
      <c r="I54" s="157"/>
    </row>
    <row r="55" spans="1:9" ht="20.100000000000001" customHeight="1">
      <c r="A55" s="27">
        <v>11</v>
      </c>
      <c r="B55" s="133" t="s">
        <v>120</v>
      </c>
      <c r="C55" s="19" t="s">
        <v>118</v>
      </c>
      <c r="D55" s="27" t="s">
        <v>79</v>
      </c>
      <c r="E55" s="24">
        <f>28360.95</f>
        <v>28360.95</v>
      </c>
      <c r="F55" s="184">
        <v>28360.952862666662</v>
      </c>
      <c r="G55" s="22">
        <f t="shared" si="5"/>
        <v>2.8626666608033702E-3</v>
      </c>
      <c r="H55" s="157"/>
      <c r="I55" s="157"/>
    </row>
    <row r="56" spans="1:9" ht="20.100000000000001" customHeight="1">
      <c r="A56" s="27">
        <v>12</v>
      </c>
      <c r="B56" s="133" t="s">
        <v>121</v>
      </c>
      <c r="C56" s="19" t="s">
        <v>118</v>
      </c>
      <c r="D56" s="27" t="s">
        <v>79</v>
      </c>
      <c r="E56" s="24">
        <f>28360.95</f>
        <v>28360.95</v>
      </c>
      <c r="F56" s="184">
        <v>28360.952862666662</v>
      </c>
      <c r="G56" s="22">
        <f t="shared" si="5"/>
        <v>2.8626666608033702E-3</v>
      </c>
      <c r="H56" s="157"/>
      <c r="I56" s="157"/>
    </row>
    <row r="57" spans="1:9" ht="25.5" customHeight="1">
      <c r="A57" s="27"/>
      <c r="B57" s="136" t="s">
        <v>91</v>
      </c>
      <c r="C57" s="28">
        <v>12</v>
      </c>
      <c r="D57" s="28"/>
      <c r="E57" s="65" t="e">
        <f t="shared" ref="E57:G57" si="6">SUM(E45:E56)</f>
        <v>#REF!</v>
      </c>
      <c r="F57" s="65">
        <f t="shared" si="6"/>
        <v>796306.15599600016</v>
      </c>
      <c r="G57" s="65" t="e">
        <f t="shared" si="6"/>
        <v>#REF!</v>
      </c>
      <c r="H57" s="157"/>
      <c r="I57" s="157"/>
    </row>
    <row r="58" spans="1:9" ht="20.100000000000001" customHeight="1">
      <c r="A58" s="27"/>
      <c r="B58" s="103"/>
      <c r="C58" s="28"/>
      <c r="D58" s="28"/>
      <c r="E58" s="29"/>
      <c r="F58" s="195"/>
      <c r="G58" s="29"/>
      <c r="H58" s="157"/>
      <c r="I58" s="157"/>
    </row>
    <row r="59" spans="1:9" ht="20.100000000000001" customHeight="1">
      <c r="A59" s="27"/>
      <c r="B59" s="136" t="s">
        <v>122</v>
      </c>
      <c r="C59" s="28"/>
      <c r="D59" s="28"/>
      <c r="E59" s="29"/>
      <c r="F59" s="195"/>
      <c r="G59" s="29"/>
      <c r="H59" s="157"/>
      <c r="I59" s="157"/>
    </row>
    <row r="60" spans="1:9" ht="20.100000000000001" customHeight="1">
      <c r="A60" s="27">
        <v>1</v>
      </c>
      <c r="B60" s="133" t="s">
        <v>123</v>
      </c>
      <c r="C60" s="138" t="s">
        <v>124</v>
      </c>
      <c r="D60" s="158" t="s">
        <v>95</v>
      </c>
      <c r="E60" s="24">
        <f>180306.81</f>
        <v>180306.81</v>
      </c>
      <c r="F60" s="184">
        <f>'[9]August 2022  (2)'!$AA$56</f>
        <v>180306.80685866671</v>
      </c>
      <c r="G60" s="22">
        <f>F60-E60</f>
        <v>-3.1413332908414304E-3</v>
      </c>
      <c r="H60" s="157"/>
      <c r="I60" s="157"/>
    </row>
    <row r="61" spans="1:9" ht="20.100000000000001" customHeight="1">
      <c r="A61" s="27"/>
      <c r="B61" s="136" t="s">
        <v>91</v>
      </c>
      <c r="C61" s="28">
        <v>1</v>
      </c>
      <c r="D61" s="28"/>
      <c r="E61" s="65">
        <f>SUM(E60:E60)</f>
        <v>180306.81</v>
      </c>
      <c r="F61" s="65">
        <f>SUM(F60:F60)</f>
        <v>180306.80685866671</v>
      </c>
      <c r="G61" s="22">
        <f>F61-E61</f>
        <v>-3.1413332908414304E-3</v>
      </c>
      <c r="H61" s="157"/>
      <c r="I61" s="157"/>
    </row>
    <row r="62" spans="1:9" ht="20.100000000000001" customHeight="1">
      <c r="A62" s="27"/>
      <c r="B62" s="136"/>
      <c r="C62" s="28"/>
      <c r="D62" s="28"/>
      <c r="E62" s="29"/>
      <c r="F62" s="195"/>
      <c r="G62" s="29"/>
      <c r="H62" s="157"/>
      <c r="I62" s="157"/>
    </row>
    <row r="63" spans="1:9" ht="20.100000000000001" customHeight="1">
      <c r="A63" s="27"/>
      <c r="B63" s="136" t="s">
        <v>128</v>
      </c>
      <c r="C63" s="28"/>
      <c r="D63" s="28"/>
      <c r="E63" s="29"/>
      <c r="F63" s="195"/>
      <c r="G63" s="29"/>
      <c r="H63" s="157"/>
      <c r="I63" s="157"/>
    </row>
    <row r="64" spans="1:9" ht="20.100000000000001" customHeight="1">
      <c r="A64" s="27">
        <v>1</v>
      </c>
      <c r="B64" s="133" t="s">
        <v>129</v>
      </c>
      <c r="C64" s="92" t="s">
        <v>130</v>
      </c>
      <c r="D64" s="27" t="s">
        <v>95</v>
      </c>
      <c r="E64" s="24">
        <f>180306.81</f>
        <v>180306.81</v>
      </c>
      <c r="F64" s="185">
        <v>180306.80685866671</v>
      </c>
      <c r="G64" s="24">
        <f>F64-E64</f>
        <v>-3.1413332908414304E-3</v>
      </c>
      <c r="H64" s="157"/>
      <c r="I64" s="157"/>
    </row>
    <row r="65" spans="1:9" ht="20.100000000000001" customHeight="1">
      <c r="A65" s="27">
        <v>2</v>
      </c>
      <c r="B65" s="134" t="s">
        <v>131</v>
      </c>
      <c r="C65" s="92" t="s">
        <v>132</v>
      </c>
      <c r="D65" s="158" t="s">
        <v>133</v>
      </c>
      <c r="E65" s="24">
        <v>75572.92</v>
      </c>
      <c r="F65" s="185">
        <v>75572.915690666661</v>
      </c>
      <c r="G65" s="24">
        <f t="shared" ref="G65:G76" si="7">F65-E65</f>
        <v>-4.3093333370052278E-3</v>
      </c>
      <c r="H65" s="157"/>
      <c r="I65" s="157"/>
    </row>
    <row r="66" spans="1:9" ht="20.100000000000001" customHeight="1">
      <c r="A66" s="27">
        <v>3</v>
      </c>
      <c r="B66" s="133" t="s">
        <v>134</v>
      </c>
      <c r="C66" s="19" t="s">
        <v>136</v>
      </c>
      <c r="D66" s="27" t="s">
        <v>168</v>
      </c>
      <c r="E66" s="24">
        <f>48170.87</f>
        <v>48170.87</v>
      </c>
      <c r="F66" s="185">
        <v>49548.776186666662</v>
      </c>
      <c r="G66" s="24">
        <f t="shared" si="7"/>
        <v>1377.9061866666598</v>
      </c>
      <c r="H66" s="157"/>
      <c r="I66" s="157"/>
    </row>
    <row r="67" spans="1:9" ht="20.100000000000001" customHeight="1">
      <c r="A67" s="27">
        <v>4</v>
      </c>
      <c r="B67" s="134" t="s">
        <v>135</v>
      </c>
      <c r="C67" s="92" t="s">
        <v>136</v>
      </c>
      <c r="D67" s="158" t="s">
        <v>60</v>
      </c>
      <c r="E67" s="24">
        <f>46673.26</f>
        <v>46673.26</v>
      </c>
      <c r="F67" s="185">
        <v>48170.870282666663</v>
      </c>
      <c r="G67" s="24">
        <f t="shared" si="7"/>
        <v>1497.6102826666611</v>
      </c>
      <c r="H67" s="157"/>
      <c r="I67" s="157"/>
    </row>
    <row r="68" spans="1:9" ht="20.100000000000001" customHeight="1">
      <c r="A68" s="27">
        <v>5</v>
      </c>
      <c r="B68" s="135" t="s">
        <v>137</v>
      </c>
      <c r="C68" s="92" t="s">
        <v>53</v>
      </c>
      <c r="D68" s="158" t="s">
        <v>51</v>
      </c>
      <c r="E68" s="22">
        <v>56478.9</v>
      </c>
      <c r="F68" s="185">
        <v>58026.609434666672</v>
      </c>
      <c r="G68" s="24">
        <f t="shared" si="7"/>
        <v>1547.7094346666709</v>
      </c>
      <c r="H68" s="157"/>
      <c r="I68" s="157"/>
    </row>
    <row r="69" spans="1:9" ht="20.100000000000001" customHeight="1">
      <c r="A69" s="27">
        <v>6</v>
      </c>
      <c r="B69" s="133" t="s">
        <v>138</v>
      </c>
      <c r="C69" s="19" t="s">
        <v>118</v>
      </c>
      <c r="D69" s="27" t="s">
        <v>588</v>
      </c>
      <c r="E69" s="24">
        <v>36127.269999999997</v>
      </c>
      <c r="F69" s="185">
        <v>37661.421354666665</v>
      </c>
      <c r="G69" s="24">
        <f t="shared" si="7"/>
        <v>1534.1513546666683</v>
      </c>
      <c r="H69" s="157"/>
      <c r="I69" s="157"/>
    </row>
    <row r="70" spans="1:9" ht="20.100000000000001" customHeight="1">
      <c r="A70" s="27">
        <v>7</v>
      </c>
      <c r="B70" s="133" t="s">
        <v>202</v>
      </c>
      <c r="C70" s="92" t="s">
        <v>140</v>
      </c>
      <c r="D70" s="158" t="s">
        <v>203</v>
      </c>
      <c r="E70" s="24">
        <v>41248.559999999998</v>
      </c>
      <c r="F70" s="185">
        <v>43278.494774666666</v>
      </c>
      <c r="G70" s="24">
        <f t="shared" si="7"/>
        <v>2029.9347746666681</v>
      </c>
      <c r="H70" s="157"/>
      <c r="I70" s="157"/>
    </row>
    <row r="71" spans="1:9" ht="20.100000000000001" customHeight="1">
      <c r="A71" s="27">
        <v>8</v>
      </c>
      <c r="B71" s="133" t="s">
        <v>139</v>
      </c>
      <c r="C71" s="92" t="s">
        <v>140</v>
      </c>
      <c r="D71" s="158" t="s">
        <v>69</v>
      </c>
      <c r="E71" s="24">
        <f>40149.18</f>
        <v>40149.18</v>
      </c>
      <c r="F71" s="185">
        <v>40149.175266666673</v>
      </c>
      <c r="G71" s="24">
        <f t="shared" si="7"/>
        <v>-4.7333333277492784E-3</v>
      </c>
      <c r="H71" s="157"/>
      <c r="I71" s="157"/>
    </row>
    <row r="72" spans="1:9" ht="20.100000000000001" customHeight="1">
      <c r="A72" s="27">
        <v>9</v>
      </c>
      <c r="B72" s="133" t="s">
        <v>141</v>
      </c>
      <c r="C72" s="92" t="s">
        <v>140</v>
      </c>
      <c r="D72" s="158" t="s">
        <v>69</v>
      </c>
      <c r="E72" s="24">
        <f>40149.18</f>
        <v>40149.18</v>
      </c>
      <c r="F72" s="185">
        <v>40149.175266666673</v>
      </c>
      <c r="G72" s="24">
        <f t="shared" si="7"/>
        <v>-4.7333333277492784E-3</v>
      </c>
      <c r="H72" s="157"/>
      <c r="I72" s="157"/>
    </row>
    <row r="73" spans="1:9" ht="20.100000000000001" customHeight="1">
      <c r="A73" s="27">
        <v>10</v>
      </c>
      <c r="B73" s="133" t="s">
        <v>142</v>
      </c>
      <c r="C73" s="19" t="s">
        <v>143</v>
      </c>
      <c r="D73" s="27" t="s">
        <v>66</v>
      </c>
      <c r="E73" s="24" t="e">
        <f>#REF!</f>
        <v>#REF!</v>
      </c>
      <c r="F73" s="185">
        <f>'[9]August 2022  (2)'!$Z$69</f>
        <v>41338.951098666665</v>
      </c>
      <c r="G73" s="24" t="e">
        <f t="shared" si="7"/>
        <v>#REF!</v>
      </c>
      <c r="H73" s="157"/>
      <c r="I73" s="157"/>
    </row>
    <row r="74" spans="1:9" ht="20.100000000000001" customHeight="1">
      <c r="A74" s="27">
        <v>11</v>
      </c>
      <c r="B74" s="133" t="s">
        <v>570</v>
      </c>
      <c r="C74" s="92" t="s">
        <v>118</v>
      </c>
      <c r="D74" s="27" t="s">
        <v>157</v>
      </c>
      <c r="E74" s="24">
        <f>32291.82</f>
        <v>32291.82</v>
      </c>
      <c r="F74" s="185">
        <v>33059.078406666667</v>
      </c>
      <c r="G74" s="24">
        <f t="shared" si="7"/>
        <v>767.25840666666772</v>
      </c>
      <c r="H74" s="157"/>
      <c r="I74" s="157"/>
    </row>
    <row r="75" spans="1:9" ht="20.100000000000001" customHeight="1">
      <c r="A75" s="27">
        <v>12</v>
      </c>
      <c r="B75" s="133" t="s">
        <v>145</v>
      </c>
      <c r="C75" s="92" t="s">
        <v>68</v>
      </c>
      <c r="D75" s="27" t="s">
        <v>75</v>
      </c>
      <c r="E75" s="24">
        <f>24685.95</f>
        <v>24685.95</v>
      </c>
      <c r="F75" s="185">
        <v>29058.48260466666</v>
      </c>
      <c r="G75" s="24">
        <f t="shared" si="7"/>
        <v>4372.5326046666596</v>
      </c>
      <c r="H75" s="157"/>
      <c r="I75" s="157"/>
    </row>
    <row r="76" spans="1:9" ht="20.100000000000001" customHeight="1">
      <c r="A76" s="27">
        <v>13</v>
      </c>
      <c r="B76" s="135" t="s">
        <v>67</v>
      </c>
      <c r="C76" s="92" t="s">
        <v>68</v>
      </c>
      <c r="D76" s="27" t="s">
        <v>86</v>
      </c>
      <c r="E76" s="24">
        <f>24685.95</f>
        <v>24685.95</v>
      </c>
      <c r="F76" s="185">
        <v>25271.771466666669</v>
      </c>
      <c r="G76" s="24">
        <f t="shared" si="7"/>
        <v>585.82146666666813</v>
      </c>
      <c r="H76" s="157"/>
      <c r="I76" s="157"/>
    </row>
    <row r="77" spans="1:9" ht="20.100000000000001" customHeight="1">
      <c r="A77" s="27"/>
      <c r="B77" s="136" t="s">
        <v>91</v>
      </c>
      <c r="C77" s="28">
        <v>13</v>
      </c>
      <c r="D77" s="28"/>
      <c r="E77" s="65" t="e">
        <f t="shared" ref="E77:G77" si="8">SUM(E64:E76)</f>
        <v>#REF!</v>
      </c>
      <c r="F77" s="65">
        <f t="shared" si="8"/>
        <v>701592.52869266667</v>
      </c>
      <c r="G77" s="65" t="e">
        <f t="shared" si="8"/>
        <v>#REF!</v>
      </c>
      <c r="H77" s="157"/>
      <c r="I77" s="157"/>
    </row>
    <row r="78" spans="1:9" ht="20.100000000000001" customHeight="1">
      <c r="A78" s="27"/>
      <c r="B78" s="103"/>
      <c r="C78" s="28"/>
      <c r="D78" s="28"/>
      <c r="E78" s="29"/>
      <c r="F78" s="195"/>
      <c r="G78" s="29"/>
      <c r="H78" s="157"/>
      <c r="I78" s="157"/>
    </row>
    <row r="79" spans="1:9" ht="20.100000000000001" customHeight="1">
      <c r="A79" s="27"/>
      <c r="B79" s="136" t="s">
        <v>146</v>
      </c>
      <c r="C79" s="28"/>
      <c r="D79" s="28"/>
      <c r="E79" s="29"/>
      <c r="F79" s="195"/>
      <c r="G79" s="29"/>
      <c r="H79" s="157"/>
      <c r="I79" s="157"/>
    </row>
    <row r="80" spans="1:9" ht="20.100000000000001" customHeight="1">
      <c r="A80" s="27">
        <v>1</v>
      </c>
      <c r="B80" s="133" t="s">
        <v>147</v>
      </c>
      <c r="C80" s="19" t="s">
        <v>148</v>
      </c>
      <c r="D80" s="27" t="s">
        <v>95</v>
      </c>
      <c r="E80" s="24">
        <f>180306.81</f>
        <v>180306.81</v>
      </c>
      <c r="F80" s="184">
        <v>180306.80685866671</v>
      </c>
      <c r="G80" s="22">
        <f>F80-E80</f>
        <v>-3.1413332908414304E-3</v>
      </c>
      <c r="H80" s="157"/>
      <c r="I80" s="157"/>
    </row>
    <row r="81" spans="1:9" ht="20.100000000000001" customHeight="1">
      <c r="A81" s="27">
        <v>2</v>
      </c>
      <c r="B81" s="135" t="s">
        <v>149</v>
      </c>
      <c r="C81" s="19" t="s">
        <v>150</v>
      </c>
      <c r="D81" s="158" t="s">
        <v>133</v>
      </c>
      <c r="E81" s="24">
        <f>75572.92</f>
        <v>75572.92</v>
      </c>
      <c r="F81" s="184">
        <v>75572.915690666661</v>
      </c>
      <c r="G81" s="22">
        <f t="shared" ref="G81:G84" si="9">F81-E81</f>
        <v>-4.3093333370052278E-3</v>
      </c>
      <c r="H81" s="157"/>
      <c r="I81" s="157"/>
    </row>
    <row r="82" spans="1:9" ht="20.100000000000001" customHeight="1">
      <c r="A82" s="27">
        <v>3</v>
      </c>
      <c r="B82" s="135" t="s">
        <v>571</v>
      </c>
      <c r="C82" s="19" t="s">
        <v>572</v>
      </c>
      <c r="D82" s="158" t="s">
        <v>133</v>
      </c>
      <c r="E82" s="24">
        <f>75572.92</f>
        <v>75572.92</v>
      </c>
      <c r="F82" s="184">
        <v>75572.915690666661</v>
      </c>
      <c r="G82" s="22">
        <f t="shared" si="9"/>
        <v>-4.3093333370052278E-3</v>
      </c>
      <c r="H82" s="157"/>
      <c r="I82" s="157"/>
    </row>
    <row r="83" spans="1:9" ht="20.100000000000001" customHeight="1">
      <c r="A83" s="27">
        <v>4</v>
      </c>
      <c r="B83" s="133" t="s">
        <v>153</v>
      </c>
      <c r="C83" s="19" t="s">
        <v>414</v>
      </c>
      <c r="D83" s="158" t="s">
        <v>168</v>
      </c>
      <c r="E83" s="24">
        <v>48170.87</v>
      </c>
      <c r="F83" s="184">
        <v>49548.776186666662</v>
      </c>
      <c r="G83" s="22">
        <f t="shared" si="9"/>
        <v>1377.9061866666598</v>
      </c>
      <c r="H83" s="157"/>
      <c r="I83" s="157"/>
    </row>
    <row r="84" spans="1:9" ht="20.100000000000001" customHeight="1">
      <c r="A84" s="27">
        <v>5</v>
      </c>
      <c r="B84" s="133" t="s">
        <v>155</v>
      </c>
      <c r="C84" s="19" t="s">
        <v>156</v>
      </c>
      <c r="D84" s="27" t="s">
        <v>157</v>
      </c>
      <c r="E84" s="24">
        <f>32291.82</f>
        <v>32291.82</v>
      </c>
      <c r="F84" s="184">
        <v>33059.078406666667</v>
      </c>
      <c r="G84" s="22">
        <f t="shared" si="9"/>
        <v>767.25840666666772</v>
      </c>
      <c r="H84" s="157"/>
      <c r="I84" s="157"/>
    </row>
    <row r="85" spans="1:9" ht="20.100000000000001" customHeight="1">
      <c r="A85" s="27"/>
      <c r="B85" s="136" t="s">
        <v>91</v>
      </c>
      <c r="C85" s="28">
        <v>5</v>
      </c>
      <c r="D85" s="28"/>
      <c r="E85" s="65">
        <f t="shared" ref="E85:G85" si="10">SUM(E80:E84)</f>
        <v>411915.33999999997</v>
      </c>
      <c r="F85" s="65">
        <f t="shared" si="10"/>
        <v>414060.49283333332</v>
      </c>
      <c r="G85" s="65">
        <f t="shared" si="10"/>
        <v>2145.1528333333627</v>
      </c>
      <c r="H85" s="157"/>
      <c r="I85" s="157"/>
    </row>
    <row r="86" spans="1:9" ht="20.100000000000001" customHeight="1">
      <c r="A86" s="27"/>
      <c r="B86" s="136"/>
      <c r="C86" s="28"/>
      <c r="D86" s="28"/>
      <c r="E86" s="29"/>
      <c r="F86" s="184"/>
      <c r="G86" s="22"/>
      <c r="H86" s="157"/>
      <c r="I86" s="157"/>
    </row>
    <row r="87" spans="1:9" ht="20.100000000000001" customHeight="1">
      <c r="A87" s="27"/>
      <c r="B87" s="136" t="s">
        <v>161</v>
      </c>
      <c r="C87" s="163"/>
      <c r="D87" s="28"/>
      <c r="E87" s="29"/>
      <c r="F87" s="184"/>
      <c r="G87" s="22"/>
      <c r="H87" s="157"/>
      <c r="I87" s="157"/>
    </row>
    <row r="88" spans="1:9" ht="23.25" customHeight="1">
      <c r="A88" s="27">
        <v>1</v>
      </c>
      <c r="B88" s="133" t="s">
        <v>589</v>
      </c>
      <c r="C88" s="19" t="s">
        <v>590</v>
      </c>
      <c r="D88" s="27" t="s">
        <v>233</v>
      </c>
      <c r="E88" s="24">
        <f>97273.51</f>
        <v>97273.51</v>
      </c>
      <c r="F88" s="184">
        <v>99907.951418666678</v>
      </c>
      <c r="G88" s="22">
        <f>F88-E88</f>
        <v>2634.4414186666836</v>
      </c>
      <c r="H88" s="157"/>
      <c r="I88" s="157"/>
    </row>
    <row r="89" spans="1:9" ht="20.100000000000001" customHeight="1">
      <c r="A89" s="27">
        <v>2</v>
      </c>
      <c r="B89" s="133" t="s">
        <v>162</v>
      </c>
      <c r="C89" s="19" t="s">
        <v>109</v>
      </c>
      <c r="D89" s="27" t="s">
        <v>45</v>
      </c>
      <c r="E89" s="24">
        <f>79956.94</f>
        <v>79956.94</v>
      </c>
      <c r="F89" s="184">
        <v>79956.939146666657</v>
      </c>
      <c r="G89" s="22">
        <f t="shared" ref="G89:G98" si="11">F89-E89</f>
        <v>-8.5333334573078901E-4</v>
      </c>
      <c r="H89" s="157"/>
      <c r="I89" s="157"/>
    </row>
    <row r="90" spans="1:9" ht="20.100000000000001" customHeight="1">
      <c r="A90" s="27">
        <v>3</v>
      </c>
      <c r="B90" s="133" t="s">
        <v>163</v>
      </c>
      <c r="C90" s="19" t="s">
        <v>109</v>
      </c>
      <c r="D90" s="27" t="s">
        <v>45</v>
      </c>
      <c r="E90" s="24">
        <f>79796.1</f>
        <v>79796.100000000006</v>
      </c>
      <c r="F90" s="184">
        <v>79796.103146666646</v>
      </c>
      <c r="G90" s="22">
        <f t="shared" si="11"/>
        <v>3.146666640532203E-3</v>
      </c>
      <c r="H90" s="157"/>
      <c r="I90" s="157"/>
    </row>
    <row r="91" spans="1:9" ht="20.100000000000001" customHeight="1">
      <c r="A91" s="27">
        <v>4</v>
      </c>
      <c r="B91" s="135" t="s">
        <v>164</v>
      </c>
      <c r="C91" s="19" t="s">
        <v>53</v>
      </c>
      <c r="D91" s="27" t="s">
        <v>413</v>
      </c>
      <c r="E91" s="22">
        <f>57894.08</f>
        <v>57894.080000000002</v>
      </c>
      <c r="F91" s="184">
        <v>59441.782042666666</v>
      </c>
      <c r="G91" s="22">
        <f t="shared" si="11"/>
        <v>1547.7020426666641</v>
      </c>
      <c r="H91" s="157"/>
      <c r="I91" s="157"/>
    </row>
    <row r="92" spans="1:9" ht="20.100000000000001" customHeight="1">
      <c r="A92" s="27">
        <v>5</v>
      </c>
      <c r="B92" s="133" t="s">
        <v>165</v>
      </c>
      <c r="C92" s="19" t="s">
        <v>115</v>
      </c>
      <c r="D92" s="27" t="s">
        <v>51</v>
      </c>
      <c r="E92" s="22">
        <f>56478.9</f>
        <v>56478.9</v>
      </c>
      <c r="F92" s="184">
        <v>58026.609434666672</v>
      </c>
      <c r="G92" s="22">
        <f t="shared" si="11"/>
        <v>1547.7094346666709</v>
      </c>
      <c r="H92" s="157"/>
      <c r="I92" s="157"/>
    </row>
    <row r="93" spans="1:9" ht="21.6" customHeight="1">
      <c r="A93" s="27">
        <v>6</v>
      </c>
      <c r="B93" s="133" t="s">
        <v>166</v>
      </c>
      <c r="C93" s="19" t="s">
        <v>167</v>
      </c>
      <c r="D93" s="158" t="s">
        <v>168</v>
      </c>
      <c r="E93" s="24">
        <f>48170.87</f>
        <v>48170.87</v>
      </c>
      <c r="F93" s="184">
        <v>49548.776186666662</v>
      </c>
      <c r="G93" s="22">
        <f t="shared" si="11"/>
        <v>1377.9061866666598</v>
      </c>
      <c r="H93" s="157"/>
      <c r="I93" s="157"/>
    </row>
    <row r="94" spans="1:9" ht="21.6" customHeight="1">
      <c r="A94" s="27">
        <v>7</v>
      </c>
      <c r="B94" s="133" t="s">
        <v>169</v>
      </c>
      <c r="C94" s="138" t="s">
        <v>136</v>
      </c>
      <c r="D94" s="158" t="s">
        <v>60</v>
      </c>
      <c r="E94" s="24">
        <f>46673.26</f>
        <v>46673.26</v>
      </c>
      <c r="F94" s="184">
        <v>48170.870282666663</v>
      </c>
      <c r="G94" s="22">
        <f t="shared" si="11"/>
        <v>1497.6102826666611</v>
      </c>
      <c r="H94" s="157"/>
      <c r="I94" s="157"/>
    </row>
    <row r="95" spans="1:9" ht="21.6" customHeight="1">
      <c r="A95" s="27">
        <v>8</v>
      </c>
      <c r="B95" s="133" t="s">
        <v>170</v>
      </c>
      <c r="C95" s="138" t="s">
        <v>136</v>
      </c>
      <c r="D95" s="158" t="s">
        <v>60</v>
      </c>
      <c r="E95" s="24">
        <f>46673.26</f>
        <v>46673.26</v>
      </c>
      <c r="F95" s="184">
        <v>48170.870282666663</v>
      </c>
      <c r="G95" s="22">
        <f t="shared" si="11"/>
        <v>1497.6102826666611</v>
      </c>
      <c r="H95" s="157"/>
      <c r="I95" s="157"/>
    </row>
    <row r="96" spans="1:9" ht="21.6" customHeight="1">
      <c r="A96" s="27">
        <v>9</v>
      </c>
      <c r="B96" s="133" t="s">
        <v>172</v>
      </c>
      <c r="C96" s="92" t="s">
        <v>140</v>
      </c>
      <c r="D96" s="158" t="s">
        <v>69</v>
      </c>
      <c r="E96" s="24">
        <f>40149.18</f>
        <v>40149.18</v>
      </c>
      <c r="F96" s="185">
        <v>40149.175266666673</v>
      </c>
      <c r="G96" s="22">
        <f t="shared" si="11"/>
        <v>-4.7333333277492784E-3</v>
      </c>
      <c r="H96" s="157"/>
      <c r="I96" s="157"/>
    </row>
    <row r="97" spans="1:9" ht="21.6" customHeight="1">
      <c r="A97" s="27">
        <v>10</v>
      </c>
      <c r="B97" s="133" t="s">
        <v>174</v>
      </c>
      <c r="C97" s="19" t="s">
        <v>175</v>
      </c>
      <c r="D97" s="27" t="s">
        <v>72</v>
      </c>
      <c r="E97" s="24">
        <v>0</v>
      </c>
      <c r="F97" s="184">
        <v>0</v>
      </c>
      <c r="G97" s="22">
        <f t="shared" si="11"/>
        <v>0</v>
      </c>
      <c r="H97" s="157"/>
      <c r="I97" s="157"/>
    </row>
    <row r="98" spans="1:9" ht="21.6" customHeight="1">
      <c r="A98" s="27">
        <v>11</v>
      </c>
      <c r="B98" s="133" t="s">
        <v>176</v>
      </c>
      <c r="C98" s="92" t="s">
        <v>177</v>
      </c>
      <c r="D98" s="158" t="s">
        <v>86</v>
      </c>
      <c r="E98" s="24">
        <f>24685.95</f>
        <v>24685.95</v>
      </c>
      <c r="F98" s="185">
        <v>24749.797062666661</v>
      </c>
      <c r="G98" s="22">
        <f t="shared" si="11"/>
        <v>63.847062666660349</v>
      </c>
      <c r="H98" s="157"/>
      <c r="I98" s="157"/>
    </row>
    <row r="99" spans="1:9" ht="20.100000000000001" customHeight="1">
      <c r="A99" s="27"/>
      <c r="B99" s="136" t="s">
        <v>91</v>
      </c>
      <c r="C99" s="28">
        <v>11</v>
      </c>
      <c r="D99" s="28"/>
      <c r="E99" s="65">
        <f>SUM(E88:E98)</f>
        <v>577752.05000000005</v>
      </c>
      <c r="F99" s="65">
        <f t="shared" ref="F99:G99" si="12">SUM(F88:F98)</f>
        <v>587918.87427066662</v>
      </c>
      <c r="G99" s="65">
        <f t="shared" si="12"/>
        <v>10166.824270666628</v>
      </c>
      <c r="H99" s="157"/>
      <c r="I99" s="157"/>
    </row>
    <row r="100" spans="1:9" ht="20.100000000000001" customHeight="1">
      <c r="A100" s="27"/>
      <c r="B100" s="103"/>
      <c r="C100" s="28"/>
      <c r="D100" s="28"/>
      <c r="E100" s="29"/>
      <c r="F100" s="195"/>
      <c r="G100" s="29"/>
      <c r="H100" s="157"/>
      <c r="I100" s="157"/>
    </row>
    <row r="101" spans="1:9" ht="20.100000000000001" customHeight="1">
      <c r="A101" s="27"/>
      <c r="B101" s="136" t="s">
        <v>178</v>
      </c>
      <c r="C101" s="28"/>
      <c r="D101" s="28"/>
      <c r="E101" s="29"/>
      <c r="F101" s="195"/>
      <c r="G101" s="29"/>
      <c r="H101" s="157"/>
      <c r="I101" s="157"/>
    </row>
    <row r="102" spans="1:9" ht="20.100000000000001" customHeight="1">
      <c r="A102" s="27">
        <v>1</v>
      </c>
      <c r="B102" s="134" t="s">
        <v>41</v>
      </c>
      <c r="C102" s="27" t="s">
        <v>42</v>
      </c>
      <c r="D102" s="158" t="s">
        <v>36</v>
      </c>
      <c r="E102" s="24">
        <f>79993.51</f>
        <v>79993.509999999995</v>
      </c>
      <c r="F102" s="184">
        <v>79993.513850666655</v>
      </c>
      <c r="G102" s="22">
        <f>F102-E102</f>
        <v>3.8506666605826467E-3</v>
      </c>
      <c r="H102" s="157"/>
      <c r="I102" s="157"/>
    </row>
    <row r="103" spans="1:9" ht="20.100000000000001" customHeight="1">
      <c r="A103" s="27">
        <v>2</v>
      </c>
      <c r="B103" s="133" t="s">
        <v>46</v>
      </c>
      <c r="C103" s="19" t="s">
        <v>182</v>
      </c>
      <c r="D103" s="27" t="s">
        <v>51</v>
      </c>
      <c r="E103" s="22">
        <f>43380.1</f>
        <v>43380.1</v>
      </c>
      <c r="F103" s="184">
        <v>44734.339388666674</v>
      </c>
      <c r="G103" s="22">
        <f t="shared" ref="G103:G105" si="13">F103-E103</f>
        <v>1354.2393886666759</v>
      </c>
      <c r="H103" s="157"/>
      <c r="I103" s="157"/>
    </row>
    <row r="104" spans="1:9" ht="20.100000000000001" customHeight="1">
      <c r="A104" s="27">
        <v>3</v>
      </c>
      <c r="B104" s="134" t="s">
        <v>591</v>
      </c>
      <c r="C104" s="19" t="s">
        <v>592</v>
      </c>
      <c r="D104" s="158" t="s">
        <v>60</v>
      </c>
      <c r="E104" s="24">
        <f>38272.44</f>
        <v>38272.44</v>
      </c>
      <c r="F104" s="184">
        <v>39582.844830666661</v>
      </c>
      <c r="G104" s="22">
        <f t="shared" si="13"/>
        <v>1310.4048306666591</v>
      </c>
      <c r="H104" s="157"/>
      <c r="I104" s="157"/>
    </row>
    <row r="105" spans="1:9" ht="20.100000000000001" customHeight="1">
      <c r="A105" s="27">
        <v>4</v>
      </c>
      <c r="B105" s="133" t="s">
        <v>183</v>
      </c>
      <c r="C105" s="19" t="s">
        <v>184</v>
      </c>
      <c r="D105" s="158" t="s">
        <v>66</v>
      </c>
      <c r="E105" s="24" t="e">
        <f>#REF!</f>
        <v>#REF!</v>
      </c>
      <c r="F105" s="184">
        <v>32098.951098666672</v>
      </c>
      <c r="G105" s="22" t="e">
        <f t="shared" si="13"/>
        <v>#REF!</v>
      </c>
      <c r="H105" s="157"/>
      <c r="I105" s="157"/>
    </row>
    <row r="106" spans="1:9" ht="20.100000000000001" customHeight="1">
      <c r="A106" s="19"/>
      <c r="B106" s="136" t="s">
        <v>91</v>
      </c>
      <c r="C106" s="28">
        <v>4</v>
      </c>
      <c r="D106" s="164"/>
      <c r="E106" s="65" t="e">
        <f t="shared" ref="E106:G106" si="14">SUM(E102:E105)</f>
        <v>#REF!</v>
      </c>
      <c r="F106" s="65">
        <f t="shared" si="14"/>
        <v>196409.64916866666</v>
      </c>
      <c r="G106" s="65" t="e">
        <f t="shared" si="14"/>
        <v>#REF!</v>
      </c>
      <c r="H106" s="157"/>
      <c r="I106" s="157"/>
    </row>
    <row r="107" spans="1:9" ht="20.100000000000001" customHeight="1">
      <c r="A107" s="19"/>
      <c r="B107" s="103"/>
      <c r="C107" s="28"/>
      <c r="D107" s="164"/>
      <c r="E107" s="29"/>
      <c r="F107" s="195"/>
      <c r="G107" s="29"/>
      <c r="H107" s="157"/>
      <c r="I107" s="157"/>
    </row>
    <row r="108" spans="1:9" ht="20.100000000000001" customHeight="1">
      <c r="A108" s="19"/>
      <c r="B108" s="136" t="s">
        <v>187</v>
      </c>
      <c r="C108" s="19"/>
      <c r="D108" s="19"/>
      <c r="E108" s="19"/>
      <c r="F108" s="196"/>
      <c r="G108" s="19"/>
      <c r="H108" s="157"/>
      <c r="I108" s="157"/>
    </row>
    <row r="109" spans="1:9" ht="20.100000000000001" customHeight="1">
      <c r="A109" s="19">
        <v>1</v>
      </c>
      <c r="B109" s="133" t="s">
        <v>188</v>
      </c>
      <c r="C109" s="138" t="s">
        <v>189</v>
      </c>
      <c r="D109" s="158" t="s">
        <v>95</v>
      </c>
      <c r="E109" s="24">
        <f>180306.81</f>
        <v>180306.81</v>
      </c>
      <c r="F109" s="184">
        <v>180145.9708586667</v>
      </c>
      <c r="G109" s="22">
        <f>F109-E109</f>
        <v>-160.83914133330109</v>
      </c>
      <c r="H109" s="157"/>
      <c r="I109" s="157"/>
    </row>
    <row r="110" spans="1:9" ht="20.100000000000001" customHeight="1">
      <c r="A110" s="19">
        <v>2</v>
      </c>
      <c r="B110" s="133" t="s">
        <v>190</v>
      </c>
      <c r="C110" s="19" t="s">
        <v>191</v>
      </c>
      <c r="D110" s="23" t="s">
        <v>36</v>
      </c>
      <c r="E110" s="24" t="e">
        <f>#REF!</f>
        <v>#REF!</v>
      </c>
      <c r="F110" s="184">
        <v>97147.085210666657</v>
      </c>
      <c r="G110" s="22" t="e">
        <f t="shared" ref="G110:G115" si="15">F110-E110</f>
        <v>#REF!</v>
      </c>
      <c r="H110" s="157"/>
      <c r="I110" s="157"/>
    </row>
    <row r="111" spans="1:9" ht="20.100000000000001" customHeight="1">
      <c r="A111" s="19">
        <v>3</v>
      </c>
      <c r="B111" s="133" t="s">
        <v>192</v>
      </c>
      <c r="C111" s="19" t="s">
        <v>193</v>
      </c>
      <c r="D111" s="27" t="s">
        <v>57</v>
      </c>
      <c r="E111" s="22">
        <f>58814.67</f>
        <v>58814.67</v>
      </c>
      <c r="F111" s="184">
        <v>58941.101743466657</v>
      </c>
      <c r="G111" s="22">
        <f t="shared" si="15"/>
        <v>126.4317434666591</v>
      </c>
      <c r="H111" s="157"/>
      <c r="I111" s="157"/>
    </row>
    <row r="112" spans="1:9" ht="20.100000000000001" customHeight="1">
      <c r="A112" s="19">
        <v>4</v>
      </c>
      <c r="B112" s="133" t="s">
        <v>194</v>
      </c>
      <c r="C112" s="19" t="s">
        <v>193</v>
      </c>
      <c r="D112" s="27" t="s">
        <v>57</v>
      </c>
      <c r="E112" s="22">
        <f>57194.24</f>
        <v>57194.239999999998</v>
      </c>
      <c r="F112" s="184">
        <v>58941.101743466657</v>
      </c>
      <c r="G112" s="22">
        <f t="shared" si="15"/>
        <v>1746.8617434666594</v>
      </c>
      <c r="H112" s="157"/>
      <c r="I112" s="157"/>
    </row>
    <row r="113" spans="1:9" ht="20.100000000000001" customHeight="1">
      <c r="A113" s="19">
        <v>5</v>
      </c>
      <c r="B113" s="133" t="s">
        <v>195</v>
      </c>
      <c r="C113" s="19" t="s">
        <v>196</v>
      </c>
      <c r="D113" s="158" t="s">
        <v>197</v>
      </c>
      <c r="E113" s="24">
        <f>30699.58</f>
        <v>30699.58</v>
      </c>
      <c r="F113" s="184">
        <v>31285.603203306662</v>
      </c>
      <c r="G113" s="22">
        <f t="shared" si="15"/>
        <v>586.02320330666043</v>
      </c>
      <c r="H113" s="157"/>
      <c r="I113" s="157"/>
    </row>
    <row r="114" spans="1:9" ht="20.100000000000001" customHeight="1">
      <c r="A114" s="19">
        <v>6</v>
      </c>
      <c r="B114" s="134" t="s">
        <v>198</v>
      </c>
      <c r="C114" s="19" t="s">
        <v>196</v>
      </c>
      <c r="D114" s="27" t="s">
        <v>199</v>
      </c>
      <c r="E114" s="24">
        <f>30049.31</f>
        <v>30049.31</v>
      </c>
      <c r="F114" s="184">
        <v>30635.120688666666</v>
      </c>
      <c r="G114" s="22">
        <f t="shared" si="15"/>
        <v>585.81068866666465</v>
      </c>
      <c r="H114" s="157"/>
      <c r="I114" s="157"/>
    </row>
    <row r="115" spans="1:9" ht="20.100000000000001" customHeight="1">
      <c r="A115" s="19">
        <v>7</v>
      </c>
      <c r="B115" s="134" t="s">
        <v>200</v>
      </c>
      <c r="C115" s="19" t="s">
        <v>196</v>
      </c>
      <c r="D115" s="158" t="s">
        <v>86</v>
      </c>
      <c r="E115" s="24">
        <f>28813.07</f>
        <v>28813.07</v>
      </c>
      <c r="F115" s="184">
        <v>29055.584161426657</v>
      </c>
      <c r="G115" s="22">
        <f t="shared" si="15"/>
        <v>242.51416142665767</v>
      </c>
      <c r="H115" s="157"/>
      <c r="I115" s="157"/>
    </row>
    <row r="116" spans="1:9" ht="20.100000000000001" customHeight="1">
      <c r="A116" s="19"/>
      <c r="B116" s="136" t="s">
        <v>91</v>
      </c>
      <c r="C116" s="28">
        <v>7</v>
      </c>
      <c r="D116" s="19"/>
      <c r="E116" s="165" t="e">
        <f t="shared" ref="E116:G116" si="16">SUM(E109:E115)</f>
        <v>#REF!</v>
      </c>
      <c r="F116" s="165">
        <f t="shared" si="16"/>
        <v>486151.56760966667</v>
      </c>
      <c r="G116" s="165" t="e">
        <f t="shared" si="16"/>
        <v>#REF!</v>
      </c>
      <c r="H116" s="157"/>
      <c r="I116" s="157"/>
    </row>
    <row r="117" spans="1:9" ht="20.100000000000001" customHeight="1">
      <c r="A117" s="19"/>
      <c r="B117" s="103"/>
      <c r="C117" s="27"/>
      <c r="D117" s="19"/>
      <c r="E117" s="166"/>
      <c r="F117" s="186"/>
      <c r="G117" s="166"/>
      <c r="H117" s="157"/>
      <c r="I117" s="157"/>
    </row>
    <row r="118" spans="1:9" ht="20.100000000000001" customHeight="1">
      <c r="A118" s="19"/>
      <c r="B118" s="136" t="s">
        <v>208</v>
      </c>
      <c r="C118" s="28"/>
      <c r="D118" s="28"/>
      <c r="E118" s="29"/>
      <c r="F118" s="184"/>
      <c r="G118" s="22"/>
      <c r="H118" s="157"/>
      <c r="I118" s="157"/>
    </row>
    <row r="119" spans="1:9" ht="20.100000000000001" customHeight="1">
      <c r="A119" s="19">
        <v>1</v>
      </c>
      <c r="B119" s="133" t="s">
        <v>209</v>
      </c>
      <c r="C119" s="138" t="s">
        <v>210</v>
      </c>
      <c r="D119" s="158" t="s">
        <v>95</v>
      </c>
      <c r="E119" s="24">
        <f>179914.45</f>
        <v>179914.45</v>
      </c>
      <c r="F119" s="184">
        <v>179914.4546986667</v>
      </c>
      <c r="G119" s="22">
        <f>F119-E119</f>
        <v>4.6986666857264936E-3</v>
      </c>
      <c r="H119" s="157"/>
      <c r="I119" s="157"/>
    </row>
    <row r="120" spans="1:9" ht="20.100000000000001" customHeight="1">
      <c r="A120" s="19" t="s">
        <v>593</v>
      </c>
      <c r="B120" s="133" t="s">
        <v>594</v>
      </c>
      <c r="C120" s="138" t="s">
        <v>595</v>
      </c>
      <c r="D120" s="158" t="s">
        <v>233</v>
      </c>
      <c r="E120" s="24">
        <f>101827.95</f>
        <v>101827.95</v>
      </c>
      <c r="F120" s="184">
        <v>101827.95141866668</v>
      </c>
      <c r="G120" s="22">
        <f t="shared" ref="G120:G129" si="17">F120-E120</f>
        <v>1.4186666812747717E-3</v>
      </c>
      <c r="H120" s="157"/>
      <c r="I120" s="157"/>
    </row>
    <row r="121" spans="1:9" ht="20.100000000000001" customHeight="1">
      <c r="A121" s="19">
        <v>3</v>
      </c>
      <c r="B121" s="133" t="s">
        <v>211</v>
      </c>
      <c r="C121" s="138" t="s">
        <v>214</v>
      </c>
      <c r="D121" s="158" t="s">
        <v>45</v>
      </c>
      <c r="E121" s="24">
        <f>83636.1</f>
        <v>83636.100000000006</v>
      </c>
      <c r="F121" s="184">
        <v>83636.103146666646</v>
      </c>
      <c r="G121" s="22">
        <f t="shared" si="17"/>
        <v>3.146666640532203E-3</v>
      </c>
      <c r="H121" s="157"/>
      <c r="I121" s="157"/>
    </row>
    <row r="122" spans="1:9" ht="20.100000000000001" customHeight="1">
      <c r="A122" s="19">
        <v>4</v>
      </c>
      <c r="B122" s="135" t="s">
        <v>213</v>
      </c>
      <c r="C122" s="138" t="s">
        <v>214</v>
      </c>
      <c r="D122" s="158" t="s">
        <v>45</v>
      </c>
      <c r="E122" s="22">
        <f>64436.1</f>
        <v>64436.1</v>
      </c>
      <c r="F122" s="184">
        <v>64436.103146666661</v>
      </c>
      <c r="G122" s="22">
        <f t="shared" si="17"/>
        <v>3.1466666623600759E-3</v>
      </c>
      <c r="H122" s="157"/>
      <c r="I122" s="157"/>
    </row>
    <row r="123" spans="1:9" ht="20.100000000000001" customHeight="1">
      <c r="A123" s="19">
        <v>5</v>
      </c>
      <c r="B123" s="135" t="s">
        <v>215</v>
      </c>
      <c r="C123" s="138" t="s">
        <v>214</v>
      </c>
      <c r="D123" s="158" t="s">
        <v>48</v>
      </c>
      <c r="E123" s="24">
        <f>60212.92</f>
        <v>60212.92</v>
      </c>
      <c r="F123" s="184">
        <v>60212.915690666669</v>
      </c>
      <c r="G123" s="22">
        <f t="shared" si="17"/>
        <v>-4.3093333297292702E-3</v>
      </c>
      <c r="H123" s="157"/>
      <c r="I123" s="157"/>
    </row>
    <row r="124" spans="1:9" ht="20.100000000000001" customHeight="1">
      <c r="A124" s="19">
        <v>6</v>
      </c>
      <c r="B124" s="133" t="s">
        <v>216</v>
      </c>
      <c r="C124" s="138" t="s">
        <v>217</v>
      </c>
      <c r="D124" s="158" t="s">
        <v>54</v>
      </c>
      <c r="E124" s="24" t="e">
        <f>#REF!</f>
        <v>#REF!</v>
      </c>
      <c r="F124" s="184">
        <v>42652.373376666663</v>
      </c>
      <c r="G124" s="22" t="e">
        <f t="shared" si="17"/>
        <v>#REF!</v>
      </c>
      <c r="H124" s="157"/>
      <c r="I124" s="157"/>
    </row>
    <row r="125" spans="1:9" ht="20.100000000000001" customHeight="1">
      <c r="A125" s="19">
        <v>7</v>
      </c>
      <c r="B125" s="133" t="s">
        <v>218</v>
      </c>
      <c r="C125" s="138" t="s">
        <v>219</v>
      </c>
      <c r="D125" s="158" t="s">
        <v>168</v>
      </c>
      <c r="E125" s="24">
        <f>44518.93</f>
        <v>44518.93</v>
      </c>
      <c r="F125" s="184">
        <v>45724.599176666663</v>
      </c>
      <c r="G125" s="22">
        <f t="shared" si="17"/>
        <v>1205.6691766666627</v>
      </c>
      <c r="H125" s="157"/>
      <c r="I125" s="157"/>
    </row>
    <row r="126" spans="1:9" ht="20.100000000000001" customHeight="1">
      <c r="A126" s="19">
        <v>8</v>
      </c>
      <c r="B126" s="133" t="s">
        <v>220</v>
      </c>
      <c r="C126" s="138" t="s">
        <v>416</v>
      </c>
      <c r="D126" s="158" t="s">
        <v>168</v>
      </c>
      <c r="E126" s="24">
        <f>39478.93</f>
        <v>39478.93</v>
      </c>
      <c r="F126" s="184">
        <v>40684.599176666663</v>
      </c>
      <c r="G126" s="22">
        <f t="shared" si="17"/>
        <v>1205.6691766666627</v>
      </c>
      <c r="H126" s="157"/>
      <c r="I126" s="157"/>
    </row>
    <row r="127" spans="1:9" ht="20.100000000000001" customHeight="1">
      <c r="A127" s="19">
        <v>9</v>
      </c>
      <c r="B127" s="134" t="s">
        <v>596</v>
      </c>
      <c r="C127" s="138" t="s">
        <v>597</v>
      </c>
      <c r="D127" s="158" t="s">
        <v>598</v>
      </c>
      <c r="E127" s="24">
        <f>38272.44</f>
        <v>38272.44</v>
      </c>
      <c r="F127" s="184">
        <v>39582.844830666661</v>
      </c>
      <c r="G127" s="22">
        <f t="shared" si="17"/>
        <v>1310.4048306666591</v>
      </c>
      <c r="H127" s="157"/>
      <c r="I127" s="157"/>
    </row>
    <row r="128" spans="1:9" ht="20.100000000000001" customHeight="1">
      <c r="A128" s="19">
        <v>10</v>
      </c>
      <c r="B128" s="133" t="s">
        <v>221</v>
      </c>
      <c r="C128" s="138" t="s">
        <v>222</v>
      </c>
      <c r="D128" s="27" t="s">
        <v>75</v>
      </c>
      <c r="E128" s="24">
        <f>21640.95</f>
        <v>21640.95</v>
      </c>
      <c r="F128" s="184">
        <v>22338.48260466666</v>
      </c>
      <c r="G128" s="22">
        <f t="shared" si="17"/>
        <v>697.53260466665961</v>
      </c>
      <c r="H128" s="157"/>
      <c r="I128" s="157"/>
    </row>
    <row r="129" spans="1:9" ht="20.100000000000001" customHeight="1">
      <c r="A129" s="19">
        <v>11</v>
      </c>
      <c r="B129" s="134" t="s">
        <v>223</v>
      </c>
      <c r="C129" s="138" t="s">
        <v>224</v>
      </c>
      <c r="D129" s="158" t="s">
        <v>86</v>
      </c>
      <c r="E129" s="24">
        <f>25245.23</f>
        <v>25245.23</v>
      </c>
      <c r="F129" s="184">
        <v>17042.713866666661</v>
      </c>
      <c r="G129" s="22">
        <f t="shared" si="17"/>
        <v>-8202.5161333333381</v>
      </c>
      <c r="H129" s="157"/>
      <c r="I129" s="157"/>
    </row>
    <row r="130" spans="1:9" ht="20.100000000000001" customHeight="1">
      <c r="A130" s="19"/>
      <c r="B130" s="136" t="s">
        <v>91</v>
      </c>
      <c r="C130" s="164" t="s">
        <v>599</v>
      </c>
      <c r="D130" s="158"/>
      <c r="E130" s="65" t="e">
        <f t="shared" ref="E130:G130" si="18">SUM(E119:E129)</f>
        <v>#REF!</v>
      </c>
      <c r="F130" s="65">
        <f t="shared" si="18"/>
        <v>698053.14113333332</v>
      </c>
      <c r="G130" s="65" t="e">
        <f t="shared" si="18"/>
        <v>#REF!</v>
      </c>
      <c r="H130" s="157"/>
      <c r="I130" s="157"/>
    </row>
    <row r="131" spans="1:9" ht="20.100000000000001" customHeight="1">
      <c r="A131" s="19"/>
      <c r="B131" s="103"/>
      <c r="C131" s="164"/>
      <c r="D131" s="158"/>
      <c r="E131" s="29"/>
      <c r="F131" s="197"/>
      <c r="G131" s="159"/>
      <c r="H131" s="157"/>
      <c r="I131" s="157"/>
    </row>
    <row r="132" spans="1:9" ht="20.100000000000001" customHeight="1">
      <c r="A132" s="19"/>
      <c r="B132" s="136" t="s">
        <v>228</v>
      </c>
      <c r="C132" s="138"/>
      <c r="D132" s="158"/>
      <c r="E132" s="24"/>
      <c r="F132" s="184"/>
      <c r="G132" s="22"/>
      <c r="H132" s="157"/>
      <c r="I132" s="157"/>
    </row>
    <row r="133" spans="1:9" ht="20.100000000000001" customHeight="1">
      <c r="A133" s="168">
        <v>1</v>
      </c>
      <c r="B133" s="133" t="s">
        <v>229</v>
      </c>
      <c r="C133" s="138" t="s">
        <v>230</v>
      </c>
      <c r="D133" s="158" t="s">
        <v>95</v>
      </c>
      <c r="E133" s="24">
        <f>161106.81</f>
        <v>161106.81</v>
      </c>
      <c r="F133" s="184">
        <v>161106.80685866668</v>
      </c>
      <c r="G133" s="22">
        <f>F133-E133</f>
        <v>-3.1413333199452609E-3</v>
      </c>
      <c r="H133" s="157"/>
      <c r="I133" s="157"/>
    </row>
    <row r="134" spans="1:9" ht="20.100000000000001" customHeight="1">
      <c r="A134" s="168">
        <v>2</v>
      </c>
      <c r="B134" s="133" t="s">
        <v>231</v>
      </c>
      <c r="C134" s="138" t="s">
        <v>232</v>
      </c>
      <c r="D134" s="158" t="s">
        <v>233</v>
      </c>
      <c r="E134" s="22">
        <v>82627.95</v>
      </c>
      <c r="F134" s="184">
        <v>82467.115418666668</v>
      </c>
      <c r="G134" s="22">
        <f t="shared" ref="G134:G187" si="19">F134-E134</f>
        <v>-160.83458133332897</v>
      </c>
      <c r="H134" s="157"/>
      <c r="I134" s="157"/>
    </row>
    <row r="135" spans="1:9" ht="20.100000000000001" customHeight="1">
      <c r="A135" s="168">
        <v>3</v>
      </c>
      <c r="B135" s="135" t="s">
        <v>234</v>
      </c>
      <c r="C135" s="19" t="s">
        <v>235</v>
      </c>
      <c r="D135" s="23" t="s">
        <v>36</v>
      </c>
      <c r="E135" s="22" t="e">
        <f>#REF!</f>
        <v>#REF!</v>
      </c>
      <c r="F135" s="184">
        <v>89465.197050666669</v>
      </c>
      <c r="G135" s="22" t="e">
        <f t="shared" si="19"/>
        <v>#REF!</v>
      </c>
      <c r="H135" s="157"/>
      <c r="I135" s="157"/>
    </row>
    <row r="136" spans="1:9" ht="20.100000000000001" customHeight="1">
      <c r="A136" s="168">
        <v>4</v>
      </c>
      <c r="B136" s="133" t="s">
        <v>236</v>
      </c>
      <c r="C136" s="138" t="s">
        <v>237</v>
      </c>
      <c r="D136" s="158" t="s">
        <v>51</v>
      </c>
      <c r="E136" s="24">
        <f>43380.1</f>
        <v>43380.1</v>
      </c>
      <c r="F136" s="184">
        <v>44734.339388666674</v>
      </c>
      <c r="G136" s="22">
        <f t="shared" si="19"/>
        <v>1354.2393886666759</v>
      </c>
      <c r="H136" s="157"/>
      <c r="I136" s="157"/>
    </row>
    <row r="137" spans="1:9" ht="20.100000000000001" customHeight="1">
      <c r="A137" s="168">
        <v>5</v>
      </c>
      <c r="B137" s="133" t="s">
        <v>238</v>
      </c>
      <c r="C137" s="19" t="s">
        <v>239</v>
      </c>
      <c r="D137" s="158" t="s">
        <v>51</v>
      </c>
      <c r="E137" s="24">
        <f>43380.1</f>
        <v>43380.1</v>
      </c>
      <c r="F137" s="184">
        <v>44846.616588666679</v>
      </c>
      <c r="G137" s="22">
        <f t="shared" si="19"/>
        <v>1466.51658866668</v>
      </c>
      <c r="H137" s="157"/>
      <c r="I137" s="157"/>
    </row>
    <row r="138" spans="1:9" ht="20.100000000000001" customHeight="1">
      <c r="A138" s="168">
        <v>6</v>
      </c>
      <c r="B138" s="133" t="s">
        <v>181</v>
      </c>
      <c r="C138" s="19" t="s">
        <v>245</v>
      </c>
      <c r="D138" s="158" t="s">
        <v>168</v>
      </c>
      <c r="E138" s="24">
        <f>39582.84</f>
        <v>39582.839999999997</v>
      </c>
      <c r="F138" s="184">
        <v>40698.124856666655</v>
      </c>
      <c r="G138" s="22">
        <f t="shared" si="19"/>
        <v>1115.284856666658</v>
      </c>
      <c r="H138" s="157"/>
      <c r="I138" s="157"/>
    </row>
    <row r="139" spans="1:9" ht="20.100000000000001" customHeight="1">
      <c r="A139" s="168">
        <v>7</v>
      </c>
      <c r="B139" s="133" t="s">
        <v>241</v>
      </c>
      <c r="C139" s="138" t="s">
        <v>242</v>
      </c>
      <c r="D139" s="158" t="s">
        <v>203</v>
      </c>
      <c r="E139" s="24">
        <f>32848.56</f>
        <v>32848.559999999998</v>
      </c>
      <c r="F139" s="184">
        <v>34968.882414666667</v>
      </c>
      <c r="G139" s="22">
        <f t="shared" si="19"/>
        <v>2120.3224146666689</v>
      </c>
      <c r="H139" s="157"/>
      <c r="I139" s="157"/>
    </row>
    <row r="140" spans="1:9" ht="20.100000000000001" customHeight="1">
      <c r="A140" s="168">
        <v>8</v>
      </c>
      <c r="B140" s="133" t="s">
        <v>243</v>
      </c>
      <c r="C140" s="138" t="s">
        <v>242</v>
      </c>
      <c r="D140" s="158" t="s">
        <v>203</v>
      </c>
      <c r="E140" s="24">
        <f>32938.95</f>
        <v>32938.949999999997</v>
      </c>
      <c r="F140" s="184">
        <v>34968.882414666667</v>
      </c>
      <c r="G140" s="22">
        <f t="shared" si="19"/>
        <v>2029.9324146666695</v>
      </c>
      <c r="H140" s="157"/>
      <c r="I140" s="157"/>
    </row>
    <row r="141" spans="1:9" ht="20.100000000000001" customHeight="1">
      <c r="A141" s="168">
        <v>9</v>
      </c>
      <c r="B141" s="133" t="s">
        <v>244</v>
      </c>
      <c r="C141" s="19" t="s">
        <v>245</v>
      </c>
      <c r="D141" s="158" t="s">
        <v>203</v>
      </c>
      <c r="E141" s="24">
        <f>32938.95</f>
        <v>32938.949999999997</v>
      </c>
      <c r="F141" s="184">
        <v>34968.882414666667</v>
      </c>
      <c r="G141" s="22">
        <f t="shared" si="19"/>
        <v>2029.9324146666695</v>
      </c>
      <c r="H141" s="157"/>
      <c r="I141" s="157"/>
    </row>
    <row r="142" spans="1:9" ht="20.100000000000001" customHeight="1">
      <c r="A142" s="168">
        <v>10</v>
      </c>
      <c r="B142" s="133" t="s">
        <v>246</v>
      </c>
      <c r="C142" s="138" t="s">
        <v>251</v>
      </c>
      <c r="D142" s="158" t="s">
        <v>66</v>
      </c>
      <c r="E142" s="24" t="e">
        <f>#REF!</f>
        <v>#REF!</v>
      </c>
      <c r="F142" s="184">
        <v>32022.168238666676</v>
      </c>
      <c r="G142" s="22" t="e">
        <f t="shared" si="19"/>
        <v>#REF!</v>
      </c>
      <c r="H142" s="157"/>
      <c r="I142" s="157"/>
    </row>
    <row r="143" spans="1:9" ht="20.100000000000001" customHeight="1">
      <c r="A143" s="168">
        <v>11</v>
      </c>
      <c r="B143" s="133" t="s">
        <v>248</v>
      </c>
      <c r="C143" s="138" t="s">
        <v>418</v>
      </c>
      <c r="D143" s="158" t="s">
        <v>419</v>
      </c>
      <c r="E143" s="24">
        <f>27029.2</f>
        <v>27029.200000000001</v>
      </c>
      <c r="F143" s="184">
        <v>27794.206626666662</v>
      </c>
      <c r="G143" s="22">
        <f t="shared" si="19"/>
        <v>765.00662666666176</v>
      </c>
      <c r="H143" s="157"/>
      <c r="I143" s="157"/>
    </row>
    <row r="144" spans="1:9" ht="20.100000000000001" customHeight="1">
      <c r="A144" s="168">
        <v>12</v>
      </c>
      <c r="B144" s="133" t="s">
        <v>250</v>
      </c>
      <c r="C144" s="138" t="s">
        <v>251</v>
      </c>
      <c r="D144" s="158" t="s">
        <v>203</v>
      </c>
      <c r="E144" s="24" t="e">
        <f>#REF!</f>
        <v>#REF!</v>
      </c>
      <c r="F144" s="184">
        <v>34128.882414666667</v>
      </c>
      <c r="G144" s="22" t="e">
        <f t="shared" si="19"/>
        <v>#REF!</v>
      </c>
      <c r="H144" s="157"/>
      <c r="I144" s="157"/>
    </row>
    <row r="145" spans="1:9" ht="20.100000000000001" customHeight="1">
      <c r="A145" s="168">
        <v>13</v>
      </c>
      <c r="B145" s="133" t="s">
        <v>254</v>
      </c>
      <c r="C145" s="19" t="s">
        <v>255</v>
      </c>
      <c r="D145" s="158" t="s">
        <v>157</v>
      </c>
      <c r="E145" s="24">
        <f>26339.08</f>
        <v>26339.08</v>
      </c>
      <c r="F145" s="184">
        <v>27031.29334266666</v>
      </c>
      <c r="G145" s="22">
        <f t="shared" si="19"/>
        <v>692.21334266665872</v>
      </c>
      <c r="H145" s="157"/>
      <c r="I145" s="157"/>
    </row>
    <row r="146" spans="1:9" ht="20.100000000000001" customHeight="1">
      <c r="A146" s="168">
        <v>14</v>
      </c>
      <c r="B146" s="133" t="s">
        <v>256</v>
      </c>
      <c r="C146" s="19" t="s">
        <v>255</v>
      </c>
      <c r="D146" s="158" t="s">
        <v>257</v>
      </c>
      <c r="E146" s="24">
        <f>26264.39</f>
        <v>26264.39</v>
      </c>
      <c r="F146" s="184">
        <v>27105.986562666658</v>
      </c>
      <c r="G146" s="22">
        <f t="shared" si="19"/>
        <v>841.59656266665843</v>
      </c>
      <c r="H146" s="157"/>
      <c r="I146" s="157"/>
    </row>
    <row r="147" spans="1:9" ht="20.100000000000001" customHeight="1">
      <c r="A147" s="168">
        <v>15</v>
      </c>
      <c r="B147" s="133" t="s">
        <v>258</v>
      </c>
      <c r="C147" s="19" t="s">
        <v>255</v>
      </c>
      <c r="D147" s="158" t="s">
        <v>257</v>
      </c>
      <c r="E147" s="24">
        <f>26339.08</f>
        <v>26339.08</v>
      </c>
      <c r="F147" s="184">
        <v>27105.986562666658</v>
      </c>
      <c r="G147" s="22">
        <f t="shared" si="19"/>
        <v>766.9065626666561</v>
      </c>
      <c r="H147" s="157"/>
      <c r="I147" s="157"/>
    </row>
    <row r="148" spans="1:9" ht="20.100000000000001" customHeight="1">
      <c r="A148" s="168">
        <v>16</v>
      </c>
      <c r="B148" s="133" t="s">
        <v>259</v>
      </c>
      <c r="C148" s="138" t="s">
        <v>260</v>
      </c>
      <c r="D148" s="158" t="s">
        <v>72</v>
      </c>
      <c r="E148" s="24">
        <f>25571.82</f>
        <v>25571.82</v>
      </c>
      <c r="F148" s="184">
        <v>25571.815728666668</v>
      </c>
      <c r="G148" s="22">
        <f t="shared" si="19"/>
        <v>-4.2713333314168267E-3</v>
      </c>
      <c r="H148" s="157"/>
      <c r="I148" s="157"/>
    </row>
    <row r="149" spans="1:9" ht="20.100000000000001" customHeight="1">
      <c r="A149" s="168">
        <v>17</v>
      </c>
      <c r="B149" s="133" t="s">
        <v>261</v>
      </c>
      <c r="C149" s="138" t="s">
        <v>262</v>
      </c>
      <c r="D149" s="27" t="s">
        <v>79</v>
      </c>
      <c r="E149" s="24">
        <f>21640.95</f>
        <v>21640.95</v>
      </c>
      <c r="F149" s="184">
        <v>21640.952862666669</v>
      </c>
      <c r="G149" s="22">
        <f t="shared" si="19"/>
        <v>2.8626666680793278E-3</v>
      </c>
      <c r="H149" s="157"/>
      <c r="I149" s="157"/>
    </row>
    <row r="150" spans="1:9" ht="20.100000000000001" customHeight="1">
      <c r="A150" s="168">
        <v>18</v>
      </c>
      <c r="B150" s="133" t="s">
        <v>263</v>
      </c>
      <c r="C150" s="138" t="s">
        <v>264</v>
      </c>
      <c r="D150" s="158" t="s">
        <v>157</v>
      </c>
      <c r="E150" s="24" t="e">
        <f>#REF!</f>
        <v>#REF!</v>
      </c>
      <c r="F150" s="184">
        <v>27105.986562666658</v>
      </c>
      <c r="G150" s="22" t="e">
        <f t="shared" si="19"/>
        <v>#REF!</v>
      </c>
      <c r="H150" s="157"/>
      <c r="I150" s="157"/>
    </row>
    <row r="151" spans="1:9" ht="20.100000000000001" customHeight="1">
      <c r="A151" s="168">
        <v>19</v>
      </c>
      <c r="B151" s="133" t="s">
        <v>265</v>
      </c>
      <c r="C151" s="138" t="s">
        <v>266</v>
      </c>
      <c r="D151" s="158" t="s">
        <v>75</v>
      </c>
      <c r="E151" s="24">
        <v>21640.95</v>
      </c>
      <c r="F151" s="184">
        <v>22281.815364666661</v>
      </c>
      <c r="G151" s="22">
        <f t="shared" si="19"/>
        <v>640.86536466666075</v>
      </c>
      <c r="H151" s="157"/>
      <c r="I151" s="157"/>
    </row>
    <row r="152" spans="1:9" ht="20.100000000000001" customHeight="1">
      <c r="A152" s="168">
        <v>20</v>
      </c>
      <c r="B152" s="133" t="s">
        <v>267</v>
      </c>
      <c r="C152" s="138" t="s">
        <v>268</v>
      </c>
      <c r="D152" s="158" t="s">
        <v>157</v>
      </c>
      <c r="E152" s="24">
        <v>25571.708040666661</v>
      </c>
      <c r="F152" s="184">
        <v>27105.986562666658</v>
      </c>
      <c r="G152" s="22">
        <f t="shared" si="19"/>
        <v>1534.2785219999969</v>
      </c>
      <c r="H152" s="157"/>
      <c r="I152" s="157"/>
    </row>
    <row r="153" spans="1:9" ht="20.100000000000001" customHeight="1">
      <c r="A153" s="168">
        <v>21</v>
      </c>
      <c r="B153" s="133" t="s">
        <v>269</v>
      </c>
      <c r="C153" s="138" t="s">
        <v>270</v>
      </c>
      <c r="D153" s="158" t="s">
        <v>75</v>
      </c>
      <c r="E153" s="24">
        <f>18102.9+3538.05</f>
        <v>21640.95</v>
      </c>
      <c r="F153" s="184">
        <v>22338.48260466666</v>
      </c>
      <c r="G153" s="22">
        <f t="shared" si="19"/>
        <v>697.53260466665961</v>
      </c>
      <c r="H153" s="157"/>
      <c r="I153" s="157"/>
    </row>
    <row r="154" spans="1:9" ht="20.100000000000001" customHeight="1">
      <c r="A154" s="168">
        <v>22</v>
      </c>
      <c r="B154" s="134" t="s">
        <v>271</v>
      </c>
      <c r="C154" s="138" t="s">
        <v>276</v>
      </c>
      <c r="D154" s="158" t="s">
        <v>585</v>
      </c>
      <c r="E154" s="24">
        <f>17572.89</f>
        <v>17572.89</v>
      </c>
      <c r="F154" s="184">
        <v>18102.902732666666</v>
      </c>
      <c r="G154" s="22">
        <f t="shared" si="19"/>
        <v>530.01273266666612</v>
      </c>
      <c r="H154" s="157"/>
      <c r="I154" s="157"/>
    </row>
    <row r="155" spans="1:9" ht="20.100000000000001" customHeight="1">
      <c r="A155" s="168">
        <v>23</v>
      </c>
      <c r="B155" s="134" t="s">
        <v>600</v>
      </c>
      <c r="C155" s="138" t="s">
        <v>274</v>
      </c>
      <c r="D155" s="158" t="s">
        <v>86</v>
      </c>
      <c r="E155" s="24">
        <f>16512.68</f>
        <v>16512.68</v>
      </c>
      <c r="F155" s="184">
        <v>17042.713866666661</v>
      </c>
      <c r="G155" s="22">
        <f t="shared" si="19"/>
        <v>530.0338666666612</v>
      </c>
      <c r="H155" s="157"/>
      <c r="I155" s="157"/>
    </row>
    <row r="156" spans="1:9" ht="20.100000000000001" customHeight="1">
      <c r="A156" s="168">
        <v>24</v>
      </c>
      <c r="B156" s="134" t="s">
        <v>273</v>
      </c>
      <c r="C156" s="138" t="s">
        <v>274</v>
      </c>
      <c r="D156" s="158" t="s">
        <v>90</v>
      </c>
      <c r="E156" s="24">
        <f>16512.68</f>
        <v>16512.68</v>
      </c>
      <c r="F156" s="184">
        <v>16512.68219066667</v>
      </c>
      <c r="G156" s="22">
        <f t="shared" si="19"/>
        <v>2.1906666697759647E-3</v>
      </c>
      <c r="H156" s="157"/>
      <c r="I156" s="157"/>
    </row>
    <row r="157" spans="1:9" ht="20.100000000000001" customHeight="1">
      <c r="A157" s="168">
        <v>25</v>
      </c>
      <c r="B157" s="134" t="s">
        <v>275</v>
      </c>
      <c r="C157" s="138" t="s">
        <v>276</v>
      </c>
      <c r="D157" s="158" t="s">
        <v>90</v>
      </c>
      <c r="E157" s="24">
        <f t="shared" ref="E157:E158" si="20">16512.68</f>
        <v>16512.68</v>
      </c>
      <c r="F157" s="184">
        <v>16514.228790666668</v>
      </c>
      <c r="G157" s="22">
        <f t="shared" si="19"/>
        <v>1.5487906666676281</v>
      </c>
      <c r="H157" s="157"/>
      <c r="I157" s="157"/>
    </row>
    <row r="158" spans="1:9" ht="20.100000000000001" customHeight="1">
      <c r="A158" s="168">
        <v>26</v>
      </c>
      <c r="B158" s="134" t="s">
        <v>277</v>
      </c>
      <c r="C158" s="138" t="s">
        <v>278</v>
      </c>
      <c r="D158" s="158" t="s">
        <v>86</v>
      </c>
      <c r="E158" s="24">
        <f t="shared" si="20"/>
        <v>16512.68</v>
      </c>
      <c r="F158" s="184">
        <v>17043.017866666662</v>
      </c>
      <c r="G158" s="22">
        <f t="shared" si="19"/>
        <v>530.33786666666128</v>
      </c>
      <c r="H158" s="157"/>
      <c r="I158" s="157"/>
    </row>
    <row r="159" spans="1:9" ht="20.100000000000001" customHeight="1">
      <c r="A159" s="168">
        <v>27</v>
      </c>
      <c r="B159" s="134" t="s">
        <v>279</v>
      </c>
      <c r="C159" s="138" t="s">
        <v>280</v>
      </c>
      <c r="D159" s="158" t="s">
        <v>86</v>
      </c>
      <c r="E159" s="24">
        <f>16512.68</f>
        <v>16512.68</v>
      </c>
      <c r="F159" s="184">
        <v>17008.323359999995</v>
      </c>
      <c r="G159" s="22">
        <f t="shared" si="19"/>
        <v>495.64335999999457</v>
      </c>
      <c r="H159" s="157"/>
      <c r="I159" s="157"/>
    </row>
    <row r="160" spans="1:9" ht="20.100000000000001" customHeight="1">
      <c r="A160" s="168">
        <v>28</v>
      </c>
      <c r="B160" s="133" t="s">
        <v>282</v>
      </c>
      <c r="C160" s="138" t="s">
        <v>283</v>
      </c>
      <c r="D160" s="158" t="s">
        <v>284</v>
      </c>
      <c r="E160" s="22">
        <f>9117.05</f>
        <v>9117.0499999999993</v>
      </c>
      <c r="F160" s="184">
        <v>10776.457626666665</v>
      </c>
      <c r="G160" s="22">
        <f t="shared" si="19"/>
        <v>1659.4076266666652</v>
      </c>
      <c r="H160" s="157"/>
      <c r="I160" s="157"/>
    </row>
    <row r="161" spans="1:9" ht="20.100000000000001" customHeight="1">
      <c r="A161" s="168">
        <v>29</v>
      </c>
      <c r="B161" s="133" t="s">
        <v>285</v>
      </c>
      <c r="C161" s="138" t="s">
        <v>283</v>
      </c>
      <c r="D161" s="158" t="s">
        <v>284</v>
      </c>
      <c r="E161" s="22">
        <f>9504.2</f>
        <v>9504.2000000000007</v>
      </c>
      <c r="F161" s="184">
        <v>11232.457626666665</v>
      </c>
      <c r="G161" s="22">
        <f t="shared" si="19"/>
        <v>1728.2576266666638</v>
      </c>
      <c r="H161" s="157"/>
      <c r="I161" s="157"/>
    </row>
    <row r="162" spans="1:9" ht="20.100000000000001" customHeight="1">
      <c r="A162" s="168">
        <v>30</v>
      </c>
      <c r="B162" s="133" t="s">
        <v>286</v>
      </c>
      <c r="C162" s="138" t="s">
        <v>283</v>
      </c>
      <c r="D162" s="158" t="s">
        <v>284</v>
      </c>
      <c r="E162" s="22">
        <f>9144.2</f>
        <v>9144.2000000000007</v>
      </c>
      <c r="F162" s="184">
        <v>10776.457626666665</v>
      </c>
      <c r="G162" s="22">
        <f t="shared" si="19"/>
        <v>1632.2576266666638</v>
      </c>
      <c r="H162" s="157"/>
      <c r="I162" s="157"/>
    </row>
    <row r="163" spans="1:9" ht="20.100000000000001" customHeight="1">
      <c r="A163" s="168">
        <v>31</v>
      </c>
      <c r="B163" s="133" t="s">
        <v>601</v>
      </c>
      <c r="C163" s="138" t="s">
        <v>283</v>
      </c>
      <c r="D163" s="158" t="s">
        <v>284</v>
      </c>
      <c r="E163" s="22">
        <f>9144.2</f>
        <v>9144.2000000000007</v>
      </c>
      <c r="F163" s="184">
        <v>10776.457626666665</v>
      </c>
      <c r="G163" s="22">
        <f t="shared" si="19"/>
        <v>1632.2576266666638</v>
      </c>
      <c r="H163" s="157"/>
      <c r="I163" s="157"/>
    </row>
    <row r="164" spans="1:9" ht="20.100000000000001" customHeight="1">
      <c r="A164" s="168">
        <v>32</v>
      </c>
      <c r="B164" s="133" t="s">
        <v>287</v>
      </c>
      <c r="C164" s="138" t="s">
        <v>283</v>
      </c>
      <c r="D164" s="158" t="s">
        <v>284</v>
      </c>
      <c r="E164" s="22">
        <f>9117.05</f>
        <v>9117.0499999999993</v>
      </c>
      <c r="F164" s="184">
        <v>10743.737199999998</v>
      </c>
      <c r="G164" s="22">
        <f t="shared" si="19"/>
        <v>1626.6871999999985</v>
      </c>
      <c r="H164" s="157"/>
      <c r="I164" s="157"/>
    </row>
    <row r="165" spans="1:9" ht="20.100000000000001" customHeight="1">
      <c r="A165" s="168">
        <v>33</v>
      </c>
      <c r="B165" s="133" t="s">
        <v>288</v>
      </c>
      <c r="C165" s="138" t="s">
        <v>283</v>
      </c>
      <c r="D165" s="158" t="s">
        <v>284</v>
      </c>
      <c r="E165" s="22">
        <f>9144.2</f>
        <v>9144.2000000000007</v>
      </c>
      <c r="F165" s="184">
        <v>10776.457626666665</v>
      </c>
      <c r="G165" s="22">
        <f t="shared" si="19"/>
        <v>1632.2576266666638</v>
      </c>
      <c r="H165" s="157"/>
      <c r="I165" s="157"/>
    </row>
    <row r="166" spans="1:9" ht="20.100000000000001" customHeight="1">
      <c r="A166" s="168">
        <v>34</v>
      </c>
      <c r="B166" s="133" t="s">
        <v>289</v>
      </c>
      <c r="C166" s="138" t="s">
        <v>283</v>
      </c>
      <c r="D166" s="158" t="s">
        <v>290</v>
      </c>
      <c r="E166" s="22">
        <v>9152.6</v>
      </c>
      <c r="F166" s="184">
        <v>9504.2041399999998</v>
      </c>
      <c r="G166" s="22">
        <f t="shared" si="19"/>
        <v>351.60413999999946</v>
      </c>
      <c r="H166" s="157"/>
      <c r="I166" s="157"/>
    </row>
    <row r="167" spans="1:9" ht="20.100000000000001" customHeight="1">
      <c r="A167" s="168">
        <v>35</v>
      </c>
      <c r="B167" s="133" t="s">
        <v>291</v>
      </c>
      <c r="C167" s="138" t="s">
        <v>283</v>
      </c>
      <c r="D167" s="158" t="s">
        <v>290</v>
      </c>
      <c r="E167" s="22">
        <v>8792.6</v>
      </c>
      <c r="F167" s="184">
        <v>9144.2041399999998</v>
      </c>
      <c r="G167" s="22">
        <f t="shared" si="19"/>
        <v>351.60413999999946</v>
      </c>
      <c r="H167" s="157"/>
      <c r="I167" s="157"/>
    </row>
    <row r="168" spans="1:9" ht="20.100000000000001" customHeight="1">
      <c r="A168" s="168">
        <v>36</v>
      </c>
      <c r="B168" s="133" t="s">
        <v>576</v>
      </c>
      <c r="C168" s="138" t="s">
        <v>283</v>
      </c>
      <c r="D168" s="158" t="s">
        <v>290</v>
      </c>
      <c r="E168" s="22">
        <v>8792.6</v>
      </c>
      <c r="F168" s="184">
        <v>9144.2041399999998</v>
      </c>
      <c r="G168" s="22">
        <f t="shared" si="19"/>
        <v>351.60413999999946</v>
      </c>
      <c r="H168" s="157"/>
      <c r="I168" s="157"/>
    </row>
    <row r="169" spans="1:9" ht="20.100000000000001" customHeight="1">
      <c r="A169" s="168">
        <v>37</v>
      </c>
      <c r="B169" s="135" t="s">
        <v>292</v>
      </c>
      <c r="C169" s="138" t="s">
        <v>283</v>
      </c>
      <c r="D169" s="158" t="s">
        <v>290</v>
      </c>
      <c r="E169" s="22">
        <v>9152.6</v>
      </c>
      <c r="F169" s="184">
        <v>9504.2041399999998</v>
      </c>
      <c r="G169" s="22">
        <f t="shared" si="19"/>
        <v>351.60413999999946</v>
      </c>
      <c r="H169" s="157"/>
      <c r="I169" s="157"/>
    </row>
    <row r="170" spans="1:9" ht="20.100000000000001" customHeight="1">
      <c r="A170" s="168">
        <v>38</v>
      </c>
      <c r="B170" s="133" t="s">
        <v>293</v>
      </c>
      <c r="C170" s="138" t="s">
        <v>283</v>
      </c>
      <c r="D170" s="158" t="s">
        <v>290</v>
      </c>
      <c r="E170" s="22">
        <v>8792.6</v>
      </c>
      <c r="F170" s="184">
        <v>9144.2041399999998</v>
      </c>
      <c r="G170" s="22">
        <f t="shared" si="19"/>
        <v>351.60413999999946</v>
      </c>
      <c r="H170" s="157"/>
      <c r="I170" s="157"/>
    </row>
    <row r="171" spans="1:9" ht="20.100000000000001" customHeight="1">
      <c r="A171" s="168">
        <v>39</v>
      </c>
      <c r="B171" s="134" t="s">
        <v>294</v>
      </c>
      <c r="C171" s="138" t="s">
        <v>283</v>
      </c>
      <c r="D171" s="158" t="s">
        <v>290</v>
      </c>
      <c r="E171" s="22">
        <v>8792.6</v>
      </c>
      <c r="F171" s="184">
        <v>9144.2041399999998</v>
      </c>
      <c r="G171" s="22">
        <f t="shared" si="19"/>
        <v>351.60413999999946</v>
      </c>
      <c r="H171" s="157"/>
      <c r="I171" s="157"/>
    </row>
    <row r="172" spans="1:9" ht="20.100000000000001" customHeight="1">
      <c r="A172" s="168">
        <v>40</v>
      </c>
      <c r="B172" s="134" t="s">
        <v>295</v>
      </c>
      <c r="C172" s="138" t="s">
        <v>283</v>
      </c>
      <c r="D172" s="158" t="s">
        <v>290</v>
      </c>
      <c r="E172" s="22">
        <v>9152.6</v>
      </c>
      <c r="F172" s="184">
        <v>9504.2041399999998</v>
      </c>
      <c r="G172" s="22">
        <f t="shared" si="19"/>
        <v>351.60413999999946</v>
      </c>
      <c r="H172" s="157"/>
      <c r="I172" s="157"/>
    </row>
    <row r="173" spans="1:9" ht="20.100000000000001" customHeight="1">
      <c r="A173" s="168">
        <v>41</v>
      </c>
      <c r="B173" s="133" t="s">
        <v>296</v>
      </c>
      <c r="C173" s="138" t="s">
        <v>302</v>
      </c>
      <c r="D173" s="158" t="s">
        <v>400</v>
      </c>
      <c r="E173" s="22">
        <f>4227.52</f>
        <v>4227.5200000000004</v>
      </c>
      <c r="F173" s="184">
        <v>4365.3307546666683</v>
      </c>
      <c r="G173" s="22">
        <f t="shared" si="19"/>
        <v>137.81075466666789</v>
      </c>
      <c r="H173" s="157"/>
      <c r="I173" s="157"/>
    </row>
    <row r="174" spans="1:9" ht="20.100000000000001" customHeight="1">
      <c r="A174" s="168">
        <v>42</v>
      </c>
      <c r="B174" s="133" t="s">
        <v>299</v>
      </c>
      <c r="C174" s="138" t="s">
        <v>302</v>
      </c>
      <c r="D174" s="158" t="s">
        <v>400</v>
      </c>
      <c r="E174" s="22">
        <f>4227.52</f>
        <v>4227.5200000000004</v>
      </c>
      <c r="F174" s="184">
        <v>4365.3307546666683</v>
      </c>
      <c r="G174" s="22">
        <f t="shared" si="19"/>
        <v>137.81075466666789</v>
      </c>
      <c r="H174" s="157"/>
      <c r="I174" s="157"/>
    </row>
    <row r="175" spans="1:9" ht="20.100000000000001" customHeight="1">
      <c r="A175" s="168">
        <v>43</v>
      </c>
      <c r="B175" s="134" t="s">
        <v>300</v>
      </c>
      <c r="C175" s="138" t="s">
        <v>302</v>
      </c>
      <c r="D175" s="158" t="s">
        <v>401</v>
      </c>
      <c r="E175" s="22">
        <f>4365.33</f>
        <v>4365.33</v>
      </c>
      <c r="F175" s="184">
        <v>4504.4109199999994</v>
      </c>
      <c r="G175" s="22">
        <f t="shared" si="19"/>
        <v>139.08091999999942</v>
      </c>
      <c r="H175" s="157"/>
      <c r="I175" s="157"/>
    </row>
    <row r="176" spans="1:9" ht="20.100000000000001" customHeight="1">
      <c r="A176" s="168">
        <v>44</v>
      </c>
      <c r="B176" s="133" t="s">
        <v>301</v>
      </c>
      <c r="C176" s="138" t="s">
        <v>302</v>
      </c>
      <c r="D176" s="158" t="s">
        <v>303</v>
      </c>
      <c r="E176" s="22">
        <f>4089.72</f>
        <v>4089.72</v>
      </c>
      <c r="F176" s="184">
        <v>4227.5237226666677</v>
      </c>
      <c r="G176" s="22">
        <f t="shared" si="19"/>
        <v>137.80372266666791</v>
      </c>
      <c r="H176" s="157"/>
      <c r="I176" s="157"/>
    </row>
    <row r="177" spans="1:9" ht="20.100000000000001" customHeight="1">
      <c r="A177" s="168">
        <v>45</v>
      </c>
      <c r="B177" s="133" t="s">
        <v>304</v>
      </c>
      <c r="C177" s="138" t="s">
        <v>305</v>
      </c>
      <c r="D177" s="158" t="s">
        <v>306</v>
      </c>
      <c r="E177" s="22">
        <f>3951.8</f>
        <v>3951.8</v>
      </c>
      <c r="F177" s="184">
        <v>4089.716690666668</v>
      </c>
      <c r="G177" s="22">
        <f t="shared" si="19"/>
        <v>137.91669066666782</v>
      </c>
      <c r="H177" s="157"/>
      <c r="I177" s="157"/>
    </row>
    <row r="178" spans="1:9" ht="20.100000000000001" customHeight="1">
      <c r="A178" s="168">
        <v>46</v>
      </c>
      <c r="B178" s="133" t="s">
        <v>307</v>
      </c>
      <c r="C178" s="138" t="s">
        <v>305</v>
      </c>
      <c r="D178" s="158" t="s">
        <v>306</v>
      </c>
      <c r="E178" s="22">
        <f>3687.8</f>
        <v>3687.8</v>
      </c>
      <c r="F178" s="184">
        <v>3825.716690666668</v>
      </c>
      <c r="G178" s="22">
        <f t="shared" si="19"/>
        <v>137.91669066666782</v>
      </c>
      <c r="H178" s="157"/>
      <c r="I178" s="157"/>
    </row>
    <row r="179" spans="1:9" ht="20.100000000000001" customHeight="1">
      <c r="A179" s="168">
        <v>47</v>
      </c>
      <c r="B179" s="133" t="s">
        <v>308</v>
      </c>
      <c r="C179" s="138" t="s">
        <v>305</v>
      </c>
      <c r="D179" s="158" t="s">
        <v>306</v>
      </c>
      <c r="E179" s="22">
        <f>3951.8</f>
        <v>3951.8</v>
      </c>
      <c r="F179" s="184">
        <v>4089.716690666668</v>
      </c>
      <c r="G179" s="22">
        <f t="shared" si="19"/>
        <v>137.91669066666782</v>
      </c>
      <c r="H179" s="157"/>
      <c r="I179" s="157"/>
    </row>
    <row r="180" spans="1:9" ht="20.100000000000001" customHeight="1">
      <c r="A180" s="168">
        <v>48</v>
      </c>
      <c r="B180" s="133" t="s">
        <v>309</v>
      </c>
      <c r="C180" s="138" t="s">
        <v>305</v>
      </c>
      <c r="D180" s="158" t="s">
        <v>306</v>
      </c>
      <c r="E180" s="22">
        <f>3687.8</f>
        <v>3687.8</v>
      </c>
      <c r="F180" s="184">
        <v>3825.716690666668</v>
      </c>
      <c r="G180" s="22">
        <f t="shared" si="19"/>
        <v>137.91669066666782</v>
      </c>
      <c r="H180" s="157"/>
      <c r="I180" s="157"/>
    </row>
    <row r="181" spans="1:9" ht="20.100000000000001" customHeight="1">
      <c r="A181" s="168">
        <v>49</v>
      </c>
      <c r="B181" s="133" t="s">
        <v>310</v>
      </c>
      <c r="C181" s="138" t="s">
        <v>305</v>
      </c>
      <c r="D181" s="158" t="s">
        <v>306</v>
      </c>
      <c r="E181" s="22">
        <f>3951.8</f>
        <v>3951.8</v>
      </c>
      <c r="F181" s="184">
        <v>4089.716690666668</v>
      </c>
      <c r="G181" s="22">
        <f t="shared" si="19"/>
        <v>137.91669066666782</v>
      </c>
      <c r="H181" s="157"/>
      <c r="I181" s="157"/>
    </row>
    <row r="182" spans="1:9" ht="20.100000000000001" customHeight="1">
      <c r="A182" s="168">
        <v>50</v>
      </c>
      <c r="B182" s="134" t="s">
        <v>311</v>
      </c>
      <c r="C182" s="138" t="s">
        <v>305</v>
      </c>
      <c r="D182" s="158" t="s">
        <v>306</v>
      </c>
      <c r="E182" s="22">
        <f>3687.8</f>
        <v>3687.8</v>
      </c>
      <c r="F182" s="184">
        <v>3825.716690666668</v>
      </c>
      <c r="G182" s="22">
        <f t="shared" si="19"/>
        <v>137.91669066666782</v>
      </c>
      <c r="H182" s="157"/>
      <c r="I182" s="157"/>
    </row>
    <row r="183" spans="1:9" ht="20.100000000000001" customHeight="1">
      <c r="A183" s="168">
        <v>51</v>
      </c>
      <c r="B183" s="134" t="s">
        <v>312</v>
      </c>
      <c r="C183" s="138" t="s">
        <v>305</v>
      </c>
      <c r="D183" s="158" t="s">
        <v>306</v>
      </c>
      <c r="E183" s="22">
        <f>3951.8</f>
        <v>3951.8</v>
      </c>
      <c r="F183" s="184">
        <v>4089.716690666668</v>
      </c>
      <c r="G183" s="22">
        <f t="shared" si="19"/>
        <v>137.91669066666782</v>
      </c>
      <c r="H183" s="157"/>
      <c r="I183" s="157"/>
    </row>
    <row r="184" spans="1:9" ht="20.100000000000001" customHeight="1">
      <c r="A184" s="168">
        <v>52</v>
      </c>
      <c r="B184" s="133" t="s">
        <v>313</v>
      </c>
      <c r="C184" s="138" t="s">
        <v>302</v>
      </c>
      <c r="D184" s="158" t="s">
        <v>306</v>
      </c>
      <c r="E184" s="22">
        <f>3951.8</f>
        <v>3951.8</v>
      </c>
      <c r="F184" s="184">
        <v>4089.716690666668</v>
      </c>
      <c r="G184" s="22">
        <f t="shared" si="19"/>
        <v>137.91669066666782</v>
      </c>
      <c r="H184" s="157"/>
      <c r="I184" s="157"/>
    </row>
    <row r="185" spans="1:9" ht="20.100000000000001" customHeight="1">
      <c r="A185" s="168">
        <v>53</v>
      </c>
      <c r="B185" s="133" t="s">
        <v>314</v>
      </c>
      <c r="C185" s="138" t="s">
        <v>302</v>
      </c>
      <c r="D185" s="158" t="s">
        <v>306</v>
      </c>
      <c r="E185" s="22">
        <f>3951.8</f>
        <v>3951.8</v>
      </c>
      <c r="F185" s="184">
        <v>4089.716690666668</v>
      </c>
      <c r="G185" s="22">
        <f t="shared" si="19"/>
        <v>137.91669066666782</v>
      </c>
      <c r="H185" s="157"/>
      <c r="I185" s="157"/>
    </row>
    <row r="186" spans="1:9" ht="20.100000000000001" customHeight="1">
      <c r="A186" s="168">
        <v>54</v>
      </c>
      <c r="B186" s="134" t="s">
        <v>315</v>
      </c>
      <c r="C186" s="138" t="s">
        <v>305</v>
      </c>
      <c r="D186" s="158" t="s">
        <v>420</v>
      </c>
      <c r="E186" s="22">
        <f>3183.66</f>
        <v>3183.66</v>
      </c>
      <c r="F186" s="184">
        <v>3064.8720786666654</v>
      </c>
      <c r="G186" s="22">
        <f t="shared" si="19"/>
        <v>-118.78792133333445</v>
      </c>
      <c r="H186" s="157"/>
      <c r="I186" s="157"/>
    </row>
    <row r="187" spans="1:9" ht="20.100000000000001" customHeight="1">
      <c r="A187" s="168">
        <v>55</v>
      </c>
      <c r="B187" s="134" t="s">
        <v>318</v>
      </c>
      <c r="C187" s="138" t="s">
        <v>305</v>
      </c>
      <c r="D187" s="158" t="s">
        <v>319</v>
      </c>
      <c r="E187" s="22">
        <f>2972.91</f>
        <v>2972.91</v>
      </c>
      <c r="F187" s="184">
        <v>3091.5368486666671</v>
      </c>
      <c r="G187" s="22">
        <f t="shared" si="19"/>
        <v>118.62684866666723</v>
      </c>
      <c r="H187" s="157"/>
      <c r="I187" s="157"/>
    </row>
    <row r="188" spans="1:9" ht="20.100000000000001" customHeight="1">
      <c r="A188" s="168"/>
      <c r="B188" s="154" t="s">
        <v>91</v>
      </c>
      <c r="C188" s="170" t="s">
        <v>577</v>
      </c>
      <c r="D188" s="21"/>
      <c r="E188" s="65" t="e">
        <f>SUM(E133:E187)</f>
        <v>#REF!</v>
      </c>
      <c r="F188" s="65">
        <f t="shared" ref="F188:G188" si="21">SUM(F133:F187)</f>
        <v>1181488.189256001</v>
      </c>
      <c r="G188" s="65" t="e">
        <f t="shared" si="21"/>
        <v>#REF!</v>
      </c>
      <c r="H188" s="157"/>
      <c r="I188" s="157"/>
    </row>
    <row r="189" spans="1:9" ht="20.100000000000001" customHeight="1">
      <c r="A189" s="19"/>
      <c r="B189" s="171" t="s">
        <v>330</v>
      </c>
      <c r="C189" s="172">
        <f>C37+C42+C57+C61+C77+C85+C99+C106+C116+C130+C188+2</f>
        <v>154</v>
      </c>
      <c r="D189" s="173"/>
      <c r="E189" s="174" t="e">
        <f>E37+E42+E57+E61+E77+E85+E99+E106+E116+E130+E188</f>
        <v>#REF!</v>
      </c>
      <c r="F189" s="174">
        <f t="shared" ref="F189:G189" si="22">F37+F42+F57+F61+F77+F85+F99+F106+F116+F130+F188</f>
        <v>7135974.5583150014</v>
      </c>
      <c r="G189" s="174" t="e">
        <f t="shared" si="22"/>
        <v>#REF!</v>
      </c>
      <c r="H189" s="157"/>
      <c r="I189" s="157"/>
    </row>
    <row r="190" spans="1:9" ht="20.100000000000001" customHeight="1">
      <c r="B190" s="175"/>
      <c r="D190" s="176"/>
      <c r="E190" s="178"/>
      <c r="F190" s="178"/>
      <c r="G190" s="178"/>
      <c r="I190" s="179"/>
    </row>
    <row r="191" spans="1:9" ht="65.25" customHeight="1">
      <c r="B191" s="175"/>
      <c r="C191" s="176"/>
      <c r="D191" s="176"/>
      <c r="E191" s="178"/>
      <c r="F191" s="178"/>
      <c r="G191" s="178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91"/>
  <sheetViews>
    <sheetView view="pageBreakPreview" zoomScaleNormal="100" zoomScaleSheetLayoutView="100" workbookViewId="0">
      <pane xSplit="3" ySplit="6" topLeftCell="D188" activePane="bottomRight" state="frozen"/>
      <selection pane="bottomRight" activeCell="D191" sqref="D19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41" customWidth="1"/>
    <col min="2" max="2" width="43.85546875" style="141" customWidth="1"/>
    <col min="3" max="3" width="40.42578125" style="141" customWidth="1"/>
    <col min="4" max="4" width="11.5703125" style="141" customWidth="1"/>
    <col min="5" max="5" width="17.85546875" style="141" customWidth="1"/>
    <col min="6" max="7" width="14.85546875" style="141" customWidth="1"/>
    <col min="8" max="8" width="17.7109375" style="141" customWidth="1"/>
    <col min="9" max="9" width="21.7109375" style="141" customWidth="1"/>
    <col min="10" max="16384" width="9.140625" style="141"/>
  </cols>
  <sheetData>
    <row r="1" spans="1:9" ht="27" customHeight="1">
      <c r="A1" s="393" t="s">
        <v>0</v>
      </c>
      <c r="B1" s="393"/>
      <c r="C1" s="393"/>
      <c r="D1" s="393"/>
      <c r="E1" s="393"/>
    </row>
    <row r="2" spans="1:9" ht="33.75" customHeight="1">
      <c r="A2" s="142" t="s">
        <v>581</v>
      </c>
      <c r="B2" s="143"/>
      <c r="C2" s="142"/>
      <c r="D2" s="142"/>
      <c r="E2" s="144"/>
      <c r="F2" s="146"/>
      <c r="G2" s="146"/>
      <c r="H2" s="146"/>
    </row>
    <row r="3" spans="1:9" ht="9.75" customHeight="1">
      <c r="E3" s="140" t="e">
        <f>'[1]FEB 08'!E11/'[1]FEB 08'!M11</f>
        <v>#REF!</v>
      </c>
    </row>
    <row r="4" spans="1:9" ht="45" customHeight="1">
      <c r="A4" s="19"/>
      <c r="B4" s="147" t="s">
        <v>2</v>
      </c>
      <c r="C4" s="148" t="s">
        <v>3</v>
      </c>
      <c r="D4" s="149" t="s">
        <v>4</v>
      </c>
      <c r="E4" s="150" t="s">
        <v>5</v>
      </c>
      <c r="F4" s="150" t="s">
        <v>602</v>
      </c>
      <c r="G4" s="150" t="s">
        <v>603</v>
      </c>
      <c r="H4" s="151" t="s">
        <v>604</v>
      </c>
    </row>
    <row r="5" spans="1:9" ht="20.100000000000001" customHeight="1">
      <c r="A5" s="153" t="s">
        <v>26</v>
      </c>
      <c r="B5" s="154" t="s">
        <v>27</v>
      </c>
      <c r="C5" s="154"/>
      <c r="D5" s="154"/>
      <c r="E5" s="155" t="s">
        <v>25</v>
      </c>
      <c r="F5" s="155" t="s">
        <v>25</v>
      </c>
      <c r="G5" s="155" t="s">
        <v>25</v>
      </c>
      <c r="H5" s="155" t="s">
        <v>25</v>
      </c>
    </row>
    <row r="6" spans="1:9" ht="20.100000000000001" customHeight="1">
      <c r="A6" s="27">
        <v>1</v>
      </c>
      <c r="B6" s="133" t="s">
        <v>28</v>
      </c>
      <c r="C6" s="138" t="s">
        <v>29</v>
      </c>
      <c r="D6" s="138" t="s">
        <v>30</v>
      </c>
      <c r="E6" s="22">
        <v>160488.75</v>
      </c>
      <c r="F6" s="22"/>
      <c r="G6" s="22"/>
      <c r="H6" s="22"/>
      <c r="I6" s="157"/>
    </row>
    <row r="7" spans="1:9" ht="20.100000000000001" customHeight="1">
      <c r="A7" s="27">
        <v>2</v>
      </c>
      <c r="B7" s="133" t="s">
        <v>464</v>
      </c>
      <c r="C7" s="19" t="s">
        <v>561</v>
      </c>
      <c r="D7" s="27" t="s">
        <v>233</v>
      </c>
      <c r="E7" s="24">
        <f>42653.17</f>
        <v>42653.17</v>
      </c>
      <c r="F7" s="22">
        <f>0.025*E7</f>
        <v>1066.32925</v>
      </c>
      <c r="G7" s="22">
        <f>'[10]April 2022'!$H$26</f>
        <v>1028.9422500000001</v>
      </c>
      <c r="H7" s="24">
        <f>F7-G7</f>
        <v>37.386999999999944</v>
      </c>
      <c r="I7" s="157"/>
    </row>
    <row r="8" spans="1:9" ht="20.100000000000001" customHeight="1">
      <c r="A8" s="27">
        <v>3</v>
      </c>
      <c r="B8" s="135" t="s">
        <v>562</v>
      </c>
      <c r="C8" s="19" t="s">
        <v>563</v>
      </c>
      <c r="D8" s="27" t="s">
        <v>233</v>
      </c>
      <c r="E8" s="22">
        <f>42653.17</f>
        <v>42653.17</v>
      </c>
      <c r="F8" s="22"/>
      <c r="G8" s="22"/>
      <c r="H8" s="24">
        <f t="shared" ref="H8:H71" si="0">F8-G8</f>
        <v>0</v>
      </c>
      <c r="I8" s="157"/>
    </row>
    <row r="9" spans="1:9" ht="20.100000000000001" customHeight="1">
      <c r="A9" s="27">
        <v>4</v>
      </c>
      <c r="B9" s="133" t="s">
        <v>31</v>
      </c>
      <c r="C9" s="138" t="s">
        <v>32</v>
      </c>
      <c r="D9" s="27" t="s">
        <v>33</v>
      </c>
      <c r="E9" s="22">
        <f>42653.17</f>
        <v>42653.17</v>
      </c>
      <c r="F9" s="22"/>
      <c r="G9" s="22"/>
      <c r="H9" s="24">
        <f t="shared" si="0"/>
        <v>0</v>
      </c>
      <c r="I9" s="157"/>
    </row>
    <row r="10" spans="1:9" ht="20.100000000000001" customHeight="1">
      <c r="A10" s="27">
        <v>5</v>
      </c>
      <c r="B10" s="135" t="s">
        <v>34</v>
      </c>
      <c r="C10" s="19" t="s">
        <v>35</v>
      </c>
      <c r="D10" s="158" t="s">
        <v>36</v>
      </c>
      <c r="E10" s="24">
        <v>41157.69</v>
      </c>
      <c r="F10" s="22"/>
      <c r="G10" s="22"/>
      <c r="H10" s="24">
        <f t="shared" si="0"/>
        <v>0</v>
      </c>
      <c r="I10" s="157"/>
    </row>
    <row r="11" spans="1:9" ht="20.100000000000001" customHeight="1">
      <c r="A11" s="27">
        <v>6</v>
      </c>
      <c r="B11" s="135" t="s">
        <v>179</v>
      </c>
      <c r="C11" s="19" t="s">
        <v>466</v>
      </c>
      <c r="D11" s="23" t="s">
        <v>36</v>
      </c>
      <c r="E11" s="24">
        <f>41157.69</f>
        <v>41157.69</v>
      </c>
      <c r="F11" s="22">
        <f>0.025*E11</f>
        <v>1028.9422500000001</v>
      </c>
      <c r="G11" s="22">
        <f>G7</f>
        <v>1028.9422500000001</v>
      </c>
      <c r="H11" s="24">
        <f t="shared" si="0"/>
        <v>0</v>
      </c>
      <c r="I11" s="157"/>
    </row>
    <row r="12" spans="1:9" ht="20.100000000000001" customHeight="1">
      <c r="A12" s="27">
        <v>7</v>
      </c>
      <c r="B12" s="133" t="s">
        <v>37</v>
      </c>
      <c r="C12" s="92" t="s">
        <v>38</v>
      </c>
      <c r="D12" s="23" t="s">
        <v>36</v>
      </c>
      <c r="E12" s="24">
        <f t="shared" ref="E12:E13" si="1">41157.69</f>
        <v>41157.69</v>
      </c>
      <c r="F12" s="22">
        <f>0.025*E12</f>
        <v>1028.9422500000001</v>
      </c>
      <c r="G12" s="24">
        <f>1028.94</f>
        <v>1028.94</v>
      </c>
      <c r="H12" s="24">
        <f t="shared" si="0"/>
        <v>2.250000000003638E-3</v>
      </c>
      <c r="I12" s="157"/>
    </row>
    <row r="13" spans="1:9" ht="20.100000000000001" customHeight="1">
      <c r="A13" s="27">
        <v>8</v>
      </c>
      <c r="B13" s="135" t="s">
        <v>39</v>
      </c>
      <c r="C13" s="19" t="s">
        <v>40</v>
      </c>
      <c r="D13" s="23" t="s">
        <v>36</v>
      </c>
      <c r="E13" s="24">
        <f t="shared" si="1"/>
        <v>41157.69</v>
      </c>
      <c r="F13" s="22">
        <f>0.025*E13</f>
        <v>1028.9422500000001</v>
      </c>
      <c r="G13" s="22">
        <f>1028.94</f>
        <v>1028.94</v>
      </c>
      <c r="H13" s="24">
        <f t="shared" si="0"/>
        <v>2.250000000003638E-3</v>
      </c>
      <c r="I13" s="157"/>
    </row>
    <row r="14" spans="1:9" ht="20.100000000000001" customHeight="1">
      <c r="A14" s="27">
        <v>9</v>
      </c>
      <c r="B14" s="133" t="s">
        <v>43</v>
      </c>
      <c r="C14" s="138" t="s">
        <v>44</v>
      </c>
      <c r="D14" s="158" t="s">
        <v>45</v>
      </c>
      <c r="E14" s="24">
        <v>33507.5</v>
      </c>
      <c r="F14" s="22">
        <f>0.025*E14</f>
        <v>837.6875</v>
      </c>
      <c r="G14" s="22">
        <f>'[10]April 2022'!$H$28</f>
        <v>837.6875</v>
      </c>
      <c r="H14" s="24">
        <f t="shared" si="0"/>
        <v>0</v>
      </c>
      <c r="I14" s="157"/>
    </row>
    <row r="15" spans="1:9" ht="20.100000000000001" customHeight="1">
      <c r="A15" s="27">
        <v>10</v>
      </c>
      <c r="B15" s="134" t="s">
        <v>151</v>
      </c>
      <c r="C15" s="138" t="s">
        <v>152</v>
      </c>
      <c r="D15" s="27" t="s">
        <v>127</v>
      </c>
      <c r="E15" s="22">
        <v>32263.200000000001</v>
      </c>
      <c r="F15" s="22"/>
      <c r="G15" s="22"/>
      <c r="H15" s="24">
        <f t="shared" si="0"/>
        <v>0</v>
      </c>
      <c r="I15" s="157"/>
    </row>
    <row r="16" spans="1:9" ht="20.100000000000001" customHeight="1">
      <c r="A16" s="27">
        <v>11</v>
      </c>
      <c r="B16" s="137" t="s">
        <v>564</v>
      </c>
      <c r="C16" s="19" t="s">
        <v>565</v>
      </c>
      <c r="D16" s="23" t="s">
        <v>51</v>
      </c>
      <c r="E16" s="24">
        <v>27611.23</v>
      </c>
      <c r="F16" s="22">
        <v>0</v>
      </c>
      <c r="G16" s="22">
        <v>0</v>
      </c>
      <c r="H16" s="24">
        <f t="shared" si="0"/>
        <v>0</v>
      </c>
      <c r="I16" s="157"/>
    </row>
    <row r="17" spans="1:9" ht="19.5" customHeight="1">
      <c r="A17" s="27">
        <v>12</v>
      </c>
      <c r="B17" s="135" t="s">
        <v>467</v>
      </c>
      <c r="C17" s="19" t="s">
        <v>50</v>
      </c>
      <c r="D17" s="27" t="s">
        <v>51</v>
      </c>
      <c r="E17" s="24">
        <v>27611.23</v>
      </c>
      <c r="F17" s="22">
        <f>0.025*E17</f>
        <v>690.28075000000001</v>
      </c>
      <c r="G17" s="22">
        <f>'[10]April 2022'!$H$27</f>
        <v>668.31625000000008</v>
      </c>
      <c r="H17" s="24">
        <f t="shared" si="0"/>
        <v>21.96449999999993</v>
      </c>
      <c r="I17" s="157"/>
    </row>
    <row r="18" spans="1:9" ht="19.5" customHeight="1">
      <c r="A18" s="27">
        <v>13</v>
      </c>
      <c r="B18" s="135" t="s">
        <v>566</v>
      </c>
      <c r="C18" s="19" t="s">
        <v>567</v>
      </c>
      <c r="D18" s="27" t="s">
        <v>51</v>
      </c>
      <c r="E18" s="24">
        <v>27611.23</v>
      </c>
      <c r="F18" s="22"/>
      <c r="G18" s="22"/>
      <c r="H18" s="24">
        <f t="shared" si="0"/>
        <v>0</v>
      </c>
      <c r="I18" s="157"/>
    </row>
    <row r="19" spans="1:9" ht="20.100000000000001" customHeight="1">
      <c r="A19" s="27">
        <v>14</v>
      </c>
      <c r="B19" s="133" t="s">
        <v>49</v>
      </c>
      <c r="C19" s="19" t="s">
        <v>50</v>
      </c>
      <c r="D19" s="158" t="s">
        <v>51</v>
      </c>
      <c r="E19" s="24">
        <v>27611.23</v>
      </c>
      <c r="F19" s="22"/>
      <c r="G19" s="22"/>
      <c r="H19" s="24">
        <f t="shared" si="0"/>
        <v>0</v>
      </c>
      <c r="I19" s="157"/>
    </row>
    <row r="20" spans="1:9" ht="20.100000000000001" customHeight="1">
      <c r="A20" s="27">
        <v>15</v>
      </c>
      <c r="B20" s="133" t="s">
        <v>58</v>
      </c>
      <c r="C20" s="138" t="s">
        <v>59</v>
      </c>
      <c r="D20" s="158" t="s">
        <v>60</v>
      </c>
      <c r="E20" s="24">
        <v>24741.26</v>
      </c>
      <c r="F20" s="22"/>
      <c r="G20" s="22"/>
      <c r="H20" s="24">
        <f t="shared" si="0"/>
        <v>0</v>
      </c>
      <c r="I20" s="157"/>
    </row>
    <row r="21" spans="1:9" ht="20.100000000000001" customHeight="1">
      <c r="A21" s="27">
        <v>16</v>
      </c>
      <c r="B21" s="134" t="s">
        <v>61</v>
      </c>
      <c r="C21" s="19" t="s">
        <v>62</v>
      </c>
      <c r="D21" s="158" t="s">
        <v>63</v>
      </c>
      <c r="E21" s="24">
        <f>23891.12</f>
        <v>23891.119999999999</v>
      </c>
      <c r="F21" s="24">
        <f>0.025*E21</f>
        <v>597.27800000000002</v>
      </c>
      <c r="G21" s="24">
        <f>'[10]April 2022'!$H$52</f>
        <v>576.87475000000006</v>
      </c>
      <c r="H21" s="24">
        <f t="shared" si="0"/>
        <v>20.403249999999957</v>
      </c>
      <c r="I21" s="157"/>
    </row>
    <row r="22" spans="1:9" ht="20.100000000000001" customHeight="1">
      <c r="A22" s="27">
        <v>17</v>
      </c>
      <c r="B22" s="133" t="s">
        <v>206</v>
      </c>
      <c r="C22" s="138" t="s">
        <v>207</v>
      </c>
      <c r="D22" s="158" t="s">
        <v>203</v>
      </c>
      <c r="E22" s="24">
        <f>22837.82</f>
        <v>22837.82</v>
      </c>
      <c r="F22" s="24">
        <f>0.025*E22</f>
        <v>570.94550000000004</v>
      </c>
      <c r="G22" s="22">
        <f>'[10]April 2022'!$H$45</f>
        <v>538.02200000000005</v>
      </c>
      <c r="H22" s="24">
        <f t="shared" si="0"/>
        <v>32.92349999999999</v>
      </c>
      <c r="I22" s="157"/>
    </row>
    <row r="23" spans="1:9" ht="18.75" customHeight="1">
      <c r="A23" s="27">
        <v>18</v>
      </c>
      <c r="B23" s="133" t="s">
        <v>64</v>
      </c>
      <c r="C23" s="138" t="s">
        <v>65</v>
      </c>
      <c r="D23" s="158" t="s">
        <v>66</v>
      </c>
      <c r="E23" s="24">
        <v>21520.880000000001</v>
      </c>
      <c r="F23" s="22"/>
      <c r="G23" s="22"/>
      <c r="H23" s="24">
        <f t="shared" si="0"/>
        <v>0</v>
      </c>
      <c r="I23" s="157"/>
    </row>
    <row r="24" spans="1:9" ht="18.75" customHeight="1">
      <c r="A24" s="27">
        <v>19</v>
      </c>
      <c r="B24" s="133" t="s">
        <v>204</v>
      </c>
      <c r="C24" s="19" t="s">
        <v>205</v>
      </c>
      <c r="D24" s="158" t="s">
        <v>66</v>
      </c>
      <c r="E24" s="24">
        <v>21520.880000000001</v>
      </c>
      <c r="F24" s="22"/>
      <c r="G24" s="22"/>
      <c r="H24" s="24">
        <f t="shared" si="0"/>
        <v>0</v>
      </c>
      <c r="I24" s="157"/>
    </row>
    <row r="25" spans="1:9" ht="18.75" customHeight="1">
      <c r="A25" s="27">
        <v>20</v>
      </c>
      <c r="B25" s="134" t="s">
        <v>252</v>
      </c>
      <c r="C25" s="19" t="s">
        <v>584</v>
      </c>
      <c r="D25" s="158" t="s">
        <v>419</v>
      </c>
      <c r="E25" s="24">
        <f>18779.3</f>
        <v>18779.3</v>
      </c>
      <c r="F25" s="22">
        <f>0</f>
        <v>0</v>
      </c>
      <c r="G25" s="22">
        <f>0</f>
        <v>0</v>
      </c>
      <c r="H25" s="24">
        <f t="shared" si="0"/>
        <v>0</v>
      </c>
      <c r="I25" s="157"/>
    </row>
    <row r="26" spans="1:9" ht="18.75" customHeight="1">
      <c r="A26" s="27">
        <v>21</v>
      </c>
      <c r="B26" s="134" t="s">
        <v>568</v>
      </c>
      <c r="C26" s="138" t="s">
        <v>88</v>
      </c>
      <c r="D26" s="158" t="s">
        <v>257</v>
      </c>
      <c r="E26" s="24">
        <v>18281.64</v>
      </c>
      <c r="F26" s="24"/>
      <c r="G26" s="24"/>
      <c r="H26" s="24">
        <f t="shared" si="0"/>
        <v>0</v>
      </c>
      <c r="I26" s="157"/>
    </row>
    <row r="27" spans="1:9" ht="18.75" customHeight="1">
      <c r="A27" s="27">
        <v>22</v>
      </c>
      <c r="B27" s="19" t="s">
        <v>73</v>
      </c>
      <c r="C27" s="19" t="s">
        <v>74</v>
      </c>
      <c r="D27" s="27" t="s">
        <v>75</v>
      </c>
      <c r="E27" s="182">
        <v>14736.14</v>
      </c>
      <c r="F27" s="22"/>
      <c r="G27" s="22"/>
      <c r="H27" s="24">
        <f t="shared" si="0"/>
        <v>0</v>
      </c>
      <c r="I27" s="157"/>
    </row>
    <row r="28" spans="1:9" ht="18.75" customHeight="1">
      <c r="A28" s="27">
        <v>23</v>
      </c>
      <c r="B28" s="134" t="s">
        <v>76</v>
      </c>
      <c r="C28" s="138" t="s">
        <v>74</v>
      </c>
      <c r="D28" s="158" t="s">
        <v>75</v>
      </c>
      <c r="E28" s="24">
        <f t="shared" ref="E28:E29" si="2">15188.67</f>
        <v>15188.67</v>
      </c>
      <c r="F28" s="22"/>
      <c r="G28" s="22"/>
      <c r="H28" s="24">
        <f t="shared" si="0"/>
        <v>0</v>
      </c>
      <c r="I28" s="157"/>
    </row>
    <row r="29" spans="1:9" ht="18.75" customHeight="1">
      <c r="A29" s="27">
        <v>24</v>
      </c>
      <c r="B29" s="133" t="s">
        <v>468</v>
      </c>
      <c r="C29" s="138" t="s">
        <v>469</v>
      </c>
      <c r="D29" s="158" t="s">
        <v>75</v>
      </c>
      <c r="E29" s="24">
        <f t="shared" si="2"/>
        <v>15188.67</v>
      </c>
      <c r="F29" s="22"/>
      <c r="G29" s="22"/>
      <c r="H29" s="24">
        <f t="shared" si="0"/>
        <v>0</v>
      </c>
      <c r="I29" s="157"/>
    </row>
    <row r="30" spans="1:9" ht="18.75" customHeight="1">
      <c r="A30" s="27">
        <v>25</v>
      </c>
      <c r="B30" s="134" t="s">
        <v>77</v>
      </c>
      <c r="C30" s="138" t="s">
        <v>412</v>
      </c>
      <c r="D30" s="158" t="s">
        <v>585</v>
      </c>
      <c r="E30" s="156">
        <v>13492.21</v>
      </c>
      <c r="F30" s="22"/>
      <c r="G30" s="22"/>
      <c r="H30" s="24">
        <f t="shared" si="0"/>
        <v>0</v>
      </c>
      <c r="I30" s="157"/>
    </row>
    <row r="31" spans="1:9" ht="18.75" customHeight="1">
      <c r="A31" s="27">
        <v>26</v>
      </c>
      <c r="B31" s="133" t="s">
        <v>185</v>
      </c>
      <c r="C31" s="92" t="s">
        <v>586</v>
      </c>
      <c r="D31" s="158" t="s">
        <v>199</v>
      </c>
      <c r="E31" s="24">
        <v>13492.21</v>
      </c>
      <c r="F31" s="22"/>
      <c r="G31" s="22"/>
      <c r="H31" s="24">
        <f t="shared" si="0"/>
        <v>0</v>
      </c>
      <c r="I31" s="157"/>
    </row>
    <row r="32" spans="1:9" ht="18.75" customHeight="1">
      <c r="A32" s="27">
        <v>27</v>
      </c>
      <c r="B32" s="134" t="s">
        <v>80</v>
      </c>
      <c r="C32" s="19" t="s">
        <v>470</v>
      </c>
      <c r="D32" s="27" t="s">
        <v>199</v>
      </c>
      <c r="E32" s="24">
        <v>13492.21</v>
      </c>
      <c r="F32" s="22"/>
      <c r="G32" s="22"/>
      <c r="H32" s="24">
        <f t="shared" si="0"/>
        <v>0</v>
      </c>
      <c r="I32" s="157"/>
    </row>
    <row r="33" spans="1:9" ht="18.75" customHeight="1">
      <c r="A33" s="27">
        <v>28</v>
      </c>
      <c r="B33" s="134" t="s">
        <v>82</v>
      </c>
      <c r="C33" s="92" t="s">
        <v>83</v>
      </c>
      <c r="D33" s="158" t="s">
        <v>75</v>
      </c>
      <c r="E33" s="24">
        <v>15188.67</v>
      </c>
      <c r="F33" s="22">
        <f>0</f>
        <v>0</v>
      </c>
      <c r="G33" s="22">
        <f>0</f>
        <v>0</v>
      </c>
      <c r="H33" s="24">
        <f t="shared" si="0"/>
        <v>0</v>
      </c>
      <c r="I33" s="157"/>
    </row>
    <row r="34" spans="1:9" ht="18.75" customHeight="1">
      <c r="A34" s="27">
        <v>29</v>
      </c>
      <c r="B34" s="134" t="s">
        <v>84</v>
      </c>
      <c r="C34" s="19" t="s">
        <v>587</v>
      </c>
      <c r="D34" s="27" t="s">
        <v>86</v>
      </c>
      <c r="E34" s="24">
        <f>12732</f>
        <v>12732</v>
      </c>
      <c r="F34" s="22"/>
      <c r="G34" s="22"/>
      <c r="H34" s="24">
        <f t="shared" si="0"/>
        <v>0</v>
      </c>
      <c r="I34" s="157"/>
    </row>
    <row r="35" spans="1:9" ht="18.75" customHeight="1">
      <c r="A35" s="27">
        <v>30</v>
      </c>
      <c r="B35" s="134" t="s">
        <v>87</v>
      </c>
      <c r="C35" s="138" t="s">
        <v>88</v>
      </c>
      <c r="D35" s="158" t="s">
        <v>86</v>
      </c>
      <c r="E35" s="24">
        <f>12732</f>
        <v>12732</v>
      </c>
      <c r="F35" s="22"/>
      <c r="G35" s="22"/>
      <c r="H35" s="24">
        <f t="shared" si="0"/>
        <v>0</v>
      </c>
      <c r="I35" s="157"/>
    </row>
    <row r="36" spans="1:9" ht="18.75" customHeight="1">
      <c r="A36" s="27">
        <v>31</v>
      </c>
      <c r="B36" s="134" t="s">
        <v>569</v>
      </c>
      <c r="C36" s="138" t="s">
        <v>88</v>
      </c>
      <c r="D36" s="158" t="s">
        <v>86</v>
      </c>
      <c r="E36" s="24">
        <f>12732</f>
        <v>12732</v>
      </c>
      <c r="F36" s="22"/>
      <c r="G36" s="22"/>
      <c r="H36" s="24">
        <f t="shared" si="0"/>
        <v>0</v>
      </c>
      <c r="I36" s="157"/>
    </row>
    <row r="37" spans="1:9" ht="26.25" customHeight="1">
      <c r="A37" s="27"/>
      <c r="B37" s="136" t="s">
        <v>91</v>
      </c>
      <c r="C37" s="28">
        <v>31</v>
      </c>
      <c r="D37" s="158"/>
      <c r="E37" s="160">
        <f t="shared" ref="E37" si="3">SUM(E6:E36)</f>
        <v>919842.32</v>
      </c>
      <c r="F37" s="160">
        <f>SUM(F6:F36)</f>
        <v>6849.3477499999999</v>
      </c>
      <c r="G37" s="160">
        <f t="shared" ref="G37" si="4">SUM(G6:G36)</f>
        <v>6736.665</v>
      </c>
      <c r="H37" s="29">
        <f t="shared" si="0"/>
        <v>112.68274999999994</v>
      </c>
      <c r="I37" s="157"/>
    </row>
    <row r="38" spans="1:9" ht="18.75" customHeight="1">
      <c r="A38" s="27"/>
      <c r="B38" s="103"/>
      <c r="C38" s="19"/>
      <c r="D38" s="158"/>
      <c r="E38" s="160"/>
      <c r="F38" s="160"/>
      <c r="G38" s="160"/>
      <c r="H38" s="24">
        <f t="shared" si="0"/>
        <v>0</v>
      </c>
      <c r="I38" s="157"/>
    </row>
    <row r="39" spans="1:9" ht="18.75" customHeight="1">
      <c r="A39" s="27"/>
      <c r="B39" s="136" t="s">
        <v>92</v>
      </c>
      <c r="C39" s="19"/>
      <c r="D39" s="158"/>
      <c r="E39" s="24"/>
      <c r="F39" s="22"/>
      <c r="G39" s="22"/>
      <c r="H39" s="24">
        <f t="shared" si="0"/>
        <v>0</v>
      </c>
      <c r="I39" s="157"/>
    </row>
    <row r="40" spans="1:9" ht="18.75" customHeight="1">
      <c r="A40" s="27">
        <v>1</v>
      </c>
      <c r="B40" s="134" t="s">
        <v>93</v>
      </c>
      <c r="C40" s="19" t="s">
        <v>94</v>
      </c>
      <c r="D40" s="27" t="s">
        <v>95</v>
      </c>
      <c r="E40" s="24">
        <v>81740.02</v>
      </c>
      <c r="F40" s="22"/>
      <c r="G40" s="22"/>
      <c r="H40" s="24">
        <f t="shared" si="0"/>
        <v>0</v>
      </c>
      <c r="I40" s="157"/>
    </row>
    <row r="41" spans="1:9" ht="18.75" customHeight="1">
      <c r="A41" s="27">
        <v>2</v>
      </c>
      <c r="B41" s="134" t="s">
        <v>96</v>
      </c>
      <c r="C41" s="19" t="s">
        <v>97</v>
      </c>
      <c r="D41" s="27" t="s">
        <v>90</v>
      </c>
      <c r="E41" s="182">
        <v>12351.94</v>
      </c>
      <c r="F41" s="22">
        <f>0</f>
        <v>0</v>
      </c>
      <c r="G41" s="22">
        <f>0</f>
        <v>0</v>
      </c>
      <c r="H41" s="24">
        <f t="shared" si="0"/>
        <v>0</v>
      </c>
      <c r="I41" s="157"/>
    </row>
    <row r="42" spans="1:9" ht="19.5" customHeight="1">
      <c r="A42" s="27"/>
      <c r="B42" s="135"/>
      <c r="C42" s="28">
        <v>2</v>
      </c>
      <c r="D42" s="27"/>
      <c r="E42" s="160">
        <f>SUM(E40:E41)</f>
        <v>94091.96</v>
      </c>
      <c r="F42" s="160">
        <f>SUM(F40:F41)</f>
        <v>0</v>
      </c>
      <c r="G42" s="160">
        <f>SUM(G40:G41)</f>
        <v>0</v>
      </c>
      <c r="H42" s="24">
        <f t="shared" si="0"/>
        <v>0</v>
      </c>
      <c r="I42" s="157"/>
    </row>
    <row r="43" spans="1:9" ht="20.100000000000001" customHeight="1">
      <c r="A43" s="27"/>
      <c r="B43" s="135"/>
      <c r="C43" s="19"/>
      <c r="D43" s="27"/>
      <c r="E43" s="160"/>
      <c r="F43" s="160"/>
      <c r="G43" s="160"/>
      <c r="H43" s="24">
        <f t="shared" si="0"/>
        <v>0</v>
      </c>
      <c r="I43" s="157"/>
    </row>
    <row r="44" spans="1:9" ht="20.100000000000001" customHeight="1">
      <c r="A44" s="27"/>
      <c r="B44" s="162" t="s">
        <v>100</v>
      </c>
      <c r="C44" s="147"/>
      <c r="D44" s="151"/>
      <c r="E44" s="160"/>
      <c r="F44" s="22"/>
      <c r="G44" s="22"/>
      <c r="H44" s="24">
        <f t="shared" si="0"/>
        <v>0</v>
      </c>
      <c r="I44" s="157"/>
    </row>
    <row r="45" spans="1:9" ht="20.100000000000001" customHeight="1">
      <c r="A45" s="27">
        <v>1</v>
      </c>
      <c r="B45" s="133" t="s">
        <v>101</v>
      </c>
      <c r="C45" s="19" t="s">
        <v>102</v>
      </c>
      <c r="D45" s="27" t="s">
        <v>95</v>
      </c>
      <c r="E45" s="24">
        <v>81740.02</v>
      </c>
      <c r="F45" s="22"/>
      <c r="G45" s="22"/>
      <c r="H45" s="24">
        <f t="shared" si="0"/>
        <v>0</v>
      </c>
      <c r="I45" s="157"/>
    </row>
    <row r="46" spans="1:9" ht="20.100000000000001" customHeight="1">
      <c r="A46" s="27">
        <v>2</v>
      </c>
      <c r="B46" s="133" t="s">
        <v>103</v>
      </c>
      <c r="C46" s="19" t="s">
        <v>104</v>
      </c>
      <c r="D46" s="27" t="s">
        <v>45</v>
      </c>
      <c r="E46" s="24">
        <v>33507.5</v>
      </c>
      <c r="F46" s="22"/>
      <c r="G46" s="22"/>
      <c r="H46" s="24">
        <f t="shared" si="0"/>
        <v>0</v>
      </c>
      <c r="I46" s="157"/>
    </row>
    <row r="47" spans="1:9" ht="20.100000000000001" customHeight="1">
      <c r="A47" s="27">
        <v>3</v>
      </c>
      <c r="B47" s="133" t="s">
        <v>105</v>
      </c>
      <c r="C47" s="19" t="s">
        <v>109</v>
      </c>
      <c r="D47" s="27" t="s">
        <v>45</v>
      </c>
      <c r="E47" s="24">
        <v>33507.5</v>
      </c>
      <c r="F47" s="22"/>
      <c r="G47" s="22"/>
      <c r="H47" s="24">
        <f t="shared" si="0"/>
        <v>0</v>
      </c>
      <c r="I47" s="157"/>
    </row>
    <row r="48" spans="1:9" ht="20.100000000000001" customHeight="1">
      <c r="A48" s="27">
        <v>4</v>
      </c>
      <c r="B48" s="133" t="s">
        <v>108</v>
      </c>
      <c r="C48" s="19" t="s">
        <v>109</v>
      </c>
      <c r="D48" s="27" t="s">
        <v>45</v>
      </c>
      <c r="E48" s="24">
        <v>33507.5</v>
      </c>
      <c r="F48" s="22"/>
      <c r="G48" s="22"/>
      <c r="H48" s="24">
        <f t="shared" si="0"/>
        <v>0</v>
      </c>
      <c r="I48" s="157"/>
    </row>
    <row r="49" spans="1:9" ht="20.100000000000001" customHeight="1">
      <c r="A49" s="27">
        <v>5</v>
      </c>
      <c r="B49" s="133" t="s">
        <v>110</v>
      </c>
      <c r="C49" s="19" t="s">
        <v>109</v>
      </c>
      <c r="D49" s="27" t="s">
        <v>111</v>
      </c>
      <c r="E49" s="24">
        <v>32263.200000000001</v>
      </c>
      <c r="F49" s="22">
        <f>0.025*E49</f>
        <v>806.58</v>
      </c>
      <c r="G49" s="22">
        <f>837.69</f>
        <v>837.69</v>
      </c>
      <c r="H49" s="24">
        <f t="shared" si="0"/>
        <v>-31.110000000000014</v>
      </c>
      <c r="I49" s="157"/>
    </row>
    <row r="50" spans="1:9" ht="20.100000000000001" customHeight="1">
      <c r="A50" s="27">
        <v>6</v>
      </c>
      <c r="B50" s="133" t="s">
        <v>112</v>
      </c>
      <c r="C50" s="19" t="s">
        <v>115</v>
      </c>
      <c r="D50" s="27" t="s">
        <v>51</v>
      </c>
      <c r="E50" s="24">
        <v>27611.23</v>
      </c>
      <c r="F50" s="22"/>
      <c r="G50" s="22"/>
      <c r="H50" s="24">
        <f t="shared" si="0"/>
        <v>0</v>
      </c>
      <c r="I50" s="157"/>
    </row>
    <row r="51" spans="1:9" ht="20.100000000000001" customHeight="1">
      <c r="A51" s="27">
        <v>7</v>
      </c>
      <c r="B51" s="135" t="s">
        <v>113</v>
      </c>
      <c r="C51" s="19" t="s">
        <v>53</v>
      </c>
      <c r="D51" s="23" t="s">
        <v>51</v>
      </c>
      <c r="E51" s="24">
        <v>27611.23</v>
      </c>
      <c r="F51" s="22">
        <v>0</v>
      </c>
      <c r="G51" s="22">
        <v>0</v>
      </c>
      <c r="H51" s="24">
        <f t="shared" si="0"/>
        <v>0</v>
      </c>
      <c r="I51" s="157"/>
    </row>
    <row r="52" spans="1:9" ht="20.100000000000001" customHeight="1">
      <c r="A52" s="27">
        <v>8</v>
      </c>
      <c r="B52" s="133" t="s">
        <v>473</v>
      </c>
      <c r="C52" s="19" t="s">
        <v>53</v>
      </c>
      <c r="D52" s="27" t="s">
        <v>54</v>
      </c>
      <c r="E52" s="24">
        <v>26732.65</v>
      </c>
      <c r="F52" s="22"/>
      <c r="G52" s="22"/>
      <c r="H52" s="24">
        <f t="shared" si="0"/>
        <v>0</v>
      </c>
      <c r="I52" s="157"/>
    </row>
    <row r="53" spans="1:9" ht="20.100000000000001" customHeight="1">
      <c r="A53" s="27">
        <v>9</v>
      </c>
      <c r="B53" s="133" t="s">
        <v>114</v>
      </c>
      <c r="C53" s="19" t="s">
        <v>167</v>
      </c>
      <c r="D53" s="27" t="s">
        <v>168</v>
      </c>
      <c r="E53" s="24">
        <v>25523.45</v>
      </c>
      <c r="F53" s="22">
        <f>0.025*E53</f>
        <v>638.08625000000006</v>
      </c>
      <c r="G53" s="22">
        <f>'[10]April 2022'!$H$46</f>
        <v>618.53150000000005</v>
      </c>
      <c r="H53" s="24">
        <f t="shared" si="0"/>
        <v>19.554750000000013</v>
      </c>
      <c r="I53" s="157"/>
    </row>
    <row r="54" spans="1:9" ht="20.100000000000001" customHeight="1">
      <c r="A54" s="27">
        <v>10</v>
      </c>
      <c r="B54" s="133" t="s">
        <v>119</v>
      </c>
      <c r="C54" s="19" t="s">
        <v>118</v>
      </c>
      <c r="D54" s="27" t="s">
        <v>79</v>
      </c>
      <c r="E54" s="182">
        <f>14736.14</f>
        <v>14736.14</v>
      </c>
      <c r="F54" s="22"/>
      <c r="G54" s="22"/>
      <c r="H54" s="24">
        <f t="shared" si="0"/>
        <v>0</v>
      </c>
      <c r="I54" s="157"/>
    </row>
    <row r="55" spans="1:9" ht="20.100000000000001" customHeight="1">
      <c r="A55" s="27">
        <v>11</v>
      </c>
      <c r="B55" s="133" t="s">
        <v>120</v>
      </c>
      <c r="C55" s="19" t="s">
        <v>118</v>
      </c>
      <c r="D55" s="27" t="s">
        <v>79</v>
      </c>
      <c r="E55" s="182">
        <f>14736.14</f>
        <v>14736.14</v>
      </c>
      <c r="F55" s="22"/>
      <c r="G55" s="22"/>
      <c r="H55" s="24">
        <f t="shared" si="0"/>
        <v>0</v>
      </c>
      <c r="I55" s="157"/>
    </row>
    <row r="56" spans="1:9" ht="20.100000000000001" customHeight="1">
      <c r="A56" s="27">
        <v>12</v>
      </c>
      <c r="B56" s="133" t="s">
        <v>121</v>
      </c>
      <c r="C56" s="19" t="s">
        <v>118</v>
      </c>
      <c r="D56" s="27" t="s">
        <v>79</v>
      </c>
      <c r="E56" s="182">
        <f>14736.14</f>
        <v>14736.14</v>
      </c>
      <c r="F56" s="22"/>
      <c r="G56" s="22"/>
      <c r="H56" s="24">
        <f t="shared" si="0"/>
        <v>0</v>
      </c>
      <c r="I56" s="157"/>
    </row>
    <row r="57" spans="1:9" ht="25.5" customHeight="1">
      <c r="A57" s="27"/>
      <c r="B57" s="136" t="s">
        <v>91</v>
      </c>
      <c r="C57" s="28">
        <v>12</v>
      </c>
      <c r="D57" s="28"/>
      <c r="E57" s="65">
        <f>SUM(E45:E56)</f>
        <v>366212.70000000013</v>
      </c>
      <c r="F57" s="65">
        <f>SUM(F45:F56)</f>
        <v>1444.6662500000002</v>
      </c>
      <c r="G57" s="65">
        <f t="shared" ref="G57" si="5">SUM(G45:G56)</f>
        <v>1456.2215000000001</v>
      </c>
      <c r="H57" s="24">
        <f t="shared" si="0"/>
        <v>-11.555249999999887</v>
      </c>
      <c r="I57" s="157"/>
    </row>
    <row r="58" spans="1:9" ht="20.100000000000001" customHeight="1">
      <c r="A58" s="27"/>
      <c r="B58" s="103"/>
      <c r="C58" s="28"/>
      <c r="D58" s="28"/>
      <c r="E58" s="29"/>
      <c r="F58" s="29"/>
      <c r="G58" s="29"/>
      <c r="H58" s="24">
        <f t="shared" si="0"/>
        <v>0</v>
      </c>
      <c r="I58" s="157"/>
    </row>
    <row r="59" spans="1:9" ht="20.100000000000001" customHeight="1">
      <c r="A59" s="27"/>
      <c r="B59" s="136" t="s">
        <v>122</v>
      </c>
      <c r="C59" s="28"/>
      <c r="D59" s="28"/>
      <c r="E59" s="29"/>
      <c r="F59" s="29"/>
      <c r="G59" s="29"/>
      <c r="H59" s="24">
        <f t="shared" si="0"/>
        <v>0</v>
      </c>
      <c r="I59" s="157"/>
    </row>
    <row r="60" spans="1:9" ht="20.100000000000001" customHeight="1">
      <c r="A60" s="27">
        <v>1</v>
      </c>
      <c r="B60" s="133" t="s">
        <v>123</v>
      </c>
      <c r="C60" s="138" t="s">
        <v>124</v>
      </c>
      <c r="D60" s="158" t="s">
        <v>95</v>
      </c>
      <c r="E60" s="24">
        <v>81740.02</v>
      </c>
      <c r="F60" s="22">
        <v>0</v>
      </c>
      <c r="G60" s="22">
        <v>0</v>
      </c>
      <c r="H60" s="24">
        <f t="shared" si="0"/>
        <v>0</v>
      </c>
      <c r="I60" s="157"/>
    </row>
    <row r="61" spans="1:9" ht="20.100000000000001" customHeight="1">
      <c r="A61" s="27"/>
      <c r="B61" s="136" t="s">
        <v>91</v>
      </c>
      <c r="C61" s="28">
        <v>1</v>
      </c>
      <c r="D61" s="28"/>
      <c r="E61" s="65">
        <f>SUM(E60:E60)</f>
        <v>81740.02</v>
      </c>
      <c r="F61" s="65">
        <f>SUM(F60:F60)</f>
        <v>0</v>
      </c>
      <c r="G61" s="65">
        <f>SUM(G60:G60)</f>
        <v>0</v>
      </c>
      <c r="H61" s="24">
        <f t="shared" si="0"/>
        <v>0</v>
      </c>
      <c r="I61" s="157"/>
    </row>
    <row r="62" spans="1:9" ht="20.100000000000001" customHeight="1">
      <c r="A62" s="27"/>
      <c r="B62" s="136"/>
      <c r="C62" s="28"/>
      <c r="D62" s="28"/>
      <c r="E62" s="29"/>
      <c r="F62" s="29"/>
      <c r="G62" s="29"/>
      <c r="H62" s="24">
        <f t="shared" si="0"/>
        <v>0</v>
      </c>
      <c r="I62" s="157"/>
    </row>
    <row r="63" spans="1:9" ht="20.100000000000001" customHeight="1">
      <c r="A63" s="27"/>
      <c r="B63" s="136" t="s">
        <v>128</v>
      </c>
      <c r="C63" s="28"/>
      <c r="D63" s="28"/>
      <c r="E63" s="29"/>
      <c r="F63" s="29"/>
      <c r="G63" s="29"/>
      <c r="H63" s="24">
        <f t="shared" si="0"/>
        <v>0</v>
      </c>
      <c r="I63" s="157"/>
    </row>
    <row r="64" spans="1:9" ht="20.100000000000001" customHeight="1">
      <c r="A64" s="27">
        <v>1</v>
      </c>
      <c r="B64" s="133" t="s">
        <v>129</v>
      </c>
      <c r="C64" s="92" t="s">
        <v>130</v>
      </c>
      <c r="D64" s="27" t="s">
        <v>95</v>
      </c>
      <c r="E64" s="24">
        <v>81740.02</v>
      </c>
      <c r="F64" s="24"/>
      <c r="G64" s="24"/>
      <c r="H64" s="24">
        <f t="shared" si="0"/>
        <v>0</v>
      </c>
      <c r="I64" s="157"/>
    </row>
    <row r="65" spans="1:9" ht="20.100000000000001" customHeight="1">
      <c r="A65" s="27">
        <v>2</v>
      </c>
      <c r="B65" s="134" t="s">
        <v>131</v>
      </c>
      <c r="C65" s="92" t="s">
        <v>132</v>
      </c>
      <c r="D65" s="158" t="s">
        <v>133</v>
      </c>
      <c r="E65" s="181">
        <v>31018.84</v>
      </c>
      <c r="F65" s="22"/>
      <c r="G65" s="22"/>
      <c r="H65" s="24">
        <f t="shared" si="0"/>
        <v>0</v>
      </c>
      <c r="I65" s="157"/>
    </row>
    <row r="66" spans="1:9" ht="20.100000000000001" customHeight="1">
      <c r="A66" s="27">
        <v>3</v>
      </c>
      <c r="B66" s="133" t="s">
        <v>134</v>
      </c>
      <c r="C66" s="19" t="s">
        <v>136</v>
      </c>
      <c r="D66" s="27" t="s">
        <v>168</v>
      </c>
      <c r="E66" s="24">
        <v>25523.45</v>
      </c>
      <c r="F66" s="24"/>
      <c r="G66" s="24"/>
      <c r="H66" s="24">
        <f t="shared" si="0"/>
        <v>0</v>
      </c>
      <c r="I66" s="157"/>
    </row>
    <row r="67" spans="1:9" ht="20.100000000000001" customHeight="1">
      <c r="A67" s="27">
        <v>4</v>
      </c>
      <c r="B67" s="134" t="s">
        <v>135</v>
      </c>
      <c r="C67" s="92" t="s">
        <v>136</v>
      </c>
      <c r="D67" s="158" t="s">
        <v>60</v>
      </c>
      <c r="E67" s="24">
        <v>24741.26</v>
      </c>
      <c r="F67" s="22">
        <f>0</f>
        <v>0</v>
      </c>
      <c r="G67" s="22">
        <f>0</f>
        <v>0</v>
      </c>
      <c r="H67" s="24">
        <f t="shared" si="0"/>
        <v>0</v>
      </c>
      <c r="I67" s="157"/>
    </row>
    <row r="68" spans="1:9" ht="20.100000000000001" customHeight="1">
      <c r="A68" s="27">
        <v>5</v>
      </c>
      <c r="B68" s="135" t="s">
        <v>137</v>
      </c>
      <c r="C68" s="92" t="s">
        <v>53</v>
      </c>
      <c r="D68" s="158" t="s">
        <v>51</v>
      </c>
      <c r="E68" s="24">
        <v>27611.23</v>
      </c>
      <c r="F68" s="22"/>
      <c r="G68" s="22"/>
      <c r="H68" s="24">
        <f t="shared" si="0"/>
        <v>0</v>
      </c>
      <c r="I68" s="157"/>
    </row>
    <row r="69" spans="1:9" ht="20.100000000000001" customHeight="1">
      <c r="A69" s="27">
        <v>6</v>
      </c>
      <c r="B69" s="133" t="s">
        <v>138</v>
      </c>
      <c r="C69" s="19" t="s">
        <v>118</v>
      </c>
      <c r="D69" s="27" t="s">
        <v>588</v>
      </c>
      <c r="E69" s="24">
        <f>20769.92</f>
        <v>20769.919999999998</v>
      </c>
      <c r="F69" s="22"/>
      <c r="G69" s="22"/>
      <c r="H69" s="24">
        <f t="shared" si="0"/>
        <v>0</v>
      </c>
      <c r="I69" s="157"/>
    </row>
    <row r="70" spans="1:9" ht="20.100000000000001" customHeight="1">
      <c r="A70" s="27">
        <v>7</v>
      </c>
      <c r="B70" s="133" t="s">
        <v>202</v>
      </c>
      <c r="C70" s="92" t="s">
        <v>140</v>
      </c>
      <c r="D70" s="158" t="s">
        <v>203</v>
      </c>
      <c r="E70" s="24">
        <f>22837.82</f>
        <v>22837.82</v>
      </c>
      <c r="F70" s="22">
        <f>0.025*E70</f>
        <v>570.94550000000004</v>
      </c>
      <c r="G70" s="22">
        <f>'[10]April 2022'!$H$41</f>
        <v>538.02200000000005</v>
      </c>
      <c r="H70" s="24">
        <f t="shared" si="0"/>
        <v>32.92349999999999</v>
      </c>
      <c r="I70" s="157"/>
    </row>
    <row r="71" spans="1:9" ht="20.100000000000001" customHeight="1">
      <c r="A71" s="27">
        <v>8</v>
      </c>
      <c r="B71" s="133" t="s">
        <v>139</v>
      </c>
      <c r="C71" s="92" t="s">
        <v>140</v>
      </c>
      <c r="D71" s="158" t="s">
        <v>69</v>
      </c>
      <c r="E71" s="227">
        <v>20749</v>
      </c>
      <c r="F71" s="22"/>
      <c r="G71" s="22"/>
      <c r="H71" s="24">
        <f t="shared" si="0"/>
        <v>0</v>
      </c>
      <c r="I71" s="157"/>
    </row>
    <row r="72" spans="1:9" ht="20.100000000000001" customHeight="1">
      <c r="A72" s="27">
        <v>9</v>
      </c>
      <c r="B72" s="133" t="s">
        <v>141</v>
      </c>
      <c r="C72" s="92" t="s">
        <v>140</v>
      </c>
      <c r="D72" s="158" t="s">
        <v>69</v>
      </c>
      <c r="E72" s="227">
        <v>20749</v>
      </c>
      <c r="F72" s="22"/>
      <c r="G72" s="22"/>
      <c r="H72" s="24">
        <f t="shared" ref="H72:H135" si="6">F72-G72</f>
        <v>0</v>
      </c>
      <c r="I72" s="157"/>
    </row>
    <row r="73" spans="1:9" ht="20.100000000000001" customHeight="1">
      <c r="A73" s="27">
        <v>10</v>
      </c>
      <c r="B73" s="133" t="s">
        <v>142</v>
      </c>
      <c r="C73" s="19" t="s">
        <v>143</v>
      </c>
      <c r="D73" s="27" t="s">
        <v>66</v>
      </c>
      <c r="E73" s="24">
        <v>21520.880000000001</v>
      </c>
      <c r="F73" s="22"/>
      <c r="G73" s="22"/>
      <c r="H73" s="24">
        <f t="shared" si="6"/>
        <v>0</v>
      </c>
      <c r="I73" s="157"/>
    </row>
    <row r="74" spans="1:9" ht="20.100000000000001" customHeight="1">
      <c r="A74" s="27">
        <v>11</v>
      </c>
      <c r="B74" s="133" t="s">
        <v>570</v>
      </c>
      <c r="C74" s="92" t="s">
        <v>118</v>
      </c>
      <c r="D74" s="27" t="s">
        <v>157</v>
      </c>
      <c r="E74" s="24">
        <v>17784.099999999999</v>
      </c>
      <c r="F74" s="22"/>
      <c r="G74" s="22"/>
      <c r="H74" s="24">
        <f t="shared" si="6"/>
        <v>0</v>
      </c>
      <c r="I74" s="157"/>
    </row>
    <row r="75" spans="1:9" ht="20.100000000000001" customHeight="1">
      <c r="A75" s="27">
        <v>12</v>
      </c>
      <c r="B75" s="133" t="s">
        <v>145</v>
      </c>
      <c r="C75" s="92" t="s">
        <v>68</v>
      </c>
      <c r="D75" s="27" t="s">
        <v>75</v>
      </c>
      <c r="E75" s="24">
        <f>15188.67</f>
        <v>15188.67</v>
      </c>
      <c r="F75" s="22"/>
      <c r="G75" s="22"/>
      <c r="H75" s="24">
        <f t="shared" si="6"/>
        <v>0</v>
      </c>
      <c r="I75" s="157"/>
    </row>
    <row r="76" spans="1:9" ht="20.100000000000001" customHeight="1">
      <c r="A76" s="27">
        <v>13</v>
      </c>
      <c r="B76" s="135" t="s">
        <v>67</v>
      </c>
      <c r="C76" s="92" t="s">
        <v>68</v>
      </c>
      <c r="D76" s="27" t="s">
        <v>86</v>
      </c>
      <c r="E76" s="24">
        <f>12732</f>
        <v>12732</v>
      </c>
      <c r="F76" s="22"/>
      <c r="G76" s="22"/>
      <c r="H76" s="24">
        <f t="shared" si="6"/>
        <v>0</v>
      </c>
      <c r="I76" s="157"/>
    </row>
    <row r="77" spans="1:9" ht="20.100000000000001" customHeight="1">
      <c r="A77" s="27"/>
      <c r="B77" s="136" t="s">
        <v>91</v>
      </c>
      <c r="C77" s="28">
        <v>13</v>
      </c>
      <c r="D77" s="28"/>
      <c r="E77" s="65">
        <f>SUM(E64:E76)</f>
        <v>342966.19</v>
      </c>
      <c r="F77" s="65">
        <f t="shared" ref="F77:G77" si="7">SUM(F64:F76)</f>
        <v>570.94550000000004</v>
      </c>
      <c r="G77" s="65">
        <f t="shared" si="7"/>
        <v>538.02200000000005</v>
      </c>
      <c r="H77" s="24">
        <f t="shared" si="6"/>
        <v>32.92349999999999</v>
      </c>
      <c r="I77" s="157"/>
    </row>
    <row r="78" spans="1:9" ht="20.100000000000001" customHeight="1">
      <c r="A78" s="27"/>
      <c r="B78" s="103"/>
      <c r="C78" s="28"/>
      <c r="D78" s="28"/>
      <c r="E78" s="29"/>
      <c r="F78" s="29"/>
      <c r="G78" s="29"/>
      <c r="H78" s="24">
        <f t="shared" si="6"/>
        <v>0</v>
      </c>
      <c r="I78" s="157"/>
    </row>
    <row r="79" spans="1:9" ht="20.100000000000001" customHeight="1">
      <c r="A79" s="27"/>
      <c r="B79" s="136" t="s">
        <v>146</v>
      </c>
      <c r="C79" s="28"/>
      <c r="D79" s="28"/>
      <c r="E79" s="29"/>
      <c r="F79" s="29"/>
      <c r="G79" s="29"/>
      <c r="H79" s="24">
        <f t="shared" si="6"/>
        <v>0</v>
      </c>
      <c r="I79" s="157"/>
    </row>
    <row r="80" spans="1:9" ht="20.100000000000001" customHeight="1">
      <c r="A80" s="27">
        <v>1</v>
      </c>
      <c r="B80" s="133" t="s">
        <v>147</v>
      </c>
      <c r="C80" s="19" t="s">
        <v>148</v>
      </c>
      <c r="D80" s="27" t="s">
        <v>95</v>
      </c>
      <c r="E80" s="24">
        <v>81740.02</v>
      </c>
      <c r="F80" s="22">
        <v>0</v>
      </c>
      <c r="G80" s="22">
        <v>0</v>
      </c>
      <c r="H80" s="24">
        <f t="shared" si="6"/>
        <v>0</v>
      </c>
      <c r="I80" s="157"/>
    </row>
    <row r="81" spans="1:9" ht="20.100000000000001" customHeight="1">
      <c r="A81" s="27">
        <v>2</v>
      </c>
      <c r="B81" s="135" t="s">
        <v>149</v>
      </c>
      <c r="C81" s="19" t="s">
        <v>150</v>
      </c>
      <c r="D81" s="158" t="s">
        <v>133</v>
      </c>
      <c r="E81" s="228">
        <v>31018.84</v>
      </c>
      <c r="F81" s="22">
        <v>0</v>
      </c>
      <c r="G81" s="22">
        <v>0</v>
      </c>
      <c r="H81" s="24">
        <f t="shared" si="6"/>
        <v>0</v>
      </c>
      <c r="I81" s="157"/>
    </row>
    <row r="82" spans="1:9" ht="20.100000000000001" customHeight="1">
      <c r="A82" s="27">
        <v>3</v>
      </c>
      <c r="B82" s="135" t="s">
        <v>571</v>
      </c>
      <c r="C82" s="19" t="s">
        <v>572</v>
      </c>
      <c r="D82" s="158" t="s">
        <v>133</v>
      </c>
      <c r="E82" s="228">
        <v>31018.84</v>
      </c>
      <c r="F82" s="22">
        <v>0</v>
      </c>
      <c r="G82" s="22">
        <v>0</v>
      </c>
      <c r="H82" s="24">
        <f t="shared" si="6"/>
        <v>0</v>
      </c>
      <c r="I82" s="157"/>
    </row>
    <row r="83" spans="1:9" ht="20.100000000000001" customHeight="1">
      <c r="A83" s="27">
        <v>4</v>
      </c>
      <c r="B83" s="133" t="s">
        <v>153</v>
      </c>
      <c r="C83" s="19" t="s">
        <v>414</v>
      </c>
      <c r="D83" s="158" t="s">
        <v>168</v>
      </c>
      <c r="E83" s="24">
        <v>25523.45</v>
      </c>
      <c r="F83" s="22">
        <f>0.025*E83</f>
        <v>638.08625000000006</v>
      </c>
      <c r="G83" s="22">
        <f>'[10]April 2022'!$H$38</f>
        <v>618.53150000000005</v>
      </c>
      <c r="H83" s="24">
        <f t="shared" si="6"/>
        <v>19.554750000000013</v>
      </c>
      <c r="I83" s="157"/>
    </row>
    <row r="84" spans="1:9" ht="20.100000000000001" customHeight="1">
      <c r="A84" s="27">
        <v>5</v>
      </c>
      <c r="B84" s="133" t="s">
        <v>155</v>
      </c>
      <c r="C84" s="19" t="s">
        <v>156</v>
      </c>
      <c r="D84" s="27" t="s">
        <v>157</v>
      </c>
      <c r="E84" s="24">
        <v>17784.099999999999</v>
      </c>
      <c r="F84" s="22"/>
      <c r="G84" s="22"/>
      <c r="H84" s="24">
        <f t="shared" si="6"/>
        <v>0</v>
      </c>
      <c r="I84" s="157"/>
    </row>
    <row r="85" spans="1:9" ht="20.100000000000001" customHeight="1">
      <c r="A85" s="27"/>
      <c r="B85" s="136" t="s">
        <v>91</v>
      </c>
      <c r="C85" s="28">
        <v>5</v>
      </c>
      <c r="D85" s="28"/>
      <c r="E85" s="65">
        <f>SUM(E80:E84)</f>
        <v>187085.25000000003</v>
      </c>
      <c r="F85" s="65">
        <f t="shared" ref="F85:G85" si="8">SUM(F80:F84)</f>
        <v>638.08625000000006</v>
      </c>
      <c r="G85" s="65">
        <f t="shared" si="8"/>
        <v>618.53150000000005</v>
      </c>
      <c r="H85" s="24">
        <f t="shared" si="6"/>
        <v>19.554750000000013</v>
      </c>
      <c r="I85" s="157"/>
    </row>
    <row r="86" spans="1:9" ht="20.100000000000001" customHeight="1">
      <c r="A86" s="27"/>
      <c r="B86" s="136"/>
      <c r="C86" s="28"/>
      <c r="D86" s="28"/>
      <c r="E86" s="29"/>
      <c r="F86" s="159"/>
      <c r="G86" s="159"/>
      <c r="H86" s="24">
        <f t="shared" si="6"/>
        <v>0</v>
      </c>
      <c r="I86" s="157"/>
    </row>
    <row r="87" spans="1:9" ht="20.100000000000001" customHeight="1">
      <c r="A87" s="27"/>
      <c r="B87" s="136" t="s">
        <v>161</v>
      </c>
      <c r="C87" s="163"/>
      <c r="D87" s="28"/>
      <c r="E87" s="29"/>
      <c r="F87" s="159"/>
      <c r="G87" s="159"/>
      <c r="H87" s="24">
        <f t="shared" si="6"/>
        <v>0</v>
      </c>
      <c r="I87" s="157"/>
    </row>
    <row r="88" spans="1:9" ht="23.25" customHeight="1">
      <c r="A88" s="27">
        <v>1</v>
      </c>
      <c r="B88" s="133" t="s">
        <v>589</v>
      </c>
      <c r="C88" s="19" t="s">
        <v>590</v>
      </c>
      <c r="D88" s="27" t="s">
        <v>233</v>
      </c>
      <c r="E88" s="24">
        <v>42653.17</v>
      </c>
      <c r="F88" s="22"/>
      <c r="G88" s="22"/>
      <c r="H88" s="24">
        <f t="shared" si="6"/>
        <v>0</v>
      </c>
      <c r="I88" s="157"/>
    </row>
    <row r="89" spans="1:9" ht="20.100000000000001" customHeight="1">
      <c r="A89" s="27">
        <v>2</v>
      </c>
      <c r="B89" s="133" t="s">
        <v>162</v>
      </c>
      <c r="C89" s="19" t="s">
        <v>109</v>
      </c>
      <c r="D89" s="27" t="s">
        <v>45</v>
      </c>
      <c r="E89" s="24">
        <v>33507.5</v>
      </c>
      <c r="F89" s="22"/>
      <c r="G89" s="22"/>
      <c r="H89" s="24">
        <f t="shared" si="6"/>
        <v>0</v>
      </c>
      <c r="I89" s="157"/>
    </row>
    <row r="90" spans="1:9" ht="20.100000000000001" customHeight="1">
      <c r="A90" s="27">
        <v>3</v>
      </c>
      <c r="B90" s="133" t="s">
        <v>163</v>
      </c>
      <c r="C90" s="19" t="s">
        <v>109</v>
      </c>
      <c r="D90" s="27" t="s">
        <v>45</v>
      </c>
      <c r="E90" s="24">
        <v>33507.5</v>
      </c>
      <c r="F90" s="22">
        <f>0.025*E90</f>
        <v>837.6875</v>
      </c>
      <c r="G90" s="22">
        <f>'[10]April 2022'!$H$37</f>
        <v>837.6875</v>
      </c>
      <c r="H90" s="24">
        <f t="shared" si="6"/>
        <v>0</v>
      </c>
      <c r="I90" s="157"/>
    </row>
    <row r="91" spans="1:9" ht="20.100000000000001" customHeight="1">
      <c r="A91" s="27">
        <v>4</v>
      </c>
      <c r="B91" s="135" t="s">
        <v>164</v>
      </c>
      <c r="C91" s="19" t="s">
        <v>53</v>
      </c>
      <c r="D91" s="27" t="s">
        <v>413</v>
      </c>
      <c r="E91" s="24">
        <f>28489.81</f>
        <v>28489.81</v>
      </c>
      <c r="F91" s="22">
        <f>0.025*E91</f>
        <v>712.24525000000006</v>
      </c>
      <c r="G91" s="22">
        <f>'[10]April 2022'!$H$44</f>
        <v>690.28075000000001</v>
      </c>
      <c r="H91" s="24">
        <f t="shared" si="6"/>
        <v>21.964500000000044</v>
      </c>
      <c r="I91" s="157"/>
    </row>
    <row r="92" spans="1:9" ht="20.100000000000001" customHeight="1">
      <c r="A92" s="27">
        <v>5</v>
      </c>
      <c r="B92" s="133" t="s">
        <v>165</v>
      </c>
      <c r="C92" s="19" t="s">
        <v>115</v>
      </c>
      <c r="D92" s="27" t="s">
        <v>51</v>
      </c>
      <c r="E92" s="24">
        <v>27611.23</v>
      </c>
      <c r="F92" s="22"/>
      <c r="G92" s="22"/>
      <c r="H92" s="24">
        <f t="shared" si="6"/>
        <v>0</v>
      </c>
      <c r="I92" s="157"/>
    </row>
    <row r="93" spans="1:9" ht="21.6" customHeight="1">
      <c r="A93" s="27">
        <v>6</v>
      </c>
      <c r="B93" s="133" t="s">
        <v>166</v>
      </c>
      <c r="C93" s="19" t="s">
        <v>167</v>
      </c>
      <c r="D93" s="158" t="s">
        <v>168</v>
      </c>
      <c r="E93" s="24">
        <v>25523.45</v>
      </c>
      <c r="F93" s="22"/>
      <c r="G93" s="22"/>
      <c r="H93" s="24">
        <f t="shared" si="6"/>
        <v>0</v>
      </c>
      <c r="I93" s="157"/>
    </row>
    <row r="94" spans="1:9" ht="21.6" customHeight="1">
      <c r="A94" s="27">
        <v>7</v>
      </c>
      <c r="B94" s="133" t="s">
        <v>169</v>
      </c>
      <c r="C94" s="138" t="s">
        <v>136</v>
      </c>
      <c r="D94" s="158" t="s">
        <v>60</v>
      </c>
      <c r="E94" s="24">
        <v>24741.26</v>
      </c>
      <c r="F94" s="22"/>
      <c r="G94" s="22"/>
      <c r="H94" s="24">
        <f t="shared" si="6"/>
        <v>0</v>
      </c>
      <c r="I94" s="157"/>
    </row>
    <row r="95" spans="1:9" ht="21.6" customHeight="1">
      <c r="A95" s="27">
        <v>8</v>
      </c>
      <c r="B95" s="133" t="s">
        <v>170</v>
      </c>
      <c r="C95" s="138" t="s">
        <v>136</v>
      </c>
      <c r="D95" s="158" t="s">
        <v>60</v>
      </c>
      <c r="E95" s="24">
        <v>24741.26</v>
      </c>
      <c r="F95" s="22"/>
      <c r="G95" s="22"/>
      <c r="H95" s="24">
        <f t="shared" si="6"/>
        <v>0</v>
      </c>
      <c r="I95" s="157"/>
    </row>
    <row r="96" spans="1:9" ht="21.6" customHeight="1">
      <c r="A96" s="27">
        <v>9</v>
      </c>
      <c r="B96" s="133" t="s">
        <v>172</v>
      </c>
      <c r="C96" s="92" t="s">
        <v>140</v>
      </c>
      <c r="D96" s="158" t="s">
        <v>69</v>
      </c>
      <c r="E96" s="227">
        <f>20749</f>
        <v>20749</v>
      </c>
      <c r="F96" s="22"/>
      <c r="G96" s="22"/>
      <c r="H96" s="24">
        <f t="shared" si="6"/>
        <v>0</v>
      </c>
      <c r="I96" s="157"/>
    </row>
    <row r="97" spans="1:9" ht="21.6" customHeight="1">
      <c r="A97" s="27">
        <v>10</v>
      </c>
      <c r="B97" s="133" t="s">
        <v>174</v>
      </c>
      <c r="C97" s="19" t="s">
        <v>175</v>
      </c>
      <c r="D97" s="27" t="s">
        <v>72</v>
      </c>
      <c r="E97" s="227">
        <v>0</v>
      </c>
      <c r="F97" s="22"/>
      <c r="G97" s="22"/>
      <c r="H97" s="24">
        <f t="shared" si="6"/>
        <v>0</v>
      </c>
      <c r="I97" s="157"/>
    </row>
    <row r="98" spans="1:9" ht="21.6" customHeight="1">
      <c r="A98" s="27">
        <v>11</v>
      </c>
      <c r="B98" s="133" t="s">
        <v>176</v>
      </c>
      <c r="C98" s="92" t="s">
        <v>177</v>
      </c>
      <c r="D98" s="158" t="s">
        <v>86</v>
      </c>
      <c r="E98" s="24">
        <f>12732</f>
        <v>12732</v>
      </c>
      <c r="F98" s="22">
        <v>0</v>
      </c>
      <c r="G98" s="22">
        <v>0</v>
      </c>
      <c r="H98" s="24">
        <f t="shared" si="6"/>
        <v>0</v>
      </c>
      <c r="I98" s="157"/>
    </row>
    <row r="99" spans="1:9" ht="20.100000000000001" customHeight="1">
      <c r="A99" s="27"/>
      <c r="B99" s="136" t="s">
        <v>91</v>
      </c>
      <c r="C99" s="28">
        <v>11</v>
      </c>
      <c r="D99" s="28"/>
      <c r="E99" s="65">
        <f t="shared" ref="E99" si="9">SUM(E88:E98)</f>
        <v>274256.18000000005</v>
      </c>
      <c r="F99" s="65">
        <f>SUM(F88:F98)</f>
        <v>1549.9327499999999</v>
      </c>
      <c r="G99" s="65">
        <f>SUM(G88:G98)</f>
        <v>1527.9682499999999</v>
      </c>
      <c r="H99" s="24">
        <f t="shared" si="6"/>
        <v>21.964500000000044</v>
      </c>
      <c r="I99" s="157"/>
    </row>
    <row r="100" spans="1:9" ht="20.100000000000001" customHeight="1">
      <c r="A100" s="27"/>
      <c r="B100" s="103"/>
      <c r="C100" s="28"/>
      <c r="D100" s="28"/>
      <c r="E100" s="29"/>
      <c r="F100" s="29"/>
      <c r="G100" s="29"/>
      <c r="H100" s="24">
        <f t="shared" si="6"/>
        <v>0</v>
      </c>
      <c r="I100" s="157"/>
    </row>
    <row r="101" spans="1:9" ht="20.100000000000001" customHeight="1">
      <c r="A101" s="27"/>
      <c r="B101" s="136" t="s">
        <v>178</v>
      </c>
      <c r="C101" s="28"/>
      <c r="D101" s="28"/>
      <c r="E101" s="29"/>
      <c r="F101" s="29"/>
      <c r="G101" s="29"/>
      <c r="H101" s="24">
        <f t="shared" si="6"/>
        <v>0</v>
      </c>
      <c r="I101" s="157"/>
    </row>
    <row r="102" spans="1:9" ht="20.100000000000001" customHeight="1">
      <c r="A102" s="27">
        <v>1</v>
      </c>
      <c r="B102" s="134" t="s">
        <v>41</v>
      </c>
      <c r="C102" s="27" t="s">
        <v>42</v>
      </c>
      <c r="D102" s="158" t="s">
        <v>36</v>
      </c>
      <c r="E102" s="227">
        <v>41157.69</v>
      </c>
      <c r="F102" s="22"/>
      <c r="G102" s="22"/>
      <c r="H102" s="24">
        <f t="shared" si="6"/>
        <v>0</v>
      </c>
      <c r="I102" s="157"/>
    </row>
    <row r="103" spans="1:9" ht="20.100000000000001" customHeight="1">
      <c r="A103" s="27">
        <v>2</v>
      </c>
      <c r="B103" s="133" t="s">
        <v>46</v>
      </c>
      <c r="C103" s="19" t="s">
        <v>182</v>
      </c>
      <c r="D103" s="27" t="s">
        <v>51</v>
      </c>
      <c r="E103" s="24">
        <v>27611.23</v>
      </c>
      <c r="F103" s="22">
        <f>0.025*E103</f>
        <v>690.28075000000001</v>
      </c>
      <c r="G103" s="22">
        <f>'[10]April 2022'!$H$54</f>
        <v>668.31625000000008</v>
      </c>
      <c r="H103" s="24">
        <f t="shared" si="6"/>
        <v>21.96449999999993</v>
      </c>
      <c r="I103" s="157"/>
    </row>
    <row r="104" spans="1:9" ht="20.100000000000001" customHeight="1">
      <c r="A104" s="27">
        <v>3</v>
      </c>
      <c r="B104" s="134" t="s">
        <v>591</v>
      </c>
      <c r="C104" s="19" t="s">
        <v>592</v>
      </c>
      <c r="D104" s="158" t="s">
        <v>60</v>
      </c>
      <c r="E104" s="24">
        <v>24741.26</v>
      </c>
      <c r="F104" s="22"/>
      <c r="G104" s="22"/>
      <c r="H104" s="24">
        <f t="shared" si="6"/>
        <v>0</v>
      </c>
      <c r="I104" s="157"/>
    </row>
    <row r="105" spans="1:9" ht="20.100000000000001" customHeight="1">
      <c r="A105" s="27">
        <v>4</v>
      </c>
      <c r="B105" s="133" t="s">
        <v>183</v>
      </c>
      <c r="C105" s="19" t="s">
        <v>184</v>
      </c>
      <c r="D105" s="158" t="s">
        <v>66</v>
      </c>
      <c r="E105" s="24">
        <v>21520.880000000001</v>
      </c>
      <c r="F105" s="22"/>
      <c r="G105" s="22"/>
      <c r="H105" s="24">
        <f t="shared" si="6"/>
        <v>0</v>
      </c>
      <c r="I105" s="157"/>
    </row>
    <row r="106" spans="1:9" ht="20.100000000000001" customHeight="1">
      <c r="A106" s="19"/>
      <c r="B106" s="136" t="s">
        <v>91</v>
      </c>
      <c r="C106" s="28">
        <v>4</v>
      </c>
      <c r="D106" s="164"/>
      <c r="E106" s="65">
        <f>SUM(E102:E105)</f>
        <v>115031.06</v>
      </c>
      <c r="F106" s="65">
        <f t="shared" ref="F106:G106" si="10">SUM(F102:F105)</f>
        <v>690.28075000000001</v>
      </c>
      <c r="G106" s="65">
        <f t="shared" si="10"/>
        <v>668.31625000000008</v>
      </c>
      <c r="H106" s="24">
        <f t="shared" si="6"/>
        <v>21.96449999999993</v>
      </c>
      <c r="I106" s="157"/>
    </row>
    <row r="107" spans="1:9" ht="20.100000000000001" customHeight="1">
      <c r="A107" s="19"/>
      <c r="B107" s="103"/>
      <c r="C107" s="28"/>
      <c r="D107" s="164"/>
      <c r="E107" s="29"/>
      <c r="F107" s="29"/>
      <c r="G107" s="29"/>
      <c r="H107" s="24">
        <f t="shared" si="6"/>
        <v>0</v>
      </c>
      <c r="I107" s="157"/>
    </row>
    <row r="108" spans="1:9" ht="20.100000000000001" customHeight="1">
      <c r="A108" s="19"/>
      <c r="B108" s="136" t="s">
        <v>187</v>
      </c>
      <c r="C108" s="19"/>
      <c r="D108" s="19"/>
      <c r="E108" s="19"/>
      <c r="F108" s="19"/>
      <c r="G108" s="19"/>
      <c r="H108" s="24">
        <f t="shared" si="6"/>
        <v>0</v>
      </c>
      <c r="I108" s="157"/>
    </row>
    <row r="109" spans="1:9" ht="20.100000000000001" customHeight="1">
      <c r="A109" s="19">
        <v>1</v>
      </c>
      <c r="B109" s="133" t="s">
        <v>188</v>
      </c>
      <c r="C109" s="138" t="s">
        <v>189</v>
      </c>
      <c r="D109" s="158" t="s">
        <v>95</v>
      </c>
      <c r="E109" s="24">
        <v>81740.02</v>
      </c>
      <c r="F109" s="22">
        <v>0</v>
      </c>
      <c r="G109" s="22">
        <v>0</v>
      </c>
      <c r="H109" s="24">
        <f t="shared" si="6"/>
        <v>0</v>
      </c>
      <c r="I109" s="157"/>
    </row>
    <row r="110" spans="1:9" ht="20.100000000000001" customHeight="1">
      <c r="A110" s="19">
        <v>2</v>
      </c>
      <c r="B110" s="133" t="s">
        <v>190</v>
      </c>
      <c r="C110" s="19" t="s">
        <v>191</v>
      </c>
      <c r="D110" s="23" t="s">
        <v>36</v>
      </c>
      <c r="E110" s="24">
        <v>41157.69</v>
      </c>
      <c r="F110" s="22">
        <f>0.025*E110</f>
        <v>1028.9422500000001</v>
      </c>
      <c r="G110" s="22">
        <f>G7</f>
        <v>1028.9422500000001</v>
      </c>
      <c r="H110" s="24">
        <f t="shared" si="6"/>
        <v>0</v>
      </c>
      <c r="I110" s="157"/>
    </row>
    <row r="111" spans="1:9" ht="20.100000000000001" customHeight="1">
      <c r="A111" s="19">
        <v>3</v>
      </c>
      <c r="B111" s="133" t="s">
        <v>192</v>
      </c>
      <c r="C111" s="19" t="s">
        <v>193</v>
      </c>
      <c r="D111" s="27" t="s">
        <v>57</v>
      </c>
      <c r="E111" s="24">
        <v>26339.3</v>
      </c>
      <c r="F111" s="22">
        <f>0.025*E111</f>
        <v>658.48250000000007</v>
      </c>
      <c r="G111" s="22">
        <f>'[10]April 2022'!$H$35</f>
        <v>658.48250000000007</v>
      </c>
      <c r="H111" s="24">
        <f t="shared" si="6"/>
        <v>0</v>
      </c>
      <c r="I111" s="157"/>
    </row>
    <row r="112" spans="1:9" ht="20.100000000000001" customHeight="1">
      <c r="A112" s="19">
        <v>4</v>
      </c>
      <c r="B112" s="133" t="s">
        <v>194</v>
      </c>
      <c r="C112" s="19" t="s">
        <v>193</v>
      </c>
      <c r="D112" s="27" t="s">
        <v>57</v>
      </c>
      <c r="E112" s="24">
        <v>26339.3</v>
      </c>
      <c r="F112" s="22"/>
      <c r="G112" s="22"/>
      <c r="H112" s="24">
        <f t="shared" si="6"/>
        <v>0</v>
      </c>
      <c r="I112" s="157"/>
    </row>
    <row r="113" spans="1:9" ht="20.100000000000001" customHeight="1">
      <c r="A113" s="19">
        <v>5</v>
      </c>
      <c r="B113" s="133" t="s">
        <v>195</v>
      </c>
      <c r="C113" s="19" t="s">
        <v>196</v>
      </c>
      <c r="D113" s="158" t="s">
        <v>197</v>
      </c>
      <c r="E113" s="156">
        <f>13872.4</f>
        <v>13872.4</v>
      </c>
      <c r="F113" s="22"/>
      <c r="G113" s="22"/>
      <c r="H113" s="24">
        <f t="shared" si="6"/>
        <v>0</v>
      </c>
      <c r="I113" s="157"/>
    </row>
    <row r="114" spans="1:9" ht="20.100000000000001" customHeight="1">
      <c r="A114" s="19">
        <v>6</v>
      </c>
      <c r="B114" s="134" t="s">
        <v>198</v>
      </c>
      <c r="C114" s="19" t="s">
        <v>196</v>
      </c>
      <c r="D114" s="27" t="s">
        <v>199</v>
      </c>
      <c r="E114" s="24">
        <v>13492.21</v>
      </c>
      <c r="F114" s="22"/>
      <c r="G114" s="22"/>
      <c r="H114" s="24">
        <f t="shared" si="6"/>
        <v>0</v>
      </c>
      <c r="I114" s="157"/>
    </row>
    <row r="115" spans="1:9" ht="20.100000000000001" customHeight="1">
      <c r="A115" s="19">
        <v>7</v>
      </c>
      <c r="B115" s="134" t="s">
        <v>200</v>
      </c>
      <c r="C115" s="19" t="s">
        <v>196</v>
      </c>
      <c r="D115" s="158" t="s">
        <v>86</v>
      </c>
      <c r="E115" s="156">
        <f>12732</f>
        <v>12732</v>
      </c>
      <c r="F115" s="22"/>
      <c r="G115" s="22"/>
      <c r="H115" s="24">
        <f t="shared" si="6"/>
        <v>0</v>
      </c>
      <c r="I115" s="157"/>
    </row>
    <row r="116" spans="1:9" ht="20.100000000000001" customHeight="1">
      <c r="A116" s="19"/>
      <c r="B116" s="136" t="s">
        <v>91</v>
      </c>
      <c r="C116" s="28">
        <v>7</v>
      </c>
      <c r="D116" s="19"/>
      <c r="E116" s="165">
        <f>SUM(E109:E115)</f>
        <v>215672.91999999998</v>
      </c>
      <c r="F116" s="165">
        <f t="shared" ref="F116:G116" si="11">SUM(F109:F115)</f>
        <v>1687.4247500000001</v>
      </c>
      <c r="G116" s="165">
        <f t="shared" si="11"/>
        <v>1687.4247500000001</v>
      </c>
      <c r="H116" s="24">
        <f t="shared" si="6"/>
        <v>0</v>
      </c>
      <c r="I116" s="157"/>
    </row>
    <row r="117" spans="1:9" ht="20.100000000000001" customHeight="1">
      <c r="A117" s="19"/>
      <c r="B117" s="103"/>
      <c r="C117" s="27"/>
      <c r="D117" s="19"/>
      <c r="E117" s="166"/>
      <c r="F117" s="166"/>
      <c r="G117" s="166"/>
      <c r="H117" s="24">
        <f t="shared" si="6"/>
        <v>0</v>
      </c>
      <c r="I117" s="157"/>
    </row>
    <row r="118" spans="1:9" ht="20.100000000000001" customHeight="1">
      <c r="A118" s="19"/>
      <c r="B118" s="136" t="s">
        <v>208</v>
      </c>
      <c r="C118" s="28"/>
      <c r="D118" s="28"/>
      <c r="E118" s="29"/>
      <c r="F118" s="159"/>
      <c r="G118" s="159"/>
      <c r="H118" s="24">
        <f t="shared" si="6"/>
        <v>0</v>
      </c>
      <c r="I118" s="157"/>
    </row>
    <row r="119" spans="1:9" ht="20.100000000000001" customHeight="1">
      <c r="A119" s="19">
        <v>1</v>
      </c>
      <c r="B119" s="133" t="s">
        <v>209</v>
      </c>
      <c r="C119" s="138" t="s">
        <v>210</v>
      </c>
      <c r="D119" s="158" t="s">
        <v>95</v>
      </c>
      <c r="E119" s="24">
        <v>81740.02</v>
      </c>
      <c r="F119" s="22">
        <f>0.025*E119</f>
        <v>2043.5005000000001</v>
      </c>
      <c r="G119" s="22">
        <f>'[10]April 2022'!$H$21</f>
        <v>2043.5005000000001</v>
      </c>
      <c r="H119" s="24">
        <f t="shared" si="6"/>
        <v>0</v>
      </c>
      <c r="I119" s="157"/>
    </row>
    <row r="120" spans="1:9" ht="20.100000000000001" customHeight="1">
      <c r="A120" s="19" t="s">
        <v>593</v>
      </c>
      <c r="B120" s="133" t="s">
        <v>594</v>
      </c>
      <c r="C120" s="138" t="s">
        <v>595</v>
      </c>
      <c r="D120" s="158" t="s">
        <v>233</v>
      </c>
      <c r="E120" s="24">
        <v>42653.17</v>
      </c>
      <c r="F120" s="22"/>
      <c r="G120" s="22"/>
      <c r="H120" s="24">
        <f t="shared" si="6"/>
        <v>0</v>
      </c>
      <c r="I120" s="157"/>
    </row>
    <row r="121" spans="1:9" ht="20.100000000000001" customHeight="1">
      <c r="A121" s="19">
        <v>3</v>
      </c>
      <c r="B121" s="133" t="s">
        <v>211</v>
      </c>
      <c r="C121" s="138" t="s">
        <v>214</v>
      </c>
      <c r="D121" s="158" t="s">
        <v>45</v>
      </c>
      <c r="E121" s="24">
        <v>33507.5</v>
      </c>
      <c r="F121" s="22">
        <f>0.025*E121</f>
        <v>837.6875</v>
      </c>
      <c r="G121" s="22">
        <f>'[10]April 2022'!$H$20</f>
        <v>837.6875</v>
      </c>
      <c r="H121" s="24">
        <f t="shared" si="6"/>
        <v>0</v>
      </c>
      <c r="I121" s="157"/>
    </row>
    <row r="122" spans="1:9" ht="20.100000000000001" customHeight="1">
      <c r="A122" s="19">
        <v>4</v>
      </c>
      <c r="B122" s="135" t="s">
        <v>213</v>
      </c>
      <c r="C122" s="138" t="s">
        <v>214</v>
      </c>
      <c r="D122" s="158" t="s">
        <v>45</v>
      </c>
      <c r="E122" s="24">
        <v>33507.5</v>
      </c>
      <c r="F122" s="22">
        <f>0.025*E122</f>
        <v>837.6875</v>
      </c>
      <c r="G122" s="22">
        <f>'[10]April 2022'!$H$22</f>
        <v>837.6875</v>
      </c>
      <c r="H122" s="24">
        <f t="shared" si="6"/>
        <v>0</v>
      </c>
      <c r="I122" s="157"/>
    </row>
    <row r="123" spans="1:9" ht="20.100000000000001" customHeight="1">
      <c r="A123" s="19">
        <v>5</v>
      </c>
      <c r="B123" s="135" t="s">
        <v>215</v>
      </c>
      <c r="C123" s="138" t="s">
        <v>214</v>
      </c>
      <c r="D123" s="158" t="s">
        <v>48</v>
      </c>
      <c r="E123" s="227">
        <v>31018.84</v>
      </c>
      <c r="F123" s="22"/>
      <c r="G123" s="22"/>
      <c r="H123" s="24">
        <f t="shared" si="6"/>
        <v>0</v>
      </c>
      <c r="I123" s="157"/>
    </row>
    <row r="124" spans="1:9" ht="20.100000000000001" customHeight="1">
      <c r="A124" s="19">
        <v>6</v>
      </c>
      <c r="B124" s="133" t="s">
        <v>216</v>
      </c>
      <c r="C124" s="138" t="s">
        <v>217</v>
      </c>
      <c r="D124" s="158" t="s">
        <v>54</v>
      </c>
      <c r="E124" s="24">
        <v>26732.65</v>
      </c>
      <c r="F124" s="22"/>
      <c r="G124" s="22"/>
      <c r="H124" s="24">
        <f t="shared" si="6"/>
        <v>0</v>
      </c>
      <c r="I124" s="157"/>
    </row>
    <row r="125" spans="1:9" ht="20.100000000000001" customHeight="1">
      <c r="A125" s="19">
        <v>7</v>
      </c>
      <c r="B125" s="133" t="s">
        <v>218</v>
      </c>
      <c r="C125" s="138" t="s">
        <v>219</v>
      </c>
      <c r="D125" s="158" t="s">
        <v>168</v>
      </c>
      <c r="E125" s="24">
        <v>25523.45</v>
      </c>
      <c r="F125" s="22">
        <f>0.025*E125</f>
        <v>638.08625000000006</v>
      </c>
      <c r="G125" s="22">
        <f>'[10]April 2022'!$H$48</f>
        <v>618.53150000000005</v>
      </c>
      <c r="H125" s="24">
        <f t="shared" si="6"/>
        <v>19.554750000000013</v>
      </c>
      <c r="I125" s="157"/>
    </row>
    <row r="126" spans="1:9" ht="20.100000000000001" customHeight="1">
      <c r="A126" s="19">
        <v>8</v>
      </c>
      <c r="B126" s="133" t="s">
        <v>220</v>
      </c>
      <c r="C126" s="138" t="s">
        <v>416</v>
      </c>
      <c r="D126" s="158" t="s">
        <v>168</v>
      </c>
      <c r="E126" s="24">
        <v>25523.45</v>
      </c>
      <c r="F126" s="22">
        <f>0.025*E126</f>
        <v>638.08625000000006</v>
      </c>
      <c r="G126" s="22">
        <f>'[10]April 2022'!$H$24</f>
        <v>618.53150000000005</v>
      </c>
      <c r="H126" s="24">
        <f t="shared" si="6"/>
        <v>19.554750000000013</v>
      </c>
      <c r="I126" s="157"/>
    </row>
    <row r="127" spans="1:9" ht="20.100000000000001" customHeight="1">
      <c r="A127" s="19">
        <v>9</v>
      </c>
      <c r="B127" s="134" t="s">
        <v>596</v>
      </c>
      <c r="C127" s="138" t="s">
        <v>597</v>
      </c>
      <c r="D127" s="158" t="s">
        <v>598</v>
      </c>
      <c r="E127" s="24">
        <v>24741.26</v>
      </c>
      <c r="F127" s="22"/>
      <c r="G127" s="22"/>
      <c r="H127" s="24">
        <f t="shared" si="6"/>
        <v>0</v>
      </c>
      <c r="I127" s="157"/>
    </row>
    <row r="128" spans="1:9" ht="20.100000000000001" customHeight="1">
      <c r="A128" s="19">
        <v>10</v>
      </c>
      <c r="B128" s="133" t="s">
        <v>221</v>
      </c>
      <c r="C128" s="138" t="s">
        <v>222</v>
      </c>
      <c r="D128" s="27" t="s">
        <v>75</v>
      </c>
      <c r="E128" s="24">
        <f>15188.67</f>
        <v>15188.67</v>
      </c>
      <c r="F128" s="22"/>
      <c r="G128" s="22"/>
      <c r="H128" s="24">
        <f t="shared" si="6"/>
        <v>0</v>
      </c>
      <c r="I128" s="157"/>
    </row>
    <row r="129" spans="1:9" ht="20.100000000000001" customHeight="1">
      <c r="A129" s="19">
        <v>11</v>
      </c>
      <c r="B129" s="134" t="s">
        <v>223</v>
      </c>
      <c r="C129" s="138" t="s">
        <v>224</v>
      </c>
      <c r="D129" s="158" t="s">
        <v>86</v>
      </c>
      <c r="E129" s="24">
        <f>12732</f>
        <v>12732</v>
      </c>
      <c r="F129" s="22">
        <f>0</f>
        <v>0</v>
      </c>
      <c r="G129" s="22">
        <f>0</f>
        <v>0</v>
      </c>
      <c r="H129" s="24">
        <f t="shared" si="6"/>
        <v>0</v>
      </c>
      <c r="I129" s="157"/>
    </row>
    <row r="130" spans="1:9" ht="20.100000000000001" customHeight="1">
      <c r="A130" s="19"/>
      <c r="B130" s="136" t="s">
        <v>91</v>
      </c>
      <c r="C130" s="164" t="s">
        <v>599</v>
      </c>
      <c r="D130" s="158"/>
      <c r="E130" s="29">
        <f t="shared" ref="E130" si="12">SUM(E119:E129)</f>
        <v>352868.51</v>
      </c>
      <c r="F130" s="167">
        <f t="shared" ref="F130:G130" si="13">SUM(F119:F129)</f>
        <v>4995.0480000000007</v>
      </c>
      <c r="G130" s="167">
        <f t="shared" si="13"/>
        <v>4955.9385000000002</v>
      </c>
      <c r="H130" s="29">
        <f t="shared" si="6"/>
        <v>39.10950000000048</v>
      </c>
      <c r="I130" s="157"/>
    </row>
    <row r="131" spans="1:9" ht="20.100000000000001" customHeight="1">
      <c r="A131" s="19"/>
      <c r="B131" s="103"/>
      <c r="C131" s="164"/>
      <c r="D131" s="158"/>
      <c r="E131" s="29"/>
      <c r="F131" s="159"/>
      <c r="G131" s="159"/>
      <c r="H131" s="24">
        <f t="shared" si="6"/>
        <v>0</v>
      </c>
      <c r="I131" s="157"/>
    </row>
    <row r="132" spans="1:9" ht="20.100000000000001" customHeight="1">
      <c r="A132" s="19"/>
      <c r="B132" s="136" t="s">
        <v>228</v>
      </c>
      <c r="C132" s="138"/>
      <c r="D132" s="158"/>
      <c r="E132" s="24"/>
      <c r="F132" s="22"/>
      <c r="G132" s="22"/>
      <c r="H132" s="24">
        <f t="shared" si="6"/>
        <v>0</v>
      </c>
      <c r="I132" s="157"/>
    </row>
    <row r="133" spans="1:9" ht="20.100000000000001" customHeight="1">
      <c r="A133" s="168">
        <v>1</v>
      </c>
      <c r="B133" s="133" t="s">
        <v>229</v>
      </c>
      <c r="C133" s="138" t="s">
        <v>230</v>
      </c>
      <c r="D133" s="158" t="s">
        <v>95</v>
      </c>
      <c r="E133" s="24">
        <v>81740.02</v>
      </c>
      <c r="F133" s="22"/>
      <c r="G133" s="22"/>
      <c r="H133" s="24">
        <f t="shared" si="6"/>
        <v>0</v>
      </c>
      <c r="I133" s="157"/>
    </row>
    <row r="134" spans="1:9" ht="20.100000000000001" customHeight="1">
      <c r="A134" s="168">
        <v>2</v>
      </c>
      <c r="B134" s="133" t="s">
        <v>231</v>
      </c>
      <c r="C134" s="138" t="s">
        <v>232</v>
      </c>
      <c r="D134" s="158" t="s">
        <v>233</v>
      </c>
      <c r="E134" s="24">
        <v>42653.17</v>
      </c>
      <c r="H134" s="24">
        <f t="shared" si="6"/>
        <v>0</v>
      </c>
      <c r="I134" s="157"/>
    </row>
    <row r="135" spans="1:9" ht="20.100000000000001" customHeight="1">
      <c r="A135" s="168">
        <v>3</v>
      </c>
      <c r="B135" s="135" t="s">
        <v>234</v>
      </c>
      <c r="C135" s="19" t="s">
        <v>235</v>
      </c>
      <c r="D135" s="23" t="s">
        <v>36</v>
      </c>
      <c r="E135" s="24">
        <v>41157.69</v>
      </c>
      <c r="F135" s="22">
        <f>0.025*E135</f>
        <v>1028.9422500000001</v>
      </c>
      <c r="G135" s="22">
        <f>G7</f>
        <v>1028.9422500000001</v>
      </c>
      <c r="H135" s="24">
        <f t="shared" si="6"/>
        <v>0</v>
      </c>
      <c r="I135" s="157"/>
    </row>
    <row r="136" spans="1:9" ht="20.100000000000001" customHeight="1">
      <c r="A136" s="168">
        <v>4</v>
      </c>
      <c r="B136" s="133" t="s">
        <v>236</v>
      </c>
      <c r="C136" s="138" t="s">
        <v>237</v>
      </c>
      <c r="D136" s="158" t="s">
        <v>51</v>
      </c>
      <c r="E136" s="24">
        <v>27611.23</v>
      </c>
      <c r="F136" s="22">
        <f>0.025*E136</f>
        <v>690.28075000000001</v>
      </c>
      <c r="G136" s="22">
        <f>'[10]April 2022'!$H$47</f>
        <v>668.31625000000008</v>
      </c>
      <c r="H136" s="24">
        <f t="shared" ref="H136:H189" si="14">F136-G136</f>
        <v>21.96449999999993</v>
      </c>
      <c r="I136" s="157"/>
    </row>
    <row r="137" spans="1:9" ht="20.100000000000001" customHeight="1">
      <c r="A137" s="168">
        <v>5</v>
      </c>
      <c r="B137" s="133" t="s">
        <v>238</v>
      </c>
      <c r="C137" s="19" t="s">
        <v>239</v>
      </c>
      <c r="D137" s="158" t="s">
        <v>51</v>
      </c>
      <c r="E137" s="24">
        <v>27611.23</v>
      </c>
      <c r="F137" s="22">
        <f>0.025*E137</f>
        <v>690.28075000000001</v>
      </c>
      <c r="G137" s="22">
        <f>'[10]April 2022'!$H$50</f>
        <v>668.31625000000008</v>
      </c>
      <c r="H137" s="24">
        <f t="shared" si="14"/>
        <v>21.96449999999993</v>
      </c>
      <c r="I137" s="157"/>
    </row>
    <row r="138" spans="1:9" ht="20.100000000000001" customHeight="1">
      <c r="A138" s="168">
        <v>6</v>
      </c>
      <c r="B138" s="133" t="s">
        <v>181</v>
      </c>
      <c r="C138" s="19" t="s">
        <v>245</v>
      </c>
      <c r="D138" s="158" t="s">
        <v>168</v>
      </c>
      <c r="E138" s="24">
        <v>25523.45</v>
      </c>
      <c r="F138" s="22"/>
      <c r="G138" s="22"/>
      <c r="H138" s="24">
        <f t="shared" si="14"/>
        <v>0</v>
      </c>
      <c r="I138" s="157"/>
    </row>
    <row r="139" spans="1:9" ht="20.100000000000001" customHeight="1">
      <c r="A139" s="168">
        <v>7</v>
      </c>
      <c r="B139" s="133" t="s">
        <v>241</v>
      </c>
      <c r="C139" s="138" t="s">
        <v>242</v>
      </c>
      <c r="D139" s="158" t="s">
        <v>203</v>
      </c>
      <c r="E139" s="24">
        <f>22837.82</f>
        <v>22837.82</v>
      </c>
      <c r="F139" s="22">
        <f>0.025*E139</f>
        <v>570.94550000000004</v>
      </c>
      <c r="G139" s="22">
        <f>'[10]April 2022'!$H$40</f>
        <v>538.02200000000005</v>
      </c>
      <c r="H139" s="24">
        <f t="shared" si="14"/>
        <v>32.92349999999999</v>
      </c>
      <c r="I139" s="157"/>
    </row>
    <row r="140" spans="1:9" ht="20.100000000000001" customHeight="1">
      <c r="A140" s="168">
        <v>8</v>
      </c>
      <c r="B140" s="133" t="s">
        <v>243</v>
      </c>
      <c r="C140" s="138" t="s">
        <v>242</v>
      </c>
      <c r="D140" s="158" t="s">
        <v>203</v>
      </c>
      <c r="E140" s="24">
        <f t="shared" ref="E140:E141" si="15">22837.82</f>
        <v>22837.82</v>
      </c>
      <c r="F140" s="22"/>
      <c r="G140" s="22"/>
      <c r="H140" s="24">
        <f t="shared" si="14"/>
        <v>0</v>
      </c>
      <c r="I140" s="157"/>
    </row>
    <row r="141" spans="1:9" ht="20.100000000000001" customHeight="1">
      <c r="A141" s="168">
        <v>9</v>
      </c>
      <c r="B141" s="133" t="s">
        <v>244</v>
      </c>
      <c r="C141" s="19" t="s">
        <v>245</v>
      </c>
      <c r="D141" s="158" t="s">
        <v>203</v>
      </c>
      <c r="E141" s="24">
        <f t="shared" si="15"/>
        <v>22837.82</v>
      </c>
      <c r="F141" s="22"/>
      <c r="G141" s="22"/>
      <c r="H141" s="24">
        <f t="shared" si="14"/>
        <v>0</v>
      </c>
      <c r="I141" s="157"/>
    </row>
    <row r="142" spans="1:9" ht="20.100000000000001" customHeight="1">
      <c r="A142" s="168">
        <v>10</v>
      </c>
      <c r="B142" s="133" t="s">
        <v>246</v>
      </c>
      <c r="C142" s="138" t="s">
        <v>251</v>
      </c>
      <c r="D142" s="158" t="s">
        <v>66</v>
      </c>
      <c r="E142" s="24">
        <v>21520.880000000001</v>
      </c>
      <c r="F142" s="22"/>
      <c r="G142" s="22"/>
      <c r="H142" s="24">
        <f t="shared" si="14"/>
        <v>0</v>
      </c>
      <c r="I142" s="157"/>
    </row>
    <row r="143" spans="1:9" ht="20.100000000000001" customHeight="1">
      <c r="A143" s="168">
        <v>11</v>
      </c>
      <c r="B143" s="133" t="s">
        <v>248</v>
      </c>
      <c r="C143" s="138" t="s">
        <v>418</v>
      </c>
      <c r="D143" s="158" t="s">
        <v>419</v>
      </c>
      <c r="E143" s="156">
        <v>18779.3</v>
      </c>
      <c r="F143" s="22">
        <f>0.025*E143</f>
        <v>469.48250000000002</v>
      </c>
      <c r="G143" s="22">
        <f>'[10]April 2022'!$H$43</f>
        <v>457.041</v>
      </c>
      <c r="H143" s="24">
        <f t="shared" si="14"/>
        <v>12.441500000000019</v>
      </c>
      <c r="I143" s="157"/>
    </row>
    <row r="144" spans="1:9" ht="20.100000000000001" customHeight="1">
      <c r="A144" s="168">
        <v>12</v>
      </c>
      <c r="B144" s="133" t="s">
        <v>250</v>
      </c>
      <c r="C144" s="138" t="s">
        <v>251</v>
      </c>
      <c r="D144" s="158" t="s">
        <v>203</v>
      </c>
      <c r="E144" s="24">
        <v>22837.82</v>
      </c>
      <c r="F144" s="22">
        <f>0.025*E144</f>
        <v>570.94550000000004</v>
      </c>
      <c r="G144" s="22">
        <f>G139</f>
        <v>538.02200000000005</v>
      </c>
      <c r="H144" s="24">
        <f t="shared" si="14"/>
        <v>32.92349999999999</v>
      </c>
      <c r="I144" s="157"/>
    </row>
    <row r="145" spans="1:9" ht="20.100000000000001" customHeight="1">
      <c r="A145" s="168">
        <v>13</v>
      </c>
      <c r="B145" s="133" t="s">
        <v>254</v>
      </c>
      <c r="C145" s="19" t="s">
        <v>255</v>
      </c>
      <c r="D145" s="158" t="s">
        <v>157</v>
      </c>
      <c r="E145" s="156">
        <v>18281.64</v>
      </c>
      <c r="F145" s="22"/>
      <c r="G145" s="22"/>
      <c r="H145" s="24">
        <f t="shared" si="14"/>
        <v>0</v>
      </c>
      <c r="I145" s="157"/>
    </row>
    <row r="146" spans="1:9" ht="20.100000000000001" customHeight="1">
      <c r="A146" s="168">
        <v>14</v>
      </c>
      <c r="B146" s="133" t="s">
        <v>256</v>
      </c>
      <c r="C146" s="19" t="s">
        <v>255</v>
      </c>
      <c r="D146" s="158" t="s">
        <v>257</v>
      </c>
      <c r="E146" s="156">
        <v>18281.64</v>
      </c>
      <c r="F146" s="22">
        <f>0.025*E146</f>
        <v>457.041</v>
      </c>
      <c r="G146" s="22">
        <f>'[10]April 2022'!$H$36</f>
        <v>444.60249999999996</v>
      </c>
      <c r="H146" s="24">
        <f t="shared" si="14"/>
        <v>12.438500000000033</v>
      </c>
      <c r="I146" s="157"/>
    </row>
    <row r="147" spans="1:9" ht="20.100000000000001" customHeight="1">
      <c r="A147" s="168">
        <v>15</v>
      </c>
      <c r="B147" s="133" t="s">
        <v>258</v>
      </c>
      <c r="C147" s="19" t="s">
        <v>255</v>
      </c>
      <c r="D147" s="158" t="s">
        <v>257</v>
      </c>
      <c r="E147" s="156">
        <v>18281.64</v>
      </c>
      <c r="F147" s="22"/>
      <c r="G147" s="22"/>
      <c r="H147" s="24">
        <f t="shared" si="14"/>
        <v>0</v>
      </c>
      <c r="I147" s="157"/>
    </row>
    <row r="148" spans="1:9" ht="20.100000000000001" customHeight="1">
      <c r="A148" s="168">
        <v>16</v>
      </c>
      <c r="B148" s="133" t="s">
        <v>259</v>
      </c>
      <c r="C148" s="138" t="s">
        <v>260</v>
      </c>
      <c r="D148" s="158" t="s">
        <v>72</v>
      </c>
      <c r="E148" s="229">
        <f>17286.33</f>
        <v>17286.330000000002</v>
      </c>
      <c r="F148" s="22"/>
      <c r="G148" s="22"/>
      <c r="H148" s="24">
        <f t="shared" si="14"/>
        <v>0</v>
      </c>
      <c r="I148" s="157"/>
    </row>
    <row r="149" spans="1:9" ht="20.100000000000001" customHeight="1">
      <c r="A149" s="168">
        <v>17</v>
      </c>
      <c r="B149" s="133" t="s">
        <v>261</v>
      </c>
      <c r="C149" s="138" t="s">
        <v>262</v>
      </c>
      <c r="D149" s="27" t="s">
        <v>79</v>
      </c>
      <c r="E149" s="227">
        <f>14736.14</f>
        <v>14736.14</v>
      </c>
      <c r="F149" s="22"/>
      <c r="G149" s="22"/>
      <c r="H149" s="24">
        <f t="shared" si="14"/>
        <v>0</v>
      </c>
      <c r="I149" s="157"/>
    </row>
    <row r="150" spans="1:9" ht="20.100000000000001" customHeight="1">
      <c r="A150" s="168">
        <v>18</v>
      </c>
      <c r="B150" s="133" t="s">
        <v>263</v>
      </c>
      <c r="C150" s="138" t="s">
        <v>264</v>
      </c>
      <c r="D150" s="158" t="s">
        <v>157</v>
      </c>
      <c r="E150" s="156">
        <v>18281.64</v>
      </c>
      <c r="F150" s="22"/>
      <c r="G150" s="22"/>
      <c r="H150" s="24">
        <f t="shared" si="14"/>
        <v>0</v>
      </c>
      <c r="I150" s="157"/>
    </row>
    <row r="151" spans="1:9" ht="20.100000000000001" customHeight="1">
      <c r="A151" s="168">
        <v>19</v>
      </c>
      <c r="B151" s="133" t="s">
        <v>265</v>
      </c>
      <c r="C151" s="138" t="s">
        <v>266</v>
      </c>
      <c r="D151" s="158" t="s">
        <v>75</v>
      </c>
      <c r="E151" s="156">
        <f>15188.67</f>
        <v>15188.67</v>
      </c>
      <c r="F151" s="22"/>
      <c r="G151" s="22"/>
      <c r="H151" s="24">
        <f t="shared" si="14"/>
        <v>0</v>
      </c>
      <c r="I151" s="157"/>
    </row>
    <row r="152" spans="1:9" ht="20.100000000000001" customHeight="1">
      <c r="A152" s="168">
        <v>20</v>
      </c>
      <c r="B152" s="133" t="s">
        <v>267</v>
      </c>
      <c r="C152" s="138" t="s">
        <v>268</v>
      </c>
      <c r="D152" s="158" t="s">
        <v>157</v>
      </c>
      <c r="E152" s="156">
        <v>18281.64</v>
      </c>
      <c r="F152" s="22">
        <f>0.025*E152</f>
        <v>457.041</v>
      </c>
      <c r="G152" s="22">
        <f>G146</f>
        <v>444.60249999999996</v>
      </c>
      <c r="H152" s="24">
        <f t="shared" si="14"/>
        <v>12.438500000000033</v>
      </c>
      <c r="I152" s="157"/>
    </row>
    <row r="153" spans="1:9" ht="20.100000000000001" customHeight="1">
      <c r="A153" s="168">
        <v>21</v>
      </c>
      <c r="B153" s="133" t="s">
        <v>269</v>
      </c>
      <c r="C153" s="138" t="s">
        <v>270</v>
      </c>
      <c r="D153" s="158" t="s">
        <v>75</v>
      </c>
      <c r="E153" s="156">
        <v>15188.67</v>
      </c>
      <c r="F153" s="22"/>
      <c r="G153" s="22"/>
      <c r="H153" s="24">
        <f t="shared" si="14"/>
        <v>0</v>
      </c>
      <c r="I153" s="157"/>
    </row>
    <row r="154" spans="1:9" ht="20.100000000000001" customHeight="1">
      <c r="A154" s="168">
        <v>22</v>
      </c>
      <c r="B154" s="134" t="s">
        <v>271</v>
      </c>
      <c r="C154" s="138" t="s">
        <v>276</v>
      </c>
      <c r="D154" s="158" t="s">
        <v>585</v>
      </c>
      <c r="E154" s="156">
        <v>13492.21</v>
      </c>
      <c r="F154" s="22"/>
      <c r="G154" s="22"/>
      <c r="H154" s="24">
        <f t="shared" si="14"/>
        <v>0</v>
      </c>
      <c r="I154" s="157"/>
    </row>
    <row r="155" spans="1:9" ht="20.100000000000001" customHeight="1">
      <c r="A155" s="168">
        <v>23</v>
      </c>
      <c r="B155" s="134" t="s">
        <v>600</v>
      </c>
      <c r="C155" s="138" t="s">
        <v>274</v>
      </c>
      <c r="D155" s="158" t="s">
        <v>86</v>
      </c>
      <c r="E155" s="24">
        <f>12732</f>
        <v>12732</v>
      </c>
      <c r="F155" s="22">
        <f>0</f>
        <v>0</v>
      </c>
      <c r="G155" s="22">
        <f>0</f>
        <v>0</v>
      </c>
      <c r="H155" s="24">
        <f t="shared" si="14"/>
        <v>0</v>
      </c>
      <c r="I155" s="157"/>
    </row>
    <row r="156" spans="1:9" ht="20.100000000000001" customHeight="1">
      <c r="A156" s="168">
        <v>24</v>
      </c>
      <c r="B156" s="134" t="s">
        <v>273</v>
      </c>
      <c r="C156" s="138" t="s">
        <v>274</v>
      </c>
      <c r="D156" s="158" t="s">
        <v>90</v>
      </c>
      <c r="E156" s="227">
        <v>12351.94</v>
      </c>
      <c r="F156" s="22">
        <f>0</f>
        <v>0</v>
      </c>
      <c r="G156" s="22">
        <f>0</f>
        <v>0</v>
      </c>
      <c r="H156" s="24">
        <f t="shared" si="14"/>
        <v>0</v>
      </c>
      <c r="I156" s="157"/>
    </row>
    <row r="157" spans="1:9" ht="20.100000000000001" customHeight="1">
      <c r="A157" s="168">
        <v>25</v>
      </c>
      <c r="B157" s="134" t="s">
        <v>275</v>
      </c>
      <c r="C157" s="138" t="s">
        <v>276</v>
      </c>
      <c r="D157" s="158" t="s">
        <v>90</v>
      </c>
      <c r="E157" s="227">
        <v>12352.94</v>
      </c>
      <c r="F157" s="22">
        <f>0</f>
        <v>0</v>
      </c>
      <c r="G157" s="22">
        <f>0</f>
        <v>0</v>
      </c>
      <c r="H157" s="24">
        <f t="shared" si="14"/>
        <v>0</v>
      </c>
      <c r="I157" s="157"/>
    </row>
    <row r="158" spans="1:9" ht="20.100000000000001" customHeight="1">
      <c r="A158" s="168">
        <v>26</v>
      </c>
      <c r="B158" s="134" t="s">
        <v>277</v>
      </c>
      <c r="C158" s="138" t="s">
        <v>278</v>
      </c>
      <c r="D158" s="158" t="s">
        <v>86</v>
      </c>
      <c r="E158" s="24">
        <v>12732</v>
      </c>
      <c r="F158" s="22">
        <f>0</f>
        <v>0</v>
      </c>
      <c r="G158" s="22">
        <f>0</f>
        <v>0</v>
      </c>
      <c r="H158" s="24">
        <f t="shared" si="14"/>
        <v>0</v>
      </c>
      <c r="I158" s="157"/>
    </row>
    <row r="159" spans="1:9" ht="20.100000000000001" customHeight="1">
      <c r="A159" s="168">
        <v>27</v>
      </c>
      <c r="B159" s="134" t="s">
        <v>279</v>
      </c>
      <c r="C159" s="138" t="s">
        <v>280</v>
      </c>
      <c r="D159" s="158" t="s">
        <v>86</v>
      </c>
      <c r="E159" s="24">
        <v>12732</v>
      </c>
      <c r="F159" s="22">
        <f>0</f>
        <v>0</v>
      </c>
      <c r="G159" s="22">
        <f>0</f>
        <v>0</v>
      </c>
      <c r="H159" s="24">
        <f t="shared" si="14"/>
        <v>0</v>
      </c>
      <c r="I159" s="157"/>
    </row>
    <row r="160" spans="1:9" ht="20.100000000000001" customHeight="1">
      <c r="A160" s="168">
        <v>28</v>
      </c>
      <c r="B160" s="133" t="s">
        <v>282</v>
      </c>
      <c r="C160" s="138" t="s">
        <v>283</v>
      </c>
      <c r="D160" s="158" t="s">
        <v>284</v>
      </c>
      <c r="E160" s="169">
        <f>10527.6</f>
        <v>10527.6</v>
      </c>
      <c r="F160" s="22">
        <f>0.025*E160</f>
        <v>263.19</v>
      </c>
      <c r="G160" s="22">
        <f>'[10]April 2022'!$H$39</f>
        <v>226.2535</v>
      </c>
      <c r="H160" s="24">
        <f t="shared" si="14"/>
        <v>36.936499999999995</v>
      </c>
      <c r="I160" s="157"/>
    </row>
    <row r="161" spans="1:9" ht="20.100000000000001" customHeight="1">
      <c r="A161" s="168">
        <v>29</v>
      </c>
      <c r="B161" s="133" t="s">
        <v>285</v>
      </c>
      <c r="C161" s="138" t="s">
        <v>283</v>
      </c>
      <c r="D161" s="158" t="s">
        <v>284</v>
      </c>
      <c r="E161" s="169">
        <f t="shared" ref="E161:E165" si="16">10527.6</f>
        <v>10527.6</v>
      </c>
      <c r="F161" s="22"/>
      <c r="G161" s="22"/>
      <c r="H161" s="24">
        <f t="shared" si="14"/>
        <v>0</v>
      </c>
      <c r="I161" s="157"/>
    </row>
    <row r="162" spans="1:9" ht="20.100000000000001" customHeight="1">
      <c r="A162" s="168">
        <v>30</v>
      </c>
      <c r="B162" s="133" t="s">
        <v>286</v>
      </c>
      <c r="C162" s="138" t="s">
        <v>283</v>
      </c>
      <c r="D162" s="158" t="s">
        <v>284</v>
      </c>
      <c r="E162" s="169">
        <f t="shared" si="16"/>
        <v>10527.6</v>
      </c>
      <c r="F162" s="22"/>
      <c r="G162" s="22"/>
      <c r="H162" s="24">
        <f t="shared" si="14"/>
        <v>0</v>
      </c>
      <c r="I162" s="157"/>
    </row>
    <row r="163" spans="1:9" ht="20.100000000000001" customHeight="1">
      <c r="A163" s="168">
        <v>31</v>
      </c>
      <c r="B163" s="133" t="s">
        <v>601</v>
      </c>
      <c r="C163" s="138" t="s">
        <v>283</v>
      </c>
      <c r="D163" s="158" t="s">
        <v>284</v>
      </c>
      <c r="E163" s="169">
        <f t="shared" si="16"/>
        <v>10527.6</v>
      </c>
      <c r="F163" s="22"/>
      <c r="G163" s="22"/>
      <c r="H163" s="24">
        <f t="shared" si="14"/>
        <v>0</v>
      </c>
      <c r="I163" s="157"/>
    </row>
    <row r="164" spans="1:9" ht="20.100000000000001" customHeight="1">
      <c r="A164" s="168">
        <v>32</v>
      </c>
      <c r="B164" s="133" t="s">
        <v>287</v>
      </c>
      <c r="C164" s="138" t="s">
        <v>283</v>
      </c>
      <c r="D164" s="158" t="s">
        <v>284</v>
      </c>
      <c r="E164" s="169">
        <f t="shared" si="16"/>
        <v>10527.6</v>
      </c>
      <c r="F164" s="22">
        <v>263.19</v>
      </c>
      <c r="G164" s="22">
        <f>'[10]April 2022'!$H$51</f>
        <v>226.2535</v>
      </c>
      <c r="H164" s="24">
        <f t="shared" si="14"/>
        <v>36.936499999999995</v>
      </c>
      <c r="I164" s="157"/>
    </row>
    <row r="165" spans="1:9" ht="20.100000000000001" customHeight="1">
      <c r="A165" s="168">
        <v>33</v>
      </c>
      <c r="B165" s="133" t="s">
        <v>288</v>
      </c>
      <c r="C165" s="138" t="s">
        <v>283</v>
      </c>
      <c r="D165" s="158" t="s">
        <v>284</v>
      </c>
      <c r="E165" s="169">
        <f t="shared" si="16"/>
        <v>10527.6</v>
      </c>
      <c r="F165" s="22"/>
      <c r="G165" s="22"/>
      <c r="H165" s="24">
        <f t="shared" si="14"/>
        <v>0</v>
      </c>
      <c r="I165" s="157"/>
    </row>
    <row r="166" spans="1:9" ht="20.100000000000001" customHeight="1">
      <c r="A166" s="168">
        <v>34</v>
      </c>
      <c r="B166" s="133" t="s">
        <v>289</v>
      </c>
      <c r="C166" s="138" t="s">
        <v>283</v>
      </c>
      <c r="D166" s="158" t="s">
        <v>290</v>
      </c>
      <c r="E166" s="24">
        <v>9050.14</v>
      </c>
      <c r="F166" s="22"/>
      <c r="G166" s="22"/>
      <c r="H166" s="24">
        <f t="shared" si="14"/>
        <v>0</v>
      </c>
      <c r="I166" s="157"/>
    </row>
    <row r="167" spans="1:9" ht="20.100000000000001" customHeight="1">
      <c r="A167" s="168">
        <v>35</v>
      </c>
      <c r="B167" s="133" t="s">
        <v>291</v>
      </c>
      <c r="C167" s="138" t="s">
        <v>283</v>
      </c>
      <c r="D167" s="158" t="s">
        <v>290</v>
      </c>
      <c r="E167" s="24">
        <v>9050.14</v>
      </c>
      <c r="F167" s="22"/>
      <c r="G167" s="22"/>
      <c r="H167" s="24">
        <f t="shared" si="14"/>
        <v>0</v>
      </c>
      <c r="I167" s="157"/>
    </row>
    <row r="168" spans="1:9" ht="20.100000000000001" customHeight="1">
      <c r="A168" s="168">
        <v>36</v>
      </c>
      <c r="B168" s="133" t="s">
        <v>576</v>
      </c>
      <c r="C168" s="138" t="s">
        <v>283</v>
      </c>
      <c r="D168" s="158" t="s">
        <v>290</v>
      </c>
      <c r="E168" s="24">
        <v>9050.14</v>
      </c>
      <c r="F168" s="22"/>
      <c r="G168" s="22"/>
      <c r="H168" s="24">
        <f t="shared" si="14"/>
        <v>0</v>
      </c>
      <c r="I168" s="157"/>
    </row>
    <row r="169" spans="1:9" ht="20.100000000000001" customHeight="1">
      <c r="A169" s="168">
        <v>37</v>
      </c>
      <c r="B169" s="135" t="s">
        <v>292</v>
      </c>
      <c r="C169" s="138" t="s">
        <v>283</v>
      </c>
      <c r="D169" s="158" t="s">
        <v>290</v>
      </c>
      <c r="E169" s="24">
        <v>9050.14</v>
      </c>
      <c r="F169" s="22"/>
      <c r="G169" s="22"/>
      <c r="H169" s="24">
        <f t="shared" si="14"/>
        <v>0</v>
      </c>
      <c r="I169" s="157"/>
    </row>
    <row r="170" spans="1:9" ht="20.100000000000001" customHeight="1">
      <c r="A170" s="168">
        <v>38</v>
      </c>
      <c r="B170" s="133" t="s">
        <v>293</v>
      </c>
      <c r="C170" s="138" t="s">
        <v>283</v>
      </c>
      <c r="D170" s="158" t="s">
        <v>290</v>
      </c>
      <c r="E170" s="24">
        <v>9050.14</v>
      </c>
      <c r="F170" s="22"/>
      <c r="G170" s="22"/>
      <c r="H170" s="24">
        <f t="shared" si="14"/>
        <v>0</v>
      </c>
      <c r="I170" s="157"/>
    </row>
    <row r="171" spans="1:9" ht="20.100000000000001" customHeight="1">
      <c r="A171" s="168">
        <v>39</v>
      </c>
      <c r="B171" s="134" t="s">
        <v>294</v>
      </c>
      <c r="C171" s="138" t="s">
        <v>283</v>
      </c>
      <c r="D171" s="158" t="s">
        <v>290</v>
      </c>
      <c r="E171" s="24">
        <v>9050.14</v>
      </c>
      <c r="F171" s="22"/>
      <c r="G171" s="22"/>
      <c r="H171" s="24">
        <f t="shared" si="14"/>
        <v>0</v>
      </c>
      <c r="I171" s="157"/>
    </row>
    <row r="172" spans="1:9" ht="20.100000000000001" customHeight="1">
      <c r="A172" s="168">
        <v>40</v>
      </c>
      <c r="B172" s="134" t="s">
        <v>295</v>
      </c>
      <c r="C172" s="138" t="s">
        <v>283</v>
      </c>
      <c r="D172" s="158" t="s">
        <v>290</v>
      </c>
      <c r="E172" s="24">
        <v>9050.14</v>
      </c>
      <c r="F172" s="22"/>
      <c r="G172" s="22"/>
      <c r="H172" s="24">
        <f t="shared" si="14"/>
        <v>0</v>
      </c>
      <c r="I172" s="157"/>
    </row>
    <row r="173" spans="1:9" ht="20.100000000000001" customHeight="1">
      <c r="A173" s="168">
        <v>41</v>
      </c>
      <c r="B173" s="133" t="s">
        <v>296</v>
      </c>
      <c r="C173" s="138" t="s">
        <v>302</v>
      </c>
      <c r="D173" s="158" t="s">
        <v>400</v>
      </c>
      <c r="E173" s="24">
        <v>5428.12</v>
      </c>
      <c r="F173" s="22"/>
      <c r="G173" s="22"/>
      <c r="H173" s="24">
        <f t="shared" si="14"/>
        <v>0</v>
      </c>
      <c r="I173" s="157"/>
    </row>
    <row r="174" spans="1:9" ht="20.100000000000001" customHeight="1">
      <c r="A174" s="168">
        <v>42</v>
      </c>
      <c r="B174" s="133" t="s">
        <v>299</v>
      </c>
      <c r="C174" s="138" t="s">
        <v>302</v>
      </c>
      <c r="D174" s="158" t="s">
        <v>400</v>
      </c>
      <c r="E174" s="24">
        <v>5428.12</v>
      </c>
      <c r="F174" s="22"/>
      <c r="G174" s="22"/>
      <c r="H174" s="24">
        <f t="shared" si="14"/>
        <v>0</v>
      </c>
      <c r="I174" s="157"/>
    </row>
    <row r="175" spans="1:9" ht="20.100000000000001" customHeight="1">
      <c r="A175" s="168">
        <v>43</v>
      </c>
      <c r="B175" s="134" t="s">
        <v>300</v>
      </c>
      <c r="C175" s="138" t="s">
        <v>302</v>
      </c>
      <c r="D175" s="158" t="s">
        <v>401</v>
      </c>
      <c r="E175" s="24">
        <f>5598.92</f>
        <v>5598.92</v>
      </c>
      <c r="F175" s="22"/>
      <c r="G175" s="22"/>
      <c r="H175" s="24">
        <f t="shared" si="14"/>
        <v>0</v>
      </c>
      <c r="I175" s="157"/>
    </row>
    <row r="176" spans="1:9" ht="20.100000000000001" customHeight="1">
      <c r="A176" s="168">
        <v>44</v>
      </c>
      <c r="B176" s="133" t="s">
        <v>301</v>
      </c>
      <c r="C176" s="138" t="s">
        <v>302</v>
      </c>
      <c r="D176" s="158" t="s">
        <v>303</v>
      </c>
      <c r="E176" s="24">
        <v>5257.44</v>
      </c>
      <c r="F176" s="22"/>
      <c r="G176" s="22"/>
      <c r="H176" s="24">
        <f t="shared" si="14"/>
        <v>0</v>
      </c>
      <c r="I176" s="157"/>
    </row>
    <row r="177" spans="1:9" ht="20.100000000000001" customHeight="1">
      <c r="A177" s="168">
        <v>45</v>
      </c>
      <c r="B177" s="133" t="s">
        <v>304</v>
      </c>
      <c r="C177" s="138" t="s">
        <v>305</v>
      </c>
      <c r="D177" s="158" t="s">
        <v>306</v>
      </c>
      <c r="E177" s="24">
        <v>5086.76</v>
      </c>
      <c r="F177" s="22"/>
      <c r="G177" s="22"/>
      <c r="H177" s="24">
        <f t="shared" si="14"/>
        <v>0</v>
      </c>
      <c r="I177" s="157"/>
    </row>
    <row r="178" spans="1:9" ht="20.100000000000001" customHeight="1">
      <c r="A178" s="168">
        <v>46</v>
      </c>
      <c r="B178" s="133" t="s">
        <v>307</v>
      </c>
      <c r="C178" s="138" t="s">
        <v>305</v>
      </c>
      <c r="D178" s="158" t="s">
        <v>306</v>
      </c>
      <c r="E178" s="24">
        <v>5086.76</v>
      </c>
      <c r="F178" s="22"/>
      <c r="G178" s="22"/>
      <c r="H178" s="24">
        <f t="shared" si="14"/>
        <v>0</v>
      </c>
      <c r="I178" s="157"/>
    </row>
    <row r="179" spans="1:9" ht="20.100000000000001" customHeight="1">
      <c r="A179" s="168">
        <v>47</v>
      </c>
      <c r="B179" s="133" t="s">
        <v>308</v>
      </c>
      <c r="C179" s="138" t="s">
        <v>305</v>
      </c>
      <c r="D179" s="158" t="s">
        <v>306</v>
      </c>
      <c r="E179" s="24">
        <v>5086.76</v>
      </c>
      <c r="F179" s="22"/>
      <c r="G179" s="22"/>
      <c r="H179" s="24">
        <f t="shared" si="14"/>
        <v>0</v>
      </c>
      <c r="I179" s="157"/>
    </row>
    <row r="180" spans="1:9" ht="20.100000000000001" customHeight="1">
      <c r="A180" s="168">
        <v>48</v>
      </c>
      <c r="B180" s="133" t="s">
        <v>309</v>
      </c>
      <c r="C180" s="138" t="s">
        <v>305</v>
      </c>
      <c r="D180" s="158" t="s">
        <v>306</v>
      </c>
      <c r="E180" s="24">
        <v>5086.76</v>
      </c>
      <c r="F180" s="22"/>
      <c r="G180" s="22"/>
      <c r="H180" s="24">
        <f t="shared" si="14"/>
        <v>0</v>
      </c>
      <c r="I180" s="157"/>
    </row>
    <row r="181" spans="1:9" ht="20.100000000000001" customHeight="1">
      <c r="A181" s="168">
        <v>49</v>
      </c>
      <c r="B181" s="133" t="s">
        <v>310</v>
      </c>
      <c r="C181" s="138" t="s">
        <v>305</v>
      </c>
      <c r="D181" s="158" t="s">
        <v>306</v>
      </c>
      <c r="E181" s="24">
        <v>5086.76</v>
      </c>
      <c r="F181" s="22"/>
      <c r="G181" s="22"/>
      <c r="H181" s="24">
        <f t="shared" si="14"/>
        <v>0</v>
      </c>
      <c r="I181" s="157"/>
    </row>
    <row r="182" spans="1:9" ht="20.100000000000001" customHeight="1">
      <c r="A182" s="168">
        <v>50</v>
      </c>
      <c r="B182" s="134" t="s">
        <v>311</v>
      </c>
      <c r="C182" s="138" t="s">
        <v>305</v>
      </c>
      <c r="D182" s="158" t="s">
        <v>306</v>
      </c>
      <c r="E182" s="24">
        <v>5086.76</v>
      </c>
      <c r="F182" s="22"/>
      <c r="G182" s="22"/>
      <c r="H182" s="24">
        <f t="shared" si="14"/>
        <v>0</v>
      </c>
      <c r="I182" s="157"/>
    </row>
    <row r="183" spans="1:9" ht="20.100000000000001" customHeight="1">
      <c r="A183" s="168">
        <v>51</v>
      </c>
      <c r="B183" s="134" t="s">
        <v>312</v>
      </c>
      <c r="C183" s="138" t="s">
        <v>305</v>
      </c>
      <c r="D183" s="158" t="s">
        <v>306</v>
      </c>
      <c r="E183" s="24">
        <v>5086.76</v>
      </c>
      <c r="F183" s="22"/>
      <c r="G183" s="22"/>
      <c r="H183" s="24">
        <f t="shared" si="14"/>
        <v>0</v>
      </c>
      <c r="I183" s="157"/>
    </row>
    <row r="184" spans="1:9" ht="20.100000000000001" customHeight="1">
      <c r="A184" s="168">
        <v>52</v>
      </c>
      <c r="B184" s="133" t="s">
        <v>313</v>
      </c>
      <c r="C184" s="138" t="s">
        <v>302</v>
      </c>
      <c r="D184" s="158" t="s">
        <v>306</v>
      </c>
      <c r="E184" s="24">
        <v>5086.76</v>
      </c>
      <c r="F184" s="22"/>
      <c r="G184" s="22"/>
      <c r="H184" s="24">
        <f t="shared" si="14"/>
        <v>0</v>
      </c>
      <c r="I184" s="157"/>
    </row>
    <row r="185" spans="1:9" ht="20.100000000000001" customHeight="1">
      <c r="A185" s="168">
        <v>53</v>
      </c>
      <c r="B185" s="133" t="s">
        <v>314</v>
      </c>
      <c r="C185" s="138" t="s">
        <v>302</v>
      </c>
      <c r="D185" s="158" t="s">
        <v>306</v>
      </c>
      <c r="E185" s="24">
        <v>5086.76</v>
      </c>
      <c r="F185" s="22"/>
      <c r="G185" s="22"/>
      <c r="H185" s="24">
        <f t="shared" si="14"/>
        <v>0</v>
      </c>
      <c r="I185" s="157"/>
    </row>
    <row r="186" spans="1:9" ht="20.100000000000001" customHeight="1">
      <c r="A186" s="168">
        <v>54</v>
      </c>
      <c r="B186" s="134" t="s">
        <v>315</v>
      </c>
      <c r="C186" s="138" t="s">
        <v>305</v>
      </c>
      <c r="D186" s="158" t="s">
        <v>420</v>
      </c>
      <c r="E186" s="24">
        <f>4689.38</f>
        <v>4689.38</v>
      </c>
      <c r="F186" s="22"/>
      <c r="G186" s="22"/>
      <c r="H186" s="24">
        <f t="shared" si="14"/>
        <v>0</v>
      </c>
      <c r="I186" s="157"/>
    </row>
    <row r="187" spans="1:9" ht="20.100000000000001" customHeight="1">
      <c r="A187" s="168">
        <v>55</v>
      </c>
      <c r="B187" s="134" t="s">
        <v>318</v>
      </c>
      <c r="C187" s="138" t="s">
        <v>305</v>
      </c>
      <c r="D187" s="158" t="s">
        <v>319</v>
      </c>
      <c r="E187" s="156">
        <f>4395.43</f>
        <v>4395.43</v>
      </c>
      <c r="F187" s="22"/>
      <c r="G187" s="22"/>
      <c r="H187" s="24">
        <f t="shared" si="14"/>
        <v>0</v>
      </c>
      <c r="I187" s="157"/>
    </row>
    <row r="188" spans="1:9" ht="20.100000000000001" customHeight="1">
      <c r="A188" s="168"/>
      <c r="B188" s="154" t="s">
        <v>91</v>
      </c>
      <c r="C188" s="170" t="s">
        <v>577</v>
      </c>
      <c r="D188" s="21"/>
      <c r="E188" s="65">
        <f t="shared" ref="E188" si="17">SUM(E133:E187)</f>
        <v>811244.18</v>
      </c>
      <c r="F188" s="65">
        <f>SUM(F133:F187)</f>
        <v>5461.3392499999991</v>
      </c>
      <c r="G188" s="65">
        <f>SUM(G133:G187)</f>
        <v>5240.3717499999993</v>
      </c>
      <c r="H188" s="29">
        <f t="shared" si="14"/>
        <v>220.96749999999975</v>
      </c>
      <c r="I188" s="157"/>
    </row>
    <row r="189" spans="1:9" ht="20.100000000000001" customHeight="1">
      <c r="A189" s="19"/>
      <c r="B189" s="171" t="s">
        <v>330</v>
      </c>
      <c r="C189" s="172">
        <f>C37+C42+C57+C61+C77+C85+C99+C106+C116+C130+C188+2</f>
        <v>154</v>
      </c>
      <c r="D189" s="173"/>
      <c r="E189" s="174">
        <v>3773721.59</v>
      </c>
      <c r="F189" s="174">
        <f>F37+F42+F57+F61+F77+F85+F99+F106+F116+F130+F188</f>
        <v>23887.071250000001</v>
      </c>
      <c r="G189" s="174">
        <f>G37+G42+G57+G61+G77+G85+G99+G106+G116+G130+G188</f>
        <v>23429.459500000001</v>
      </c>
      <c r="H189" s="29">
        <f t="shared" si="14"/>
        <v>457.61175000000003</v>
      </c>
      <c r="I189" s="157"/>
    </row>
    <row r="190" spans="1:9" ht="20.100000000000001" customHeight="1">
      <c r="B190" s="175"/>
      <c r="D190" s="176"/>
      <c r="E190" s="176"/>
      <c r="F190" s="177"/>
      <c r="G190" s="177"/>
      <c r="H190" s="178"/>
      <c r="I190" s="179"/>
    </row>
    <row r="191" spans="1:9" ht="65.25" customHeight="1">
      <c r="B191" s="175"/>
      <c r="C191" s="176"/>
      <c r="D191" s="176"/>
      <c r="E191" s="176"/>
      <c r="F191" s="177"/>
      <c r="G191" s="177"/>
      <c r="H191" s="178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180"/>
  <sheetViews>
    <sheetView workbookViewId="0">
      <selection activeCell="F6" sqref="F6"/>
    </sheetView>
  </sheetViews>
  <sheetFormatPr defaultRowHeight="12.75"/>
  <cols>
    <col min="1" max="1" width="3.28515625" style="33" customWidth="1"/>
    <col min="2" max="2" width="35.28515625" style="33" customWidth="1"/>
    <col min="3" max="3" width="12.7109375" style="33" bestFit="1" customWidth="1"/>
    <col min="4" max="4" width="9.28515625" style="33" bestFit="1" customWidth="1"/>
    <col min="5" max="5" width="12.7109375" style="33" bestFit="1" customWidth="1"/>
    <col min="6" max="6" width="12" style="33" customWidth="1"/>
    <col min="7" max="7" width="9.28515625" style="33" bestFit="1" customWidth="1"/>
    <col min="8" max="8" width="9.140625" style="33"/>
    <col min="9" max="9" width="12.7109375" style="33" bestFit="1" customWidth="1"/>
    <col min="10" max="10" width="10.140625" style="33" bestFit="1" customWidth="1"/>
    <col min="11" max="11" width="9.28515625" style="33" bestFit="1" customWidth="1"/>
    <col min="12" max="14" width="11.7109375" style="33" bestFit="1" customWidth="1"/>
    <col min="15" max="15" width="12.7109375" style="33" bestFit="1" customWidth="1"/>
    <col min="16" max="19" width="9.28515625" style="33" bestFit="1" customWidth="1"/>
    <col min="20" max="20" width="10.140625" style="33" bestFit="1" customWidth="1"/>
    <col min="21" max="22" width="11.7109375" style="33" bestFit="1" customWidth="1"/>
    <col min="23" max="23" width="9.28515625" style="33" bestFit="1" customWidth="1"/>
    <col min="24" max="24" width="10.140625" style="33" bestFit="1" customWidth="1"/>
    <col min="25" max="25" width="9.140625" style="33"/>
    <col min="26" max="27" width="11.7109375" style="33" bestFit="1" customWidth="1"/>
    <col min="28" max="28" width="9.28515625" style="33" bestFit="1" customWidth="1"/>
    <col min="29" max="16384" width="9.140625" style="33"/>
  </cols>
  <sheetData>
    <row r="1" spans="1:28">
      <c r="A1" s="230" t="s">
        <v>0</v>
      </c>
    </row>
    <row r="2" spans="1:28">
      <c r="A2" s="230" t="s">
        <v>605</v>
      </c>
    </row>
    <row r="3" spans="1:28">
      <c r="A3" s="230" t="s">
        <v>606</v>
      </c>
    </row>
    <row r="4" spans="1:28" ht="90" customHeight="1">
      <c r="A4" s="231" t="s">
        <v>607</v>
      </c>
      <c r="B4" s="231" t="s">
        <v>555</v>
      </c>
      <c r="C4" s="231" t="s">
        <v>608</v>
      </c>
      <c r="D4" s="231" t="s">
        <v>395</v>
      </c>
      <c r="E4" s="231" t="s">
        <v>609</v>
      </c>
      <c r="F4" s="231" t="s">
        <v>610</v>
      </c>
      <c r="G4" s="231" t="s">
        <v>611</v>
      </c>
      <c r="H4" s="231" t="s">
        <v>612</v>
      </c>
      <c r="I4" s="231" t="s">
        <v>613</v>
      </c>
      <c r="J4" s="231"/>
      <c r="K4" s="231"/>
      <c r="L4" s="231"/>
      <c r="M4" s="231" t="s">
        <v>614</v>
      </c>
      <c r="N4" s="231" t="s">
        <v>615</v>
      </c>
      <c r="O4" s="231" t="s">
        <v>616</v>
      </c>
      <c r="P4" s="231" t="s">
        <v>617</v>
      </c>
      <c r="Q4" s="231" t="s">
        <v>618</v>
      </c>
      <c r="R4" s="231" t="s">
        <v>619</v>
      </c>
      <c r="S4" s="231" t="s">
        <v>620</v>
      </c>
      <c r="T4" s="231" t="s">
        <v>621</v>
      </c>
      <c r="U4" s="231" t="s">
        <v>622</v>
      </c>
      <c r="V4" s="231" t="s">
        <v>623</v>
      </c>
      <c r="W4" s="231"/>
      <c r="X4" s="231" t="s">
        <v>624</v>
      </c>
      <c r="Y4" s="231" t="s">
        <v>625</v>
      </c>
      <c r="Z4" s="231" t="s">
        <v>626</v>
      </c>
      <c r="AA4" s="231" t="s">
        <v>627</v>
      </c>
      <c r="AB4" s="231" t="s">
        <v>628</v>
      </c>
    </row>
    <row r="5" spans="1:28">
      <c r="A5">
        <v>1</v>
      </c>
      <c r="B5" s="33" t="s">
        <v>28</v>
      </c>
      <c r="C5" s="33">
        <v>1158849.8399999999</v>
      </c>
      <c r="D5" s="33">
        <v>12</v>
      </c>
      <c r="E5" s="33">
        <v>13906198.079999998</v>
      </c>
      <c r="I5" s="33">
        <v>13906198.079999998</v>
      </c>
      <c r="J5" s="33">
        <v>200000</v>
      </c>
      <c r="K5" s="33">
        <v>0.2</v>
      </c>
      <c r="L5" s="33">
        <v>2781239.6159999999</v>
      </c>
      <c r="M5" s="33">
        <v>2981239.6159999999</v>
      </c>
      <c r="N5" s="33">
        <v>2981239.6159999999</v>
      </c>
      <c r="O5" s="33">
        <v>10924958.463999998</v>
      </c>
      <c r="P5" s="33">
        <v>21000</v>
      </c>
      <c r="Q5" s="33">
        <v>33000</v>
      </c>
      <c r="R5" s="33">
        <v>75000</v>
      </c>
      <c r="S5" s="33">
        <v>95000</v>
      </c>
      <c r="T5" s="33">
        <v>336000</v>
      </c>
      <c r="U5" s="33">
        <v>1853990.0313599994</v>
      </c>
      <c r="V5" s="33">
        <v>2413990.0313599994</v>
      </c>
      <c r="W5" s="33">
        <v>12</v>
      </c>
      <c r="X5" s="33">
        <v>201165.83594666663</v>
      </c>
      <c r="Z5" s="33">
        <v>201165.83594666663</v>
      </c>
      <c r="AA5" s="33">
        <v>201165.84</v>
      </c>
      <c r="AB5" s="33">
        <v>-4.0533333667553961E-3</v>
      </c>
    </row>
    <row r="6" spans="1:28">
      <c r="A6">
        <v>3</v>
      </c>
      <c r="B6" s="33" t="s">
        <v>464</v>
      </c>
      <c r="C6" s="33">
        <v>781465.0247500001</v>
      </c>
      <c r="D6" s="33">
        <v>12</v>
      </c>
      <c r="E6" s="33">
        <v>9377580.2970000021</v>
      </c>
      <c r="F6" s="33">
        <v>12347.31</v>
      </c>
      <c r="I6" s="33">
        <v>9365232.9870000016</v>
      </c>
      <c r="J6" s="33">
        <v>200000</v>
      </c>
      <c r="K6" s="33">
        <v>0.2</v>
      </c>
      <c r="L6" s="33">
        <v>1873046.5974000003</v>
      </c>
      <c r="M6" s="33">
        <v>2073046.5974000003</v>
      </c>
      <c r="N6" s="33">
        <v>2085393.9074000004</v>
      </c>
      <c r="O6" s="33">
        <v>7292186.3896000013</v>
      </c>
      <c r="P6" s="33">
        <v>21000</v>
      </c>
      <c r="Q6" s="33">
        <v>33000</v>
      </c>
      <c r="R6" s="33">
        <v>75000</v>
      </c>
      <c r="S6" s="33">
        <v>95000</v>
      </c>
      <c r="T6" s="33">
        <v>336000</v>
      </c>
      <c r="U6" s="33">
        <v>982124.73350400024</v>
      </c>
      <c r="V6" s="33">
        <v>1542124.7335040001</v>
      </c>
      <c r="W6" s="33">
        <v>12</v>
      </c>
      <c r="X6" s="33">
        <v>128510.39445866668</v>
      </c>
      <c r="Z6" s="33">
        <v>128510.39445866668</v>
      </c>
      <c r="AA6" s="33">
        <v>128508.38825066669</v>
      </c>
      <c r="AB6" s="33">
        <v>2.0062079999916023</v>
      </c>
    </row>
    <row r="7" spans="1:28">
      <c r="A7">
        <v>4</v>
      </c>
      <c r="B7" s="33" t="s">
        <v>562</v>
      </c>
      <c r="C7" s="33">
        <v>731465.02474999998</v>
      </c>
      <c r="D7" s="33">
        <v>12</v>
      </c>
      <c r="E7" s="33">
        <v>8777580.2970000003</v>
      </c>
      <c r="I7" s="33">
        <v>8777580.2970000003</v>
      </c>
      <c r="J7" s="33">
        <v>200000</v>
      </c>
      <c r="K7" s="33">
        <v>0.2</v>
      </c>
      <c r="L7" s="33">
        <v>1755516.0594000001</v>
      </c>
      <c r="M7" s="33">
        <v>1955516.0594000001</v>
      </c>
      <c r="N7" s="33">
        <v>1955516.0594000001</v>
      </c>
      <c r="O7" s="33">
        <v>6822064.2376000006</v>
      </c>
      <c r="P7" s="33">
        <v>21000</v>
      </c>
      <c r="Q7" s="33">
        <v>33000</v>
      </c>
      <c r="R7" s="33">
        <v>75000</v>
      </c>
      <c r="S7" s="33">
        <v>95000</v>
      </c>
      <c r="T7" s="33">
        <v>336000</v>
      </c>
      <c r="U7" s="33">
        <v>869295.41702400008</v>
      </c>
      <c r="V7" s="33">
        <v>1429295.4170240001</v>
      </c>
      <c r="W7" s="33">
        <v>12</v>
      </c>
      <c r="X7" s="33">
        <v>119107.95141866668</v>
      </c>
      <c r="Z7" s="33">
        <v>119107.95141866668</v>
      </c>
      <c r="AA7" s="33">
        <v>116473.51</v>
      </c>
      <c r="AB7" s="33">
        <v>2634.4414186666836</v>
      </c>
    </row>
    <row r="8" spans="1:28">
      <c r="A8">
        <v>5</v>
      </c>
      <c r="B8" s="33" t="s">
        <v>31</v>
      </c>
      <c r="C8" s="33">
        <v>541465.02474999998</v>
      </c>
      <c r="D8" s="33">
        <v>12</v>
      </c>
      <c r="E8" s="33">
        <v>6497580.2970000003</v>
      </c>
      <c r="I8" s="33">
        <v>6497580.2970000003</v>
      </c>
      <c r="J8" s="33">
        <v>200000</v>
      </c>
      <c r="K8" s="33">
        <v>0.2</v>
      </c>
      <c r="L8" s="33">
        <v>1299516.0594000001</v>
      </c>
      <c r="M8" s="33">
        <v>1499516.0594000001</v>
      </c>
      <c r="N8" s="33">
        <v>1499516.0594000001</v>
      </c>
      <c r="O8" s="33">
        <v>4998064.2376000006</v>
      </c>
      <c r="P8" s="33">
        <v>21000</v>
      </c>
      <c r="Q8" s="33">
        <v>33000</v>
      </c>
      <c r="R8" s="33">
        <v>75000</v>
      </c>
      <c r="S8" s="33">
        <v>95000</v>
      </c>
      <c r="T8" s="33">
        <v>336000</v>
      </c>
      <c r="U8" s="33">
        <v>431535.41702400014</v>
      </c>
      <c r="V8" s="33">
        <v>991535.41702400008</v>
      </c>
      <c r="W8" s="33">
        <v>12</v>
      </c>
      <c r="X8" s="33">
        <v>82627.951418666678</v>
      </c>
      <c r="Z8" s="33">
        <v>82627.951418666678</v>
      </c>
      <c r="AA8" s="33">
        <v>79993.509999999995</v>
      </c>
      <c r="AB8" s="33">
        <v>2634.4414186666836</v>
      </c>
    </row>
    <row r="9" spans="1:28">
      <c r="A9">
        <v>6</v>
      </c>
      <c r="B9" s="33" t="s">
        <v>34</v>
      </c>
      <c r="C9" s="33">
        <v>682621.80574999982</v>
      </c>
      <c r="D9" s="33">
        <v>12</v>
      </c>
      <c r="E9" s="33">
        <v>8191461.6689999979</v>
      </c>
      <c r="I9" s="33">
        <v>8191461.6689999979</v>
      </c>
      <c r="J9" s="33">
        <v>200000</v>
      </c>
      <c r="K9" s="33">
        <v>0.2</v>
      </c>
      <c r="L9" s="33">
        <v>1638292.3337999997</v>
      </c>
      <c r="M9" s="33">
        <v>1838292.3337999997</v>
      </c>
      <c r="N9" s="33">
        <v>1838292.3337999997</v>
      </c>
      <c r="O9" s="33">
        <v>6353169.3351999987</v>
      </c>
      <c r="P9" s="33">
        <v>21000</v>
      </c>
      <c r="Q9" s="33">
        <v>33000</v>
      </c>
      <c r="R9" s="33">
        <v>75000</v>
      </c>
      <c r="S9" s="33">
        <v>95000</v>
      </c>
      <c r="T9" s="33">
        <v>336000</v>
      </c>
      <c r="U9" s="33">
        <v>756760.6404479997</v>
      </c>
      <c r="V9" s="33">
        <v>1316760.6404479998</v>
      </c>
      <c r="W9" s="33">
        <v>12</v>
      </c>
      <c r="X9" s="33">
        <v>109730.05337066665</v>
      </c>
      <c r="Z9" s="33">
        <v>109730.05337066665</v>
      </c>
      <c r="AA9" s="33">
        <v>107095.69</v>
      </c>
      <c r="AB9" s="33">
        <v>2634.3633706666442</v>
      </c>
    </row>
    <row r="10" spans="1:28">
      <c r="A10">
        <v>7</v>
      </c>
      <c r="B10" s="33" t="s">
        <v>179</v>
      </c>
      <c r="C10" s="33">
        <v>627743.99575</v>
      </c>
      <c r="D10" s="33">
        <v>12</v>
      </c>
      <c r="E10" s="33">
        <v>7532927.949</v>
      </c>
      <c r="F10" s="33">
        <v>10052.25</v>
      </c>
      <c r="I10" s="33">
        <v>7522875.699</v>
      </c>
      <c r="J10" s="33">
        <v>200000</v>
      </c>
      <c r="K10" s="33">
        <v>0.2</v>
      </c>
      <c r="L10" s="33">
        <v>1504575.1398</v>
      </c>
      <c r="M10" s="33">
        <v>1704575.1398</v>
      </c>
      <c r="N10" s="33">
        <v>1714627.3898</v>
      </c>
      <c r="O10" s="33">
        <v>5818300.5592</v>
      </c>
      <c r="P10" s="33">
        <v>21000</v>
      </c>
      <c r="Q10" s="33">
        <v>33000</v>
      </c>
      <c r="R10" s="33">
        <v>75000</v>
      </c>
      <c r="S10" s="33">
        <v>95000</v>
      </c>
      <c r="T10" s="33">
        <v>336000</v>
      </c>
      <c r="U10" s="33">
        <v>628392.13420800003</v>
      </c>
      <c r="V10" s="33">
        <v>1188392.134208</v>
      </c>
      <c r="W10" s="33">
        <v>12</v>
      </c>
      <c r="X10" s="33">
        <v>99032.677850666674</v>
      </c>
      <c r="Z10" s="33">
        <v>99032.677850666674</v>
      </c>
      <c r="AA10" s="33">
        <v>96398.373866666647</v>
      </c>
      <c r="AB10" s="33">
        <v>2634.3039840000274</v>
      </c>
    </row>
    <row r="11" spans="1:28">
      <c r="A11">
        <v>8</v>
      </c>
      <c r="B11" s="33" t="s">
        <v>37</v>
      </c>
      <c r="C11" s="33">
        <v>527743.99575</v>
      </c>
      <c r="D11" s="33">
        <v>12</v>
      </c>
      <c r="E11" s="33">
        <v>6332927.949</v>
      </c>
      <c r="F11" s="33">
        <v>10052.25</v>
      </c>
      <c r="I11" s="33">
        <v>6322875.699</v>
      </c>
      <c r="J11" s="33">
        <v>200000</v>
      </c>
      <c r="K11" s="33">
        <v>0.2</v>
      </c>
      <c r="L11" s="33">
        <v>1264575.1398</v>
      </c>
      <c r="M11" s="33">
        <v>1464575.1398</v>
      </c>
      <c r="N11" s="33">
        <v>1474627.3898</v>
      </c>
      <c r="O11" s="33">
        <v>4858300.5592</v>
      </c>
      <c r="P11" s="33">
        <v>21000</v>
      </c>
      <c r="Q11" s="33">
        <v>33000</v>
      </c>
      <c r="R11" s="33">
        <v>75000</v>
      </c>
      <c r="S11" s="33">
        <v>95000</v>
      </c>
      <c r="T11" s="33">
        <v>336000</v>
      </c>
      <c r="U11" s="33">
        <v>397992.13420799997</v>
      </c>
      <c r="V11" s="33">
        <v>957992.13420800003</v>
      </c>
      <c r="W11" s="33">
        <v>12</v>
      </c>
      <c r="X11" s="33">
        <v>79832.677850666674</v>
      </c>
      <c r="Z11" s="33">
        <v>79832.677850666674</v>
      </c>
      <c r="AA11" s="33">
        <v>77198.373866666676</v>
      </c>
      <c r="AB11" s="33">
        <v>2634.3039839999983</v>
      </c>
    </row>
    <row r="12" spans="1:28">
      <c r="A12">
        <v>9</v>
      </c>
      <c r="B12" s="33" t="s">
        <v>39</v>
      </c>
      <c r="C12" s="33">
        <v>527743.99575</v>
      </c>
      <c r="D12" s="33">
        <v>12</v>
      </c>
      <c r="E12" s="33">
        <v>6332927.949</v>
      </c>
      <c r="F12" s="33">
        <v>10052.25</v>
      </c>
      <c r="I12" s="33">
        <v>6322875.699</v>
      </c>
      <c r="J12" s="33">
        <v>200000</v>
      </c>
      <c r="K12" s="33">
        <v>0.2</v>
      </c>
      <c r="L12" s="33">
        <v>1264575.1398</v>
      </c>
      <c r="M12" s="33">
        <v>1464575.1398</v>
      </c>
      <c r="N12" s="33">
        <v>1474627.3898</v>
      </c>
      <c r="O12" s="33">
        <v>4858300.5592</v>
      </c>
      <c r="P12" s="33">
        <v>21000</v>
      </c>
      <c r="Q12" s="33">
        <v>33000</v>
      </c>
      <c r="R12" s="33">
        <v>75000</v>
      </c>
      <c r="S12" s="33">
        <v>95000</v>
      </c>
      <c r="T12" s="33">
        <v>336000</v>
      </c>
      <c r="U12" s="33">
        <v>397992.13420799997</v>
      </c>
      <c r="V12" s="33">
        <v>957992.13420800003</v>
      </c>
      <c r="W12" s="33">
        <v>12</v>
      </c>
      <c r="X12" s="33">
        <v>79832.677850666674</v>
      </c>
      <c r="Z12" s="33">
        <v>79832.677850666674</v>
      </c>
      <c r="AA12" s="33">
        <v>77198.373866666676</v>
      </c>
      <c r="AB12" s="33">
        <v>2634.3039839999983</v>
      </c>
    </row>
    <row r="13" spans="1:28">
      <c r="A13">
        <v>10</v>
      </c>
      <c r="B13" s="33" t="s">
        <v>43</v>
      </c>
      <c r="C13" s="33">
        <v>447553.5025</v>
      </c>
      <c r="D13" s="33">
        <v>12</v>
      </c>
      <c r="E13" s="33">
        <v>5370642.0300000003</v>
      </c>
      <c r="F13" s="33">
        <v>10052.25</v>
      </c>
      <c r="I13" s="33">
        <v>5360589.78</v>
      </c>
      <c r="J13" s="33">
        <v>200000</v>
      </c>
      <c r="K13" s="33">
        <v>0.2</v>
      </c>
      <c r="L13" s="33">
        <v>1072117.956</v>
      </c>
      <c r="M13" s="33">
        <v>1272117.956</v>
      </c>
      <c r="N13" s="33">
        <v>1282170.206</v>
      </c>
      <c r="O13" s="33">
        <v>4088471.824</v>
      </c>
      <c r="P13" s="33">
        <v>21000</v>
      </c>
      <c r="Q13" s="33">
        <v>33000</v>
      </c>
      <c r="R13" s="33">
        <v>75000</v>
      </c>
      <c r="S13" s="33">
        <v>95000</v>
      </c>
      <c r="T13" s="33">
        <v>336000</v>
      </c>
      <c r="U13" s="33">
        <v>213233.23775999999</v>
      </c>
      <c r="V13" s="33">
        <v>773233.23775999993</v>
      </c>
      <c r="W13" s="33">
        <v>12</v>
      </c>
      <c r="X13" s="33">
        <v>64436.103146666661</v>
      </c>
      <c r="Z13" s="33">
        <v>64436.103146666661</v>
      </c>
      <c r="AA13" s="33">
        <v>64436.1</v>
      </c>
      <c r="AB13" s="33">
        <v>3.1466666623600759E-3</v>
      </c>
    </row>
    <row r="14" spans="1:28">
      <c r="A14">
        <v>11</v>
      </c>
      <c r="B14" s="33" t="s">
        <v>151</v>
      </c>
      <c r="C14" s="33">
        <v>436137.05</v>
      </c>
      <c r="D14" s="33">
        <v>12</v>
      </c>
      <c r="E14" s="33">
        <v>5233644.5999999996</v>
      </c>
      <c r="I14" s="33">
        <v>5233644.5999999996</v>
      </c>
      <c r="J14" s="33">
        <v>200000</v>
      </c>
      <c r="K14" s="33">
        <v>0.2</v>
      </c>
      <c r="L14" s="33">
        <v>1046728.9199999999</v>
      </c>
      <c r="M14" s="33">
        <v>1246728.92</v>
      </c>
      <c r="N14" s="33">
        <v>1246728.92</v>
      </c>
      <c r="O14" s="33">
        <v>3986915.6799999997</v>
      </c>
      <c r="P14" s="33">
        <v>21000</v>
      </c>
      <c r="Q14" s="33">
        <v>33000</v>
      </c>
      <c r="R14" s="33">
        <v>75000</v>
      </c>
      <c r="S14" s="33">
        <v>95000</v>
      </c>
      <c r="T14" s="33">
        <v>336000</v>
      </c>
      <c r="U14" s="33">
        <v>188859.76319999993</v>
      </c>
      <c r="V14" s="33">
        <v>748859.76319999993</v>
      </c>
      <c r="W14" s="33">
        <v>12</v>
      </c>
      <c r="X14" s="33">
        <v>62404.980266666658</v>
      </c>
      <c r="Z14" s="33">
        <v>62404.980266666658</v>
      </c>
      <c r="AA14" s="33">
        <v>60212.92</v>
      </c>
      <c r="AB14" s="33">
        <v>2192.06026666666</v>
      </c>
    </row>
    <row r="15" spans="1:28">
      <c r="A15">
        <v>12</v>
      </c>
      <c r="B15" s="33" t="s">
        <v>564</v>
      </c>
      <c r="C15" s="33">
        <v>393333.03525000002</v>
      </c>
      <c r="D15" s="33">
        <v>12</v>
      </c>
      <c r="E15" s="33">
        <v>4719996.4230000004</v>
      </c>
      <c r="I15" s="33">
        <v>4719996.4230000004</v>
      </c>
      <c r="J15" s="33">
        <v>200000</v>
      </c>
      <c r="K15" s="33">
        <v>0.2</v>
      </c>
      <c r="L15" s="33">
        <v>943999.28460000013</v>
      </c>
      <c r="M15" s="33">
        <v>1143999.2846000001</v>
      </c>
      <c r="N15" s="33">
        <v>1143999.2846000001</v>
      </c>
      <c r="O15" s="33">
        <v>3575997.1384000005</v>
      </c>
      <c r="P15" s="33">
        <v>21000</v>
      </c>
      <c r="Q15" s="33">
        <v>33000</v>
      </c>
      <c r="R15" s="33">
        <v>75000</v>
      </c>
      <c r="S15" s="33">
        <v>95000</v>
      </c>
      <c r="T15" s="33">
        <v>336000</v>
      </c>
      <c r="U15" s="33">
        <v>90239.313216000126</v>
      </c>
      <c r="V15" s="33">
        <v>650239.3132160001</v>
      </c>
      <c r="W15" s="33">
        <v>12</v>
      </c>
      <c r="X15" s="33">
        <v>54186.609434666672</v>
      </c>
      <c r="Z15" s="33">
        <v>54186.609434666672</v>
      </c>
      <c r="AA15" s="33">
        <v>52638.9</v>
      </c>
      <c r="AB15" s="33">
        <v>1547.7094346666709</v>
      </c>
    </row>
    <row r="16" spans="1:28">
      <c r="A16">
        <v>13</v>
      </c>
      <c r="B16" s="33" t="s">
        <v>467</v>
      </c>
      <c r="C16" s="33">
        <v>343333.03524999996</v>
      </c>
      <c r="D16" s="33">
        <v>12</v>
      </c>
      <c r="E16" s="33">
        <v>4119996.4229999995</v>
      </c>
      <c r="F16" s="33">
        <v>8019.8</v>
      </c>
      <c r="I16" s="33">
        <v>4111976.6229999997</v>
      </c>
      <c r="J16" s="33">
        <v>200000</v>
      </c>
      <c r="K16" s="33">
        <v>0.2</v>
      </c>
      <c r="L16" s="33">
        <v>822395.32459999993</v>
      </c>
      <c r="M16" s="33">
        <v>1022395.3245999999</v>
      </c>
      <c r="N16" s="33">
        <v>1030415.1246</v>
      </c>
      <c r="O16" s="33">
        <v>3089581.2983999997</v>
      </c>
      <c r="P16" s="33">
        <v>21000</v>
      </c>
      <c r="Q16" s="33">
        <v>33000</v>
      </c>
      <c r="R16" s="33">
        <v>75000</v>
      </c>
      <c r="S16" s="33">
        <v>95000</v>
      </c>
      <c r="T16" s="33">
        <v>312812.07266399992</v>
      </c>
      <c r="V16" s="33">
        <v>536812.07266399986</v>
      </c>
      <c r="W16" s="33">
        <v>12</v>
      </c>
      <c r="X16" s="33">
        <v>44734.339388666653</v>
      </c>
      <c r="Z16" s="33">
        <v>44734.339388666653</v>
      </c>
      <c r="AA16" s="33">
        <v>43380</v>
      </c>
      <c r="AB16" s="33">
        <v>1354.3393886666527</v>
      </c>
    </row>
    <row r="17" spans="1:28">
      <c r="A17">
        <v>14</v>
      </c>
      <c r="B17" s="33" t="s">
        <v>566</v>
      </c>
      <c r="C17" s="33">
        <v>563333.03524999996</v>
      </c>
      <c r="D17" s="33">
        <v>12</v>
      </c>
      <c r="E17" s="33">
        <v>6759996.4229999995</v>
      </c>
      <c r="I17" s="33">
        <v>6759996.4229999995</v>
      </c>
      <c r="J17" s="33">
        <v>200000</v>
      </c>
      <c r="K17" s="33">
        <v>0.2</v>
      </c>
      <c r="L17" s="33">
        <v>1351999.2845999999</v>
      </c>
      <c r="M17" s="33">
        <v>1551999.2845999999</v>
      </c>
      <c r="N17" s="33">
        <v>1551999.2845999999</v>
      </c>
      <c r="O17" s="33">
        <v>5207997.1383999996</v>
      </c>
      <c r="P17" s="33">
        <v>21000</v>
      </c>
      <c r="Q17" s="33">
        <v>33000</v>
      </c>
      <c r="R17" s="33">
        <v>75000</v>
      </c>
      <c r="S17" s="33">
        <v>95000</v>
      </c>
      <c r="T17" s="33">
        <v>336000</v>
      </c>
      <c r="U17" s="33">
        <v>481919.31321599986</v>
      </c>
      <c r="V17" s="33">
        <v>1041919.3132159999</v>
      </c>
      <c r="W17" s="33">
        <v>12</v>
      </c>
      <c r="X17" s="33">
        <v>86826.60943466665</v>
      </c>
      <c r="Z17" s="33">
        <v>86826.60943466665</v>
      </c>
      <c r="AA17" s="33">
        <v>85278.9</v>
      </c>
      <c r="AB17" s="33">
        <v>1547.7094346666563</v>
      </c>
    </row>
    <row r="18" spans="1:28">
      <c r="A18">
        <v>15</v>
      </c>
      <c r="B18" s="33" t="s">
        <v>49</v>
      </c>
      <c r="C18" s="33">
        <v>338333.03524999996</v>
      </c>
      <c r="D18" s="33">
        <v>12</v>
      </c>
      <c r="E18" s="33">
        <v>4059996.4229999995</v>
      </c>
      <c r="I18" s="33">
        <v>4059996.4229999995</v>
      </c>
      <c r="J18" s="33">
        <v>200000</v>
      </c>
      <c r="K18" s="33">
        <v>0.2</v>
      </c>
      <c r="L18" s="33">
        <v>811999.2845999999</v>
      </c>
      <c r="M18" s="33">
        <v>1011999.2845999999</v>
      </c>
      <c r="N18" s="33">
        <v>1011999.2845999999</v>
      </c>
      <c r="O18" s="33">
        <v>3047997.1383999996</v>
      </c>
      <c r="P18" s="33">
        <v>21000</v>
      </c>
      <c r="Q18" s="33">
        <v>33000</v>
      </c>
      <c r="R18" s="33">
        <v>75000</v>
      </c>
      <c r="S18" s="33">
        <v>95000</v>
      </c>
      <c r="T18" s="33">
        <v>304079.39906399988</v>
      </c>
      <c r="V18" s="33">
        <v>528079.39906399988</v>
      </c>
      <c r="W18" s="33">
        <v>12</v>
      </c>
      <c r="X18" s="33">
        <v>44006.616588666657</v>
      </c>
      <c r="Z18" s="33">
        <v>44006.616588666657</v>
      </c>
      <c r="AA18" s="33">
        <v>43492.039686666663</v>
      </c>
      <c r="AB18" s="33">
        <v>514.57690199999342</v>
      </c>
    </row>
    <row r="19" spans="1:28">
      <c r="A19">
        <v>16</v>
      </c>
      <c r="B19" s="33" t="s">
        <v>58</v>
      </c>
      <c r="C19" s="33">
        <v>362001.06050000002</v>
      </c>
      <c r="D19" s="33">
        <v>12</v>
      </c>
      <c r="E19" s="33">
        <v>4344012.7259999998</v>
      </c>
      <c r="F19" s="33">
        <v>7422.38</v>
      </c>
      <c r="I19" s="33">
        <v>4336590.3459999999</v>
      </c>
      <c r="J19" s="33">
        <v>200000</v>
      </c>
      <c r="K19" s="33">
        <v>0.2</v>
      </c>
      <c r="L19" s="33">
        <v>867318.06920000003</v>
      </c>
      <c r="M19" s="33">
        <v>1067318.0692</v>
      </c>
      <c r="N19" s="33">
        <v>1074740.4491999999</v>
      </c>
      <c r="O19" s="33">
        <v>3269272.2768000001</v>
      </c>
      <c r="P19" s="33">
        <v>21000</v>
      </c>
      <c r="Q19" s="33">
        <v>33000</v>
      </c>
      <c r="R19" s="33">
        <v>75000</v>
      </c>
      <c r="S19" s="33">
        <v>95000</v>
      </c>
      <c r="T19" s="33">
        <v>336000</v>
      </c>
      <c r="V19" s="33">
        <v>560000</v>
      </c>
      <c r="W19" s="33">
        <v>12</v>
      </c>
      <c r="X19" s="33">
        <v>46666.666666666664</v>
      </c>
      <c r="Z19" s="33">
        <v>46666.666666666664</v>
      </c>
      <c r="AA19" s="33">
        <v>46673.26</v>
      </c>
      <c r="AB19" s="33">
        <v>-6.5933333333377959</v>
      </c>
    </row>
    <row r="20" spans="1:28">
      <c r="A20">
        <v>17</v>
      </c>
      <c r="B20" s="33" t="s">
        <v>61</v>
      </c>
      <c r="C20" s="33">
        <v>449201.02599999995</v>
      </c>
      <c r="D20" s="33">
        <v>12</v>
      </c>
      <c r="E20" s="33">
        <v>5390412.311999999</v>
      </c>
      <c r="I20" s="33">
        <v>5390412.311999999</v>
      </c>
      <c r="J20" s="33">
        <v>200000</v>
      </c>
      <c r="K20" s="33">
        <v>0.2</v>
      </c>
      <c r="L20" s="33">
        <v>1078082.4623999998</v>
      </c>
      <c r="M20" s="33">
        <v>1278082.4623999998</v>
      </c>
      <c r="N20" s="33">
        <v>1278082.4623999998</v>
      </c>
      <c r="O20" s="33">
        <v>4112329.8495999994</v>
      </c>
      <c r="P20" s="33">
        <v>21000</v>
      </c>
      <c r="Q20" s="33">
        <v>33000</v>
      </c>
      <c r="R20" s="33">
        <v>75000</v>
      </c>
      <c r="S20" s="33">
        <v>95000</v>
      </c>
      <c r="T20" s="33">
        <v>336000</v>
      </c>
      <c r="U20" s="33">
        <v>218959.16390399984</v>
      </c>
      <c r="V20" s="33">
        <v>778959.16390399984</v>
      </c>
      <c r="W20" s="33">
        <v>12</v>
      </c>
      <c r="X20" s="33">
        <v>64913.263658666656</v>
      </c>
      <c r="Z20" s="33">
        <v>64913.263658666656</v>
      </c>
      <c r="AA20" s="33">
        <v>63364.81</v>
      </c>
      <c r="AB20" s="33">
        <v>1548.4536586666582</v>
      </c>
    </row>
    <row r="21" spans="1:28">
      <c r="A21">
        <v>18</v>
      </c>
      <c r="B21" s="33" t="s">
        <v>206</v>
      </c>
      <c r="C21" s="33">
        <v>284536.99849999999</v>
      </c>
      <c r="D21" s="33">
        <v>12</v>
      </c>
      <c r="E21" s="33">
        <v>3414443.9819999998</v>
      </c>
      <c r="F21" s="33">
        <v>6922.5</v>
      </c>
      <c r="I21" s="33">
        <v>3407521.4819999998</v>
      </c>
      <c r="J21" s="33">
        <v>200000</v>
      </c>
      <c r="K21" s="33">
        <v>0.2</v>
      </c>
      <c r="L21" s="33">
        <v>681504.29639999999</v>
      </c>
      <c r="M21" s="33">
        <v>881504.29639999999</v>
      </c>
      <c r="N21" s="33">
        <v>888426.79639999999</v>
      </c>
      <c r="O21" s="33">
        <v>2526017.1856</v>
      </c>
      <c r="P21" s="33">
        <v>21000</v>
      </c>
      <c r="Q21" s="33">
        <v>33000</v>
      </c>
      <c r="R21" s="33">
        <v>75000</v>
      </c>
      <c r="S21" s="33">
        <v>95000</v>
      </c>
      <c r="T21" s="33">
        <v>194463.60897599999</v>
      </c>
      <c r="U21" s="33">
        <v>0</v>
      </c>
      <c r="V21" s="33">
        <v>418463.60897599999</v>
      </c>
      <c r="W21" s="33">
        <v>12</v>
      </c>
      <c r="X21" s="33">
        <v>34871.967414666666</v>
      </c>
      <c r="Z21" s="33">
        <v>34871.967414666666</v>
      </c>
      <c r="AA21" s="33">
        <v>31848.560000000001</v>
      </c>
      <c r="AB21" s="33">
        <v>3023.4074146666644</v>
      </c>
    </row>
    <row r="22" spans="1:28">
      <c r="A22">
        <v>19</v>
      </c>
      <c r="B22" s="33" t="s">
        <v>64</v>
      </c>
      <c r="C22" s="33">
        <v>267454.07400000002</v>
      </c>
      <c r="D22" s="33">
        <v>12</v>
      </c>
      <c r="E22" s="33">
        <v>3209448.8880000003</v>
      </c>
      <c r="F22" s="33">
        <v>6456.26</v>
      </c>
      <c r="I22" s="33">
        <v>3202992.6280000005</v>
      </c>
      <c r="J22" s="33">
        <v>200000</v>
      </c>
      <c r="K22" s="33">
        <v>0.2</v>
      </c>
      <c r="L22" s="33">
        <v>640598.52560000017</v>
      </c>
      <c r="M22" s="33">
        <v>840598.52560000017</v>
      </c>
      <c r="N22" s="33">
        <v>847054.78560000018</v>
      </c>
      <c r="O22" s="33">
        <v>2362394.1024000002</v>
      </c>
      <c r="P22" s="33">
        <v>21000</v>
      </c>
      <c r="Q22" s="33">
        <v>33000</v>
      </c>
      <c r="R22" s="33">
        <v>75000</v>
      </c>
      <c r="S22" s="33">
        <v>95000</v>
      </c>
      <c r="T22" s="33">
        <v>160102.76150400002</v>
      </c>
      <c r="V22" s="33">
        <v>384102.76150400005</v>
      </c>
      <c r="W22" s="33">
        <v>12</v>
      </c>
      <c r="X22" s="33">
        <v>32008.563458666671</v>
      </c>
      <c r="Z22" s="33">
        <v>32008.563458666671</v>
      </c>
      <c r="AA22" s="33">
        <v>31749.189126666664</v>
      </c>
      <c r="AB22" s="33">
        <v>259.37433200000669</v>
      </c>
    </row>
    <row r="23" spans="1:28">
      <c r="A23">
        <v>20</v>
      </c>
      <c r="B23" s="33" t="s">
        <v>204</v>
      </c>
      <c r="C23" s="33">
        <v>267454.07400000002</v>
      </c>
      <c r="D23" s="33">
        <v>12</v>
      </c>
      <c r="E23" s="33">
        <v>3209448.8880000003</v>
      </c>
      <c r="I23" s="33">
        <v>3209448.8880000003</v>
      </c>
      <c r="J23" s="33">
        <v>200000</v>
      </c>
      <c r="K23" s="33">
        <v>0.2</v>
      </c>
      <c r="L23" s="33">
        <v>641889.77760000015</v>
      </c>
      <c r="M23" s="33">
        <v>841889.77760000015</v>
      </c>
      <c r="N23" s="33">
        <v>841889.77760000015</v>
      </c>
      <c r="O23" s="33">
        <v>2367559.1104000001</v>
      </c>
      <c r="P23" s="33">
        <v>21000</v>
      </c>
      <c r="Q23" s="33">
        <v>33000</v>
      </c>
      <c r="R23" s="33">
        <v>75000</v>
      </c>
      <c r="S23" s="33">
        <v>95000</v>
      </c>
      <c r="T23" s="33">
        <v>161187.41318400003</v>
      </c>
      <c r="V23" s="33">
        <v>385187.41318400006</v>
      </c>
      <c r="W23" s="33">
        <v>12</v>
      </c>
      <c r="X23" s="33">
        <v>32098.951098666672</v>
      </c>
      <c r="Z23" s="33">
        <v>32098.951098666672</v>
      </c>
      <c r="AA23" s="33">
        <v>31749.189126666664</v>
      </c>
      <c r="AB23" s="33">
        <v>349.76197200000752</v>
      </c>
    </row>
    <row r="24" spans="1:28">
      <c r="A24">
        <v>21</v>
      </c>
      <c r="B24" s="33" t="s">
        <v>252</v>
      </c>
      <c r="C24" s="33">
        <v>242300.07749999998</v>
      </c>
      <c r="D24" s="33">
        <v>12</v>
      </c>
      <c r="E24" s="33">
        <v>2907600.9299999997</v>
      </c>
      <c r="I24" s="33">
        <v>2907600.9299999997</v>
      </c>
      <c r="J24" s="33">
        <v>200000</v>
      </c>
      <c r="K24" s="33">
        <v>0.2</v>
      </c>
      <c r="L24" s="33">
        <v>581520.18599999999</v>
      </c>
      <c r="M24" s="33">
        <v>781520.18599999999</v>
      </c>
      <c r="N24" s="33">
        <v>781520.18599999999</v>
      </c>
      <c r="O24" s="33">
        <v>2126080.7439999999</v>
      </c>
      <c r="P24" s="33">
        <v>21000</v>
      </c>
      <c r="Q24" s="33">
        <v>33000</v>
      </c>
      <c r="R24" s="33">
        <v>75000</v>
      </c>
      <c r="S24" s="33">
        <v>95000</v>
      </c>
      <c r="T24" s="33">
        <v>110476.95623999998</v>
      </c>
      <c r="V24" s="33">
        <v>334476.95623999997</v>
      </c>
      <c r="W24" s="33">
        <v>12</v>
      </c>
      <c r="X24" s="33">
        <v>27873.079686666664</v>
      </c>
      <c r="Z24" s="33">
        <v>27873.079686666664</v>
      </c>
      <c r="AA24" s="33">
        <v>27105.99</v>
      </c>
      <c r="AB24" s="33">
        <v>767.0896866666626</v>
      </c>
    </row>
    <row r="25" spans="1:28">
      <c r="A25">
        <v>22</v>
      </c>
      <c r="B25" s="33" t="s">
        <v>568</v>
      </c>
      <c r="C25" s="33">
        <v>237734.04700000002</v>
      </c>
      <c r="D25" s="33">
        <v>12</v>
      </c>
      <c r="E25" s="33">
        <v>2852808.5640000002</v>
      </c>
      <c r="I25" s="33">
        <v>2852808.5640000002</v>
      </c>
      <c r="J25" s="33">
        <v>200000</v>
      </c>
      <c r="K25" s="33">
        <v>0.2</v>
      </c>
      <c r="L25" s="33">
        <v>570561.7128000001</v>
      </c>
      <c r="M25" s="33">
        <v>770561.7128000001</v>
      </c>
      <c r="N25" s="33">
        <v>770561.7128000001</v>
      </c>
      <c r="O25" s="33">
        <v>2082246.8512000002</v>
      </c>
      <c r="P25" s="33">
        <v>21000</v>
      </c>
      <c r="Q25" s="33">
        <v>33000</v>
      </c>
      <c r="R25" s="33">
        <v>75000</v>
      </c>
      <c r="S25" s="33">
        <v>95000</v>
      </c>
      <c r="T25" s="33">
        <v>101271.83875200003</v>
      </c>
      <c r="V25" s="33">
        <v>325271.83875200001</v>
      </c>
      <c r="W25" s="33">
        <v>12</v>
      </c>
      <c r="X25" s="33">
        <v>27105.986562666669</v>
      </c>
      <c r="Z25" s="33">
        <v>27105.986562666669</v>
      </c>
      <c r="AA25" s="33">
        <v>26339.08</v>
      </c>
      <c r="AB25" s="33">
        <v>766.90656266666701</v>
      </c>
    </row>
    <row r="26" spans="1:28">
      <c r="A26">
        <v>23</v>
      </c>
      <c r="B26" s="33" t="s">
        <v>73</v>
      </c>
      <c r="C26" s="33">
        <v>205204.0845</v>
      </c>
      <c r="D26" s="33">
        <v>12</v>
      </c>
      <c r="E26" s="33">
        <v>2462449.014</v>
      </c>
      <c r="I26" s="33">
        <v>2462449.014</v>
      </c>
      <c r="J26" s="33">
        <v>200000</v>
      </c>
      <c r="K26" s="33">
        <v>0.2</v>
      </c>
      <c r="L26" s="33">
        <v>492489.8028</v>
      </c>
      <c r="M26" s="33">
        <v>692489.80279999995</v>
      </c>
      <c r="N26" s="33">
        <v>692489.80279999995</v>
      </c>
      <c r="O26" s="33">
        <v>1769959.2112</v>
      </c>
      <c r="P26" s="33">
        <v>21000</v>
      </c>
      <c r="Q26" s="33">
        <v>33000</v>
      </c>
      <c r="R26" s="33">
        <v>75000</v>
      </c>
      <c r="S26" s="33">
        <v>95000</v>
      </c>
      <c r="T26" s="33">
        <v>35691.434352000004</v>
      </c>
      <c r="V26" s="33">
        <v>259691.43435200001</v>
      </c>
      <c r="W26" s="33">
        <v>12</v>
      </c>
      <c r="X26" s="33">
        <v>21640.952862666669</v>
      </c>
      <c r="Z26" s="33">
        <v>21640.952862666669</v>
      </c>
      <c r="AA26" s="33">
        <v>21640.95</v>
      </c>
      <c r="AB26" s="33">
        <v>2.8626666680793278E-3</v>
      </c>
    </row>
    <row r="27" spans="1:28">
      <c r="A27">
        <v>24</v>
      </c>
      <c r="B27" s="33" t="s">
        <v>76</v>
      </c>
      <c r="C27" s="33">
        <v>209356.04725</v>
      </c>
      <c r="D27" s="33">
        <v>12</v>
      </c>
      <c r="E27" s="33">
        <v>2512272.5669999998</v>
      </c>
      <c r="I27" s="33">
        <v>2512272.5669999998</v>
      </c>
      <c r="J27" s="33">
        <v>200000</v>
      </c>
      <c r="K27" s="33">
        <v>0.2</v>
      </c>
      <c r="L27" s="33">
        <v>502454.5134</v>
      </c>
      <c r="M27" s="33">
        <v>702454.51340000005</v>
      </c>
      <c r="N27" s="33">
        <v>702454.51340000005</v>
      </c>
      <c r="O27" s="33">
        <v>1809818.0535999998</v>
      </c>
      <c r="P27" s="33">
        <v>21000</v>
      </c>
      <c r="Q27" s="33">
        <v>33000</v>
      </c>
      <c r="R27" s="33">
        <v>75000</v>
      </c>
      <c r="S27" s="33">
        <v>95000</v>
      </c>
      <c r="T27" s="33">
        <v>44061.791255999946</v>
      </c>
      <c r="V27" s="33">
        <v>268061.79125599994</v>
      </c>
      <c r="W27" s="33">
        <v>12</v>
      </c>
      <c r="X27" s="33">
        <v>22338.48260466666</v>
      </c>
      <c r="Z27" s="33">
        <v>22338.48260466666</v>
      </c>
      <c r="AA27" s="33">
        <v>21640.95</v>
      </c>
      <c r="AB27" s="33">
        <v>697.53260466665961</v>
      </c>
    </row>
    <row r="28" spans="1:28">
      <c r="A28">
        <v>25</v>
      </c>
      <c r="B28" s="33" t="s">
        <v>468</v>
      </c>
      <c r="C28" s="33">
        <v>209356.04725</v>
      </c>
      <c r="D28" s="33">
        <v>12</v>
      </c>
      <c r="E28" s="33">
        <v>2512272.5669999998</v>
      </c>
      <c r="I28" s="33">
        <v>2512272.5669999998</v>
      </c>
      <c r="J28" s="33">
        <v>200000</v>
      </c>
      <c r="K28" s="33">
        <v>0.2</v>
      </c>
      <c r="L28" s="33">
        <v>502454.5134</v>
      </c>
      <c r="M28" s="33">
        <v>702454.51340000005</v>
      </c>
      <c r="N28" s="33">
        <v>702454.51340000005</v>
      </c>
      <c r="O28" s="33">
        <v>1809818.0535999998</v>
      </c>
      <c r="P28" s="33">
        <v>21000</v>
      </c>
      <c r="Q28" s="33">
        <v>33000</v>
      </c>
      <c r="R28" s="33">
        <v>75000</v>
      </c>
      <c r="S28" s="33">
        <v>95000</v>
      </c>
      <c r="T28" s="33">
        <v>44061.791255999946</v>
      </c>
      <c r="V28" s="33">
        <v>268061.79125599994</v>
      </c>
      <c r="W28" s="33">
        <v>12</v>
      </c>
      <c r="X28" s="33">
        <v>22338.48260466666</v>
      </c>
      <c r="Z28" s="33">
        <v>22338.48260466666</v>
      </c>
      <c r="AA28" s="33">
        <v>21640.95</v>
      </c>
      <c r="AB28" s="33">
        <v>697.53260466665961</v>
      </c>
    </row>
    <row r="29" spans="1:28">
      <c r="A29">
        <v>26</v>
      </c>
      <c r="B29" s="33" t="s">
        <v>77</v>
      </c>
      <c r="C29" s="33">
        <v>183791.02674999999</v>
      </c>
      <c r="D29" s="33">
        <v>12</v>
      </c>
      <c r="E29" s="33">
        <v>2205492.321</v>
      </c>
      <c r="I29" s="33">
        <v>2205492.321</v>
      </c>
      <c r="J29" s="33">
        <v>200000</v>
      </c>
      <c r="K29" s="33">
        <v>0.2</v>
      </c>
      <c r="L29" s="33">
        <v>441098.46420000005</v>
      </c>
      <c r="M29" s="33">
        <v>641098.46420000005</v>
      </c>
      <c r="N29" s="33">
        <v>641098.46420000005</v>
      </c>
      <c r="O29" s="33">
        <v>1564393.8568</v>
      </c>
      <c r="P29" s="33">
        <v>21000</v>
      </c>
      <c r="Q29" s="33">
        <v>33000</v>
      </c>
      <c r="R29" s="33">
        <v>75000</v>
      </c>
      <c r="S29" s="33">
        <v>88234.832791999987</v>
      </c>
      <c r="T29" s="33">
        <v>0</v>
      </c>
      <c r="V29" s="33">
        <v>217234.83279199997</v>
      </c>
      <c r="W29" s="33">
        <v>12</v>
      </c>
      <c r="X29" s="33">
        <v>18102.902732666666</v>
      </c>
      <c r="Z29" s="33">
        <v>18102.902732666666</v>
      </c>
      <c r="AA29" s="33">
        <v>17572.89</v>
      </c>
      <c r="AB29" s="33">
        <v>530.01273266666612</v>
      </c>
    </row>
    <row r="30" spans="1:28">
      <c r="A30">
        <v>27</v>
      </c>
      <c r="B30" s="33" t="s">
        <v>185</v>
      </c>
      <c r="C30" s="33">
        <v>183791.02674999999</v>
      </c>
      <c r="D30" s="33">
        <v>12</v>
      </c>
      <c r="E30" s="33">
        <v>2205492.321</v>
      </c>
      <c r="I30" s="33">
        <v>2205492.321</v>
      </c>
      <c r="J30" s="33">
        <v>200000</v>
      </c>
      <c r="K30" s="33">
        <v>0.2</v>
      </c>
      <c r="L30" s="33">
        <v>441098.46420000005</v>
      </c>
      <c r="M30" s="33">
        <v>641098.46420000005</v>
      </c>
      <c r="N30" s="33">
        <v>641098.46420000005</v>
      </c>
      <c r="O30" s="33">
        <v>1564393.8568</v>
      </c>
      <c r="P30" s="33">
        <v>21000</v>
      </c>
      <c r="Q30" s="33">
        <v>33000</v>
      </c>
      <c r="R30" s="33">
        <v>75000</v>
      </c>
      <c r="S30" s="33">
        <v>88234.832791999987</v>
      </c>
      <c r="T30" s="33">
        <v>0</v>
      </c>
      <c r="V30" s="33">
        <v>217234.83279199997</v>
      </c>
      <c r="W30" s="33">
        <v>12</v>
      </c>
      <c r="X30" s="33">
        <v>18102.902732666666</v>
      </c>
      <c r="Z30" s="33">
        <v>18102.902732666666</v>
      </c>
      <c r="AA30" s="33">
        <v>17572.89</v>
      </c>
      <c r="AB30" s="33">
        <v>530.01273266666612</v>
      </c>
    </row>
    <row r="31" spans="1:28">
      <c r="A31">
        <v>28</v>
      </c>
      <c r="B31" s="33" t="s">
        <v>80</v>
      </c>
      <c r="C31" s="33">
        <v>183791.02674999999</v>
      </c>
      <c r="D31" s="33">
        <v>12</v>
      </c>
      <c r="E31" s="33">
        <v>2205492.321</v>
      </c>
      <c r="I31" s="33">
        <v>2205492.321</v>
      </c>
      <c r="J31" s="33">
        <v>200000</v>
      </c>
      <c r="K31" s="33">
        <v>0.2</v>
      </c>
      <c r="L31" s="33">
        <v>441098.46420000005</v>
      </c>
      <c r="M31" s="33">
        <v>641098.46420000005</v>
      </c>
      <c r="N31" s="33">
        <v>641098.46420000005</v>
      </c>
      <c r="O31" s="33">
        <v>1564393.8568</v>
      </c>
      <c r="P31" s="33">
        <v>21000</v>
      </c>
      <c r="Q31" s="33">
        <v>33000</v>
      </c>
      <c r="R31" s="33">
        <v>75000</v>
      </c>
      <c r="S31" s="33">
        <v>88234.832791999987</v>
      </c>
      <c r="T31" s="33">
        <v>0</v>
      </c>
      <c r="V31" s="33">
        <v>217234.83279199997</v>
      </c>
      <c r="W31" s="33">
        <v>12</v>
      </c>
      <c r="X31" s="33">
        <v>18102.902732666666</v>
      </c>
      <c r="Z31" s="33">
        <v>18102.902732666666</v>
      </c>
      <c r="AA31" s="33">
        <v>17572.89</v>
      </c>
      <c r="AB31" s="33">
        <v>530.01273266666612</v>
      </c>
    </row>
    <row r="32" spans="1:28">
      <c r="A32">
        <v>29</v>
      </c>
      <c r="B32" s="33" t="s">
        <v>82</v>
      </c>
      <c r="C32" s="33">
        <v>209356.04725</v>
      </c>
      <c r="D32" s="33">
        <v>12</v>
      </c>
      <c r="E32" s="33">
        <v>2512272.5669999998</v>
      </c>
      <c r="I32" s="33">
        <v>2512272.5669999998</v>
      </c>
      <c r="J32" s="33">
        <v>200000</v>
      </c>
      <c r="K32" s="33">
        <v>0.2</v>
      </c>
      <c r="L32" s="33">
        <v>502454.5134</v>
      </c>
      <c r="M32" s="33">
        <v>702454.51340000005</v>
      </c>
      <c r="N32" s="33">
        <v>702454.51340000005</v>
      </c>
      <c r="O32" s="33">
        <v>1809818.0535999998</v>
      </c>
      <c r="P32" s="33">
        <v>21000</v>
      </c>
      <c r="Q32" s="33">
        <v>33000</v>
      </c>
      <c r="R32" s="33">
        <v>75000</v>
      </c>
      <c r="S32" s="33">
        <v>95000</v>
      </c>
      <c r="T32" s="33">
        <v>44061.791255999946</v>
      </c>
      <c r="V32" s="33">
        <v>268061.79125599994</v>
      </c>
      <c r="W32" s="33">
        <v>12</v>
      </c>
      <c r="X32" s="33">
        <v>22338.48260466666</v>
      </c>
      <c r="Z32" s="33">
        <v>22338.48260466666</v>
      </c>
      <c r="AA32" s="33">
        <v>21640.95</v>
      </c>
      <c r="AB32" s="33">
        <v>697.53260466665961</v>
      </c>
    </row>
    <row r="33" spans="1:28">
      <c r="A33">
        <v>30</v>
      </c>
      <c r="B33" s="33" t="s">
        <v>84</v>
      </c>
      <c r="C33" s="33">
        <v>176816.1</v>
      </c>
      <c r="D33" s="33">
        <v>12</v>
      </c>
      <c r="E33" s="33">
        <v>2121793.2000000002</v>
      </c>
      <c r="I33" s="33">
        <v>2121793.2000000002</v>
      </c>
      <c r="J33" s="33">
        <v>200000</v>
      </c>
      <c r="K33" s="33">
        <v>0.2</v>
      </c>
      <c r="L33" s="33">
        <v>424358.64000000007</v>
      </c>
      <c r="M33" s="33">
        <v>624358.64000000013</v>
      </c>
      <c r="N33" s="33">
        <v>624358.64000000013</v>
      </c>
      <c r="O33" s="33">
        <v>1497434.56</v>
      </c>
      <c r="P33" s="33">
        <v>21000</v>
      </c>
      <c r="Q33" s="33">
        <v>33000</v>
      </c>
      <c r="R33" s="33">
        <v>75000</v>
      </c>
      <c r="S33" s="33">
        <v>75512.566400000011</v>
      </c>
      <c r="T33" s="33">
        <v>0</v>
      </c>
      <c r="V33" s="33">
        <v>204512.56640000001</v>
      </c>
      <c r="W33" s="33">
        <v>12</v>
      </c>
      <c r="X33" s="33">
        <v>17042.713866666669</v>
      </c>
      <c r="Z33" s="33">
        <v>17042.713866666669</v>
      </c>
      <c r="AA33" s="33">
        <v>16512.68</v>
      </c>
      <c r="AB33" s="33">
        <v>530.03386666666847</v>
      </c>
    </row>
    <row r="34" spans="1:28">
      <c r="A34">
        <v>31</v>
      </c>
      <c r="B34" s="33" t="s">
        <v>87</v>
      </c>
      <c r="C34" s="33">
        <v>176817.1</v>
      </c>
      <c r="D34" s="33">
        <v>12</v>
      </c>
      <c r="E34" s="33">
        <v>2121805.2000000002</v>
      </c>
      <c r="I34" s="33">
        <v>2121805.2000000002</v>
      </c>
      <c r="J34" s="33">
        <v>200000</v>
      </c>
      <c r="K34" s="33">
        <v>0.2</v>
      </c>
      <c r="L34" s="33">
        <v>424361.04000000004</v>
      </c>
      <c r="M34" s="33">
        <v>624361.04</v>
      </c>
      <c r="N34" s="33">
        <v>624361.04</v>
      </c>
      <c r="O34" s="33">
        <v>1497444.1600000001</v>
      </c>
      <c r="P34" s="33">
        <v>21000</v>
      </c>
      <c r="Q34" s="33">
        <v>33000</v>
      </c>
      <c r="R34" s="33">
        <v>75000</v>
      </c>
      <c r="S34" s="33">
        <v>75514.390400000033</v>
      </c>
      <c r="T34" s="33">
        <v>0</v>
      </c>
      <c r="V34" s="33">
        <v>204514.39040000003</v>
      </c>
      <c r="W34" s="33">
        <v>12</v>
      </c>
      <c r="X34" s="33">
        <v>17042.865866666671</v>
      </c>
      <c r="Z34" s="33">
        <v>17042.865866666671</v>
      </c>
      <c r="AA34" s="33">
        <v>16512.68</v>
      </c>
      <c r="AB34" s="33">
        <v>530.18586666667034</v>
      </c>
    </row>
    <row r="35" spans="1:28">
      <c r="A35">
        <v>32</v>
      </c>
      <c r="B35" s="33" t="s">
        <v>569</v>
      </c>
      <c r="C35" s="33">
        <v>176818.1</v>
      </c>
      <c r="D35" s="33">
        <v>12</v>
      </c>
      <c r="E35" s="33">
        <v>2121817.2000000002</v>
      </c>
      <c r="I35" s="33">
        <v>2121817.2000000002</v>
      </c>
      <c r="J35" s="33">
        <v>200000</v>
      </c>
      <c r="K35" s="33">
        <v>0.2</v>
      </c>
      <c r="L35" s="33">
        <v>424363.44000000006</v>
      </c>
      <c r="M35" s="33">
        <v>624363.44000000006</v>
      </c>
      <c r="N35" s="33">
        <v>624363.44000000006</v>
      </c>
      <c r="O35" s="33">
        <v>1497453.7600000002</v>
      </c>
      <c r="P35" s="33">
        <v>21000</v>
      </c>
      <c r="Q35" s="33">
        <v>33000</v>
      </c>
      <c r="R35" s="33">
        <v>75000</v>
      </c>
      <c r="S35" s="33">
        <v>75516.214400000041</v>
      </c>
      <c r="T35" s="33">
        <v>0</v>
      </c>
      <c r="V35" s="33">
        <v>204516.21440000006</v>
      </c>
      <c r="W35" s="33">
        <v>12</v>
      </c>
      <c r="X35" s="33">
        <v>17043.017866666672</v>
      </c>
      <c r="Z35" s="33">
        <v>17043.017866666672</v>
      </c>
      <c r="AA35" s="33">
        <v>16512.68</v>
      </c>
      <c r="AB35" s="33">
        <v>530.3378666666722</v>
      </c>
    </row>
    <row r="36" spans="1:28">
      <c r="A36"/>
      <c r="C36" s="33">
        <v>12126899.364750002</v>
      </c>
      <c r="G36" s="33">
        <v>0</v>
      </c>
      <c r="Z36" s="33">
        <v>1716067.6634466664</v>
      </c>
      <c r="AA36" s="33">
        <v>1681121.5077906661</v>
      </c>
      <c r="AB36" s="33">
        <v>34946.15565599993</v>
      </c>
    </row>
    <row r="37" spans="1:28">
      <c r="A37"/>
    </row>
    <row r="38" spans="1:28">
      <c r="A38">
        <v>33</v>
      </c>
      <c r="B38" s="33" t="s">
        <v>93</v>
      </c>
      <c r="C38" s="33">
        <v>950209.06350000005</v>
      </c>
      <c r="D38" s="33">
        <v>12</v>
      </c>
      <c r="E38" s="33">
        <v>11402508.762</v>
      </c>
      <c r="I38" s="33">
        <v>11402508.762</v>
      </c>
      <c r="J38" s="33">
        <v>200000</v>
      </c>
      <c r="K38" s="33">
        <v>0.2</v>
      </c>
      <c r="L38" s="33">
        <v>2280501.7524000001</v>
      </c>
      <c r="M38" s="33">
        <v>2480501.7524000001</v>
      </c>
      <c r="N38" s="33">
        <v>2480501.7524000001</v>
      </c>
      <c r="O38" s="33">
        <v>8922007.0096000005</v>
      </c>
      <c r="P38" s="33">
        <v>21000</v>
      </c>
      <c r="Q38" s="33">
        <v>33000</v>
      </c>
      <c r="R38" s="33">
        <v>75000</v>
      </c>
      <c r="S38" s="33">
        <v>95000</v>
      </c>
      <c r="T38" s="33">
        <v>336000</v>
      </c>
      <c r="U38" s="33">
        <v>1373281.682304</v>
      </c>
      <c r="V38" s="33">
        <v>1933281.682304</v>
      </c>
      <c r="W38" s="33">
        <v>12</v>
      </c>
      <c r="X38" s="33">
        <v>161106.80685866668</v>
      </c>
      <c r="Z38" s="33">
        <v>161106.80685866668</v>
      </c>
      <c r="AA38" s="33">
        <v>156349.82</v>
      </c>
      <c r="AB38" s="33">
        <v>4756.9868586666707</v>
      </c>
    </row>
    <row r="39" spans="1:28">
      <c r="A39">
        <v>34</v>
      </c>
      <c r="B39" s="33" t="s">
        <v>96</v>
      </c>
      <c r="C39" s="33">
        <v>173329.04949999999</v>
      </c>
      <c r="D39" s="33">
        <v>12</v>
      </c>
      <c r="E39" s="33">
        <v>2079948.594</v>
      </c>
      <c r="I39" s="33">
        <v>2079948.594</v>
      </c>
      <c r="J39" s="33">
        <v>200000</v>
      </c>
      <c r="K39" s="33">
        <v>0.2</v>
      </c>
      <c r="L39" s="33">
        <v>415989.71880000003</v>
      </c>
      <c r="M39" s="33">
        <v>615989.71880000003</v>
      </c>
      <c r="N39" s="33">
        <v>615989.71880000003</v>
      </c>
      <c r="O39" s="33">
        <v>1463958.8752000001</v>
      </c>
      <c r="P39" s="33">
        <v>21000</v>
      </c>
      <c r="Q39" s="33">
        <v>33000</v>
      </c>
      <c r="R39" s="33">
        <v>75000</v>
      </c>
      <c r="S39" s="33">
        <v>69152.186288000026</v>
      </c>
      <c r="T39" s="33">
        <v>0</v>
      </c>
      <c r="V39" s="33">
        <v>198152.18628800003</v>
      </c>
      <c r="W39" s="33">
        <v>12</v>
      </c>
      <c r="X39" s="33">
        <v>16512.68219066667</v>
      </c>
      <c r="Z39" s="33">
        <v>16512.68219066667</v>
      </c>
      <c r="AA39" s="33">
        <v>16512.68</v>
      </c>
      <c r="AB39" s="33">
        <v>2.1906666697759647E-3</v>
      </c>
    </row>
    <row r="40" spans="1:28">
      <c r="A40"/>
    </row>
    <row r="41" spans="1:28">
      <c r="A41"/>
    </row>
    <row r="42" spans="1:28">
      <c r="A42">
        <v>35</v>
      </c>
      <c r="B42" s="33" t="s">
        <v>101</v>
      </c>
      <c r="C42" s="33">
        <v>1050209.0635000002</v>
      </c>
      <c r="D42" s="33">
        <v>12</v>
      </c>
      <c r="E42" s="33">
        <v>12602508.762000002</v>
      </c>
      <c r="I42" s="33">
        <v>12602508.762000002</v>
      </c>
      <c r="J42" s="33">
        <v>200000</v>
      </c>
      <c r="K42" s="33">
        <v>0.2</v>
      </c>
      <c r="L42" s="33">
        <v>2520501.7524000006</v>
      </c>
      <c r="M42" s="33">
        <v>2720501.7524000006</v>
      </c>
      <c r="N42" s="33">
        <v>2720501.7524000006</v>
      </c>
      <c r="O42" s="33">
        <v>9882007.0096000023</v>
      </c>
      <c r="P42" s="33">
        <v>21000</v>
      </c>
      <c r="Q42" s="33">
        <v>33000</v>
      </c>
      <c r="R42" s="33">
        <v>75000</v>
      </c>
      <c r="S42" s="33">
        <v>95000</v>
      </c>
      <c r="T42" s="33">
        <v>336000</v>
      </c>
      <c r="U42" s="33">
        <v>1603681.6823040005</v>
      </c>
      <c r="V42" s="33">
        <v>2163681.6823040005</v>
      </c>
      <c r="W42" s="33">
        <v>12</v>
      </c>
      <c r="X42" s="33">
        <v>180306.80685866671</v>
      </c>
      <c r="Z42" s="33">
        <v>180306.80685866671</v>
      </c>
      <c r="AA42" s="33">
        <v>180306.81</v>
      </c>
      <c r="AB42" s="33">
        <v>-3.1413332908414304E-3</v>
      </c>
    </row>
    <row r="43" spans="1:28">
      <c r="A43">
        <v>36</v>
      </c>
      <c r="B43" s="33" t="s">
        <v>103</v>
      </c>
      <c r="C43" s="33">
        <v>527553.50249999994</v>
      </c>
      <c r="D43" s="33">
        <v>12</v>
      </c>
      <c r="E43" s="33">
        <v>6330642.0299999993</v>
      </c>
      <c r="I43" s="33">
        <v>6330642.0299999993</v>
      </c>
      <c r="J43" s="33">
        <v>200000</v>
      </c>
      <c r="K43" s="33">
        <v>0.2</v>
      </c>
      <c r="L43" s="33">
        <v>1266128.406</v>
      </c>
      <c r="M43" s="33">
        <v>1466128.406</v>
      </c>
      <c r="N43" s="33">
        <v>1466128.406</v>
      </c>
      <c r="O43" s="33">
        <v>4864513.6239999998</v>
      </c>
      <c r="P43" s="33">
        <v>21000</v>
      </c>
      <c r="Q43" s="33">
        <v>33000</v>
      </c>
      <c r="R43" s="33">
        <v>75000</v>
      </c>
      <c r="S43" s="33">
        <v>95000</v>
      </c>
      <c r="T43" s="33">
        <v>336000</v>
      </c>
      <c r="U43" s="33">
        <v>399483.26975999994</v>
      </c>
      <c r="V43" s="33">
        <v>959483.26975999994</v>
      </c>
      <c r="W43" s="33">
        <v>12</v>
      </c>
      <c r="X43" s="33">
        <v>79956.939146666657</v>
      </c>
      <c r="Z43" s="33">
        <v>79956.939146666657</v>
      </c>
      <c r="AA43" s="33">
        <v>79956.94</v>
      </c>
      <c r="AB43" s="33">
        <v>-8.5333334573078901E-4</v>
      </c>
    </row>
    <row r="44" spans="1:28">
      <c r="A44">
        <v>37</v>
      </c>
      <c r="B44" s="33" t="s">
        <v>105</v>
      </c>
      <c r="C44" s="33">
        <v>527553.50249999994</v>
      </c>
      <c r="D44" s="33">
        <v>12</v>
      </c>
      <c r="E44" s="33">
        <v>6330642.0299999993</v>
      </c>
      <c r="I44" s="33">
        <v>6330642.0299999993</v>
      </c>
      <c r="J44" s="33">
        <v>200000</v>
      </c>
      <c r="K44" s="33">
        <v>0.2</v>
      </c>
      <c r="L44" s="33">
        <v>1266128.406</v>
      </c>
      <c r="M44" s="33">
        <v>1466128.406</v>
      </c>
      <c r="N44" s="33">
        <v>1466128.406</v>
      </c>
      <c r="O44" s="33">
        <v>4864513.6239999998</v>
      </c>
      <c r="P44" s="33">
        <v>21000</v>
      </c>
      <c r="Q44" s="33">
        <v>33000</v>
      </c>
      <c r="R44" s="33">
        <v>75000</v>
      </c>
      <c r="S44" s="33">
        <v>95000</v>
      </c>
      <c r="T44" s="33">
        <v>336000</v>
      </c>
      <c r="U44" s="33">
        <v>399483.26975999994</v>
      </c>
      <c r="V44" s="33">
        <v>959483.26975999994</v>
      </c>
      <c r="W44" s="33">
        <v>12</v>
      </c>
      <c r="X44" s="33">
        <v>79956.939146666657</v>
      </c>
      <c r="Z44" s="33">
        <v>79956.939146666657</v>
      </c>
      <c r="AA44" s="33">
        <v>79956.94</v>
      </c>
      <c r="AB44" s="33">
        <v>-8.5333334573078901E-4</v>
      </c>
    </row>
    <row r="45" spans="1:28">
      <c r="A45">
        <v>38</v>
      </c>
      <c r="B45" s="33" t="s">
        <v>108</v>
      </c>
      <c r="C45" s="33">
        <v>527553.50249999994</v>
      </c>
      <c r="D45" s="33">
        <v>12</v>
      </c>
      <c r="E45" s="33">
        <v>6330642.0299999993</v>
      </c>
      <c r="I45" s="33">
        <v>6330642.0299999993</v>
      </c>
      <c r="J45" s="33">
        <v>200000</v>
      </c>
      <c r="K45" s="33">
        <v>0.2</v>
      </c>
      <c r="L45" s="33">
        <v>1266128.406</v>
      </c>
      <c r="M45" s="33">
        <v>1466128.406</v>
      </c>
      <c r="N45" s="33">
        <v>1466128.406</v>
      </c>
      <c r="O45" s="33">
        <v>4864513.6239999998</v>
      </c>
      <c r="P45" s="33">
        <v>21000</v>
      </c>
      <c r="Q45" s="33">
        <v>33000</v>
      </c>
      <c r="R45" s="33">
        <v>75000</v>
      </c>
      <c r="S45" s="33">
        <v>95000</v>
      </c>
      <c r="T45" s="33">
        <v>336000</v>
      </c>
      <c r="U45" s="33">
        <v>399483.26975999994</v>
      </c>
      <c r="V45" s="33">
        <v>959483.26975999994</v>
      </c>
      <c r="W45" s="33">
        <v>12</v>
      </c>
      <c r="X45" s="33">
        <v>79956.939146666657</v>
      </c>
      <c r="Z45" s="33">
        <v>79956.939146666657</v>
      </c>
      <c r="AA45" s="33">
        <v>77764.98</v>
      </c>
      <c r="AB45" s="33">
        <v>2191.9591466666607</v>
      </c>
    </row>
    <row r="46" spans="1:28">
      <c r="A46">
        <v>39</v>
      </c>
      <c r="B46" s="33" t="s">
        <v>110</v>
      </c>
      <c r="C46" s="33">
        <v>476014.86000000004</v>
      </c>
      <c r="D46" s="33">
        <v>12</v>
      </c>
      <c r="E46" s="33">
        <v>5712178.3200000003</v>
      </c>
      <c r="I46" s="33">
        <v>5712178.3200000003</v>
      </c>
      <c r="J46" s="33">
        <v>200000</v>
      </c>
      <c r="K46" s="33">
        <v>0.2</v>
      </c>
      <c r="L46" s="33">
        <v>1142435.6640000001</v>
      </c>
      <c r="M46" s="33">
        <v>1342435.6640000001</v>
      </c>
      <c r="N46" s="33">
        <v>1342435.6640000001</v>
      </c>
      <c r="O46" s="33">
        <v>4369742.6560000004</v>
      </c>
      <c r="P46" s="33">
        <v>21000</v>
      </c>
      <c r="Q46" s="33">
        <v>33000</v>
      </c>
      <c r="R46" s="33">
        <v>75000</v>
      </c>
      <c r="S46" s="33">
        <v>95000</v>
      </c>
      <c r="T46" s="33">
        <v>336000</v>
      </c>
      <c r="U46" s="33">
        <v>280738.23744000011</v>
      </c>
      <c r="V46" s="33">
        <v>840738.23744000006</v>
      </c>
      <c r="W46" s="33">
        <v>12</v>
      </c>
      <c r="X46" s="33">
        <v>70061.519786666671</v>
      </c>
      <c r="Z46" s="33">
        <v>70061.519786666671</v>
      </c>
      <c r="AA46" s="33">
        <v>75436.115322666665</v>
      </c>
      <c r="AB46" s="33">
        <v>-5374.5955359999934</v>
      </c>
    </row>
    <row r="47" spans="1:28">
      <c r="A47">
        <v>40</v>
      </c>
      <c r="B47" s="33" t="s">
        <v>112</v>
      </c>
      <c r="C47" s="33">
        <v>413333.03525000007</v>
      </c>
      <c r="D47" s="33">
        <v>12</v>
      </c>
      <c r="E47" s="33">
        <v>4959996.4230000004</v>
      </c>
      <c r="F47" s="33">
        <v>8546.5400000000009</v>
      </c>
      <c r="I47" s="33">
        <v>4951449.8830000004</v>
      </c>
      <c r="J47" s="33">
        <v>200000</v>
      </c>
      <c r="K47" s="33">
        <v>0.2</v>
      </c>
      <c r="L47" s="33">
        <v>990289.97660000017</v>
      </c>
      <c r="M47" s="33">
        <v>1190289.9766000002</v>
      </c>
      <c r="N47" s="33">
        <v>1198836.5166000002</v>
      </c>
      <c r="O47" s="33">
        <v>3761159.9064000002</v>
      </c>
      <c r="P47" s="33">
        <v>21000</v>
      </c>
      <c r="Q47" s="33">
        <v>33000</v>
      </c>
      <c r="R47" s="33">
        <v>75000</v>
      </c>
      <c r="S47" s="33">
        <v>95000</v>
      </c>
      <c r="T47" s="33">
        <v>336000</v>
      </c>
      <c r="U47" s="33">
        <v>134678.37753600004</v>
      </c>
      <c r="V47" s="33">
        <v>694678.37753599999</v>
      </c>
      <c r="W47" s="33">
        <v>12</v>
      </c>
      <c r="X47" s="33">
        <v>57889.864794666668</v>
      </c>
      <c r="Z47" s="33">
        <v>57889.864794666668</v>
      </c>
      <c r="AA47" s="33">
        <v>56478.9</v>
      </c>
      <c r="AB47" s="33">
        <v>1410.9647946666664</v>
      </c>
    </row>
    <row r="48" spans="1:28">
      <c r="A48">
        <v>41</v>
      </c>
      <c r="B48" s="33" t="s">
        <v>113</v>
      </c>
      <c r="C48" s="33">
        <v>413333.03525000007</v>
      </c>
      <c r="D48" s="33">
        <v>12</v>
      </c>
      <c r="E48" s="33">
        <v>4959996.4230000004</v>
      </c>
      <c r="I48" s="33">
        <v>4959996.4230000004</v>
      </c>
      <c r="J48" s="33">
        <v>200000</v>
      </c>
      <c r="K48" s="33">
        <v>0.2</v>
      </c>
      <c r="L48" s="33">
        <v>991999.28460000013</v>
      </c>
      <c r="M48" s="33">
        <v>1191999.2846000001</v>
      </c>
      <c r="N48" s="33">
        <v>1191999.2846000001</v>
      </c>
      <c r="O48" s="33">
        <v>3767997.1384000005</v>
      </c>
      <c r="P48" s="33">
        <v>21000</v>
      </c>
      <c r="Q48" s="33">
        <v>33000</v>
      </c>
      <c r="R48" s="33">
        <v>75000</v>
      </c>
      <c r="S48" s="33">
        <v>95000</v>
      </c>
      <c r="T48" s="33">
        <v>336000</v>
      </c>
      <c r="U48" s="33">
        <v>136319.31321600013</v>
      </c>
      <c r="V48" s="33">
        <v>696319.3132160001</v>
      </c>
      <c r="W48" s="33">
        <v>12</v>
      </c>
      <c r="X48" s="33">
        <v>58026.609434666672</v>
      </c>
      <c r="Z48" s="33">
        <v>58026.609434666672</v>
      </c>
      <c r="AA48" s="33">
        <v>56478.9</v>
      </c>
      <c r="AB48" s="33">
        <v>1547.7094346666709</v>
      </c>
    </row>
    <row r="49" spans="1:28">
      <c r="A49">
        <v>42</v>
      </c>
      <c r="B49" s="33" t="s">
        <v>473</v>
      </c>
      <c r="C49" s="33">
        <v>400272.06374999997</v>
      </c>
      <c r="D49" s="33">
        <v>12</v>
      </c>
      <c r="E49" s="33">
        <v>4803264.7649999997</v>
      </c>
      <c r="I49" s="33">
        <v>4803264.7649999997</v>
      </c>
      <c r="J49" s="33">
        <v>200000</v>
      </c>
      <c r="K49" s="33">
        <v>0.2</v>
      </c>
      <c r="L49" s="33">
        <v>960652.95299999998</v>
      </c>
      <c r="M49" s="33">
        <v>1160652.953</v>
      </c>
      <c r="N49" s="33">
        <v>1160652.953</v>
      </c>
      <c r="O49" s="33">
        <v>3642611.8119999999</v>
      </c>
      <c r="P49" s="33">
        <v>21000</v>
      </c>
      <c r="Q49" s="33">
        <v>33000</v>
      </c>
      <c r="R49" s="33">
        <v>75000</v>
      </c>
      <c r="S49" s="33">
        <v>95000</v>
      </c>
      <c r="T49" s="33">
        <v>336000</v>
      </c>
      <c r="U49" s="33">
        <v>106226.83487999998</v>
      </c>
      <c r="V49" s="33">
        <v>666226.83487999998</v>
      </c>
      <c r="W49" s="33">
        <v>12</v>
      </c>
      <c r="X49" s="33">
        <v>55518.902906666663</v>
      </c>
      <c r="Z49" s="33">
        <v>55518.902906666663</v>
      </c>
      <c r="AA49" s="33">
        <v>54931.400186666666</v>
      </c>
      <c r="AB49" s="33">
        <v>587.50271999999677</v>
      </c>
    </row>
    <row r="50" spans="1:28">
      <c r="A50">
        <v>43</v>
      </c>
      <c r="B50" s="33" t="s">
        <v>114</v>
      </c>
      <c r="C50" s="33">
        <v>369177.65375</v>
      </c>
      <c r="D50" s="33">
        <v>12</v>
      </c>
      <c r="E50" s="33">
        <v>4430131.8449999997</v>
      </c>
      <c r="I50" s="33">
        <v>4430131.8449999997</v>
      </c>
      <c r="J50" s="33">
        <v>200000</v>
      </c>
      <c r="K50" s="33">
        <v>0.2</v>
      </c>
      <c r="L50" s="33">
        <v>886026.36899999995</v>
      </c>
      <c r="M50" s="33">
        <v>1086026.3689999999</v>
      </c>
      <c r="N50" s="33">
        <v>1086026.3689999999</v>
      </c>
      <c r="O50" s="33">
        <v>3344105.4759999998</v>
      </c>
      <c r="P50" s="33">
        <v>21000</v>
      </c>
      <c r="Q50" s="33">
        <v>33000</v>
      </c>
      <c r="R50" s="33">
        <v>75000</v>
      </c>
      <c r="S50" s="33">
        <v>95000</v>
      </c>
      <c r="T50" s="33">
        <v>336000</v>
      </c>
      <c r="U50" s="33">
        <v>34585.314239999949</v>
      </c>
      <c r="V50" s="33">
        <v>594585.31423999998</v>
      </c>
      <c r="W50" s="33">
        <v>12</v>
      </c>
      <c r="X50" s="33">
        <v>49548.776186666662</v>
      </c>
      <c r="Z50" s="33">
        <v>49548.776186666662</v>
      </c>
      <c r="AA50" s="33">
        <v>48052.11</v>
      </c>
      <c r="AB50" s="33">
        <v>1496.6661866666618</v>
      </c>
    </row>
    <row r="51" spans="1:28">
      <c r="A51">
        <v>44</v>
      </c>
      <c r="B51" s="33" t="s">
        <v>119</v>
      </c>
      <c r="C51" s="33">
        <v>245204.0845</v>
      </c>
      <c r="D51" s="33">
        <v>12</v>
      </c>
      <c r="E51" s="33">
        <v>2942449.014</v>
      </c>
      <c r="F51" s="33">
        <v>7422.38</v>
      </c>
      <c r="I51" s="33">
        <v>2935026.6340000001</v>
      </c>
      <c r="J51" s="33">
        <v>200000</v>
      </c>
      <c r="K51" s="33">
        <v>0.2</v>
      </c>
      <c r="L51" s="33">
        <v>587005.32680000004</v>
      </c>
      <c r="M51" s="33">
        <v>787005.32680000004</v>
      </c>
      <c r="N51" s="33">
        <v>794427.70680000004</v>
      </c>
      <c r="O51" s="33">
        <v>2148021.3071999997</v>
      </c>
      <c r="P51" s="33">
        <v>21000</v>
      </c>
      <c r="Q51" s="33">
        <v>33000</v>
      </c>
      <c r="R51" s="33">
        <v>75000</v>
      </c>
      <c r="S51" s="33">
        <v>95000</v>
      </c>
      <c r="T51" s="33">
        <v>115084.47451199993</v>
      </c>
      <c r="U51" s="33">
        <v>0</v>
      </c>
      <c r="V51" s="33">
        <v>339084.47451199993</v>
      </c>
      <c r="W51" s="33">
        <v>12</v>
      </c>
      <c r="X51" s="33">
        <v>28360.952862666662</v>
      </c>
      <c r="Z51" s="33">
        <v>28360.952862666662</v>
      </c>
      <c r="AA51" s="33">
        <v>28360.95</v>
      </c>
      <c r="AB51" s="33">
        <v>2.8626666608033702E-3</v>
      </c>
    </row>
    <row r="52" spans="1:28">
      <c r="A52">
        <v>45</v>
      </c>
      <c r="B52" s="33" t="s">
        <v>120</v>
      </c>
      <c r="C52" s="33">
        <v>245204.0845</v>
      </c>
      <c r="D52" s="33">
        <v>12</v>
      </c>
      <c r="E52" s="33">
        <v>2942449.014</v>
      </c>
      <c r="I52" s="33">
        <v>2942449.014</v>
      </c>
      <c r="J52" s="33">
        <v>200000</v>
      </c>
      <c r="K52" s="33">
        <v>0.2</v>
      </c>
      <c r="L52" s="33">
        <v>588489.80280000006</v>
      </c>
      <c r="M52" s="33">
        <v>788489.80280000006</v>
      </c>
      <c r="N52" s="33">
        <v>788489.80280000006</v>
      </c>
      <c r="O52" s="33">
        <v>2153959.2111999998</v>
      </c>
      <c r="P52" s="33">
        <v>21000</v>
      </c>
      <c r="Q52" s="33">
        <v>33000</v>
      </c>
      <c r="R52" s="33">
        <v>75000</v>
      </c>
      <c r="S52" s="33">
        <v>95000</v>
      </c>
      <c r="T52" s="33">
        <v>116331.43435199995</v>
      </c>
      <c r="V52" s="33">
        <v>340331.43435199995</v>
      </c>
      <c r="W52" s="33">
        <v>12</v>
      </c>
      <c r="X52" s="33">
        <v>28360.952862666662</v>
      </c>
      <c r="Z52" s="33">
        <v>28360.952862666662</v>
      </c>
      <c r="AA52" s="33">
        <v>28360.95</v>
      </c>
      <c r="AB52" s="33">
        <v>2.8626666608033702E-3</v>
      </c>
    </row>
    <row r="53" spans="1:28">
      <c r="A53">
        <v>46</v>
      </c>
      <c r="B53" s="33" t="s">
        <v>121</v>
      </c>
      <c r="C53" s="33">
        <v>245205.0845</v>
      </c>
      <c r="D53" s="33">
        <v>12</v>
      </c>
      <c r="E53" s="33">
        <v>2942461.014</v>
      </c>
      <c r="I53" s="33">
        <v>2942461.014</v>
      </c>
      <c r="J53" s="33">
        <v>200000</v>
      </c>
      <c r="K53" s="33">
        <v>0.2</v>
      </c>
      <c r="L53" s="33">
        <v>588492.20279999997</v>
      </c>
      <c r="M53" s="33">
        <v>788492.20279999997</v>
      </c>
      <c r="N53" s="33">
        <v>788492.20279999997</v>
      </c>
      <c r="O53" s="33">
        <v>2153968.8111999999</v>
      </c>
      <c r="P53" s="33">
        <v>21000</v>
      </c>
      <c r="Q53" s="33">
        <v>33000</v>
      </c>
      <c r="R53" s="33">
        <v>75000</v>
      </c>
      <c r="S53" s="33">
        <v>95000</v>
      </c>
      <c r="T53" s="33">
        <v>116333.45035199997</v>
      </c>
      <c r="V53" s="33">
        <v>340333.45035199996</v>
      </c>
      <c r="W53" s="33">
        <v>12</v>
      </c>
      <c r="X53" s="33">
        <v>28360.952862666662</v>
      </c>
      <c r="Z53" s="33">
        <v>28360.952862666662</v>
      </c>
      <c r="AA53" s="33">
        <v>28360.95</v>
      </c>
      <c r="AB53" s="33">
        <v>2.8626666608033702E-3</v>
      </c>
    </row>
    <row r="54" spans="1:28">
      <c r="A54"/>
    </row>
    <row r="55" spans="1:28">
      <c r="A55"/>
    </row>
    <row r="56" spans="1:28">
      <c r="A56">
        <v>47</v>
      </c>
      <c r="B56" s="33" t="s">
        <v>123</v>
      </c>
      <c r="C56" s="33">
        <v>1050209.0635000002</v>
      </c>
      <c r="D56" s="33">
        <v>12</v>
      </c>
      <c r="E56" s="33">
        <v>12602508.762000002</v>
      </c>
      <c r="I56" s="33">
        <v>12602508.762000002</v>
      </c>
      <c r="J56" s="33">
        <v>200000</v>
      </c>
      <c r="K56" s="33">
        <v>0.2</v>
      </c>
      <c r="L56" s="33">
        <v>2520501.7524000006</v>
      </c>
      <c r="M56" s="33">
        <v>2720501.7524000006</v>
      </c>
      <c r="N56" s="33">
        <v>2720501.7524000006</v>
      </c>
      <c r="O56" s="33">
        <v>9882007.0096000023</v>
      </c>
      <c r="P56" s="33">
        <v>21000</v>
      </c>
      <c r="Q56" s="33">
        <v>33000</v>
      </c>
      <c r="R56" s="33">
        <v>75000</v>
      </c>
      <c r="S56" s="33">
        <v>95000</v>
      </c>
      <c r="T56" s="33">
        <v>336000</v>
      </c>
      <c r="U56" s="33">
        <v>1603681.6823040005</v>
      </c>
      <c r="V56" s="33">
        <v>2163681.6823040005</v>
      </c>
      <c r="W56" s="33">
        <v>12</v>
      </c>
      <c r="X56" s="33">
        <v>180306.80685866671</v>
      </c>
      <c r="Z56" s="33">
        <v>180306.80685866671</v>
      </c>
      <c r="AA56" s="33">
        <v>180306.80685866671</v>
      </c>
      <c r="AB56" s="33">
        <v>0</v>
      </c>
    </row>
    <row r="57" spans="1:28">
      <c r="A57">
        <v>48</v>
      </c>
      <c r="B57" s="33" t="s">
        <v>125</v>
      </c>
      <c r="C57" s="33">
        <v>436137.05000000005</v>
      </c>
      <c r="D57" s="33">
        <v>12</v>
      </c>
      <c r="E57" s="33">
        <v>5233644.6000000006</v>
      </c>
      <c r="I57" s="33">
        <v>5233644.6000000006</v>
      </c>
      <c r="J57" s="33">
        <v>200000</v>
      </c>
      <c r="K57" s="33">
        <v>0.2</v>
      </c>
      <c r="L57" s="33">
        <v>1046728.9200000002</v>
      </c>
      <c r="M57" s="33">
        <v>1246728.9200000002</v>
      </c>
      <c r="N57" s="33">
        <v>1246728.9200000002</v>
      </c>
      <c r="O57" s="33">
        <v>3986915.6800000006</v>
      </c>
      <c r="P57" s="33">
        <v>21000</v>
      </c>
      <c r="Q57" s="33">
        <v>33000</v>
      </c>
      <c r="R57" s="33">
        <v>75000</v>
      </c>
      <c r="S57" s="33">
        <v>95000</v>
      </c>
      <c r="T57" s="33">
        <v>336000</v>
      </c>
      <c r="U57" s="33">
        <v>188859.76320000013</v>
      </c>
      <c r="V57" s="33">
        <v>748859.76320000016</v>
      </c>
      <c r="W57" s="33">
        <v>12</v>
      </c>
      <c r="X57" s="33">
        <v>62404.98026666668</v>
      </c>
      <c r="Z57" s="33">
        <v>62404.98026666668</v>
      </c>
    </row>
    <row r="58" spans="1:28">
      <c r="A58"/>
    </row>
    <row r="59" spans="1:28">
      <c r="A59"/>
    </row>
    <row r="60" spans="1:28">
      <c r="A60">
        <v>49</v>
      </c>
      <c r="B60" s="33" t="s">
        <v>129</v>
      </c>
      <c r="C60" s="33">
        <v>1050209.0635000002</v>
      </c>
      <c r="D60" s="33">
        <v>12</v>
      </c>
      <c r="E60" s="33">
        <v>12602508.762000002</v>
      </c>
      <c r="I60" s="33">
        <v>12602508.762000002</v>
      </c>
      <c r="J60" s="33">
        <v>200000</v>
      </c>
      <c r="K60" s="33">
        <v>0.2</v>
      </c>
      <c r="L60" s="33">
        <v>2520501.7524000006</v>
      </c>
      <c r="M60" s="33">
        <v>2720501.7524000006</v>
      </c>
      <c r="N60" s="33">
        <v>2720501.7524000006</v>
      </c>
      <c r="O60" s="33">
        <v>9882007.0096000023</v>
      </c>
      <c r="P60" s="33">
        <v>21000</v>
      </c>
      <c r="Q60" s="33">
        <v>33000</v>
      </c>
      <c r="R60" s="33">
        <v>75000</v>
      </c>
      <c r="S60" s="33">
        <v>95000</v>
      </c>
      <c r="T60" s="33">
        <v>336000</v>
      </c>
      <c r="U60" s="33">
        <v>1603681.6823040005</v>
      </c>
      <c r="V60" s="33">
        <v>2163681.6823040005</v>
      </c>
      <c r="W60" s="33">
        <v>12</v>
      </c>
      <c r="X60" s="33">
        <v>180306.80685866671</v>
      </c>
      <c r="Z60" s="33">
        <v>180306.80685866671</v>
      </c>
      <c r="AA60" s="33">
        <v>180306.81</v>
      </c>
      <c r="AB60" s="33">
        <v>-3.1413332908414304E-3</v>
      </c>
    </row>
    <row r="61" spans="1:28">
      <c r="A61">
        <v>50</v>
      </c>
      <c r="B61" s="33" t="s">
        <v>131</v>
      </c>
      <c r="C61" s="33">
        <v>504720.04700000002</v>
      </c>
      <c r="D61" s="33">
        <v>12</v>
      </c>
      <c r="E61" s="33">
        <v>6056640.5640000002</v>
      </c>
      <c r="I61" s="33">
        <v>6056640.5640000002</v>
      </c>
      <c r="J61" s="33">
        <v>200000</v>
      </c>
      <c r="K61" s="33">
        <v>0.2</v>
      </c>
      <c r="L61" s="33">
        <v>1211328.1128</v>
      </c>
      <c r="M61" s="33">
        <v>1411328.1128</v>
      </c>
      <c r="N61" s="33">
        <v>1411328.1128</v>
      </c>
      <c r="O61" s="33">
        <v>4645312.4512</v>
      </c>
      <c r="P61" s="33">
        <v>21000</v>
      </c>
      <c r="Q61" s="33">
        <v>33000</v>
      </c>
      <c r="R61" s="33">
        <v>75000</v>
      </c>
      <c r="S61" s="33">
        <v>95000</v>
      </c>
      <c r="T61" s="33">
        <v>336000</v>
      </c>
      <c r="U61" s="33">
        <v>346874.98828799999</v>
      </c>
      <c r="V61" s="33">
        <v>906874.98828799999</v>
      </c>
      <c r="W61" s="33">
        <v>12</v>
      </c>
      <c r="X61" s="33">
        <v>75572.915690666661</v>
      </c>
      <c r="Z61" s="33">
        <v>75572.915690666661</v>
      </c>
      <c r="AA61" s="33">
        <v>75572.92</v>
      </c>
      <c r="AB61" s="33">
        <v>-4.3093333370052278E-3</v>
      </c>
    </row>
    <row r="62" spans="1:28">
      <c r="A62">
        <v>51</v>
      </c>
      <c r="B62" s="33" t="s">
        <v>134</v>
      </c>
      <c r="C62" s="33">
        <v>369177.65375</v>
      </c>
      <c r="D62" s="33">
        <v>12</v>
      </c>
      <c r="E62" s="33">
        <v>4430131.8449999997</v>
      </c>
      <c r="I62" s="33">
        <v>4430131.8449999997</v>
      </c>
      <c r="J62" s="33">
        <v>200000</v>
      </c>
      <c r="K62" s="33">
        <v>0.2</v>
      </c>
      <c r="L62" s="33">
        <v>886026.36899999995</v>
      </c>
      <c r="M62" s="33">
        <v>1086026.3689999999</v>
      </c>
      <c r="N62" s="33">
        <v>1086026.3689999999</v>
      </c>
      <c r="O62" s="33">
        <v>3344105.4759999998</v>
      </c>
      <c r="P62" s="33">
        <v>21000</v>
      </c>
      <c r="Q62" s="33">
        <v>33000</v>
      </c>
      <c r="R62" s="33">
        <v>75000</v>
      </c>
      <c r="S62" s="33">
        <v>95000</v>
      </c>
      <c r="T62" s="33">
        <v>336000</v>
      </c>
      <c r="U62" s="33">
        <v>34585.314239999949</v>
      </c>
      <c r="V62" s="33">
        <v>594585.31423999998</v>
      </c>
      <c r="W62" s="33">
        <v>12</v>
      </c>
      <c r="X62" s="33">
        <v>49548.776186666662</v>
      </c>
      <c r="Z62" s="33">
        <v>49548.776186666662</v>
      </c>
      <c r="AA62" s="33">
        <v>48170.87</v>
      </c>
      <c r="AB62" s="33">
        <v>1377.9061866666598</v>
      </c>
    </row>
    <row r="63" spans="1:28">
      <c r="A63">
        <v>52</v>
      </c>
      <c r="B63" s="33" t="s">
        <v>135</v>
      </c>
      <c r="C63" s="33">
        <v>362001.06049999996</v>
      </c>
      <c r="D63" s="33">
        <v>12</v>
      </c>
      <c r="E63" s="33">
        <v>4344012.7259999998</v>
      </c>
      <c r="I63" s="33">
        <v>4344012.7259999998</v>
      </c>
      <c r="J63" s="33">
        <v>200000</v>
      </c>
      <c r="K63" s="33">
        <v>0.2</v>
      </c>
      <c r="L63" s="33">
        <v>868802.54520000005</v>
      </c>
      <c r="M63" s="33">
        <v>1068802.5452000001</v>
      </c>
      <c r="N63" s="33">
        <v>1068802.5452000001</v>
      </c>
      <c r="O63" s="33">
        <v>3275210.1807999997</v>
      </c>
      <c r="P63" s="33">
        <v>21000</v>
      </c>
      <c r="Q63" s="33">
        <v>33000</v>
      </c>
      <c r="R63" s="33">
        <v>75000</v>
      </c>
      <c r="S63" s="33">
        <v>95000</v>
      </c>
      <c r="T63" s="33">
        <v>336000</v>
      </c>
      <c r="U63" s="33">
        <v>18050.443391999936</v>
      </c>
      <c r="V63" s="33">
        <v>578050.44339199993</v>
      </c>
      <c r="W63" s="33">
        <v>12</v>
      </c>
      <c r="X63" s="33">
        <v>48170.870282666663</v>
      </c>
      <c r="Z63" s="33">
        <v>48170.870282666663</v>
      </c>
      <c r="AA63" s="33">
        <v>46673.26</v>
      </c>
      <c r="AB63" s="33">
        <v>1497.6102826666611</v>
      </c>
    </row>
    <row r="64" spans="1:28">
      <c r="A64">
        <v>53</v>
      </c>
      <c r="B64" s="33" t="s">
        <v>137</v>
      </c>
      <c r="C64" s="33">
        <v>413333.03525000007</v>
      </c>
      <c r="D64" s="33">
        <v>12</v>
      </c>
      <c r="E64" s="33">
        <v>4959996.4230000004</v>
      </c>
      <c r="I64" s="33">
        <v>4959996.4230000004</v>
      </c>
      <c r="J64" s="33">
        <v>200000</v>
      </c>
      <c r="K64" s="33">
        <v>0.2</v>
      </c>
      <c r="L64" s="33">
        <v>991999.28460000013</v>
      </c>
      <c r="M64" s="33">
        <v>1191999.2846000001</v>
      </c>
      <c r="N64" s="33">
        <v>1191999.2846000001</v>
      </c>
      <c r="O64" s="33">
        <v>3767997.1384000005</v>
      </c>
      <c r="P64" s="33">
        <v>21000</v>
      </c>
      <c r="Q64" s="33">
        <v>33000</v>
      </c>
      <c r="R64" s="33">
        <v>75000</v>
      </c>
      <c r="S64" s="33">
        <v>95000</v>
      </c>
      <c r="T64" s="33">
        <v>336000</v>
      </c>
      <c r="U64" s="33">
        <v>136319.31321600013</v>
      </c>
      <c r="V64" s="33">
        <v>696319.3132160001</v>
      </c>
      <c r="W64" s="33">
        <v>12</v>
      </c>
      <c r="X64" s="33">
        <v>58026.609434666672</v>
      </c>
      <c r="Z64" s="33">
        <v>58026.609434666672</v>
      </c>
      <c r="AA64" s="33">
        <v>56478.9</v>
      </c>
      <c r="AB64" s="33">
        <v>1547.7094346666709</v>
      </c>
    </row>
    <row r="65" spans="1:28">
      <c r="A65">
        <v>54</v>
      </c>
      <c r="B65" s="33" t="s">
        <v>138</v>
      </c>
      <c r="C65" s="33">
        <v>300564.016</v>
      </c>
      <c r="D65" s="33">
        <v>12</v>
      </c>
      <c r="E65" s="33">
        <v>3606768.1919999998</v>
      </c>
      <c r="I65" s="33">
        <v>3606768.1919999998</v>
      </c>
      <c r="J65" s="33">
        <v>200000</v>
      </c>
      <c r="K65" s="33">
        <v>0.2</v>
      </c>
      <c r="L65" s="33">
        <v>721353.63840000005</v>
      </c>
      <c r="M65" s="33">
        <v>921353.63840000005</v>
      </c>
      <c r="N65" s="33">
        <v>921353.63840000005</v>
      </c>
      <c r="O65" s="33">
        <v>2685414.5535999998</v>
      </c>
      <c r="P65" s="33">
        <v>21000</v>
      </c>
      <c r="Q65" s="33">
        <v>33000</v>
      </c>
      <c r="R65" s="33">
        <v>75000</v>
      </c>
      <c r="S65" s="33">
        <v>95000</v>
      </c>
      <c r="T65" s="33">
        <v>227937.05625599995</v>
      </c>
      <c r="V65" s="33">
        <v>451937.05625599995</v>
      </c>
      <c r="W65" s="33">
        <v>12</v>
      </c>
      <c r="X65" s="33">
        <v>37661.421354666665</v>
      </c>
      <c r="Z65" s="33">
        <v>37661.421354666665</v>
      </c>
      <c r="AA65" s="33">
        <v>36127.269999999997</v>
      </c>
      <c r="AB65" s="33">
        <v>1534.1513546666683</v>
      </c>
    </row>
    <row r="66" spans="1:28">
      <c r="A66">
        <v>55</v>
      </c>
      <c r="B66" s="33" t="s">
        <v>202</v>
      </c>
      <c r="C66" s="33">
        <v>334536.99849999999</v>
      </c>
      <c r="D66" s="33">
        <v>12</v>
      </c>
      <c r="E66" s="33">
        <v>4014443.9819999998</v>
      </c>
      <c r="F66" s="33">
        <v>6456.26</v>
      </c>
      <c r="I66" s="33">
        <v>4007987.7220000001</v>
      </c>
      <c r="J66" s="33">
        <v>200000</v>
      </c>
      <c r="K66" s="33">
        <v>0.2</v>
      </c>
      <c r="L66" s="33">
        <v>801597.54440000001</v>
      </c>
      <c r="M66" s="33">
        <v>1001597.5444</v>
      </c>
      <c r="N66" s="33">
        <v>1008053.8044</v>
      </c>
      <c r="O66" s="33">
        <v>3006390.1776000001</v>
      </c>
      <c r="P66" s="33">
        <v>21000</v>
      </c>
      <c r="Q66" s="33">
        <v>33000</v>
      </c>
      <c r="R66" s="33">
        <v>75000</v>
      </c>
      <c r="S66" s="33">
        <v>95000</v>
      </c>
      <c r="T66" s="33">
        <v>295341.93729600002</v>
      </c>
      <c r="V66" s="33">
        <v>519341.93729600002</v>
      </c>
      <c r="W66" s="33">
        <v>12</v>
      </c>
      <c r="X66" s="33">
        <v>43278.494774666666</v>
      </c>
      <c r="Z66" s="33">
        <v>43278.494774666666</v>
      </c>
      <c r="AA66" s="33">
        <v>41248.559999999998</v>
      </c>
      <c r="AB66" s="33">
        <v>2029.9347746666681</v>
      </c>
    </row>
    <row r="67" spans="1:28">
      <c r="A67">
        <v>56</v>
      </c>
      <c r="B67" s="33" t="s">
        <v>139</v>
      </c>
      <c r="C67" s="33">
        <v>315372.07500000001</v>
      </c>
      <c r="D67" s="33">
        <v>12</v>
      </c>
      <c r="E67" s="33">
        <v>3784464.9000000004</v>
      </c>
      <c r="I67" s="33">
        <v>3784464.9000000004</v>
      </c>
      <c r="J67" s="33">
        <v>200000</v>
      </c>
      <c r="K67" s="33">
        <v>0.2</v>
      </c>
      <c r="L67" s="33">
        <v>756892.9800000001</v>
      </c>
      <c r="M67" s="33">
        <v>956892.9800000001</v>
      </c>
      <c r="N67" s="33">
        <v>956892.9800000001</v>
      </c>
      <c r="O67" s="33">
        <v>2827571.9200000004</v>
      </c>
      <c r="P67" s="33">
        <v>21000</v>
      </c>
      <c r="Q67" s="33">
        <v>33000</v>
      </c>
      <c r="R67" s="33">
        <v>75000</v>
      </c>
      <c r="S67" s="33">
        <v>95000</v>
      </c>
      <c r="T67" s="33">
        <v>257790.10320000007</v>
      </c>
      <c r="V67" s="33">
        <v>481790.10320000007</v>
      </c>
      <c r="W67" s="33">
        <v>12</v>
      </c>
      <c r="X67" s="33">
        <v>40149.175266666673</v>
      </c>
      <c r="Z67" s="33">
        <v>40149.175266666673</v>
      </c>
      <c r="AA67" s="33">
        <v>40149.18</v>
      </c>
      <c r="AB67" s="33">
        <v>-4.7333333277492784E-3</v>
      </c>
    </row>
    <row r="68" spans="1:28">
      <c r="A68">
        <v>57</v>
      </c>
      <c r="B68" s="33" t="s">
        <v>141</v>
      </c>
      <c r="C68" s="33">
        <v>315372.07500000001</v>
      </c>
      <c r="D68" s="33">
        <v>12</v>
      </c>
      <c r="E68" s="33">
        <v>3784464.9000000004</v>
      </c>
      <c r="I68" s="33">
        <v>3784464.9000000004</v>
      </c>
      <c r="J68" s="33">
        <v>200000</v>
      </c>
      <c r="K68" s="33">
        <v>0.2</v>
      </c>
      <c r="L68" s="33">
        <v>756892.9800000001</v>
      </c>
      <c r="M68" s="33">
        <v>956892.9800000001</v>
      </c>
      <c r="N68" s="33">
        <v>956892.9800000001</v>
      </c>
      <c r="O68" s="33">
        <v>2827571.9200000004</v>
      </c>
      <c r="P68" s="33">
        <v>21000</v>
      </c>
      <c r="Q68" s="33">
        <v>33000</v>
      </c>
      <c r="R68" s="33">
        <v>75000</v>
      </c>
      <c r="S68" s="33">
        <v>95000</v>
      </c>
      <c r="T68" s="33">
        <v>257790.10320000007</v>
      </c>
      <c r="V68" s="33">
        <v>481790.10320000007</v>
      </c>
      <c r="W68" s="33">
        <v>12</v>
      </c>
      <c r="X68" s="33">
        <v>40149.175266666673</v>
      </c>
      <c r="Z68" s="33">
        <v>40149.175266666673</v>
      </c>
      <c r="AA68" s="33">
        <v>40149.18</v>
      </c>
      <c r="AB68" s="33">
        <v>-4.7333333277492784E-3</v>
      </c>
    </row>
    <row r="69" spans="1:28">
      <c r="A69">
        <v>58</v>
      </c>
      <c r="B69" s="33" t="s">
        <v>142</v>
      </c>
      <c r="C69" s="33">
        <v>322454.07400000002</v>
      </c>
      <c r="D69" s="33">
        <v>12</v>
      </c>
      <c r="E69" s="33">
        <v>3869448.8880000003</v>
      </c>
      <c r="I69" s="33">
        <v>3869448.8880000003</v>
      </c>
      <c r="J69" s="33">
        <v>200000</v>
      </c>
      <c r="K69" s="33">
        <v>0.2</v>
      </c>
      <c r="L69" s="33">
        <v>773889.77760000015</v>
      </c>
      <c r="M69" s="33">
        <v>973889.77760000015</v>
      </c>
      <c r="N69" s="33">
        <v>973889.77760000015</v>
      </c>
      <c r="O69" s="33">
        <v>2895559.1104000001</v>
      </c>
      <c r="P69" s="33">
        <v>21000</v>
      </c>
      <c r="Q69" s="33">
        <v>33000</v>
      </c>
      <c r="R69" s="33">
        <v>75000</v>
      </c>
      <c r="S69" s="33">
        <v>95000</v>
      </c>
      <c r="T69" s="33">
        <v>272067.413184</v>
      </c>
      <c r="V69" s="33">
        <v>496067.413184</v>
      </c>
      <c r="W69" s="33">
        <v>12</v>
      </c>
      <c r="X69" s="33">
        <v>41338.951098666665</v>
      </c>
      <c r="Z69" s="33">
        <v>41338.951098666665</v>
      </c>
      <c r="AA69" s="33">
        <v>41829.147126666663</v>
      </c>
      <c r="AB69" s="33">
        <v>-490.19602799999848</v>
      </c>
    </row>
    <row r="70" spans="1:28">
      <c r="A70">
        <v>59</v>
      </c>
      <c r="B70" s="33" t="s">
        <v>570</v>
      </c>
      <c r="C70" s="33">
        <v>273169.11749999999</v>
      </c>
      <c r="D70" s="33">
        <v>12</v>
      </c>
      <c r="E70" s="33">
        <v>3278029.41</v>
      </c>
      <c r="I70" s="33">
        <v>3278029.41</v>
      </c>
      <c r="J70" s="33">
        <v>200000</v>
      </c>
      <c r="K70" s="33">
        <v>0.2</v>
      </c>
      <c r="L70" s="33">
        <v>655605.8820000001</v>
      </c>
      <c r="M70" s="33">
        <v>855605.8820000001</v>
      </c>
      <c r="N70" s="33">
        <v>855605.8820000001</v>
      </c>
      <c r="O70" s="33">
        <v>2422423.5279999999</v>
      </c>
      <c r="P70" s="33">
        <v>21000</v>
      </c>
      <c r="Q70" s="33">
        <v>33000</v>
      </c>
      <c r="R70" s="33">
        <v>75000</v>
      </c>
      <c r="S70" s="33">
        <v>95000</v>
      </c>
      <c r="T70" s="33">
        <v>172708.94087999998</v>
      </c>
      <c r="V70" s="33">
        <v>396708.94088000001</v>
      </c>
      <c r="W70" s="33">
        <v>12</v>
      </c>
      <c r="X70" s="33">
        <v>33059.078406666667</v>
      </c>
      <c r="Z70" s="33">
        <v>33059.078406666667</v>
      </c>
      <c r="AA70" s="33">
        <v>32291.82</v>
      </c>
      <c r="AB70" s="33">
        <v>767.25840666666772</v>
      </c>
    </row>
    <row r="71" spans="1:28">
      <c r="A71">
        <v>60</v>
      </c>
      <c r="B71" s="33" t="s">
        <v>145</v>
      </c>
      <c r="C71" s="33">
        <v>249356.04725</v>
      </c>
      <c r="D71" s="33">
        <v>12</v>
      </c>
      <c r="E71" s="33">
        <v>2992272.5669999998</v>
      </c>
      <c r="I71" s="33">
        <v>2992272.5669999998</v>
      </c>
      <c r="J71" s="33">
        <v>200000</v>
      </c>
      <c r="K71" s="33">
        <v>0.2</v>
      </c>
      <c r="L71" s="33">
        <v>598454.51339999994</v>
      </c>
      <c r="M71" s="33">
        <v>798454.51339999994</v>
      </c>
      <c r="N71" s="33">
        <v>798454.51339999994</v>
      </c>
      <c r="O71" s="33">
        <v>2193818.0535999998</v>
      </c>
      <c r="P71" s="33">
        <v>21000</v>
      </c>
      <c r="Q71" s="33">
        <v>33000</v>
      </c>
      <c r="R71" s="33">
        <v>75000</v>
      </c>
      <c r="S71" s="33">
        <v>95000</v>
      </c>
      <c r="T71" s="33">
        <v>124701.79125599994</v>
      </c>
      <c r="V71" s="33">
        <v>348701.79125599994</v>
      </c>
      <c r="W71" s="33">
        <v>12</v>
      </c>
      <c r="X71" s="33">
        <v>29058.48260466666</v>
      </c>
      <c r="Z71" s="33">
        <v>29058.48260466666</v>
      </c>
      <c r="AA71" s="33">
        <v>24685.95</v>
      </c>
      <c r="AB71" s="33">
        <v>4372.5326046666596</v>
      </c>
    </row>
    <row r="72" spans="1:28">
      <c r="A72">
        <v>61</v>
      </c>
      <c r="B72" s="33" t="s">
        <v>67</v>
      </c>
      <c r="C72" s="33">
        <v>226816.1</v>
      </c>
      <c r="D72" s="33">
        <v>12</v>
      </c>
      <c r="E72" s="33">
        <v>2721793.2</v>
      </c>
      <c r="I72" s="33">
        <v>2721793.2</v>
      </c>
      <c r="J72" s="33">
        <v>200000</v>
      </c>
      <c r="K72" s="33">
        <v>0.2</v>
      </c>
      <c r="L72" s="33">
        <v>544358.64</v>
      </c>
      <c r="M72" s="33">
        <v>744358.64</v>
      </c>
      <c r="N72" s="33">
        <v>744358.64</v>
      </c>
      <c r="O72" s="33">
        <v>1977434.56</v>
      </c>
      <c r="P72" s="33">
        <v>21000</v>
      </c>
      <c r="Q72" s="33">
        <v>33000</v>
      </c>
      <c r="R72" s="33">
        <v>75000</v>
      </c>
      <c r="S72" s="33">
        <v>95000</v>
      </c>
      <c r="T72" s="33">
        <v>79261.257600000012</v>
      </c>
      <c r="V72" s="33">
        <v>303261.25760000001</v>
      </c>
      <c r="W72" s="33">
        <v>12</v>
      </c>
      <c r="X72" s="33">
        <v>25271.771466666669</v>
      </c>
      <c r="Z72" s="33">
        <v>25271.771466666669</v>
      </c>
      <c r="AA72" s="33">
        <v>24685.95</v>
      </c>
      <c r="AB72" s="33">
        <v>585.82146666666813</v>
      </c>
    </row>
    <row r="73" spans="1:28">
      <c r="A73"/>
    </row>
    <row r="74" spans="1:28">
      <c r="A74"/>
    </row>
    <row r="75" spans="1:28">
      <c r="A75">
        <v>62</v>
      </c>
      <c r="B75" s="33" t="s">
        <v>147</v>
      </c>
      <c r="C75" s="33">
        <v>1050209.0635000002</v>
      </c>
      <c r="D75" s="33">
        <v>12</v>
      </c>
      <c r="E75" s="33">
        <v>12602508.762000002</v>
      </c>
      <c r="I75" s="33">
        <v>12602508.762000002</v>
      </c>
      <c r="J75" s="33">
        <v>200000</v>
      </c>
      <c r="K75" s="33">
        <v>0.2</v>
      </c>
      <c r="L75" s="33">
        <v>2520501.7524000006</v>
      </c>
      <c r="M75" s="33">
        <v>2720501.7524000006</v>
      </c>
      <c r="N75" s="33">
        <v>2720501.7524000006</v>
      </c>
      <c r="O75" s="33">
        <v>9882007.0096000023</v>
      </c>
      <c r="P75" s="33">
        <v>21000</v>
      </c>
      <c r="Q75" s="33">
        <v>33000</v>
      </c>
      <c r="R75" s="33">
        <v>75000</v>
      </c>
      <c r="S75" s="33">
        <v>95000</v>
      </c>
      <c r="T75" s="33">
        <v>336000</v>
      </c>
      <c r="U75" s="33">
        <v>1603681.6823040005</v>
      </c>
      <c r="V75" s="33">
        <v>2163681.6823040005</v>
      </c>
      <c r="W75" s="33">
        <v>12</v>
      </c>
      <c r="X75" s="33">
        <v>180306.80685866671</v>
      </c>
      <c r="Z75" s="33">
        <v>180306.80685866671</v>
      </c>
      <c r="AA75" s="33">
        <v>180306.81</v>
      </c>
      <c r="AB75" s="33">
        <v>-3.1413332908414304E-3</v>
      </c>
    </row>
    <row r="76" spans="1:28">
      <c r="A76">
        <v>63</v>
      </c>
      <c r="B76" s="33" t="s">
        <v>149</v>
      </c>
      <c r="C76" s="33">
        <v>504720.04700000002</v>
      </c>
      <c r="D76" s="33">
        <v>12</v>
      </c>
      <c r="E76" s="33">
        <v>6056640.5640000002</v>
      </c>
      <c r="I76" s="33">
        <v>6056640.5640000002</v>
      </c>
      <c r="J76" s="33">
        <v>200000</v>
      </c>
      <c r="K76" s="33">
        <v>0.2</v>
      </c>
      <c r="L76" s="33">
        <v>1211328.1128</v>
      </c>
      <c r="M76" s="33">
        <v>1411328.1128</v>
      </c>
      <c r="N76" s="33">
        <v>1411328.1128</v>
      </c>
      <c r="O76" s="33">
        <v>4645312.4512</v>
      </c>
      <c r="P76" s="33">
        <v>21000</v>
      </c>
      <c r="Q76" s="33">
        <v>33000</v>
      </c>
      <c r="R76" s="33">
        <v>75000</v>
      </c>
      <c r="S76" s="33">
        <v>95000</v>
      </c>
      <c r="T76" s="33">
        <v>336000</v>
      </c>
      <c r="U76" s="33">
        <v>346874.98828799999</v>
      </c>
      <c r="V76" s="33">
        <v>906874.98828799999</v>
      </c>
      <c r="W76" s="33">
        <v>12</v>
      </c>
      <c r="X76" s="33">
        <v>75572.915690666661</v>
      </c>
      <c r="Z76" s="33">
        <v>75572.915690666661</v>
      </c>
      <c r="AA76" s="33">
        <v>75572.92</v>
      </c>
      <c r="AB76" s="33">
        <v>-4.3093333370052278E-3</v>
      </c>
    </row>
    <row r="77" spans="1:28">
      <c r="A77">
        <v>64</v>
      </c>
      <c r="B77" s="33" t="s">
        <v>571</v>
      </c>
      <c r="C77" s="33">
        <v>504720.04700000002</v>
      </c>
      <c r="D77" s="33">
        <v>12</v>
      </c>
      <c r="E77" s="33">
        <v>6056640.5640000002</v>
      </c>
      <c r="I77" s="33">
        <v>6056640.5640000002</v>
      </c>
      <c r="J77" s="33">
        <v>200000</v>
      </c>
      <c r="K77" s="33">
        <v>0.2</v>
      </c>
      <c r="L77" s="33">
        <v>1211328.1128</v>
      </c>
      <c r="M77" s="33">
        <v>1411328.1128</v>
      </c>
      <c r="N77" s="33">
        <v>1411328.1128</v>
      </c>
      <c r="O77" s="33">
        <v>4645312.4512</v>
      </c>
      <c r="P77" s="33">
        <v>21000</v>
      </c>
      <c r="Q77" s="33">
        <v>33000</v>
      </c>
      <c r="R77" s="33">
        <v>75000</v>
      </c>
      <c r="S77" s="33">
        <v>95000</v>
      </c>
      <c r="T77" s="33">
        <v>336000</v>
      </c>
      <c r="U77" s="33">
        <v>346874.98828799999</v>
      </c>
      <c r="V77" s="33">
        <v>906874.98828799999</v>
      </c>
      <c r="W77" s="33">
        <v>12</v>
      </c>
      <c r="X77" s="33">
        <v>75572.915690666661</v>
      </c>
      <c r="Z77" s="33">
        <v>75572.915690666661</v>
      </c>
      <c r="AA77" s="33">
        <v>75572.92</v>
      </c>
      <c r="AB77" s="33">
        <v>-4.3093333370052278E-3</v>
      </c>
    </row>
    <row r="78" spans="1:28">
      <c r="A78">
        <v>65</v>
      </c>
      <c r="B78" s="33" t="s">
        <v>153</v>
      </c>
      <c r="C78" s="33">
        <v>369177.65375</v>
      </c>
      <c r="D78" s="33">
        <v>12</v>
      </c>
      <c r="E78" s="33">
        <v>4430131.8449999997</v>
      </c>
      <c r="I78" s="33">
        <v>4430131.8449999997</v>
      </c>
      <c r="J78" s="33">
        <v>200000</v>
      </c>
      <c r="K78" s="33">
        <v>0.2</v>
      </c>
      <c r="L78" s="33">
        <v>886026.36899999995</v>
      </c>
      <c r="M78" s="33">
        <v>1086026.3689999999</v>
      </c>
      <c r="N78" s="33">
        <v>1086026.3689999999</v>
      </c>
      <c r="O78" s="33">
        <v>3344105.4759999998</v>
      </c>
      <c r="P78" s="33">
        <v>21000</v>
      </c>
      <c r="Q78" s="33">
        <v>33000</v>
      </c>
      <c r="R78" s="33">
        <v>75000</v>
      </c>
      <c r="S78" s="33">
        <v>95000</v>
      </c>
      <c r="T78" s="33">
        <v>336000</v>
      </c>
      <c r="U78" s="33">
        <v>34585.314239999949</v>
      </c>
      <c r="V78" s="33">
        <v>594585.31423999998</v>
      </c>
      <c r="W78" s="33">
        <v>12</v>
      </c>
      <c r="X78" s="33">
        <v>49548.776186666662</v>
      </c>
      <c r="Z78" s="33">
        <v>49548.776186666662</v>
      </c>
      <c r="AA78" s="33">
        <v>48170.87</v>
      </c>
      <c r="AB78" s="33">
        <v>1377.9061866666598</v>
      </c>
    </row>
    <row r="79" spans="1:28">
      <c r="A79"/>
      <c r="B79" s="33" t="s">
        <v>155</v>
      </c>
      <c r="C79" s="33">
        <v>273169.11749999999</v>
      </c>
      <c r="D79" s="33">
        <v>12</v>
      </c>
      <c r="E79" s="33">
        <v>3278029.41</v>
      </c>
      <c r="I79" s="33">
        <v>3278029.41</v>
      </c>
      <c r="J79" s="33">
        <v>200000</v>
      </c>
      <c r="K79" s="33">
        <v>0.2</v>
      </c>
      <c r="L79" s="33">
        <v>655605.8820000001</v>
      </c>
      <c r="M79" s="33">
        <v>855605.8820000001</v>
      </c>
      <c r="N79" s="33">
        <v>855605.8820000001</v>
      </c>
      <c r="O79" s="33">
        <v>2422423.5279999999</v>
      </c>
      <c r="P79" s="33">
        <v>21000</v>
      </c>
      <c r="Q79" s="33">
        <v>33000</v>
      </c>
      <c r="R79" s="33">
        <v>75000</v>
      </c>
      <c r="S79" s="33">
        <v>95000</v>
      </c>
      <c r="T79" s="33">
        <v>172708.94087999998</v>
      </c>
      <c r="U79" s="33">
        <v>0</v>
      </c>
      <c r="V79" s="33">
        <v>396708.94088000001</v>
      </c>
      <c r="W79" s="33">
        <v>12</v>
      </c>
      <c r="X79" s="33">
        <v>33059.078406666667</v>
      </c>
      <c r="Z79" s="33">
        <v>33059.078406666667</v>
      </c>
      <c r="AA79" s="33">
        <v>32291.82</v>
      </c>
      <c r="AB79" s="33">
        <v>767.25840666666772</v>
      </c>
    </row>
    <row r="80" spans="1:28">
      <c r="A80"/>
    </row>
    <row r="81" spans="1:28">
      <c r="A81"/>
    </row>
    <row r="82" spans="1:28">
      <c r="A82">
        <v>66</v>
      </c>
      <c r="B82" s="33" t="s">
        <v>589</v>
      </c>
      <c r="C82" s="33">
        <v>631465.0247500001</v>
      </c>
      <c r="D82" s="33">
        <v>12</v>
      </c>
      <c r="E82" s="33">
        <v>7577580.2970000012</v>
      </c>
      <c r="I82" s="33">
        <v>7577580.2970000012</v>
      </c>
      <c r="J82" s="33">
        <v>200000</v>
      </c>
      <c r="K82" s="33">
        <v>0.2</v>
      </c>
      <c r="L82" s="33">
        <v>1515516.0594000004</v>
      </c>
      <c r="M82" s="33">
        <v>1715516.0594000004</v>
      </c>
      <c r="N82" s="33">
        <v>1715516.0594000004</v>
      </c>
      <c r="O82" s="33">
        <v>5862064.2376000006</v>
      </c>
      <c r="P82" s="33">
        <v>21000</v>
      </c>
      <c r="Q82" s="33">
        <v>33000</v>
      </c>
      <c r="R82" s="33">
        <v>75000</v>
      </c>
      <c r="S82" s="33">
        <v>95000</v>
      </c>
      <c r="T82" s="33">
        <v>336000</v>
      </c>
      <c r="U82" s="33">
        <v>638895.41702400008</v>
      </c>
      <c r="V82" s="33">
        <v>1198895.4170240001</v>
      </c>
      <c r="W82" s="33">
        <v>12</v>
      </c>
      <c r="X82" s="33">
        <v>99907.951418666678</v>
      </c>
      <c r="Z82" s="33">
        <v>99907.951418666678</v>
      </c>
      <c r="AA82" s="33">
        <v>97273.51</v>
      </c>
      <c r="AB82" s="33">
        <v>2634.4414186666836</v>
      </c>
    </row>
    <row r="83" spans="1:28">
      <c r="A83">
        <v>67</v>
      </c>
      <c r="B83" s="33" t="s">
        <v>162</v>
      </c>
      <c r="C83" s="33">
        <v>527553.50249999994</v>
      </c>
      <c r="D83" s="33">
        <v>12</v>
      </c>
      <c r="E83" s="33">
        <v>6330642.0299999993</v>
      </c>
      <c r="I83" s="33">
        <v>6330642.0299999993</v>
      </c>
      <c r="J83" s="33">
        <v>200000</v>
      </c>
      <c r="K83" s="33">
        <v>0.2</v>
      </c>
      <c r="L83" s="33">
        <v>1266128.406</v>
      </c>
      <c r="M83" s="33">
        <v>1466128.406</v>
      </c>
      <c r="N83" s="33">
        <v>1466128.406</v>
      </c>
      <c r="O83" s="33">
        <v>4864513.6239999998</v>
      </c>
      <c r="P83" s="33">
        <v>21000</v>
      </c>
      <c r="Q83" s="33">
        <v>33000</v>
      </c>
      <c r="R83" s="33">
        <v>75000</v>
      </c>
      <c r="S83" s="33">
        <v>95000</v>
      </c>
      <c r="T83" s="33">
        <v>336000</v>
      </c>
      <c r="U83" s="33">
        <v>399483.26975999994</v>
      </c>
      <c r="V83" s="33">
        <v>959483.26975999994</v>
      </c>
      <c r="W83" s="33">
        <v>12</v>
      </c>
      <c r="X83" s="33">
        <v>79956.939146666657</v>
      </c>
      <c r="Z83" s="33">
        <v>79956.939146666657</v>
      </c>
      <c r="AA83" s="33">
        <v>79956.94</v>
      </c>
      <c r="AB83" s="33">
        <v>-8.5333334573078901E-4</v>
      </c>
    </row>
    <row r="84" spans="1:28">
      <c r="A84">
        <v>68</v>
      </c>
      <c r="B84" s="33" t="s">
        <v>163</v>
      </c>
      <c r="C84" s="33">
        <v>527553.50249999994</v>
      </c>
      <c r="D84" s="33">
        <v>12</v>
      </c>
      <c r="E84" s="33">
        <v>6330642.0299999993</v>
      </c>
      <c r="F84" s="33">
        <v>10052.25</v>
      </c>
      <c r="I84" s="33">
        <v>6320589.7799999993</v>
      </c>
      <c r="J84" s="33">
        <v>200000</v>
      </c>
      <c r="K84" s="33">
        <v>0.2</v>
      </c>
      <c r="L84" s="33">
        <v>1264117.956</v>
      </c>
      <c r="M84" s="33">
        <v>1464117.956</v>
      </c>
      <c r="N84" s="33">
        <v>1474170.206</v>
      </c>
      <c r="O84" s="33">
        <v>4856471.8239999991</v>
      </c>
      <c r="P84" s="33">
        <v>21000</v>
      </c>
      <c r="Q84" s="33">
        <v>33000</v>
      </c>
      <c r="R84" s="33">
        <v>75000</v>
      </c>
      <c r="S84" s="33">
        <v>95000</v>
      </c>
      <c r="T84" s="33">
        <v>336000</v>
      </c>
      <c r="U84" s="33">
        <v>397553.23775999976</v>
      </c>
      <c r="V84" s="33">
        <v>957553.2377599997</v>
      </c>
      <c r="W84" s="33">
        <v>12</v>
      </c>
      <c r="X84" s="33">
        <v>79796.103146666646</v>
      </c>
      <c r="Z84" s="33">
        <v>79796.103146666646</v>
      </c>
      <c r="AA84" s="33">
        <v>79796.100000000006</v>
      </c>
      <c r="AB84" s="33">
        <v>3.146666640532203E-3</v>
      </c>
    </row>
    <row r="85" spans="1:28">
      <c r="A85">
        <v>69</v>
      </c>
      <c r="B85" s="33" t="s">
        <v>164</v>
      </c>
      <c r="C85" s="33">
        <v>421394.00675000006</v>
      </c>
      <c r="D85" s="33">
        <v>12</v>
      </c>
      <c r="E85" s="33">
        <v>5056728.0810000002</v>
      </c>
      <c r="F85" s="33">
        <v>8283.3700000000008</v>
      </c>
      <c r="I85" s="33">
        <v>5048444.7110000001</v>
      </c>
      <c r="J85" s="33">
        <v>200000</v>
      </c>
      <c r="K85" s="33">
        <v>0.2</v>
      </c>
      <c r="L85" s="33">
        <v>1009688.9422</v>
      </c>
      <c r="M85" s="33">
        <v>1209688.9421999999</v>
      </c>
      <c r="N85" s="33">
        <v>1217972.3122</v>
      </c>
      <c r="O85" s="33">
        <v>3838755.7688000002</v>
      </c>
      <c r="P85" s="33">
        <v>21000</v>
      </c>
      <c r="Q85" s="33">
        <v>33000</v>
      </c>
      <c r="R85" s="33">
        <v>75000</v>
      </c>
      <c r="S85" s="33">
        <v>95000</v>
      </c>
      <c r="T85" s="33">
        <v>336000</v>
      </c>
      <c r="U85" s="33">
        <v>153301.38451200005</v>
      </c>
      <c r="V85" s="33">
        <v>713301.38451200002</v>
      </c>
      <c r="W85" s="33">
        <v>12</v>
      </c>
      <c r="X85" s="33">
        <v>59441.782042666666</v>
      </c>
      <c r="Z85" s="33">
        <v>59441.782042666666</v>
      </c>
      <c r="AA85" s="33">
        <v>57894.080000000002</v>
      </c>
      <c r="AB85" s="33">
        <v>1547.7020426666641</v>
      </c>
    </row>
    <row r="86" spans="1:28">
      <c r="A86">
        <v>70</v>
      </c>
      <c r="B86" s="33" t="s">
        <v>165</v>
      </c>
      <c r="C86" s="33">
        <v>413333.03525000007</v>
      </c>
      <c r="D86" s="33">
        <v>12</v>
      </c>
      <c r="E86" s="33">
        <v>4959996.4230000004</v>
      </c>
      <c r="I86" s="33">
        <v>4959996.4230000004</v>
      </c>
      <c r="J86" s="33">
        <v>200000</v>
      </c>
      <c r="K86" s="33">
        <v>0.2</v>
      </c>
      <c r="L86" s="33">
        <v>991999.28460000013</v>
      </c>
      <c r="M86" s="33">
        <v>1191999.2846000001</v>
      </c>
      <c r="N86" s="33">
        <v>1191999.2846000001</v>
      </c>
      <c r="O86" s="33">
        <v>3767997.1384000005</v>
      </c>
      <c r="P86" s="33">
        <v>21000</v>
      </c>
      <c r="Q86" s="33">
        <v>33000</v>
      </c>
      <c r="R86" s="33">
        <v>75000</v>
      </c>
      <c r="S86" s="33">
        <v>95000</v>
      </c>
      <c r="T86" s="33">
        <v>336000</v>
      </c>
      <c r="U86" s="33">
        <v>136319.31321600013</v>
      </c>
      <c r="V86" s="33">
        <v>696319.3132160001</v>
      </c>
      <c r="W86" s="33">
        <v>12</v>
      </c>
      <c r="X86" s="33">
        <v>58026.609434666672</v>
      </c>
      <c r="Z86" s="33">
        <v>58026.609434666672</v>
      </c>
      <c r="AA86" s="33">
        <v>56478.9</v>
      </c>
      <c r="AB86" s="33">
        <v>1547.7094346666709</v>
      </c>
    </row>
    <row r="87" spans="1:28">
      <c r="A87">
        <v>71</v>
      </c>
      <c r="B87" s="33" t="s">
        <v>166</v>
      </c>
      <c r="C87" s="33">
        <v>369177.65375</v>
      </c>
      <c r="D87" s="33">
        <v>12</v>
      </c>
      <c r="E87" s="33">
        <v>4430131.8449999997</v>
      </c>
      <c r="I87" s="33">
        <v>4430131.8449999997</v>
      </c>
      <c r="J87" s="33">
        <v>200000</v>
      </c>
      <c r="K87" s="33">
        <v>0.2</v>
      </c>
      <c r="L87" s="33">
        <v>886026.36899999995</v>
      </c>
      <c r="M87" s="33">
        <v>1086026.3689999999</v>
      </c>
      <c r="N87" s="33">
        <v>1086026.3689999999</v>
      </c>
      <c r="O87" s="33">
        <v>3344105.4759999998</v>
      </c>
      <c r="P87" s="33">
        <v>21000</v>
      </c>
      <c r="Q87" s="33">
        <v>33000</v>
      </c>
      <c r="R87" s="33">
        <v>75000</v>
      </c>
      <c r="S87" s="33">
        <v>95000</v>
      </c>
      <c r="T87" s="33">
        <v>336000</v>
      </c>
      <c r="U87" s="33">
        <v>34585.314239999949</v>
      </c>
      <c r="V87" s="33">
        <v>594585.31423999998</v>
      </c>
      <c r="W87" s="33">
        <v>12</v>
      </c>
      <c r="X87" s="33">
        <v>49548.776186666662</v>
      </c>
      <c r="Z87" s="33">
        <v>49548.776186666662</v>
      </c>
      <c r="AA87" s="33">
        <v>48170.87</v>
      </c>
      <c r="AB87" s="33">
        <v>1377.9061866666598</v>
      </c>
    </row>
    <row r="88" spans="1:28">
      <c r="A88">
        <v>72</v>
      </c>
      <c r="B88" s="33" t="s">
        <v>169</v>
      </c>
      <c r="C88" s="33">
        <v>362001.06049999996</v>
      </c>
      <c r="D88" s="33">
        <v>12</v>
      </c>
      <c r="E88" s="33">
        <v>4344012.7259999998</v>
      </c>
      <c r="I88" s="33">
        <v>4344012.7259999998</v>
      </c>
      <c r="J88" s="33">
        <v>200000</v>
      </c>
      <c r="K88" s="33">
        <v>0.2</v>
      </c>
      <c r="L88" s="33">
        <v>868802.54520000005</v>
      </c>
      <c r="M88" s="33">
        <v>1068802.5452000001</v>
      </c>
      <c r="N88" s="33">
        <v>1068802.5452000001</v>
      </c>
      <c r="O88" s="33">
        <v>3275210.1807999997</v>
      </c>
      <c r="P88" s="33">
        <v>21000</v>
      </c>
      <c r="Q88" s="33">
        <v>33000</v>
      </c>
      <c r="R88" s="33">
        <v>75000</v>
      </c>
      <c r="S88" s="33">
        <v>95000</v>
      </c>
      <c r="T88" s="33">
        <v>336000</v>
      </c>
      <c r="U88" s="33">
        <v>18050.443391999936</v>
      </c>
      <c r="V88" s="33">
        <v>578050.44339199993</v>
      </c>
      <c r="W88" s="33">
        <v>12</v>
      </c>
      <c r="X88" s="33">
        <v>48170.870282666663</v>
      </c>
      <c r="Z88" s="33">
        <v>48170.870282666663</v>
      </c>
      <c r="AA88" s="33">
        <v>46673.26</v>
      </c>
      <c r="AB88" s="33">
        <v>1497.6102826666611</v>
      </c>
    </row>
    <row r="89" spans="1:28">
      <c r="A89">
        <v>73</v>
      </c>
      <c r="B89" s="33" t="s">
        <v>170</v>
      </c>
      <c r="C89" s="33">
        <v>362001.06049999996</v>
      </c>
      <c r="D89" s="33">
        <v>12</v>
      </c>
      <c r="E89" s="33">
        <v>4344012.7259999998</v>
      </c>
      <c r="I89" s="33">
        <v>4344012.7259999998</v>
      </c>
      <c r="J89" s="33">
        <v>200000</v>
      </c>
      <c r="K89" s="33">
        <v>0.2</v>
      </c>
      <c r="L89" s="33">
        <v>868802.54520000005</v>
      </c>
      <c r="M89" s="33">
        <v>1068802.5452000001</v>
      </c>
      <c r="N89" s="33">
        <v>1068802.5452000001</v>
      </c>
      <c r="O89" s="33">
        <v>3275210.1807999997</v>
      </c>
      <c r="P89" s="33">
        <v>21000</v>
      </c>
      <c r="Q89" s="33">
        <v>33000</v>
      </c>
      <c r="R89" s="33">
        <v>75000</v>
      </c>
      <c r="S89" s="33">
        <v>95000</v>
      </c>
      <c r="T89" s="33">
        <v>336000</v>
      </c>
      <c r="U89" s="33">
        <v>18050.443391999936</v>
      </c>
      <c r="V89" s="33">
        <v>578050.44339199993</v>
      </c>
      <c r="W89" s="33">
        <v>12</v>
      </c>
      <c r="X89" s="33">
        <v>48170.870282666663</v>
      </c>
      <c r="Z89" s="33">
        <v>48170.870282666663</v>
      </c>
      <c r="AA89" s="33">
        <v>46673.26</v>
      </c>
      <c r="AB89" s="33">
        <v>1497.6102826666611</v>
      </c>
    </row>
    <row r="90" spans="1:28">
      <c r="A90">
        <v>74</v>
      </c>
      <c r="B90" s="33" t="s">
        <v>172</v>
      </c>
      <c r="C90" s="33">
        <v>315372.07500000001</v>
      </c>
      <c r="D90" s="33">
        <v>12</v>
      </c>
      <c r="E90" s="33">
        <v>3784464.9000000004</v>
      </c>
      <c r="I90" s="33">
        <v>3784464.9000000004</v>
      </c>
      <c r="J90" s="33">
        <v>200000</v>
      </c>
      <c r="K90" s="33">
        <v>0.2</v>
      </c>
      <c r="L90" s="33">
        <v>756892.9800000001</v>
      </c>
      <c r="M90" s="33">
        <v>956892.9800000001</v>
      </c>
      <c r="N90" s="33">
        <v>956892.9800000001</v>
      </c>
      <c r="O90" s="33">
        <v>2827571.9200000004</v>
      </c>
      <c r="P90" s="33">
        <v>21000</v>
      </c>
      <c r="Q90" s="33">
        <v>33000</v>
      </c>
      <c r="R90" s="33">
        <v>75000</v>
      </c>
      <c r="S90" s="33">
        <v>95000</v>
      </c>
      <c r="T90" s="33">
        <v>257790.10320000007</v>
      </c>
      <c r="U90" s="33">
        <v>0</v>
      </c>
      <c r="V90" s="33">
        <v>481790.10320000007</v>
      </c>
      <c r="W90" s="33">
        <v>12</v>
      </c>
      <c r="X90" s="33">
        <v>40149.175266666673</v>
      </c>
      <c r="Z90" s="33">
        <v>40149.175266666673</v>
      </c>
      <c r="AA90" s="33">
        <v>40149.18</v>
      </c>
      <c r="AB90" s="33">
        <v>-4.7333333277492784E-3</v>
      </c>
    </row>
    <row r="91" spans="1:28">
      <c r="A91">
        <v>75</v>
      </c>
      <c r="B91" s="33" t="s">
        <v>174</v>
      </c>
      <c r="C91" s="33">
        <v>0</v>
      </c>
      <c r="D91" s="33">
        <v>12</v>
      </c>
      <c r="E91" s="33">
        <v>0</v>
      </c>
      <c r="I91" s="33">
        <v>0</v>
      </c>
      <c r="J91" s="33">
        <v>200000</v>
      </c>
      <c r="K91" s="33">
        <v>0.2</v>
      </c>
      <c r="L91" s="33">
        <v>0</v>
      </c>
      <c r="M91" s="33">
        <v>200000</v>
      </c>
      <c r="N91" s="33">
        <v>200000</v>
      </c>
      <c r="O91" s="33">
        <v>0</v>
      </c>
      <c r="P91" s="33">
        <v>0</v>
      </c>
      <c r="Q91" s="33">
        <v>0</v>
      </c>
      <c r="R91" s="33">
        <v>0</v>
      </c>
      <c r="S91" s="33">
        <v>0</v>
      </c>
      <c r="T91" s="33">
        <v>0</v>
      </c>
      <c r="V91" s="33">
        <v>0</v>
      </c>
      <c r="W91" s="33">
        <v>12</v>
      </c>
      <c r="X91" s="33">
        <v>0</v>
      </c>
      <c r="Z91" s="33">
        <v>0</v>
      </c>
      <c r="AA91" s="33">
        <v>0</v>
      </c>
      <c r="AB91" s="33">
        <v>0</v>
      </c>
    </row>
    <row r="92" spans="1:28">
      <c r="A92">
        <v>76</v>
      </c>
      <c r="B92" s="33" t="s">
        <v>176</v>
      </c>
      <c r="C92" s="33">
        <v>223709.10949999999</v>
      </c>
      <c r="D92" s="33">
        <v>12</v>
      </c>
      <c r="E92" s="33">
        <v>2684509.3139999998</v>
      </c>
      <c r="I92" s="33">
        <v>2684509.3139999998</v>
      </c>
      <c r="J92" s="33">
        <v>200000</v>
      </c>
      <c r="K92" s="33">
        <v>0.2</v>
      </c>
      <c r="L92" s="33">
        <v>536901.8628</v>
      </c>
      <c r="M92" s="33">
        <v>736901.8628</v>
      </c>
      <c r="N92" s="33">
        <v>736901.8628</v>
      </c>
      <c r="O92" s="33">
        <v>1947607.4511999998</v>
      </c>
      <c r="P92" s="33">
        <v>21000</v>
      </c>
      <c r="Q92" s="33">
        <v>33000</v>
      </c>
      <c r="R92" s="33">
        <v>75000</v>
      </c>
      <c r="S92" s="33">
        <v>95000</v>
      </c>
      <c r="T92" s="33">
        <v>72997.564751999947</v>
      </c>
      <c r="V92" s="33">
        <v>296997.56475199992</v>
      </c>
      <c r="W92" s="33">
        <v>12</v>
      </c>
      <c r="X92" s="33">
        <v>24749.797062666661</v>
      </c>
      <c r="Z92" s="33">
        <v>24749.797062666661</v>
      </c>
      <c r="AA92" s="33">
        <v>24685.95</v>
      </c>
      <c r="AB92" s="33">
        <v>63.847062666660349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33" t="s">
        <v>41</v>
      </c>
      <c r="C96" s="33">
        <v>527743.99575</v>
      </c>
      <c r="D96" s="33">
        <v>12</v>
      </c>
      <c r="E96" s="33">
        <v>6332927.949</v>
      </c>
      <c r="I96" s="33">
        <v>6332927.949</v>
      </c>
      <c r="J96" s="33">
        <v>200000</v>
      </c>
      <c r="K96" s="33">
        <v>0.2</v>
      </c>
      <c r="L96" s="33">
        <v>1266585.5898000002</v>
      </c>
      <c r="M96" s="33">
        <v>1466585.5898000002</v>
      </c>
      <c r="N96" s="33">
        <v>1466585.5898000002</v>
      </c>
      <c r="O96" s="33">
        <v>4866342.3591999998</v>
      </c>
      <c r="P96" s="33">
        <v>21000</v>
      </c>
      <c r="Q96" s="33">
        <v>33000</v>
      </c>
      <c r="R96" s="33">
        <v>75000</v>
      </c>
      <c r="S96" s="33">
        <v>95000</v>
      </c>
      <c r="T96" s="33">
        <v>336000</v>
      </c>
      <c r="U96" s="33">
        <v>399922.16620799992</v>
      </c>
      <c r="V96" s="33">
        <v>959922.16620799992</v>
      </c>
      <c r="W96" s="33">
        <v>12</v>
      </c>
      <c r="X96" s="33">
        <v>79993.513850666655</v>
      </c>
      <c r="Z96" s="33">
        <v>79993.513850666655</v>
      </c>
      <c r="AA96" s="33">
        <v>79993.509999999995</v>
      </c>
      <c r="AB96" s="33">
        <v>3.8506666605826467E-3</v>
      </c>
    </row>
    <row r="97" spans="1:28">
      <c r="A97">
        <v>79</v>
      </c>
      <c r="B97" s="33" t="s">
        <v>46</v>
      </c>
      <c r="C97" s="33">
        <v>343333.03525000007</v>
      </c>
      <c r="D97" s="33">
        <v>12</v>
      </c>
      <c r="E97" s="33">
        <v>4119996.4230000009</v>
      </c>
      <c r="F97" s="33">
        <v>8019.8</v>
      </c>
      <c r="I97" s="33">
        <v>4111976.6230000011</v>
      </c>
      <c r="J97" s="33">
        <v>200000</v>
      </c>
      <c r="K97" s="33">
        <v>0.2</v>
      </c>
      <c r="L97" s="33">
        <v>822395.32460000028</v>
      </c>
      <c r="M97" s="33">
        <v>1022395.3246000003</v>
      </c>
      <c r="N97" s="33">
        <v>1030415.1246000003</v>
      </c>
      <c r="O97" s="33">
        <v>3089581.2984000007</v>
      </c>
      <c r="P97" s="33">
        <v>21000</v>
      </c>
      <c r="Q97" s="33">
        <v>33000</v>
      </c>
      <c r="R97" s="33">
        <v>75000</v>
      </c>
      <c r="S97" s="33">
        <v>95000</v>
      </c>
      <c r="T97" s="33">
        <v>312812.07266400015</v>
      </c>
      <c r="V97" s="33">
        <v>536812.07266400009</v>
      </c>
      <c r="W97" s="33">
        <v>12</v>
      </c>
      <c r="X97" s="33">
        <v>44734.339388666674</v>
      </c>
      <c r="Z97" s="33">
        <v>44734.339388666674</v>
      </c>
      <c r="AA97" s="33">
        <v>43380.1</v>
      </c>
      <c r="AB97" s="33">
        <v>1354.2393886666759</v>
      </c>
    </row>
    <row r="98" spans="1:28">
      <c r="A98">
        <v>80</v>
      </c>
      <c r="B98" s="33" t="s">
        <v>591</v>
      </c>
      <c r="C98" s="33">
        <v>312001.06049999996</v>
      </c>
      <c r="D98" s="33">
        <v>12</v>
      </c>
      <c r="E98" s="33">
        <v>3744012.7259999998</v>
      </c>
      <c r="I98" s="33">
        <v>3744012.7259999998</v>
      </c>
      <c r="J98" s="33">
        <v>200000</v>
      </c>
      <c r="K98" s="33">
        <v>0.2</v>
      </c>
      <c r="L98" s="33">
        <v>748802.54520000005</v>
      </c>
      <c r="M98" s="33">
        <v>948802.54520000005</v>
      </c>
      <c r="N98" s="33">
        <v>948802.54520000005</v>
      </c>
      <c r="O98" s="33">
        <v>2795210.1807999997</v>
      </c>
      <c r="P98" s="33">
        <v>21000</v>
      </c>
      <c r="Q98" s="33">
        <v>33000</v>
      </c>
      <c r="R98" s="33">
        <v>75000</v>
      </c>
      <c r="S98" s="33">
        <v>95000</v>
      </c>
      <c r="T98" s="33">
        <v>250994.13796799994</v>
      </c>
      <c r="V98" s="33">
        <v>474994.13796799991</v>
      </c>
      <c r="W98" s="33">
        <v>12</v>
      </c>
      <c r="X98" s="33">
        <v>39582.844830666661</v>
      </c>
      <c r="Z98" s="33">
        <v>39582.844830666661</v>
      </c>
      <c r="AA98" s="33">
        <v>38272.44</v>
      </c>
      <c r="AB98" s="33">
        <v>1310.4048306666591</v>
      </c>
    </row>
    <row r="99" spans="1:28">
      <c r="A99">
        <v>81</v>
      </c>
      <c r="B99" s="33" t="s">
        <v>183</v>
      </c>
      <c r="C99" s="33">
        <v>267454.07400000002</v>
      </c>
      <c r="D99" s="33">
        <v>12</v>
      </c>
      <c r="E99" s="33">
        <v>3209448.8880000003</v>
      </c>
      <c r="I99" s="33">
        <v>3209448.8880000003</v>
      </c>
      <c r="J99" s="33">
        <v>200000</v>
      </c>
      <c r="K99" s="33">
        <v>0.2</v>
      </c>
      <c r="L99" s="33">
        <v>641889.77760000015</v>
      </c>
      <c r="M99" s="33">
        <v>841889.77760000015</v>
      </c>
      <c r="N99" s="33">
        <v>841889.77760000015</v>
      </c>
      <c r="O99" s="33">
        <v>2367559.1104000001</v>
      </c>
      <c r="P99" s="33">
        <v>21000</v>
      </c>
      <c r="Q99" s="33">
        <v>33000</v>
      </c>
      <c r="R99" s="33">
        <v>75000</v>
      </c>
      <c r="S99" s="33">
        <v>95000</v>
      </c>
      <c r="T99" s="33">
        <v>161187.41318400003</v>
      </c>
      <c r="V99" s="33">
        <v>385187.41318400006</v>
      </c>
      <c r="W99" s="33">
        <v>12</v>
      </c>
      <c r="X99" s="33">
        <v>32098.951098666672</v>
      </c>
      <c r="Z99" s="33">
        <v>32098.951098666672</v>
      </c>
      <c r="AA99" s="33">
        <v>31749.136836666657</v>
      </c>
      <c r="AB99" s="33">
        <v>349.81426200001442</v>
      </c>
    </row>
    <row r="100" spans="1:28">
      <c r="A100"/>
    </row>
    <row r="101" spans="1:28">
      <c r="A101"/>
    </row>
    <row r="102" spans="1:28">
      <c r="A102">
        <v>83</v>
      </c>
      <c r="B102" s="33" t="s">
        <v>188</v>
      </c>
      <c r="C102" s="33">
        <v>1050209.0635000002</v>
      </c>
      <c r="D102" s="33">
        <v>12</v>
      </c>
      <c r="E102" s="33">
        <v>12602508.762000002</v>
      </c>
      <c r="F102" s="33">
        <v>10052.25</v>
      </c>
      <c r="I102" s="33">
        <v>12592456.512000002</v>
      </c>
      <c r="J102" s="33">
        <v>200000</v>
      </c>
      <c r="K102" s="33">
        <v>0.2</v>
      </c>
      <c r="L102" s="33">
        <v>2518491.3024000004</v>
      </c>
      <c r="M102" s="33">
        <v>2718491.3024000004</v>
      </c>
      <c r="N102" s="33">
        <v>2728543.5524000004</v>
      </c>
      <c r="O102" s="33">
        <v>9873965.2096000016</v>
      </c>
      <c r="P102" s="33">
        <v>21000</v>
      </c>
      <c r="Q102" s="33">
        <v>33000</v>
      </c>
      <c r="R102" s="33">
        <v>75000</v>
      </c>
      <c r="S102" s="33">
        <v>95000</v>
      </c>
      <c r="T102" s="33">
        <v>336000</v>
      </c>
      <c r="U102" s="33">
        <v>1601751.6503040004</v>
      </c>
      <c r="V102" s="33">
        <v>2161751.6503040004</v>
      </c>
      <c r="W102" s="33">
        <v>12</v>
      </c>
      <c r="X102" s="33">
        <v>180145.9708586667</v>
      </c>
      <c r="Z102" s="33">
        <v>180145.9708586667</v>
      </c>
      <c r="AA102" s="33">
        <v>180306.81</v>
      </c>
      <c r="AB102" s="33">
        <v>-160.83914133330109</v>
      </c>
    </row>
    <row r="103" spans="1:28">
      <c r="A103">
        <v>84</v>
      </c>
      <c r="B103" s="33" t="s">
        <v>190</v>
      </c>
      <c r="C103" s="33">
        <v>617743.99575</v>
      </c>
      <c r="D103" s="33">
        <v>12</v>
      </c>
      <c r="E103" s="33">
        <v>7412927.949</v>
      </c>
      <c r="F103" s="33">
        <v>7901.79</v>
      </c>
      <c r="I103" s="33">
        <v>7405026.159</v>
      </c>
      <c r="J103" s="33">
        <v>200000</v>
      </c>
      <c r="K103" s="33">
        <v>0.2</v>
      </c>
      <c r="L103" s="33">
        <v>1481005.2318000002</v>
      </c>
      <c r="M103" s="33">
        <v>1681005.2318000002</v>
      </c>
      <c r="N103" s="33">
        <v>1688907.0218000002</v>
      </c>
      <c r="O103" s="33">
        <v>5724020.9271999998</v>
      </c>
      <c r="P103" s="33">
        <v>21000</v>
      </c>
      <c r="Q103" s="33">
        <v>33000</v>
      </c>
      <c r="R103" s="33">
        <v>75000</v>
      </c>
      <c r="S103" s="33">
        <v>95000</v>
      </c>
      <c r="T103" s="33">
        <v>336000</v>
      </c>
      <c r="U103" s="33">
        <v>605765.02252799994</v>
      </c>
      <c r="V103" s="33">
        <v>1165765.0225279999</v>
      </c>
      <c r="W103" s="33">
        <v>12</v>
      </c>
      <c r="X103" s="33">
        <v>97147.085210666657</v>
      </c>
      <c r="Z103" s="33">
        <v>97147.085210666657</v>
      </c>
      <c r="AA103" s="33">
        <v>94478.373866666647</v>
      </c>
      <c r="AB103" s="33">
        <v>2668.7113440000103</v>
      </c>
    </row>
    <row r="104" spans="1:28">
      <c r="A104">
        <v>85</v>
      </c>
      <c r="B104" s="33" t="s">
        <v>192</v>
      </c>
      <c r="C104" s="33">
        <v>418096.01602499996</v>
      </c>
      <c r="D104" s="33">
        <v>12</v>
      </c>
      <c r="E104" s="33">
        <v>5017152.1922999993</v>
      </c>
      <c r="I104" s="33">
        <v>5017152.1922999993</v>
      </c>
      <c r="J104" s="33">
        <v>200000</v>
      </c>
      <c r="K104" s="33">
        <v>0.2</v>
      </c>
      <c r="L104" s="33">
        <v>1003430.4384599999</v>
      </c>
      <c r="M104" s="33">
        <v>1203430.4384599999</v>
      </c>
      <c r="N104" s="33">
        <v>1203430.4384599999</v>
      </c>
      <c r="O104" s="33">
        <v>3813721.7538399994</v>
      </c>
      <c r="P104" s="33">
        <v>21000</v>
      </c>
      <c r="Q104" s="33">
        <v>33000</v>
      </c>
      <c r="R104" s="33">
        <v>75000</v>
      </c>
      <c r="S104" s="33">
        <v>95000</v>
      </c>
      <c r="T104" s="33">
        <v>336000</v>
      </c>
      <c r="U104" s="33">
        <v>147293.22092159986</v>
      </c>
      <c r="V104" s="33">
        <v>707293.22092159989</v>
      </c>
      <c r="W104" s="33">
        <v>12</v>
      </c>
      <c r="X104" s="33">
        <v>58941.101743466657</v>
      </c>
      <c r="Z104" s="33">
        <v>58941.101743466657</v>
      </c>
      <c r="AA104" s="33">
        <v>58814.67</v>
      </c>
      <c r="AB104" s="33">
        <v>126.4317434666591</v>
      </c>
    </row>
    <row r="105" spans="1:28">
      <c r="A105">
        <v>86</v>
      </c>
      <c r="B105" s="33" t="s">
        <v>194</v>
      </c>
      <c r="C105" s="33">
        <v>416483.19415499998</v>
      </c>
      <c r="D105" s="33">
        <v>12</v>
      </c>
      <c r="E105" s="33">
        <v>4997798.3298599999</v>
      </c>
      <c r="I105" s="33">
        <v>4997798.3298599999</v>
      </c>
      <c r="J105" s="33">
        <v>200000</v>
      </c>
      <c r="K105" s="33">
        <v>0.2</v>
      </c>
      <c r="L105" s="33">
        <v>999559.66597199999</v>
      </c>
      <c r="M105" s="33">
        <v>1199559.665972</v>
      </c>
      <c r="N105" s="33">
        <v>1199559.665972</v>
      </c>
      <c r="O105" s="33">
        <v>3798238.663888</v>
      </c>
      <c r="P105" s="33">
        <v>21000</v>
      </c>
      <c r="Q105" s="33">
        <v>33000</v>
      </c>
      <c r="R105" s="33">
        <v>75000</v>
      </c>
      <c r="S105" s="33">
        <v>95000</v>
      </c>
      <c r="T105" s="33">
        <v>336000</v>
      </c>
      <c r="U105" s="33">
        <v>143577.27933311998</v>
      </c>
      <c r="V105" s="33">
        <v>703577.27933311998</v>
      </c>
      <c r="W105" s="33">
        <v>12</v>
      </c>
      <c r="X105" s="33">
        <v>58631.439944426667</v>
      </c>
      <c r="Z105" s="33">
        <v>58631.439944426667</v>
      </c>
      <c r="AA105" s="33">
        <v>57194.239999999998</v>
      </c>
      <c r="AB105" s="33">
        <v>1437.1999444266694</v>
      </c>
    </row>
    <row r="106" spans="1:28">
      <c r="A106">
        <v>87</v>
      </c>
      <c r="B106" s="33" t="s">
        <v>195</v>
      </c>
      <c r="C106" s="33">
        <v>262612.71747999999</v>
      </c>
      <c r="D106" s="33">
        <v>12</v>
      </c>
      <c r="E106" s="33">
        <v>3151352.6097599999</v>
      </c>
      <c r="I106" s="33">
        <v>3151352.6097599999</v>
      </c>
      <c r="J106" s="33">
        <v>200000</v>
      </c>
      <c r="K106" s="33">
        <v>0.2</v>
      </c>
      <c r="L106" s="33">
        <v>630270.52195199998</v>
      </c>
      <c r="M106" s="33">
        <v>830270.52195199998</v>
      </c>
      <c r="N106" s="33">
        <v>830270.52195199998</v>
      </c>
      <c r="O106" s="33">
        <v>2321082.0878079999</v>
      </c>
      <c r="P106" s="33">
        <v>21000</v>
      </c>
      <c r="Q106" s="33">
        <v>33000</v>
      </c>
      <c r="R106" s="33">
        <v>75000</v>
      </c>
      <c r="S106" s="33">
        <v>95000</v>
      </c>
      <c r="T106" s="33">
        <v>151427.23843967999</v>
      </c>
      <c r="V106" s="33">
        <v>375427.23843967996</v>
      </c>
      <c r="W106" s="33">
        <v>12</v>
      </c>
      <c r="X106" s="33">
        <v>31285.603203306662</v>
      </c>
      <c r="Z106" s="33">
        <v>31285.603203306662</v>
      </c>
      <c r="AA106" s="33">
        <v>30699.58</v>
      </c>
      <c r="AB106" s="33">
        <v>586.02320330666043</v>
      </c>
    </row>
    <row r="107" spans="1:28">
      <c r="A107">
        <v>88</v>
      </c>
      <c r="B107" s="33" t="s">
        <v>198</v>
      </c>
      <c r="C107" s="33">
        <v>258740.79775</v>
      </c>
      <c r="D107" s="33">
        <v>12</v>
      </c>
      <c r="E107" s="33">
        <v>3104889.5729999999</v>
      </c>
      <c r="I107" s="33">
        <v>3104889.5729999999</v>
      </c>
      <c r="J107" s="33">
        <v>200000</v>
      </c>
      <c r="K107" s="33">
        <v>0.2</v>
      </c>
      <c r="L107" s="33">
        <v>620977.91460000002</v>
      </c>
      <c r="M107" s="33">
        <v>820977.91460000002</v>
      </c>
      <c r="N107" s="33">
        <v>820977.91460000002</v>
      </c>
      <c r="O107" s="33">
        <v>2283911.6584000001</v>
      </c>
      <c r="P107" s="33">
        <v>21000</v>
      </c>
      <c r="Q107" s="33">
        <v>33000</v>
      </c>
      <c r="R107" s="33">
        <v>75000</v>
      </c>
      <c r="S107" s="33">
        <v>95000</v>
      </c>
      <c r="T107" s="33">
        <v>143621.44826400001</v>
      </c>
      <c r="V107" s="33">
        <v>367621.44826400001</v>
      </c>
      <c r="W107" s="33">
        <v>12</v>
      </c>
      <c r="X107" s="33">
        <v>30635.120688666666</v>
      </c>
      <c r="Z107" s="33">
        <v>30635.120688666666</v>
      </c>
      <c r="AA107" s="33">
        <v>30049.31</v>
      </c>
      <c r="AB107" s="33">
        <v>585.81068866666465</v>
      </c>
    </row>
    <row r="108" spans="1:28">
      <c r="A108">
        <v>89</v>
      </c>
      <c r="B108" s="33" t="s">
        <v>200</v>
      </c>
      <c r="C108" s="33">
        <v>251382.295445</v>
      </c>
      <c r="D108" s="33">
        <v>12</v>
      </c>
      <c r="E108" s="33">
        <v>3016587.5453399997</v>
      </c>
      <c r="I108" s="33">
        <v>2992065.5353399999</v>
      </c>
      <c r="J108" s="33">
        <v>200000</v>
      </c>
      <c r="K108" s="33">
        <v>0.2</v>
      </c>
      <c r="L108" s="33">
        <v>598413.10706800001</v>
      </c>
      <c r="M108" s="33">
        <v>798413.10706800001</v>
      </c>
      <c r="N108" s="33">
        <v>822935.11706800002</v>
      </c>
      <c r="O108" s="33">
        <v>2193652.4282719996</v>
      </c>
      <c r="P108" s="33">
        <v>21000</v>
      </c>
      <c r="Q108" s="33">
        <v>33000</v>
      </c>
      <c r="R108" s="33">
        <v>75000</v>
      </c>
      <c r="S108" s="33">
        <v>95000</v>
      </c>
      <c r="T108" s="33">
        <v>124667.0099371199</v>
      </c>
      <c r="U108" s="33">
        <v>0</v>
      </c>
      <c r="V108" s="33">
        <v>348667.0099371199</v>
      </c>
      <c r="W108" s="33">
        <v>12</v>
      </c>
      <c r="X108" s="33">
        <v>29055.584161426657</v>
      </c>
      <c r="Z108" s="33">
        <v>29055.584161426657</v>
      </c>
      <c r="AA108" s="33">
        <v>28813.07</v>
      </c>
      <c r="AB108" s="33">
        <v>242.51416142665767</v>
      </c>
    </row>
    <row r="109" spans="1:28">
      <c r="A109"/>
      <c r="O109" s="33">
        <v>0</v>
      </c>
      <c r="P109" s="33">
        <v>0</v>
      </c>
      <c r="T109" s="33">
        <v>0</v>
      </c>
    </row>
    <row r="110" spans="1:28">
      <c r="A110"/>
      <c r="O110" s="33">
        <v>0</v>
      </c>
      <c r="P110" s="33">
        <v>0</v>
      </c>
      <c r="T110" s="33">
        <v>0</v>
      </c>
    </row>
    <row r="111" spans="1:28">
      <c r="A111"/>
      <c r="B111" s="33" t="s">
        <v>209</v>
      </c>
      <c r="C111" s="33">
        <v>1050209.0635000002</v>
      </c>
      <c r="D111" s="33">
        <v>12</v>
      </c>
      <c r="E111" s="33">
        <v>12602508.762000002</v>
      </c>
      <c r="F111" s="33">
        <v>24522.01</v>
      </c>
      <c r="I111" s="33">
        <v>12577986.752000002</v>
      </c>
      <c r="J111" s="33">
        <v>200000</v>
      </c>
      <c r="K111" s="33">
        <v>0.2</v>
      </c>
      <c r="L111" s="33">
        <v>2515597.3504000008</v>
      </c>
      <c r="M111" s="33">
        <v>2715597.3504000008</v>
      </c>
      <c r="N111" s="33">
        <v>2740119.3604000006</v>
      </c>
      <c r="O111" s="33">
        <v>9862389.4016000014</v>
      </c>
      <c r="P111" s="33">
        <v>21000</v>
      </c>
      <c r="Q111" s="33">
        <v>33000</v>
      </c>
      <c r="R111" s="33">
        <v>75000</v>
      </c>
      <c r="S111" s="33">
        <v>95000</v>
      </c>
      <c r="T111" s="33">
        <v>336000</v>
      </c>
      <c r="U111" s="33">
        <v>1598973.4563840004</v>
      </c>
      <c r="V111" s="33">
        <v>2158973.4563840004</v>
      </c>
      <c r="W111" s="33">
        <v>12</v>
      </c>
      <c r="X111" s="33">
        <v>179914.4546986667</v>
      </c>
      <c r="Z111" s="33">
        <v>179914.4546986667</v>
      </c>
      <c r="AA111" s="33">
        <v>179914.45</v>
      </c>
      <c r="AB111" s="33">
        <v>4.6986666857264936E-3</v>
      </c>
    </row>
    <row r="112" spans="1:28">
      <c r="A112">
        <v>90</v>
      </c>
      <c r="B112" s="33" t="s">
        <v>594</v>
      </c>
      <c r="C112" s="33">
        <v>641465.02474999998</v>
      </c>
      <c r="D112" s="33">
        <v>12</v>
      </c>
      <c r="E112" s="33">
        <v>7697580.2970000003</v>
      </c>
      <c r="I112" s="33">
        <v>7697580.2970000003</v>
      </c>
      <c r="J112" s="33">
        <v>200000</v>
      </c>
      <c r="K112" s="33">
        <v>0.2</v>
      </c>
      <c r="L112" s="33">
        <v>1539516.0594000001</v>
      </c>
      <c r="M112" s="33">
        <v>1739516.0594000001</v>
      </c>
      <c r="N112" s="33">
        <v>1739516.0594000001</v>
      </c>
      <c r="O112" s="33">
        <v>5958064.2376000006</v>
      </c>
      <c r="P112" s="33">
        <v>21000</v>
      </c>
      <c r="Q112" s="33">
        <v>33000</v>
      </c>
      <c r="R112" s="33">
        <v>75000</v>
      </c>
      <c r="S112" s="33">
        <v>95000</v>
      </c>
      <c r="T112" s="33">
        <v>336000</v>
      </c>
      <c r="U112" s="33">
        <v>661935.41702400008</v>
      </c>
      <c r="V112" s="33">
        <v>1221935.4170240001</v>
      </c>
      <c r="W112" s="33">
        <v>12</v>
      </c>
      <c r="X112" s="33">
        <v>101827.95141866668</v>
      </c>
      <c r="Z112" s="33">
        <v>101827.95141866668</v>
      </c>
      <c r="AA112" s="33">
        <v>101827.95</v>
      </c>
      <c r="AB112" s="33">
        <v>1.4186666812747717E-3</v>
      </c>
    </row>
    <row r="113" spans="1:28">
      <c r="A113">
        <v>91</v>
      </c>
      <c r="B113" s="33" t="s">
        <v>211</v>
      </c>
      <c r="C113" s="33">
        <v>547553.50249999994</v>
      </c>
      <c r="D113" s="33">
        <v>12</v>
      </c>
      <c r="E113" s="33">
        <v>6570642.0299999993</v>
      </c>
      <c r="F113" s="33">
        <v>10052.25</v>
      </c>
      <c r="I113" s="33">
        <v>6560589.7799999993</v>
      </c>
      <c r="J113" s="33">
        <v>200000</v>
      </c>
      <c r="K113" s="33">
        <v>0.2</v>
      </c>
      <c r="L113" s="33">
        <v>1312117.956</v>
      </c>
      <c r="M113" s="33">
        <v>1512117.956</v>
      </c>
      <c r="N113" s="33">
        <v>1522170.206</v>
      </c>
      <c r="O113" s="33">
        <v>5048471.8239999991</v>
      </c>
      <c r="P113" s="33">
        <v>21000</v>
      </c>
      <c r="Q113" s="33">
        <v>33000</v>
      </c>
      <c r="R113" s="33">
        <v>75000</v>
      </c>
      <c r="S113" s="33">
        <v>95000</v>
      </c>
      <c r="T113" s="33">
        <v>336000</v>
      </c>
      <c r="U113" s="33">
        <v>443633.23775999976</v>
      </c>
      <c r="V113" s="33">
        <v>1003633.2377599997</v>
      </c>
      <c r="W113" s="33">
        <v>12</v>
      </c>
      <c r="X113" s="33">
        <v>83636.103146666646</v>
      </c>
      <c r="Z113" s="33">
        <v>83636.103146666646</v>
      </c>
      <c r="AA113" s="33">
        <v>83636.100000000006</v>
      </c>
      <c r="AB113" s="33">
        <v>3.146666640532203E-3</v>
      </c>
    </row>
    <row r="114" spans="1:28">
      <c r="A114">
        <v>92</v>
      </c>
      <c r="B114" s="33" t="s">
        <v>213</v>
      </c>
      <c r="C114" s="33">
        <v>447553.5025</v>
      </c>
      <c r="D114" s="33">
        <v>12</v>
      </c>
      <c r="E114" s="33">
        <v>5370642.0300000003</v>
      </c>
      <c r="F114" s="33">
        <v>10052.25</v>
      </c>
      <c r="I114" s="33">
        <v>5360589.78</v>
      </c>
      <c r="J114" s="33">
        <v>200000</v>
      </c>
      <c r="K114" s="33">
        <v>0.2</v>
      </c>
      <c r="L114" s="33">
        <v>1072117.956</v>
      </c>
      <c r="M114" s="33">
        <v>1272117.956</v>
      </c>
      <c r="N114" s="33">
        <v>1282170.206</v>
      </c>
      <c r="O114" s="33">
        <v>4088471.824</v>
      </c>
      <c r="P114" s="33">
        <v>21000</v>
      </c>
      <c r="Q114" s="33">
        <v>33000</v>
      </c>
      <c r="R114" s="33">
        <v>75000</v>
      </c>
      <c r="S114" s="33">
        <v>95000</v>
      </c>
      <c r="T114" s="33">
        <v>336000</v>
      </c>
      <c r="U114" s="33">
        <v>213233.23775999999</v>
      </c>
      <c r="V114" s="33">
        <v>773233.23775999993</v>
      </c>
      <c r="W114" s="33">
        <v>12</v>
      </c>
      <c r="X114" s="33">
        <v>64436.103146666661</v>
      </c>
      <c r="Z114" s="33">
        <v>64436.103146666661</v>
      </c>
      <c r="AA114" s="33">
        <v>64436.1</v>
      </c>
      <c r="AB114" s="33">
        <v>3.1466666623600759E-3</v>
      </c>
    </row>
    <row r="115" spans="1:28">
      <c r="A115">
        <v>93</v>
      </c>
      <c r="B115" s="33" t="s">
        <v>215</v>
      </c>
      <c r="C115" s="33">
        <v>424720.04700000002</v>
      </c>
      <c r="D115" s="33">
        <v>12</v>
      </c>
      <c r="E115" s="33">
        <v>5096640.5640000002</v>
      </c>
      <c r="I115" s="33">
        <v>5096640.5640000002</v>
      </c>
      <c r="J115" s="33">
        <v>200000</v>
      </c>
      <c r="K115" s="33">
        <v>0.2</v>
      </c>
      <c r="L115" s="33">
        <v>1019328.1128000001</v>
      </c>
      <c r="M115" s="33">
        <v>1219328.1128000002</v>
      </c>
      <c r="N115" s="33">
        <v>1219328.1128000002</v>
      </c>
      <c r="O115" s="33">
        <v>3877312.4512</v>
      </c>
      <c r="P115" s="33">
        <v>21000</v>
      </c>
      <c r="Q115" s="33">
        <v>33000</v>
      </c>
      <c r="R115" s="33">
        <v>75000</v>
      </c>
      <c r="S115" s="33">
        <v>95000</v>
      </c>
      <c r="T115" s="33">
        <v>336000</v>
      </c>
      <c r="U115" s="33">
        <v>162554.98828799999</v>
      </c>
      <c r="V115" s="33">
        <v>722554.98828799999</v>
      </c>
      <c r="W115" s="33">
        <v>12</v>
      </c>
      <c r="X115" s="33">
        <v>60212.915690666669</v>
      </c>
      <c r="Z115" s="33">
        <v>60212.915690666669</v>
      </c>
      <c r="AA115" s="33">
        <v>60212.92</v>
      </c>
      <c r="AB115" s="33">
        <v>-4.3093333297292702E-3</v>
      </c>
    </row>
    <row r="116" spans="1:28">
      <c r="A116">
        <v>94</v>
      </c>
      <c r="B116" s="33" t="s">
        <v>216</v>
      </c>
      <c r="C116" s="33">
        <v>330272.06374999997</v>
      </c>
      <c r="D116" s="33">
        <v>12</v>
      </c>
      <c r="E116" s="33">
        <v>3963264.7649999997</v>
      </c>
      <c r="I116" s="33">
        <v>3963264.7649999997</v>
      </c>
      <c r="J116" s="33">
        <v>200000</v>
      </c>
      <c r="K116" s="33">
        <v>0.2</v>
      </c>
      <c r="L116" s="33">
        <v>792652.95299999998</v>
      </c>
      <c r="M116" s="33">
        <v>992652.95299999998</v>
      </c>
      <c r="N116" s="33">
        <v>992652.95299999998</v>
      </c>
      <c r="O116" s="33">
        <v>2970611.8119999999</v>
      </c>
      <c r="P116" s="33">
        <v>21000</v>
      </c>
      <c r="Q116" s="33">
        <v>33000</v>
      </c>
      <c r="R116" s="33">
        <v>75000</v>
      </c>
      <c r="S116" s="33">
        <v>95000</v>
      </c>
      <c r="T116" s="33">
        <v>287828.48051999998</v>
      </c>
      <c r="V116" s="33">
        <v>511828.48051999998</v>
      </c>
      <c r="W116" s="33">
        <v>12</v>
      </c>
      <c r="X116" s="33">
        <v>42652.373376666663</v>
      </c>
      <c r="Z116" s="33">
        <v>42652.373376666663</v>
      </c>
      <c r="AA116" s="33">
        <v>42138.224496666662</v>
      </c>
      <c r="AB116" s="33">
        <v>514.14888000000064</v>
      </c>
    </row>
    <row r="117" spans="1:28">
      <c r="A117">
        <v>95</v>
      </c>
      <c r="B117" s="33" t="s">
        <v>218</v>
      </c>
      <c r="C117" s="33">
        <v>349177.65375</v>
      </c>
      <c r="D117" s="33">
        <v>12</v>
      </c>
      <c r="E117" s="33">
        <v>4190131.8449999997</v>
      </c>
      <c r="F117" s="33">
        <v>7422.38</v>
      </c>
      <c r="I117" s="33">
        <v>4182709.4649999999</v>
      </c>
      <c r="J117" s="33">
        <v>200000</v>
      </c>
      <c r="K117" s="33">
        <v>0.2</v>
      </c>
      <c r="L117" s="33">
        <v>836541.89300000004</v>
      </c>
      <c r="M117" s="33">
        <v>1036541.893</v>
      </c>
      <c r="N117" s="33">
        <v>1043964.273</v>
      </c>
      <c r="O117" s="33">
        <v>3146167.5719999997</v>
      </c>
      <c r="P117" s="33">
        <v>21000</v>
      </c>
      <c r="Q117" s="33">
        <v>33000</v>
      </c>
      <c r="R117" s="33">
        <v>75000</v>
      </c>
      <c r="S117" s="33">
        <v>95000</v>
      </c>
      <c r="T117" s="33">
        <v>324695.19011999993</v>
      </c>
      <c r="V117" s="33">
        <v>548695.19011999993</v>
      </c>
      <c r="W117" s="33">
        <v>12</v>
      </c>
      <c r="X117" s="33">
        <v>45724.599176666663</v>
      </c>
      <c r="Z117" s="33">
        <v>45724.599176666663</v>
      </c>
      <c r="AA117" s="33">
        <v>44518.93</v>
      </c>
      <c r="AB117" s="33">
        <v>1205.6691766666627</v>
      </c>
    </row>
    <row r="118" spans="1:28">
      <c r="A118">
        <v>96</v>
      </c>
      <c r="B118" s="33" t="s">
        <v>220</v>
      </c>
      <c r="C118" s="33">
        <v>319177.65375</v>
      </c>
      <c r="D118" s="33">
        <v>12</v>
      </c>
      <c r="E118" s="33">
        <v>3830131.8449999997</v>
      </c>
      <c r="F118" s="33">
        <v>7422.38</v>
      </c>
      <c r="I118" s="33">
        <v>3822709.4649999999</v>
      </c>
      <c r="J118" s="33">
        <v>200000</v>
      </c>
      <c r="K118" s="33">
        <v>0.2</v>
      </c>
      <c r="L118" s="33">
        <v>764541.89300000004</v>
      </c>
      <c r="M118" s="33">
        <v>964541.89300000004</v>
      </c>
      <c r="N118" s="33">
        <v>971964.27300000004</v>
      </c>
      <c r="O118" s="33">
        <v>2858167.5719999997</v>
      </c>
      <c r="P118" s="33">
        <v>21000</v>
      </c>
      <c r="Q118" s="33">
        <v>33000</v>
      </c>
      <c r="R118" s="33">
        <v>75000</v>
      </c>
      <c r="S118" s="33">
        <v>95000</v>
      </c>
      <c r="T118" s="33">
        <v>264215.19011999993</v>
      </c>
      <c r="V118" s="33">
        <v>488215.19011999993</v>
      </c>
      <c r="W118" s="33">
        <v>12</v>
      </c>
      <c r="X118" s="33">
        <v>40684.599176666663</v>
      </c>
      <c r="Z118" s="33">
        <v>40684.599176666663</v>
      </c>
      <c r="AA118" s="33">
        <v>39478.93</v>
      </c>
      <c r="AB118" s="33">
        <v>1205.6691766666627</v>
      </c>
    </row>
    <row r="119" spans="1:28">
      <c r="A119">
        <v>97</v>
      </c>
      <c r="B119" s="33" t="s">
        <v>596</v>
      </c>
      <c r="C119" s="33">
        <v>312001.06049999996</v>
      </c>
      <c r="D119" s="33">
        <v>12</v>
      </c>
      <c r="E119" s="33">
        <v>3744012.7259999998</v>
      </c>
      <c r="I119" s="33">
        <v>3744012.7259999998</v>
      </c>
      <c r="J119" s="33">
        <v>200000</v>
      </c>
      <c r="K119" s="33">
        <v>0.2</v>
      </c>
      <c r="L119" s="33">
        <v>748802.54520000005</v>
      </c>
      <c r="M119" s="33">
        <v>948802.54520000005</v>
      </c>
      <c r="N119" s="33">
        <v>948802.54520000005</v>
      </c>
      <c r="O119" s="33">
        <v>2795210.1807999997</v>
      </c>
      <c r="P119" s="33">
        <v>21000</v>
      </c>
      <c r="Q119" s="33">
        <v>33000</v>
      </c>
      <c r="R119" s="33">
        <v>75000</v>
      </c>
      <c r="S119" s="33">
        <v>95000</v>
      </c>
      <c r="T119" s="33">
        <v>250994.13796799994</v>
      </c>
      <c r="V119" s="33">
        <v>474994.13796799991</v>
      </c>
      <c r="W119" s="33">
        <v>12</v>
      </c>
      <c r="X119" s="33">
        <v>39582.844830666661</v>
      </c>
      <c r="Z119" s="33">
        <v>39582.844830666661</v>
      </c>
      <c r="AA119" s="33">
        <v>38272.44</v>
      </c>
      <c r="AB119" s="33">
        <v>1310.4048306666591</v>
      </c>
    </row>
    <row r="120" spans="1:28">
      <c r="A120">
        <v>98</v>
      </c>
      <c r="B120" s="33" t="s">
        <v>221</v>
      </c>
      <c r="C120" s="33">
        <v>209356.04725</v>
      </c>
      <c r="D120" s="33">
        <v>12</v>
      </c>
      <c r="E120" s="33">
        <v>2512272.5669999998</v>
      </c>
      <c r="I120" s="33">
        <v>2512272.5669999998</v>
      </c>
      <c r="J120" s="33">
        <v>200000</v>
      </c>
      <c r="K120" s="33">
        <v>0.2</v>
      </c>
      <c r="L120" s="33">
        <v>502454.5134</v>
      </c>
      <c r="M120" s="33">
        <v>702454.51340000005</v>
      </c>
      <c r="N120" s="33">
        <v>702454.51340000005</v>
      </c>
      <c r="O120" s="33">
        <v>1809818.0535999998</v>
      </c>
      <c r="P120" s="33">
        <v>21000</v>
      </c>
      <c r="Q120" s="33">
        <v>33000</v>
      </c>
      <c r="R120" s="33">
        <v>75000</v>
      </c>
      <c r="S120" s="33">
        <v>95000</v>
      </c>
      <c r="T120" s="33">
        <v>44061.791255999946</v>
      </c>
      <c r="V120" s="33">
        <v>268061.79125599994</v>
      </c>
      <c r="W120" s="33">
        <v>12</v>
      </c>
      <c r="X120" s="33">
        <v>22338.48260466666</v>
      </c>
      <c r="Z120" s="33">
        <v>22338.48260466666</v>
      </c>
      <c r="AA120" s="33">
        <v>21640.95</v>
      </c>
      <c r="AB120" s="33">
        <v>697.53260466665961</v>
      </c>
    </row>
    <row r="121" spans="1:28">
      <c r="A121">
        <v>99</v>
      </c>
      <c r="B121" s="33" t="s">
        <v>223</v>
      </c>
      <c r="C121" s="33">
        <v>176816.09999999998</v>
      </c>
      <c r="D121" s="33">
        <v>12</v>
      </c>
      <c r="E121" s="33">
        <v>2121793.1999999997</v>
      </c>
      <c r="I121" s="33">
        <v>2121793.1999999997</v>
      </c>
      <c r="J121" s="33">
        <v>200000</v>
      </c>
      <c r="K121" s="33">
        <v>0.2</v>
      </c>
      <c r="L121" s="33">
        <v>424358.63999999996</v>
      </c>
      <c r="M121" s="33">
        <v>624358.6399999999</v>
      </c>
      <c r="N121" s="33">
        <v>624358.6399999999</v>
      </c>
      <c r="O121" s="33">
        <v>1497434.5599999998</v>
      </c>
      <c r="P121" s="33">
        <v>21000</v>
      </c>
      <c r="Q121" s="33">
        <v>33000</v>
      </c>
      <c r="R121" s="33">
        <v>75000</v>
      </c>
      <c r="S121" s="33">
        <v>75512.566399999967</v>
      </c>
      <c r="T121" s="33">
        <v>0</v>
      </c>
      <c r="V121" s="33">
        <v>204512.56639999995</v>
      </c>
      <c r="W121" s="33">
        <v>12</v>
      </c>
      <c r="X121" s="33">
        <v>17042.713866666661</v>
      </c>
      <c r="Z121" s="33">
        <v>17042.713866666661</v>
      </c>
      <c r="AA121" s="33">
        <v>25245.23</v>
      </c>
      <c r="AB121" s="33">
        <v>-8202.5161333333381</v>
      </c>
    </row>
    <row r="122" spans="1:28">
      <c r="A122"/>
    </row>
    <row r="123" spans="1:28">
      <c r="A123"/>
    </row>
    <row r="124" spans="1:28">
      <c r="A124">
        <v>101</v>
      </c>
      <c r="B124" s="33" t="s">
        <v>229</v>
      </c>
      <c r="C124" s="33">
        <v>950209.06350000005</v>
      </c>
      <c r="D124" s="33">
        <v>12</v>
      </c>
      <c r="E124" s="33">
        <v>11402508.762</v>
      </c>
      <c r="I124" s="33">
        <v>11402508.762</v>
      </c>
      <c r="J124" s="33">
        <v>200000</v>
      </c>
      <c r="K124" s="33">
        <v>0.2</v>
      </c>
      <c r="L124" s="33">
        <v>2280501.7524000001</v>
      </c>
      <c r="M124" s="33">
        <v>2480501.7524000001</v>
      </c>
      <c r="N124" s="33">
        <v>2480501.7524000001</v>
      </c>
      <c r="O124" s="33">
        <v>8922007.0096000005</v>
      </c>
      <c r="P124" s="33">
        <v>21000</v>
      </c>
      <c r="Q124" s="33">
        <v>33000</v>
      </c>
      <c r="R124" s="33">
        <v>75000</v>
      </c>
      <c r="S124" s="33">
        <v>95000</v>
      </c>
      <c r="T124" s="33">
        <v>336000</v>
      </c>
      <c r="U124" s="33">
        <v>1373281.682304</v>
      </c>
      <c r="V124" s="33">
        <v>1933281.682304</v>
      </c>
      <c r="W124" s="33">
        <v>12</v>
      </c>
      <c r="X124" s="33">
        <v>161106.80685866668</v>
      </c>
      <c r="Z124" s="33">
        <v>161106.80685866668</v>
      </c>
      <c r="AA124" s="33">
        <v>161106.81</v>
      </c>
      <c r="AB124" s="33">
        <v>-3.1413333199452609E-3</v>
      </c>
    </row>
    <row r="125" spans="1:28">
      <c r="A125">
        <v>103</v>
      </c>
      <c r="B125" s="33" t="s">
        <v>231</v>
      </c>
      <c r="C125" s="33">
        <v>541465.02474999998</v>
      </c>
      <c r="D125" s="33">
        <v>12</v>
      </c>
      <c r="E125" s="33">
        <v>6497580.2970000003</v>
      </c>
      <c r="F125" s="33">
        <v>10052.25</v>
      </c>
      <c r="I125" s="33">
        <v>6487528.0470000003</v>
      </c>
      <c r="J125" s="33">
        <v>200000</v>
      </c>
      <c r="K125" s="33">
        <v>0.2</v>
      </c>
      <c r="L125" s="33">
        <v>1297505.6094000002</v>
      </c>
      <c r="M125" s="33">
        <v>1497505.6094000002</v>
      </c>
      <c r="N125" s="33">
        <v>1507557.8594000002</v>
      </c>
      <c r="O125" s="33">
        <v>4990022.4375999998</v>
      </c>
      <c r="P125" s="33">
        <v>21000</v>
      </c>
      <c r="Q125" s="33">
        <v>33000</v>
      </c>
      <c r="R125" s="33">
        <v>75000</v>
      </c>
      <c r="S125" s="33">
        <v>95000</v>
      </c>
      <c r="T125" s="33">
        <v>336000</v>
      </c>
      <c r="U125" s="33">
        <v>429605.38502399996</v>
      </c>
      <c r="V125" s="33">
        <v>989605.38502399996</v>
      </c>
      <c r="W125" s="33">
        <v>12</v>
      </c>
      <c r="X125" s="33">
        <v>82467.115418666668</v>
      </c>
      <c r="Z125" s="33">
        <v>82467.115418666668</v>
      </c>
      <c r="AA125" s="33">
        <v>82627.95</v>
      </c>
      <c r="AB125" s="33">
        <v>-160.83458133332897</v>
      </c>
    </row>
    <row r="126" spans="1:28">
      <c r="A126">
        <v>105</v>
      </c>
      <c r="B126" s="33" t="s">
        <v>234</v>
      </c>
      <c r="C126" s="33">
        <v>577743.99575</v>
      </c>
      <c r="D126" s="33">
        <v>12</v>
      </c>
      <c r="E126" s="33">
        <v>6932927.949</v>
      </c>
      <c r="F126" s="33">
        <v>8019.8</v>
      </c>
      <c r="I126" s="33">
        <v>6924908.1490000002</v>
      </c>
      <c r="J126" s="33">
        <v>200000</v>
      </c>
      <c r="K126" s="33">
        <v>0.2</v>
      </c>
      <c r="L126" s="33">
        <v>1384981.6298000002</v>
      </c>
      <c r="M126" s="33">
        <v>1584981.6298000002</v>
      </c>
      <c r="N126" s="33">
        <v>1593001.4298000003</v>
      </c>
      <c r="O126" s="33">
        <v>5339926.5192</v>
      </c>
      <c r="P126" s="33">
        <v>21000</v>
      </c>
      <c r="Q126" s="33">
        <v>33000</v>
      </c>
      <c r="R126" s="33">
        <v>75000</v>
      </c>
      <c r="S126" s="33">
        <v>95000</v>
      </c>
      <c r="T126" s="33">
        <v>336000</v>
      </c>
      <c r="U126" s="33">
        <v>513582.36460799997</v>
      </c>
      <c r="V126" s="33">
        <v>1073582.364608</v>
      </c>
      <c r="W126" s="33">
        <v>12</v>
      </c>
      <c r="X126" s="33">
        <v>89465.197050666669</v>
      </c>
      <c r="Z126" s="33">
        <v>89465.197050666669</v>
      </c>
      <c r="AA126" s="33">
        <v>86798.37386666669</v>
      </c>
      <c r="AB126" s="33">
        <v>2666.8231839999789</v>
      </c>
    </row>
    <row r="127" spans="1:28">
      <c r="A127">
        <v>106</v>
      </c>
      <c r="B127" s="33" t="s">
        <v>236</v>
      </c>
      <c r="C127" s="33">
        <v>343333.03525000007</v>
      </c>
      <c r="D127" s="33">
        <v>12</v>
      </c>
      <c r="E127" s="33">
        <v>4119996.4230000009</v>
      </c>
      <c r="F127" s="33">
        <v>8019.8</v>
      </c>
      <c r="I127" s="33">
        <v>4111976.6230000011</v>
      </c>
      <c r="J127" s="33">
        <v>200000</v>
      </c>
      <c r="K127" s="33">
        <v>0.2</v>
      </c>
      <c r="L127" s="33">
        <v>822395.32460000028</v>
      </c>
      <c r="M127" s="33">
        <v>1022395.3246000003</v>
      </c>
      <c r="N127" s="33">
        <v>1030415.1246000003</v>
      </c>
      <c r="O127" s="33">
        <v>3089581.2984000007</v>
      </c>
      <c r="P127" s="33">
        <v>21000</v>
      </c>
      <c r="Q127" s="33">
        <v>33000</v>
      </c>
      <c r="R127" s="33">
        <v>75000</v>
      </c>
      <c r="S127" s="33">
        <v>95000</v>
      </c>
      <c r="T127" s="33">
        <v>312812.07266400015</v>
      </c>
      <c r="V127" s="33">
        <v>536812.07266400009</v>
      </c>
      <c r="W127" s="33">
        <v>12</v>
      </c>
      <c r="X127" s="33">
        <v>44734.339388666674</v>
      </c>
      <c r="Z127" s="33">
        <v>44734.339388666674</v>
      </c>
      <c r="AA127" s="33">
        <v>43380.1</v>
      </c>
      <c r="AB127" s="33">
        <v>1354.2393886666759</v>
      </c>
    </row>
    <row r="128" spans="1:28">
      <c r="A128">
        <v>107</v>
      </c>
      <c r="B128" s="33" t="s">
        <v>238</v>
      </c>
      <c r="C128" s="33">
        <v>343333.03525000007</v>
      </c>
      <c r="D128" s="33">
        <v>12</v>
      </c>
      <c r="E128" s="33">
        <v>4119996.4230000009</v>
      </c>
      <c r="I128" s="33">
        <v>4119996.4230000009</v>
      </c>
      <c r="J128" s="33">
        <v>200000</v>
      </c>
      <c r="K128" s="33">
        <v>0.2</v>
      </c>
      <c r="L128" s="33">
        <v>823999.28460000025</v>
      </c>
      <c r="M128" s="33">
        <v>1023999.2846000002</v>
      </c>
      <c r="N128" s="33">
        <v>1023999.2846000002</v>
      </c>
      <c r="O128" s="33">
        <v>3095997.1384000005</v>
      </c>
      <c r="P128" s="33">
        <v>21000</v>
      </c>
      <c r="Q128" s="33">
        <v>33000</v>
      </c>
      <c r="R128" s="33">
        <v>75000</v>
      </c>
      <c r="S128" s="33">
        <v>95000</v>
      </c>
      <c r="T128" s="33">
        <v>314159.39906400011</v>
      </c>
      <c r="V128" s="33">
        <v>538159.39906400011</v>
      </c>
      <c r="W128" s="33">
        <v>12</v>
      </c>
      <c r="X128" s="33">
        <v>44846.616588666679</v>
      </c>
      <c r="Z128" s="33">
        <v>44846.616588666679</v>
      </c>
      <c r="AA128" s="33">
        <v>43380.1</v>
      </c>
      <c r="AB128" s="33">
        <v>1466.51658866668</v>
      </c>
    </row>
    <row r="129" spans="1:28">
      <c r="A129">
        <v>108</v>
      </c>
      <c r="B129" s="33" t="s">
        <v>181</v>
      </c>
      <c r="C129" s="33">
        <v>319177.65375</v>
      </c>
      <c r="D129" s="33">
        <v>12</v>
      </c>
      <c r="E129" s="33">
        <v>3830131.8449999997</v>
      </c>
      <c r="F129" s="33">
        <v>6456.26</v>
      </c>
      <c r="I129" s="33">
        <v>3823675.585</v>
      </c>
      <c r="J129" s="33">
        <v>200000</v>
      </c>
      <c r="K129" s="33">
        <v>0.2</v>
      </c>
      <c r="L129" s="33">
        <v>764735.11700000009</v>
      </c>
      <c r="M129" s="33">
        <v>964735.11700000009</v>
      </c>
      <c r="N129" s="33">
        <v>971191.37700000009</v>
      </c>
      <c r="O129" s="33">
        <v>2858940.4679999994</v>
      </c>
      <c r="P129" s="33">
        <v>21000</v>
      </c>
      <c r="Q129" s="33">
        <v>33000</v>
      </c>
      <c r="R129" s="33">
        <v>75000</v>
      </c>
      <c r="S129" s="33">
        <v>95000</v>
      </c>
      <c r="T129" s="33">
        <v>264377.49827999988</v>
      </c>
      <c r="V129" s="33">
        <v>488377.49827999988</v>
      </c>
      <c r="W129" s="33">
        <v>12</v>
      </c>
      <c r="X129" s="33">
        <v>40698.124856666655</v>
      </c>
      <c r="Z129" s="33">
        <v>40698.124856666655</v>
      </c>
      <c r="AA129" s="33">
        <v>39582.839999999997</v>
      </c>
      <c r="AB129" s="33">
        <v>1115.284856666658</v>
      </c>
    </row>
    <row r="130" spans="1:28">
      <c r="A130">
        <v>109</v>
      </c>
      <c r="B130" s="33" t="s">
        <v>241</v>
      </c>
      <c r="C130" s="33">
        <v>284536.99849999999</v>
      </c>
      <c r="D130" s="33">
        <v>12</v>
      </c>
      <c r="E130" s="33">
        <v>3414443.9819999998</v>
      </c>
      <c r="I130" s="33">
        <v>3414443.9819999998</v>
      </c>
      <c r="J130" s="33">
        <v>200000</v>
      </c>
      <c r="K130" s="33">
        <v>0.2</v>
      </c>
      <c r="L130" s="33">
        <v>682888.79639999999</v>
      </c>
      <c r="M130" s="33">
        <v>882888.79639999999</v>
      </c>
      <c r="N130" s="33">
        <v>882888.79639999999</v>
      </c>
      <c r="O130" s="33">
        <v>2531555.1856</v>
      </c>
      <c r="P130" s="33">
        <v>21000</v>
      </c>
      <c r="Q130" s="33">
        <v>33000</v>
      </c>
      <c r="R130" s="33">
        <v>75000</v>
      </c>
      <c r="S130" s="33">
        <v>95000</v>
      </c>
      <c r="T130" s="33">
        <v>195626.588976</v>
      </c>
      <c r="V130" s="33">
        <v>419626.58897599997</v>
      </c>
      <c r="W130" s="33">
        <v>12</v>
      </c>
      <c r="X130" s="33">
        <v>34968.882414666667</v>
      </c>
      <c r="Z130" s="33">
        <v>34968.882414666667</v>
      </c>
      <c r="AA130" s="33">
        <v>32848.559999999998</v>
      </c>
      <c r="AB130" s="33">
        <v>2120.3224146666689</v>
      </c>
    </row>
    <row r="131" spans="1:28">
      <c r="A131">
        <v>110</v>
      </c>
      <c r="B131" s="33" t="s">
        <v>243</v>
      </c>
      <c r="C131" s="33">
        <v>284536.99849999999</v>
      </c>
      <c r="D131" s="33">
        <v>12</v>
      </c>
      <c r="E131" s="33">
        <v>3414443.9819999998</v>
      </c>
      <c r="I131" s="33">
        <v>3414443.9819999998</v>
      </c>
      <c r="J131" s="33">
        <v>200000</v>
      </c>
      <c r="K131" s="33">
        <v>0.2</v>
      </c>
      <c r="L131" s="33">
        <v>682888.79639999999</v>
      </c>
      <c r="M131" s="33">
        <v>882888.79639999999</v>
      </c>
      <c r="N131" s="33">
        <v>882888.79639999999</v>
      </c>
      <c r="O131" s="33">
        <v>2531555.1856</v>
      </c>
      <c r="P131" s="33">
        <v>21000</v>
      </c>
      <c r="Q131" s="33">
        <v>33000</v>
      </c>
      <c r="R131" s="33">
        <v>75000</v>
      </c>
      <c r="S131" s="33">
        <v>95000</v>
      </c>
      <c r="T131" s="33">
        <v>195626.588976</v>
      </c>
      <c r="V131" s="33">
        <v>419626.58897599997</v>
      </c>
      <c r="W131" s="33">
        <v>12</v>
      </c>
      <c r="X131" s="33">
        <v>34968.882414666667</v>
      </c>
      <c r="Z131" s="33">
        <v>34968.882414666667</v>
      </c>
      <c r="AA131" s="33">
        <v>32938.949999999997</v>
      </c>
      <c r="AB131" s="33">
        <v>2029.9324146666695</v>
      </c>
    </row>
    <row r="132" spans="1:28">
      <c r="A132">
        <v>111</v>
      </c>
      <c r="B132" s="33" t="s">
        <v>244</v>
      </c>
      <c r="C132" s="33">
        <v>284536.99849999999</v>
      </c>
      <c r="D132" s="33">
        <v>12</v>
      </c>
      <c r="E132" s="33">
        <v>3414443.9819999998</v>
      </c>
      <c r="I132" s="33">
        <v>3414443.9819999998</v>
      </c>
      <c r="J132" s="33">
        <v>200000</v>
      </c>
      <c r="K132" s="33">
        <v>0.2</v>
      </c>
      <c r="L132" s="33">
        <v>682888.79639999999</v>
      </c>
      <c r="M132" s="33">
        <v>882888.79639999999</v>
      </c>
      <c r="N132" s="33">
        <v>882888.79639999999</v>
      </c>
      <c r="O132" s="33">
        <v>2531555.1856</v>
      </c>
      <c r="P132" s="33">
        <v>21000</v>
      </c>
      <c r="Q132" s="33">
        <v>33000</v>
      </c>
      <c r="R132" s="33">
        <v>75000</v>
      </c>
      <c r="S132" s="33">
        <v>95000</v>
      </c>
      <c r="T132" s="33">
        <v>195626.588976</v>
      </c>
      <c r="V132" s="33">
        <v>419626.58897599997</v>
      </c>
      <c r="W132" s="33">
        <v>12</v>
      </c>
      <c r="X132" s="33">
        <v>34968.882414666667</v>
      </c>
      <c r="Z132" s="33">
        <v>34968.882414666667</v>
      </c>
      <c r="AA132" s="33">
        <v>32938.949999999997</v>
      </c>
      <c r="AB132" s="33">
        <v>2029.9324146666695</v>
      </c>
    </row>
    <row r="133" spans="1:28">
      <c r="A133">
        <v>112</v>
      </c>
      <c r="B133" s="33" t="s">
        <v>246</v>
      </c>
      <c r="C133" s="33">
        <v>267454.07400000002</v>
      </c>
      <c r="D133" s="33">
        <v>12</v>
      </c>
      <c r="E133" s="33">
        <v>3209448.8880000003</v>
      </c>
      <c r="F133" s="33">
        <v>5484.49</v>
      </c>
      <c r="I133" s="33">
        <v>3203964.398</v>
      </c>
      <c r="J133" s="33">
        <v>200000</v>
      </c>
      <c r="K133" s="33">
        <v>0.2</v>
      </c>
      <c r="L133" s="33">
        <v>640792.8796000001</v>
      </c>
      <c r="M133" s="33">
        <v>840792.8796000001</v>
      </c>
      <c r="N133" s="33">
        <v>846277.36960000009</v>
      </c>
      <c r="O133" s="33">
        <v>2363171.5184000004</v>
      </c>
      <c r="P133" s="33">
        <v>21000</v>
      </c>
      <c r="Q133" s="33">
        <v>33000</v>
      </c>
      <c r="R133" s="33">
        <v>75000</v>
      </c>
      <c r="S133" s="33">
        <v>95000</v>
      </c>
      <c r="T133" s="33">
        <v>160266.01886400007</v>
      </c>
      <c r="V133" s="33">
        <v>384266.0188640001</v>
      </c>
      <c r="W133" s="33">
        <v>12</v>
      </c>
      <c r="X133" s="33">
        <v>32022.168238666676</v>
      </c>
      <c r="Z133" s="33">
        <v>32022.168238666676</v>
      </c>
      <c r="AA133" s="33">
        <v>31749.189126666664</v>
      </c>
      <c r="AB133" s="33">
        <v>272.97911200001181</v>
      </c>
    </row>
    <row r="134" spans="1:28">
      <c r="A134">
        <v>113</v>
      </c>
      <c r="B134" s="33" t="s">
        <v>248</v>
      </c>
      <c r="C134" s="33">
        <v>242300.07749999996</v>
      </c>
      <c r="D134" s="33">
        <v>12</v>
      </c>
      <c r="E134" s="33">
        <v>2907600.9299999997</v>
      </c>
      <c r="F134" s="33">
        <v>5633.79</v>
      </c>
      <c r="I134" s="33">
        <v>2901967.1399999997</v>
      </c>
      <c r="J134" s="33">
        <v>200000</v>
      </c>
      <c r="K134" s="33">
        <v>0.2</v>
      </c>
      <c r="L134" s="33">
        <v>580393.42799999996</v>
      </c>
      <c r="M134" s="33">
        <v>780393.42799999996</v>
      </c>
      <c r="N134" s="33">
        <v>786027.21799999999</v>
      </c>
      <c r="O134" s="33">
        <v>2121573.7119999998</v>
      </c>
      <c r="P134" s="33">
        <v>21000</v>
      </c>
      <c r="Q134" s="33">
        <v>33000</v>
      </c>
      <c r="R134" s="33">
        <v>75000</v>
      </c>
      <c r="S134" s="33">
        <v>95000</v>
      </c>
      <c r="T134" s="33">
        <v>109530.47951999996</v>
      </c>
      <c r="V134" s="33">
        <v>333530.47951999994</v>
      </c>
      <c r="W134" s="33">
        <v>12</v>
      </c>
      <c r="X134" s="33">
        <v>27794.206626666662</v>
      </c>
      <c r="Z134" s="33">
        <v>27794.206626666662</v>
      </c>
      <c r="AA134" s="33">
        <v>27029.200000000001</v>
      </c>
      <c r="AB134" s="33">
        <v>765.00662666666176</v>
      </c>
    </row>
    <row r="135" spans="1:28">
      <c r="A135">
        <v>114</v>
      </c>
      <c r="B135" s="33" t="s">
        <v>250</v>
      </c>
      <c r="C135" s="33">
        <v>279536.99849999999</v>
      </c>
      <c r="D135" s="33">
        <v>12</v>
      </c>
      <c r="E135" s="33">
        <v>3354443.9819999998</v>
      </c>
      <c r="I135" s="33">
        <v>3354443.9819999998</v>
      </c>
      <c r="J135" s="33">
        <v>200000</v>
      </c>
      <c r="K135" s="33">
        <v>0.2</v>
      </c>
      <c r="L135" s="33">
        <v>670888.79639999999</v>
      </c>
      <c r="M135" s="33">
        <v>870888.79639999999</v>
      </c>
      <c r="N135" s="33">
        <v>870888.79639999999</v>
      </c>
      <c r="O135" s="33">
        <v>2483555.1856</v>
      </c>
      <c r="P135" s="33">
        <v>21000</v>
      </c>
      <c r="Q135" s="33">
        <v>33000</v>
      </c>
      <c r="R135" s="33">
        <v>75000</v>
      </c>
      <c r="S135" s="33">
        <v>95000</v>
      </c>
      <c r="T135" s="33">
        <v>185546.588976</v>
      </c>
      <c r="V135" s="33">
        <v>409546.58897599997</v>
      </c>
      <c r="W135" s="33">
        <v>12</v>
      </c>
      <c r="X135" s="33">
        <v>34128.882414666667</v>
      </c>
      <c r="Z135" s="33">
        <v>34128.882414666667</v>
      </c>
      <c r="AA135" s="33">
        <v>31670.316066666663</v>
      </c>
      <c r="AB135" s="33">
        <v>2458.5663480000039</v>
      </c>
    </row>
    <row r="136" spans="1:28">
      <c r="A136">
        <v>115</v>
      </c>
      <c r="B136" s="33" t="s">
        <v>254</v>
      </c>
      <c r="C136" s="33">
        <v>237734.04699999996</v>
      </c>
      <c r="D136" s="33">
        <v>12</v>
      </c>
      <c r="E136" s="33">
        <v>2852808.5639999993</v>
      </c>
      <c r="F136" s="33">
        <v>5335.23</v>
      </c>
      <c r="I136" s="33">
        <v>2847473.3339999993</v>
      </c>
      <c r="J136" s="33">
        <v>200000</v>
      </c>
      <c r="K136" s="33">
        <v>0.2</v>
      </c>
      <c r="L136" s="33">
        <v>569494.66679999989</v>
      </c>
      <c r="M136" s="33">
        <v>769494.66679999989</v>
      </c>
      <c r="N136" s="33">
        <v>774829.89679999987</v>
      </c>
      <c r="O136" s="33">
        <v>2077978.6671999996</v>
      </c>
      <c r="P136" s="33">
        <v>21000</v>
      </c>
      <c r="Q136" s="33">
        <v>33000</v>
      </c>
      <c r="R136" s="33">
        <v>75000</v>
      </c>
      <c r="S136" s="33">
        <v>95000</v>
      </c>
      <c r="T136" s="33">
        <v>100375.52011199991</v>
      </c>
      <c r="V136" s="33">
        <v>324375.52011199994</v>
      </c>
      <c r="W136" s="33">
        <v>12</v>
      </c>
      <c r="X136" s="33">
        <v>27031.29334266666</v>
      </c>
      <c r="Z136" s="33">
        <v>27031.29334266666</v>
      </c>
      <c r="AA136" s="33">
        <v>26339.08</v>
      </c>
      <c r="AB136" s="33">
        <v>692.21334266665872</v>
      </c>
    </row>
    <row r="137" spans="1:28">
      <c r="A137">
        <v>116</v>
      </c>
      <c r="B137" s="33" t="s">
        <v>256</v>
      </c>
      <c r="C137" s="33">
        <v>237734.04699999996</v>
      </c>
      <c r="D137" s="33">
        <v>12</v>
      </c>
      <c r="E137" s="33">
        <v>2852808.5639999993</v>
      </c>
      <c r="I137" s="33">
        <v>2852808.5639999993</v>
      </c>
      <c r="J137" s="33">
        <v>200000</v>
      </c>
      <c r="K137" s="33">
        <v>0.2</v>
      </c>
      <c r="L137" s="33">
        <v>570561.71279999986</v>
      </c>
      <c r="M137" s="33">
        <v>770561.71279999986</v>
      </c>
      <c r="N137" s="33">
        <v>770561.71279999986</v>
      </c>
      <c r="O137" s="33">
        <v>2082246.8511999995</v>
      </c>
      <c r="P137" s="33">
        <v>21000</v>
      </c>
      <c r="Q137" s="33">
        <v>33000</v>
      </c>
      <c r="R137" s="33">
        <v>75000</v>
      </c>
      <c r="S137" s="33">
        <v>95000</v>
      </c>
      <c r="T137" s="33">
        <v>101271.83875199988</v>
      </c>
      <c r="V137" s="33">
        <v>325271.83875199989</v>
      </c>
      <c r="W137" s="33">
        <v>12</v>
      </c>
      <c r="X137" s="33">
        <v>27105.986562666658</v>
      </c>
      <c r="Z137" s="33">
        <v>27105.986562666658</v>
      </c>
      <c r="AA137" s="33">
        <v>26264.39</v>
      </c>
      <c r="AB137" s="33">
        <v>841.59656266665843</v>
      </c>
    </row>
    <row r="138" spans="1:28">
      <c r="A138">
        <v>117</v>
      </c>
      <c r="B138" s="33" t="s">
        <v>258</v>
      </c>
      <c r="C138" s="33">
        <v>237734.04699999996</v>
      </c>
      <c r="D138" s="33">
        <v>12</v>
      </c>
      <c r="E138" s="33">
        <v>2852808.5639999993</v>
      </c>
      <c r="I138" s="33">
        <v>2852808.5639999993</v>
      </c>
      <c r="J138" s="33">
        <v>200000</v>
      </c>
      <c r="K138" s="33">
        <v>0.2</v>
      </c>
      <c r="L138" s="33">
        <v>570561.71279999986</v>
      </c>
      <c r="M138" s="33">
        <v>770561.71279999986</v>
      </c>
      <c r="N138" s="33">
        <v>770561.71279999986</v>
      </c>
      <c r="O138" s="33">
        <v>2082246.8511999995</v>
      </c>
      <c r="P138" s="33">
        <v>21000</v>
      </c>
      <c r="Q138" s="33">
        <v>33000</v>
      </c>
      <c r="R138" s="33">
        <v>75000</v>
      </c>
      <c r="S138" s="33">
        <v>95000</v>
      </c>
      <c r="T138" s="33">
        <v>101271.83875199988</v>
      </c>
      <c r="V138" s="33">
        <v>325271.83875199989</v>
      </c>
      <c r="W138" s="33">
        <v>12</v>
      </c>
      <c r="X138" s="33">
        <v>27105.986562666658</v>
      </c>
      <c r="Z138" s="33">
        <v>27105.986562666658</v>
      </c>
      <c r="AA138" s="33">
        <v>26339.08</v>
      </c>
      <c r="AB138" s="33">
        <v>766.9065626666561</v>
      </c>
    </row>
    <row r="139" spans="1:28">
      <c r="A139">
        <v>118</v>
      </c>
      <c r="B139" s="33" t="s">
        <v>259</v>
      </c>
      <c r="C139" s="33">
        <v>228602.07775000003</v>
      </c>
      <c r="D139" s="33">
        <v>12</v>
      </c>
      <c r="E139" s="33">
        <v>2743224.9330000002</v>
      </c>
      <c r="I139" s="33">
        <v>2743224.9330000002</v>
      </c>
      <c r="J139" s="33">
        <v>200000</v>
      </c>
      <c r="K139" s="33">
        <v>0.2</v>
      </c>
      <c r="L139" s="33">
        <v>548644.98660000006</v>
      </c>
      <c r="M139" s="33">
        <v>748644.98660000006</v>
      </c>
      <c r="N139" s="33">
        <v>748644.98660000006</v>
      </c>
      <c r="O139" s="33">
        <v>1994579.9464000002</v>
      </c>
      <c r="P139" s="33">
        <v>21000</v>
      </c>
      <c r="Q139" s="33">
        <v>33000</v>
      </c>
      <c r="R139" s="33">
        <v>75000</v>
      </c>
      <c r="S139" s="33">
        <v>95000</v>
      </c>
      <c r="T139" s="33">
        <v>82861.788744000049</v>
      </c>
      <c r="V139" s="33">
        <v>306861.78874400002</v>
      </c>
      <c r="W139" s="33">
        <v>12</v>
      </c>
      <c r="X139" s="33">
        <v>25571.815728666668</v>
      </c>
      <c r="Z139" s="33">
        <v>25571.815728666668</v>
      </c>
      <c r="AA139" s="33">
        <v>25571.82</v>
      </c>
      <c r="AB139" s="33">
        <v>-4.2713333314168267E-3</v>
      </c>
    </row>
    <row r="140" spans="1:28">
      <c r="A140">
        <v>119</v>
      </c>
      <c r="B140" s="33" t="s">
        <v>261</v>
      </c>
      <c r="C140" s="33">
        <v>205204.0845</v>
      </c>
      <c r="D140" s="33">
        <v>12</v>
      </c>
      <c r="E140" s="33">
        <v>2462449.014</v>
      </c>
      <c r="I140" s="33">
        <v>2462449.014</v>
      </c>
      <c r="J140" s="33">
        <v>200000</v>
      </c>
      <c r="K140" s="33">
        <v>0.2</v>
      </c>
      <c r="L140" s="33">
        <v>492489.8028</v>
      </c>
      <c r="M140" s="33">
        <v>692489.80279999995</v>
      </c>
      <c r="N140" s="33">
        <v>692489.80279999995</v>
      </c>
      <c r="O140" s="33">
        <v>1769959.2112</v>
      </c>
      <c r="P140" s="33">
        <v>21000</v>
      </c>
      <c r="Q140" s="33">
        <v>33000</v>
      </c>
      <c r="R140" s="33">
        <v>75000</v>
      </c>
      <c r="S140" s="33">
        <v>95000</v>
      </c>
      <c r="T140" s="33">
        <v>35691.434352000004</v>
      </c>
      <c r="V140" s="33">
        <v>259691.43435200001</v>
      </c>
      <c r="W140" s="33">
        <v>12</v>
      </c>
      <c r="X140" s="33">
        <v>21640.952862666669</v>
      </c>
      <c r="Z140" s="33">
        <v>21640.952862666669</v>
      </c>
      <c r="AA140" s="33">
        <v>21640.95</v>
      </c>
      <c r="AB140" s="33">
        <v>2.8626666680793278E-3</v>
      </c>
    </row>
    <row r="141" spans="1:28">
      <c r="A141">
        <v>120</v>
      </c>
      <c r="B141" s="33" t="s">
        <v>263</v>
      </c>
      <c r="C141" s="33">
        <v>237734.04699999996</v>
      </c>
      <c r="D141" s="33">
        <v>12</v>
      </c>
      <c r="E141" s="33">
        <v>2852808.5639999993</v>
      </c>
      <c r="I141" s="33">
        <v>2852808.5639999993</v>
      </c>
      <c r="J141" s="33">
        <v>200000</v>
      </c>
      <c r="K141" s="33">
        <v>0.2</v>
      </c>
      <c r="L141" s="33">
        <v>570561.71279999986</v>
      </c>
      <c r="M141" s="33">
        <v>770561.71279999986</v>
      </c>
      <c r="N141" s="33">
        <v>770561.71279999986</v>
      </c>
      <c r="O141" s="33">
        <v>2082246.8511999995</v>
      </c>
      <c r="P141" s="33">
        <v>21000</v>
      </c>
      <c r="Q141" s="33">
        <v>33000</v>
      </c>
      <c r="R141" s="33">
        <v>75000</v>
      </c>
      <c r="S141" s="33">
        <v>95000</v>
      </c>
      <c r="T141" s="33">
        <v>101271.83875199988</v>
      </c>
      <c r="V141" s="33">
        <v>325271.83875199989</v>
      </c>
      <c r="W141" s="33">
        <v>12</v>
      </c>
      <c r="X141" s="33">
        <v>27105.986562666658</v>
      </c>
      <c r="Z141" s="33">
        <v>27105.986562666658</v>
      </c>
      <c r="AA141" s="33">
        <v>25571.708040666661</v>
      </c>
      <c r="AB141" s="33">
        <v>1534.2785219999969</v>
      </c>
    </row>
    <row r="142" spans="1:28">
      <c r="A142">
        <v>121</v>
      </c>
      <c r="B142" s="33" t="s">
        <v>265</v>
      </c>
      <c r="C142" s="33">
        <v>209356.04725</v>
      </c>
      <c r="D142" s="33">
        <v>12</v>
      </c>
      <c r="E142" s="33">
        <v>2512272.5669999998</v>
      </c>
      <c r="F142" s="33">
        <v>4047.66</v>
      </c>
      <c r="I142" s="33">
        <v>2508224.9069999997</v>
      </c>
      <c r="J142" s="33">
        <v>200000</v>
      </c>
      <c r="K142" s="33">
        <v>0.2</v>
      </c>
      <c r="L142" s="33">
        <v>501644.98139999993</v>
      </c>
      <c r="M142" s="33">
        <v>701644.98139999993</v>
      </c>
      <c r="N142" s="33">
        <v>705692.64139999996</v>
      </c>
      <c r="O142" s="33">
        <v>1806579.9255999997</v>
      </c>
      <c r="P142" s="33">
        <v>21000</v>
      </c>
      <c r="Q142" s="33">
        <v>33000</v>
      </c>
      <c r="R142" s="33">
        <v>75000</v>
      </c>
      <c r="S142" s="33">
        <v>95000</v>
      </c>
      <c r="T142" s="33">
        <v>43381.784375999938</v>
      </c>
      <c r="V142" s="33">
        <v>267381.78437599994</v>
      </c>
      <c r="W142" s="33">
        <v>12</v>
      </c>
      <c r="X142" s="33">
        <v>22281.815364666661</v>
      </c>
      <c r="Z142" s="33">
        <v>22281.815364666661</v>
      </c>
      <c r="AA142" s="33">
        <v>21640.95</v>
      </c>
      <c r="AB142" s="33">
        <v>640.86536466666075</v>
      </c>
    </row>
    <row r="143" spans="1:28">
      <c r="A143">
        <v>122</v>
      </c>
      <c r="B143" s="33" t="s">
        <v>267</v>
      </c>
      <c r="C143" s="33">
        <v>237734.04699999996</v>
      </c>
      <c r="D143" s="33">
        <v>12</v>
      </c>
      <c r="E143" s="33">
        <v>2852808.5639999993</v>
      </c>
      <c r="I143" s="33">
        <v>2852808.5639999993</v>
      </c>
      <c r="J143" s="33">
        <v>200000</v>
      </c>
      <c r="K143" s="33">
        <v>0.2</v>
      </c>
      <c r="L143" s="33">
        <v>570561.71279999986</v>
      </c>
      <c r="M143" s="33">
        <v>770561.71279999986</v>
      </c>
      <c r="N143" s="33">
        <v>770561.71279999986</v>
      </c>
      <c r="O143" s="33">
        <v>2082246.8511999995</v>
      </c>
      <c r="P143" s="33">
        <v>21000</v>
      </c>
      <c r="Q143" s="33">
        <v>33000</v>
      </c>
      <c r="R143" s="33">
        <v>75000</v>
      </c>
      <c r="S143" s="33">
        <v>95000</v>
      </c>
      <c r="T143" s="33">
        <v>101271.83875199988</v>
      </c>
      <c r="V143" s="33">
        <v>325271.83875199989</v>
      </c>
      <c r="W143" s="33">
        <v>12</v>
      </c>
      <c r="X143" s="33">
        <v>27105.986562666658</v>
      </c>
      <c r="Z143" s="33">
        <v>27105.986562666658</v>
      </c>
      <c r="AA143" s="33">
        <v>25571.708040666661</v>
      </c>
      <c r="AB143" s="33">
        <v>1534.2785219999969</v>
      </c>
    </row>
    <row r="144" spans="1:28">
      <c r="A144">
        <v>123</v>
      </c>
      <c r="B144" s="33" t="s">
        <v>269</v>
      </c>
      <c r="C144" s="33">
        <v>209356.04725</v>
      </c>
      <c r="D144" s="33">
        <v>12</v>
      </c>
      <c r="E144" s="33">
        <v>2512272.5669999998</v>
      </c>
      <c r="I144" s="33">
        <v>2512272.5669999998</v>
      </c>
      <c r="J144" s="33">
        <v>200000</v>
      </c>
      <c r="K144" s="33">
        <v>0.2</v>
      </c>
      <c r="L144" s="33">
        <v>502454.5134</v>
      </c>
      <c r="M144" s="33">
        <v>702454.51340000005</v>
      </c>
      <c r="N144" s="33">
        <v>702454.51340000005</v>
      </c>
      <c r="O144" s="33">
        <v>1809818.0535999998</v>
      </c>
      <c r="P144" s="33">
        <v>21000</v>
      </c>
      <c r="Q144" s="33">
        <v>33000</v>
      </c>
      <c r="R144" s="33">
        <v>75000</v>
      </c>
      <c r="S144" s="33">
        <v>95000</v>
      </c>
      <c r="T144" s="33">
        <v>44061.791255999946</v>
      </c>
      <c r="V144" s="33">
        <v>268061.79125599994</v>
      </c>
      <c r="W144" s="33">
        <v>12</v>
      </c>
      <c r="X144" s="33">
        <v>22338.48260466666</v>
      </c>
      <c r="Z144" s="33">
        <v>22338.48260466666</v>
      </c>
      <c r="AA144" s="33">
        <v>21640.95</v>
      </c>
      <c r="AB144" s="33">
        <v>697.53260466665961</v>
      </c>
    </row>
    <row r="145" spans="1:28">
      <c r="A145">
        <v>124</v>
      </c>
      <c r="B145" s="33" t="s">
        <v>271</v>
      </c>
      <c r="C145" s="33">
        <v>183791.02674999999</v>
      </c>
      <c r="D145" s="33">
        <v>12</v>
      </c>
      <c r="E145" s="33">
        <v>2205492.321</v>
      </c>
      <c r="I145" s="33">
        <v>2205492.321</v>
      </c>
      <c r="J145" s="33">
        <v>200000</v>
      </c>
      <c r="K145" s="33">
        <v>0.2</v>
      </c>
      <c r="L145" s="33">
        <v>441098.46420000005</v>
      </c>
      <c r="M145" s="33">
        <v>641098.46420000005</v>
      </c>
      <c r="N145" s="33">
        <v>641098.46420000005</v>
      </c>
      <c r="O145" s="33">
        <v>1564393.8568</v>
      </c>
      <c r="P145" s="33">
        <v>21000</v>
      </c>
      <c r="Q145" s="33">
        <v>33000</v>
      </c>
      <c r="R145" s="33">
        <v>75000</v>
      </c>
      <c r="S145" s="33">
        <v>88234.832791999987</v>
      </c>
      <c r="T145" s="33">
        <v>0</v>
      </c>
      <c r="V145" s="33">
        <v>217234.83279199997</v>
      </c>
      <c r="W145" s="33">
        <v>12</v>
      </c>
      <c r="X145" s="33">
        <v>18102.902732666666</v>
      </c>
      <c r="Z145" s="33">
        <v>18102.902732666666</v>
      </c>
      <c r="AA145" s="33">
        <v>17572.89</v>
      </c>
      <c r="AB145" s="33">
        <v>530.01273266666612</v>
      </c>
    </row>
    <row r="146" spans="1:28">
      <c r="A146">
        <v>125</v>
      </c>
      <c r="B146" s="33" t="s">
        <v>600</v>
      </c>
      <c r="C146" s="33">
        <v>176816.09999999998</v>
      </c>
      <c r="D146" s="33">
        <v>12</v>
      </c>
      <c r="E146" s="33">
        <v>2121793.1999999997</v>
      </c>
      <c r="I146" s="33">
        <v>2121793.1999999997</v>
      </c>
      <c r="J146" s="33">
        <v>200000</v>
      </c>
      <c r="K146" s="33">
        <v>0.2</v>
      </c>
      <c r="L146" s="33">
        <v>424358.63999999996</v>
      </c>
      <c r="M146" s="33">
        <v>624358.6399999999</v>
      </c>
      <c r="N146" s="33">
        <v>624358.6399999999</v>
      </c>
      <c r="O146" s="33">
        <v>1497434.5599999998</v>
      </c>
      <c r="P146" s="33">
        <v>21000</v>
      </c>
      <c r="Q146" s="33">
        <v>33000</v>
      </c>
      <c r="R146" s="33">
        <v>75000</v>
      </c>
      <c r="S146" s="33">
        <v>75512.566399999967</v>
      </c>
      <c r="T146" s="33">
        <v>0</v>
      </c>
      <c r="V146" s="33">
        <v>204512.56639999995</v>
      </c>
      <c r="W146" s="33">
        <v>12</v>
      </c>
      <c r="X146" s="33">
        <v>17042.713866666661</v>
      </c>
      <c r="Z146" s="33">
        <v>17042.713866666661</v>
      </c>
      <c r="AA146" s="33">
        <v>16512.68</v>
      </c>
      <c r="AB146" s="33">
        <v>530.0338666666612</v>
      </c>
    </row>
    <row r="147" spans="1:28">
      <c r="A147">
        <v>126</v>
      </c>
      <c r="B147" s="33" t="s">
        <v>273</v>
      </c>
      <c r="C147" s="33">
        <v>173329.04949999999</v>
      </c>
      <c r="D147" s="33">
        <v>12</v>
      </c>
      <c r="E147" s="33">
        <v>2079948.594</v>
      </c>
      <c r="I147" s="33">
        <v>2079948.594</v>
      </c>
      <c r="J147" s="33">
        <v>200000</v>
      </c>
      <c r="K147" s="33">
        <v>0.2</v>
      </c>
      <c r="L147" s="33">
        <v>415989.71880000003</v>
      </c>
      <c r="M147" s="33">
        <v>615989.71880000003</v>
      </c>
      <c r="N147" s="33">
        <v>615989.71880000003</v>
      </c>
      <c r="O147" s="33">
        <v>1463958.8752000001</v>
      </c>
      <c r="P147" s="33">
        <v>21000</v>
      </c>
      <c r="Q147" s="33">
        <v>33000</v>
      </c>
      <c r="R147" s="33">
        <v>75000</v>
      </c>
      <c r="S147" s="33">
        <v>69152.186288000026</v>
      </c>
      <c r="T147" s="33">
        <v>0</v>
      </c>
      <c r="V147" s="33">
        <v>198152.18628800003</v>
      </c>
      <c r="W147" s="33">
        <v>12</v>
      </c>
      <c r="X147" s="33">
        <v>16512.68219066667</v>
      </c>
      <c r="Z147" s="33">
        <v>16512.68219066667</v>
      </c>
      <c r="AA147" s="33">
        <v>16512.68</v>
      </c>
      <c r="AB147" s="33">
        <v>2.1906666697759647E-3</v>
      </c>
    </row>
    <row r="148" spans="1:28">
      <c r="A148">
        <v>127</v>
      </c>
      <c r="B148" s="33" t="s">
        <v>275</v>
      </c>
      <c r="C148" s="33">
        <v>173339.22450000001</v>
      </c>
      <c r="D148" s="33">
        <v>12</v>
      </c>
      <c r="E148" s="33">
        <v>2080070.6940000001</v>
      </c>
      <c r="I148" s="33">
        <v>2080070.6940000001</v>
      </c>
      <c r="J148" s="33">
        <v>200000</v>
      </c>
      <c r="K148" s="33">
        <v>0.2</v>
      </c>
      <c r="L148" s="33">
        <v>416014.13880000007</v>
      </c>
      <c r="M148" s="33">
        <v>616014.13880000007</v>
      </c>
      <c r="N148" s="33">
        <v>616014.13880000007</v>
      </c>
      <c r="O148" s="33">
        <v>1464056.5552000001</v>
      </c>
      <c r="P148" s="33">
        <v>21000</v>
      </c>
      <c r="Q148" s="33">
        <v>33000</v>
      </c>
      <c r="R148" s="33">
        <v>75000</v>
      </c>
      <c r="S148" s="33">
        <v>69170.745488000015</v>
      </c>
      <c r="T148" s="33">
        <v>0</v>
      </c>
      <c r="V148" s="33">
        <v>198170.74548800002</v>
      </c>
      <c r="W148" s="33">
        <v>12</v>
      </c>
      <c r="X148" s="33">
        <v>16514.228790666668</v>
      </c>
      <c r="Z148" s="33">
        <v>16514.228790666668</v>
      </c>
      <c r="AA148" s="33">
        <v>16512.68</v>
      </c>
      <c r="AB148" s="33">
        <v>1.5487906666676281</v>
      </c>
    </row>
    <row r="149" spans="1:28">
      <c r="A149">
        <v>128</v>
      </c>
      <c r="B149" s="33" t="s">
        <v>277</v>
      </c>
      <c r="C149" s="33">
        <v>176818.09999999998</v>
      </c>
      <c r="D149" s="33">
        <v>12</v>
      </c>
      <c r="E149" s="33">
        <v>2121817.1999999997</v>
      </c>
      <c r="I149" s="33">
        <v>2121817.1999999997</v>
      </c>
      <c r="J149" s="33">
        <v>200000</v>
      </c>
      <c r="K149" s="33">
        <v>0.2</v>
      </c>
      <c r="L149" s="33">
        <v>424363.43999999994</v>
      </c>
      <c r="M149" s="33">
        <v>624363.43999999994</v>
      </c>
      <c r="N149" s="33">
        <v>624363.43999999994</v>
      </c>
      <c r="O149" s="33">
        <v>1497453.7599999998</v>
      </c>
      <c r="P149" s="33">
        <v>21000</v>
      </c>
      <c r="Q149" s="33">
        <v>33000</v>
      </c>
      <c r="R149" s="33">
        <v>75000</v>
      </c>
      <c r="S149" s="33">
        <v>75516.214399999953</v>
      </c>
      <c r="T149" s="33">
        <v>0</v>
      </c>
      <c r="V149" s="33">
        <v>204516.21439999994</v>
      </c>
      <c r="W149" s="33">
        <v>12</v>
      </c>
      <c r="X149" s="33">
        <v>17043.017866666662</v>
      </c>
      <c r="Z149" s="33">
        <v>17043.017866666662</v>
      </c>
      <c r="AA149" s="33">
        <v>16512.68</v>
      </c>
      <c r="AB149" s="33">
        <v>530.33786666666128</v>
      </c>
    </row>
    <row r="150" spans="1:28">
      <c r="A150">
        <v>129</v>
      </c>
      <c r="B150" s="33" t="s">
        <v>279</v>
      </c>
      <c r="C150" s="33">
        <v>176816.09999999998</v>
      </c>
      <c r="D150" s="33">
        <v>12</v>
      </c>
      <c r="E150" s="33">
        <v>2121793.1999999997</v>
      </c>
      <c r="F150" s="33">
        <v>2715.04</v>
      </c>
      <c r="I150" s="33">
        <v>2119078.1599999997</v>
      </c>
      <c r="J150" s="33">
        <v>200000</v>
      </c>
      <c r="K150" s="33">
        <v>0.2</v>
      </c>
      <c r="L150" s="33">
        <v>423815.63199999998</v>
      </c>
      <c r="M150" s="33">
        <v>623815.63199999998</v>
      </c>
      <c r="N150" s="33">
        <v>626530.67200000002</v>
      </c>
      <c r="O150" s="33">
        <v>1495262.5279999997</v>
      </c>
      <c r="P150" s="33">
        <v>21000</v>
      </c>
      <c r="Q150" s="33">
        <v>33000</v>
      </c>
      <c r="R150" s="33">
        <v>75000</v>
      </c>
      <c r="S150" s="33">
        <v>75099.880319999938</v>
      </c>
      <c r="T150" s="33">
        <v>0</v>
      </c>
      <c r="V150" s="33">
        <v>204099.88031999994</v>
      </c>
      <c r="W150" s="33">
        <v>12</v>
      </c>
      <c r="X150" s="33">
        <v>17008.323359999995</v>
      </c>
      <c r="Z150" s="33">
        <v>17008.323359999995</v>
      </c>
      <c r="AA150" s="33">
        <v>16512.68</v>
      </c>
      <c r="AB150" s="33">
        <v>495.64335999999457</v>
      </c>
    </row>
    <row r="151" spans="1:28">
      <c r="A151">
        <v>130</v>
      </c>
      <c r="B151" s="33" t="s">
        <v>282</v>
      </c>
      <c r="C151" s="33">
        <v>135590.72999999998</v>
      </c>
      <c r="D151" s="33">
        <v>12</v>
      </c>
      <c r="E151" s="33">
        <v>1627088.7599999998</v>
      </c>
      <c r="I151" s="33">
        <v>1627088.7599999998</v>
      </c>
      <c r="J151" s="33">
        <v>200000</v>
      </c>
      <c r="K151" s="33">
        <v>0.2</v>
      </c>
      <c r="L151" s="33">
        <v>325417.75199999998</v>
      </c>
      <c r="M151" s="33">
        <v>525417.75199999998</v>
      </c>
      <c r="N151" s="33">
        <v>525417.75199999998</v>
      </c>
      <c r="O151" s="33">
        <v>1101671.0079999999</v>
      </c>
      <c r="P151" s="33">
        <v>21000</v>
      </c>
      <c r="Q151" s="33">
        <v>33000</v>
      </c>
      <c r="R151" s="33">
        <v>75000</v>
      </c>
      <c r="S151" s="33">
        <v>317.49151999998372</v>
      </c>
      <c r="T151" s="33">
        <v>0</v>
      </c>
      <c r="V151" s="33">
        <v>129317.49151999998</v>
      </c>
      <c r="W151" s="33">
        <v>12</v>
      </c>
      <c r="X151" s="33">
        <v>10776.457626666665</v>
      </c>
      <c r="Z151" s="33">
        <v>10776.457626666665</v>
      </c>
      <c r="AA151" s="33">
        <v>9117.0499999999993</v>
      </c>
      <c r="AB151" s="33">
        <v>1659.4076266666652</v>
      </c>
    </row>
    <row r="152" spans="1:28">
      <c r="A152">
        <v>131</v>
      </c>
      <c r="B152" s="33" t="s">
        <v>285</v>
      </c>
      <c r="C152" s="33">
        <v>138590.72999999998</v>
      </c>
      <c r="D152" s="33">
        <v>12</v>
      </c>
      <c r="E152" s="33">
        <v>1663088.7599999998</v>
      </c>
      <c r="I152" s="33">
        <v>1663088.7599999998</v>
      </c>
      <c r="J152" s="33">
        <v>200000</v>
      </c>
      <c r="K152" s="33">
        <v>0.2</v>
      </c>
      <c r="L152" s="33">
        <v>332617.75199999998</v>
      </c>
      <c r="M152" s="33">
        <v>532617.75199999998</v>
      </c>
      <c r="N152" s="33">
        <v>532617.75199999998</v>
      </c>
      <c r="O152" s="33">
        <v>1130471.0079999999</v>
      </c>
      <c r="P152" s="33">
        <v>21000</v>
      </c>
      <c r="Q152" s="33">
        <v>33000</v>
      </c>
      <c r="R152" s="33">
        <v>75000</v>
      </c>
      <c r="S152" s="33">
        <v>5789.4915199999841</v>
      </c>
      <c r="T152" s="33">
        <v>0</v>
      </c>
      <c r="V152" s="33">
        <v>134789.49151999998</v>
      </c>
      <c r="W152" s="33">
        <v>12</v>
      </c>
      <c r="X152" s="33">
        <v>11232.457626666665</v>
      </c>
      <c r="Z152" s="33">
        <v>11232.457626666665</v>
      </c>
      <c r="AA152" s="33">
        <v>9504.2000000000007</v>
      </c>
      <c r="AB152" s="33">
        <v>1728.2576266666638</v>
      </c>
    </row>
    <row r="153" spans="1:28">
      <c r="A153">
        <v>132</v>
      </c>
      <c r="B153" s="33" t="s">
        <v>286</v>
      </c>
      <c r="C153" s="33">
        <v>135590.72999999998</v>
      </c>
      <c r="D153" s="33">
        <v>12</v>
      </c>
      <c r="E153" s="33">
        <v>1627088.7599999998</v>
      </c>
      <c r="I153" s="33">
        <v>1627088.7599999998</v>
      </c>
      <c r="J153" s="33">
        <v>200000</v>
      </c>
      <c r="K153" s="33">
        <v>0.2</v>
      </c>
      <c r="L153" s="33">
        <v>325417.75199999998</v>
      </c>
      <c r="M153" s="33">
        <v>525417.75199999998</v>
      </c>
      <c r="N153" s="33">
        <v>525417.75199999998</v>
      </c>
      <c r="O153" s="33">
        <v>1101671.0079999999</v>
      </c>
      <c r="P153" s="33">
        <v>21000</v>
      </c>
      <c r="Q153" s="33">
        <v>33000</v>
      </c>
      <c r="R153" s="33">
        <v>75000</v>
      </c>
      <c r="S153" s="33">
        <v>317.49151999998372</v>
      </c>
      <c r="T153" s="33">
        <v>0</v>
      </c>
      <c r="V153" s="33">
        <v>129317.49151999998</v>
      </c>
      <c r="W153" s="33">
        <v>12</v>
      </c>
      <c r="X153" s="33">
        <v>10776.457626666665</v>
      </c>
      <c r="Z153" s="33">
        <v>10776.457626666665</v>
      </c>
      <c r="AA153" s="33">
        <v>9144.2000000000007</v>
      </c>
      <c r="AB153" s="33">
        <v>1632.2576266666638</v>
      </c>
    </row>
    <row r="154" spans="1:28">
      <c r="A154">
        <v>133</v>
      </c>
      <c r="B154" s="33" t="s">
        <v>601</v>
      </c>
      <c r="C154" s="33">
        <v>135590.72999999998</v>
      </c>
      <c r="D154" s="33">
        <v>12</v>
      </c>
      <c r="E154" s="33">
        <v>1627088.7599999998</v>
      </c>
      <c r="I154" s="33">
        <v>1627088.7599999998</v>
      </c>
      <c r="J154" s="33">
        <v>200000</v>
      </c>
      <c r="K154" s="33">
        <v>0.2</v>
      </c>
      <c r="L154" s="33">
        <v>325417.75199999998</v>
      </c>
      <c r="M154" s="33">
        <v>525417.75199999998</v>
      </c>
      <c r="N154" s="33">
        <v>525417.75199999998</v>
      </c>
      <c r="O154" s="33">
        <v>1101671.0079999999</v>
      </c>
      <c r="P154" s="33">
        <v>21000</v>
      </c>
      <c r="Q154" s="33">
        <v>33000</v>
      </c>
      <c r="R154" s="33">
        <v>75000</v>
      </c>
      <c r="S154" s="33">
        <v>317.49151999998372</v>
      </c>
      <c r="T154" s="33">
        <v>0</v>
      </c>
      <c r="V154" s="33">
        <v>129317.49151999998</v>
      </c>
      <c r="W154" s="33">
        <v>12</v>
      </c>
      <c r="X154" s="33">
        <v>10776.457626666665</v>
      </c>
      <c r="Z154" s="33">
        <v>10776.457626666665</v>
      </c>
      <c r="AA154" s="33">
        <v>9144.2000000000007</v>
      </c>
      <c r="AB154" s="33">
        <v>1632.2576266666638</v>
      </c>
    </row>
    <row r="155" spans="1:28">
      <c r="A155">
        <v>134</v>
      </c>
      <c r="B155" s="33" t="s">
        <v>287</v>
      </c>
      <c r="C155" s="33">
        <v>135590.72999999998</v>
      </c>
      <c r="D155" s="33">
        <v>12</v>
      </c>
      <c r="E155" s="33">
        <v>1627088.7599999998</v>
      </c>
      <c r="F155" s="33">
        <v>2715.04</v>
      </c>
      <c r="I155" s="33">
        <v>1624373.7199999997</v>
      </c>
      <c r="J155" s="33">
        <v>200000</v>
      </c>
      <c r="K155" s="33">
        <v>0.2</v>
      </c>
      <c r="L155" s="33">
        <v>324874.74399999995</v>
      </c>
      <c r="M155" s="33">
        <v>524874.74399999995</v>
      </c>
      <c r="N155" s="33">
        <v>527589.78399999999</v>
      </c>
      <c r="O155" s="33">
        <v>1099498.9759999998</v>
      </c>
      <c r="P155" s="33">
        <v>21000</v>
      </c>
      <c r="Q155" s="33">
        <v>33000</v>
      </c>
      <c r="R155" s="33">
        <v>74924.846399999966</v>
      </c>
      <c r="S155" s="33">
        <v>0</v>
      </c>
      <c r="T155" s="33">
        <v>0</v>
      </c>
      <c r="V155" s="33">
        <v>128924.84639999997</v>
      </c>
      <c r="W155" s="33">
        <v>12</v>
      </c>
      <c r="X155" s="33">
        <v>10743.737199999998</v>
      </c>
      <c r="Z155" s="33">
        <v>10743.737199999998</v>
      </c>
      <c r="AA155" s="33">
        <v>9117.0499999999993</v>
      </c>
      <c r="AB155" s="33">
        <v>1626.6871999999985</v>
      </c>
    </row>
    <row r="156" spans="1:28">
      <c r="A156">
        <v>135</v>
      </c>
      <c r="B156" s="33" t="s">
        <v>288</v>
      </c>
      <c r="C156" s="33">
        <v>135590.72999999998</v>
      </c>
      <c r="D156" s="33">
        <v>12</v>
      </c>
      <c r="E156" s="33">
        <v>1627088.7599999998</v>
      </c>
      <c r="I156" s="33">
        <v>1627088.7599999998</v>
      </c>
      <c r="J156" s="33">
        <v>200000</v>
      </c>
      <c r="K156" s="33">
        <v>0.2</v>
      </c>
      <c r="L156" s="33">
        <v>325417.75199999998</v>
      </c>
      <c r="M156" s="33">
        <v>525417.75199999998</v>
      </c>
      <c r="N156" s="33">
        <v>525417.75199999998</v>
      </c>
      <c r="O156" s="33">
        <v>1101671.0079999999</v>
      </c>
      <c r="P156" s="33">
        <v>21000</v>
      </c>
      <c r="Q156" s="33">
        <v>33000</v>
      </c>
      <c r="R156" s="33">
        <v>75000</v>
      </c>
      <c r="S156" s="33">
        <v>317.49151999998372</v>
      </c>
      <c r="T156" s="33">
        <v>0</v>
      </c>
      <c r="V156" s="33">
        <v>129317.49151999998</v>
      </c>
      <c r="W156" s="33">
        <v>12</v>
      </c>
      <c r="X156" s="33">
        <v>10776.457626666665</v>
      </c>
      <c r="Z156" s="33">
        <v>10776.457626666665</v>
      </c>
      <c r="AA156" s="33">
        <v>9144.2000000000007</v>
      </c>
      <c r="AB156" s="33">
        <v>1632.2576266666638</v>
      </c>
    </row>
    <row r="157" spans="1:28">
      <c r="A157">
        <v>136</v>
      </c>
      <c r="B157" s="33" t="s">
        <v>289</v>
      </c>
      <c r="C157" s="33">
        <v>125035.03449999999</v>
      </c>
      <c r="D157" s="33">
        <v>12</v>
      </c>
      <c r="E157" s="33">
        <v>1500420.4139999999</v>
      </c>
      <c r="I157" s="33">
        <v>1500420.4139999999</v>
      </c>
      <c r="J157" s="33">
        <v>200000</v>
      </c>
      <c r="K157" s="33">
        <v>0.2</v>
      </c>
      <c r="L157" s="33">
        <v>300084.08279999997</v>
      </c>
      <c r="M157" s="33">
        <v>500084.08279999997</v>
      </c>
      <c r="N157" s="33">
        <v>500084.08279999997</v>
      </c>
      <c r="O157" s="33">
        <v>1000336.3311999999</v>
      </c>
      <c r="P157" s="33">
        <v>21000</v>
      </c>
      <c r="Q157" s="33">
        <v>33000</v>
      </c>
      <c r="R157" s="33">
        <v>60050.449679999983</v>
      </c>
      <c r="S157" s="33">
        <v>0</v>
      </c>
      <c r="T157" s="33">
        <v>0</v>
      </c>
      <c r="V157" s="33">
        <v>114050.44967999999</v>
      </c>
      <c r="W157" s="33">
        <v>12</v>
      </c>
      <c r="X157" s="33">
        <v>9504.2041399999998</v>
      </c>
      <c r="Z157" s="33">
        <v>9504.2041399999998</v>
      </c>
      <c r="AA157" s="33">
        <v>9152.6</v>
      </c>
      <c r="AB157" s="33">
        <v>351.60413999999946</v>
      </c>
    </row>
    <row r="158" spans="1:28">
      <c r="A158">
        <v>137</v>
      </c>
      <c r="B158" s="33" t="s">
        <v>291</v>
      </c>
      <c r="C158" s="33">
        <v>122035.03449999999</v>
      </c>
      <c r="D158" s="33">
        <v>12</v>
      </c>
      <c r="E158" s="33">
        <v>1464420.4139999999</v>
      </c>
      <c r="I158" s="33">
        <v>1464420.4139999999</v>
      </c>
      <c r="J158" s="33">
        <v>200000</v>
      </c>
      <c r="K158" s="33">
        <v>0.2</v>
      </c>
      <c r="L158" s="33">
        <v>292884.08279999997</v>
      </c>
      <c r="M158" s="33">
        <v>492884.08279999997</v>
      </c>
      <c r="N158" s="33">
        <v>492884.08279999997</v>
      </c>
      <c r="O158" s="33">
        <v>971536.3311999999</v>
      </c>
      <c r="P158" s="33">
        <v>21000</v>
      </c>
      <c r="Q158" s="33">
        <v>33000</v>
      </c>
      <c r="R158" s="33">
        <v>55730.449679999983</v>
      </c>
      <c r="S158" s="33">
        <v>0</v>
      </c>
      <c r="T158" s="33">
        <v>0</v>
      </c>
      <c r="V158" s="33">
        <v>109730.44967999999</v>
      </c>
      <c r="W158" s="33">
        <v>12</v>
      </c>
      <c r="X158" s="33">
        <v>9144.2041399999998</v>
      </c>
      <c r="Z158" s="33">
        <v>9144.2041399999998</v>
      </c>
      <c r="AA158" s="33">
        <v>8792.6</v>
      </c>
      <c r="AB158" s="33">
        <v>351.60413999999946</v>
      </c>
    </row>
    <row r="159" spans="1:28">
      <c r="A159">
        <v>138</v>
      </c>
      <c r="B159" s="33" t="s">
        <v>576</v>
      </c>
      <c r="C159" s="33">
        <v>122035.03449999999</v>
      </c>
      <c r="D159" s="33">
        <v>12</v>
      </c>
      <c r="E159" s="33">
        <v>1464420.4139999999</v>
      </c>
      <c r="I159" s="33">
        <v>1464420.4139999999</v>
      </c>
      <c r="J159" s="33">
        <v>200000</v>
      </c>
      <c r="K159" s="33">
        <v>0.2</v>
      </c>
      <c r="L159" s="33">
        <v>292884.08279999997</v>
      </c>
      <c r="M159" s="33">
        <v>492884.08279999997</v>
      </c>
      <c r="N159" s="33">
        <v>492884.08279999997</v>
      </c>
      <c r="O159" s="33">
        <v>971536.3311999999</v>
      </c>
      <c r="P159" s="33">
        <v>21000</v>
      </c>
      <c r="Q159" s="33">
        <v>33000</v>
      </c>
      <c r="R159" s="33">
        <v>55730.449679999983</v>
      </c>
      <c r="S159" s="33">
        <v>0</v>
      </c>
      <c r="T159" s="33">
        <v>0</v>
      </c>
      <c r="V159" s="33">
        <v>109730.44967999999</v>
      </c>
      <c r="W159" s="33">
        <v>12</v>
      </c>
      <c r="X159" s="33">
        <v>9144.2041399999998</v>
      </c>
      <c r="Z159" s="33">
        <v>9144.2041399999998</v>
      </c>
      <c r="AA159" s="33">
        <v>8792.6</v>
      </c>
      <c r="AB159" s="33">
        <v>351.60413999999946</v>
      </c>
    </row>
    <row r="160" spans="1:28">
      <c r="A160">
        <v>139</v>
      </c>
      <c r="B160" s="33" t="s">
        <v>292</v>
      </c>
      <c r="C160" s="33">
        <v>125035.03449999999</v>
      </c>
      <c r="D160" s="33">
        <v>12</v>
      </c>
      <c r="E160" s="33">
        <v>1500420.4139999999</v>
      </c>
      <c r="I160" s="33">
        <v>1500420.4139999999</v>
      </c>
      <c r="J160" s="33">
        <v>200000</v>
      </c>
      <c r="K160" s="33">
        <v>0.2</v>
      </c>
      <c r="L160" s="33">
        <v>300084.08279999997</v>
      </c>
      <c r="M160" s="33">
        <v>500084.08279999997</v>
      </c>
      <c r="N160" s="33">
        <v>500084.08279999997</v>
      </c>
      <c r="O160" s="33">
        <v>1000336.3311999999</v>
      </c>
      <c r="P160" s="33">
        <v>21000</v>
      </c>
      <c r="Q160" s="33">
        <v>33000</v>
      </c>
      <c r="R160" s="33">
        <v>60050.449679999983</v>
      </c>
      <c r="S160" s="33">
        <v>0</v>
      </c>
      <c r="T160" s="33">
        <v>0</v>
      </c>
      <c r="V160" s="33">
        <v>114050.44967999999</v>
      </c>
      <c r="W160" s="33">
        <v>12</v>
      </c>
      <c r="X160" s="33">
        <v>9504.2041399999998</v>
      </c>
      <c r="Z160" s="33">
        <v>9504.2041399999998</v>
      </c>
      <c r="AA160" s="33">
        <v>9152.6</v>
      </c>
      <c r="AB160" s="33">
        <v>351.60413999999946</v>
      </c>
    </row>
    <row r="161" spans="1:28">
      <c r="A161">
        <v>140</v>
      </c>
      <c r="B161" s="33" t="s">
        <v>293</v>
      </c>
      <c r="C161" s="33">
        <v>122035.03449999999</v>
      </c>
      <c r="D161" s="33">
        <v>12</v>
      </c>
      <c r="E161" s="33">
        <v>1464420.4139999999</v>
      </c>
      <c r="I161" s="33">
        <v>1464420.4139999999</v>
      </c>
      <c r="J161" s="33">
        <v>200000</v>
      </c>
      <c r="K161" s="33">
        <v>0.2</v>
      </c>
      <c r="L161" s="33">
        <v>292884.08279999997</v>
      </c>
      <c r="M161" s="33">
        <v>492884.08279999997</v>
      </c>
      <c r="N161" s="33">
        <v>492884.08279999997</v>
      </c>
      <c r="O161" s="33">
        <v>971536.3311999999</v>
      </c>
      <c r="P161" s="33">
        <v>21000</v>
      </c>
      <c r="Q161" s="33">
        <v>33000</v>
      </c>
      <c r="R161" s="33">
        <v>55730.449679999983</v>
      </c>
      <c r="S161" s="33">
        <v>0</v>
      </c>
      <c r="T161" s="33">
        <v>0</v>
      </c>
      <c r="V161" s="33">
        <v>109730.44967999999</v>
      </c>
      <c r="W161" s="33">
        <v>12</v>
      </c>
      <c r="X161" s="33">
        <v>9144.2041399999998</v>
      </c>
      <c r="Z161" s="33">
        <v>9144.2041399999998</v>
      </c>
      <c r="AA161" s="33">
        <v>8792.6</v>
      </c>
      <c r="AB161" s="33">
        <v>351.60413999999946</v>
      </c>
    </row>
    <row r="162" spans="1:28">
      <c r="A162">
        <v>141</v>
      </c>
      <c r="B162" s="33" t="s">
        <v>294</v>
      </c>
      <c r="C162" s="33">
        <v>122035.03449999999</v>
      </c>
      <c r="D162" s="33">
        <v>12</v>
      </c>
      <c r="E162" s="33">
        <v>1464420.4139999999</v>
      </c>
      <c r="I162" s="33">
        <v>1464420.4139999999</v>
      </c>
      <c r="J162" s="33">
        <v>200000</v>
      </c>
      <c r="K162" s="33">
        <v>0.2</v>
      </c>
      <c r="L162" s="33">
        <v>292884.08279999997</v>
      </c>
      <c r="M162" s="33">
        <v>492884.08279999997</v>
      </c>
      <c r="N162" s="33">
        <v>492884.08279999997</v>
      </c>
      <c r="O162" s="33">
        <v>971536.3311999999</v>
      </c>
      <c r="P162" s="33">
        <v>21000</v>
      </c>
      <c r="Q162" s="33">
        <v>33000</v>
      </c>
      <c r="R162" s="33">
        <v>55730.449679999983</v>
      </c>
      <c r="S162" s="33">
        <v>0</v>
      </c>
      <c r="T162" s="33">
        <v>0</v>
      </c>
      <c r="V162" s="33">
        <v>109730.44967999999</v>
      </c>
      <c r="W162" s="33">
        <v>12</v>
      </c>
      <c r="X162" s="33">
        <v>9144.2041399999998</v>
      </c>
      <c r="Z162" s="33">
        <v>9144.2041399999998</v>
      </c>
      <c r="AA162" s="33">
        <v>8792.6</v>
      </c>
      <c r="AB162" s="33">
        <v>351.60413999999946</v>
      </c>
    </row>
    <row r="163" spans="1:28">
      <c r="A163">
        <v>142</v>
      </c>
      <c r="B163" s="33" t="s">
        <v>295</v>
      </c>
      <c r="C163" s="33">
        <v>125035.03449999999</v>
      </c>
      <c r="D163" s="33">
        <v>12</v>
      </c>
      <c r="E163" s="33">
        <v>1500420.4139999999</v>
      </c>
      <c r="I163" s="33">
        <v>1500420.4139999999</v>
      </c>
      <c r="J163" s="33">
        <v>200000</v>
      </c>
      <c r="K163" s="33">
        <v>0.2</v>
      </c>
      <c r="L163" s="33">
        <v>300084.08279999997</v>
      </c>
      <c r="M163" s="33">
        <v>500084.08279999997</v>
      </c>
      <c r="N163" s="33">
        <v>500084.08279999997</v>
      </c>
      <c r="O163" s="33">
        <v>1000336.3311999999</v>
      </c>
      <c r="P163" s="33">
        <v>21000</v>
      </c>
      <c r="Q163" s="33">
        <v>33000</v>
      </c>
      <c r="R163" s="33">
        <v>60050.449679999983</v>
      </c>
      <c r="S163" s="33">
        <v>0</v>
      </c>
      <c r="T163" s="33">
        <v>0</v>
      </c>
      <c r="V163" s="33">
        <v>114050.44967999999</v>
      </c>
      <c r="W163" s="33">
        <v>12</v>
      </c>
      <c r="X163" s="33">
        <v>9504.2041399999998</v>
      </c>
      <c r="Z163" s="33">
        <v>9504.2041399999998</v>
      </c>
      <c r="AA163" s="33">
        <v>9152.6</v>
      </c>
      <c r="AB163" s="33">
        <v>351.60413999999946</v>
      </c>
    </row>
    <row r="164" spans="1:28">
      <c r="A164">
        <v>143</v>
      </c>
      <c r="B164" s="33" t="s">
        <v>296</v>
      </c>
      <c r="C164" s="33">
        <v>81803.001000000018</v>
      </c>
      <c r="D164" s="33">
        <v>12</v>
      </c>
      <c r="E164" s="33">
        <v>981636.01200000022</v>
      </c>
      <c r="I164" s="33">
        <v>981636.01200000022</v>
      </c>
      <c r="J164" s="33">
        <v>200000</v>
      </c>
      <c r="K164" s="33">
        <v>0.2</v>
      </c>
      <c r="L164" s="33">
        <v>196327.20240000007</v>
      </c>
      <c r="M164" s="33">
        <v>396327.20240000007</v>
      </c>
      <c r="N164" s="33">
        <v>396327.20240000007</v>
      </c>
      <c r="O164" s="33">
        <v>585308.80960000015</v>
      </c>
      <c r="P164" s="33">
        <v>21000</v>
      </c>
      <c r="Q164" s="33">
        <v>31383.969056000016</v>
      </c>
      <c r="R164" s="33">
        <v>0</v>
      </c>
      <c r="S164" s="33">
        <v>0</v>
      </c>
      <c r="T164" s="33">
        <v>0</v>
      </c>
      <c r="V164" s="33">
        <v>52383.969056000016</v>
      </c>
      <c r="W164" s="33">
        <v>12</v>
      </c>
      <c r="X164" s="33">
        <v>4365.3307546666683</v>
      </c>
      <c r="Z164" s="33">
        <v>4365.3307546666683</v>
      </c>
      <c r="AA164" s="33">
        <v>4227.5200000000004</v>
      </c>
      <c r="AB164" s="33">
        <v>137.81075466666789</v>
      </c>
    </row>
    <row r="165" spans="1:28">
      <c r="A165">
        <v>144</v>
      </c>
      <c r="B165" s="33" t="s">
        <v>299</v>
      </c>
      <c r="C165" s="33">
        <v>81803.001000000018</v>
      </c>
      <c r="D165" s="33">
        <v>12</v>
      </c>
      <c r="E165" s="33">
        <v>981636.01200000022</v>
      </c>
      <c r="I165" s="33">
        <v>981636.01200000022</v>
      </c>
      <c r="J165" s="33">
        <v>200000</v>
      </c>
      <c r="K165" s="33">
        <v>0.2</v>
      </c>
      <c r="L165" s="33">
        <v>196327.20240000007</v>
      </c>
      <c r="M165" s="33">
        <v>396327.20240000007</v>
      </c>
      <c r="N165" s="33">
        <v>396327.20240000007</v>
      </c>
      <c r="O165" s="33">
        <v>585308.80960000015</v>
      </c>
      <c r="P165" s="33">
        <v>21000</v>
      </c>
      <c r="Q165" s="33">
        <v>31383.969056000016</v>
      </c>
      <c r="R165" s="33">
        <v>0</v>
      </c>
      <c r="S165" s="33">
        <v>0</v>
      </c>
      <c r="T165" s="33">
        <v>0</v>
      </c>
      <c r="V165" s="33">
        <v>52383.969056000016</v>
      </c>
      <c r="W165" s="33">
        <v>12</v>
      </c>
      <c r="X165" s="33">
        <v>4365.3307546666683</v>
      </c>
      <c r="Z165" s="33">
        <v>4365.3307546666683</v>
      </c>
      <c r="AA165" s="33">
        <v>4227.5200000000004</v>
      </c>
      <c r="AB165" s="33">
        <v>137.81075466666789</v>
      </c>
    </row>
    <row r="166" spans="1:28">
      <c r="A166">
        <v>145</v>
      </c>
      <c r="B166" s="33" t="s">
        <v>300</v>
      </c>
      <c r="C166" s="33">
        <v>83370.091</v>
      </c>
      <c r="D166" s="33">
        <v>12</v>
      </c>
      <c r="E166" s="33">
        <v>1000441.0919999999</v>
      </c>
      <c r="I166" s="33">
        <v>1000441.0919999999</v>
      </c>
      <c r="J166" s="33">
        <v>200000</v>
      </c>
      <c r="K166" s="33">
        <v>0.2</v>
      </c>
      <c r="L166" s="33">
        <v>200088.21840000001</v>
      </c>
      <c r="M166" s="33">
        <v>400088.21840000001</v>
      </c>
      <c r="N166" s="33">
        <v>400088.21840000001</v>
      </c>
      <c r="O166" s="33">
        <v>600352.87359999993</v>
      </c>
      <c r="P166" s="33">
        <v>21000</v>
      </c>
      <c r="Q166" s="33">
        <v>33000</v>
      </c>
      <c r="R166" s="33">
        <v>52.931039999990027</v>
      </c>
      <c r="S166" s="33">
        <v>0</v>
      </c>
      <c r="T166" s="33">
        <v>0</v>
      </c>
      <c r="V166" s="33">
        <v>54052.931039999989</v>
      </c>
      <c r="W166" s="33">
        <v>12</v>
      </c>
      <c r="X166" s="33">
        <v>4504.4109199999994</v>
      </c>
      <c r="Z166" s="33">
        <v>4504.4109199999994</v>
      </c>
      <c r="AA166" s="33">
        <v>4365.33</v>
      </c>
      <c r="AB166" s="33">
        <v>139.08091999999942</v>
      </c>
    </row>
    <row r="167" spans="1:28">
      <c r="A167">
        <v>146</v>
      </c>
      <c r="B167" s="33" t="s">
        <v>301</v>
      </c>
      <c r="C167" s="33">
        <v>80237.012000000002</v>
      </c>
      <c r="D167" s="33">
        <v>12</v>
      </c>
      <c r="E167" s="33">
        <v>962844.14400000009</v>
      </c>
      <c r="I167" s="33">
        <v>962844.14400000009</v>
      </c>
      <c r="J167" s="33">
        <v>200000</v>
      </c>
      <c r="K167" s="33">
        <v>0.2</v>
      </c>
      <c r="L167" s="33">
        <v>192568.82880000002</v>
      </c>
      <c r="M167" s="33">
        <v>392568.82880000002</v>
      </c>
      <c r="N167" s="33">
        <v>392568.82880000002</v>
      </c>
      <c r="O167" s="33">
        <v>570275.31520000007</v>
      </c>
      <c r="P167" s="33">
        <v>21000</v>
      </c>
      <c r="Q167" s="33">
        <v>29730.284672000009</v>
      </c>
      <c r="R167" s="33">
        <v>0</v>
      </c>
      <c r="S167" s="33">
        <v>0</v>
      </c>
      <c r="T167" s="33">
        <v>0</v>
      </c>
      <c r="V167" s="33">
        <v>50730.284672000009</v>
      </c>
      <c r="W167" s="33">
        <v>12</v>
      </c>
      <c r="X167" s="33">
        <v>4227.5237226666677</v>
      </c>
      <c r="Z167" s="33">
        <v>4227.5237226666677</v>
      </c>
      <c r="AA167" s="33">
        <v>4089.72</v>
      </c>
      <c r="AB167" s="33">
        <v>137.80372266666791</v>
      </c>
    </row>
    <row r="168" spans="1:28">
      <c r="A168">
        <v>147</v>
      </c>
      <c r="B168" s="33" t="s">
        <v>304</v>
      </c>
      <c r="C168" s="33">
        <v>78671.023000000016</v>
      </c>
      <c r="D168" s="33">
        <v>12</v>
      </c>
      <c r="E168" s="33">
        <v>944052.27600000019</v>
      </c>
      <c r="I168" s="33">
        <v>944052.27600000019</v>
      </c>
      <c r="J168" s="33">
        <v>200000</v>
      </c>
      <c r="K168" s="33">
        <v>0.2</v>
      </c>
      <c r="L168" s="33">
        <v>188810.45520000005</v>
      </c>
      <c r="M168" s="33">
        <v>388810.45520000008</v>
      </c>
      <c r="N168" s="33">
        <v>388810.45520000008</v>
      </c>
      <c r="O168" s="33">
        <v>555241.8208000001</v>
      </c>
      <c r="P168" s="33">
        <v>21000</v>
      </c>
      <c r="Q168" s="33">
        <v>28076.600288000012</v>
      </c>
      <c r="R168" s="33">
        <v>0</v>
      </c>
      <c r="S168" s="33">
        <v>0</v>
      </c>
      <c r="T168" s="33">
        <v>0</v>
      </c>
      <c r="V168" s="33">
        <v>49076.600288000016</v>
      </c>
      <c r="W168" s="33">
        <v>12</v>
      </c>
      <c r="X168" s="33">
        <v>4089.716690666668</v>
      </c>
      <c r="Z168" s="33">
        <v>4089.716690666668</v>
      </c>
      <c r="AA168" s="33">
        <v>3951.8</v>
      </c>
      <c r="AB168" s="33">
        <v>137.91669066666782</v>
      </c>
    </row>
    <row r="169" spans="1:28">
      <c r="A169">
        <v>148</v>
      </c>
      <c r="B169" s="33" t="s">
        <v>307</v>
      </c>
      <c r="C169" s="33">
        <v>75671.023000000016</v>
      </c>
      <c r="D169" s="33">
        <v>12</v>
      </c>
      <c r="E169" s="33">
        <v>908052.27600000019</v>
      </c>
      <c r="I169" s="33">
        <v>908052.27600000019</v>
      </c>
      <c r="J169" s="33">
        <v>200000</v>
      </c>
      <c r="K169" s="33">
        <v>0.2</v>
      </c>
      <c r="L169" s="33">
        <v>181610.45520000005</v>
      </c>
      <c r="M169" s="33">
        <v>381610.45520000008</v>
      </c>
      <c r="N169" s="33">
        <v>381610.45520000008</v>
      </c>
      <c r="O169" s="33">
        <v>526441.8208000001</v>
      </c>
      <c r="P169" s="33">
        <v>21000</v>
      </c>
      <c r="Q169" s="33">
        <v>24908.600288000012</v>
      </c>
      <c r="R169" s="33">
        <v>0</v>
      </c>
      <c r="S169" s="33">
        <v>0</v>
      </c>
      <c r="T169" s="33">
        <v>0</v>
      </c>
      <c r="V169" s="33">
        <v>45908.600288000016</v>
      </c>
      <c r="W169" s="33">
        <v>12</v>
      </c>
      <c r="X169" s="33">
        <v>3825.716690666668</v>
      </c>
      <c r="Z169" s="33">
        <v>3825.716690666668</v>
      </c>
      <c r="AA169" s="33">
        <v>3687.8</v>
      </c>
      <c r="AB169" s="33">
        <v>137.91669066666782</v>
      </c>
    </row>
    <row r="170" spans="1:28">
      <c r="A170">
        <v>149</v>
      </c>
      <c r="B170" s="33" t="s">
        <v>308</v>
      </c>
      <c r="C170" s="33">
        <v>78671.023000000016</v>
      </c>
      <c r="D170" s="33">
        <v>12</v>
      </c>
      <c r="E170" s="33">
        <v>944052.27600000019</v>
      </c>
      <c r="I170" s="33">
        <v>944052.27600000019</v>
      </c>
      <c r="J170" s="33">
        <v>200000</v>
      </c>
      <c r="K170" s="33">
        <v>0.2</v>
      </c>
      <c r="L170" s="33">
        <v>188810.45520000005</v>
      </c>
      <c r="M170" s="33">
        <v>388810.45520000008</v>
      </c>
      <c r="N170" s="33">
        <v>388810.45520000008</v>
      </c>
      <c r="O170" s="33">
        <v>555241.8208000001</v>
      </c>
      <c r="P170" s="33">
        <v>21000</v>
      </c>
      <c r="Q170" s="33">
        <v>28076.600288000012</v>
      </c>
      <c r="R170" s="33">
        <v>0</v>
      </c>
      <c r="S170" s="33">
        <v>0</v>
      </c>
      <c r="T170" s="33">
        <v>0</v>
      </c>
      <c r="V170" s="33">
        <v>49076.600288000016</v>
      </c>
      <c r="W170" s="33">
        <v>12</v>
      </c>
      <c r="X170" s="33">
        <v>4089.716690666668</v>
      </c>
      <c r="Z170" s="33">
        <v>4089.716690666668</v>
      </c>
      <c r="AA170" s="33">
        <v>3951.8</v>
      </c>
      <c r="AB170" s="33">
        <v>137.91669066666782</v>
      </c>
    </row>
    <row r="171" spans="1:28">
      <c r="A171">
        <v>150</v>
      </c>
      <c r="B171" s="33" t="s">
        <v>309</v>
      </c>
      <c r="C171" s="33">
        <v>75671.023000000016</v>
      </c>
      <c r="D171" s="33">
        <v>12</v>
      </c>
      <c r="E171" s="33">
        <v>908052.27600000019</v>
      </c>
      <c r="I171" s="33">
        <v>908052.27600000019</v>
      </c>
      <c r="J171" s="33">
        <v>200000</v>
      </c>
      <c r="K171" s="33">
        <v>0.2</v>
      </c>
      <c r="L171" s="33">
        <v>181610.45520000005</v>
      </c>
      <c r="M171" s="33">
        <v>381610.45520000008</v>
      </c>
      <c r="N171" s="33">
        <v>381610.45520000008</v>
      </c>
      <c r="O171" s="33">
        <v>526441.8208000001</v>
      </c>
      <c r="P171" s="33">
        <v>21000</v>
      </c>
      <c r="Q171" s="33">
        <v>24908.600288000012</v>
      </c>
      <c r="R171" s="33">
        <v>0</v>
      </c>
      <c r="S171" s="33">
        <v>0</v>
      </c>
      <c r="T171" s="33">
        <v>0</v>
      </c>
      <c r="V171" s="33">
        <v>45908.600288000016</v>
      </c>
      <c r="W171" s="33">
        <v>12</v>
      </c>
      <c r="X171" s="33">
        <v>3825.716690666668</v>
      </c>
      <c r="Z171" s="33">
        <v>3825.716690666668</v>
      </c>
      <c r="AA171" s="33">
        <v>3687.8</v>
      </c>
      <c r="AB171" s="33">
        <v>137.91669066666782</v>
      </c>
    </row>
    <row r="172" spans="1:28">
      <c r="A172">
        <v>151</v>
      </c>
      <c r="B172" s="33" t="s">
        <v>310</v>
      </c>
      <c r="C172" s="33">
        <v>78671.023000000016</v>
      </c>
      <c r="D172" s="33">
        <v>12</v>
      </c>
      <c r="E172" s="33">
        <v>944052.27600000019</v>
      </c>
      <c r="I172" s="33">
        <v>944052.27600000019</v>
      </c>
      <c r="J172" s="33">
        <v>200000</v>
      </c>
      <c r="K172" s="33">
        <v>0.2</v>
      </c>
      <c r="L172" s="33">
        <v>188810.45520000005</v>
      </c>
      <c r="M172" s="33">
        <v>388810.45520000008</v>
      </c>
      <c r="N172" s="33">
        <v>388810.45520000008</v>
      </c>
      <c r="O172" s="33">
        <v>555241.8208000001</v>
      </c>
      <c r="P172" s="33">
        <v>21000</v>
      </c>
      <c r="Q172" s="33">
        <v>28076.600288000012</v>
      </c>
      <c r="R172" s="33">
        <v>0</v>
      </c>
      <c r="S172" s="33">
        <v>0</v>
      </c>
      <c r="T172" s="33">
        <v>0</v>
      </c>
      <c r="V172" s="33">
        <v>49076.600288000016</v>
      </c>
      <c r="W172" s="33">
        <v>12</v>
      </c>
      <c r="X172" s="33">
        <v>4089.716690666668</v>
      </c>
      <c r="Z172" s="33">
        <v>4089.716690666668</v>
      </c>
      <c r="AA172" s="33">
        <v>3951.8</v>
      </c>
      <c r="AB172" s="33">
        <v>137.91669066666782</v>
      </c>
    </row>
    <row r="173" spans="1:28">
      <c r="A173">
        <v>152</v>
      </c>
      <c r="B173" s="33" t="s">
        <v>311</v>
      </c>
      <c r="C173" s="33">
        <v>75671.023000000016</v>
      </c>
      <c r="D173" s="33">
        <v>12</v>
      </c>
      <c r="E173" s="33">
        <v>908052.27600000019</v>
      </c>
      <c r="I173" s="33">
        <v>908052.27600000019</v>
      </c>
      <c r="J173" s="33">
        <v>200000</v>
      </c>
      <c r="K173" s="33">
        <v>0.2</v>
      </c>
      <c r="L173" s="33">
        <v>181610.45520000005</v>
      </c>
      <c r="M173" s="33">
        <v>381610.45520000008</v>
      </c>
      <c r="N173" s="33">
        <v>381610.45520000008</v>
      </c>
      <c r="O173" s="33">
        <v>526441.8208000001</v>
      </c>
      <c r="P173" s="33">
        <v>21000</v>
      </c>
      <c r="Q173" s="33">
        <v>24908.600288000012</v>
      </c>
      <c r="R173" s="33">
        <v>0</v>
      </c>
      <c r="S173" s="33">
        <v>0</v>
      </c>
      <c r="T173" s="33">
        <v>0</v>
      </c>
      <c r="V173" s="33">
        <v>45908.600288000016</v>
      </c>
      <c r="W173" s="33">
        <v>12</v>
      </c>
      <c r="X173" s="33">
        <v>3825.716690666668</v>
      </c>
      <c r="Z173" s="33">
        <v>3825.716690666668</v>
      </c>
      <c r="AA173" s="33">
        <v>3687.8</v>
      </c>
      <c r="AB173" s="33">
        <v>137.91669066666782</v>
      </c>
    </row>
    <row r="174" spans="1:28">
      <c r="A174">
        <v>153</v>
      </c>
      <c r="B174" s="33" t="s">
        <v>312</v>
      </c>
      <c r="C174" s="33">
        <v>78671.023000000016</v>
      </c>
      <c r="D174" s="33">
        <v>12</v>
      </c>
      <c r="E174" s="33">
        <v>944052.27600000019</v>
      </c>
      <c r="I174" s="33">
        <v>944052.27600000019</v>
      </c>
      <c r="J174" s="33">
        <v>200000</v>
      </c>
      <c r="K174" s="33">
        <v>0.2</v>
      </c>
      <c r="L174" s="33">
        <v>188810.45520000005</v>
      </c>
      <c r="M174" s="33">
        <v>388810.45520000008</v>
      </c>
      <c r="N174" s="33">
        <v>388810.45520000008</v>
      </c>
      <c r="O174" s="33">
        <v>555241.8208000001</v>
      </c>
      <c r="P174" s="33">
        <v>21000</v>
      </c>
      <c r="Q174" s="33">
        <v>28076.600288000012</v>
      </c>
      <c r="R174" s="33">
        <v>0</v>
      </c>
      <c r="S174" s="33">
        <v>0</v>
      </c>
      <c r="T174" s="33">
        <v>0</v>
      </c>
      <c r="V174" s="33">
        <v>49076.600288000016</v>
      </c>
      <c r="W174" s="33">
        <v>12</v>
      </c>
      <c r="X174" s="33">
        <v>4089.716690666668</v>
      </c>
      <c r="Z174" s="33">
        <v>4089.716690666668</v>
      </c>
      <c r="AA174" s="33">
        <v>3951.8</v>
      </c>
      <c r="AB174" s="33">
        <v>137.91669066666782</v>
      </c>
    </row>
    <row r="175" spans="1:28">
      <c r="A175">
        <v>154</v>
      </c>
      <c r="B175" s="33" t="s">
        <v>313</v>
      </c>
      <c r="C175" s="33">
        <v>78671.023000000016</v>
      </c>
      <c r="D175" s="33">
        <v>12</v>
      </c>
      <c r="E175" s="33">
        <v>944052.27600000019</v>
      </c>
      <c r="I175" s="33">
        <v>944052.27600000019</v>
      </c>
      <c r="J175" s="33">
        <v>200000</v>
      </c>
      <c r="K175" s="33">
        <v>0.2</v>
      </c>
      <c r="L175" s="33">
        <v>188810.45520000005</v>
      </c>
      <c r="M175" s="33">
        <v>388810.45520000008</v>
      </c>
      <c r="N175" s="33">
        <v>388810.45520000008</v>
      </c>
      <c r="O175" s="33">
        <v>555241.8208000001</v>
      </c>
      <c r="P175" s="33">
        <v>21000</v>
      </c>
      <c r="Q175" s="33">
        <v>28076.600288000012</v>
      </c>
      <c r="R175" s="33">
        <v>0</v>
      </c>
      <c r="S175" s="33">
        <v>0</v>
      </c>
      <c r="T175" s="33">
        <v>0</v>
      </c>
      <c r="V175" s="33">
        <v>49076.600288000016</v>
      </c>
      <c r="W175" s="33">
        <v>12</v>
      </c>
      <c r="X175" s="33">
        <v>4089.716690666668</v>
      </c>
      <c r="Z175" s="33">
        <v>4089.716690666668</v>
      </c>
      <c r="AA175" s="33">
        <v>3951.8</v>
      </c>
      <c r="AB175" s="33">
        <v>137.91669066666782</v>
      </c>
    </row>
    <row r="176" spans="1:28">
      <c r="A176">
        <v>155</v>
      </c>
      <c r="B176" s="33" t="s">
        <v>314</v>
      </c>
      <c r="C176" s="33">
        <v>78671.023000000016</v>
      </c>
      <c r="D176" s="33">
        <v>12</v>
      </c>
      <c r="E176" s="33">
        <v>944052.27600000019</v>
      </c>
      <c r="I176" s="33">
        <v>944052.27600000019</v>
      </c>
      <c r="J176" s="33">
        <v>200000</v>
      </c>
      <c r="K176" s="33">
        <v>0.2</v>
      </c>
      <c r="L176" s="33">
        <v>188810.45520000005</v>
      </c>
      <c r="M176" s="33">
        <v>388810.45520000008</v>
      </c>
      <c r="N176" s="33">
        <v>388810.45520000008</v>
      </c>
      <c r="O176" s="33">
        <v>555241.8208000001</v>
      </c>
      <c r="P176" s="33">
        <v>21000</v>
      </c>
      <c r="Q176" s="33">
        <v>28076.600288000012</v>
      </c>
      <c r="R176" s="33">
        <v>0</v>
      </c>
      <c r="S176" s="33">
        <v>0</v>
      </c>
      <c r="T176" s="33">
        <v>0</v>
      </c>
      <c r="V176" s="33">
        <v>49076.600288000016</v>
      </c>
      <c r="W176" s="33">
        <v>12</v>
      </c>
      <c r="X176" s="33">
        <v>4089.716690666668</v>
      </c>
      <c r="Z176" s="33">
        <v>4089.716690666668</v>
      </c>
      <c r="AA176" s="33">
        <v>3951.8</v>
      </c>
      <c r="AB176" s="33">
        <v>137.91669066666782</v>
      </c>
    </row>
    <row r="177" spans="1:28">
      <c r="A177">
        <v>156</v>
      </c>
      <c r="B177" s="33" t="s">
        <v>315</v>
      </c>
      <c r="C177" s="33">
        <v>67025.061499999996</v>
      </c>
      <c r="D177" s="33">
        <v>12</v>
      </c>
      <c r="E177" s="33">
        <v>804300.7379999999</v>
      </c>
      <c r="I177" s="33">
        <v>804300.7379999999</v>
      </c>
      <c r="J177" s="33">
        <v>200000</v>
      </c>
      <c r="K177" s="33">
        <v>0.2</v>
      </c>
      <c r="L177" s="33">
        <v>160860.1476</v>
      </c>
      <c r="M177" s="33">
        <v>360860.14760000003</v>
      </c>
      <c r="N177" s="33">
        <v>360860.14760000003</v>
      </c>
      <c r="O177" s="33">
        <v>443440.59039999987</v>
      </c>
      <c r="P177" s="33">
        <v>21000</v>
      </c>
      <c r="Q177" s="33">
        <v>15778.464943999987</v>
      </c>
      <c r="R177" s="33">
        <v>0</v>
      </c>
      <c r="S177" s="33">
        <v>0</v>
      </c>
      <c r="T177" s="33">
        <v>0</v>
      </c>
      <c r="V177" s="33">
        <v>36778.464943999985</v>
      </c>
      <c r="W177" s="33">
        <v>12</v>
      </c>
      <c r="X177" s="33">
        <v>3064.8720786666654</v>
      </c>
      <c r="Z177" s="33">
        <v>3064.8720786666654</v>
      </c>
      <c r="AA177" s="33">
        <v>3183.66</v>
      </c>
      <c r="AB177" s="33">
        <v>-118.78792133333445</v>
      </c>
    </row>
    <row r="178" spans="1:28">
      <c r="A178">
        <v>157</v>
      </c>
      <c r="B178" s="33" t="s">
        <v>318</v>
      </c>
      <c r="C178" s="33">
        <v>67328.070250000004</v>
      </c>
      <c r="D178" s="33">
        <v>12</v>
      </c>
      <c r="E178" s="33">
        <v>807936.84300000011</v>
      </c>
      <c r="I178" s="33">
        <v>807936.84300000011</v>
      </c>
      <c r="J178" s="33">
        <v>200000</v>
      </c>
      <c r="K178" s="33">
        <v>0.2</v>
      </c>
      <c r="L178" s="33">
        <v>161587.36860000005</v>
      </c>
      <c r="M178" s="33">
        <v>361587.36860000005</v>
      </c>
      <c r="N178" s="33">
        <v>361587.36860000005</v>
      </c>
      <c r="O178" s="33">
        <v>446349.47440000006</v>
      </c>
      <c r="P178" s="33">
        <v>21000</v>
      </c>
      <c r="Q178" s="33">
        <v>16098.442184000007</v>
      </c>
      <c r="R178" s="33">
        <v>0</v>
      </c>
      <c r="S178" s="33">
        <v>0</v>
      </c>
      <c r="T178" s="33">
        <v>0</v>
      </c>
      <c r="V178" s="33">
        <v>37098.442184000007</v>
      </c>
      <c r="W178" s="33">
        <v>12</v>
      </c>
      <c r="X178" s="33">
        <v>3091.5368486666671</v>
      </c>
      <c r="Z178" s="33">
        <v>3091.5368486666671</v>
      </c>
      <c r="AA178" s="33">
        <v>2972.91</v>
      </c>
      <c r="AB178" s="33">
        <v>118.62684866666723</v>
      </c>
    </row>
    <row r="179" spans="1:28">
      <c r="A179"/>
      <c r="Z179" s="33">
        <v>8914137.5402293056</v>
      </c>
    </row>
    <row r="180" spans="1:28">
      <c r="Z180" s="33">
        <v>1553125.5702293059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205"/>
  <sheetViews>
    <sheetView view="pageBreakPreview" zoomScaleNormal="100" zoomScaleSheetLayoutView="100" workbookViewId="0">
      <pane xSplit="3" ySplit="9" topLeftCell="E36" activePane="bottomRight" state="frozen"/>
      <selection pane="bottomRight" activeCell="C43" sqref="C4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372"/>
      <c r="C1" s="372"/>
      <c r="D1" s="372"/>
      <c r="E1" s="372"/>
      <c r="L1" s="1" t="s">
        <v>629</v>
      </c>
    </row>
    <row r="2" spans="1:12" ht="5.25" customHeight="1">
      <c r="F2" s="42"/>
      <c r="G2" s="42"/>
    </row>
    <row r="3" spans="1:12" ht="20.100000000000001" customHeight="1">
      <c r="B3" s="414" t="s">
        <v>630</v>
      </c>
      <c r="C3" s="414"/>
      <c r="D3" s="414"/>
      <c r="E3" s="375"/>
      <c r="F3" s="44"/>
      <c r="G3" s="44"/>
    </row>
    <row r="4" spans="1:12" ht="2.25" customHeight="1"/>
    <row r="5" spans="1:12" ht="20.100000000000001" customHeight="1">
      <c r="B5" s="375" t="s">
        <v>2</v>
      </c>
      <c r="C5" s="376"/>
      <c r="D5" s="376"/>
      <c r="E5" s="376"/>
      <c r="F5" s="415"/>
      <c r="G5" s="415"/>
    </row>
    <row r="6" spans="1:12" ht="26.45" customHeight="1">
      <c r="A6" s="31"/>
      <c r="B6" s="378"/>
      <c r="C6" s="378" t="s">
        <v>3</v>
      </c>
      <c r="D6" s="378" t="s">
        <v>631</v>
      </c>
      <c r="E6" s="378"/>
      <c r="F6" s="379"/>
      <c r="G6" s="379"/>
    </row>
    <row r="7" spans="1:12" ht="37.15" customHeight="1">
      <c r="A7" s="31"/>
      <c r="B7" s="20"/>
      <c r="C7" s="378"/>
      <c r="D7" s="378" t="s">
        <v>632</v>
      </c>
      <c r="E7" s="47" t="s">
        <v>633</v>
      </c>
      <c r="F7" s="47" t="s">
        <v>634</v>
      </c>
      <c r="G7" s="2" t="s">
        <v>604</v>
      </c>
    </row>
    <row r="8" spans="1:12" ht="20.100000000000001" customHeight="1">
      <c r="A8" s="20" t="s">
        <v>26</v>
      </c>
      <c r="B8" s="118" t="s">
        <v>27</v>
      </c>
      <c r="C8" s="58"/>
      <c r="D8" s="58"/>
      <c r="E8" s="48" t="s">
        <v>25</v>
      </c>
      <c r="F8" s="48" t="s">
        <v>25</v>
      </c>
      <c r="G8" s="48" t="s">
        <v>25</v>
      </c>
    </row>
    <row r="9" spans="1:12" ht="20.100000000000001" customHeight="1">
      <c r="A9" s="3">
        <v>1</v>
      </c>
      <c r="B9" s="107" t="s">
        <v>28</v>
      </c>
      <c r="C9" s="382" t="s">
        <v>29</v>
      </c>
      <c r="D9" s="382" t="s">
        <v>30</v>
      </c>
      <c r="E9" s="121">
        <v>113176.97</v>
      </c>
      <c r="F9" s="34">
        <f>201165.84</f>
        <v>201165.84</v>
      </c>
      <c r="G9" s="34">
        <f>F9-E9</f>
        <v>87988.87</v>
      </c>
      <c r="H9" s="32"/>
    </row>
    <row r="10" spans="1:12" ht="20.100000000000001" customHeight="1">
      <c r="A10" s="3">
        <v>2</v>
      </c>
      <c r="B10" s="107" t="s">
        <v>635</v>
      </c>
      <c r="C10" s="382" t="s">
        <v>636</v>
      </c>
      <c r="D10" s="53" t="s">
        <v>95</v>
      </c>
      <c r="E10" s="122">
        <v>52776.63</v>
      </c>
      <c r="F10" s="49">
        <f>0</f>
        <v>0</v>
      </c>
      <c r="G10" s="34">
        <f t="shared" ref="G10:G75" si="0">F10-E10</f>
        <v>-52776.63</v>
      </c>
      <c r="H10" s="32"/>
    </row>
    <row r="11" spans="1:12" ht="20.100000000000001" customHeight="1">
      <c r="A11" s="3">
        <v>3</v>
      </c>
      <c r="B11" s="107" t="s">
        <v>464</v>
      </c>
      <c r="C11" s="31" t="s">
        <v>637</v>
      </c>
      <c r="D11" s="3" t="s">
        <v>36</v>
      </c>
      <c r="E11" s="122">
        <v>21618.09</v>
      </c>
      <c r="F11" s="49">
        <f>125875.96</f>
        <v>125875.96</v>
      </c>
      <c r="G11" s="34">
        <f t="shared" si="0"/>
        <v>104257.87000000001</v>
      </c>
      <c r="H11" s="32"/>
    </row>
    <row r="12" spans="1:12" ht="20.100000000000001" customHeight="1">
      <c r="A12" s="3">
        <v>4</v>
      </c>
      <c r="B12" s="108" t="s">
        <v>562</v>
      </c>
      <c r="C12" s="39" t="s">
        <v>563</v>
      </c>
      <c r="D12" s="60" t="s">
        <v>36</v>
      </c>
      <c r="E12" s="123">
        <v>21618.09</v>
      </c>
      <c r="F12" s="34">
        <f>116473.51</f>
        <v>116473.51</v>
      </c>
      <c r="G12" s="34">
        <f t="shared" si="0"/>
        <v>94855.42</v>
      </c>
      <c r="H12" s="32"/>
    </row>
    <row r="13" spans="1:12" ht="20.100000000000001" customHeight="1">
      <c r="A13" s="3">
        <v>5</v>
      </c>
      <c r="B13" s="107" t="s">
        <v>31</v>
      </c>
      <c r="C13" s="382" t="s">
        <v>32</v>
      </c>
      <c r="D13" s="3" t="s">
        <v>638</v>
      </c>
      <c r="E13" s="122">
        <v>21618.09</v>
      </c>
      <c r="F13" s="34">
        <f>79993.51</f>
        <v>79993.509999999995</v>
      </c>
      <c r="G13" s="34">
        <f t="shared" si="0"/>
        <v>58375.42</v>
      </c>
      <c r="H13" s="32"/>
    </row>
    <row r="14" spans="1:12" ht="20.100000000000001" customHeight="1">
      <c r="A14" s="3">
        <v>6</v>
      </c>
      <c r="B14" s="108" t="s">
        <v>34</v>
      </c>
      <c r="C14" s="31" t="s">
        <v>35</v>
      </c>
      <c r="D14" s="53" t="s">
        <v>133</v>
      </c>
      <c r="E14" s="122">
        <v>21618.09</v>
      </c>
      <c r="F14" s="49">
        <f>107095.69</f>
        <v>107095.69</v>
      </c>
      <c r="G14" s="34">
        <f t="shared" si="0"/>
        <v>85477.6</v>
      </c>
      <c r="H14" s="32"/>
    </row>
    <row r="15" spans="1:12" ht="20.100000000000001" customHeight="1">
      <c r="A15" s="3">
        <v>7</v>
      </c>
      <c r="B15" s="108" t="s">
        <v>179</v>
      </c>
      <c r="C15" s="31" t="s">
        <v>639</v>
      </c>
      <c r="D15" s="36" t="s">
        <v>45</v>
      </c>
      <c r="E15" s="122">
        <v>15548.33</v>
      </c>
      <c r="F15" s="34">
        <f>83636.1</f>
        <v>83636.100000000006</v>
      </c>
      <c r="G15" s="34">
        <f t="shared" si="0"/>
        <v>68087.77</v>
      </c>
      <c r="H15" s="32"/>
    </row>
    <row r="16" spans="1:12" ht="20.100000000000001" customHeight="1">
      <c r="A16" s="3">
        <v>8</v>
      </c>
      <c r="B16" s="109" t="s">
        <v>37</v>
      </c>
      <c r="C16" s="92" t="s">
        <v>132</v>
      </c>
      <c r="D16" s="27" t="s">
        <v>45</v>
      </c>
      <c r="E16" s="124">
        <v>15548.33</v>
      </c>
      <c r="F16" s="24">
        <f>64436.1</f>
        <v>64436.1</v>
      </c>
      <c r="G16" s="34">
        <f t="shared" si="0"/>
        <v>48887.77</v>
      </c>
      <c r="H16" s="32"/>
    </row>
    <row r="17" spans="1:8" ht="20.100000000000001" customHeight="1">
      <c r="A17" s="3">
        <v>9</v>
      </c>
      <c r="B17" s="108" t="s">
        <v>39</v>
      </c>
      <c r="C17" s="31" t="s">
        <v>640</v>
      </c>
      <c r="D17" s="3" t="s">
        <v>45</v>
      </c>
      <c r="E17" s="122">
        <v>15548.33</v>
      </c>
      <c r="F17" s="34">
        <f>64436.1</f>
        <v>64436.1</v>
      </c>
      <c r="G17" s="34">
        <f t="shared" si="0"/>
        <v>48887.77</v>
      </c>
      <c r="H17" s="32"/>
    </row>
    <row r="18" spans="1:8" ht="20.100000000000001" customHeight="1">
      <c r="A18" s="3">
        <v>10</v>
      </c>
      <c r="B18" s="110" t="s">
        <v>43</v>
      </c>
      <c r="C18" s="382" t="s">
        <v>641</v>
      </c>
      <c r="D18" s="53" t="s">
        <v>45</v>
      </c>
      <c r="E18" s="122">
        <v>15548.33</v>
      </c>
      <c r="F18" s="49">
        <f>64436.1</f>
        <v>64436.1</v>
      </c>
      <c r="G18" s="34">
        <f t="shared" si="0"/>
        <v>48887.77</v>
      </c>
      <c r="H18" s="32"/>
    </row>
    <row r="19" spans="1:8" ht="20.100000000000001" customHeight="1">
      <c r="A19" s="3">
        <v>11</v>
      </c>
      <c r="B19" s="99" t="s">
        <v>151</v>
      </c>
      <c r="C19" s="382" t="s">
        <v>152</v>
      </c>
      <c r="D19" s="10" t="s">
        <v>133</v>
      </c>
      <c r="E19" s="125">
        <v>15548.33</v>
      </c>
      <c r="F19" s="34">
        <f>60212.92</f>
        <v>60212.92</v>
      </c>
      <c r="G19" s="34">
        <f t="shared" si="0"/>
        <v>44664.59</v>
      </c>
      <c r="H19" s="32"/>
    </row>
    <row r="20" spans="1:8" ht="20.100000000000001" customHeight="1">
      <c r="A20" s="3">
        <v>12</v>
      </c>
      <c r="B20" s="111" t="s">
        <v>564</v>
      </c>
      <c r="C20" s="39" t="s">
        <v>565</v>
      </c>
      <c r="D20" s="40" t="s">
        <v>54</v>
      </c>
      <c r="E20" s="123">
        <v>7709.76</v>
      </c>
      <c r="F20" s="52">
        <f>52638.9</f>
        <v>52638.9</v>
      </c>
      <c r="G20" s="34">
        <f t="shared" si="0"/>
        <v>44929.14</v>
      </c>
      <c r="H20" s="32"/>
    </row>
    <row r="21" spans="1:8" ht="19.5" customHeight="1">
      <c r="A21" s="3">
        <v>13</v>
      </c>
      <c r="B21" s="108" t="s">
        <v>467</v>
      </c>
      <c r="C21" s="39" t="s">
        <v>50</v>
      </c>
      <c r="D21" s="3" t="s">
        <v>54</v>
      </c>
      <c r="E21" s="122">
        <v>7709.76</v>
      </c>
      <c r="F21" s="34">
        <f>43380</f>
        <v>43380</v>
      </c>
      <c r="G21" s="34">
        <f t="shared" si="0"/>
        <v>35670.239999999998</v>
      </c>
      <c r="H21" s="32"/>
    </row>
    <row r="22" spans="1:8" ht="19.5" customHeight="1">
      <c r="A22" s="3">
        <v>14</v>
      </c>
      <c r="B22" s="108" t="s">
        <v>566</v>
      </c>
      <c r="C22" s="31" t="s">
        <v>567</v>
      </c>
      <c r="D22" s="3" t="s">
        <v>54</v>
      </c>
      <c r="E22" s="122">
        <v>7709.76</v>
      </c>
      <c r="F22" s="34">
        <f>85278.9</f>
        <v>85278.9</v>
      </c>
      <c r="G22" s="34">
        <f t="shared" si="0"/>
        <v>77569.14</v>
      </c>
      <c r="H22" s="32"/>
    </row>
    <row r="23" spans="1:8" ht="20.100000000000001" customHeight="1">
      <c r="A23" s="3">
        <v>15</v>
      </c>
      <c r="B23" s="107" t="s">
        <v>49</v>
      </c>
      <c r="C23" s="39" t="s">
        <v>642</v>
      </c>
      <c r="D23" s="53" t="s">
        <v>57</v>
      </c>
      <c r="E23" s="122">
        <v>7709.76</v>
      </c>
      <c r="F23" s="49">
        <f>42046.06</f>
        <v>42046.06</v>
      </c>
      <c r="G23" s="34">
        <f t="shared" si="0"/>
        <v>34336.299999999996</v>
      </c>
      <c r="H23" s="32"/>
    </row>
    <row r="24" spans="1:8" ht="20.100000000000001" customHeight="1">
      <c r="A24" s="3">
        <v>16</v>
      </c>
      <c r="B24" s="110" t="s">
        <v>153</v>
      </c>
      <c r="C24" s="31" t="s">
        <v>414</v>
      </c>
      <c r="D24" s="53" t="s">
        <v>60</v>
      </c>
      <c r="E24" s="122">
        <v>7709.76</v>
      </c>
      <c r="F24" s="49">
        <f>39478.93</f>
        <v>39478.93</v>
      </c>
      <c r="G24" s="34">
        <f t="shared" si="0"/>
        <v>31769.17</v>
      </c>
      <c r="H24" s="32"/>
    </row>
    <row r="25" spans="1:8" ht="20.100000000000001" customHeight="1">
      <c r="A25" s="3">
        <v>17</v>
      </c>
      <c r="B25" s="107" t="s">
        <v>58</v>
      </c>
      <c r="C25" s="382" t="s">
        <v>59</v>
      </c>
      <c r="D25" s="53" t="s">
        <v>643</v>
      </c>
      <c r="E25" s="122">
        <v>7709.76</v>
      </c>
      <c r="F25" s="49">
        <f>46673.26</f>
        <v>46673.26</v>
      </c>
      <c r="G25" s="34">
        <f t="shared" si="0"/>
        <v>38963.5</v>
      </c>
      <c r="H25" s="32"/>
    </row>
    <row r="26" spans="1:8" ht="20.100000000000001" customHeight="1">
      <c r="A26" s="3">
        <v>18</v>
      </c>
      <c r="B26" s="99" t="s">
        <v>61</v>
      </c>
      <c r="C26" s="31" t="s">
        <v>62</v>
      </c>
      <c r="D26" s="53" t="s">
        <v>644</v>
      </c>
      <c r="E26" s="122">
        <v>7709.76</v>
      </c>
      <c r="F26" s="49">
        <f>63364.81</f>
        <v>63364.81</v>
      </c>
      <c r="G26" s="34">
        <f t="shared" si="0"/>
        <v>55655.049999999996</v>
      </c>
      <c r="H26" s="32"/>
    </row>
    <row r="27" spans="1:8" ht="20.100000000000001" customHeight="1">
      <c r="A27" s="3">
        <v>19</v>
      </c>
      <c r="B27" s="107" t="s">
        <v>206</v>
      </c>
      <c r="C27" s="382" t="s">
        <v>207</v>
      </c>
      <c r="D27" s="53" t="s">
        <v>66</v>
      </c>
      <c r="E27" s="122">
        <v>3369.51</v>
      </c>
      <c r="F27" s="49">
        <f>31848.56</f>
        <v>31848.560000000001</v>
      </c>
      <c r="G27" s="34">
        <f t="shared" si="0"/>
        <v>28479.050000000003</v>
      </c>
      <c r="H27" s="32"/>
    </row>
    <row r="28" spans="1:8" ht="18.75" customHeight="1">
      <c r="A28" s="3">
        <v>20</v>
      </c>
      <c r="B28" s="107" t="s">
        <v>64</v>
      </c>
      <c r="C28" s="382" t="s">
        <v>645</v>
      </c>
      <c r="D28" s="53" t="s">
        <v>419</v>
      </c>
      <c r="E28" s="122">
        <v>3369.51</v>
      </c>
      <c r="F28" s="49">
        <f>27873.08</f>
        <v>27873.08</v>
      </c>
      <c r="G28" s="34">
        <f t="shared" si="0"/>
        <v>24503.57</v>
      </c>
      <c r="H28" s="32"/>
    </row>
    <row r="29" spans="1:8" ht="18.75" customHeight="1">
      <c r="A29" s="3">
        <v>21</v>
      </c>
      <c r="B29" s="107" t="s">
        <v>204</v>
      </c>
      <c r="C29" s="31" t="s">
        <v>646</v>
      </c>
      <c r="D29" s="53" t="s">
        <v>419</v>
      </c>
      <c r="E29" s="122">
        <v>3369.51</v>
      </c>
      <c r="F29" s="49">
        <f>27873.08</f>
        <v>27873.08</v>
      </c>
      <c r="G29" s="34">
        <f t="shared" si="0"/>
        <v>24503.57</v>
      </c>
      <c r="H29" s="32"/>
    </row>
    <row r="30" spans="1:8" ht="18.75" customHeight="1">
      <c r="A30" s="3">
        <v>22</v>
      </c>
      <c r="B30" s="99" t="s">
        <v>252</v>
      </c>
      <c r="C30" s="31" t="s">
        <v>584</v>
      </c>
      <c r="D30" s="53" t="s">
        <v>257</v>
      </c>
      <c r="E30" s="122">
        <v>3369.51</v>
      </c>
      <c r="F30" s="49">
        <f>27105.99</f>
        <v>27105.99</v>
      </c>
      <c r="G30" s="34">
        <f t="shared" si="0"/>
        <v>23736.480000000003</v>
      </c>
      <c r="H30" s="32"/>
    </row>
    <row r="31" spans="1:8" ht="18.75" customHeight="1">
      <c r="A31" s="3">
        <v>23</v>
      </c>
      <c r="B31" s="99" t="s">
        <v>568</v>
      </c>
      <c r="C31" s="382" t="s">
        <v>88</v>
      </c>
      <c r="D31" s="53" t="s">
        <v>157</v>
      </c>
      <c r="E31" s="122">
        <v>1484.37</v>
      </c>
      <c r="F31" s="25">
        <f>26339.08</f>
        <v>26339.08</v>
      </c>
      <c r="G31" s="34">
        <f t="shared" si="0"/>
        <v>24854.710000000003</v>
      </c>
      <c r="H31" s="32"/>
    </row>
    <row r="32" spans="1:8" ht="18.75" customHeight="1">
      <c r="A32" s="3">
        <v>24</v>
      </c>
      <c r="B32" s="1" t="s">
        <v>73</v>
      </c>
      <c r="C32" s="1" t="s">
        <v>74</v>
      </c>
      <c r="D32" s="3" t="s">
        <v>79</v>
      </c>
      <c r="E32" s="122">
        <v>3369.51</v>
      </c>
      <c r="F32" s="49">
        <f>21640.95</f>
        <v>21640.95</v>
      </c>
      <c r="G32" s="34">
        <f t="shared" si="0"/>
        <v>18271.440000000002</v>
      </c>
      <c r="H32" s="32"/>
    </row>
    <row r="33" spans="1:8" ht="18.75" customHeight="1">
      <c r="A33" s="3">
        <v>25</v>
      </c>
      <c r="B33" s="99" t="s">
        <v>76</v>
      </c>
      <c r="C33" s="382" t="s">
        <v>74</v>
      </c>
      <c r="D33" s="53" t="s">
        <v>585</v>
      </c>
      <c r="E33" s="122">
        <v>1484.37</v>
      </c>
      <c r="F33" s="49">
        <f>18102.9</f>
        <v>18102.900000000001</v>
      </c>
      <c r="G33" s="34">
        <f t="shared" si="0"/>
        <v>16618.530000000002</v>
      </c>
      <c r="H33" s="32"/>
    </row>
    <row r="34" spans="1:8" ht="18.75" customHeight="1">
      <c r="A34" s="3">
        <v>26</v>
      </c>
      <c r="B34" s="107" t="s">
        <v>468</v>
      </c>
      <c r="C34" s="382" t="s">
        <v>412</v>
      </c>
      <c r="D34" s="53" t="s">
        <v>199</v>
      </c>
      <c r="E34" s="122">
        <v>1484.37</v>
      </c>
      <c r="F34" s="49">
        <f>18102.9</f>
        <v>18102.900000000001</v>
      </c>
      <c r="G34" s="34">
        <f t="shared" si="0"/>
        <v>16618.530000000002</v>
      </c>
      <c r="H34" s="32"/>
    </row>
    <row r="35" spans="1:8" ht="18.75" customHeight="1">
      <c r="A35" s="3">
        <v>27</v>
      </c>
      <c r="B35" s="99" t="s">
        <v>77</v>
      </c>
      <c r="C35" s="382" t="s">
        <v>412</v>
      </c>
      <c r="D35" s="53" t="s">
        <v>647</v>
      </c>
      <c r="E35" s="122">
        <v>1484.37</v>
      </c>
      <c r="F35" s="49">
        <f>17572.89</f>
        <v>17572.89</v>
      </c>
      <c r="G35" s="34">
        <f t="shared" si="0"/>
        <v>16088.52</v>
      </c>
      <c r="H35" s="32"/>
    </row>
    <row r="36" spans="1:8" ht="18.75" customHeight="1">
      <c r="A36" s="3">
        <v>28</v>
      </c>
      <c r="B36" s="109" t="s">
        <v>185</v>
      </c>
      <c r="C36" s="92" t="s">
        <v>586</v>
      </c>
      <c r="D36" s="53" t="s">
        <v>648</v>
      </c>
      <c r="E36" s="122">
        <v>1484.37</v>
      </c>
      <c r="F36" s="25">
        <f>17572.89</f>
        <v>17572.89</v>
      </c>
      <c r="G36" s="34">
        <f t="shared" si="0"/>
        <v>16088.52</v>
      </c>
      <c r="H36" s="32"/>
    </row>
    <row r="37" spans="1:8" ht="18.75" customHeight="1">
      <c r="A37" s="3">
        <v>29</v>
      </c>
      <c r="B37" s="99" t="s">
        <v>80</v>
      </c>
      <c r="C37" s="31" t="s">
        <v>470</v>
      </c>
      <c r="D37" s="3" t="s">
        <v>648</v>
      </c>
      <c r="E37" s="122">
        <v>1484.37</v>
      </c>
      <c r="F37" s="49">
        <f>17572.89</f>
        <v>17572.89</v>
      </c>
      <c r="G37" s="34">
        <f t="shared" si="0"/>
        <v>16088.52</v>
      </c>
      <c r="H37" s="32"/>
    </row>
    <row r="38" spans="1:8" ht="18.75" customHeight="1">
      <c r="A38" s="3">
        <v>30</v>
      </c>
      <c r="B38" s="100" t="s">
        <v>82</v>
      </c>
      <c r="C38" s="92" t="s">
        <v>83</v>
      </c>
      <c r="D38" s="53" t="s">
        <v>90</v>
      </c>
      <c r="E38" s="122">
        <v>1484.37</v>
      </c>
      <c r="F38" s="25">
        <f>16512.68</f>
        <v>16512.68</v>
      </c>
      <c r="G38" s="34">
        <f t="shared" si="0"/>
        <v>15028.310000000001</v>
      </c>
      <c r="H38" s="32"/>
    </row>
    <row r="39" spans="1:8" ht="18.75" customHeight="1">
      <c r="A39" s="3">
        <v>31</v>
      </c>
      <c r="B39" s="100" t="s">
        <v>649</v>
      </c>
      <c r="C39" s="92" t="s">
        <v>83</v>
      </c>
      <c r="D39" s="53" t="s">
        <v>90</v>
      </c>
      <c r="E39" s="122">
        <v>1484.37</v>
      </c>
      <c r="F39" s="25">
        <f>16512.68</f>
        <v>16512.68</v>
      </c>
      <c r="G39" s="34">
        <f t="shared" si="0"/>
        <v>15028.310000000001</v>
      </c>
      <c r="H39" s="32"/>
    </row>
    <row r="40" spans="1:8" ht="18.75" customHeight="1">
      <c r="A40" s="3">
        <v>32</v>
      </c>
      <c r="B40" s="99" t="s">
        <v>84</v>
      </c>
      <c r="C40" s="31" t="s">
        <v>587</v>
      </c>
      <c r="D40" s="3" t="s">
        <v>90</v>
      </c>
      <c r="E40" s="122">
        <v>1484.37</v>
      </c>
      <c r="F40" s="49">
        <f>16512.68</f>
        <v>16512.68</v>
      </c>
      <c r="G40" s="34">
        <f t="shared" si="0"/>
        <v>15028.310000000001</v>
      </c>
      <c r="H40" s="32"/>
    </row>
    <row r="41" spans="1:8" ht="18.75" customHeight="1">
      <c r="A41" s="3">
        <v>33</v>
      </c>
      <c r="B41" s="99" t="s">
        <v>87</v>
      </c>
      <c r="C41" s="382" t="s">
        <v>88</v>
      </c>
      <c r="D41" s="53" t="s">
        <v>90</v>
      </c>
      <c r="E41" s="122">
        <v>1484.37</v>
      </c>
      <c r="F41" s="25">
        <f>16512.68</f>
        <v>16512.68</v>
      </c>
      <c r="G41" s="34">
        <f t="shared" si="0"/>
        <v>15028.310000000001</v>
      </c>
      <c r="H41" s="32"/>
    </row>
    <row r="42" spans="1:8" ht="18.75" customHeight="1">
      <c r="A42" s="3">
        <v>34</v>
      </c>
      <c r="B42" s="99" t="s">
        <v>569</v>
      </c>
      <c r="C42" s="382" t="s">
        <v>88</v>
      </c>
      <c r="D42" s="53" t="s">
        <v>90</v>
      </c>
      <c r="E42" s="122">
        <v>0</v>
      </c>
      <c r="F42" s="25">
        <f>16512.68</f>
        <v>16512.68</v>
      </c>
      <c r="G42" s="34">
        <f t="shared" ref="G42" si="1">F42-E42</f>
        <v>16512.68</v>
      </c>
      <c r="H42" s="32"/>
    </row>
    <row r="43" spans="1:8" ht="26.25" customHeight="1">
      <c r="A43" s="3"/>
      <c r="B43" s="112" t="s">
        <v>91</v>
      </c>
      <c r="C43" s="379">
        <v>33</v>
      </c>
      <c r="D43" s="53"/>
      <c r="E43" s="128">
        <f>SUM(E9:E42)</f>
        <v>415827.18000000011</v>
      </c>
      <c r="F43" s="55">
        <f>SUM(F9:F41)</f>
        <v>1658278.6199999994</v>
      </c>
      <c r="G43" s="50">
        <f t="shared" si="0"/>
        <v>1242451.4399999992</v>
      </c>
      <c r="H43" s="32"/>
    </row>
    <row r="44" spans="1:8" ht="18.75" customHeight="1">
      <c r="A44" s="3"/>
      <c r="B44" s="101"/>
      <c r="C44" s="31"/>
      <c r="D44" s="53"/>
      <c r="E44" s="122"/>
      <c r="F44" s="55"/>
      <c r="G44" s="34">
        <f t="shared" si="0"/>
        <v>0</v>
      </c>
    </row>
    <row r="45" spans="1:8" ht="18.75" customHeight="1">
      <c r="A45" s="3"/>
      <c r="B45" s="112" t="s">
        <v>92</v>
      </c>
      <c r="C45" s="31"/>
      <c r="D45" s="53"/>
      <c r="E45" s="122"/>
      <c r="F45" s="49"/>
      <c r="G45" s="34">
        <f t="shared" si="0"/>
        <v>0</v>
      </c>
    </row>
    <row r="46" spans="1:8" ht="18.75" customHeight="1">
      <c r="A46" s="3">
        <v>1</v>
      </c>
      <c r="B46" s="99" t="s">
        <v>93</v>
      </c>
      <c r="C46" s="31" t="s">
        <v>94</v>
      </c>
      <c r="D46" s="3" t="s">
        <v>650</v>
      </c>
      <c r="E46" s="122">
        <v>52776.63</v>
      </c>
      <c r="F46" s="49">
        <f>156349.82</f>
        <v>156349.82</v>
      </c>
      <c r="G46" s="34">
        <f t="shared" si="0"/>
        <v>103573.19</v>
      </c>
    </row>
    <row r="47" spans="1:8" ht="18.75" customHeight="1">
      <c r="A47" s="3">
        <v>2</v>
      </c>
      <c r="B47" s="99" t="s">
        <v>96</v>
      </c>
      <c r="C47" s="31" t="s">
        <v>97</v>
      </c>
      <c r="D47" s="3" t="s">
        <v>90</v>
      </c>
      <c r="E47" s="122">
        <v>1484.37</v>
      </c>
      <c r="F47" s="49">
        <f>16512.68</f>
        <v>16512.68</v>
      </c>
      <c r="G47" s="34">
        <f t="shared" si="0"/>
        <v>15028.310000000001</v>
      </c>
    </row>
    <row r="48" spans="1:8" ht="19.5" customHeight="1">
      <c r="A48" s="3"/>
      <c r="B48" s="102"/>
      <c r="C48" s="379">
        <v>2</v>
      </c>
      <c r="D48" s="3"/>
      <c r="E48" s="128">
        <v>54261</v>
      </c>
      <c r="F48" s="55">
        <f>SUM(F46:F47)</f>
        <v>172862.5</v>
      </c>
      <c r="G48" s="50">
        <f t="shared" si="0"/>
        <v>118601.5</v>
      </c>
      <c r="H48" s="69"/>
    </row>
    <row r="49" spans="1:8" ht="20.100000000000001" customHeight="1">
      <c r="A49" s="3"/>
      <c r="B49" s="108"/>
      <c r="C49" s="31"/>
      <c r="D49" s="3"/>
      <c r="E49" s="122"/>
      <c r="F49" s="55"/>
      <c r="G49" s="34">
        <f t="shared" si="0"/>
        <v>0</v>
      </c>
    </row>
    <row r="50" spans="1:8" ht="20.100000000000001" customHeight="1">
      <c r="A50" s="3"/>
      <c r="B50" s="113" t="s">
        <v>100</v>
      </c>
      <c r="C50" s="91"/>
      <c r="D50" s="2"/>
      <c r="E50" s="126"/>
      <c r="F50" s="34"/>
      <c r="G50" s="34">
        <f t="shared" si="0"/>
        <v>0</v>
      </c>
    </row>
    <row r="51" spans="1:8" ht="20.100000000000001" customHeight="1">
      <c r="A51" s="3">
        <v>1</v>
      </c>
      <c r="B51" s="107" t="s">
        <v>101</v>
      </c>
      <c r="C51" s="31" t="s">
        <v>102</v>
      </c>
      <c r="D51" s="3" t="s">
        <v>95</v>
      </c>
      <c r="E51" s="122">
        <v>52776.63</v>
      </c>
      <c r="F51" s="49">
        <f>180306.81</f>
        <v>180306.81</v>
      </c>
      <c r="G51" s="34">
        <f t="shared" si="0"/>
        <v>127530.18</v>
      </c>
    </row>
    <row r="52" spans="1:8" ht="20.100000000000001" customHeight="1">
      <c r="A52" s="3">
        <v>2</v>
      </c>
      <c r="B52" s="107" t="s">
        <v>103</v>
      </c>
      <c r="C52" s="31" t="s">
        <v>104</v>
      </c>
      <c r="D52" s="3" t="s">
        <v>45</v>
      </c>
      <c r="E52" s="122">
        <v>15548.33</v>
      </c>
      <c r="F52" s="49">
        <f>79956.94</f>
        <v>79956.94</v>
      </c>
      <c r="G52" s="34">
        <f t="shared" si="0"/>
        <v>64408.61</v>
      </c>
    </row>
    <row r="53" spans="1:8" ht="20.100000000000001" customHeight="1">
      <c r="A53" s="3">
        <v>3</v>
      </c>
      <c r="B53" s="107" t="s">
        <v>105</v>
      </c>
      <c r="C53" s="31" t="s">
        <v>109</v>
      </c>
      <c r="D53" s="3" t="s">
        <v>45</v>
      </c>
      <c r="E53" s="122">
        <v>15548.33</v>
      </c>
      <c r="F53" s="49">
        <f>79956.94</f>
        <v>79956.94</v>
      </c>
      <c r="G53" s="34">
        <f t="shared" si="0"/>
        <v>64408.61</v>
      </c>
    </row>
    <row r="54" spans="1:8" ht="20.100000000000001" customHeight="1">
      <c r="A54" s="3">
        <v>4</v>
      </c>
      <c r="B54" s="107" t="s">
        <v>108</v>
      </c>
      <c r="C54" s="31" t="s">
        <v>109</v>
      </c>
      <c r="D54" s="3" t="s">
        <v>111</v>
      </c>
      <c r="E54" s="122">
        <v>15548.33</v>
      </c>
      <c r="F54" s="49">
        <f>77764.98</f>
        <v>77764.98</v>
      </c>
      <c r="G54" s="34">
        <f t="shared" si="0"/>
        <v>62216.649999999994</v>
      </c>
    </row>
    <row r="55" spans="1:8" ht="20.100000000000001" customHeight="1">
      <c r="A55" s="3">
        <v>5</v>
      </c>
      <c r="B55" s="107" t="s">
        <v>110</v>
      </c>
      <c r="C55" s="31" t="s">
        <v>115</v>
      </c>
      <c r="D55" s="3" t="s">
        <v>413</v>
      </c>
      <c r="E55" s="122">
        <v>7709.76</v>
      </c>
      <c r="F55" s="49">
        <f>59437.57</f>
        <v>59437.57</v>
      </c>
      <c r="G55" s="34">
        <f t="shared" si="0"/>
        <v>51727.81</v>
      </c>
    </row>
    <row r="56" spans="1:8" ht="20.100000000000001" customHeight="1">
      <c r="A56" s="3">
        <v>6</v>
      </c>
      <c r="B56" s="107" t="s">
        <v>112</v>
      </c>
      <c r="C56" s="31" t="s">
        <v>115</v>
      </c>
      <c r="D56" s="3" t="s">
        <v>54</v>
      </c>
      <c r="E56" s="122">
        <v>7709.76</v>
      </c>
      <c r="F56" s="49">
        <f>56478.9</f>
        <v>56478.9</v>
      </c>
      <c r="G56" s="34">
        <f t="shared" si="0"/>
        <v>48769.14</v>
      </c>
    </row>
    <row r="57" spans="1:8" ht="20.100000000000001" customHeight="1">
      <c r="A57" s="3">
        <v>7</v>
      </c>
      <c r="B57" s="114" t="s">
        <v>113</v>
      </c>
      <c r="C57" s="31" t="s">
        <v>53</v>
      </c>
      <c r="D57" s="23" t="s">
        <v>54</v>
      </c>
      <c r="E57" s="124">
        <v>7709.76</v>
      </c>
      <c r="F57" s="22">
        <f>56478.9</f>
        <v>56478.9</v>
      </c>
      <c r="G57" s="34">
        <f t="shared" si="0"/>
        <v>48769.14</v>
      </c>
    </row>
    <row r="58" spans="1:8" ht="20.100000000000001" customHeight="1">
      <c r="A58" s="3">
        <v>8</v>
      </c>
      <c r="B58" s="107" t="s">
        <v>473</v>
      </c>
      <c r="C58" s="31" t="s">
        <v>136</v>
      </c>
      <c r="D58" s="3" t="s">
        <v>168</v>
      </c>
      <c r="E58" s="122">
        <v>7709.76</v>
      </c>
      <c r="F58" s="49">
        <f>49548.78</f>
        <v>49548.78</v>
      </c>
      <c r="G58" s="34">
        <f t="shared" si="0"/>
        <v>41839.019999999997</v>
      </c>
    </row>
    <row r="59" spans="1:8" ht="20.100000000000001" customHeight="1">
      <c r="A59" s="3">
        <v>9</v>
      </c>
      <c r="B59" s="109" t="s">
        <v>114</v>
      </c>
      <c r="C59" s="31" t="s">
        <v>167</v>
      </c>
      <c r="D59" s="27" t="s">
        <v>60</v>
      </c>
      <c r="E59" s="124">
        <v>7709.76</v>
      </c>
      <c r="F59" s="24">
        <f>48052.11</f>
        <v>48052.11</v>
      </c>
      <c r="G59" s="34">
        <f t="shared" si="0"/>
        <v>40342.35</v>
      </c>
    </row>
    <row r="60" spans="1:8" ht="20.100000000000001" customHeight="1">
      <c r="A60" s="3">
        <v>10</v>
      </c>
      <c r="B60" s="109" t="s">
        <v>119</v>
      </c>
      <c r="C60" s="31" t="s">
        <v>118</v>
      </c>
      <c r="D60" s="3" t="s">
        <v>79</v>
      </c>
      <c r="E60" s="122">
        <v>3369.51</v>
      </c>
      <c r="F60" s="49">
        <f>28360.95</f>
        <v>28360.95</v>
      </c>
      <c r="G60" s="34">
        <f t="shared" si="0"/>
        <v>24991.440000000002</v>
      </c>
    </row>
    <row r="61" spans="1:8" ht="20.100000000000001" customHeight="1">
      <c r="A61" s="3">
        <v>11</v>
      </c>
      <c r="B61" s="109" t="s">
        <v>120</v>
      </c>
      <c r="C61" s="31" t="s">
        <v>118</v>
      </c>
      <c r="D61" s="3" t="s">
        <v>79</v>
      </c>
      <c r="E61" s="122">
        <v>3369.51</v>
      </c>
      <c r="F61" s="49">
        <f>28360.95</f>
        <v>28360.95</v>
      </c>
      <c r="G61" s="34">
        <f t="shared" si="0"/>
        <v>24991.440000000002</v>
      </c>
    </row>
    <row r="62" spans="1:8" ht="20.100000000000001" customHeight="1">
      <c r="A62" s="3">
        <v>12</v>
      </c>
      <c r="B62" s="109" t="s">
        <v>121</v>
      </c>
      <c r="C62" s="31" t="s">
        <v>118</v>
      </c>
      <c r="D62" s="3" t="s">
        <v>79</v>
      </c>
      <c r="E62" s="122">
        <v>0</v>
      </c>
      <c r="F62" s="49">
        <f>28360.95*23/31</f>
        <v>21041.995161290321</v>
      </c>
      <c r="G62" s="34">
        <f t="shared" ref="G62" si="2">F62-E62</f>
        <v>21041.995161290321</v>
      </c>
    </row>
    <row r="63" spans="1:8" ht="25.5" customHeight="1">
      <c r="A63" s="3"/>
      <c r="B63" s="115" t="s">
        <v>91</v>
      </c>
      <c r="C63" s="28">
        <v>11</v>
      </c>
      <c r="D63" s="28"/>
      <c r="E63" s="127">
        <f>SUM(E51:E62)</f>
        <v>144709.44</v>
      </c>
      <c r="F63" s="127">
        <f t="shared" ref="F63:G63" si="3">SUM(F51:F62)</f>
        <v>765745.82516129024</v>
      </c>
      <c r="G63" s="127">
        <f t="shared" si="3"/>
        <v>621036.38516129018</v>
      </c>
      <c r="H63" s="69"/>
    </row>
    <row r="64" spans="1:8" ht="20.100000000000001" customHeight="1">
      <c r="A64" s="3"/>
      <c r="B64" s="103"/>
      <c r="C64" s="28"/>
      <c r="D64" s="28"/>
      <c r="E64" s="127"/>
      <c r="F64" s="29"/>
      <c r="G64" s="34">
        <f t="shared" si="0"/>
        <v>0</v>
      </c>
    </row>
    <row r="65" spans="1:8" ht="20.100000000000001" customHeight="1">
      <c r="A65" s="3"/>
      <c r="B65" s="115" t="s">
        <v>122</v>
      </c>
      <c r="C65" s="28"/>
      <c r="D65" s="28"/>
      <c r="E65" s="127"/>
      <c r="F65" s="29"/>
      <c r="G65" s="34">
        <f t="shared" si="0"/>
        <v>0</v>
      </c>
    </row>
    <row r="66" spans="1:8" ht="20.100000000000001" customHeight="1">
      <c r="A66" s="3">
        <v>1</v>
      </c>
      <c r="B66" s="107" t="s">
        <v>123</v>
      </c>
      <c r="C66" s="382" t="s">
        <v>124</v>
      </c>
      <c r="D66" s="53" t="s">
        <v>95</v>
      </c>
      <c r="E66" s="122">
        <v>52776.63</v>
      </c>
      <c r="F66" s="49">
        <f>180306.81</f>
        <v>180306.81</v>
      </c>
      <c r="G66" s="34">
        <f t="shared" si="0"/>
        <v>127530.18</v>
      </c>
    </row>
    <row r="67" spans="1:8" ht="20.100000000000001" customHeight="1">
      <c r="A67" s="3">
        <v>2</v>
      </c>
      <c r="B67" s="99" t="s">
        <v>125</v>
      </c>
      <c r="C67" s="382" t="s">
        <v>126</v>
      </c>
      <c r="D67" s="53" t="s">
        <v>127</v>
      </c>
      <c r="E67" s="122">
        <v>15548.33</v>
      </c>
      <c r="F67" s="49">
        <f>62404.98</f>
        <v>62404.98</v>
      </c>
      <c r="G67" s="34">
        <f t="shared" si="0"/>
        <v>46856.65</v>
      </c>
    </row>
    <row r="68" spans="1:8" ht="20.100000000000001" customHeight="1">
      <c r="A68" s="3"/>
      <c r="B68" s="115" t="s">
        <v>91</v>
      </c>
      <c r="C68" s="28">
        <v>2</v>
      </c>
      <c r="D68" s="28"/>
      <c r="E68" s="127">
        <v>68324.959999999992</v>
      </c>
      <c r="F68" s="65">
        <f t="shared" ref="F68" si="4">SUM(F66:F67)</f>
        <v>242711.79</v>
      </c>
      <c r="G68" s="34">
        <f t="shared" si="0"/>
        <v>174386.83000000002</v>
      </c>
      <c r="H68" s="69"/>
    </row>
    <row r="69" spans="1:8" ht="20.100000000000001" customHeight="1">
      <c r="A69" s="3"/>
      <c r="B69" s="115"/>
      <c r="C69" s="28"/>
      <c r="D69" s="28"/>
      <c r="E69" s="127"/>
      <c r="F69" s="29"/>
      <c r="G69" s="34">
        <f t="shared" si="0"/>
        <v>0</v>
      </c>
    </row>
    <row r="70" spans="1:8" ht="20.100000000000001" customHeight="1">
      <c r="A70" s="3"/>
      <c r="B70" s="115" t="s">
        <v>651</v>
      </c>
      <c r="C70" s="28"/>
      <c r="D70" s="28"/>
      <c r="E70" s="127"/>
      <c r="F70" s="29"/>
      <c r="G70" s="34">
        <f t="shared" si="0"/>
        <v>0</v>
      </c>
    </row>
    <row r="71" spans="1:8" ht="20.100000000000001" customHeight="1">
      <c r="A71" s="3">
        <v>1</v>
      </c>
      <c r="B71" s="109" t="s">
        <v>129</v>
      </c>
      <c r="C71" s="92" t="s">
        <v>130</v>
      </c>
      <c r="D71" s="27" t="s">
        <v>95</v>
      </c>
      <c r="E71" s="124">
        <v>52776.63</v>
      </c>
      <c r="F71" s="24">
        <f>180306.81</f>
        <v>180306.81</v>
      </c>
      <c r="G71" s="34">
        <f t="shared" si="0"/>
        <v>127530.18</v>
      </c>
    </row>
    <row r="72" spans="1:8" ht="20.100000000000001" customHeight="1">
      <c r="A72" s="3">
        <v>2</v>
      </c>
      <c r="B72" s="100" t="s">
        <v>131</v>
      </c>
      <c r="C72" s="92" t="s">
        <v>132</v>
      </c>
      <c r="D72" s="53" t="s">
        <v>133</v>
      </c>
      <c r="E72" s="122">
        <v>15548.33</v>
      </c>
      <c r="F72" s="49">
        <v>75572.92</v>
      </c>
      <c r="G72" s="34">
        <f t="shared" si="0"/>
        <v>60024.59</v>
      </c>
    </row>
    <row r="73" spans="1:8" ht="20.100000000000001" customHeight="1">
      <c r="A73" s="3">
        <v>3</v>
      </c>
      <c r="B73" s="109" t="s">
        <v>134</v>
      </c>
      <c r="C73" s="31" t="s">
        <v>136</v>
      </c>
      <c r="D73" s="27" t="s">
        <v>60</v>
      </c>
      <c r="E73" s="124">
        <v>7709.76</v>
      </c>
      <c r="F73" s="24">
        <f>48170.87</f>
        <v>48170.87</v>
      </c>
      <c r="G73" s="34">
        <f t="shared" si="0"/>
        <v>40461.11</v>
      </c>
    </row>
    <row r="74" spans="1:8" ht="20.100000000000001" customHeight="1">
      <c r="A74" s="3">
        <v>4</v>
      </c>
      <c r="B74" s="100" t="s">
        <v>135</v>
      </c>
      <c r="C74" s="92" t="s">
        <v>136</v>
      </c>
      <c r="D74" s="53" t="s">
        <v>643</v>
      </c>
      <c r="E74" s="122">
        <v>7709.76</v>
      </c>
      <c r="F74" s="49">
        <f>46673.26</f>
        <v>46673.26</v>
      </c>
      <c r="G74" s="34">
        <f t="shared" si="0"/>
        <v>38963.5</v>
      </c>
    </row>
    <row r="75" spans="1:8" ht="20.100000000000001" customHeight="1">
      <c r="A75" s="3">
        <v>5</v>
      </c>
      <c r="B75" s="108" t="s">
        <v>137</v>
      </c>
      <c r="C75" s="92" t="s">
        <v>53</v>
      </c>
      <c r="D75" s="53" t="s">
        <v>54</v>
      </c>
      <c r="E75" s="122">
        <v>7709.76</v>
      </c>
      <c r="F75" s="34">
        <v>56478.9</v>
      </c>
      <c r="G75" s="34">
        <f t="shared" si="0"/>
        <v>48769.14</v>
      </c>
    </row>
    <row r="76" spans="1:8" ht="20.100000000000001" customHeight="1">
      <c r="A76" s="3">
        <v>6</v>
      </c>
      <c r="B76" s="109" t="s">
        <v>138</v>
      </c>
      <c r="C76" s="19" t="s">
        <v>118</v>
      </c>
      <c r="D76" s="27" t="s">
        <v>652</v>
      </c>
      <c r="E76" s="124">
        <v>3369.51</v>
      </c>
      <c r="F76" s="24">
        <v>36127.269999999997</v>
      </c>
      <c r="G76" s="34">
        <f t="shared" ref="G76:G139" si="5">F76-E76</f>
        <v>32757.759999999995</v>
      </c>
    </row>
    <row r="77" spans="1:8" ht="20.100000000000001" customHeight="1">
      <c r="A77" s="3">
        <v>7</v>
      </c>
      <c r="B77" s="110" t="s">
        <v>202</v>
      </c>
      <c r="C77" s="92" t="s">
        <v>140</v>
      </c>
      <c r="D77" s="53" t="s">
        <v>66</v>
      </c>
      <c r="E77" s="122">
        <v>3369.51</v>
      </c>
      <c r="F77" s="49">
        <v>41248.559999999998</v>
      </c>
      <c r="G77" s="34">
        <f t="shared" si="5"/>
        <v>37879.049999999996</v>
      </c>
    </row>
    <row r="78" spans="1:8" ht="20.100000000000001" customHeight="1">
      <c r="A78" s="3">
        <v>8</v>
      </c>
      <c r="B78" s="107" t="s">
        <v>139</v>
      </c>
      <c r="C78" s="92" t="s">
        <v>140</v>
      </c>
      <c r="D78" s="53" t="s">
        <v>69</v>
      </c>
      <c r="E78" s="122">
        <v>3369.51</v>
      </c>
      <c r="F78" s="49">
        <f>40149.18</f>
        <v>40149.18</v>
      </c>
      <c r="G78" s="34">
        <f t="shared" si="5"/>
        <v>36779.67</v>
      </c>
    </row>
    <row r="79" spans="1:8" ht="20.100000000000001" customHeight="1">
      <c r="A79" s="3">
        <v>9</v>
      </c>
      <c r="B79" s="107" t="s">
        <v>141</v>
      </c>
      <c r="C79" s="92" t="s">
        <v>140</v>
      </c>
      <c r="D79" s="53" t="s">
        <v>69</v>
      </c>
      <c r="E79" s="122">
        <v>3369.51</v>
      </c>
      <c r="F79" s="49">
        <f>40149.18</f>
        <v>40149.18</v>
      </c>
      <c r="G79" s="34">
        <f t="shared" si="5"/>
        <v>36779.67</v>
      </c>
    </row>
    <row r="80" spans="1:8" ht="20.100000000000001" customHeight="1">
      <c r="A80" s="3">
        <v>10</v>
      </c>
      <c r="B80" s="107" t="s">
        <v>142</v>
      </c>
      <c r="C80" s="31" t="s">
        <v>156</v>
      </c>
      <c r="D80" s="3" t="s">
        <v>419</v>
      </c>
      <c r="E80" s="122">
        <v>3369.51</v>
      </c>
      <c r="F80" s="49">
        <f>34593.08</f>
        <v>34593.08</v>
      </c>
      <c r="G80" s="34">
        <f t="shared" si="5"/>
        <v>31223.57</v>
      </c>
    </row>
    <row r="81" spans="1:8" ht="20.100000000000001" customHeight="1">
      <c r="A81" s="3">
        <v>11</v>
      </c>
      <c r="B81" s="109" t="s">
        <v>570</v>
      </c>
      <c r="C81" s="92" t="s">
        <v>118</v>
      </c>
      <c r="D81" s="3" t="s">
        <v>72</v>
      </c>
      <c r="E81" s="122">
        <v>3369.51</v>
      </c>
      <c r="F81" s="49">
        <f>32291.82</f>
        <v>32291.82</v>
      </c>
      <c r="G81" s="34">
        <f t="shared" si="5"/>
        <v>28922.309999999998</v>
      </c>
    </row>
    <row r="82" spans="1:8" ht="20.100000000000001" customHeight="1">
      <c r="A82" s="3">
        <v>12</v>
      </c>
      <c r="B82" s="109" t="s">
        <v>145</v>
      </c>
      <c r="C82" s="92" t="s">
        <v>68</v>
      </c>
      <c r="D82" s="3" t="s">
        <v>79</v>
      </c>
      <c r="E82" s="122">
        <v>1484.37</v>
      </c>
      <c r="F82" s="49">
        <f>24685.95</f>
        <v>24685.95</v>
      </c>
      <c r="G82" s="34">
        <f t="shared" si="5"/>
        <v>23201.58</v>
      </c>
    </row>
    <row r="83" spans="1:8" ht="20.100000000000001" customHeight="1">
      <c r="A83" s="3">
        <v>13</v>
      </c>
      <c r="B83" s="108" t="s">
        <v>67</v>
      </c>
      <c r="C83" s="92" t="s">
        <v>68</v>
      </c>
      <c r="D83" s="3" t="s">
        <v>90</v>
      </c>
      <c r="E83" s="122">
        <v>1484.37</v>
      </c>
      <c r="F83" s="49">
        <f>24685.95</f>
        <v>24685.95</v>
      </c>
      <c r="G83" s="34">
        <f t="shared" si="5"/>
        <v>23201.58</v>
      </c>
    </row>
    <row r="84" spans="1:8" ht="20.100000000000001" customHeight="1">
      <c r="A84" s="3"/>
      <c r="B84" s="115" t="s">
        <v>91</v>
      </c>
      <c r="C84" s="28">
        <v>13</v>
      </c>
      <c r="D84" s="28"/>
      <c r="E84" s="127">
        <v>114640.03999999994</v>
      </c>
      <c r="F84" s="65">
        <f t="shared" ref="F84" si="6">SUM(F71:F83)</f>
        <v>681133.74999999988</v>
      </c>
      <c r="G84" s="50">
        <f t="shared" si="5"/>
        <v>566493.71</v>
      </c>
      <c r="H84" s="69"/>
    </row>
    <row r="85" spans="1:8" ht="20.100000000000001" customHeight="1">
      <c r="A85" s="3"/>
      <c r="B85" s="104"/>
      <c r="C85" s="28"/>
      <c r="D85" s="28"/>
      <c r="E85" s="127"/>
      <c r="F85" s="29"/>
      <c r="G85" s="34">
        <f t="shared" si="5"/>
        <v>0</v>
      </c>
    </row>
    <row r="86" spans="1:8" ht="20.100000000000001" customHeight="1">
      <c r="A86" s="3"/>
      <c r="B86" s="115" t="s">
        <v>653</v>
      </c>
      <c r="C86" s="28"/>
      <c r="D86" s="28"/>
      <c r="E86" s="127"/>
      <c r="F86" s="29"/>
      <c r="G86" s="34">
        <f t="shared" si="5"/>
        <v>0</v>
      </c>
    </row>
    <row r="87" spans="1:8" ht="20.100000000000001" customHeight="1">
      <c r="A87" s="3">
        <v>1</v>
      </c>
      <c r="B87" s="107" t="s">
        <v>147</v>
      </c>
      <c r="C87" s="31" t="s">
        <v>148</v>
      </c>
      <c r="D87" s="3" t="s">
        <v>95</v>
      </c>
      <c r="E87" s="122">
        <v>52776.63</v>
      </c>
      <c r="F87" s="49">
        <f>180306.81</f>
        <v>180306.81</v>
      </c>
      <c r="G87" s="34">
        <f t="shared" si="5"/>
        <v>127530.18</v>
      </c>
    </row>
    <row r="88" spans="1:8" ht="20.100000000000001" customHeight="1">
      <c r="A88" s="3">
        <v>2</v>
      </c>
      <c r="B88" s="105" t="s">
        <v>149</v>
      </c>
      <c r="C88" s="1" t="s">
        <v>150</v>
      </c>
      <c r="D88" s="53" t="s">
        <v>133</v>
      </c>
      <c r="E88" s="122">
        <v>15548.33</v>
      </c>
      <c r="F88" s="49">
        <f>75572.92</f>
        <v>75572.92</v>
      </c>
      <c r="G88" s="34">
        <f t="shared" si="5"/>
        <v>60024.59</v>
      </c>
    </row>
    <row r="89" spans="1:8" ht="20.100000000000001" customHeight="1">
      <c r="A89" s="3">
        <v>3</v>
      </c>
      <c r="B89" s="105" t="s">
        <v>571</v>
      </c>
      <c r="C89" s="1" t="s">
        <v>572</v>
      </c>
      <c r="D89" s="53" t="s">
        <v>133</v>
      </c>
      <c r="E89" s="122">
        <v>15548.33</v>
      </c>
      <c r="F89" s="49">
        <f>75572.92</f>
        <v>75572.92</v>
      </c>
      <c r="G89" s="34">
        <f t="shared" si="5"/>
        <v>60024.59</v>
      </c>
    </row>
    <row r="90" spans="1:8" ht="20.100000000000001" customHeight="1">
      <c r="A90" s="3">
        <v>4</v>
      </c>
      <c r="B90" s="107" t="s">
        <v>155</v>
      </c>
      <c r="C90" s="31" t="s">
        <v>156</v>
      </c>
      <c r="D90" s="3" t="s">
        <v>72</v>
      </c>
      <c r="E90" s="122">
        <v>3369.51</v>
      </c>
      <c r="F90" s="49">
        <f>32291.82</f>
        <v>32291.82</v>
      </c>
      <c r="G90" s="34">
        <f t="shared" si="5"/>
        <v>28922.309999999998</v>
      </c>
    </row>
    <row r="91" spans="1:8" ht="20.100000000000001" customHeight="1">
      <c r="A91" s="3"/>
      <c r="B91" s="115" t="s">
        <v>91</v>
      </c>
      <c r="C91" s="28">
        <v>4</v>
      </c>
      <c r="D91" s="28"/>
      <c r="E91" s="127">
        <v>87242.799999999988</v>
      </c>
      <c r="F91" s="65">
        <f t="shared" ref="F91" si="7">SUM(F87:F90)</f>
        <v>363744.47</v>
      </c>
      <c r="G91" s="50">
        <f t="shared" si="5"/>
        <v>276501.67</v>
      </c>
      <c r="H91" s="69"/>
    </row>
    <row r="92" spans="1:8" ht="20.100000000000001" customHeight="1">
      <c r="A92" s="3"/>
      <c r="B92" s="116"/>
      <c r="C92" s="379"/>
      <c r="D92" s="379"/>
      <c r="E92" s="128"/>
      <c r="F92" s="37"/>
      <c r="G92" s="34">
        <f t="shared" si="5"/>
        <v>0</v>
      </c>
    </row>
    <row r="93" spans="1:8" ht="20.100000000000001" customHeight="1">
      <c r="A93" s="3"/>
      <c r="B93" s="116" t="s">
        <v>654</v>
      </c>
      <c r="C93" s="56"/>
      <c r="D93" s="379"/>
      <c r="E93" s="128"/>
      <c r="F93" s="37"/>
      <c r="G93" s="34">
        <f t="shared" si="5"/>
        <v>0</v>
      </c>
    </row>
    <row r="94" spans="1:8" ht="20.100000000000001" customHeight="1">
      <c r="A94" s="3">
        <v>1</v>
      </c>
      <c r="B94" s="107" t="s">
        <v>655</v>
      </c>
      <c r="C94" s="31" t="s">
        <v>590</v>
      </c>
      <c r="D94" s="3" t="s">
        <v>36</v>
      </c>
      <c r="E94" s="122">
        <v>21618.09</v>
      </c>
      <c r="F94" s="49">
        <f>97273.51</f>
        <v>97273.51</v>
      </c>
      <c r="G94" s="34">
        <f t="shared" si="5"/>
        <v>75655.42</v>
      </c>
    </row>
    <row r="95" spans="1:8" ht="20.100000000000001" customHeight="1">
      <c r="A95" s="3">
        <v>2</v>
      </c>
      <c r="B95" s="107" t="s">
        <v>162</v>
      </c>
      <c r="C95" s="31" t="s">
        <v>109</v>
      </c>
      <c r="D95" s="3" t="s">
        <v>45</v>
      </c>
      <c r="E95" s="122">
        <v>15548.33</v>
      </c>
      <c r="F95" s="49">
        <f>79956.94</f>
        <v>79956.94</v>
      </c>
      <c r="G95" s="34">
        <f t="shared" si="5"/>
        <v>64408.61</v>
      </c>
    </row>
    <row r="96" spans="1:8" ht="20.100000000000001" customHeight="1">
      <c r="A96" s="3">
        <v>3</v>
      </c>
      <c r="B96" s="107" t="s">
        <v>163</v>
      </c>
      <c r="C96" s="31" t="s">
        <v>109</v>
      </c>
      <c r="D96" s="3" t="s">
        <v>45</v>
      </c>
      <c r="E96" s="122">
        <v>15548.33</v>
      </c>
      <c r="F96" s="49">
        <f>79796.1</f>
        <v>79796.100000000006</v>
      </c>
      <c r="G96" s="34">
        <f t="shared" si="5"/>
        <v>64247.770000000004</v>
      </c>
    </row>
    <row r="97" spans="1:8" ht="20.100000000000001" customHeight="1">
      <c r="A97" s="3">
        <v>4</v>
      </c>
      <c r="B97" s="108" t="s">
        <v>164</v>
      </c>
      <c r="C97" s="31" t="s">
        <v>53</v>
      </c>
      <c r="D97" s="3" t="s">
        <v>51</v>
      </c>
      <c r="E97" s="122">
        <v>7709.76</v>
      </c>
      <c r="F97" s="34">
        <f>57894.08</f>
        <v>57894.080000000002</v>
      </c>
      <c r="G97" s="34">
        <f t="shared" si="5"/>
        <v>50184.32</v>
      </c>
    </row>
    <row r="98" spans="1:8" ht="20.100000000000001" customHeight="1">
      <c r="A98" s="3">
        <v>5</v>
      </c>
      <c r="B98" s="109" t="s">
        <v>165</v>
      </c>
      <c r="C98" s="31" t="s">
        <v>115</v>
      </c>
      <c r="D98" s="3" t="s">
        <v>54</v>
      </c>
      <c r="E98" s="122">
        <v>7709.76</v>
      </c>
      <c r="F98" s="34">
        <f>56478.9</f>
        <v>56478.9</v>
      </c>
      <c r="G98" s="34">
        <f t="shared" si="5"/>
        <v>48769.14</v>
      </c>
    </row>
    <row r="99" spans="1:8" ht="20.100000000000001" customHeight="1">
      <c r="A99" s="3">
        <v>6</v>
      </c>
      <c r="B99" s="109" t="s">
        <v>656</v>
      </c>
      <c r="C99" s="31" t="s">
        <v>115</v>
      </c>
      <c r="D99" s="3" t="s">
        <v>171</v>
      </c>
      <c r="E99" s="122">
        <v>7709.76</v>
      </c>
      <c r="F99" s="34">
        <f>53384.05</f>
        <v>53384.05</v>
      </c>
      <c r="G99" s="34">
        <f t="shared" si="5"/>
        <v>45674.29</v>
      </c>
    </row>
    <row r="100" spans="1:8" ht="21.6" customHeight="1">
      <c r="A100" s="3">
        <v>7</v>
      </c>
      <c r="B100" s="110" t="s">
        <v>166</v>
      </c>
      <c r="C100" s="31" t="s">
        <v>167</v>
      </c>
      <c r="D100" s="53" t="s">
        <v>60</v>
      </c>
      <c r="E100" s="122">
        <v>7709.76</v>
      </c>
      <c r="F100" s="49">
        <f>48170.87</f>
        <v>48170.87</v>
      </c>
      <c r="G100" s="34">
        <f t="shared" si="5"/>
        <v>40461.11</v>
      </c>
    </row>
    <row r="101" spans="1:8" ht="21.6" customHeight="1">
      <c r="A101" s="3">
        <v>8</v>
      </c>
      <c r="B101" s="107" t="s">
        <v>169</v>
      </c>
      <c r="C101" s="382" t="s">
        <v>136</v>
      </c>
      <c r="D101" s="53" t="s">
        <v>643</v>
      </c>
      <c r="E101" s="122">
        <v>7709.76</v>
      </c>
      <c r="F101" s="49">
        <f>46673.26</f>
        <v>46673.26</v>
      </c>
      <c r="G101" s="34">
        <f t="shared" si="5"/>
        <v>38963.5</v>
      </c>
    </row>
    <row r="102" spans="1:8" ht="21.6" customHeight="1">
      <c r="A102" s="3">
        <v>9</v>
      </c>
      <c r="B102" s="107" t="s">
        <v>170</v>
      </c>
      <c r="C102" s="382" t="s">
        <v>136</v>
      </c>
      <c r="D102" s="53" t="s">
        <v>643</v>
      </c>
      <c r="E102" s="122">
        <v>7709.76</v>
      </c>
      <c r="F102" s="49">
        <f>46673.26</f>
        <v>46673.26</v>
      </c>
      <c r="G102" s="34">
        <f t="shared" si="5"/>
        <v>38963.5</v>
      </c>
    </row>
    <row r="103" spans="1:8" ht="21.6" customHeight="1">
      <c r="A103" s="3">
        <v>10</v>
      </c>
      <c r="B103" s="107" t="s">
        <v>172</v>
      </c>
      <c r="C103" s="92" t="s">
        <v>140</v>
      </c>
      <c r="D103" s="53" t="s">
        <v>69</v>
      </c>
      <c r="E103" s="122">
        <v>3369.51</v>
      </c>
      <c r="F103" s="49">
        <f>40149.18</f>
        <v>40149.18</v>
      </c>
      <c r="G103" s="34">
        <f t="shared" si="5"/>
        <v>36779.67</v>
      </c>
    </row>
    <row r="104" spans="1:8" ht="21.6" customHeight="1">
      <c r="A104" s="3">
        <v>11</v>
      </c>
      <c r="B104" s="107" t="s">
        <v>174</v>
      </c>
      <c r="C104" s="31" t="s">
        <v>118</v>
      </c>
      <c r="D104" s="3" t="s">
        <v>79</v>
      </c>
      <c r="E104" s="122">
        <v>3369.51</v>
      </c>
      <c r="F104" s="49">
        <f>28360.95</f>
        <v>28360.95</v>
      </c>
      <c r="G104" s="34">
        <f t="shared" si="5"/>
        <v>24991.440000000002</v>
      </c>
    </row>
    <row r="105" spans="1:8" ht="21.6" customHeight="1">
      <c r="A105" s="3">
        <v>12</v>
      </c>
      <c r="B105" s="107" t="s">
        <v>176</v>
      </c>
      <c r="C105" s="92" t="s">
        <v>177</v>
      </c>
      <c r="D105" s="53" t="s">
        <v>90</v>
      </c>
      <c r="E105" s="122">
        <v>1484.37</v>
      </c>
      <c r="F105" s="49">
        <f>24685.95</f>
        <v>24685.95</v>
      </c>
      <c r="G105" s="34">
        <f t="shared" si="5"/>
        <v>23201.58</v>
      </c>
    </row>
    <row r="106" spans="1:8" ht="20.100000000000001" customHeight="1">
      <c r="A106" s="3"/>
      <c r="B106" s="112" t="s">
        <v>91</v>
      </c>
      <c r="C106" s="379">
        <v>12</v>
      </c>
      <c r="D106" s="379"/>
      <c r="E106" s="128">
        <v>107196.69999999997</v>
      </c>
      <c r="F106" s="67">
        <f t="shared" ref="F106" si="8">SUM(F94:F105)</f>
        <v>659497.04999999993</v>
      </c>
      <c r="G106" s="68">
        <f t="shared" si="5"/>
        <v>552300.35</v>
      </c>
      <c r="H106" s="69"/>
    </row>
    <row r="107" spans="1:8" ht="20.100000000000001" customHeight="1">
      <c r="A107" s="3"/>
      <c r="B107" s="101"/>
      <c r="C107" s="379"/>
      <c r="D107" s="379"/>
      <c r="E107" s="128"/>
      <c r="F107" s="37"/>
      <c r="G107" s="34">
        <f t="shared" si="5"/>
        <v>0</v>
      </c>
    </row>
    <row r="108" spans="1:8" ht="20.100000000000001" customHeight="1">
      <c r="A108" s="3"/>
      <c r="B108" s="112" t="s">
        <v>657</v>
      </c>
      <c r="C108" s="379"/>
      <c r="D108" s="379"/>
      <c r="E108" s="128"/>
      <c r="F108" s="37"/>
      <c r="G108" s="34">
        <f t="shared" si="5"/>
        <v>0</v>
      </c>
    </row>
    <row r="109" spans="1:8" ht="20.100000000000001" customHeight="1">
      <c r="A109" s="3">
        <v>1</v>
      </c>
      <c r="B109" s="99" t="s">
        <v>41</v>
      </c>
      <c r="C109" s="3" t="s">
        <v>42</v>
      </c>
      <c r="D109" s="53" t="s">
        <v>36</v>
      </c>
      <c r="E109" s="122">
        <v>21618.09</v>
      </c>
      <c r="F109" s="49">
        <f>79993.51</f>
        <v>79993.509999999995</v>
      </c>
      <c r="G109" s="34">
        <f t="shared" si="5"/>
        <v>58375.42</v>
      </c>
    </row>
    <row r="110" spans="1:8" ht="20.100000000000001" customHeight="1">
      <c r="A110" s="3">
        <v>2</v>
      </c>
      <c r="B110" s="109" t="s">
        <v>46</v>
      </c>
      <c r="C110" s="19" t="s">
        <v>182</v>
      </c>
      <c r="D110" s="27" t="s">
        <v>54</v>
      </c>
      <c r="E110" s="124">
        <v>7709.76</v>
      </c>
      <c r="F110" s="34">
        <f>43380.1</f>
        <v>43380.1</v>
      </c>
      <c r="G110" s="34">
        <f t="shared" si="5"/>
        <v>35670.339999999997</v>
      </c>
      <c r="H110" s="32"/>
    </row>
    <row r="111" spans="1:8" ht="20.100000000000001" customHeight="1">
      <c r="A111" s="3">
        <v>3</v>
      </c>
      <c r="B111" s="100" t="s">
        <v>591</v>
      </c>
      <c r="C111" s="19" t="s">
        <v>592</v>
      </c>
      <c r="D111" s="53" t="s">
        <v>643</v>
      </c>
      <c r="E111" s="122">
        <v>7709.76</v>
      </c>
      <c r="F111" s="49">
        <f>38272.44</f>
        <v>38272.44</v>
      </c>
      <c r="G111" s="34">
        <f t="shared" si="5"/>
        <v>30562.68</v>
      </c>
      <c r="H111" s="32"/>
    </row>
    <row r="112" spans="1:8" ht="20.100000000000001" customHeight="1">
      <c r="A112" s="3">
        <v>4</v>
      </c>
      <c r="B112" s="107" t="s">
        <v>183</v>
      </c>
      <c r="C112" s="31" t="s">
        <v>658</v>
      </c>
      <c r="D112" s="53" t="s">
        <v>659</v>
      </c>
      <c r="E112" s="122">
        <v>3369.51</v>
      </c>
      <c r="F112" s="49">
        <f>28640.16</f>
        <v>28640.16</v>
      </c>
      <c r="G112" s="34">
        <f t="shared" si="5"/>
        <v>25270.65</v>
      </c>
      <c r="H112" s="32"/>
    </row>
    <row r="113" spans="1:8" ht="20.100000000000001" customHeight="1">
      <c r="A113" s="31"/>
      <c r="B113" s="112" t="s">
        <v>91</v>
      </c>
      <c r="C113" s="379">
        <v>4</v>
      </c>
      <c r="D113" s="90"/>
      <c r="E113" s="128">
        <v>40407.120000000003</v>
      </c>
      <c r="F113" s="65">
        <f t="shared" ref="F113" si="9">SUM(F109:F112)</f>
        <v>190286.21</v>
      </c>
      <c r="G113" s="68">
        <f t="shared" si="5"/>
        <v>149879.09</v>
      </c>
      <c r="H113" s="32"/>
    </row>
    <row r="114" spans="1:8" ht="20.100000000000001" customHeight="1">
      <c r="A114" s="31"/>
      <c r="B114" s="101"/>
      <c r="C114" s="379"/>
      <c r="D114" s="90"/>
      <c r="E114" s="128"/>
      <c r="F114" s="29"/>
      <c r="G114" s="34">
        <f t="shared" si="5"/>
        <v>0</v>
      </c>
    </row>
    <row r="115" spans="1:8" ht="20.100000000000001" customHeight="1">
      <c r="A115" s="31"/>
      <c r="B115" s="112" t="s">
        <v>660</v>
      </c>
      <c r="C115" s="31"/>
      <c r="D115" s="31"/>
      <c r="E115" s="54"/>
      <c r="F115" s="31"/>
      <c r="G115" s="34">
        <f t="shared" si="5"/>
        <v>0</v>
      </c>
    </row>
    <row r="116" spans="1:8" ht="20.100000000000001" customHeight="1">
      <c r="A116" s="31">
        <v>1</v>
      </c>
      <c r="B116" s="107" t="s">
        <v>188</v>
      </c>
      <c r="C116" s="382" t="s">
        <v>189</v>
      </c>
      <c r="D116" s="53" t="s">
        <v>95</v>
      </c>
      <c r="E116" s="122">
        <v>52776.63</v>
      </c>
      <c r="F116" s="49">
        <f>180306.81</f>
        <v>180306.81</v>
      </c>
      <c r="G116" s="34">
        <f t="shared" si="5"/>
        <v>127530.18</v>
      </c>
    </row>
    <row r="117" spans="1:8" ht="20.100000000000001" customHeight="1">
      <c r="A117" s="31">
        <v>2</v>
      </c>
      <c r="B117" s="107" t="s">
        <v>190</v>
      </c>
      <c r="C117" s="31" t="s">
        <v>191</v>
      </c>
      <c r="D117" s="3" t="s">
        <v>45</v>
      </c>
      <c r="E117" s="122">
        <v>15548.33</v>
      </c>
      <c r="F117" s="49">
        <f>79796.1</f>
        <v>79796.100000000006</v>
      </c>
      <c r="G117" s="34">
        <f t="shared" si="5"/>
        <v>64247.770000000004</v>
      </c>
    </row>
    <row r="118" spans="1:8" ht="20.100000000000001" customHeight="1">
      <c r="A118" s="31">
        <v>3</v>
      </c>
      <c r="B118" s="107" t="s">
        <v>192</v>
      </c>
      <c r="C118" s="31" t="s">
        <v>193</v>
      </c>
      <c r="D118" s="3" t="s">
        <v>57</v>
      </c>
      <c r="E118" s="122">
        <v>7709.76</v>
      </c>
      <c r="F118" s="34">
        <f>58814.67</f>
        <v>58814.67</v>
      </c>
      <c r="G118" s="34">
        <f t="shared" si="5"/>
        <v>51104.909999999996</v>
      </c>
    </row>
    <row r="119" spans="1:8" ht="20.100000000000001" customHeight="1">
      <c r="A119" s="31">
        <v>4</v>
      </c>
      <c r="B119" s="109" t="s">
        <v>194</v>
      </c>
      <c r="C119" s="31" t="s">
        <v>193</v>
      </c>
      <c r="D119" s="27" t="s">
        <v>168</v>
      </c>
      <c r="E119" s="124">
        <v>7709.76</v>
      </c>
      <c r="F119" s="22">
        <f>57194.24</f>
        <v>57194.239999999998</v>
      </c>
      <c r="G119" s="34">
        <f t="shared" si="5"/>
        <v>49484.479999999996</v>
      </c>
    </row>
    <row r="120" spans="1:8" ht="20.100000000000001" customHeight="1">
      <c r="A120" s="31">
        <v>5</v>
      </c>
      <c r="B120" s="107" t="s">
        <v>195</v>
      </c>
      <c r="C120" s="1" t="s">
        <v>196</v>
      </c>
      <c r="D120" s="53" t="s">
        <v>199</v>
      </c>
      <c r="E120" s="122">
        <v>1484.37</v>
      </c>
      <c r="F120" s="49">
        <f>30699.58</f>
        <v>30699.58</v>
      </c>
      <c r="G120" s="34">
        <f t="shared" si="5"/>
        <v>29215.210000000003</v>
      </c>
    </row>
    <row r="121" spans="1:8" ht="20.100000000000001" customHeight="1">
      <c r="A121" s="31">
        <v>6</v>
      </c>
      <c r="B121" s="100" t="s">
        <v>198</v>
      </c>
      <c r="C121" s="1" t="s">
        <v>196</v>
      </c>
      <c r="D121" s="3" t="s">
        <v>648</v>
      </c>
      <c r="E121" s="122">
        <v>1484.37</v>
      </c>
      <c r="F121" s="49">
        <f>30049.31</f>
        <v>30049.31</v>
      </c>
      <c r="G121" s="34">
        <f t="shared" si="5"/>
        <v>28564.940000000002</v>
      </c>
    </row>
    <row r="122" spans="1:8" ht="20.100000000000001" customHeight="1">
      <c r="A122" s="31">
        <v>7</v>
      </c>
      <c r="B122" s="99" t="s">
        <v>200</v>
      </c>
      <c r="C122" s="1" t="s">
        <v>196</v>
      </c>
      <c r="D122" s="53" t="s">
        <v>90</v>
      </c>
      <c r="E122" s="122">
        <v>1484.37</v>
      </c>
      <c r="F122" s="49">
        <f>28813.07</f>
        <v>28813.07</v>
      </c>
      <c r="G122" s="34">
        <f t="shared" si="5"/>
        <v>27328.7</v>
      </c>
    </row>
    <row r="123" spans="1:8" ht="20.100000000000001" customHeight="1">
      <c r="A123" s="31"/>
      <c r="B123" s="112" t="s">
        <v>91</v>
      </c>
      <c r="C123" s="379">
        <v>7</v>
      </c>
      <c r="D123" s="31"/>
      <c r="E123" s="129">
        <v>88197.589999999967</v>
      </c>
      <c r="F123" s="66">
        <f t="shared" ref="F123" si="10">SUM(F116:F122)</f>
        <v>465673.78</v>
      </c>
      <c r="G123" s="68">
        <f t="shared" si="5"/>
        <v>377476.19000000006</v>
      </c>
      <c r="H123" s="69"/>
    </row>
    <row r="124" spans="1:8" ht="20.100000000000001" customHeight="1">
      <c r="A124" s="31"/>
      <c r="B124" s="101"/>
      <c r="C124" s="3"/>
      <c r="D124" s="31"/>
      <c r="E124" s="54"/>
      <c r="F124" s="12"/>
      <c r="G124" s="34">
        <f t="shared" si="5"/>
        <v>0</v>
      </c>
    </row>
    <row r="125" spans="1:8" ht="20.100000000000001" customHeight="1">
      <c r="A125" s="31"/>
      <c r="B125" s="112" t="s">
        <v>661</v>
      </c>
      <c r="C125" s="379"/>
      <c r="D125" s="379"/>
      <c r="E125" s="128"/>
      <c r="F125" s="37"/>
      <c r="G125" s="34">
        <f t="shared" si="5"/>
        <v>0</v>
      </c>
    </row>
    <row r="126" spans="1:8" ht="20.100000000000001" customHeight="1">
      <c r="A126" s="31">
        <v>1</v>
      </c>
      <c r="B126" s="110" t="s">
        <v>209</v>
      </c>
      <c r="C126" s="382" t="s">
        <v>210</v>
      </c>
      <c r="D126" s="53" t="s">
        <v>95</v>
      </c>
      <c r="E126" s="122">
        <v>52776.63</v>
      </c>
      <c r="F126" s="49">
        <f>179914.45</f>
        <v>179914.45</v>
      </c>
      <c r="G126" s="34">
        <f t="shared" si="5"/>
        <v>127137.82</v>
      </c>
    </row>
    <row r="127" spans="1:8" ht="20.100000000000001" customHeight="1">
      <c r="A127" s="31">
        <v>2</v>
      </c>
      <c r="B127" s="110" t="s">
        <v>594</v>
      </c>
      <c r="C127" s="382" t="s">
        <v>595</v>
      </c>
      <c r="D127" s="53" t="s">
        <v>233</v>
      </c>
      <c r="E127" s="122">
        <v>21618.09</v>
      </c>
      <c r="F127" s="49">
        <f>101827.95</f>
        <v>101827.95</v>
      </c>
      <c r="G127" s="34">
        <f t="shared" si="5"/>
        <v>80209.86</v>
      </c>
    </row>
    <row r="128" spans="1:8" ht="20.100000000000001" customHeight="1">
      <c r="A128" s="31">
        <v>3</v>
      </c>
      <c r="B128" s="110" t="s">
        <v>211</v>
      </c>
      <c r="C128" s="382" t="s">
        <v>214</v>
      </c>
      <c r="D128" s="53" t="s">
        <v>45</v>
      </c>
      <c r="E128" s="122">
        <v>15548.33</v>
      </c>
      <c r="F128" s="49">
        <f>64436.1</f>
        <v>64436.1</v>
      </c>
      <c r="G128" s="34">
        <f t="shared" si="5"/>
        <v>48887.77</v>
      </c>
    </row>
    <row r="129" spans="1:8" ht="20.100000000000001" customHeight="1">
      <c r="A129" s="31">
        <v>4</v>
      </c>
      <c r="B129" s="102" t="s">
        <v>213</v>
      </c>
      <c r="C129" s="382" t="s">
        <v>214</v>
      </c>
      <c r="D129" s="53" t="s">
        <v>45</v>
      </c>
      <c r="E129" s="122">
        <v>15548.33</v>
      </c>
      <c r="F129" s="34">
        <f>83636.1</f>
        <v>83636.100000000006</v>
      </c>
      <c r="G129" s="34">
        <f t="shared" si="5"/>
        <v>68087.77</v>
      </c>
    </row>
    <row r="130" spans="1:8" ht="20.100000000000001" customHeight="1">
      <c r="A130" s="31">
        <v>5</v>
      </c>
      <c r="B130" s="105" t="s">
        <v>215</v>
      </c>
      <c r="C130" s="382" t="s">
        <v>214</v>
      </c>
      <c r="D130" s="53" t="s">
        <v>48</v>
      </c>
      <c r="E130" s="122">
        <v>15548.33</v>
      </c>
      <c r="F130" s="49">
        <f>60212.92</f>
        <v>60212.92</v>
      </c>
      <c r="G130" s="34">
        <f t="shared" si="5"/>
        <v>44664.59</v>
      </c>
    </row>
    <row r="131" spans="1:8" ht="20.100000000000001" customHeight="1">
      <c r="A131" s="31">
        <v>6</v>
      </c>
      <c r="B131" s="110" t="s">
        <v>216</v>
      </c>
      <c r="C131" s="382" t="s">
        <v>597</v>
      </c>
      <c r="D131" s="53" t="s">
        <v>168</v>
      </c>
      <c r="E131" s="122">
        <v>7709.76</v>
      </c>
      <c r="F131" s="49">
        <f>40788.51</f>
        <v>40788.51</v>
      </c>
      <c r="G131" s="34">
        <f t="shared" si="5"/>
        <v>33078.75</v>
      </c>
    </row>
    <row r="132" spans="1:8" ht="20.100000000000001" customHeight="1">
      <c r="A132" s="31">
        <v>7</v>
      </c>
      <c r="B132" s="110" t="s">
        <v>218</v>
      </c>
      <c r="C132" s="382" t="s">
        <v>219</v>
      </c>
      <c r="D132" s="53" t="s">
        <v>60</v>
      </c>
      <c r="E132" s="122">
        <v>7709.76</v>
      </c>
      <c r="F132" s="49">
        <f>44518.93</f>
        <v>44518.93</v>
      </c>
      <c r="G132" s="34">
        <f t="shared" si="5"/>
        <v>36809.17</v>
      </c>
    </row>
    <row r="133" spans="1:8" ht="20.100000000000001" customHeight="1">
      <c r="A133" s="31">
        <v>8</v>
      </c>
      <c r="B133" s="110" t="s">
        <v>220</v>
      </c>
      <c r="C133" s="382" t="s">
        <v>416</v>
      </c>
      <c r="D133" s="53" t="s">
        <v>60</v>
      </c>
      <c r="E133" s="122">
        <v>7709.76</v>
      </c>
      <c r="F133" s="49">
        <f>39478.93</f>
        <v>39478.93</v>
      </c>
      <c r="G133" s="34">
        <f t="shared" si="5"/>
        <v>31769.17</v>
      </c>
    </row>
    <row r="134" spans="1:8" ht="20.100000000000001" customHeight="1">
      <c r="A134" s="31">
        <v>9</v>
      </c>
      <c r="B134" s="99" t="s">
        <v>596</v>
      </c>
      <c r="C134" s="382" t="s">
        <v>597</v>
      </c>
      <c r="D134" s="53" t="s">
        <v>63</v>
      </c>
      <c r="E134" s="122">
        <v>7709.76</v>
      </c>
      <c r="F134" s="49">
        <f>38272.44</f>
        <v>38272.44</v>
      </c>
      <c r="G134" s="34">
        <f t="shared" si="5"/>
        <v>30562.68</v>
      </c>
    </row>
    <row r="135" spans="1:8" ht="20.100000000000001" customHeight="1">
      <c r="A135" s="31">
        <v>10</v>
      </c>
      <c r="B135" s="107" t="s">
        <v>221</v>
      </c>
      <c r="C135" s="382" t="s">
        <v>222</v>
      </c>
      <c r="D135" s="3" t="s">
        <v>79</v>
      </c>
      <c r="E135" s="122">
        <v>3369.51</v>
      </c>
      <c r="F135" s="49">
        <f>21640.95</f>
        <v>21640.95</v>
      </c>
      <c r="G135" s="34">
        <f t="shared" si="5"/>
        <v>18271.440000000002</v>
      </c>
    </row>
    <row r="136" spans="1:8" ht="20.100000000000001" customHeight="1">
      <c r="A136" s="31">
        <v>11</v>
      </c>
      <c r="B136" s="99" t="s">
        <v>223</v>
      </c>
      <c r="C136" s="382" t="s">
        <v>224</v>
      </c>
      <c r="D136" s="53" t="s">
        <v>90</v>
      </c>
      <c r="E136" s="122">
        <v>1484.37</v>
      </c>
      <c r="F136" s="49">
        <f>25245.23</f>
        <v>25245.23</v>
      </c>
      <c r="G136" s="34">
        <f t="shared" si="5"/>
        <v>23760.86</v>
      </c>
    </row>
    <row r="137" spans="1:8" ht="20.100000000000001" customHeight="1">
      <c r="A137" s="31"/>
      <c r="B137" s="112" t="s">
        <v>91</v>
      </c>
      <c r="C137" s="90" t="s">
        <v>599</v>
      </c>
      <c r="D137" s="53"/>
      <c r="E137" s="130">
        <v>156732.63000000003</v>
      </c>
      <c r="F137" s="67">
        <f t="shared" ref="F137" si="11">SUM(F126:F136)</f>
        <v>699972.51</v>
      </c>
      <c r="G137" s="68">
        <f t="shared" si="5"/>
        <v>543239.88</v>
      </c>
      <c r="H137" s="69"/>
    </row>
    <row r="138" spans="1:8" ht="20.100000000000001" customHeight="1">
      <c r="A138" s="31"/>
      <c r="B138" s="101"/>
      <c r="C138" s="90"/>
      <c r="D138" s="53"/>
      <c r="E138" s="122"/>
      <c r="F138" s="37"/>
      <c r="G138" s="34">
        <f t="shared" si="5"/>
        <v>0</v>
      </c>
    </row>
    <row r="139" spans="1:8" ht="20.100000000000001" customHeight="1">
      <c r="A139" s="31"/>
      <c r="B139" s="112" t="s">
        <v>662</v>
      </c>
      <c r="C139" s="382"/>
      <c r="D139" s="53"/>
      <c r="E139" s="122"/>
      <c r="F139" s="49"/>
      <c r="G139" s="34">
        <f t="shared" si="5"/>
        <v>0</v>
      </c>
    </row>
    <row r="140" spans="1:8" ht="20.100000000000001" customHeight="1">
      <c r="A140" s="120">
        <v>1</v>
      </c>
      <c r="B140" s="110" t="s">
        <v>663</v>
      </c>
      <c r="C140" s="382" t="s">
        <v>664</v>
      </c>
      <c r="D140" s="53" t="s">
        <v>95</v>
      </c>
      <c r="E140" s="122">
        <v>52776.63</v>
      </c>
      <c r="F140" s="49"/>
      <c r="G140" s="34">
        <f t="shared" ref="G140:G199" si="12">F140-E140</f>
        <v>-52776.63</v>
      </c>
    </row>
    <row r="141" spans="1:8" ht="20.100000000000001" customHeight="1">
      <c r="A141" s="120">
        <v>2</v>
      </c>
      <c r="B141" s="110" t="s">
        <v>229</v>
      </c>
      <c r="C141" s="382" t="s">
        <v>230</v>
      </c>
      <c r="D141" s="53" t="s">
        <v>95</v>
      </c>
      <c r="E141" s="122">
        <v>52776.63</v>
      </c>
      <c r="F141" s="49">
        <f>161106.81</f>
        <v>161106.81</v>
      </c>
      <c r="G141" s="34">
        <f t="shared" si="12"/>
        <v>108330.18</v>
      </c>
    </row>
    <row r="142" spans="1:8" ht="20.100000000000001" customHeight="1">
      <c r="A142" s="120">
        <v>3</v>
      </c>
      <c r="B142" s="110" t="s">
        <v>231</v>
      </c>
      <c r="C142" s="382" t="s">
        <v>232</v>
      </c>
      <c r="D142" s="53" t="s">
        <v>233</v>
      </c>
      <c r="E142" s="122">
        <v>21618.09</v>
      </c>
      <c r="F142" s="49">
        <f>82627.95</f>
        <v>82627.95</v>
      </c>
      <c r="G142" s="34">
        <f t="shared" si="12"/>
        <v>61009.86</v>
      </c>
    </row>
    <row r="143" spans="1:8" ht="20.100000000000001" customHeight="1">
      <c r="A143" s="120">
        <v>4</v>
      </c>
      <c r="B143" s="114" t="s">
        <v>234</v>
      </c>
      <c r="C143" s="19" t="s">
        <v>665</v>
      </c>
      <c r="D143" s="23" t="s">
        <v>45</v>
      </c>
      <c r="E143" s="124">
        <v>15548.33</v>
      </c>
      <c r="F143" s="22">
        <f>74036.1</f>
        <v>74036.100000000006</v>
      </c>
      <c r="G143" s="34">
        <f t="shared" si="12"/>
        <v>58487.770000000004</v>
      </c>
    </row>
    <row r="144" spans="1:8" ht="20.100000000000001" customHeight="1">
      <c r="A144" s="120">
        <v>5</v>
      </c>
      <c r="B144" s="114" t="s">
        <v>666</v>
      </c>
      <c r="C144" s="19" t="s">
        <v>667</v>
      </c>
      <c r="D144" s="23" t="s">
        <v>45</v>
      </c>
      <c r="E144" s="124">
        <v>15548.33</v>
      </c>
      <c r="F144" s="22"/>
      <c r="G144" s="34">
        <f t="shared" si="12"/>
        <v>-15548.33</v>
      </c>
    </row>
    <row r="145" spans="1:7" ht="20.100000000000001" customHeight="1">
      <c r="A145" s="120">
        <v>6</v>
      </c>
      <c r="B145" s="110" t="s">
        <v>236</v>
      </c>
      <c r="C145" s="382" t="s">
        <v>237</v>
      </c>
      <c r="D145" s="53" t="s">
        <v>54</v>
      </c>
      <c r="E145" s="122">
        <v>7709.76</v>
      </c>
      <c r="F145" s="49">
        <f>43380.1</f>
        <v>43380.1</v>
      </c>
      <c r="G145" s="34">
        <f t="shared" si="12"/>
        <v>35670.339999999997</v>
      </c>
    </row>
    <row r="146" spans="1:7" ht="20.100000000000001" customHeight="1">
      <c r="A146" s="120">
        <v>7</v>
      </c>
      <c r="B146" s="110" t="s">
        <v>238</v>
      </c>
      <c r="C146" s="31" t="s">
        <v>239</v>
      </c>
      <c r="D146" s="53" t="s">
        <v>54</v>
      </c>
      <c r="E146" s="122">
        <v>7709.76</v>
      </c>
      <c r="F146" s="49">
        <f>43380.1</f>
        <v>43380.1</v>
      </c>
      <c r="G146" s="34">
        <f t="shared" si="12"/>
        <v>35670.339999999997</v>
      </c>
    </row>
    <row r="147" spans="1:7" ht="20.100000000000001" customHeight="1">
      <c r="A147" s="120">
        <v>8</v>
      </c>
      <c r="B147" s="110" t="s">
        <v>181</v>
      </c>
      <c r="C147" s="31" t="s">
        <v>245</v>
      </c>
      <c r="D147" s="53" t="s">
        <v>60</v>
      </c>
      <c r="E147" s="122">
        <v>7709.76</v>
      </c>
      <c r="F147" s="49">
        <f>39582.84</f>
        <v>39582.839999999997</v>
      </c>
      <c r="G147" s="34">
        <f t="shared" si="12"/>
        <v>31873.079999999994</v>
      </c>
    </row>
    <row r="148" spans="1:7" ht="20.100000000000001" customHeight="1">
      <c r="A148" s="120">
        <v>9</v>
      </c>
      <c r="B148" s="107" t="s">
        <v>241</v>
      </c>
      <c r="C148" s="382" t="s">
        <v>242</v>
      </c>
      <c r="D148" s="53" t="s">
        <v>66</v>
      </c>
      <c r="E148" s="122">
        <v>3369.51</v>
      </c>
      <c r="F148" s="49">
        <f>32848.56</f>
        <v>32848.559999999998</v>
      </c>
      <c r="G148" s="34">
        <f t="shared" si="12"/>
        <v>29479.049999999996</v>
      </c>
    </row>
    <row r="149" spans="1:7" ht="20.100000000000001" customHeight="1">
      <c r="A149" s="120">
        <v>10</v>
      </c>
      <c r="B149" s="110" t="s">
        <v>243</v>
      </c>
      <c r="C149" s="382" t="s">
        <v>242</v>
      </c>
      <c r="D149" s="53" t="s">
        <v>66</v>
      </c>
      <c r="E149" s="122">
        <v>3369.51</v>
      </c>
      <c r="F149" s="49">
        <f>32938.95</f>
        <v>32938.949999999997</v>
      </c>
      <c r="G149" s="34">
        <f t="shared" si="12"/>
        <v>29569.439999999995</v>
      </c>
    </row>
    <row r="150" spans="1:7" ht="20.100000000000001" customHeight="1">
      <c r="A150" s="120">
        <v>11</v>
      </c>
      <c r="B150" s="107" t="s">
        <v>244</v>
      </c>
      <c r="C150" s="31" t="s">
        <v>245</v>
      </c>
      <c r="D150" s="53" t="s">
        <v>66</v>
      </c>
      <c r="E150" s="122">
        <v>3369.51</v>
      </c>
      <c r="F150" s="49">
        <f>32938.95</f>
        <v>32938.949999999997</v>
      </c>
      <c r="G150" s="34">
        <f t="shared" si="12"/>
        <v>29569.439999999995</v>
      </c>
    </row>
    <row r="151" spans="1:7" ht="20.100000000000001" customHeight="1">
      <c r="A151" s="120">
        <v>12</v>
      </c>
      <c r="B151" s="107" t="s">
        <v>246</v>
      </c>
      <c r="C151" s="31" t="s">
        <v>255</v>
      </c>
      <c r="D151" s="53" t="s">
        <v>419</v>
      </c>
      <c r="E151" s="122">
        <v>3369.51</v>
      </c>
      <c r="F151" s="49">
        <f>27873.08</f>
        <v>27873.08</v>
      </c>
      <c r="G151" s="34">
        <f t="shared" si="12"/>
        <v>24503.57</v>
      </c>
    </row>
    <row r="152" spans="1:7" ht="20.100000000000001" customHeight="1">
      <c r="A152" s="120">
        <v>13</v>
      </c>
      <c r="B152" s="107" t="s">
        <v>248</v>
      </c>
      <c r="C152" s="382" t="s">
        <v>418</v>
      </c>
      <c r="D152" s="53" t="s">
        <v>257</v>
      </c>
      <c r="E152" s="122">
        <v>3369.51</v>
      </c>
      <c r="F152" s="49">
        <f>27029.2</f>
        <v>27029.200000000001</v>
      </c>
      <c r="G152" s="34">
        <f t="shared" si="12"/>
        <v>23659.690000000002</v>
      </c>
    </row>
    <row r="153" spans="1:7" ht="20.100000000000001" customHeight="1">
      <c r="A153" s="120">
        <v>14</v>
      </c>
      <c r="B153" s="107" t="s">
        <v>250</v>
      </c>
      <c r="C153" s="382" t="s">
        <v>274</v>
      </c>
      <c r="D153" s="53" t="s">
        <v>419</v>
      </c>
      <c r="E153" s="122">
        <v>3369.51</v>
      </c>
      <c r="F153" s="49">
        <f>27794.21</f>
        <v>27794.21</v>
      </c>
      <c r="G153" s="34">
        <f t="shared" si="12"/>
        <v>24424.699999999997</v>
      </c>
    </row>
    <row r="154" spans="1:7" ht="20.100000000000001" customHeight="1">
      <c r="A154" s="120">
        <v>15</v>
      </c>
      <c r="B154" s="107" t="s">
        <v>668</v>
      </c>
      <c r="C154" s="31" t="s">
        <v>255</v>
      </c>
      <c r="D154" s="53" t="s">
        <v>157</v>
      </c>
      <c r="E154" s="122">
        <v>1484.37</v>
      </c>
      <c r="F154" s="49">
        <f>26339.08</f>
        <v>26339.08</v>
      </c>
      <c r="G154" s="34">
        <f t="shared" si="12"/>
        <v>24854.710000000003</v>
      </c>
    </row>
    <row r="155" spans="1:7" ht="20.100000000000001" customHeight="1">
      <c r="A155" s="120">
        <v>16</v>
      </c>
      <c r="B155" s="107" t="s">
        <v>669</v>
      </c>
      <c r="C155" s="31" t="s">
        <v>255</v>
      </c>
      <c r="D155" s="53" t="s">
        <v>157</v>
      </c>
      <c r="E155" s="122">
        <v>1484.37</v>
      </c>
      <c r="F155" s="49">
        <f>26264.39</f>
        <v>26264.39</v>
      </c>
      <c r="G155" s="34">
        <f t="shared" si="12"/>
        <v>24780.02</v>
      </c>
    </row>
    <row r="156" spans="1:7" ht="20.100000000000001" customHeight="1">
      <c r="A156" s="120">
        <v>17</v>
      </c>
      <c r="B156" s="107" t="s">
        <v>258</v>
      </c>
      <c r="C156" s="31" t="s">
        <v>255</v>
      </c>
      <c r="D156" s="53" t="s">
        <v>157</v>
      </c>
      <c r="E156" s="122">
        <v>1484.37</v>
      </c>
      <c r="F156" s="49">
        <f>26339.08</f>
        <v>26339.08</v>
      </c>
      <c r="G156" s="34">
        <f t="shared" si="12"/>
        <v>24854.710000000003</v>
      </c>
    </row>
    <row r="157" spans="1:7" ht="20.100000000000001" customHeight="1">
      <c r="A157" s="120">
        <v>18</v>
      </c>
      <c r="B157" s="107" t="s">
        <v>259</v>
      </c>
      <c r="C157" s="382" t="s">
        <v>260</v>
      </c>
      <c r="D157" s="53" t="s">
        <v>72</v>
      </c>
      <c r="E157" s="122">
        <v>3369.51</v>
      </c>
      <c r="F157" s="49">
        <f>25571.82</f>
        <v>25571.82</v>
      </c>
      <c r="G157" s="34">
        <f t="shared" si="12"/>
        <v>22202.309999999998</v>
      </c>
    </row>
    <row r="158" spans="1:7" ht="20.100000000000001" customHeight="1">
      <c r="A158" s="120">
        <v>19</v>
      </c>
      <c r="B158" s="107" t="s">
        <v>261</v>
      </c>
      <c r="C158" s="382" t="s">
        <v>262</v>
      </c>
      <c r="D158" s="3" t="s">
        <v>79</v>
      </c>
      <c r="E158" s="122">
        <v>3369.51</v>
      </c>
      <c r="F158" s="49">
        <f>21640.95</f>
        <v>21640.95</v>
      </c>
      <c r="G158" s="34">
        <f t="shared" si="12"/>
        <v>18271.440000000002</v>
      </c>
    </row>
    <row r="159" spans="1:7" ht="20.100000000000001" customHeight="1">
      <c r="A159" s="120">
        <v>20</v>
      </c>
      <c r="B159" s="107" t="s">
        <v>263</v>
      </c>
      <c r="C159" s="382" t="s">
        <v>274</v>
      </c>
      <c r="D159" s="53" t="s">
        <v>199</v>
      </c>
      <c r="E159" s="122">
        <v>1484.37</v>
      </c>
      <c r="F159" s="49">
        <f>18102.9</f>
        <v>18102.900000000001</v>
      </c>
      <c r="G159" s="34">
        <f t="shared" si="12"/>
        <v>16618.530000000002</v>
      </c>
    </row>
    <row r="160" spans="1:7" ht="20.100000000000001" customHeight="1">
      <c r="A160" s="120">
        <v>21</v>
      </c>
      <c r="B160" s="107" t="s">
        <v>265</v>
      </c>
      <c r="C160" s="382" t="s">
        <v>670</v>
      </c>
      <c r="D160" s="53" t="s">
        <v>199</v>
      </c>
      <c r="E160" s="122">
        <v>1484.37</v>
      </c>
      <c r="F160" s="49">
        <f>18102.9</f>
        <v>18102.900000000001</v>
      </c>
      <c r="G160" s="34">
        <f t="shared" si="12"/>
        <v>16618.530000000002</v>
      </c>
    </row>
    <row r="161" spans="1:7" ht="20.100000000000001" customHeight="1">
      <c r="A161" s="120">
        <v>22</v>
      </c>
      <c r="B161" s="107" t="s">
        <v>267</v>
      </c>
      <c r="C161" s="382" t="s">
        <v>274</v>
      </c>
      <c r="D161" s="53" t="s">
        <v>199</v>
      </c>
      <c r="E161" s="122">
        <v>1484.37</v>
      </c>
      <c r="F161" s="49">
        <f>18051.63</f>
        <v>18051.63</v>
      </c>
      <c r="G161" s="34">
        <f t="shared" si="12"/>
        <v>16567.260000000002</v>
      </c>
    </row>
    <row r="162" spans="1:7" ht="20.100000000000001" customHeight="1">
      <c r="A162" s="120">
        <v>23</v>
      </c>
      <c r="B162" s="107" t="s">
        <v>269</v>
      </c>
      <c r="C162" s="382" t="s">
        <v>270</v>
      </c>
      <c r="D162" s="53" t="s">
        <v>199</v>
      </c>
      <c r="E162" s="122">
        <v>1484.37</v>
      </c>
      <c r="F162" s="49">
        <f>18102.9</f>
        <v>18102.900000000001</v>
      </c>
      <c r="G162" s="34">
        <f t="shared" si="12"/>
        <v>16618.530000000002</v>
      </c>
    </row>
    <row r="163" spans="1:7" ht="20.100000000000001" customHeight="1">
      <c r="A163" s="120">
        <v>24</v>
      </c>
      <c r="B163" s="99" t="s">
        <v>271</v>
      </c>
      <c r="C163" s="382" t="s">
        <v>276</v>
      </c>
      <c r="D163" s="53" t="s">
        <v>647</v>
      </c>
      <c r="E163" s="122">
        <v>3369.51</v>
      </c>
      <c r="F163" s="49">
        <f>17572.89</f>
        <v>17572.89</v>
      </c>
      <c r="G163" s="34">
        <f t="shared" si="12"/>
        <v>14203.38</v>
      </c>
    </row>
    <row r="164" spans="1:7" ht="20.100000000000001" customHeight="1">
      <c r="A164" s="120">
        <v>25</v>
      </c>
      <c r="B164" s="99" t="s">
        <v>600</v>
      </c>
      <c r="C164" s="382" t="s">
        <v>274</v>
      </c>
      <c r="D164" s="53" t="s">
        <v>90</v>
      </c>
      <c r="E164" s="122">
        <v>1484.37</v>
      </c>
      <c r="F164" s="49">
        <f>16512.68</f>
        <v>16512.68</v>
      </c>
      <c r="G164" s="34">
        <f t="shared" si="12"/>
        <v>15028.310000000001</v>
      </c>
    </row>
    <row r="165" spans="1:7" ht="20.100000000000001" customHeight="1">
      <c r="A165" s="120">
        <v>26</v>
      </c>
      <c r="B165" s="99" t="s">
        <v>273</v>
      </c>
      <c r="C165" s="382" t="s">
        <v>274</v>
      </c>
      <c r="D165" s="53" t="s">
        <v>90</v>
      </c>
      <c r="E165" s="122">
        <v>1484.37</v>
      </c>
      <c r="F165" s="49">
        <f>16512.68</f>
        <v>16512.68</v>
      </c>
      <c r="G165" s="34">
        <f t="shared" si="12"/>
        <v>15028.310000000001</v>
      </c>
    </row>
    <row r="166" spans="1:7" ht="20.100000000000001" customHeight="1">
      <c r="A166" s="120">
        <v>27</v>
      </c>
      <c r="B166" s="99" t="s">
        <v>275</v>
      </c>
      <c r="C166" s="382" t="s">
        <v>276</v>
      </c>
      <c r="D166" s="53" t="s">
        <v>90</v>
      </c>
      <c r="E166" s="122">
        <v>1484.37</v>
      </c>
      <c r="F166" s="49">
        <f>16512.68</f>
        <v>16512.68</v>
      </c>
      <c r="G166" s="34">
        <f t="shared" si="12"/>
        <v>15028.310000000001</v>
      </c>
    </row>
    <row r="167" spans="1:7" ht="20.100000000000001" customHeight="1">
      <c r="A167" s="120">
        <v>28</v>
      </c>
      <c r="B167" s="99" t="s">
        <v>277</v>
      </c>
      <c r="C167" s="382" t="s">
        <v>278</v>
      </c>
      <c r="D167" s="53" t="s">
        <v>90</v>
      </c>
      <c r="E167" s="122">
        <v>1484.37</v>
      </c>
      <c r="F167" s="49">
        <f>16512.68</f>
        <v>16512.68</v>
      </c>
      <c r="G167" s="34">
        <f t="shared" si="12"/>
        <v>15028.310000000001</v>
      </c>
    </row>
    <row r="168" spans="1:7" ht="20.100000000000001" customHeight="1">
      <c r="A168" s="120">
        <v>29</v>
      </c>
      <c r="B168" s="99" t="s">
        <v>279</v>
      </c>
      <c r="C168" s="382" t="s">
        <v>280</v>
      </c>
      <c r="D168" s="53" t="s">
        <v>90</v>
      </c>
      <c r="E168" s="122">
        <v>1484.37</v>
      </c>
      <c r="F168" s="49">
        <f>16512.68</f>
        <v>16512.68</v>
      </c>
      <c r="G168" s="34">
        <f t="shared" si="12"/>
        <v>15028.310000000001</v>
      </c>
    </row>
    <row r="169" spans="1:7" ht="20.100000000000001" customHeight="1">
      <c r="A169" s="120">
        <v>30</v>
      </c>
      <c r="B169" s="110" t="s">
        <v>282</v>
      </c>
      <c r="C169" s="382" t="s">
        <v>283</v>
      </c>
      <c r="D169" s="53" t="s">
        <v>290</v>
      </c>
      <c r="E169" s="122">
        <v>236.04</v>
      </c>
      <c r="F169" s="34">
        <f>9117.05</f>
        <v>9117.0499999999993</v>
      </c>
      <c r="G169" s="34">
        <f t="shared" si="12"/>
        <v>8881.0099999999984</v>
      </c>
    </row>
    <row r="170" spans="1:7" ht="20.100000000000001" customHeight="1">
      <c r="A170" s="120">
        <v>31</v>
      </c>
      <c r="B170" s="110" t="s">
        <v>285</v>
      </c>
      <c r="C170" s="382" t="s">
        <v>283</v>
      </c>
      <c r="D170" s="53" t="s">
        <v>290</v>
      </c>
      <c r="E170" s="122">
        <v>236.04</v>
      </c>
      <c r="F170" s="34">
        <f>9504.2</f>
        <v>9504.2000000000007</v>
      </c>
      <c r="G170" s="34">
        <f t="shared" si="12"/>
        <v>9268.16</v>
      </c>
    </row>
    <row r="171" spans="1:7" ht="20.100000000000001" customHeight="1">
      <c r="A171" s="120">
        <v>32</v>
      </c>
      <c r="B171" s="110" t="s">
        <v>286</v>
      </c>
      <c r="C171" s="382" t="s">
        <v>283</v>
      </c>
      <c r="D171" s="53" t="s">
        <v>290</v>
      </c>
      <c r="E171" s="122">
        <v>236.04</v>
      </c>
      <c r="F171" s="34">
        <f>9144.2</f>
        <v>9144.2000000000007</v>
      </c>
      <c r="G171" s="34">
        <f t="shared" si="12"/>
        <v>8908.16</v>
      </c>
    </row>
    <row r="172" spans="1:7" ht="20.100000000000001" customHeight="1">
      <c r="A172" s="120">
        <v>33</v>
      </c>
      <c r="B172" s="110" t="s">
        <v>671</v>
      </c>
      <c r="C172" s="382" t="s">
        <v>283</v>
      </c>
      <c r="D172" s="53" t="s">
        <v>290</v>
      </c>
      <c r="E172" s="122">
        <v>236.04</v>
      </c>
      <c r="F172" s="34">
        <f>9144.2</f>
        <v>9144.2000000000007</v>
      </c>
      <c r="G172" s="34">
        <f t="shared" si="12"/>
        <v>8908.16</v>
      </c>
    </row>
    <row r="173" spans="1:7" ht="20.100000000000001" customHeight="1">
      <c r="A173" s="120">
        <v>34</v>
      </c>
      <c r="B173" s="110" t="s">
        <v>601</v>
      </c>
      <c r="C173" s="382" t="s">
        <v>283</v>
      </c>
      <c r="D173" s="53" t="s">
        <v>290</v>
      </c>
      <c r="E173" s="122">
        <v>236.04</v>
      </c>
      <c r="F173" s="34">
        <f>9144.2</f>
        <v>9144.2000000000007</v>
      </c>
      <c r="G173" s="34">
        <f t="shared" si="12"/>
        <v>8908.16</v>
      </c>
    </row>
    <row r="174" spans="1:7" ht="20.100000000000001" customHeight="1">
      <c r="A174" s="120">
        <v>35</v>
      </c>
      <c r="B174" s="110" t="s">
        <v>287</v>
      </c>
      <c r="C174" s="382" t="s">
        <v>283</v>
      </c>
      <c r="D174" s="53" t="s">
        <v>290</v>
      </c>
      <c r="E174" s="122">
        <v>236.04</v>
      </c>
      <c r="F174" s="34">
        <f>9117.05</f>
        <v>9117.0499999999993</v>
      </c>
      <c r="G174" s="34">
        <f t="shared" si="12"/>
        <v>8881.0099999999984</v>
      </c>
    </row>
    <row r="175" spans="1:7" ht="20.100000000000001" customHeight="1">
      <c r="A175" s="120">
        <v>36</v>
      </c>
      <c r="B175" s="110" t="s">
        <v>288</v>
      </c>
      <c r="C175" s="382" t="s">
        <v>283</v>
      </c>
      <c r="D175" s="53" t="s">
        <v>290</v>
      </c>
      <c r="E175" s="122">
        <v>236.04</v>
      </c>
      <c r="F175" s="34">
        <f>9144.2</f>
        <v>9144.2000000000007</v>
      </c>
      <c r="G175" s="34">
        <f t="shared" si="12"/>
        <v>8908.16</v>
      </c>
    </row>
    <row r="176" spans="1:7" ht="20.100000000000001" customHeight="1">
      <c r="A176" s="120">
        <v>37</v>
      </c>
      <c r="B176" s="110" t="s">
        <v>289</v>
      </c>
      <c r="C176" s="382" t="s">
        <v>302</v>
      </c>
      <c r="D176" s="53" t="s">
        <v>672</v>
      </c>
      <c r="E176" s="122">
        <v>236.04</v>
      </c>
      <c r="F176" s="34">
        <f>4692.33</f>
        <v>4692.33</v>
      </c>
      <c r="G176" s="34">
        <f t="shared" si="12"/>
        <v>4456.29</v>
      </c>
    </row>
    <row r="177" spans="1:7" ht="20.100000000000001" customHeight="1">
      <c r="A177" s="120">
        <v>38</v>
      </c>
      <c r="B177" s="110" t="s">
        <v>291</v>
      </c>
      <c r="C177" s="382" t="s">
        <v>302</v>
      </c>
      <c r="D177" s="53" t="s">
        <v>672</v>
      </c>
      <c r="E177" s="122">
        <v>236.04</v>
      </c>
      <c r="F177" s="34">
        <f>4377.04</f>
        <v>4377.04</v>
      </c>
      <c r="G177" s="34">
        <f t="shared" si="12"/>
        <v>4141</v>
      </c>
    </row>
    <row r="178" spans="1:7" ht="20.100000000000001" customHeight="1">
      <c r="A178" s="120">
        <v>39</v>
      </c>
      <c r="B178" s="110" t="s">
        <v>576</v>
      </c>
      <c r="C178" s="382" t="s">
        <v>302</v>
      </c>
      <c r="D178" s="53" t="s">
        <v>672</v>
      </c>
      <c r="E178" s="122">
        <v>236.04</v>
      </c>
      <c r="F178" s="34">
        <f>4377.04</f>
        <v>4377.04</v>
      </c>
      <c r="G178" s="34">
        <f t="shared" si="12"/>
        <v>4141</v>
      </c>
    </row>
    <row r="179" spans="1:7" ht="20.100000000000001" customHeight="1">
      <c r="A179" s="120">
        <v>40</v>
      </c>
      <c r="B179" s="102" t="s">
        <v>292</v>
      </c>
      <c r="C179" s="382" t="s">
        <v>302</v>
      </c>
      <c r="D179" s="53" t="s">
        <v>672</v>
      </c>
      <c r="E179" s="122">
        <v>236.04</v>
      </c>
      <c r="F179" s="34">
        <f>4692.33</f>
        <v>4692.33</v>
      </c>
      <c r="G179" s="34">
        <f t="shared" si="12"/>
        <v>4456.29</v>
      </c>
    </row>
    <row r="180" spans="1:7" ht="20.100000000000001" customHeight="1">
      <c r="A180" s="120">
        <v>41</v>
      </c>
      <c r="B180" s="107" t="s">
        <v>293</v>
      </c>
      <c r="C180" s="382" t="s">
        <v>302</v>
      </c>
      <c r="D180" s="53" t="s">
        <v>672</v>
      </c>
      <c r="E180" s="122">
        <v>236.04</v>
      </c>
      <c r="F180" s="34">
        <f>4377.04</f>
        <v>4377.04</v>
      </c>
      <c r="G180" s="34">
        <f t="shared" si="12"/>
        <v>4141</v>
      </c>
    </row>
    <row r="181" spans="1:7" ht="20.100000000000001" customHeight="1">
      <c r="A181" s="120">
        <v>42</v>
      </c>
      <c r="B181" s="106" t="s">
        <v>294</v>
      </c>
      <c r="C181" s="382" t="s">
        <v>302</v>
      </c>
      <c r="D181" s="53" t="s">
        <v>672</v>
      </c>
      <c r="E181" s="122">
        <v>236.04</v>
      </c>
      <c r="F181" s="34">
        <f>4377.04</f>
        <v>4377.04</v>
      </c>
      <c r="G181" s="34">
        <f t="shared" si="12"/>
        <v>4141</v>
      </c>
    </row>
    <row r="182" spans="1:7" ht="20.100000000000001" customHeight="1">
      <c r="A182" s="120">
        <v>43</v>
      </c>
      <c r="B182" s="106" t="s">
        <v>295</v>
      </c>
      <c r="C182" s="382" t="s">
        <v>302</v>
      </c>
      <c r="D182" s="53" t="s">
        <v>672</v>
      </c>
      <c r="E182" s="122">
        <v>236.04</v>
      </c>
      <c r="F182" s="34">
        <f>4692.33</f>
        <v>4692.33</v>
      </c>
      <c r="G182" s="34">
        <f t="shared" si="12"/>
        <v>4456.29</v>
      </c>
    </row>
    <row r="183" spans="1:7" ht="20.100000000000001" customHeight="1">
      <c r="A183" s="120">
        <v>44</v>
      </c>
      <c r="B183" s="107" t="s">
        <v>296</v>
      </c>
      <c r="C183" s="382" t="s">
        <v>302</v>
      </c>
      <c r="D183" s="53" t="s">
        <v>303</v>
      </c>
      <c r="E183" s="122">
        <v>236.04</v>
      </c>
      <c r="F183" s="34">
        <f>4227.52</f>
        <v>4227.5200000000004</v>
      </c>
      <c r="G183" s="34">
        <f t="shared" si="12"/>
        <v>3991.4800000000005</v>
      </c>
    </row>
    <row r="184" spans="1:7" ht="20.100000000000001" customHeight="1">
      <c r="A184" s="120">
        <v>45</v>
      </c>
      <c r="B184" s="107" t="s">
        <v>299</v>
      </c>
      <c r="C184" s="382" t="s">
        <v>302</v>
      </c>
      <c r="D184" s="53" t="s">
        <v>303</v>
      </c>
      <c r="E184" s="122">
        <v>236.04</v>
      </c>
      <c r="F184" s="34">
        <f>4227.52</f>
        <v>4227.5200000000004</v>
      </c>
      <c r="G184" s="34">
        <f t="shared" si="12"/>
        <v>3991.4800000000005</v>
      </c>
    </row>
    <row r="185" spans="1:7" ht="20.100000000000001" customHeight="1">
      <c r="A185" s="120">
        <v>46</v>
      </c>
      <c r="B185" s="106" t="s">
        <v>300</v>
      </c>
      <c r="C185" s="382" t="s">
        <v>302</v>
      </c>
      <c r="D185" s="53" t="s">
        <v>400</v>
      </c>
      <c r="E185" s="122">
        <v>236.04</v>
      </c>
      <c r="F185" s="34">
        <f>4365.33</f>
        <v>4365.33</v>
      </c>
      <c r="G185" s="34">
        <f t="shared" si="12"/>
        <v>4129.29</v>
      </c>
    </row>
    <row r="186" spans="1:7" ht="20.100000000000001" customHeight="1">
      <c r="A186" s="120">
        <v>47</v>
      </c>
      <c r="B186" s="107" t="s">
        <v>301</v>
      </c>
      <c r="C186" s="382" t="s">
        <v>302</v>
      </c>
      <c r="D186" s="53" t="s">
        <v>673</v>
      </c>
      <c r="E186" s="122">
        <v>236.04</v>
      </c>
      <c r="F186" s="34">
        <f>4089.72</f>
        <v>4089.72</v>
      </c>
      <c r="G186" s="34">
        <f t="shared" si="12"/>
        <v>3853.68</v>
      </c>
    </row>
    <row r="187" spans="1:7" ht="20.100000000000001" customHeight="1">
      <c r="A187" s="120">
        <v>48</v>
      </c>
      <c r="B187" s="107" t="s">
        <v>304</v>
      </c>
      <c r="C187" s="382" t="s">
        <v>305</v>
      </c>
      <c r="D187" s="53" t="s">
        <v>674</v>
      </c>
      <c r="E187" s="122">
        <v>236.04</v>
      </c>
      <c r="F187" s="34">
        <f>3951.8</f>
        <v>3951.8</v>
      </c>
      <c r="G187" s="34">
        <f t="shared" si="12"/>
        <v>3715.76</v>
      </c>
    </row>
    <row r="188" spans="1:7" ht="20.100000000000001" customHeight="1">
      <c r="A188" s="120">
        <v>49</v>
      </c>
      <c r="B188" s="107" t="s">
        <v>307</v>
      </c>
      <c r="C188" s="382" t="s">
        <v>305</v>
      </c>
      <c r="D188" s="53" t="s">
        <v>674</v>
      </c>
      <c r="E188" s="122">
        <v>236.04</v>
      </c>
      <c r="F188" s="34">
        <f>3687.8</f>
        <v>3687.8</v>
      </c>
      <c r="G188" s="34">
        <f t="shared" si="12"/>
        <v>3451.76</v>
      </c>
    </row>
    <row r="189" spans="1:7" ht="20.100000000000001" customHeight="1">
      <c r="A189" s="120">
        <v>50</v>
      </c>
      <c r="B189" s="107" t="s">
        <v>308</v>
      </c>
      <c r="C189" s="382" t="s">
        <v>305</v>
      </c>
      <c r="D189" s="53" t="s">
        <v>674</v>
      </c>
      <c r="E189" s="122">
        <v>236.04</v>
      </c>
      <c r="F189" s="34">
        <f>3951.8</f>
        <v>3951.8</v>
      </c>
      <c r="G189" s="34">
        <f t="shared" si="12"/>
        <v>3715.76</v>
      </c>
    </row>
    <row r="190" spans="1:7" ht="20.100000000000001" customHeight="1">
      <c r="A190" s="120">
        <v>51</v>
      </c>
      <c r="B190" s="107" t="s">
        <v>309</v>
      </c>
      <c r="C190" s="382" t="s">
        <v>305</v>
      </c>
      <c r="D190" s="53" t="s">
        <v>674</v>
      </c>
      <c r="E190" s="122">
        <v>236.04</v>
      </c>
      <c r="F190" s="34">
        <f>3687.8</f>
        <v>3687.8</v>
      </c>
      <c r="G190" s="34">
        <f t="shared" si="12"/>
        <v>3451.76</v>
      </c>
    </row>
    <row r="191" spans="1:7" ht="20.100000000000001" customHeight="1">
      <c r="A191" s="120">
        <v>52</v>
      </c>
      <c r="B191" s="107" t="s">
        <v>310</v>
      </c>
      <c r="C191" s="382" t="s">
        <v>305</v>
      </c>
      <c r="D191" s="53" t="s">
        <v>674</v>
      </c>
      <c r="E191" s="122">
        <v>236.04</v>
      </c>
      <c r="F191" s="34">
        <f>3951.8</f>
        <v>3951.8</v>
      </c>
      <c r="G191" s="34">
        <f t="shared" si="12"/>
        <v>3715.76</v>
      </c>
    </row>
    <row r="192" spans="1:7" ht="20.100000000000001" customHeight="1">
      <c r="A192" s="120">
        <v>53</v>
      </c>
      <c r="B192" s="106" t="s">
        <v>311</v>
      </c>
      <c r="C192" s="382" t="s">
        <v>305</v>
      </c>
      <c r="D192" s="53" t="s">
        <v>317</v>
      </c>
      <c r="E192" s="122">
        <v>236.04</v>
      </c>
      <c r="F192" s="34">
        <f>3687.8</f>
        <v>3687.8</v>
      </c>
      <c r="G192" s="34">
        <f t="shared" si="12"/>
        <v>3451.76</v>
      </c>
    </row>
    <row r="193" spans="1:8" ht="20.100000000000001" customHeight="1">
      <c r="A193" s="120">
        <v>54</v>
      </c>
      <c r="B193" s="106" t="s">
        <v>312</v>
      </c>
      <c r="C193" s="382" t="s">
        <v>305</v>
      </c>
      <c r="D193" s="53" t="s">
        <v>317</v>
      </c>
      <c r="E193" s="122">
        <v>236.04</v>
      </c>
      <c r="F193" s="34">
        <f>3951.8</f>
        <v>3951.8</v>
      </c>
      <c r="G193" s="34">
        <f t="shared" si="12"/>
        <v>3715.76</v>
      </c>
    </row>
    <row r="194" spans="1:8" ht="20.100000000000001" customHeight="1">
      <c r="A194" s="120">
        <v>55</v>
      </c>
      <c r="B194" s="110" t="s">
        <v>313</v>
      </c>
      <c r="C194" s="382" t="s">
        <v>305</v>
      </c>
      <c r="D194" s="53" t="s">
        <v>675</v>
      </c>
      <c r="E194" s="122">
        <v>236.04</v>
      </c>
      <c r="F194" s="34">
        <f>3447.66</f>
        <v>3447.66</v>
      </c>
      <c r="G194" s="34">
        <f t="shared" si="12"/>
        <v>3211.62</v>
      </c>
    </row>
    <row r="195" spans="1:8" ht="20.100000000000001" customHeight="1">
      <c r="A195" s="120">
        <v>56</v>
      </c>
      <c r="B195" s="110" t="s">
        <v>314</v>
      </c>
      <c r="C195" s="382" t="s">
        <v>305</v>
      </c>
      <c r="D195" s="53" t="s">
        <v>675</v>
      </c>
      <c r="E195" s="122">
        <v>236.04</v>
      </c>
      <c r="F195" s="34">
        <f>3447.66</f>
        <v>3447.66</v>
      </c>
      <c r="G195" s="34">
        <f t="shared" si="12"/>
        <v>3211.62</v>
      </c>
    </row>
    <row r="196" spans="1:8" ht="20.100000000000001" customHeight="1">
      <c r="A196" s="120">
        <v>57</v>
      </c>
      <c r="B196" s="106" t="s">
        <v>315</v>
      </c>
      <c r="C196" s="382" t="s">
        <v>305</v>
      </c>
      <c r="D196" s="53" t="s">
        <v>675</v>
      </c>
      <c r="E196" s="122">
        <v>236.04</v>
      </c>
      <c r="F196" s="34">
        <f>3183.66</f>
        <v>3183.66</v>
      </c>
      <c r="G196" s="34">
        <f t="shared" si="12"/>
        <v>2947.62</v>
      </c>
    </row>
    <row r="197" spans="1:8" ht="20.100000000000001" customHeight="1">
      <c r="A197" s="120">
        <v>58</v>
      </c>
      <c r="B197" s="106" t="s">
        <v>318</v>
      </c>
      <c r="C197" s="382" t="s">
        <v>305</v>
      </c>
      <c r="D197" s="53" t="s">
        <v>676</v>
      </c>
      <c r="E197" s="122">
        <v>236.04</v>
      </c>
      <c r="F197" s="34">
        <f>2972.91</f>
        <v>2972.91</v>
      </c>
      <c r="G197" s="34">
        <f t="shared" si="12"/>
        <v>2736.87</v>
      </c>
    </row>
    <row r="198" spans="1:8" ht="20.100000000000001" customHeight="1">
      <c r="A198" s="120"/>
      <c r="B198" s="58" t="s">
        <v>91</v>
      </c>
      <c r="C198" s="41" t="s">
        <v>677</v>
      </c>
      <c r="D198" s="35"/>
      <c r="E198" s="131">
        <v>236380.48000000027</v>
      </c>
      <c r="F198" s="67">
        <f t="shared" ref="F198" si="13">SUM(F140:F197)</f>
        <v>1076921.6199999996</v>
      </c>
      <c r="G198" s="50">
        <f t="shared" si="12"/>
        <v>840541.13999999943</v>
      </c>
    </row>
    <row r="199" spans="1:8" ht="20.100000000000001" customHeight="1">
      <c r="A199" s="31"/>
      <c r="B199" s="391" t="s">
        <v>330</v>
      </c>
      <c r="C199" s="59">
        <f>C43+C48+C63+C68+C84+C91+C106+C113+C123+C137+C198</f>
        <v>157</v>
      </c>
      <c r="D199" s="389"/>
      <c r="E199" s="130">
        <v>1513919.9400000002</v>
      </c>
      <c r="F199" s="68">
        <f>F43+F48+F63+F68+F84+F91+F106+F113+F123+F137+F198</f>
        <v>6976828.1251612883</v>
      </c>
      <c r="G199" s="68">
        <f t="shared" si="12"/>
        <v>5462908.1851612879</v>
      </c>
      <c r="H199" s="69"/>
    </row>
    <row r="200" spans="1:8" ht="20.100000000000001" customHeight="1">
      <c r="A200" s="31"/>
      <c r="B200" s="388"/>
      <c r="C200" s="391"/>
      <c r="D200" s="388"/>
      <c r="E200" s="388"/>
      <c r="F200" s="57"/>
      <c r="G200" s="57"/>
    </row>
    <row r="201" spans="1:8" ht="20.100000000000001" customHeight="1">
      <c r="A201" s="31"/>
      <c r="B201" s="388"/>
      <c r="C201" s="416" t="s">
        <v>678</v>
      </c>
      <c r="D201" s="416"/>
      <c r="E201" s="377"/>
      <c r="F201" s="57"/>
      <c r="G201" s="57"/>
    </row>
    <row r="202" spans="1:8" ht="20.100000000000001" customHeight="1">
      <c r="A202" s="31"/>
      <c r="B202" s="388"/>
      <c r="C202" s="416"/>
      <c r="D202" s="416"/>
      <c r="E202" s="377"/>
      <c r="F202" s="57"/>
      <c r="G202" s="57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G194"/>
  <sheetViews>
    <sheetView view="pageBreakPreview" zoomScaleNormal="100" zoomScaleSheetLayoutView="100" workbookViewId="0">
      <pane xSplit="4" ySplit="9" topLeftCell="Q10" activePane="bottomRight" state="frozen"/>
      <selection pane="bottomRight" activeCell="H7" sqref="H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AG1" s="1" t="s">
        <v>629</v>
      </c>
    </row>
    <row r="2" spans="1:33" ht="5.25" customHeight="1">
      <c r="S2" s="42"/>
      <c r="T2" s="42"/>
      <c r="U2" s="42"/>
      <c r="V2" s="42"/>
      <c r="W2" s="42"/>
      <c r="X2" s="42"/>
      <c r="Y2" s="42"/>
      <c r="Z2" s="42"/>
      <c r="AA2" s="42"/>
      <c r="AB2" s="42"/>
    </row>
    <row r="3" spans="1:33" ht="20.100000000000001" customHeight="1">
      <c r="B3" s="414" t="s">
        <v>679</v>
      </c>
      <c r="C3" s="414"/>
      <c r="D3" s="414"/>
      <c r="E3" s="414"/>
      <c r="F3" s="375"/>
      <c r="G3" s="375"/>
      <c r="H3" s="375"/>
      <c r="I3" s="43"/>
      <c r="J3" s="43"/>
      <c r="K3" s="43"/>
      <c r="L3" s="43"/>
      <c r="M3" s="43"/>
      <c r="N3" s="43"/>
      <c r="O3" s="43"/>
      <c r="P3" s="43"/>
      <c r="Q3" s="43"/>
      <c r="R3" s="43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33" ht="2.25" customHeight="1">
      <c r="F4" s="45">
        <f>'[1]FEB 08'!E8/'[1]FEB 08'!M8</f>
        <v>0.22</v>
      </c>
      <c r="G4" s="45"/>
      <c r="H4" s="45"/>
      <c r="I4" s="45">
        <f>'[1]FEB 08'!F8/'[1]FEB 08'!Q8</f>
        <v>0.3</v>
      </c>
      <c r="J4" s="45"/>
      <c r="K4" s="45"/>
      <c r="L4" s="45"/>
      <c r="M4" s="45"/>
      <c r="N4" s="45"/>
      <c r="O4" s="45"/>
      <c r="P4" s="45"/>
      <c r="Q4" s="45"/>
      <c r="R4" s="45"/>
    </row>
    <row r="5" spans="1:33" ht="20.100000000000001" customHeight="1">
      <c r="B5" s="414" t="s">
        <v>2</v>
      </c>
      <c r="C5" s="414"/>
      <c r="D5" s="376"/>
      <c r="E5" s="37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15"/>
      <c r="V5" s="415"/>
      <c r="W5" s="415"/>
      <c r="X5" s="415"/>
      <c r="Y5" s="415"/>
      <c r="Z5" s="415"/>
      <c r="AA5" s="376"/>
      <c r="AB5" s="376"/>
    </row>
    <row r="6" spans="1:33" ht="35.450000000000003" customHeight="1">
      <c r="A6" s="31"/>
      <c r="B6" s="450"/>
      <c r="C6" s="450"/>
      <c r="D6" s="378" t="s">
        <v>3</v>
      </c>
      <c r="E6" s="378" t="s">
        <v>631</v>
      </c>
      <c r="F6" s="2" t="s">
        <v>680</v>
      </c>
      <c r="G6" s="31"/>
      <c r="H6" s="2"/>
      <c r="I6" s="2"/>
      <c r="J6" s="2"/>
      <c r="K6" s="2"/>
      <c r="L6" s="2"/>
      <c r="M6" s="2" t="s">
        <v>681</v>
      </c>
      <c r="N6" s="2" t="s">
        <v>682</v>
      </c>
      <c r="O6" s="2" t="s">
        <v>683</v>
      </c>
      <c r="P6" s="2" t="s">
        <v>684</v>
      </c>
      <c r="Q6" s="2" t="s">
        <v>685</v>
      </c>
      <c r="R6" s="2" t="s">
        <v>686</v>
      </c>
      <c r="S6" s="2" t="s">
        <v>687</v>
      </c>
      <c r="T6" s="2" t="s">
        <v>688</v>
      </c>
      <c r="U6" s="2" t="s">
        <v>604</v>
      </c>
      <c r="V6" s="2"/>
      <c r="W6" s="2"/>
      <c r="X6" s="2"/>
      <c r="Y6" s="379"/>
      <c r="Z6" s="379"/>
      <c r="AA6" s="79"/>
      <c r="AB6" s="79"/>
    </row>
    <row r="7" spans="1:33" ht="48" customHeight="1">
      <c r="A7" s="31"/>
      <c r="B7" s="451"/>
      <c r="C7" s="451"/>
      <c r="D7" s="378"/>
      <c r="E7" s="378" t="s">
        <v>632</v>
      </c>
      <c r="F7" s="2" t="s">
        <v>689</v>
      </c>
      <c r="G7" s="47" t="s">
        <v>690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13</v>
      </c>
      <c r="P7" s="2" t="s">
        <v>14</v>
      </c>
      <c r="Q7" s="2" t="s">
        <v>14</v>
      </c>
      <c r="R7" s="2" t="s">
        <v>15</v>
      </c>
      <c r="S7" s="2" t="s">
        <v>689</v>
      </c>
      <c r="T7" s="47" t="s">
        <v>689</v>
      </c>
      <c r="U7" s="47"/>
      <c r="V7" s="47"/>
      <c r="W7" s="2" t="s">
        <v>582</v>
      </c>
      <c r="X7" s="47" t="s">
        <v>392</v>
      </c>
      <c r="Y7" s="2" t="s">
        <v>604</v>
      </c>
      <c r="Z7" s="2"/>
      <c r="AA7" s="2"/>
      <c r="AB7" s="2"/>
    </row>
    <row r="8" spans="1:33" ht="20.100000000000001" customHeight="1">
      <c r="A8" s="20" t="s">
        <v>26</v>
      </c>
      <c r="B8" s="452" t="s">
        <v>691</v>
      </c>
      <c r="C8" s="452"/>
      <c r="D8" s="58"/>
      <c r="E8" s="58"/>
      <c r="F8" s="48" t="s">
        <v>25</v>
      </c>
      <c r="G8" s="379"/>
      <c r="H8" s="48"/>
      <c r="I8" s="48" t="s">
        <v>25</v>
      </c>
      <c r="J8" s="48"/>
      <c r="K8" s="48"/>
      <c r="L8" s="48"/>
      <c r="M8" s="48"/>
      <c r="N8" s="48"/>
      <c r="O8" s="48"/>
      <c r="P8" s="48"/>
      <c r="Q8" s="48"/>
      <c r="R8" s="48"/>
      <c r="S8" s="48" t="s">
        <v>25</v>
      </c>
      <c r="T8" s="48" t="s">
        <v>25</v>
      </c>
      <c r="U8" s="48" t="s">
        <v>25</v>
      </c>
      <c r="V8" s="48"/>
      <c r="W8" s="48" t="s">
        <v>25</v>
      </c>
      <c r="X8" s="48" t="s">
        <v>25</v>
      </c>
      <c r="Y8" s="48" t="s">
        <v>25</v>
      </c>
      <c r="Z8" s="48"/>
      <c r="AA8" s="48"/>
      <c r="AB8" s="48"/>
    </row>
    <row r="9" spans="1:33" ht="20.100000000000001" customHeight="1">
      <c r="A9" s="3">
        <v>1</v>
      </c>
      <c r="B9" s="419" t="s">
        <v>28</v>
      </c>
      <c r="C9" s="420"/>
      <c r="D9" s="382" t="s">
        <v>29</v>
      </c>
      <c r="E9" s="382" t="s">
        <v>30</v>
      </c>
      <c r="F9" s="34">
        <v>160488.75</v>
      </c>
      <c r="G9" s="34"/>
      <c r="H9" s="34">
        <v>320977.5</v>
      </c>
      <c r="I9" s="34">
        <v>48146.63</v>
      </c>
      <c r="J9" s="34">
        <v>120366.57</v>
      </c>
      <c r="K9" s="34">
        <v>72219.94</v>
      </c>
      <c r="L9" s="34">
        <v>0</v>
      </c>
      <c r="M9" s="34">
        <v>120366.57</v>
      </c>
      <c r="N9" s="25">
        <f>250000</f>
        <v>250000</v>
      </c>
      <c r="O9" s="25"/>
      <c r="P9" s="34">
        <v>16048.88</v>
      </c>
      <c r="Q9" s="34">
        <v>25000</v>
      </c>
      <c r="R9" s="34">
        <v>25235</v>
      </c>
      <c r="S9" s="34">
        <f>R9+Q9+P9+O9+N9+M9+L9+K9+J9+I9+H9+G9+F9</f>
        <v>1158849.8399999999</v>
      </c>
      <c r="T9" s="34">
        <v>1158849.8399999999</v>
      </c>
      <c r="U9" s="34">
        <f>S9-T9</f>
        <v>0</v>
      </c>
      <c r="V9" s="34"/>
      <c r="W9" s="34">
        <v>113176.97</v>
      </c>
      <c r="X9" s="34">
        <v>113176.97</v>
      </c>
      <c r="Y9" s="34">
        <f>X9-W9</f>
        <v>0</v>
      </c>
      <c r="Z9" s="34"/>
      <c r="AA9" s="34"/>
      <c r="AB9" s="34"/>
      <c r="AC9" s="32"/>
    </row>
    <row r="10" spans="1:33" ht="20.100000000000001" customHeight="1">
      <c r="A10" s="3">
        <v>2</v>
      </c>
      <c r="B10" s="419" t="s">
        <v>635</v>
      </c>
      <c r="C10" s="420"/>
      <c r="D10" s="382" t="s">
        <v>636</v>
      </c>
      <c r="E10" s="53" t="s">
        <v>95</v>
      </c>
      <c r="F10" s="49">
        <v>81740.02</v>
      </c>
      <c r="G10" s="49"/>
      <c r="H10" s="49">
        <f>F10*300%</f>
        <v>245220.06</v>
      </c>
      <c r="I10" s="49">
        <f>F10*7.5%</f>
        <v>6130.5015000000003</v>
      </c>
      <c r="J10" s="49">
        <v>80244.38</v>
      </c>
      <c r="K10" s="49">
        <f>F10*50%</f>
        <v>40870.01</v>
      </c>
      <c r="L10" s="49">
        <f>F10*350%</f>
        <v>286090.07</v>
      </c>
      <c r="M10" s="49">
        <f>F10*100%</f>
        <v>81740.02</v>
      </c>
      <c r="N10" s="25">
        <f>200000</f>
        <v>200000</v>
      </c>
      <c r="O10" s="25"/>
      <c r="P10" s="49">
        <f>F10*10%</f>
        <v>8174.0020000000004</v>
      </c>
      <c r="Q10" s="49">
        <v>20000</v>
      </c>
      <c r="R10" s="49">
        <v>0</v>
      </c>
      <c r="S10" s="34">
        <f t="shared" ref="S10:S38" si="0">R10+Q10+P10+O10+N10+M10+L10+K10+J10+I10+H10+G10+F10</f>
        <v>1050209.0634999999</v>
      </c>
      <c r="T10" s="34">
        <v>1050209.0634999999</v>
      </c>
      <c r="U10" s="34">
        <f t="shared" ref="U10:U73" si="1">S10-T10</f>
        <v>0</v>
      </c>
      <c r="V10" s="34"/>
      <c r="W10" s="49">
        <v>52776.63</v>
      </c>
      <c r="X10" s="34">
        <v>52776.63</v>
      </c>
      <c r="Y10" s="34">
        <f t="shared" ref="Y10:Y73" si="2">X10-W10</f>
        <v>0</v>
      </c>
      <c r="Z10" s="34"/>
      <c r="AA10" s="34"/>
      <c r="AB10" s="34"/>
      <c r="AC10" s="32"/>
    </row>
    <row r="11" spans="1:33" ht="20.100000000000001" customHeight="1">
      <c r="A11" s="3">
        <v>3</v>
      </c>
      <c r="B11" s="436" t="s">
        <v>692</v>
      </c>
      <c r="C11" s="437"/>
      <c r="D11" s="39" t="s">
        <v>693</v>
      </c>
      <c r="E11" s="60" t="s">
        <v>233</v>
      </c>
      <c r="F11" s="52">
        <f>42653.17</f>
        <v>42653.17</v>
      </c>
      <c r="G11" s="78"/>
      <c r="H11" s="49">
        <f>F11*300%</f>
        <v>127959.51</v>
      </c>
      <c r="I11" s="49">
        <f>F11*7.5%</f>
        <v>3198.9877499999998</v>
      </c>
      <c r="J11" s="49">
        <v>40122.19</v>
      </c>
      <c r="K11" s="49">
        <f>F11*50%</f>
        <v>21326.584999999999</v>
      </c>
      <c r="L11" s="49">
        <f>F11*350%</f>
        <v>149286.095</v>
      </c>
      <c r="M11" s="49">
        <f>F11*100%</f>
        <v>42653.17</v>
      </c>
      <c r="N11" s="25"/>
      <c r="O11" s="25">
        <f>90000</f>
        <v>90000</v>
      </c>
      <c r="P11" s="49">
        <f>F11*10%</f>
        <v>4265.317</v>
      </c>
      <c r="Q11" s="49">
        <v>20000</v>
      </c>
      <c r="R11" s="61"/>
      <c r="S11" s="34">
        <f t="shared" si="0"/>
        <v>541465.02474999998</v>
      </c>
      <c r="T11" s="52">
        <v>541465.02474999998</v>
      </c>
      <c r="U11" s="34">
        <f t="shared" si="1"/>
        <v>0</v>
      </c>
      <c r="V11" s="52"/>
      <c r="W11" s="34">
        <v>21618.09</v>
      </c>
      <c r="X11" s="52">
        <v>21618.09</v>
      </c>
      <c r="Y11" s="34">
        <f t="shared" si="2"/>
        <v>0</v>
      </c>
      <c r="Z11" s="34"/>
      <c r="AA11" s="34"/>
      <c r="AB11" s="34"/>
      <c r="AC11" s="32"/>
    </row>
    <row r="12" spans="1:33" ht="20.100000000000001" customHeight="1">
      <c r="A12" s="3">
        <v>4</v>
      </c>
      <c r="B12" s="419" t="s">
        <v>464</v>
      </c>
      <c r="C12" s="420"/>
      <c r="D12" s="31" t="s">
        <v>637</v>
      </c>
      <c r="E12" s="3" t="s">
        <v>36</v>
      </c>
      <c r="F12" s="49">
        <f>41157.69</f>
        <v>41157.69</v>
      </c>
      <c r="G12" s="49"/>
      <c r="H12" s="49">
        <f>F12*300%</f>
        <v>123473.07</v>
      </c>
      <c r="I12" s="49">
        <f>F12*7.5%</f>
        <v>3086.8267500000002</v>
      </c>
      <c r="J12" s="49">
        <v>40122.19</v>
      </c>
      <c r="K12" s="49">
        <f>F12*50%</f>
        <v>20578.845000000001</v>
      </c>
      <c r="L12" s="49">
        <f>F12*350%</f>
        <v>144051.91500000001</v>
      </c>
      <c r="M12" s="49">
        <f>F12*100%</f>
        <v>41157.69</v>
      </c>
      <c r="N12" s="25">
        <f>180000</f>
        <v>180000</v>
      </c>
      <c r="O12" s="25"/>
      <c r="P12" s="49">
        <f>F12*10%</f>
        <v>4115.7690000000002</v>
      </c>
      <c r="Q12" s="49">
        <v>20000</v>
      </c>
      <c r="R12" s="49">
        <v>150000</v>
      </c>
      <c r="S12" s="34">
        <f t="shared" si="0"/>
        <v>767743.99575</v>
      </c>
      <c r="T12" s="34">
        <v>754023.33374999999</v>
      </c>
      <c r="U12" s="34">
        <f t="shared" si="1"/>
        <v>13720.662000000011</v>
      </c>
      <c r="V12" s="34"/>
      <c r="W12" s="49">
        <f>21618.09</f>
        <v>21618.09</v>
      </c>
      <c r="X12" s="34">
        <v>21618.09</v>
      </c>
      <c r="Y12" s="34">
        <f t="shared" si="2"/>
        <v>0</v>
      </c>
      <c r="Z12" s="34"/>
      <c r="AA12" s="34"/>
      <c r="AB12" s="34"/>
      <c r="AC12" s="32"/>
    </row>
    <row r="13" spans="1:33" ht="20.100000000000001" customHeight="1">
      <c r="A13" s="3">
        <v>5</v>
      </c>
      <c r="B13" s="436" t="s">
        <v>562</v>
      </c>
      <c r="C13" s="437"/>
      <c r="D13" s="39" t="s">
        <v>563</v>
      </c>
      <c r="E13" s="60" t="s">
        <v>36</v>
      </c>
      <c r="F13" s="52">
        <f>41157.69</f>
        <v>41157.69</v>
      </c>
      <c r="G13" s="51"/>
      <c r="H13" s="49">
        <f>F13*300%</f>
        <v>123473.07</v>
      </c>
      <c r="I13" s="49">
        <f>F13*7.5%</f>
        <v>3086.8267500000002</v>
      </c>
      <c r="J13" s="49">
        <v>40122.19</v>
      </c>
      <c r="K13" s="49">
        <f>F13*50%</f>
        <v>20578.845000000001</v>
      </c>
      <c r="L13" s="49">
        <f>F13*350%</f>
        <v>144051.91500000001</v>
      </c>
      <c r="M13" s="49">
        <f>F13*100%</f>
        <v>41157.69</v>
      </c>
      <c r="N13" s="25">
        <f>180000</f>
        <v>180000</v>
      </c>
      <c r="O13" s="25"/>
      <c r="P13" s="49">
        <f>F13*10%</f>
        <v>4115.7690000000002</v>
      </c>
      <c r="Q13" s="49">
        <v>20000</v>
      </c>
      <c r="R13" s="52">
        <f>100000</f>
        <v>100000</v>
      </c>
      <c r="S13" s="34">
        <f t="shared" si="0"/>
        <v>717743.99575</v>
      </c>
      <c r="T13" s="52">
        <v>704023.33374999999</v>
      </c>
      <c r="U13" s="34">
        <f t="shared" si="1"/>
        <v>13720.662000000011</v>
      </c>
      <c r="V13" s="52"/>
      <c r="W13" s="34">
        <f>21618.09</f>
        <v>21618.09</v>
      </c>
      <c r="X13" s="52">
        <v>21618.09</v>
      </c>
      <c r="Y13" s="34">
        <f t="shared" si="2"/>
        <v>0</v>
      </c>
      <c r="Z13" s="34"/>
      <c r="AA13" s="34"/>
      <c r="AB13" s="34"/>
      <c r="AC13" s="32"/>
    </row>
    <row r="14" spans="1:33" ht="20.100000000000001" customHeight="1">
      <c r="A14" s="3">
        <v>6</v>
      </c>
      <c r="B14" s="419" t="s">
        <v>31</v>
      </c>
      <c r="C14" s="420"/>
      <c r="D14" s="382" t="s">
        <v>32</v>
      </c>
      <c r="E14" s="3" t="s">
        <v>638</v>
      </c>
      <c r="F14" s="52">
        <f>41157.69</f>
        <v>41157.69</v>
      </c>
      <c r="G14" s="51"/>
      <c r="H14" s="49">
        <f>F14*300%</f>
        <v>123473.07</v>
      </c>
      <c r="I14" s="49">
        <f>F14*7.5%</f>
        <v>3086.8267500000002</v>
      </c>
      <c r="J14" s="49">
        <v>40122.19</v>
      </c>
      <c r="K14" s="49">
        <f>F14*50%</f>
        <v>20578.845000000001</v>
      </c>
      <c r="L14" s="49">
        <f>F14*350%</f>
        <v>144051.91500000001</v>
      </c>
      <c r="M14" s="49">
        <f>F14*100%</f>
        <v>41157.69</v>
      </c>
      <c r="N14" s="25"/>
      <c r="O14" s="25">
        <f>90000</f>
        <v>90000</v>
      </c>
      <c r="P14" s="49">
        <f>F14*10%</f>
        <v>4115.7690000000002</v>
      </c>
      <c r="Q14" s="49">
        <v>20000</v>
      </c>
      <c r="R14" s="52">
        <v>0</v>
      </c>
      <c r="S14" s="34">
        <f t="shared" si="0"/>
        <v>527743.99575</v>
      </c>
      <c r="T14" s="52">
        <v>514023.33374999999</v>
      </c>
      <c r="U14" s="34">
        <f t="shared" si="1"/>
        <v>13720.662000000011</v>
      </c>
      <c r="V14" s="52"/>
      <c r="W14" s="34">
        <f>21618.09</f>
        <v>21618.09</v>
      </c>
      <c r="X14" s="52">
        <v>21618.09</v>
      </c>
      <c r="Y14" s="34">
        <f t="shared" si="2"/>
        <v>0</v>
      </c>
      <c r="Z14" s="34"/>
      <c r="AA14" s="34"/>
      <c r="AB14" s="34"/>
      <c r="AC14" s="32"/>
    </row>
    <row r="15" spans="1:33" ht="20.100000000000001" customHeight="1">
      <c r="A15" s="3">
        <v>7</v>
      </c>
      <c r="B15" s="436" t="s">
        <v>179</v>
      </c>
      <c r="C15" s="437"/>
      <c r="D15" s="31" t="s">
        <v>639</v>
      </c>
      <c r="E15" s="36" t="s">
        <v>45</v>
      </c>
      <c r="F15" s="49">
        <v>33507.5</v>
      </c>
      <c r="G15" s="49"/>
      <c r="H15" s="49">
        <f t="shared" ref="H15:H31" si="3">F15*300%</f>
        <v>100522.5</v>
      </c>
      <c r="I15" s="49">
        <f t="shared" ref="I15:I31" si="4">F15*7.5%</f>
        <v>2513.0625</v>
      </c>
      <c r="J15" s="49">
        <v>40122.19</v>
      </c>
      <c r="K15" s="49">
        <f t="shared" ref="K15:K31" si="5">F15*50%</f>
        <v>16753.75</v>
      </c>
      <c r="L15" s="49">
        <f t="shared" ref="L15:L31" si="6">F15*350%</f>
        <v>117276.25</v>
      </c>
      <c r="M15" s="49">
        <f t="shared" ref="M15:M31" si="7">F15*100%</f>
        <v>33507.5</v>
      </c>
      <c r="N15" s="25"/>
      <c r="O15" s="25">
        <f>80000</f>
        <v>80000</v>
      </c>
      <c r="P15" s="49">
        <f t="shared" ref="P15:P31" si="8">F15*10%</f>
        <v>3350.75</v>
      </c>
      <c r="Q15" s="49">
        <v>20000</v>
      </c>
      <c r="R15" s="49">
        <f>100000</f>
        <v>100000</v>
      </c>
      <c r="S15" s="34">
        <f t="shared" si="0"/>
        <v>547553.50249999994</v>
      </c>
      <c r="T15" s="34">
        <v>547553.50249999994</v>
      </c>
      <c r="U15" s="34">
        <f t="shared" si="1"/>
        <v>0</v>
      </c>
      <c r="V15" s="34"/>
      <c r="W15" s="34">
        <v>15548.33</v>
      </c>
      <c r="X15" s="34">
        <v>15548.33</v>
      </c>
      <c r="Y15" s="34">
        <f t="shared" si="2"/>
        <v>0</v>
      </c>
      <c r="Z15" s="34"/>
      <c r="AA15" s="34"/>
      <c r="AB15" s="34"/>
      <c r="AC15" s="32"/>
    </row>
    <row r="16" spans="1:33" ht="20.100000000000001" customHeight="1">
      <c r="A16" s="3">
        <v>8</v>
      </c>
      <c r="B16" s="432" t="s">
        <v>37</v>
      </c>
      <c r="C16" s="433"/>
      <c r="D16" s="92" t="s">
        <v>132</v>
      </c>
      <c r="E16" s="27" t="s">
        <v>45</v>
      </c>
      <c r="F16" s="24">
        <f>33507.5</f>
        <v>33507.5</v>
      </c>
      <c r="G16" s="24"/>
      <c r="H16" s="24">
        <f>F16*300%</f>
        <v>100522.5</v>
      </c>
      <c r="I16" s="24">
        <f>F16*7.5%</f>
        <v>2513.0625</v>
      </c>
      <c r="J16" s="24">
        <v>40122.19</v>
      </c>
      <c r="K16" s="24">
        <f>F16*50%</f>
        <v>16753.75</v>
      </c>
      <c r="L16" s="24">
        <f>F16*350%</f>
        <v>117276.25</v>
      </c>
      <c r="M16" s="24">
        <f>F16*100%</f>
        <v>33507.5</v>
      </c>
      <c r="N16" s="25"/>
      <c r="O16" s="25">
        <f>80000</f>
        <v>80000</v>
      </c>
      <c r="P16" s="24">
        <f>F16*10%</f>
        <v>3350.75</v>
      </c>
      <c r="Q16" s="24">
        <v>20000</v>
      </c>
      <c r="R16" s="24">
        <v>0</v>
      </c>
      <c r="S16" s="34">
        <f t="shared" si="0"/>
        <v>447553.5025</v>
      </c>
      <c r="T16" s="34">
        <v>447553.5025</v>
      </c>
      <c r="U16" s="34">
        <f t="shared" si="1"/>
        <v>0</v>
      </c>
      <c r="V16" s="24"/>
      <c r="W16" s="24">
        <v>15548.33</v>
      </c>
      <c r="X16" s="24">
        <v>15548.33</v>
      </c>
      <c r="Y16" s="34">
        <f t="shared" si="2"/>
        <v>0</v>
      </c>
      <c r="Z16" s="34"/>
      <c r="AA16" s="24"/>
      <c r="AB16" s="24"/>
      <c r="AC16" s="32"/>
    </row>
    <row r="17" spans="1:29" ht="20.100000000000001" customHeight="1">
      <c r="A17" s="3">
        <v>9</v>
      </c>
      <c r="B17" s="436" t="s">
        <v>39</v>
      </c>
      <c r="C17" s="437"/>
      <c r="D17" s="31" t="s">
        <v>640</v>
      </c>
      <c r="E17" s="3" t="s">
        <v>45</v>
      </c>
      <c r="F17" s="34">
        <f>33507.5</f>
        <v>33507.5</v>
      </c>
      <c r="G17" s="49"/>
      <c r="H17" s="49">
        <f t="shared" si="3"/>
        <v>100522.5</v>
      </c>
      <c r="I17" s="49">
        <f t="shared" si="4"/>
        <v>2513.0625</v>
      </c>
      <c r="J17" s="49">
        <v>40122.19</v>
      </c>
      <c r="K17" s="49">
        <f t="shared" si="5"/>
        <v>16753.75</v>
      </c>
      <c r="L17" s="49">
        <f t="shared" si="6"/>
        <v>117276.25</v>
      </c>
      <c r="M17" s="49">
        <f t="shared" si="7"/>
        <v>33507.5</v>
      </c>
      <c r="N17" s="25"/>
      <c r="O17" s="25">
        <f>80000</f>
        <v>80000</v>
      </c>
      <c r="P17" s="49">
        <f t="shared" si="8"/>
        <v>3350.75</v>
      </c>
      <c r="Q17" s="49">
        <v>20000</v>
      </c>
      <c r="R17" s="50">
        <v>0</v>
      </c>
      <c r="S17" s="34">
        <f t="shared" si="0"/>
        <v>447553.5025</v>
      </c>
      <c r="T17" s="34">
        <v>447553.5025</v>
      </c>
      <c r="U17" s="34">
        <f t="shared" si="1"/>
        <v>0</v>
      </c>
      <c r="V17" s="34"/>
      <c r="W17" s="34">
        <v>15548.33</v>
      </c>
      <c r="X17" s="34">
        <v>15548.33</v>
      </c>
      <c r="Y17" s="34">
        <f t="shared" si="2"/>
        <v>0</v>
      </c>
      <c r="Z17" s="34"/>
      <c r="AA17" s="34"/>
      <c r="AB17" s="34"/>
      <c r="AC17" s="32"/>
    </row>
    <row r="18" spans="1:29" ht="20.100000000000001" customHeight="1">
      <c r="A18" s="3">
        <v>10</v>
      </c>
      <c r="B18" s="426" t="s">
        <v>43</v>
      </c>
      <c r="C18" s="426"/>
      <c r="D18" s="382" t="s">
        <v>641</v>
      </c>
      <c r="E18" s="53" t="s">
        <v>45</v>
      </c>
      <c r="F18" s="49">
        <f>33507.5</f>
        <v>33507.5</v>
      </c>
      <c r="G18" s="49"/>
      <c r="H18" s="49">
        <f>F18*300%</f>
        <v>100522.5</v>
      </c>
      <c r="I18" s="49">
        <f>F18*7.5%</f>
        <v>2513.0625</v>
      </c>
      <c r="J18" s="49">
        <f>40122.19</f>
        <v>40122.19</v>
      </c>
      <c r="K18" s="49">
        <f>F18*50%</f>
        <v>16753.75</v>
      </c>
      <c r="L18" s="34">
        <f>F18*350%</f>
        <v>117276.25</v>
      </c>
      <c r="M18" s="49">
        <f>F18*100%</f>
        <v>33507.5</v>
      </c>
      <c r="N18" s="25"/>
      <c r="O18" s="25">
        <f t="shared" ref="O18:O123" si="9">80000</f>
        <v>80000</v>
      </c>
      <c r="P18" s="49">
        <f>F18*10%</f>
        <v>3350.75</v>
      </c>
      <c r="Q18" s="49">
        <v>20000</v>
      </c>
      <c r="R18" s="49">
        <v>0</v>
      </c>
      <c r="S18" s="34">
        <f>SUM(F18:R18)</f>
        <v>447553.5025</v>
      </c>
      <c r="T18" s="34">
        <v>436137.05000000005</v>
      </c>
      <c r="U18" s="34">
        <f t="shared" si="1"/>
        <v>11416.452499999956</v>
      </c>
      <c r="V18" s="34"/>
      <c r="W18" s="49">
        <f>15548.33</f>
        <v>15548.33</v>
      </c>
      <c r="X18" s="34">
        <v>15548.33</v>
      </c>
      <c r="Y18" s="34">
        <f t="shared" si="2"/>
        <v>0</v>
      </c>
      <c r="Z18" s="34"/>
      <c r="AA18" s="34"/>
      <c r="AB18" s="34"/>
      <c r="AC18" s="32"/>
    </row>
    <row r="19" spans="1:29" ht="20.100000000000001" customHeight="1">
      <c r="A19" s="3">
        <v>11</v>
      </c>
      <c r="B19" s="383" t="s">
        <v>151</v>
      </c>
      <c r="C19" s="384"/>
      <c r="D19" s="382" t="s">
        <v>152</v>
      </c>
      <c r="E19" s="10" t="s">
        <v>133</v>
      </c>
      <c r="F19" s="34">
        <v>31018.84</v>
      </c>
      <c r="G19" s="49"/>
      <c r="H19" s="49">
        <f t="shared" ref="H19" si="10">F19*300%</f>
        <v>93056.52</v>
      </c>
      <c r="I19" s="49">
        <f t="shared" ref="I19" si="11">F19*7.5%</f>
        <v>2326.413</v>
      </c>
      <c r="J19" s="49">
        <v>40122.19</v>
      </c>
      <c r="K19" s="49">
        <f t="shared" ref="K19" si="12">F19*50%</f>
        <v>15509.42</v>
      </c>
      <c r="L19" s="49">
        <f t="shared" ref="L19" si="13">F19*350%</f>
        <v>108565.94</v>
      </c>
      <c r="M19" s="49">
        <f t="shared" ref="M19" si="14">F19*100%</f>
        <v>31018.84</v>
      </c>
      <c r="N19" s="25"/>
      <c r="O19" s="25">
        <f>80000</f>
        <v>80000</v>
      </c>
      <c r="P19" s="49">
        <f t="shared" ref="P19" si="15">F19*10%</f>
        <v>3101.884</v>
      </c>
      <c r="Q19" s="49">
        <v>20000</v>
      </c>
      <c r="R19" s="50">
        <v>0</v>
      </c>
      <c r="S19" s="34">
        <f t="shared" si="0"/>
        <v>424720.04700000002</v>
      </c>
      <c r="T19" s="34">
        <v>424720.04700000002</v>
      </c>
      <c r="U19" s="34">
        <f t="shared" si="1"/>
        <v>0</v>
      </c>
      <c r="V19" s="34"/>
      <c r="W19" s="34">
        <v>15548.33</v>
      </c>
      <c r="X19" s="34">
        <v>15548.33</v>
      </c>
      <c r="Y19" s="34">
        <f t="shared" si="2"/>
        <v>0</v>
      </c>
      <c r="Z19" s="34"/>
      <c r="AA19" s="34"/>
      <c r="AB19" s="34"/>
      <c r="AC19" s="32"/>
    </row>
    <row r="20" spans="1:29" ht="20.100000000000001" customHeight="1">
      <c r="A20" s="3">
        <v>12</v>
      </c>
      <c r="B20" s="436" t="s">
        <v>564</v>
      </c>
      <c r="C20" s="437"/>
      <c r="D20" s="39" t="s">
        <v>565</v>
      </c>
      <c r="E20" s="40" t="s">
        <v>54</v>
      </c>
      <c r="F20" s="51">
        <f>26732.65</f>
        <v>26732.65</v>
      </c>
      <c r="G20" s="51"/>
      <c r="H20" s="51">
        <f t="shared" si="3"/>
        <v>80197.950000000012</v>
      </c>
      <c r="I20" s="51">
        <f t="shared" si="4"/>
        <v>2004.94875</v>
      </c>
      <c r="J20" s="51"/>
      <c r="K20" s="51">
        <f t="shared" si="5"/>
        <v>13366.325000000001</v>
      </c>
      <c r="L20" s="51">
        <f t="shared" si="6"/>
        <v>93564.275000000009</v>
      </c>
      <c r="M20" s="51">
        <f t="shared" si="7"/>
        <v>26732.65</v>
      </c>
      <c r="N20" s="25"/>
      <c r="O20" s="25">
        <f t="shared" ref="O20:O24" si="16">70000</f>
        <v>70000</v>
      </c>
      <c r="P20" s="51">
        <f t="shared" si="8"/>
        <v>2673.2650000000003</v>
      </c>
      <c r="Q20" s="51">
        <v>20000</v>
      </c>
      <c r="R20" s="51">
        <v>50000</v>
      </c>
      <c r="S20" s="34">
        <f t="shared" si="0"/>
        <v>385272.06375000003</v>
      </c>
      <c r="T20" s="52">
        <v>377211.36749999993</v>
      </c>
      <c r="U20" s="34">
        <f t="shared" si="1"/>
        <v>8060.6962500000955</v>
      </c>
      <c r="V20" s="52"/>
      <c r="W20" s="52">
        <v>7709.76</v>
      </c>
      <c r="X20" s="52">
        <v>7709.76</v>
      </c>
      <c r="Y20" s="34">
        <f t="shared" si="2"/>
        <v>0</v>
      </c>
      <c r="Z20" s="34"/>
      <c r="AA20" s="34"/>
      <c r="AB20" s="34"/>
      <c r="AC20" s="32"/>
    </row>
    <row r="21" spans="1:29" ht="19.5" customHeight="1">
      <c r="A21" s="3">
        <v>13</v>
      </c>
      <c r="B21" s="436" t="s">
        <v>467</v>
      </c>
      <c r="C21" s="437"/>
      <c r="D21" s="39" t="s">
        <v>50</v>
      </c>
      <c r="E21" s="3" t="s">
        <v>54</v>
      </c>
      <c r="F21" s="51">
        <f>26732.65</f>
        <v>26732.65</v>
      </c>
      <c r="G21" s="49"/>
      <c r="H21" s="49">
        <f t="shared" si="3"/>
        <v>80197.950000000012</v>
      </c>
      <c r="I21" s="49">
        <f t="shared" si="4"/>
        <v>2004.94875</v>
      </c>
      <c r="J21" s="49"/>
      <c r="K21" s="49">
        <f t="shared" si="5"/>
        <v>13366.325000000001</v>
      </c>
      <c r="L21" s="34">
        <f t="shared" si="6"/>
        <v>93564.275000000009</v>
      </c>
      <c r="M21" s="49">
        <f t="shared" si="7"/>
        <v>26732.65</v>
      </c>
      <c r="N21" s="25"/>
      <c r="O21" s="25">
        <f t="shared" si="16"/>
        <v>70000</v>
      </c>
      <c r="P21" s="49">
        <f t="shared" si="8"/>
        <v>2673.2650000000003</v>
      </c>
      <c r="Q21" s="49">
        <v>20000</v>
      </c>
      <c r="R21" s="49">
        <v>0</v>
      </c>
      <c r="S21" s="34">
        <f t="shared" si="0"/>
        <v>335272.06375000009</v>
      </c>
      <c r="T21" s="34">
        <v>327211.36749999993</v>
      </c>
      <c r="U21" s="34">
        <f t="shared" si="1"/>
        <v>8060.6962500001537</v>
      </c>
      <c r="V21" s="34"/>
      <c r="W21" s="34">
        <v>7709.76</v>
      </c>
      <c r="X21" s="34">
        <v>7709.76</v>
      </c>
      <c r="Y21" s="34">
        <f t="shared" si="2"/>
        <v>0</v>
      </c>
      <c r="Z21" s="34"/>
      <c r="AA21" s="34"/>
      <c r="AB21" s="34"/>
      <c r="AC21" s="32"/>
    </row>
    <row r="22" spans="1:29" ht="19.5" customHeight="1">
      <c r="A22" s="3">
        <v>14</v>
      </c>
      <c r="B22" s="436" t="s">
        <v>566</v>
      </c>
      <c r="C22" s="437"/>
      <c r="D22" s="31" t="s">
        <v>567</v>
      </c>
      <c r="E22" s="3" t="s">
        <v>54</v>
      </c>
      <c r="F22" s="51">
        <f>26732.65</f>
        <v>26732.65</v>
      </c>
      <c r="G22" s="49"/>
      <c r="H22" s="49">
        <f>F22*300%</f>
        <v>80197.950000000012</v>
      </c>
      <c r="I22" s="49">
        <f>F22*7.5%</f>
        <v>2004.94875</v>
      </c>
      <c r="J22" s="49"/>
      <c r="K22" s="49">
        <f t="shared" si="5"/>
        <v>13366.325000000001</v>
      </c>
      <c r="L22" s="34">
        <f>F22*350%</f>
        <v>93564.275000000009</v>
      </c>
      <c r="M22" s="49">
        <f>F22*100%</f>
        <v>26732.65</v>
      </c>
      <c r="N22" s="25">
        <f>140000</f>
        <v>140000</v>
      </c>
      <c r="O22" s="25"/>
      <c r="P22" s="49">
        <f>F22*10%</f>
        <v>2673.2650000000003</v>
      </c>
      <c r="Q22" s="49">
        <v>20000</v>
      </c>
      <c r="R22" s="49">
        <f>50000+100000</f>
        <v>150000</v>
      </c>
      <c r="S22" s="34">
        <f t="shared" si="0"/>
        <v>555272.06375000009</v>
      </c>
      <c r="T22" s="34">
        <v>547211.36749999993</v>
      </c>
      <c r="U22" s="34">
        <f t="shared" si="1"/>
        <v>8060.6962500001537</v>
      </c>
      <c r="V22" s="34"/>
      <c r="W22" s="34">
        <f t="shared" ref="W22:W103" si="17">7709.76</f>
        <v>7709.76</v>
      </c>
      <c r="X22" s="34">
        <v>7709.76</v>
      </c>
      <c r="Y22" s="34">
        <f t="shared" si="2"/>
        <v>0</v>
      </c>
      <c r="Z22" s="34"/>
      <c r="AA22" s="34"/>
      <c r="AB22" s="34"/>
      <c r="AC22" s="32"/>
    </row>
    <row r="23" spans="1:29" ht="20.100000000000001" customHeight="1">
      <c r="A23" s="3">
        <v>15</v>
      </c>
      <c r="B23" s="419" t="s">
        <v>49</v>
      </c>
      <c r="C23" s="420"/>
      <c r="D23" s="39" t="s">
        <v>642</v>
      </c>
      <c r="E23" s="53" t="s">
        <v>57</v>
      </c>
      <c r="F23" s="49">
        <f>26339.3</f>
        <v>26339.3</v>
      </c>
      <c r="G23" s="49"/>
      <c r="H23" s="49">
        <f t="shared" si="3"/>
        <v>79017.899999999994</v>
      </c>
      <c r="I23" s="49">
        <f t="shared" si="4"/>
        <v>1975.4474999999998</v>
      </c>
      <c r="J23" s="34">
        <v>0</v>
      </c>
      <c r="K23" s="49">
        <f t="shared" si="5"/>
        <v>13169.65</v>
      </c>
      <c r="L23" s="34">
        <f t="shared" si="6"/>
        <v>92187.55</v>
      </c>
      <c r="M23" s="49">
        <f t="shared" si="7"/>
        <v>26339.3</v>
      </c>
      <c r="N23" s="25"/>
      <c r="O23" s="25">
        <f t="shared" si="16"/>
        <v>70000</v>
      </c>
      <c r="P23" s="49">
        <f t="shared" si="8"/>
        <v>2633.9300000000003</v>
      </c>
      <c r="Q23" s="49">
        <v>15000</v>
      </c>
      <c r="R23" s="49">
        <f>0</f>
        <v>0</v>
      </c>
      <c r="S23" s="34">
        <f t="shared" si="0"/>
        <v>326663.07749999996</v>
      </c>
      <c r="T23" s="34">
        <v>326663.07749999996</v>
      </c>
      <c r="U23" s="34">
        <f t="shared" si="1"/>
        <v>0</v>
      </c>
      <c r="V23" s="34"/>
      <c r="W23" s="49">
        <f>7709.76</f>
        <v>7709.76</v>
      </c>
      <c r="X23" s="34">
        <v>7709.76</v>
      </c>
      <c r="Y23" s="34">
        <f t="shared" si="2"/>
        <v>0</v>
      </c>
      <c r="Z23" s="34"/>
      <c r="AA23" s="34"/>
      <c r="AB23" s="34"/>
      <c r="AC23" s="32"/>
    </row>
    <row r="24" spans="1:29" ht="20.100000000000001" customHeight="1">
      <c r="A24" s="3">
        <v>16</v>
      </c>
      <c r="B24" s="436" t="s">
        <v>34</v>
      </c>
      <c r="C24" s="437"/>
      <c r="D24" s="31" t="s">
        <v>694</v>
      </c>
      <c r="E24" s="53" t="s">
        <v>644</v>
      </c>
      <c r="F24" s="49">
        <f>23074.99</f>
        <v>23074.99</v>
      </c>
      <c r="G24" s="49"/>
      <c r="H24" s="49">
        <f t="shared" si="3"/>
        <v>69224.97</v>
      </c>
      <c r="I24" s="49">
        <f t="shared" si="4"/>
        <v>1730.6242500000001</v>
      </c>
      <c r="J24" s="34">
        <f>265272</f>
        <v>265272</v>
      </c>
      <c r="K24" s="49">
        <f t="shared" si="5"/>
        <v>11537.495000000001</v>
      </c>
      <c r="L24" s="34">
        <f t="shared" si="6"/>
        <v>80762.465000000011</v>
      </c>
      <c r="M24" s="49">
        <f t="shared" si="7"/>
        <v>23074.99</v>
      </c>
      <c r="N24" s="25"/>
      <c r="O24" s="25">
        <f t="shared" si="16"/>
        <v>70000</v>
      </c>
      <c r="P24" s="49">
        <f t="shared" si="8"/>
        <v>2307.4990000000003</v>
      </c>
      <c r="Q24" s="49">
        <v>15000</v>
      </c>
      <c r="R24" s="49">
        <f>100000+100000</f>
        <v>200000</v>
      </c>
      <c r="S24" s="34">
        <f t="shared" si="0"/>
        <v>761985.03324999998</v>
      </c>
      <c r="T24" s="34">
        <v>761985.03324999998</v>
      </c>
      <c r="U24" s="34">
        <f t="shared" si="1"/>
        <v>0</v>
      </c>
      <c r="V24" s="34"/>
      <c r="W24" s="49">
        <f>7709.76</f>
        <v>7709.76</v>
      </c>
      <c r="X24" s="34">
        <v>7709.76</v>
      </c>
      <c r="Y24" s="34">
        <f t="shared" si="2"/>
        <v>0</v>
      </c>
      <c r="Z24" s="34"/>
      <c r="AA24" s="34"/>
      <c r="AB24" s="34"/>
      <c r="AC24" s="32"/>
    </row>
    <row r="25" spans="1:29" ht="20.100000000000001" customHeight="1">
      <c r="A25" s="3">
        <v>17</v>
      </c>
      <c r="B25" s="419" t="s">
        <v>58</v>
      </c>
      <c r="C25" s="420"/>
      <c r="D25" s="382" t="s">
        <v>59</v>
      </c>
      <c r="E25" s="53" t="s">
        <v>643</v>
      </c>
      <c r="F25" s="49">
        <f>23891.12</f>
        <v>23891.119999999999</v>
      </c>
      <c r="G25" s="49"/>
      <c r="H25" s="49">
        <f>F25*300%</f>
        <v>71673.36</v>
      </c>
      <c r="I25" s="49">
        <f>F25*7.5%</f>
        <v>1791.8339999999998</v>
      </c>
      <c r="J25" s="49">
        <v>0</v>
      </c>
      <c r="K25" s="49">
        <f t="shared" si="5"/>
        <v>11945.56</v>
      </c>
      <c r="L25" s="34">
        <f>F25*350%</f>
        <v>83618.92</v>
      </c>
      <c r="M25" s="49">
        <f>F25*100%</f>
        <v>23891.119999999999</v>
      </c>
      <c r="N25" s="25">
        <f>120000</f>
        <v>120000</v>
      </c>
      <c r="O25" s="25"/>
      <c r="P25" s="49">
        <f>F25*10%</f>
        <v>2389.1120000000001</v>
      </c>
      <c r="Q25" s="49">
        <v>15000</v>
      </c>
      <c r="R25" s="49">
        <v>0</v>
      </c>
      <c r="S25" s="34">
        <f t="shared" si="0"/>
        <v>354201.02600000001</v>
      </c>
      <c r="T25" s="34">
        <v>346713.03324999998</v>
      </c>
      <c r="U25" s="34">
        <f t="shared" si="1"/>
        <v>7487.992750000034</v>
      </c>
      <c r="V25" s="34"/>
      <c r="W25" s="49">
        <f t="shared" ref="W25:W98" si="18">7709.76</f>
        <v>7709.76</v>
      </c>
      <c r="X25" s="34">
        <v>7709.76</v>
      </c>
      <c r="Y25" s="34">
        <f t="shared" si="2"/>
        <v>0</v>
      </c>
      <c r="Z25" s="34"/>
      <c r="AA25" s="34"/>
      <c r="AB25" s="34"/>
      <c r="AC25" s="32"/>
    </row>
    <row r="26" spans="1:29" ht="20.100000000000001" customHeight="1">
      <c r="A26" s="3">
        <v>18</v>
      </c>
      <c r="B26" s="419" t="s">
        <v>64</v>
      </c>
      <c r="C26" s="420"/>
      <c r="D26" s="382" t="s">
        <v>645</v>
      </c>
      <c r="E26" s="53" t="s">
        <v>419</v>
      </c>
      <c r="F26" s="49">
        <f>18779.3</f>
        <v>18779.3</v>
      </c>
      <c r="G26" s="49"/>
      <c r="H26" s="49">
        <f t="shared" si="3"/>
        <v>56337.899999999994</v>
      </c>
      <c r="I26" s="49">
        <f t="shared" si="4"/>
        <v>1408.4475</v>
      </c>
      <c r="J26" s="34"/>
      <c r="K26" s="49">
        <f t="shared" si="5"/>
        <v>9389.65</v>
      </c>
      <c r="L26" s="34">
        <f t="shared" si="6"/>
        <v>65727.55</v>
      </c>
      <c r="M26" s="49">
        <f t="shared" si="7"/>
        <v>18779.3</v>
      </c>
      <c r="N26" s="25"/>
      <c r="O26" s="25">
        <f>60000</f>
        <v>60000</v>
      </c>
      <c r="P26" s="49">
        <f t="shared" si="8"/>
        <v>1877.93</v>
      </c>
      <c r="Q26" s="49">
        <v>10000</v>
      </c>
      <c r="R26" s="49"/>
      <c r="S26" s="34">
        <f t="shared" si="0"/>
        <v>242300.07749999998</v>
      </c>
      <c r="T26" s="34">
        <v>237734.04700000002</v>
      </c>
      <c r="U26" s="34">
        <f t="shared" si="1"/>
        <v>4566.0304999999644</v>
      </c>
      <c r="V26" s="34"/>
      <c r="W26" s="49">
        <v>3369.51</v>
      </c>
      <c r="X26" s="34">
        <v>3369.51</v>
      </c>
      <c r="Y26" s="34">
        <f t="shared" si="2"/>
        <v>0</v>
      </c>
      <c r="Z26" s="34"/>
      <c r="AA26" s="34"/>
      <c r="AB26" s="34"/>
      <c r="AC26" s="32"/>
    </row>
    <row r="27" spans="1:29" ht="18.75" customHeight="1">
      <c r="A27" s="3">
        <v>19</v>
      </c>
      <c r="B27" s="419" t="s">
        <v>206</v>
      </c>
      <c r="C27" s="420"/>
      <c r="D27" s="382" t="s">
        <v>207</v>
      </c>
      <c r="E27" s="53" t="s">
        <v>66</v>
      </c>
      <c r="F27" s="49">
        <f>21520.88</f>
        <v>21520.880000000001</v>
      </c>
      <c r="G27" s="49"/>
      <c r="H27" s="49">
        <f t="shared" si="3"/>
        <v>64562.64</v>
      </c>
      <c r="I27" s="49">
        <f t="shared" si="4"/>
        <v>1614.066</v>
      </c>
      <c r="J27" s="34"/>
      <c r="K27" s="49">
        <f t="shared" si="5"/>
        <v>10760.44</v>
      </c>
      <c r="L27" s="34">
        <f t="shared" si="6"/>
        <v>75323.08</v>
      </c>
      <c r="M27" s="49">
        <f t="shared" si="7"/>
        <v>21520.880000000001</v>
      </c>
      <c r="N27" s="25"/>
      <c r="O27" s="25">
        <f>60000</f>
        <v>60000</v>
      </c>
      <c r="P27" s="49">
        <f t="shared" si="8"/>
        <v>2152.0880000000002</v>
      </c>
      <c r="Q27" s="49">
        <v>15000</v>
      </c>
      <c r="R27" s="49"/>
      <c r="S27" s="34">
        <f t="shared" si="0"/>
        <v>272454.07400000002</v>
      </c>
      <c r="T27" s="34">
        <v>265372.07499999995</v>
      </c>
      <c r="U27" s="34">
        <f t="shared" si="1"/>
        <v>7081.9990000000689</v>
      </c>
      <c r="V27" s="34"/>
      <c r="W27" s="49">
        <v>3369.51</v>
      </c>
      <c r="X27" s="34">
        <v>3369.51</v>
      </c>
      <c r="Y27" s="34">
        <f t="shared" si="2"/>
        <v>0</v>
      </c>
      <c r="Z27" s="34"/>
      <c r="AA27" s="34"/>
      <c r="AB27" s="34"/>
      <c r="AC27" s="32"/>
    </row>
    <row r="28" spans="1:29" ht="18.75" customHeight="1">
      <c r="A28" s="3">
        <v>20</v>
      </c>
      <c r="B28" s="383" t="s">
        <v>61</v>
      </c>
      <c r="C28" s="384"/>
      <c r="D28" s="31" t="s">
        <v>62</v>
      </c>
      <c r="E28" s="53" t="s">
        <v>257</v>
      </c>
      <c r="F28" s="24">
        <f>18281.64</f>
        <v>18281.64</v>
      </c>
      <c r="G28" s="24"/>
      <c r="H28" s="24">
        <f>F28*300%</f>
        <v>54844.92</v>
      </c>
      <c r="I28" s="24">
        <f>F28*7.5%</f>
        <v>1371.1229999999998</v>
      </c>
      <c r="J28" s="24"/>
      <c r="K28" s="24">
        <f t="shared" si="5"/>
        <v>9140.82</v>
      </c>
      <c r="L28" s="24">
        <f>F28*350%</f>
        <v>63985.74</v>
      </c>
      <c r="M28" s="24">
        <f>F28*100%</f>
        <v>18281.64</v>
      </c>
      <c r="N28" s="25">
        <f>100000</f>
        <v>100000</v>
      </c>
      <c r="O28" s="25"/>
      <c r="P28" s="24">
        <f>F28*10%</f>
        <v>1828.164</v>
      </c>
      <c r="Q28" s="24">
        <v>10000</v>
      </c>
      <c r="R28" s="24">
        <f>100000</f>
        <v>100000</v>
      </c>
      <c r="S28" s="34">
        <f t="shared" si="0"/>
        <v>377734.04700000002</v>
      </c>
      <c r="T28" s="34">
        <v>373168.2</v>
      </c>
      <c r="U28" s="34">
        <f t="shared" si="1"/>
        <v>4565.8470000000088</v>
      </c>
      <c r="V28" s="24"/>
      <c r="W28" s="24">
        <v>3369.51</v>
      </c>
      <c r="X28" s="24">
        <v>3369.51</v>
      </c>
      <c r="Y28" s="34">
        <f t="shared" si="2"/>
        <v>0</v>
      </c>
      <c r="Z28" s="34"/>
      <c r="AA28" s="24"/>
      <c r="AB28" s="24"/>
      <c r="AC28" s="32"/>
    </row>
    <row r="29" spans="1:29" ht="18.75" customHeight="1">
      <c r="A29" s="3">
        <v>21</v>
      </c>
      <c r="B29" s="383" t="s">
        <v>76</v>
      </c>
      <c r="C29" s="384"/>
      <c r="D29" s="382" t="s">
        <v>74</v>
      </c>
      <c r="E29" s="53" t="s">
        <v>585</v>
      </c>
      <c r="F29" s="54">
        <f>13492.21</f>
        <v>13492.21</v>
      </c>
      <c r="G29" s="49"/>
      <c r="H29" s="49">
        <f t="shared" si="3"/>
        <v>40476.629999999997</v>
      </c>
      <c r="I29" s="49">
        <f t="shared" si="4"/>
        <v>1011.9157499999999</v>
      </c>
      <c r="J29" s="49"/>
      <c r="K29" s="49">
        <f t="shared" si="5"/>
        <v>6746.1049999999996</v>
      </c>
      <c r="L29" s="34">
        <f t="shared" si="6"/>
        <v>47222.735000000001</v>
      </c>
      <c r="M29" s="49">
        <f t="shared" si="7"/>
        <v>13492.21</v>
      </c>
      <c r="N29" s="25"/>
      <c r="O29" s="25">
        <f>50000</f>
        <v>50000</v>
      </c>
      <c r="P29" s="49">
        <f t="shared" si="8"/>
        <v>1349.221</v>
      </c>
      <c r="Q29" s="49">
        <v>10000</v>
      </c>
      <c r="R29" s="49"/>
      <c r="S29" s="34">
        <f t="shared" si="0"/>
        <v>183791.02674999999</v>
      </c>
      <c r="T29" s="34">
        <v>180304.068</v>
      </c>
      <c r="U29" s="34">
        <f t="shared" si="1"/>
        <v>3486.9587499999907</v>
      </c>
      <c r="V29" s="34"/>
      <c r="W29" s="49">
        <v>1484.37</v>
      </c>
      <c r="X29" s="34">
        <v>1484.37</v>
      </c>
      <c r="Y29" s="34">
        <f t="shared" si="2"/>
        <v>0</v>
      </c>
      <c r="Z29" s="34"/>
      <c r="AA29" s="34"/>
      <c r="AB29" s="34"/>
      <c r="AC29" s="32"/>
    </row>
    <row r="30" spans="1:29" ht="18.75" customHeight="1">
      <c r="A30" s="3">
        <v>22</v>
      </c>
      <c r="B30" s="383" t="s">
        <v>87</v>
      </c>
      <c r="C30" s="384"/>
      <c r="D30" s="382" t="s">
        <v>88</v>
      </c>
      <c r="E30" s="53" t="s">
        <v>90</v>
      </c>
      <c r="F30" s="24">
        <f>12351.94</f>
        <v>12351.94</v>
      </c>
      <c r="G30" s="24"/>
      <c r="H30" s="24">
        <f t="shared" si="3"/>
        <v>37055.82</v>
      </c>
      <c r="I30" s="24">
        <f t="shared" si="4"/>
        <v>926.39549999999997</v>
      </c>
      <c r="J30" s="24"/>
      <c r="K30" s="24">
        <f t="shared" si="5"/>
        <v>6175.97</v>
      </c>
      <c r="L30" s="24">
        <f t="shared" si="6"/>
        <v>43231.79</v>
      </c>
      <c r="M30" s="24">
        <f t="shared" si="7"/>
        <v>12351.94</v>
      </c>
      <c r="N30" s="25"/>
      <c r="O30" s="25">
        <f>50000</f>
        <v>50000</v>
      </c>
      <c r="P30" s="24">
        <f t="shared" si="8"/>
        <v>1235.1940000000002</v>
      </c>
      <c r="Q30" s="24">
        <v>10000</v>
      </c>
      <c r="R30" s="24"/>
      <c r="S30" s="34">
        <f t="shared" si="0"/>
        <v>173329.04949999999</v>
      </c>
      <c r="T30" s="34">
        <v>173329.04949999999</v>
      </c>
      <c r="U30" s="34">
        <f t="shared" si="1"/>
        <v>0</v>
      </c>
      <c r="V30" s="24"/>
      <c r="W30" s="25">
        <f t="shared" ref="W30:W31" si="19">1484.37</f>
        <v>1484.37</v>
      </c>
      <c r="X30" s="24">
        <v>1484.37</v>
      </c>
      <c r="Y30" s="34">
        <f t="shared" si="2"/>
        <v>0</v>
      </c>
      <c r="Z30" s="34"/>
      <c r="AA30" s="24"/>
      <c r="AB30" s="24"/>
      <c r="AC30" s="32"/>
    </row>
    <row r="31" spans="1:29" ht="18.75" customHeight="1">
      <c r="A31" s="3">
        <v>23</v>
      </c>
      <c r="B31" s="383" t="s">
        <v>568</v>
      </c>
      <c r="C31" s="384"/>
      <c r="D31" s="382" t="s">
        <v>88</v>
      </c>
      <c r="E31" s="53" t="s">
        <v>157</v>
      </c>
      <c r="F31" s="24">
        <f>17784.1</f>
        <v>17784.099999999999</v>
      </c>
      <c r="G31" s="24"/>
      <c r="H31" s="24">
        <f t="shared" si="3"/>
        <v>53352.299999999996</v>
      </c>
      <c r="I31" s="24">
        <f t="shared" si="4"/>
        <v>1333.8074999999999</v>
      </c>
      <c r="J31" s="24"/>
      <c r="K31" s="24">
        <f t="shared" si="5"/>
        <v>8892.0499999999993</v>
      </c>
      <c r="L31" s="24">
        <f t="shared" si="6"/>
        <v>62244.349999999991</v>
      </c>
      <c r="M31" s="24">
        <f t="shared" si="7"/>
        <v>17784.099999999999</v>
      </c>
      <c r="N31" s="25"/>
      <c r="O31" s="25">
        <f>60000</f>
        <v>60000</v>
      </c>
      <c r="P31" s="24">
        <f t="shared" si="8"/>
        <v>1778.4099999999999</v>
      </c>
      <c r="Q31" s="24">
        <v>10000</v>
      </c>
      <c r="R31" s="24"/>
      <c r="S31" s="34">
        <f t="shared" si="0"/>
        <v>233169.11749999996</v>
      </c>
      <c r="T31" s="34">
        <v>228602.07775000005</v>
      </c>
      <c r="U31" s="34">
        <f t="shared" si="1"/>
        <v>4567.039749999909</v>
      </c>
      <c r="V31" s="24"/>
      <c r="W31" s="25">
        <f t="shared" si="19"/>
        <v>1484.37</v>
      </c>
      <c r="X31" s="24">
        <v>1484.37</v>
      </c>
      <c r="Y31" s="34">
        <f t="shared" si="2"/>
        <v>0</v>
      </c>
      <c r="Z31" s="34"/>
      <c r="AA31" s="24"/>
      <c r="AB31" s="24"/>
      <c r="AC31" s="32"/>
    </row>
    <row r="32" spans="1:29" ht="18.75" customHeight="1">
      <c r="A32" s="3">
        <v>24</v>
      </c>
      <c r="B32" s="426" t="s">
        <v>153</v>
      </c>
      <c r="C32" s="426"/>
      <c r="D32" s="31" t="s">
        <v>414</v>
      </c>
      <c r="E32" s="53" t="s">
        <v>60</v>
      </c>
      <c r="F32" s="49">
        <f>24741.26</f>
        <v>24741.26</v>
      </c>
      <c r="G32" s="49"/>
      <c r="H32" s="49">
        <f>F32*300%</f>
        <v>74223.78</v>
      </c>
      <c r="I32" s="49">
        <f>F32*7.5%</f>
        <v>1855.5944999999997</v>
      </c>
      <c r="J32" s="49">
        <v>0</v>
      </c>
      <c r="K32" s="49">
        <f>F32*50%</f>
        <v>12370.63</v>
      </c>
      <c r="L32" s="34">
        <f>F32*350%</f>
        <v>86594.409999999989</v>
      </c>
      <c r="M32" s="49">
        <f>F32*100%</f>
        <v>24741.26</v>
      </c>
      <c r="N32" s="25"/>
      <c r="O32" s="25">
        <f>70000</f>
        <v>70000</v>
      </c>
      <c r="P32" s="49">
        <f>F32*10%</f>
        <v>2474.1260000000002</v>
      </c>
      <c r="Q32" s="49">
        <v>15000</v>
      </c>
      <c r="R32" s="49">
        <v>0</v>
      </c>
      <c r="S32" s="34">
        <f t="shared" si="0"/>
        <v>312001.06050000002</v>
      </c>
      <c r="T32" s="34">
        <v>304201.02600000001</v>
      </c>
      <c r="U32" s="34">
        <f t="shared" si="1"/>
        <v>7800.0345000000088</v>
      </c>
      <c r="V32" s="34"/>
      <c r="W32" s="49">
        <f>7709.76</f>
        <v>7709.76</v>
      </c>
      <c r="X32" s="34">
        <v>7709.76</v>
      </c>
      <c r="Y32" s="34">
        <f t="shared" si="2"/>
        <v>0</v>
      </c>
      <c r="Z32" s="34"/>
      <c r="AA32" s="34"/>
      <c r="AB32" s="34"/>
      <c r="AC32" s="32"/>
    </row>
    <row r="33" spans="1:29" ht="18.75" customHeight="1">
      <c r="A33" s="3">
        <v>25</v>
      </c>
      <c r="B33" s="419" t="s">
        <v>204</v>
      </c>
      <c r="C33" s="420"/>
      <c r="D33" s="31" t="s">
        <v>646</v>
      </c>
      <c r="E33" s="53" t="s">
        <v>419</v>
      </c>
      <c r="F33" s="49">
        <f>18779.3</f>
        <v>18779.3</v>
      </c>
      <c r="G33" s="49"/>
      <c r="H33" s="49">
        <f>F33*300%</f>
        <v>56337.899999999994</v>
      </c>
      <c r="I33" s="49">
        <f>F33*7.5%</f>
        <v>1408.4475</v>
      </c>
      <c r="J33" s="49"/>
      <c r="K33" s="49">
        <f>F33*50%</f>
        <v>9389.65</v>
      </c>
      <c r="L33" s="34">
        <f>F33*350%</f>
        <v>65727.55</v>
      </c>
      <c r="M33" s="49">
        <f>F33*100%</f>
        <v>18779.3</v>
      </c>
      <c r="N33" s="25"/>
      <c r="O33" s="25">
        <f>60000</f>
        <v>60000</v>
      </c>
      <c r="P33" s="49">
        <f>F33*10%</f>
        <v>1877.93</v>
      </c>
      <c r="Q33" s="49">
        <v>10000</v>
      </c>
      <c r="R33" s="49"/>
      <c r="S33" s="34">
        <f t="shared" si="0"/>
        <v>242300.07749999998</v>
      </c>
      <c r="T33" s="34">
        <v>237734.04700000002</v>
      </c>
      <c r="U33" s="34">
        <f t="shared" si="1"/>
        <v>4566.0304999999644</v>
      </c>
      <c r="V33" s="34"/>
      <c r="W33" s="49">
        <v>3369.51</v>
      </c>
      <c r="X33" s="34">
        <v>3369.51</v>
      </c>
      <c r="Y33" s="34">
        <f t="shared" si="2"/>
        <v>0</v>
      </c>
      <c r="Z33" s="34"/>
      <c r="AA33" s="34"/>
      <c r="AB33" s="34"/>
      <c r="AC33" s="32"/>
    </row>
    <row r="34" spans="1:29" ht="18.75" customHeight="1">
      <c r="A34" s="3">
        <v>26</v>
      </c>
      <c r="B34" s="383" t="s">
        <v>252</v>
      </c>
      <c r="C34" s="384"/>
      <c r="D34" s="31" t="s">
        <v>584</v>
      </c>
      <c r="E34" s="53" t="s">
        <v>257</v>
      </c>
      <c r="F34" s="24">
        <f>18281.64</f>
        <v>18281.64</v>
      </c>
      <c r="G34" s="24"/>
      <c r="H34" s="24">
        <f>F34*300%</f>
        <v>54844.92</v>
      </c>
      <c r="I34" s="24">
        <f>F34*7.5%</f>
        <v>1371.1229999999998</v>
      </c>
      <c r="J34" s="24"/>
      <c r="K34" s="24">
        <f>F34*50%</f>
        <v>9140.82</v>
      </c>
      <c r="L34" s="24">
        <f>F34*350%</f>
        <v>63985.74</v>
      </c>
      <c r="M34" s="24">
        <f>F34*100%</f>
        <v>18281.64</v>
      </c>
      <c r="N34" s="25"/>
      <c r="O34" s="25">
        <v>60000</v>
      </c>
      <c r="P34" s="24">
        <f>F34*10%</f>
        <v>1828.164</v>
      </c>
      <c r="Q34" s="24">
        <v>10000</v>
      </c>
      <c r="R34" s="24"/>
      <c r="S34" s="34">
        <f t="shared" si="0"/>
        <v>237734.04700000002</v>
      </c>
      <c r="T34" s="34">
        <v>233168.19999999998</v>
      </c>
      <c r="U34" s="34">
        <f t="shared" si="1"/>
        <v>4565.847000000038</v>
      </c>
      <c r="V34" s="34"/>
      <c r="W34" s="49">
        <v>3369.51</v>
      </c>
      <c r="X34" s="34">
        <v>3369.51</v>
      </c>
      <c r="Y34" s="34">
        <f t="shared" si="2"/>
        <v>0</v>
      </c>
      <c r="Z34" s="34"/>
      <c r="AA34" s="34"/>
      <c r="AB34" s="34"/>
      <c r="AC34" s="32"/>
    </row>
    <row r="35" spans="1:29" ht="18.75" customHeight="1">
      <c r="A35" s="3">
        <v>27</v>
      </c>
      <c r="B35" s="419" t="s">
        <v>468</v>
      </c>
      <c r="C35" s="420"/>
      <c r="D35" s="382" t="s">
        <v>412</v>
      </c>
      <c r="E35" s="53" t="s">
        <v>199</v>
      </c>
      <c r="F35" s="54">
        <f>13492.21</f>
        <v>13492.21</v>
      </c>
      <c r="G35" s="49"/>
      <c r="H35" s="49">
        <f t="shared" ref="H35:H36" si="20">F35*300%</f>
        <v>40476.629999999997</v>
      </c>
      <c r="I35" s="49">
        <f t="shared" ref="I35:I36" si="21">F35*7.5%</f>
        <v>1011.9157499999999</v>
      </c>
      <c r="J35" s="49"/>
      <c r="K35" s="49">
        <f t="shared" ref="K35:K36" si="22">F35*50%</f>
        <v>6746.1049999999996</v>
      </c>
      <c r="L35" s="34">
        <f t="shared" ref="L35:L36" si="23">F35*350%</f>
        <v>47222.735000000001</v>
      </c>
      <c r="M35" s="49">
        <f t="shared" ref="M35" si="24">F35*100%</f>
        <v>13492.21</v>
      </c>
      <c r="N35" s="25"/>
      <c r="O35" s="25">
        <f>50000</f>
        <v>50000</v>
      </c>
      <c r="P35" s="49">
        <f t="shared" ref="P35" si="25">F35*10%</f>
        <v>1349.221</v>
      </c>
      <c r="Q35" s="49">
        <v>10000</v>
      </c>
      <c r="R35" s="49"/>
      <c r="S35" s="34">
        <f t="shared" ref="S35:S36" si="26">SUM(F35:R35)</f>
        <v>183791.02674999999</v>
      </c>
      <c r="T35" s="34">
        <v>180304.068</v>
      </c>
      <c r="U35" s="34">
        <f t="shared" si="1"/>
        <v>3486.9587499999907</v>
      </c>
      <c r="V35" s="34"/>
      <c r="W35" s="49">
        <v>1484.37</v>
      </c>
      <c r="X35" s="34">
        <v>1484.37</v>
      </c>
      <c r="Y35" s="34">
        <f t="shared" si="2"/>
        <v>0</v>
      </c>
      <c r="Z35" s="34"/>
      <c r="AA35" s="34"/>
      <c r="AB35" s="34"/>
      <c r="AC35" s="32"/>
    </row>
    <row r="36" spans="1:29" ht="18.75" customHeight="1">
      <c r="A36" s="3">
        <v>28</v>
      </c>
      <c r="B36" s="383" t="s">
        <v>77</v>
      </c>
      <c r="C36" s="384"/>
      <c r="D36" s="382" t="s">
        <v>412</v>
      </c>
      <c r="E36" s="53" t="s">
        <v>647</v>
      </c>
      <c r="F36" s="54">
        <f>13112.16</f>
        <v>13112.16</v>
      </c>
      <c r="G36" s="49"/>
      <c r="H36" s="49">
        <f t="shared" si="20"/>
        <v>39336.479999999996</v>
      </c>
      <c r="I36" s="49">
        <f t="shared" si="21"/>
        <v>983.41199999999992</v>
      </c>
      <c r="J36" s="49"/>
      <c r="K36" s="49">
        <f t="shared" si="22"/>
        <v>6556.08</v>
      </c>
      <c r="L36" s="34">
        <f t="shared" si="23"/>
        <v>45892.56</v>
      </c>
      <c r="M36" s="49">
        <f>F36*100%</f>
        <v>13112.16</v>
      </c>
      <c r="N36" s="25"/>
      <c r="O36" s="25">
        <f>50000</f>
        <v>50000</v>
      </c>
      <c r="P36" s="49">
        <f>F36*10%</f>
        <v>1311.2160000000001</v>
      </c>
      <c r="Q36" s="49">
        <v>10000</v>
      </c>
      <c r="S36" s="49">
        <f t="shared" si="26"/>
        <v>180304.068</v>
      </c>
      <c r="T36" s="49">
        <v>176816.1</v>
      </c>
      <c r="U36" s="34">
        <f t="shared" si="1"/>
        <v>3487.9679999999935</v>
      </c>
      <c r="V36" s="34"/>
      <c r="W36" s="49">
        <f>(1484.37)</f>
        <v>1484.37</v>
      </c>
      <c r="X36" s="34">
        <v>1484.37</v>
      </c>
      <c r="Y36" s="34">
        <f t="shared" si="2"/>
        <v>0</v>
      </c>
      <c r="Z36" s="34"/>
      <c r="AA36" s="34"/>
      <c r="AB36" s="34"/>
      <c r="AC36" s="32"/>
    </row>
    <row r="37" spans="1:29" ht="18.75" customHeight="1">
      <c r="A37" s="3">
        <v>29</v>
      </c>
      <c r="B37" s="432" t="s">
        <v>185</v>
      </c>
      <c r="C37" s="433"/>
      <c r="D37" s="92" t="s">
        <v>586</v>
      </c>
      <c r="E37" s="53" t="s">
        <v>648</v>
      </c>
      <c r="F37" s="24">
        <f>13112.16</f>
        <v>13112.16</v>
      </c>
      <c r="G37" s="24"/>
      <c r="H37" s="24">
        <f>F37*300%</f>
        <v>39336.479999999996</v>
      </c>
      <c r="I37" s="24">
        <f>F37*7.5%</f>
        <v>983.41199999999992</v>
      </c>
      <c r="J37" s="24"/>
      <c r="K37" s="24">
        <f>F37*50%</f>
        <v>6556.08</v>
      </c>
      <c r="L37" s="24">
        <f>F37*350%</f>
        <v>45892.56</v>
      </c>
      <c r="M37" s="24">
        <f>F37*100%</f>
        <v>13112.16</v>
      </c>
      <c r="N37" s="25"/>
      <c r="O37" s="25">
        <f>50000</f>
        <v>50000</v>
      </c>
      <c r="P37" s="24">
        <f>F37*10%</f>
        <v>1311.2160000000001</v>
      </c>
      <c r="Q37" s="24">
        <v>10000</v>
      </c>
      <c r="R37" s="24"/>
      <c r="S37" s="34">
        <f t="shared" si="0"/>
        <v>180304.068</v>
      </c>
      <c r="T37" s="34">
        <v>176816.09999999998</v>
      </c>
      <c r="U37" s="34">
        <f t="shared" si="1"/>
        <v>3487.9680000000226</v>
      </c>
      <c r="V37" s="34"/>
      <c r="W37" s="25">
        <f t="shared" ref="W37:W38" si="27">1484.37</f>
        <v>1484.37</v>
      </c>
      <c r="X37" s="34">
        <v>1484.37</v>
      </c>
      <c r="Y37" s="34">
        <f t="shared" si="2"/>
        <v>0</v>
      </c>
      <c r="Z37" s="34"/>
      <c r="AA37" s="34"/>
      <c r="AB37" s="34"/>
      <c r="AC37" s="32"/>
    </row>
    <row r="38" spans="1:29" ht="18.75" customHeight="1">
      <c r="A38" s="3">
        <v>30</v>
      </c>
      <c r="B38" s="380" t="s">
        <v>82</v>
      </c>
      <c r="C38" s="381"/>
      <c r="D38" s="92" t="s">
        <v>83</v>
      </c>
      <c r="E38" s="53" t="s">
        <v>90</v>
      </c>
      <c r="F38" s="24">
        <f>12351.94</f>
        <v>12351.94</v>
      </c>
      <c r="G38" s="24"/>
      <c r="H38" s="24">
        <f>F38*300%</f>
        <v>37055.82</v>
      </c>
      <c r="I38" s="24">
        <f>F38*7.5%</f>
        <v>926.39549999999997</v>
      </c>
      <c r="J38" s="24"/>
      <c r="K38" s="24">
        <f>F38*50%</f>
        <v>6175.97</v>
      </c>
      <c r="L38" s="24">
        <f>F38*350%</f>
        <v>43231.79</v>
      </c>
      <c r="M38" s="24">
        <f>F38*100%</f>
        <v>12351.94</v>
      </c>
      <c r="N38" s="25"/>
      <c r="O38" s="25">
        <f>50000</f>
        <v>50000</v>
      </c>
      <c r="P38" s="24">
        <f>F38*10%</f>
        <v>1235.1940000000002</v>
      </c>
      <c r="Q38" s="24">
        <v>10000</v>
      </c>
      <c r="R38" s="24"/>
      <c r="S38" s="34">
        <f t="shared" si="0"/>
        <v>173329.04949999999</v>
      </c>
      <c r="T38" s="34">
        <v>173329.04949999999</v>
      </c>
      <c r="U38" s="34">
        <f t="shared" si="1"/>
        <v>0</v>
      </c>
      <c r="V38" s="34"/>
      <c r="W38" s="25">
        <f t="shared" si="27"/>
        <v>1484.37</v>
      </c>
      <c r="X38" s="34">
        <v>1484.37</v>
      </c>
      <c r="Y38" s="34">
        <f t="shared" si="2"/>
        <v>0</v>
      </c>
      <c r="Z38" s="34"/>
      <c r="AA38" s="34"/>
      <c r="AB38" s="34"/>
      <c r="AC38" s="32"/>
    </row>
    <row r="39" spans="1:29" ht="18.75" customHeight="1">
      <c r="A39" s="3"/>
      <c r="B39" s="429" t="s">
        <v>91</v>
      </c>
      <c r="C39" s="429"/>
      <c r="D39" s="379">
        <v>30</v>
      </c>
      <c r="E39" s="53"/>
      <c r="F39" s="55">
        <f t="shared" ref="F39:S39" si="28">SUM(F9:F38)</f>
        <v>942987.95000000007</v>
      </c>
      <c r="G39" s="55">
        <f t="shared" si="28"/>
        <v>0</v>
      </c>
      <c r="H39" s="55">
        <f t="shared" si="28"/>
        <v>2668475.0999999987</v>
      </c>
      <c r="I39" s="55">
        <f t="shared" si="28"/>
        <v>106834.06999999998</v>
      </c>
      <c r="J39" s="55">
        <f t="shared" si="28"/>
        <v>826982.66</v>
      </c>
      <c r="K39" s="55">
        <f t="shared" si="28"/>
        <v>463469.54000000004</v>
      </c>
      <c r="L39" s="55">
        <f t="shared" si="28"/>
        <v>2738747.2</v>
      </c>
      <c r="M39" s="55">
        <f t="shared" si="28"/>
        <v>902865.77000000014</v>
      </c>
      <c r="N39" s="72">
        <f t="shared" si="28"/>
        <v>1170000</v>
      </c>
      <c r="O39" s="72">
        <f t="shared" si="28"/>
        <v>1530000</v>
      </c>
      <c r="P39" s="55">
        <f t="shared" si="28"/>
        <v>94298.8</v>
      </c>
      <c r="Q39" s="55">
        <f t="shared" si="28"/>
        <v>470000</v>
      </c>
      <c r="R39" s="55">
        <f t="shared" si="28"/>
        <v>875235</v>
      </c>
      <c r="S39" s="55">
        <f t="shared" si="28"/>
        <v>12789896.090000004</v>
      </c>
      <c r="T39" s="55">
        <v>12388712.888249997</v>
      </c>
      <c r="U39" s="68">
        <f>SUM(U9:U38)</f>
        <v>135911.20175000039</v>
      </c>
      <c r="V39" s="55"/>
      <c r="W39" s="55">
        <f t="shared" ref="W39" si="29">SUM(W9:W38)</f>
        <v>411374.07000000012</v>
      </c>
      <c r="X39" s="55">
        <v>411374.07000000012</v>
      </c>
      <c r="Y39" s="34">
        <f t="shared" si="2"/>
        <v>0</v>
      </c>
      <c r="Z39" s="55"/>
      <c r="AA39" s="55"/>
      <c r="AB39" s="55"/>
      <c r="AC39" s="32"/>
    </row>
    <row r="40" spans="1:29" ht="18.75" customHeight="1">
      <c r="A40" s="3"/>
      <c r="B40" s="385"/>
      <c r="C40" s="385"/>
      <c r="D40" s="31"/>
      <c r="E40" s="53"/>
      <c r="F40" s="55"/>
      <c r="G40" s="55"/>
      <c r="H40" s="55"/>
      <c r="I40" s="55"/>
      <c r="J40" s="55"/>
      <c r="K40" s="55"/>
      <c r="L40" s="55"/>
      <c r="M40" s="55"/>
      <c r="N40" s="25"/>
      <c r="O40" s="25"/>
      <c r="P40" s="55"/>
      <c r="Q40" s="55"/>
      <c r="R40" s="55"/>
      <c r="S40" s="55"/>
      <c r="T40" s="55"/>
      <c r="U40" s="34">
        <f t="shared" si="1"/>
        <v>0</v>
      </c>
      <c r="V40" s="55"/>
      <c r="W40" s="55"/>
      <c r="X40" s="55"/>
      <c r="Y40" s="34">
        <f t="shared" si="2"/>
        <v>0</v>
      </c>
      <c r="Z40" s="55"/>
      <c r="AA40" s="55"/>
      <c r="AB40" s="55"/>
    </row>
    <row r="41" spans="1:29" ht="18.75" customHeight="1">
      <c r="A41" s="3"/>
      <c r="B41" s="429" t="s">
        <v>92</v>
      </c>
      <c r="C41" s="429"/>
      <c r="D41" s="31"/>
      <c r="E41" s="53"/>
      <c r="F41" s="49"/>
      <c r="G41" s="49"/>
      <c r="H41" s="49"/>
      <c r="I41" s="49"/>
      <c r="J41" s="49"/>
      <c r="K41" s="49"/>
      <c r="L41" s="34"/>
      <c r="M41" s="49"/>
      <c r="N41" s="25"/>
      <c r="O41" s="25"/>
      <c r="P41" s="49"/>
      <c r="Q41" s="49"/>
      <c r="R41" s="49"/>
      <c r="S41" s="34"/>
      <c r="T41" s="34"/>
      <c r="U41" s="34">
        <f t="shared" si="1"/>
        <v>0</v>
      </c>
      <c r="V41" s="34"/>
      <c r="W41" s="49"/>
      <c r="X41" s="34"/>
      <c r="Y41" s="34">
        <f t="shared" si="2"/>
        <v>0</v>
      </c>
      <c r="Z41" s="34"/>
      <c r="AA41" s="34"/>
      <c r="AB41" s="34"/>
    </row>
    <row r="42" spans="1:29" ht="18.75" customHeight="1">
      <c r="A42" s="3">
        <v>1</v>
      </c>
      <c r="B42" s="383" t="s">
        <v>93</v>
      </c>
      <c r="C42" s="384"/>
      <c r="D42" s="31" t="s">
        <v>94</v>
      </c>
      <c r="E42" s="3" t="s">
        <v>650</v>
      </c>
      <c r="F42" s="49">
        <f>79039.64</f>
        <v>79039.64</v>
      </c>
      <c r="G42" s="49"/>
      <c r="H42" s="49">
        <f>F42*300%</f>
        <v>237118.91999999998</v>
      </c>
      <c r="I42" s="49">
        <f>F42*7.5%</f>
        <v>5927.973</v>
      </c>
      <c r="J42" s="49">
        <v>80244.38</v>
      </c>
      <c r="K42" s="49">
        <f>F42*50%</f>
        <v>39519.82</v>
      </c>
      <c r="L42" s="49">
        <f>F42*350%</f>
        <v>276638.74</v>
      </c>
      <c r="M42" s="49">
        <f t="shared" ref="M42" si="30">F42*100%</f>
        <v>79039.64</v>
      </c>
      <c r="N42" s="25"/>
      <c r="O42" s="25">
        <f>100000</f>
        <v>100000</v>
      </c>
      <c r="P42" s="49">
        <f t="shared" ref="P42" si="31">F42*10%</f>
        <v>7903.9639999999999</v>
      </c>
      <c r="Q42" s="49">
        <v>20000</v>
      </c>
      <c r="R42" s="49"/>
      <c r="S42" s="34">
        <f>SUM(F42:R42)</f>
        <v>925433.07700000005</v>
      </c>
      <c r="T42" s="34">
        <v>900657.45750000014</v>
      </c>
      <c r="U42" s="34">
        <f t="shared" si="1"/>
        <v>24775.619499999913</v>
      </c>
      <c r="V42" s="34"/>
      <c r="W42" s="49">
        <f>(52776.63)</f>
        <v>52776.63</v>
      </c>
      <c r="X42" s="34">
        <v>52776.63</v>
      </c>
      <c r="Y42" s="34">
        <f t="shared" si="2"/>
        <v>0</v>
      </c>
      <c r="Z42" s="34"/>
      <c r="AA42" s="34"/>
      <c r="AB42" s="34"/>
    </row>
    <row r="43" spans="1:29" ht="19.5" customHeight="1">
      <c r="A43" s="3"/>
      <c r="B43" s="31"/>
      <c r="C43" s="20" t="s">
        <v>91</v>
      </c>
      <c r="D43" s="379">
        <v>1</v>
      </c>
      <c r="E43" s="3"/>
      <c r="F43" s="55">
        <f t="shared" ref="F43:M43" si="32">SUM(F42:F42)</f>
        <v>79039.64</v>
      </c>
      <c r="G43" s="55">
        <f t="shared" si="32"/>
        <v>0</v>
      </c>
      <c r="H43" s="55">
        <f t="shared" si="32"/>
        <v>237118.91999999998</v>
      </c>
      <c r="I43" s="55">
        <f t="shared" si="32"/>
        <v>5927.973</v>
      </c>
      <c r="J43" s="55">
        <f t="shared" si="32"/>
        <v>80244.38</v>
      </c>
      <c r="K43" s="55">
        <f t="shared" si="32"/>
        <v>39519.82</v>
      </c>
      <c r="L43" s="55">
        <f t="shared" si="32"/>
        <v>276638.74</v>
      </c>
      <c r="M43" s="55">
        <f t="shared" si="32"/>
        <v>79039.64</v>
      </c>
      <c r="N43" s="72"/>
      <c r="O43" s="72">
        <f>SUM(O42:O42)</f>
        <v>100000</v>
      </c>
      <c r="P43" s="55">
        <f>SUM(P42:P42)</f>
        <v>7903.9639999999999</v>
      </c>
      <c r="Q43" s="55">
        <f>SUM(Q42:Q42)</f>
        <v>20000</v>
      </c>
      <c r="R43" s="55">
        <f>SUM(R42:R42)</f>
        <v>0</v>
      </c>
      <c r="S43" s="55">
        <f>SUM(S42:S42)</f>
        <v>925433.07700000005</v>
      </c>
      <c r="T43" s="55">
        <v>900657.45750000014</v>
      </c>
      <c r="U43" s="68">
        <f t="shared" si="1"/>
        <v>24775.619499999913</v>
      </c>
      <c r="V43" s="55"/>
      <c r="W43" s="55">
        <f>SUM(W42:W42)</f>
        <v>52776.63</v>
      </c>
      <c r="X43" s="55">
        <v>52776.63</v>
      </c>
      <c r="Y43" s="34">
        <f t="shared" si="2"/>
        <v>0</v>
      </c>
      <c r="Z43" s="55"/>
      <c r="AA43" s="55"/>
      <c r="AB43" s="55"/>
    </row>
    <row r="44" spans="1:29" ht="20.100000000000001" customHeight="1">
      <c r="A44" s="3"/>
      <c r="B44" s="446"/>
      <c r="C44" s="447"/>
      <c r="D44" s="31"/>
      <c r="E44" s="3"/>
      <c r="F44" s="55"/>
      <c r="G44" s="55"/>
      <c r="H44" s="55"/>
      <c r="I44" s="55"/>
      <c r="J44" s="55"/>
      <c r="K44" s="55"/>
      <c r="L44" s="55"/>
      <c r="M44" s="55"/>
      <c r="N44" s="25"/>
      <c r="O44" s="25"/>
      <c r="P44" s="55"/>
      <c r="Q44" s="55"/>
      <c r="R44" s="55"/>
      <c r="S44" s="55"/>
      <c r="T44" s="55"/>
      <c r="U44" s="34">
        <f t="shared" si="1"/>
        <v>0</v>
      </c>
      <c r="V44" s="55"/>
      <c r="W44" s="55"/>
      <c r="X44" s="55"/>
      <c r="Y44" s="34">
        <f t="shared" si="2"/>
        <v>0</v>
      </c>
      <c r="Z44" s="34"/>
      <c r="AA44" s="34"/>
      <c r="AB44" s="34"/>
    </row>
    <row r="45" spans="1:29" ht="20.100000000000001" customHeight="1">
      <c r="A45" s="3"/>
      <c r="B45" s="448" t="s">
        <v>100</v>
      </c>
      <c r="C45" s="449"/>
      <c r="D45" s="91"/>
      <c r="E45" s="2"/>
      <c r="F45" s="55"/>
      <c r="G45" s="55"/>
      <c r="H45" s="55"/>
      <c r="I45" s="34"/>
      <c r="J45" s="34"/>
      <c r="K45" s="34"/>
      <c r="L45" s="34"/>
      <c r="M45" s="34"/>
      <c r="N45" s="25"/>
      <c r="O45" s="25"/>
      <c r="P45" s="34"/>
      <c r="Q45" s="34"/>
      <c r="R45" s="34"/>
      <c r="S45" s="34"/>
      <c r="T45" s="34"/>
      <c r="U45" s="34">
        <f t="shared" si="1"/>
        <v>0</v>
      </c>
      <c r="V45" s="34"/>
      <c r="W45" s="34"/>
      <c r="X45" s="34"/>
      <c r="Y45" s="34">
        <f t="shared" si="2"/>
        <v>0</v>
      </c>
      <c r="Z45" s="34"/>
      <c r="AA45" s="34"/>
      <c r="AB45" s="34"/>
    </row>
    <row r="46" spans="1:29" ht="20.100000000000001" customHeight="1">
      <c r="A46" s="3">
        <v>1</v>
      </c>
      <c r="B46" s="419" t="s">
        <v>101</v>
      </c>
      <c r="C46" s="420"/>
      <c r="D46" s="31" t="s">
        <v>102</v>
      </c>
      <c r="E46" s="3" t="s">
        <v>95</v>
      </c>
      <c r="F46" s="49">
        <f>81740.02</f>
        <v>81740.02</v>
      </c>
      <c r="G46" s="49"/>
      <c r="H46" s="49">
        <f>F46*300%</f>
        <v>245220.06</v>
      </c>
      <c r="I46" s="49">
        <f>F46*7.5%</f>
        <v>6130.5015000000003</v>
      </c>
      <c r="J46" s="49">
        <v>80244.38</v>
      </c>
      <c r="K46" s="49">
        <f>F46*50%</f>
        <v>40870.01</v>
      </c>
      <c r="L46" s="49">
        <f>F46*350%</f>
        <v>286090.07</v>
      </c>
      <c r="M46" s="49">
        <f t="shared" ref="M46:M55" si="33">F46*100%</f>
        <v>81740.02</v>
      </c>
      <c r="N46" s="25">
        <f>200000</f>
        <v>200000</v>
      </c>
      <c r="O46" s="25"/>
      <c r="P46" s="49">
        <f t="shared" ref="P46:P55" si="34">F46*10%</f>
        <v>8174.0020000000004</v>
      </c>
      <c r="Q46" s="49">
        <v>20000</v>
      </c>
      <c r="R46" s="49"/>
      <c r="S46" s="34">
        <f t="shared" ref="S46:S55" si="35">SUM(F46:R46)</f>
        <v>1050209.0635000002</v>
      </c>
      <c r="T46" s="34">
        <v>1050209.0635000002</v>
      </c>
      <c r="U46" s="34">
        <f t="shared" si="1"/>
        <v>0</v>
      </c>
      <c r="V46" s="34"/>
      <c r="W46" s="49">
        <f>52776.63</f>
        <v>52776.63</v>
      </c>
      <c r="X46" s="34">
        <v>52776.63</v>
      </c>
      <c r="Y46" s="34">
        <f t="shared" si="2"/>
        <v>0</v>
      </c>
      <c r="Z46" s="34"/>
      <c r="AA46" s="34"/>
      <c r="AB46" s="34"/>
    </row>
    <row r="47" spans="1:29" ht="20.100000000000001" customHeight="1">
      <c r="A47" s="3">
        <v>2</v>
      </c>
      <c r="B47" s="419" t="s">
        <v>103</v>
      </c>
      <c r="C47" s="420"/>
      <c r="D47" s="31" t="s">
        <v>104</v>
      </c>
      <c r="E47" s="3" t="s">
        <v>45</v>
      </c>
      <c r="F47" s="49">
        <f>33507.5</f>
        <v>33507.5</v>
      </c>
      <c r="G47" s="49"/>
      <c r="H47" s="49">
        <f>F47*300%</f>
        <v>100522.5</v>
      </c>
      <c r="I47" s="49">
        <f>F47*7.5%</f>
        <v>2513.0625</v>
      </c>
      <c r="J47" s="49">
        <v>40122.19</v>
      </c>
      <c r="K47" s="49">
        <f>F47*50%</f>
        <v>16753.75</v>
      </c>
      <c r="L47" s="49">
        <f>F47*350%</f>
        <v>117276.25</v>
      </c>
      <c r="M47" s="49">
        <f>F47*100%</f>
        <v>33507.5</v>
      </c>
      <c r="N47" s="25">
        <f>160000</f>
        <v>160000</v>
      </c>
      <c r="O47" s="25"/>
      <c r="P47" s="49">
        <f>F47*10%</f>
        <v>3350.75</v>
      </c>
      <c r="Q47" s="49">
        <v>20000</v>
      </c>
      <c r="R47" s="49">
        <v>0</v>
      </c>
      <c r="S47" s="34">
        <f>SUM(F47:R47)</f>
        <v>527553.50249999994</v>
      </c>
      <c r="T47" s="34">
        <v>527553.50249999994</v>
      </c>
      <c r="U47" s="34">
        <f t="shared" si="1"/>
        <v>0</v>
      </c>
      <c r="V47" s="34"/>
      <c r="W47" s="49">
        <v>15548.33</v>
      </c>
      <c r="X47" s="34">
        <v>15548.33</v>
      </c>
      <c r="Y47" s="34">
        <f t="shared" si="2"/>
        <v>0</v>
      </c>
      <c r="Z47" s="34"/>
      <c r="AA47" s="34"/>
      <c r="AB47" s="34"/>
    </row>
    <row r="48" spans="1:29" ht="20.100000000000001" customHeight="1">
      <c r="A48" s="3">
        <v>3</v>
      </c>
      <c r="B48" s="419" t="s">
        <v>105</v>
      </c>
      <c r="C48" s="420"/>
      <c r="D48" s="31" t="s">
        <v>109</v>
      </c>
      <c r="E48" s="3" t="s">
        <v>45</v>
      </c>
      <c r="F48" s="49">
        <f>33507.5</f>
        <v>33507.5</v>
      </c>
      <c r="G48" s="49"/>
      <c r="H48" s="49">
        <f>F48*300%</f>
        <v>100522.5</v>
      </c>
      <c r="I48" s="49">
        <f>F48*7.5%</f>
        <v>2513.0625</v>
      </c>
      <c r="J48" s="49">
        <v>40122.19</v>
      </c>
      <c r="K48" s="49">
        <f>F48*50%</f>
        <v>16753.75</v>
      </c>
      <c r="L48" s="49">
        <f>F48*350%</f>
        <v>117276.25</v>
      </c>
      <c r="M48" s="49">
        <f>F48*100%</f>
        <v>33507.5</v>
      </c>
      <c r="N48" s="25">
        <f>160000</f>
        <v>160000</v>
      </c>
      <c r="O48" s="25"/>
      <c r="P48" s="49">
        <f>F48*10%</f>
        <v>3350.75</v>
      </c>
      <c r="Q48" s="49">
        <v>20000</v>
      </c>
      <c r="R48" s="49"/>
      <c r="S48" s="34">
        <f>SUM(F48:R48)</f>
        <v>527553.50249999994</v>
      </c>
      <c r="T48" s="34">
        <v>527553.50249999994</v>
      </c>
      <c r="U48" s="34">
        <f t="shared" si="1"/>
        <v>0</v>
      </c>
      <c r="V48" s="34"/>
      <c r="W48" s="49">
        <v>15548.33</v>
      </c>
      <c r="X48" s="34">
        <v>15548.33</v>
      </c>
      <c r="Y48" s="34">
        <f t="shared" si="2"/>
        <v>0</v>
      </c>
      <c r="Z48" s="34"/>
      <c r="AA48" s="34"/>
      <c r="AB48" s="34"/>
    </row>
    <row r="49" spans="1:28" ht="20.100000000000001" customHeight="1">
      <c r="A49" s="3">
        <v>4</v>
      </c>
      <c r="B49" s="419" t="s">
        <v>108</v>
      </c>
      <c r="C49" s="420"/>
      <c r="D49" s="31" t="s">
        <v>109</v>
      </c>
      <c r="E49" s="3" t="s">
        <v>111</v>
      </c>
      <c r="F49" s="49">
        <f>32263.2</f>
        <v>32263.200000000001</v>
      </c>
      <c r="G49" s="49"/>
      <c r="H49" s="49">
        <f>F49*300%</f>
        <v>96789.6</v>
      </c>
      <c r="I49" s="49">
        <f>F49*7.5%</f>
        <v>2419.7399999999998</v>
      </c>
      <c r="J49" s="49">
        <v>40122.19</v>
      </c>
      <c r="K49" s="49">
        <f>F49*50%</f>
        <v>16131.6</v>
      </c>
      <c r="L49" s="49">
        <f>F49*350%</f>
        <v>112921.2</v>
      </c>
      <c r="M49" s="49">
        <f>F49*100%</f>
        <v>32263.200000000001</v>
      </c>
      <c r="N49" s="25">
        <f>160000</f>
        <v>160000</v>
      </c>
      <c r="O49" s="25"/>
      <c r="P49" s="49">
        <f>F49*10%</f>
        <v>3226.32</v>
      </c>
      <c r="Q49" s="49">
        <v>20000</v>
      </c>
      <c r="R49" s="49"/>
      <c r="S49" s="34">
        <f>SUM(F49:R49)</f>
        <v>516137.05000000005</v>
      </c>
      <c r="T49" s="34">
        <v>504720.04700000002</v>
      </c>
      <c r="U49" s="34">
        <f t="shared" si="1"/>
        <v>11417.003000000026</v>
      </c>
      <c r="V49" s="34"/>
      <c r="W49" s="49">
        <f>15548.33</f>
        <v>15548.33</v>
      </c>
      <c r="X49" s="34">
        <v>15548.33</v>
      </c>
      <c r="Y49" s="34">
        <f t="shared" si="2"/>
        <v>0</v>
      </c>
      <c r="Z49" s="34"/>
      <c r="AA49" s="34"/>
      <c r="AB49" s="34"/>
    </row>
    <row r="50" spans="1:28" ht="20.100000000000001" customHeight="1">
      <c r="A50" s="3">
        <v>5</v>
      </c>
      <c r="B50" s="419" t="s">
        <v>110</v>
      </c>
      <c r="C50" s="420"/>
      <c r="D50" s="31" t="s">
        <v>115</v>
      </c>
      <c r="E50" s="3" t="s">
        <v>413</v>
      </c>
      <c r="F50" s="49">
        <f>28489.81</f>
        <v>28489.81</v>
      </c>
      <c r="G50" s="49"/>
      <c r="H50" s="49">
        <f t="shared" ref="H50:H55" si="36">F50*300%</f>
        <v>85469.430000000008</v>
      </c>
      <c r="I50" s="49">
        <f t="shared" ref="I50:I55" si="37">F50*7.5%</f>
        <v>2136.7357499999998</v>
      </c>
      <c r="J50" s="49">
        <v>0</v>
      </c>
      <c r="K50" s="49">
        <f t="shared" ref="K50:K55" si="38">F50*50%</f>
        <v>14244.905000000001</v>
      </c>
      <c r="L50" s="49">
        <f t="shared" ref="L50:L55" si="39">F50*350%</f>
        <v>99714.335000000006</v>
      </c>
      <c r="M50" s="49">
        <f t="shared" si="33"/>
        <v>28489.81</v>
      </c>
      <c r="N50" s="25">
        <f t="shared" ref="N50:N51" si="40">140000</f>
        <v>140000</v>
      </c>
      <c r="O50" s="25"/>
      <c r="P50" s="49">
        <f t="shared" si="34"/>
        <v>2848.9810000000002</v>
      </c>
      <c r="Q50" s="49">
        <v>20000</v>
      </c>
      <c r="R50" s="49">
        <v>0</v>
      </c>
      <c r="S50" s="34">
        <f t="shared" si="35"/>
        <v>421394.00675000006</v>
      </c>
      <c r="T50" s="34">
        <v>421394.00675000006</v>
      </c>
      <c r="U50" s="34">
        <f t="shared" si="1"/>
        <v>0</v>
      </c>
      <c r="V50" s="34"/>
      <c r="W50" s="49">
        <v>7709.76</v>
      </c>
      <c r="X50" s="34">
        <v>7709.76</v>
      </c>
      <c r="Y50" s="34">
        <f t="shared" si="2"/>
        <v>0</v>
      </c>
      <c r="Z50" s="34"/>
      <c r="AA50" s="34"/>
      <c r="AB50" s="34"/>
    </row>
    <row r="51" spans="1:28" ht="20.100000000000001" customHeight="1">
      <c r="A51" s="3">
        <v>6</v>
      </c>
      <c r="B51" s="419" t="s">
        <v>112</v>
      </c>
      <c r="C51" s="420"/>
      <c r="D51" s="31" t="s">
        <v>115</v>
      </c>
      <c r="E51" s="3" t="s">
        <v>54</v>
      </c>
      <c r="F51" s="49">
        <f>26732.65</f>
        <v>26732.65</v>
      </c>
      <c r="G51" s="49"/>
      <c r="H51" s="49">
        <f t="shared" si="36"/>
        <v>80197.950000000012</v>
      </c>
      <c r="I51" s="49">
        <f t="shared" si="37"/>
        <v>2004.94875</v>
      </c>
      <c r="J51" s="49"/>
      <c r="K51" s="49">
        <f t="shared" si="38"/>
        <v>13366.325000000001</v>
      </c>
      <c r="L51" s="49">
        <f t="shared" si="39"/>
        <v>93564.275000000009</v>
      </c>
      <c r="M51" s="49">
        <f t="shared" si="33"/>
        <v>26732.65</v>
      </c>
      <c r="N51" s="25">
        <f t="shared" si="40"/>
        <v>140000</v>
      </c>
      <c r="O51" s="25"/>
      <c r="P51" s="49">
        <f t="shared" si="34"/>
        <v>2673.2650000000003</v>
      </c>
      <c r="Q51" s="49">
        <v>20000</v>
      </c>
      <c r="R51" s="49"/>
      <c r="S51" s="34">
        <f t="shared" si="35"/>
        <v>405272.06374999997</v>
      </c>
      <c r="T51" s="34">
        <v>397211.36749999999</v>
      </c>
      <c r="U51" s="34">
        <f t="shared" si="1"/>
        <v>8060.696249999979</v>
      </c>
      <c r="V51" s="34"/>
      <c r="W51" s="49">
        <v>7709.76</v>
      </c>
      <c r="X51" s="34">
        <v>7709.76</v>
      </c>
      <c r="Y51" s="34">
        <f t="shared" si="2"/>
        <v>0</v>
      </c>
      <c r="Z51" s="34"/>
      <c r="AA51" s="34"/>
      <c r="AB51" s="34"/>
    </row>
    <row r="52" spans="1:28" ht="20.100000000000001" customHeight="1">
      <c r="A52" s="3">
        <v>7</v>
      </c>
      <c r="B52" s="427" t="s">
        <v>113</v>
      </c>
      <c r="C52" s="428"/>
      <c r="D52" s="31" t="s">
        <v>53</v>
      </c>
      <c r="E52" s="23" t="s">
        <v>54</v>
      </c>
      <c r="F52" s="24">
        <f>26732.65</f>
        <v>26732.65</v>
      </c>
      <c r="G52" s="24"/>
      <c r="H52" s="24">
        <f>F52*300%</f>
        <v>80197.950000000012</v>
      </c>
      <c r="I52" s="24">
        <f>F52*7.5%</f>
        <v>2004.94875</v>
      </c>
      <c r="J52" s="24"/>
      <c r="K52" s="24">
        <f>F52*50%</f>
        <v>13366.325000000001</v>
      </c>
      <c r="L52" s="24">
        <f>F52*350%</f>
        <v>93564.275000000009</v>
      </c>
      <c r="M52" s="24">
        <f>F52*100%</f>
        <v>26732.65</v>
      </c>
      <c r="N52" s="25">
        <f>140000</f>
        <v>140000</v>
      </c>
      <c r="O52" s="25"/>
      <c r="P52" s="24">
        <f>F52*10%</f>
        <v>2673.2650000000003</v>
      </c>
      <c r="Q52" s="24">
        <v>20000</v>
      </c>
      <c r="R52" s="24"/>
      <c r="S52" s="34">
        <f>SUM(F52:R52)</f>
        <v>405272.06374999997</v>
      </c>
      <c r="T52" s="34">
        <v>397211.36749999999</v>
      </c>
      <c r="U52" s="34">
        <f t="shared" si="1"/>
        <v>8060.696249999979</v>
      </c>
      <c r="V52" s="22"/>
      <c r="W52" s="22">
        <v>7709.76</v>
      </c>
      <c r="X52" s="22">
        <v>7709.76</v>
      </c>
      <c r="Y52" s="34">
        <f t="shared" si="2"/>
        <v>0</v>
      </c>
      <c r="Z52" s="34"/>
      <c r="AA52" s="34"/>
      <c r="AB52" s="34"/>
    </row>
    <row r="53" spans="1:28" ht="20.100000000000001" customHeight="1">
      <c r="A53" s="3">
        <v>8</v>
      </c>
      <c r="B53" s="419" t="s">
        <v>473</v>
      </c>
      <c r="C53" s="420"/>
      <c r="D53" s="31" t="s">
        <v>136</v>
      </c>
      <c r="E53" s="3" t="s">
        <v>168</v>
      </c>
      <c r="F53" s="49">
        <f>25523.45</f>
        <v>25523.45</v>
      </c>
      <c r="G53" s="49"/>
      <c r="H53" s="49">
        <f t="shared" si="36"/>
        <v>76570.350000000006</v>
      </c>
      <c r="I53" s="49">
        <f t="shared" si="37"/>
        <v>1914.25875</v>
      </c>
      <c r="J53" s="49">
        <v>0</v>
      </c>
      <c r="K53" s="49">
        <f t="shared" si="38"/>
        <v>12761.725</v>
      </c>
      <c r="L53" s="49">
        <f t="shared" si="39"/>
        <v>89332.074999999997</v>
      </c>
      <c r="M53" s="49">
        <f t="shared" si="33"/>
        <v>25523.45</v>
      </c>
      <c r="N53" s="25">
        <f>120000</f>
        <v>120000</v>
      </c>
      <c r="O53" s="25"/>
      <c r="P53" s="49">
        <f t="shared" si="34"/>
        <v>2552.3450000000003</v>
      </c>
      <c r="Q53" s="49">
        <v>15000</v>
      </c>
      <c r="R53" s="49">
        <v>0</v>
      </c>
      <c r="S53" s="34">
        <f t="shared" si="35"/>
        <v>369177.65375</v>
      </c>
      <c r="T53" s="34">
        <v>362001.06049999996</v>
      </c>
      <c r="U53" s="34">
        <f t="shared" si="1"/>
        <v>7176.5932500000345</v>
      </c>
      <c r="V53" s="34"/>
      <c r="W53" s="49">
        <v>7709.76</v>
      </c>
      <c r="X53" s="34">
        <v>7709.76</v>
      </c>
      <c r="Y53" s="34">
        <f t="shared" si="2"/>
        <v>0</v>
      </c>
      <c r="Z53" s="34"/>
      <c r="AA53" s="34"/>
      <c r="AB53" s="34"/>
    </row>
    <row r="54" spans="1:28" ht="20.100000000000001" customHeight="1">
      <c r="A54" s="3">
        <v>9</v>
      </c>
      <c r="B54" s="444" t="s">
        <v>695</v>
      </c>
      <c r="C54" s="445"/>
      <c r="D54" s="93" t="s">
        <v>53</v>
      </c>
      <c r="E54" s="94" t="s">
        <v>116</v>
      </c>
      <c r="F54" s="95">
        <f>25854.1</f>
        <v>25854.1</v>
      </c>
      <c r="G54" s="95"/>
      <c r="H54" s="95">
        <f t="shared" si="36"/>
        <v>77562.299999999988</v>
      </c>
      <c r="I54" s="95">
        <f t="shared" si="37"/>
        <v>1939.0574999999999</v>
      </c>
      <c r="J54" s="95">
        <v>0</v>
      </c>
      <c r="K54" s="95">
        <f t="shared" si="38"/>
        <v>12927.05</v>
      </c>
      <c r="L54" s="95">
        <f t="shared" si="39"/>
        <v>90489.349999999991</v>
      </c>
      <c r="M54" s="95">
        <f t="shared" si="33"/>
        <v>25854.1</v>
      </c>
      <c r="N54" s="96">
        <v>140000</v>
      </c>
      <c r="O54" s="96"/>
      <c r="P54" s="95">
        <f t="shared" si="34"/>
        <v>2585.41</v>
      </c>
      <c r="Q54" s="95">
        <v>20000</v>
      </c>
      <c r="R54" s="95">
        <v>0</v>
      </c>
      <c r="S54" s="97">
        <f t="shared" si="35"/>
        <v>397211.36749999999</v>
      </c>
      <c r="T54" s="97">
        <v>397211.36749999999</v>
      </c>
      <c r="U54" s="34">
        <f t="shared" si="1"/>
        <v>0</v>
      </c>
      <c r="V54" s="97"/>
      <c r="W54" s="95">
        <v>7709.76</v>
      </c>
      <c r="X54" s="97">
        <v>7709.76</v>
      </c>
      <c r="Y54" s="34">
        <f t="shared" si="2"/>
        <v>0</v>
      </c>
      <c r="Z54" s="34"/>
      <c r="AA54" s="34"/>
      <c r="AB54" s="34"/>
    </row>
    <row r="55" spans="1:28" ht="20.100000000000001" customHeight="1">
      <c r="A55" s="3">
        <v>10</v>
      </c>
      <c r="B55" s="432" t="s">
        <v>114</v>
      </c>
      <c r="C55" s="433"/>
      <c r="D55" s="31" t="s">
        <v>167</v>
      </c>
      <c r="E55" s="27" t="s">
        <v>60</v>
      </c>
      <c r="F55" s="24">
        <f>24741.26</f>
        <v>24741.26</v>
      </c>
      <c r="G55" s="49"/>
      <c r="H55" s="24">
        <f t="shared" si="36"/>
        <v>74223.78</v>
      </c>
      <c r="I55" s="24">
        <f t="shared" si="37"/>
        <v>1855.5944999999997</v>
      </c>
      <c r="J55" s="24"/>
      <c r="K55" s="24">
        <f t="shared" si="38"/>
        <v>12370.63</v>
      </c>
      <c r="L55" s="24">
        <f t="shared" si="39"/>
        <v>86594.409999999989</v>
      </c>
      <c r="M55" s="24">
        <f t="shared" si="33"/>
        <v>24741.26</v>
      </c>
      <c r="N55" s="25">
        <f t="shared" ref="N55" si="41">120000</f>
        <v>120000</v>
      </c>
      <c r="O55" s="25"/>
      <c r="P55" s="24">
        <f t="shared" si="34"/>
        <v>2474.1260000000002</v>
      </c>
      <c r="Q55" s="24">
        <v>15000</v>
      </c>
      <c r="R55" s="24"/>
      <c r="S55" s="34">
        <f t="shared" si="35"/>
        <v>362001.06049999996</v>
      </c>
      <c r="T55" s="34">
        <v>354201.02600000001</v>
      </c>
      <c r="U55" s="34">
        <f t="shared" si="1"/>
        <v>7800.0344999999506</v>
      </c>
      <c r="V55" s="22"/>
      <c r="W55" s="24">
        <f>7709.76</f>
        <v>7709.76</v>
      </c>
      <c r="X55" s="22">
        <v>7709.76</v>
      </c>
      <c r="Y55" s="34">
        <f t="shared" si="2"/>
        <v>0</v>
      </c>
      <c r="Z55" s="34"/>
      <c r="AA55" s="34"/>
      <c r="AB55" s="34"/>
    </row>
    <row r="56" spans="1:28" ht="20.100000000000001" customHeight="1">
      <c r="A56" s="3"/>
      <c r="B56" s="438" t="s">
        <v>91</v>
      </c>
      <c r="C56" s="439"/>
      <c r="D56" s="28">
        <v>10</v>
      </c>
      <c r="E56" s="28"/>
      <c r="F56" s="65">
        <f t="shared" ref="F56:N56" si="42">SUM(F46:F55)</f>
        <v>339092.14</v>
      </c>
      <c r="G56" s="65">
        <f t="shared" si="42"/>
        <v>0</v>
      </c>
      <c r="H56" s="65">
        <f t="shared" si="42"/>
        <v>1017276.4199999999</v>
      </c>
      <c r="I56" s="65">
        <f t="shared" si="42"/>
        <v>25431.910499999998</v>
      </c>
      <c r="J56" s="65">
        <f t="shared" si="42"/>
        <v>200610.95</v>
      </c>
      <c r="K56" s="65">
        <f t="shared" si="42"/>
        <v>169546.07</v>
      </c>
      <c r="L56" s="65">
        <f t="shared" si="42"/>
        <v>1186822.49</v>
      </c>
      <c r="M56" s="65">
        <f t="shared" si="42"/>
        <v>339092.14</v>
      </c>
      <c r="N56" s="72">
        <f t="shared" si="42"/>
        <v>1480000</v>
      </c>
      <c r="O56" s="72"/>
      <c r="P56" s="65">
        <f>SUM(P46:P55)</f>
        <v>33909.214</v>
      </c>
      <c r="Q56" s="65">
        <f>SUM(Q46:Q55)</f>
        <v>190000</v>
      </c>
      <c r="R56" s="65">
        <f>SUM(R46:R55)</f>
        <v>0</v>
      </c>
      <c r="S56" s="65">
        <f>SUM(S46:S55)</f>
        <v>4981781.3344999989</v>
      </c>
      <c r="T56" s="65">
        <v>4939266.3112500003</v>
      </c>
      <c r="U56" s="68">
        <f t="shared" si="1"/>
        <v>42515.023249998689</v>
      </c>
      <c r="V56" s="65"/>
      <c r="W56" s="65">
        <f>SUM(W46:W55)</f>
        <v>145680.18</v>
      </c>
      <c r="X56" s="65">
        <v>145680.18</v>
      </c>
      <c r="Y56" s="34">
        <f t="shared" si="2"/>
        <v>0</v>
      </c>
      <c r="Z56" s="65"/>
      <c r="AA56" s="65"/>
      <c r="AB56" s="65"/>
    </row>
    <row r="57" spans="1:28" ht="20.100000000000001" customHeight="1">
      <c r="A57" s="3"/>
      <c r="B57" s="89"/>
      <c r="C57" s="89"/>
      <c r="D57" s="28"/>
      <c r="E57" s="28"/>
      <c r="F57" s="29"/>
      <c r="G57" s="29"/>
      <c r="H57" s="29"/>
      <c r="I57" s="29"/>
      <c r="J57" s="29"/>
      <c r="K57" s="29"/>
      <c r="L57" s="29"/>
      <c r="M57" s="29"/>
      <c r="N57" s="25"/>
      <c r="O57" s="25"/>
      <c r="P57" s="29"/>
      <c r="Q57" s="29"/>
      <c r="R57" s="29"/>
      <c r="S57" s="29"/>
      <c r="T57" s="29"/>
      <c r="U57" s="34">
        <f t="shared" si="1"/>
        <v>0</v>
      </c>
      <c r="V57" s="29"/>
      <c r="W57" s="29"/>
      <c r="X57" s="29"/>
      <c r="Y57" s="34">
        <f t="shared" si="2"/>
        <v>0</v>
      </c>
      <c r="Z57" s="29"/>
      <c r="AA57" s="29"/>
      <c r="AB57" s="29"/>
    </row>
    <row r="58" spans="1:28" ht="20.100000000000001" customHeight="1">
      <c r="A58" s="3"/>
      <c r="B58" s="438" t="s">
        <v>122</v>
      </c>
      <c r="C58" s="439"/>
      <c r="D58" s="28"/>
      <c r="E58" s="28"/>
      <c r="F58" s="29"/>
      <c r="G58" s="29"/>
      <c r="H58" s="29"/>
      <c r="I58" s="29"/>
      <c r="J58" s="29"/>
      <c r="K58" s="29"/>
      <c r="L58" s="29"/>
      <c r="M58" s="29"/>
      <c r="N58" s="25"/>
      <c r="O58" s="25"/>
      <c r="P58" s="29"/>
      <c r="Q58" s="29"/>
      <c r="R58" s="29"/>
      <c r="S58" s="29"/>
      <c r="T58" s="29"/>
      <c r="U58" s="34">
        <f t="shared" si="1"/>
        <v>0</v>
      </c>
      <c r="V58" s="29"/>
      <c r="W58" s="29"/>
      <c r="X58" s="29"/>
      <c r="Y58" s="34">
        <f t="shared" si="2"/>
        <v>0</v>
      </c>
      <c r="Z58" s="29"/>
      <c r="AA58" s="29"/>
      <c r="AB58" s="29"/>
    </row>
    <row r="59" spans="1:28" ht="20.100000000000001" customHeight="1">
      <c r="A59" s="3">
        <v>1</v>
      </c>
      <c r="B59" s="419" t="s">
        <v>123</v>
      </c>
      <c r="C59" s="420"/>
      <c r="D59" s="382" t="s">
        <v>124</v>
      </c>
      <c r="E59" s="53" t="s">
        <v>95</v>
      </c>
      <c r="F59" s="49">
        <f>81740.02</f>
        <v>81740.02</v>
      </c>
      <c r="G59" s="49"/>
      <c r="H59" s="49">
        <f>F59*300%</f>
        <v>245220.06</v>
      </c>
      <c r="I59" s="49">
        <f>F59*7.5%</f>
        <v>6130.5015000000003</v>
      </c>
      <c r="J59" s="49">
        <v>80244.38</v>
      </c>
      <c r="K59" s="49">
        <f>F59*50%</f>
        <v>40870.01</v>
      </c>
      <c r="L59" s="49">
        <f>F59*350%</f>
        <v>286090.07</v>
      </c>
      <c r="M59" s="49">
        <f>F59*100%</f>
        <v>81740.02</v>
      </c>
      <c r="N59" s="25">
        <f>200000</f>
        <v>200000</v>
      </c>
      <c r="O59" s="25"/>
      <c r="P59" s="49">
        <f>F59*10%</f>
        <v>8174.0020000000004</v>
      </c>
      <c r="Q59" s="49">
        <v>20000</v>
      </c>
      <c r="R59" s="49">
        <v>0</v>
      </c>
      <c r="S59" s="34">
        <f>SUM(F59:R59)</f>
        <v>1050209.0635000002</v>
      </c>
      <c r="T59" s="34">
        <v>1050209.0635000002</v>
      </c>
      <c r="U59" s="34">
        <f t="shared" si="1"/>
        <v>0</v>
      </c>
      <c r="V59" s="34"/>
      <c r="W59" s="49">
        <v>52776.63</v>
      </c>
      <c r="X59" s="34">
        <v>52776.63</v>
      </c>
      <c r="Y59" s="34">
        <f t="shared" si="2"/>
        <v>0</v>
      </c>
      <c r="Z59" s="34"/>
      <c r="AA59" s="34"/>
      <c r="AB59" s="34"/>
    </row>
    <row r="60" spans="1:28" ht="20.100000000000001" customHeight="1">
      <c r="A60" s="3">
        <v>2</v>
      </c>
      <c r="B60" s="383" t="s">
        <v>125</v>
      </c>
      <c r="C60" s="384"/>
      <c r="D60" s="382" t="s">
        <v>126</v>
      </c>
      <c r="E60" s="53" t="s">
        <v>127</v>
      </c>
      <c r="F60" s="34">
        <f>32263.2</f>
        <v>32263.200000000001</v>
      </c>
      <c r="G60" s="49"/>
      <c r="H60" s="49">
        <f t="shared" ref="H60" si="43">F60*300%</f>
        <v>96789.6</v>
      </c>
      <c r="I60" s="49">
        <f t="shared" ref="I60" si="44">F60*7.5%</f>
        <v>2419.7399999999998</v>
      </c>
      <c r="J60" s="49">
        <v>40122.19</v>
      </c>
      <c r="K60" s="49">
        <f t="shared" ref="K60" si="45">F60*50%</f>
        <v>16131.6</v>
      </c>
      <c r="L60" s="49">
        <f t="shared" ref="L60" si="46">F60*350%</f>
        <v>112921.2</v>
      </c>
      <c r="M60" s="49">
        <f t="shared" ref="M60" si="47">F60*100%</f>
        <v>32263.200000000001</v>
      </c>
      <c r="N60" s="25"/>
      <c r="O60" s="25">
        <f>80000</f>
        <v>80000</v>
      </c>
      <c r="P60" s="49">
        <f t="shared" ref="P60" si="48">F60*10%</f>
        <v>3226.32</v>
      </c>
      <c r="Q60" s="49">
        <v>20000</v>
      </c>
      <c r="R60" s="50">
        <v>0</v>
      </c>
      <c r="S60" s="34">
        <f t="shared" ref="S60" si="49">SUM(F60:R60)</f>
        <v>436137.05000000005</v>
      </c>
      <c r="T60" s="34">
        <v>424720.04700000002</v>
      </c>
      <c r="U60" s="34">
        <f t="shared" si="1"/>
        <v>11417.003000000026</v>
      </c>
      <c r="V60" s="34"/>
      <c r="W60" s="49">
        <f>15548.33</f>
        <v>15548.33</v>
      </c>
      <c r="X60" s="34">
        <v>15548.33</v>
      </c>
      <c r="Y60" s="34">
        <f t="shared" si="2"/>
        <v>0</v>
      </c>
      <c r="Z60" s="34"/>
      <c r="AA60" s="34"/>
      <c r="AB60" s="34"/>
    </row>
    <row r="61" spans="1:28" ht="20.100000000000001" customHeight="1">
      <c r="A61" s="3"/>
      <c r="B61" s="438" t="s">
        <v>91</v>
      </c>
      <c r="C61" s="439"/>
      <c r="D61" s="28">
        <v>2</v>
      </c>
      <c r="E61" s="28"/>
      <c r="F61" s="65">
        <f>SUM(F59:F60)</f>
        <v>114003.22</v>
      </c>
      <c r="G61" s="65"/>
      <c r="H61" s="65">
        <f t="shared" ref="H61:S61" si="50">SUM(H59:H60)</f>
        <v>342009.66000000003</v>
      </c>
      <c r="I61" s="65">
        <f t="shared" si="50"/>
        <v>8550.2415000000001</v>
      </c>
      <c r="J61" s="65">
        <f t="shared" si="50"/>
        <v>120366.57</v>
      </c>
      <c r="K61" s="65">
        <f t="shared" si="50"/>
        <v>57001.61</v>
      </c>
      <c r="L61" s="65">
        <f t="shared" si="50"/>
        <v>399011.27</v>
      </c>
      <c r="M61" s="65">
        <f t="shared" si="50"/>
        <v>114003.22</v>
      </c>
      <c r="N61" s="72">
        <f t="shared" si="50"/>
        <v>200000</v>
      </c>
      <c r="O61" s="72">
        <f t="shared" si="50"/>
        <v>80000</v>
      </c>
      <c r="P61" s="65">
        <f t="shared" si="50"/>
        <v>11400.322</v>
      </c>
      <c r="Q61" s="65">
        <f t="shared" si="50"/>
        <v>40000</v>
      </c>
      <c r="R61" s="65">
        <f t="shared" si="50"/>
        <v>0</v>
      </c>
      <c r="S61" s="65">
        <f t="shared" si="50"/>
        <v>1486346.1135000002</v>
      </c>
      <c r="T61" s="65">
        <v>1474929.1105000002</v>
      </c>
      <c r="U61" s="68">
        <f t="shared" si="1"/>
        <v>11417.003000000026</v>
      </c>
      <c r="V61" s="65"/>
      <c r="W61" s="65">
        <f>SUM(W59:W60)</f>
        <v>68324.959999999992</v>
      </c>
      <c r="X61" s="65">
        <v>68324.959999999992</v>
      </c>
      <c r="Y61" s="34">
        <f t="shared" si="2"/>
        <v>0</v>
      </c>
      <c r="Z61" s="65"/>
      <c r="AA61" s="65"/>
      <c r="AB61" s="65"/>
    </row>
    <row r="62" spans="1:28" ht="20.100000000000001" customHeight="1">
      <c r="A62" s="3"/>
      <c r="B62" s="438"/>
      <c r="C62" s="439"/>
      <c r="D62" s="28"/>
      <c r="E62" s="28"/>
      <c r="F62" s="29"/>
      <c r="G62" s="29"/>
      <c r="H62" s="29"/>
      <c r="I62" s="29"/>
      <c r="J62" s="29"/>
      <c r="K62" s="29"/>
      <c r="L62" s="29"/>
      <c r="M62" s="29"/>
      <c r="N62" s="25"/>
      <c r="O62" s="25"/>
      <c r="P62" s="29"/>
      <c r="Q62" s="29"/>
      <c r="R62" s="29"/>
      <c r="S62" s="29"/>
      <c r="T62" s="29"/>
      <c r="U62" s="34">
        <f t="shared" si="1"/>
        <v>0</v>
      </c>
      <c r="V62" s="29"/>
      <c r="W62" s="29"/>
      <c r="X62" s="29"/>
      <c r="Y62" s="34">
        <f t="shared" si="2"/>
        <v>0</v>
      </c>
      <c r="Z62" s="29"/>
      <c r="AA62" s="29"/>
      <c r="AB62" s="29"/>
    </row>
    <row r="63" spans="1:28" ht="20.100000000000001" customHeight="1">
      <c r="A63" s="3"/>
      <c r="B63" s="438" t="s">
        <v>651</v>
      </c>
      <c r="C63" s="439"/>
      <c r="D63" s="28"/>
      <c r="E63" s="28"/>
      <c r="F63" s="29"/>
      <c r="G63" s="29"/>
      <c r="H63" s="29"/>
      <c r="I63" s="29"/>
      <c r="J63" s="29"/>
      <c r="K63" s="29"/>
      <c r="L63" s="29"/>
      <c r="M63" s="29"/>
      <c r="N63" s="25"/>
      <c r="O63" s="25"/>
      <c r="P63" s="29"/>
      <c r="Q63" s="29"/>
      <c r="R63" s="29"/>
      <c r="S63" s="29"/>
      <c r="T63" s="29"/>
      <c r="U63" s="34">
        <f t="shared" si="1"/>
        <v>0</v>
      </c>
      <c r="V63" s="29"/>
      <c r="W63" s="29"/>
      <c r="X63" s="29"/>
      <c r="Y63" s="34">
        <f t="shared" si="2"/>
        <v>0</v>
      </c>
      <c r="Z63" s="29"/>
      <c r="AA63" s="29"/>
      <c r="AB63" s="29"/>
    </row>
    <row r="64" spans="1:28" ht="20.100000000000001" customHeight="1">
      <c r="A64" s="3">
        <v>1</v>
      </c>
      <c r="B64" s="432" t="s">
        <v>129</v>
      </c>
      <c r="C64" s="433"/>
      <c r="D64" s="92" t="s">
        <v>130</v>
      </c>
      <c r="E64" s="27" t="s">
        <v>95</v>
      </c>
      <c r="F64" s="24">
        <f>81740.02</f>
        <v>81740.02</v>
      </c>
      <c r="G64" s="24"/>
      <c r="H64" s="24">
        <f t="shared" ref="H64:H75" si="51">F64*300%</f>
        <v>245220.06</v>
      </c>
      <c r="I64" s="24">
        <f t="shared" ref="I64:I75" si="52">F64*7.5%</f>
        <v>6130.5015000000003</v>
      </c>
      <c r="J64" s="49">
        <v>80244.38</v>
      </c>
      <c r="K64" s="24">
        <f t="shared" ref="K64:K75" si="53">F64*50%</f>
        <v>40870.01</v>
      </c>
      <c r="L64" s="24">
        <f t="shared" ref="L64:L75" si="54">F64*350%</f>
        <v>286090.07</v>
      </c>
      <c r="M64" s="24">
        <f t="shared" ref="M64:M75" si="55">F64*100%</f>
        <v>81740.02</v>
      </c>
      <c r="N64" s="25">
        <f>200000</f>
        <v>200000</v>
      </c>
      <c r="O64" s="25"/>
      <c r="P64" s="24">
        <f t="shared" ref="P64:P75" si="56">F64*10%</f>
        <v>8174.0020000000004</v>
      </c>
      <c r="Q64" s="24">
        <v>20000</v>
      </c>
      <c r="R64" s="24">
        <v>0</v>
      </c>
      <c r="S64" s="24">
        <v>1050209.0635000002</v>
      </c>
      <c r="T64" s="24">
        <v>1025433.077</v>
      </c>
      <c r="U64" s="34">
        <f t="shared" si="1"/>
        <v>24775.986500000115</v>
      </c>
      <c r="V64" s="24"/>
      <c r="W64" s="24">
        <f>52776.63</f>
        <v>52776.63</v>
      </c>
      <c r="X64" s="24">
        <v>52776.63</v>
      </c>
      <c r="Y64" s="34">
        <f t="shared" si="2"/>
        <v>0</v>
      </c>
      <c r="Z64" s="24"/>
      <c r="AA64" s="24"/>
      <c r="AB64" s="24"/>
    </row>
    <row r="65" spans="1:28" ht="20.100000000000001" customHeight="1">
      <c r="A65" s="3">
        <v>2</v>
      </c>
      <c r="B65" s="380" t="s">
        <v>131</v>
      </c>
      <c r="C65" s="381"/>
      <c r="D65" s="92" t="s">
        <v>132</v>
      </c>
      <c r="E65" s="53" t="s">
        <v>133</v>
      </c>
      <c r="F65" s="34">
        <v>31018.84</v>
      </c>
      <c r="G65" s="49"/>
      <c r="H65" s="49">
        <f t="shared" si="51"/>
        <v>93056.52</v>
      </c>
      <c r="I65" s="49">
        <f t="shared" si="52"/>
        <v>2326.413</v>
      </c>
      <c r="J65" s="49">
        <v>40122.19</v>
      </c>
      <c r="K65" s="49">
        <f t="shared" si="53"/>
        <v>15509.42</v>
      </c>
      <c r="L65" s="49">
        <f t="shared" si="54"/>
        <v>108565.94</v>
      </c>
      <c r="M65" s="49">
        <f t="shared" si="55"/>
        <v>31018.84</v>
      </c>
      <c r="N65" s="25">
        <f>160000</f>
        <v>160000</v>
      </c>
      <c r="O65" s="25"/>
      <c r="P65" s="49">
        <f t="shared" si="56"/>
        <v>3101.884</v>
      </c>
      <c r="Q65" s="49">
        <v>20000</v>
      </c>
      <c r="R65" s="50">
        <v>0</v>
      </c>
      <c r="S65" s="34">
        <f t="shared" ref="S65:S75" si="57">SUM(F65:R65)</f>
        <v>504720.04700000002</v>
      </c>
      <c r="T65" s="34">
        <v>504720.04700000002</v>
      </c>
      <c r="U65" s="34">
        <f t="shared" si="1"/>
        <v>0</v>
      </c>
      <c r="V65" s="34"/>
      <c r="W65" s="49">
        <f>15548.33</f>
        <v>15548.33</v>
      </c>
      <c r="X65" s="34">
        <v>15548.33</v>
      </c>
      <c r="Y65" s="34">
        <f t="shared" si="2"/>
        <v>0</v>
      </c>
      <c r="Z65" s="24"/>
      <c r="AA65" s="34"/>
      <c r="AB65" s="34"/>
    </row>
    <row r="66" spans="1:28" ht="20.100000000000001" customHeight="1">
      <c r="A66" s="3">
        <v>3</v>
      </c>
      <c r="B66" s="432" t="s">
        <v>696</v>
      </c>
      <c r="C66" s="433"/>
      <c r="D66" s="19" t="s">
        <v>167</v>
      </c>
      <c r="E66" s="27" t="s">
        <v>57</v>
      </c>
      <c r="F66" s="24">
        <f>26339.3</f>
        <v>26339.3</v>
      </c>
      <c r="G66" s="24"/>
      <c r="H66" s="24">
        <f t="shared" si="51"/>
        <v>79017.899999999994</v>
      </c>
      <c r="I66" s="24">
        <f t="shared" si="52"/>
        <v>1975.4474999999998</v>
      </c>
      <c r="J66" s="24"/>
      <c r="K66" s="24">
        <f t="shared" si="53"/>
        <v>13169.65</v>
      </c>
      <c r="L66" s="24">
        <f t="shared" si="54"/>
        <v>92187.55</v>
      </c>
      <c r="M66" s="24">
        <f t="shared" si="55"/>
        <v>26339.3</v>
      </c>
      <c r="N66" s="25">
        <f t="shared" ref="N66:N68" si="58">120000</f>
        <v>120000</v>
      </c>
      <c r="O66" s="25"/>
      <c r="P66" s="24">
        <f t="shared" si="56"/>
        <v>2633.9300000000003</v>
      </c>
      <c r="Q66" s="24">
        <v>15000</v>
      </c>
      <c r="R66" s="24"/>
      <c r="S66" s="34">
        <f t="shared" si="57"/>
        <v>376663.07749999996</v>
      </c>
      <c r="T66" s="34">
        <v>369177.65375</v>
      </c>
      <c r="U66" s="34">
        <f t="shared" si="1"/>
        <v>7485.4237499999581</v>
      </c>
      <c r="V66" s="22"/>
      <c r="W66" s="24">
        <v>7709.76</v>
      </c>
      <c r="X66" s="22">
        <v>7709.76</v>
      </c>
      <c r="Y66" s="34">
        <f t="shared" si="2"/>
        <v>0</v>
      </c>
      <c r="Z66" s="24"/>
      <c r="AA66" s="34"/>
      <c r="AB66" s="34"/>
    </row>
    <row r="67" spans="1:28" ht="20.100000000000001" customHeight="1">
      <c r="A67" s="3">
        <v>4</v>
      </c>
      <c r="B67" s="432" t="s">
        <v>134</v>
      </c>
      <c r="C67" s="433"/>
      <c r="D67" s="31" t="s">
        <v>136</v>
      </c>
      <c r="E67" s="27" t="s">
        <v>60</v>
      </c>
      <c r="F67" s="24">
        <f>24741.26</f>
        <v>24741.26</v>
      </c>
      <c r="G67" s="24"/>
      <c r="H67" s="24">
        <f t="shared" si="51"/>
        <v>74223.78</v>
      </c>
      <c r="I67" s="24">
        <f t="shared" si="52"/>
        <v>1855.5944999999997</v>
      </c>
      <c r="J67" s="24"/>
      <c r="K67" s="24">
        <f t="shared" si="53"/>
        <v>12370.63</v>
      </c>
      <c r="L67" s="24">
        <f t="shared" si="54"/>
        <v>86594.409999999989</v>
      </c>
      <c r="M67" s="24">
        <f t="shared" si="55"/>
        <v>24741.26</v>
      </c>
      <c r="N67" s="25">
        <f t="shared" si="58"/>
        <v>120000</v>
      </c>
      <c r="O67" s="25"/>
      <c r="P67" s="24">
        <f t="shared" si="56"/>
        <v>2474.1260000000002</v>
      </c>
      <c r="Q67" s="24">
        <v>15000</v>
      </c>
      <c r="R67" s="24"/>
      <c r="S67" s="24">
        <f t="shared" si="57"/>
        <v>362001.06049999996</v>
      </c>
      <c r="T67" s="24">
        <v>354201.02600000001</v>
      </c>
      <c r="U67" s="34">
        <f t="shared" si="1"/>
        <v>7800.0344999999506</v>
      </c>
      <c r="V67" s="24"/>
      <c r="W67" s="24">
        <f>7709.76</f>
        <v>7709.76</v>
      </c>
      <c r="X67" s="24">
        <v>7709.76</v>
      </c>
      <c r="Y67" s="34">
        <f t="shared" si="2"/>
        <v>0</v>
      </c>
      <c r="Z67" s="24"/>
      <c r="AA67" s="24"/>
      <c r="AB67" s="24"/>
    </row>
    <row r="68" spans="1:28" ht="20.100000000000001" customHeight="1">
      <c r="A68" s="3">
        <v>5</v>
      </c>
      <c r="B68" s="380" t="s">
        <v>697</v>
      </c>
      <c r="C68" s="381"/>
      <c r="D68" s="92" t="s">
        <v>136</v>
      </c>
      <c r="E68" s="53" t="s">
        <v>643</v>
      </c>
      <c r="F68" s="49">
        <f>23891.12</f>
        <v>23891.119999999999</v>
      </c>
      <c r="G68" s="49"/>
      <c r="H68" s="49">
        <f t="shared" si="51"/>
        <v>71673.36</v>
      </c>
      <c r="I68" s="49">
        <f t="shared" si="52"/>
        <v>1791.8339999999998</v>
      </c>
      <c r="J68" s="49">
        <v>0</v>
      </c>
      <c r="K68" s="49">
        <f t="shared" si="53"/>
        <v>11945.56</v>
      </c>
      <c r="L68" s="34">
        <f t="shared" si="54"/>
        <v>83618.92</v>
      </c>
      <c r="M68" s="49">
        <f t="shared" si="55"/>
        <v>23891.119999999999</v>
      </c>
      <c r="N68" s="25">
        <f t="shared" si="58"/>
        <v>120000</v>
      </c>
      <c r="O68" s="25"/>
      <c r="P68" s="49">
        <f t="shared" si="56"/>
        <v>2389.1120000000001</v>
      </c>
      <c r="Q68" s="49">
        <v>15000</v>
      </c>
      <c r="R68" s="49">
        <v>0</v>
      </c>
      <c r="S68" s="34">
        <f t="shared" si="57"/>
        <v>354201.02600000001</v>
      </c>
      <c r="T68" s="34">
        <v>346713.03325000004</v>
      </c>
      <c r="U68" s="34">
        <f t="shared" si="1"/>
        <v>7487.9927499999758</v>
      </c>
      <c r="V68" s="34"/>
      <c r="W68" s="49">
        <v>7709.76</v>
      </c>
      <c r="X68" s="34">
        <v>7709.76</v>
      </c>
      <c r="Y68" s="34">
        <f t="shared" si="2"/>
        <v>0</v>
      </c>
      <c r="Z68" s="24"/>
      <c r="AA68" s="34"/>
      <c r="AB68" s="34"/>
    </row>
    <row r="69" spans="1:28" ht="20.100000000000001" customHeight="1">
      <c r="A69" s="3">
        <v>6</v>
      </c>
      <c r="B69" s="436" t="s">
        <v>137</v>
      </c>
      <c r="C69" s="437"/>
      <c r="D69" s="92" t="s">
        <v>53</v>
      </c>
      <c r="E69" s="53" t="s">
        <v>54</v>
      </c>
      <c r="F69" s="49">
        <f>26732.65</f>
        <v>26732.65</v>
      </c>
      <c r="G69" s="49"/>
      <c r="H69" s="49">
        <f>F69*300%</f>
        <v>80197.950000000012</v>
      </c>
      <c r="I69" s="49">
        <f>F69*7.5%</f>
        <v>2004.94875</v>
      </c>
      <c r="J69" s="49"/>
      <c r="K69" s="49">
        <f>F69*50%</f>
        <v>13366.325000000001</v>
      </c>
      <c r="L69" s="34">
        <f>F69*350%</f>
        <v>93564.275000000009</v>
      </c>
      <c r="M69" s="49">
        <f>F69*100%</f>
        <v>26732.65</v>
      </c>
      <c r="N69" s="25">
        <f>140000</f>
        <v>140000</v>
      </c>
      <c r="O69" s="25"/>
      <c r="P69" s="49">
        <f>F69*10%</f>
        <v>2673.2650000000003</v>
      </c>
      <c r="Q69" s="49">
        <v>20000</v>
      </c>
      <c r="R69" s="49"/>
      <c r="S69" s="34">
        <f>SUM(F69:R69)</f>
        <v>405272.06374999997</v>
      </c>
      <c r="T69" s="34">
        <v>397211.36749999999</v>
      </c>
      <c r="U69" s="34">
        <f t="shared" si="1"/>
        <v>8060.696249999979</v>
      </c>
      <c r="V69" s="34"/>
      <c r="W69" s="34">
        <f>7709.76</f>
        <v>7709.76</v>
      </c>
      <c r="X69" s="34">
        <v>7709.76</v>
      </c>
      <c r="Y69" s="34">
        <f t="shared" si="2"/>
        <v>0</v>
      </c>
      <c r="Z69" s="24"/>
      <c r="AA69" s="34"/>
      <c r="AB69" s="34"/>
    </row>
    <row r="70" spans="1:28" ht="20.100000000000001" customHeight="1">
      <c r="A70" s="3">
        <v>7</v>
      </c>
      <c r="B70" s="432" t="s">
        <v>138</v>
      </c>
      <c r="C70" s="433"/>
      <c r="D70" s="19" t="s">
        <v>118</v>
      </c>
      <c r="E70" s="27" t="s">
        <v>652</v>
      </c>
      <c r="F70" s="24">
        <f>19774.62</f>
        <v>19774.62</v>
      </c>
      <c r="G70" s="24"/>
      <c r="H70" s="24">
        <f t="shared" si="51"/>
        <v>59323.86</v>
      </c>
      <c r="I70" s="24">
        <f t="shared" si="52"/>
        <v>1483.0964999999999</v>
      </c>
      <c r="J70" s="24">
        <v>0</v>
      </c>
      <c r="K70" s="24">
        <f t="shared" si="53"/>
        <v>9887.31</v>
      </c>
      <c r="L70" s="24">
        <f t="shared" si="54"/>
        <v>69211.17</v>
      </c>
      <c r="M70" s="24">
        <f t="shared" si="55"/>
        <v>19774.62</v>
      </c>
      <c r="N70" s="25">
        <f>100000</f>
        <v>100000</v>
      </c>
      <c r="O70" s="25"/>
      <c r="P70" s="24">
        <f t="shared" si="56"/>
        <v>1977.462</v>
      </c>
      <c r="Q70" s="24">
        <v>10000</v>
      </c>
      <c r="R70" s="24">
        <v>0</v>
      </c>
      <c r="S70" s="34">
        <f t="shared" si="57"/>
        <v>291432.1385</v>
      </c>
      <c r="T70" s="34">
        <v>291432.1385</v>
      </c>
      <c r="U70" s="34">
        <f t="shared" si="1"/>
        <v>0</v>
      </c>
      <c r="V70" s="22"/>
      <c r="W70" s="24">
        <v>3369.51</v>
      </c>
      <c r="X70" s="22">
        <v>3369.51</v>
      </c>
      <c r="Y70" s="34">
        <f t="shared" si="2"/>
        <v>0</v>
      </c>
      <c r="Z70" s="24"/>
      <c r="AA70" s="34"/>
      <c r="AB70" s="34"/>
    </row>
    <row r="71" spans="1:28" ht="20.100000000000001" customHeight="1">
      <c r="A71" s="3">
        <v>8</v>
      </c>
      <c r="B71" s="426" t="s">
        <v>202</v>
      </c>
      <c r="C71" s="426"/>
      <c r="D71" s="92" t="s">
        <v>118</v>
      </c>
      <c r="E71" s="53" t="s">
        <v>66</v>
      </c>
      <c r="F71" s="49">
        <f>21520.88</f>
        <v>21520.880000000001</v>
      </c>
      <c r="G71" s="49"/>
      <c r="H71" s="49">
        <f t="shared" si="51"/>
        <v>64562.64</v>
      </c>
      <c r="I71" s="49">
        <f t="shared" si="52"/>
        <v>1614.066</v>
      </c>
      <c r="J71" s="49">
        <v>0</v>
      </c>
      <c r="K71" s="49">
        <f t="shared" si="53"/>
        <v>10760.44</v>
      </c>
      <c r="L71" s="34">
        <f t="shared" si="54"/>
        <v>75323.08</v>
      </c>
      <c r="M71" s="49">
        <f t="shared" si="55"/>
        <v>21520.880000000001</v>
      </c>
      <c r="N71" s="25">
        <f>110000</f>
        <v>110000</v>
      </c>
      <c r="O71" s="25"/>
      <c r="P71" s="49">
        <f t="shared" si="56"/>
        <v>2152.0880000000002</v>
      </c>
      <c r="Q71" s="49">
        <v>15000</v>
      </c>
      <c r="R71" s="49">
        <v>0</v>
      </c>
      <c r="S71" s="34">
        <f t="shared" si="57"/>
        <v>322454.07400000002</v>
      </c>
      <c r="T71" s="34">
        <v>315372.07500000001</v>
      </c>
      <c r="U71" s="34">
        <f t="shared" si="1"/>
        <v>7081.9990000000107</v>
      </c>
      <c r="V71" s="34"/>
      <c r="W71" s="49">
        <f>3369.51</f>
        <v>3369.51</v>
      </c>
      <c r="X71" s="34">
        <v>3369.51</v>
      </c>
      <c r="Y71" s="34">
        <f t="shared" si="2"/>
        <v>0</v>
      </c>
      <c r="Z71" s="24"/>
      <c r="AA71" s="34"/>
      <c r="AB71" s="34"/>
    </row>
    <row r="72" spans="1:28" ht="20.100000000000001" customHeight="1">
      <c r="A72" s="3">
        <v>9</v>
      </c>
      <c r="B72" s="419" t="s">
        <v>142</v>
      </c>
      <c r="C72" s="420"/>
      <c r="D72" s="31" t="s">
        <v>156</v>
      </c>
      <c r="E72" s="3" t="s">
        <v>419</v>
      </c>
      <c r="F72" s="49">
        <f>18779.3</f>
        <v>18779.3</v>
      </c>
      <c r="G72" s="49"/>
      <c r="H72" s="49">
        <f t="shared" si="51"/>
        <v>56337.899999999994</v>
      </c>
      <c r="I72" s="49">
        <f t="shared" si="52"/>
        <v>1408.4475</v>
      </c>
      <c r="J72" s="49"/>
      <c r="K72" s="49">
        <f t="shared" si="53"/>
        <v>9389.65</v>
      </c>
      <c r="L72" s="49">
        <f t="shared" si="54"/>
        <v>65727.55</v>
      </c>
      <c r="M72" s="49">
        <f t="shared" si="55"/>
        <v>18779.3</v>
      </c>
      <c r="N72" s="25">
        <f t="shared" ref="N72:N75" si="59">100000</f>
        <v>100000</v>
      </c>
      <c r="O72" s="25"/>
      <c r="P72" s="49">
        <f t="shared" si="56"/>
        <v>1877.93</v>
      </c>
      <c r="Q72" s="49">
        <v>10000</v>
      </c>
      <c r="R72" s="49"/>
      <c r="S72" s="34">
        <f t="shared" si="57"/>
        <v>282300.07749999996</v>
      </c>
      <c r="T72" s="34">
        <v>277734.04699999996</v>
      </c>
      <c r="U72" s="34">
        <f t="shared" si="1"/>
        <v>4566.0304999999935</v>
      </c>
      <c r="V72" s="34"/>
      <c r="W72" s="49">
        <v>3369.51</v>
      </c>
      <c r="X72" s="34">
        <v>3369.51</v>
      </c>
      <c r="Y72" s="34">
        <f t="shared" si="2"/>
        <v>0</v>
      </c>
      <c r="Z72" s="24"/>
      <c r="AA72" s="34"/>
      <c r="AB72" s="34"/>
    </row>
    <row r="73" spans="1:28" ht="20.100000000000001" customHeight="1">
      <c r="A73" s="3">
        <v>10</v>
      </c>
      <c r="B73" s="432" t="s">
        <v>570</v>
      </c>
      <c r="C73" s="433"/>
      <c r="D73" s="92" t="s">
        <v>118</v>
      </c>
      <c r="E73" s="3" t="s">
        <v>72</v>
      </c>
      <c r="F73" s="49">
        <f>17286.33</f>
        <v>17286.330000000002</v>
      </c>
      <c r="G73" s="49"/>
      <c r="H73" s="49">
        <f t="shared" si="51"/>
        <v>51858.990000000005</v>
      </c>
      <c r="I73" s="49">
        <f t="shared" si="52"/>
        <v>1296.4747500000001</v>
      </c>
      <c r="J73" s="49"/>
      <c r="K73" s="49">
        <f t="shared" si="53"/>
        <v>8643.1650000000009</v>
      </c>
      <c r="L73" s="49">
        <f t="shared" si="54"/>
        <v>60502.155000000006</v>
      </c>
      <c r="M73" s="49">
        <f t="shared" si="55"/>
        <v>17286.330000000002</v>
      </c>
      <c r="N73" s="25">
        <f t="shared" si="59"/>
        <v>100000</v>
      </c>
      <c r="O73" s="25"/>
      <c r="P73" s="49">
        <f t="shared" si="56"/>
        <v>1728.6330000000003</v>
      </c>
      <c r="Q73" s="49">
        <v>10000</v>
      </c>
      <c r="R73" s="49"/>
      <c r="S73" s="34">
        <f t="shared" si="57"/>
        <v>268602.07775000005</v>
      </c>
      <c r="T73" s="34">
        <v>268602.07775000005</v>
      </c>
      <c r="U73" s="34">
        <f t="shared" si="1"/>
        <v>0</v>
      </c>
      <c r="V73" s="34"/>
      <c r="W73" s="49">
        <v>3369.51</v>
      </c>
      <c r="X73" s="34">
        <v>3369.51</v>
      </c>
      <c r="Y73" s="34">
        <f t="shared" si="2"/>
        <v>0</v>
      </c>
      <c r="Z73" s="24"/>
      <c r="AA73" s="34"/>
      <c r="AB73" s="34"/>
    </row>
    <row r="74" spans="1:28" ht="20.100000000000001" customHeight="1">
      <c r="A74" s="3">
        <v>11</v>
      </c>
      <c r="B74" s="432" t="s">
        <v>145</v>
      </c>
      <c r="C74" s="433"/>
      <c r="D74" s="92" t="s">
        <v>68</v>
      </c>
      <c r="E74" s="3" t="s">
        <v>90</v>
      </c>
      <c r="F74" s="49">
        <f>12351.94</f>
        <v>12351.94</v>
      </c>
      <c r="G74" s="49"/>
      <c r="H74" s="49">
        <f t="shared" si="51"/>
        <v>37055.82</v>
      </c>
      <c r="I74" s="49">
        <f t="shared" si="52"/>
        <v>926.39549999999997</v>
      </c>
      <c r="J74" s="49"/>
      <c r="K74" s="49">
        <f t="shared" si="53"/>
        <v>6175.97</v>
      </c>
      <c r="L74" s="49">
        <f t="shared" si="54"/>
        <v>43231.79</v>
      </c>
      <c r="M74" s="49">
        <f t="shared" si="55"/>
        <v>12351.94</v>
      </c>
      <c r="N74" s="25">
        <f t="shared" si="59"/>
        <v>100000</v>
      </c>
      <c r="O74" s="25"/>
      <c r="P74" s="49">
        <f t="shared" si="56"/>
        <v>1235.1940000000002</v>
      </c>
      <c r="Q74" s="49">
        <v>10000</v>
      </c>
      <c r="R74" s="49"/>
      <c r="S74" s="34">
        <f t="shared" si="57"/>
        <v>223329.04949999999</v>
      </c>
      <c r="T74" s="34">
        <v>223329.04949999999</v>
      </c>
      <c r="U74" s="34">
        <f t="shared" ref="U74:U137" si="60">S74-T74</f>
        <v>0</v>
      </c>
      <c r="V74" s="34"/>
      <c r="W74" s="49">
        <v>1484.37</v>
      </c>
      <c r="X74" s="34">
        <v>1484.37</v>
      </c>
      <c r="Y74" s="34">
        <f t="shared" ref="Y74:Y137" si="61">X74-W74</f>
        <v>0</v>
      </c>
      <c r="Z74" s="24"/>
      <c r="AA74" s="34"/>
      <c r="AB74" s="34"/>
    </row>
    <row r="75" spans="1:28" ht="20.100000000000001" customHeight="1">
      <c r="A75" s="3">
        <v>12</v>
      </c>
      <c r="B75" s="436" t="s">
        <v>67</v>
      </c>
      <c r="C75" s="437"/>
      <c r="D75" s="92" t="s">
        <v>68</v>
      </c>
      <c r="E75" s="3" t="s">
        <v>90</v>
      </c>
      <c r="F75" s="49">
        <f>12351.94</f>
        <v>12351.94</v>
      </c>
      <c r="G75" s="49"/>
      <c r="H75" s="49">
        <f t="shared" si="51"/>
        <v>37055.82</v>
      </c>
      <c r="I75" s="49">
        <f t="shared" si="52"/>
        <v>926.39549999999997</v>
      </c>
      <c r="J75" s="49"/>
      <c r="K75" s="49">
        <f t="shared" si="53"/>
        <v>6175.97</v>
      </c>
      <c r="L75" s="49">
        <f t="shared" si="54"/>
        <v>43231.79</v>
      </c>
      <c r="M75" s="49">
        <f t="shared" si="55"/>
        <v>12351.94</v>
      </c>
      <c r="N75" s="25">
        <f t="shared" si="59"/>
        <v>100000</v>
      </c>
      <c r="O75" s="25"/>
      <c r="P75" s="49">
        <f t="shared" si="56"/>
        <v>1235.1940000000002</v>
      </c>
      <c r="Q75" s="49">
        <v>10000</v>
      </c>
      <c r="R75" s="49"/>
      <c r="S75" s="34">
        <f t="shared" si="57"/>
        <v>223329.04949999999</v>
      </c>
      <c r="T75" s="34">
        <v>223329.04949999999</v>
      </c>
      <c r="U75" s="34">
        <f t="shared" si="60"/>
        <v>0</v>
      </c>
      <c r="V75" s="34"/>
      <c r="W75" s="49">
        <v>1484.37</v>
      </c>
      <c r="X75" s="34">
        <v>1484.37</v>
      </c>
      <c r="Y75" s="34">
        <f t="shared" si="61"/>
        <v>0</v>
      </c>
      <c r="Z75" s="24"/>
      <c r="AA75" s="34"/>
      <c r="AB75" s="34"/>
    </row>
    <row r="76" spans="1:28" ht="20.100000000000001" customHeight="1">
      <c r="A76" s="3"/>
      <c r="B76" s="438" t="s">
        <v>91</v>
      </c>
      <c r="C76" s="439"/>
      <c r="D76" s="28">
        <v>12</v>
      </c>
      <c r="E76" s="28"/>
      <c r="F76" s="65">
        <f t="shared" ref="F76:N76" si="62">SUM(F64:F75)</f>
        <v>316528.2</v>
      </c>
      <c r="G76" s="65">
        <f t="shared" si="62"/>
        <v>0</v>
      </c>
      <c r="H76" s="65">
        <f t="shared" si="62"/>
        <v>949584.6</v>
      </c>
      <c r="I76" s="65">
        <f t="shared" si="62"/>
        <v>23739.614999999994</v>
      </c>
      <c r="J76" s="65">
        <f t="shared" si="62"/>
        <v>120366.57</v>
      </c>
      <c r="K76" s="65">
        <f t="shared" si="62"/>
        <v>158264.1</v>
      </c>
      <c r="L76" s="65">
        <f t="shared" si="62"/>
        <v>1107848.7000000002</v>
      </c>
      <c r="M76" s="65">
        <f t="shared" si="62"/>
        <v>316528.2</v>
      </c>
      <c r="N76" s="72">
        <f t="shared" si="62"/>
        <v>1470000</v>
      </c>
      <c r="O76" s="72"/>
      <c r="P76" s="65">
        <f>SUM(P64:P75)</f>
        <v>31652.82</v>
      </c>
      <c r="Q76" s="65">
        <f>SUM(Q64:Q75)</f>
        <v>170000</v>
      </c>
      <c r="R76" s="65">
        <f>SUM(R64:R75)</f>
        <v>0</v>
      </c>
      <c r="S76" s="65">
        <f>SUM(S64:S75)</f>
        <v>4664512.8049999997</v>
      </c>
      <c r="T76" s="65">
        <v>4597254.6417499995</v>
      </c>
      <c r="U76" s="68">
        <f t="shared" si="60"/>
        <v>67258.163250000216</v>
      </c>
      <c r="V76" s="65"/>
      <c r="W76" s="65">
        <f t="shared" ref="W76" si="63">SUM(W64:W75)</f>
        <v>115610.77999999994</v>
      </c>
      <c r="X76" s="65">
        <v>115610.77999999994</v>
      </c>
      <c r="Y76" s="34">
        <f t="shared" si="61"/>
        <v>0</v>
      </c>
      <c r="Z76" s="65"/>
      <c r="AA76" s="65"/>
      <c r="AB76" s="65"/>
    </row>
    <row r="77" spans="1:28" ht="20.100000000000001" customHeight="1">
      <c r="A77" s="3"/>
      <c r="B77" s="386"/>
      <c r="C77" s="387"/>
      <c r="D77" s="28"/>
      <c r="E77" s="28"/>
      <c r="F77" s="29"/>
      <c r="G77" s="29"/>
      <c r="H77" s="29"/>
      <c r="I77" s="29"/>
      <c r="J77" s="29"/>
      <c r="K77" s="29"/>
      <c r="L77" s="29"/>
      <c r="M77" s="29"/>
      <c r="N77" s="25"/>
      <c r="O77" s="25"/>
      <c r="P77" s="29"/>
      <c r="Q77" s="29"/>
      <c r="R77" s="29"/>
      <c r="S77" s="29"/>
      <c r="T77" s="29"/>
      <c r="U77" s="34">
        <f t="shared" si="60"/>
        <v>0</v>
      </c>
      <c r="V77" s="29"/>
      <c r="W77" s="29"/>
      <c r="X77" s="29"/>
      <c r="Y77" s="34">
        <f t="shared" si="61"/>
        <v>0</v>
      </c>
      <c r="Z77" s="29"/>
      <c r="AA77" s="29"/>
      <c r="AB77" s="29"/>
    </row>
    <row r="78" spans="1:28" ht="20.100000000000001" customHeight="1">
      <c r="A78" s="3"/>
      <c r="B78" s="438" t="s">
        <v>653</v>
      </c>
      <c r="C78" s="439"/>
      <c r="D78" s="28"/>
      <c r="E78" s="28"/>
      <c r="F78" s="29"/>
      <c r="G78" s="29"/>
      <c r="H78" s="29"/>
      <c r="I78" s="29"/>
      <c r="J78" s="29"/>
      <c r="K78" s="29"/>
      <c r="L78" s="29"/>
      <c r="M78" s="29"/>
      <c r="N78" s="25"/>
      <c r="O78" s="25"/>
      <c r="P78" s="29"/>
      <c r="Q78" s="29"/>
      <c r="R78" s="29"/>
      <c r="S78" s="29"/>
      <c r="T78" s="29"/>
      <c r="U78" s="34">
        <f t="shared" si="60"/>
        <v>0</v>
      </c>
      <c r="V78" s="29"/>
      <c r="W78" s="29"/>
      <c r="X78" s="29"/>
      <c r="Y78" s="34">
        <f t="shared" si="61"/>
        <v>0</v>
      </c>
      <c r="Z78" s="29"/>
      <c r="AA78" s="29"/>
      <c r="AB78" s="29"/>
    </row>
    <row r="79" spans="1:28" ht="20.100000000000001" customHeight="1">
      <c r="A79" s="3">
        <v>1</v>
      </c>
      <c r="B79" s="419" t="s">
        <v>147</v>
      </c>
      <c r="C79" s="420"/>
      <c r="D79" s="31" t="s">
        <v>148</v>
      </c>
      <c r="E79" s="3" t="s">
        <v>95</v>
      </c>
      <c r="F79" s="49">
        <f>81740.02</f>
        <v>81740.02</v>
      </c>
      <c r="G79" s="49"/>
      <c r="H79" s="49">
        <f t="shared" ref="H79:H85" si="64">F79*300%</f>
        <v>245220.06</v>
      </c>
      <c r="I79" s="49">
        <f t="shared" ref="I79:I85" si="65">F79*7.5%</f>
        <v>6130.5015000000003</v>
      </c>
      <c r="J79" s="49">
        <v>80244.38</v>
      </c>
      <c r="K79" s="49">
        <f>F79*50%</f>
        <v>40870.01</v>
      </c>
      <c r="L79" s="49">
        <f t="shared" ref="L79:L85" si="66">F79*350%</f>
        <v>286090.07</v>
      </c>
      <c r="M79" s="49">
        <f>F79*100%</f>
        <v>81740.02</v>
      </c>
      <c r="N79" s="25">
        <f>200000</f>
        <v>200000</v>
      </c>
      <c r="O79" s="25"/>
      <c r="P79" s="49">
        <f>F79*10%</f>
        <v>8174.0020000000004</v>
      </c>
      <c r="Q79" s="49">
        <v>20000</v>
      </c>
      <c r="R79" s="49">
        <v>0</v>
      </c>
      <c r="S79" s="34">
        <f>SUM(F79:R79)</f>
        <v>1050209.0635000002</v>
      </c>
      <c r="T79" s="34">
        <v>1050209.0635000002</v>
      </c>
      <c r="U79" s="34">
        <f t="shared" si="60"/>
        <v>0</v>
      </c>
      <c r="V79" s="34"/>
      <c r="W79" s="49">
        <v>52776.63</v>
      </c>
      <c r="X79" s="34">
        <v>52776.63</v>
      </c>
      <c r="Y79" s="34">
        <f t="shared" si="61"/>
        <v>0</v>
      </c>
      <c r="Z79" s="34"/>
      <c r="AA79" s="34"/>
      <c r="AB79" s="34"/>
    </row>
    <row r="80" spans="1:28" ht="20.100000000000001" customHeight="1">
      <c r="A80" s="3">
        <v>2</v>
      </c>
      <c r="B80" s="1" t="s">
        <v>149</v>
      </c>
      <c r="D80" s="1" t="s">
        <v>150</v>
      </c>
      <c r="E80" s="53" t="s">
        <v>133</v>
      </c>
      <c r="F80" s="34">
        <v>31018.84</v>
      </c>
      <c r="G80" s="49"/>
      <c r="H80" s="49">
        <f t="shared" si="64"/>
        <v>93056.52</v>
      </c>
      <c r="I80" s="49">
        <f t="shared" si="65"/>
        <v>2326.413</v>
      </c>
      <c r="J80" s="49">
        <v>40122.19</v>
      </c>
      <c r="K80" s="49">
        <f t="shared" ref="K80:K81" si="67">F80*50%</f>
        <v>15509.42</v>
      </c>
      <c r="L80" s="49">
        <f t="shared" si="66"/>
        <v>108565.94</v>
      </c>
      <c r="M80" s="49">
        <f t="shared" ref="M80:M81" si="68">F80*100%</f>
        <v>31018.84</v>
      </c>
      <c r="N80" s="25">
        <f>160000</f>
        <v>160000</v>
      </c>
      <c r="O80" s="25"/>
      <c r="P80" s="49">
        <f t="shared" ref="P80:P81" si="69">F80*10%</f>
        <v>3101.884</v>
      </c>
      <c r="Q80" s="49">
        <v>20000</v>
      </c>
      <c r="R80" s="50">
        <v>0</v>
      </c>
      <c r="S80" s="34">
        <f t="shared" ref="S80:S81" si="70">SUM(F80:R80)</f>
        <v>504720.04700000002</v>
      </c>
      <c r="T80" s="34">
        <v>504720.04700000002</v>
      </c>
      <c r="U80" s="34">
        <f t="shared" si="60"/>
        <v>0</v>
      </c>
      <c r="V80" s="34"/>
      <c r="W80" s="49">
        <f t="shared" ref="W80:W81" si="71">15548.33</f>
        <v>15548.33</v>
      </c>
      <c r="X80" s="34">
        <v>15548.33</v>
      </c>
      <c r="Y80" s="34">
        <f t="shared" si="61"/>
        <v>0</v>
      </c>
      <c r="Z80" s="34"/>
      <c r="AA80" s="34"/>
      <c r="AB80" s="34"/>
    </row>
    <row r="81" spans="1:28" ht="20.100000000000001" customHeight="1">
      <c r="A81" s="3">
        <v>3</v>
      </c>
      <c r="B81" s="1" t="s">
        <v>571</v>
      </c>
      <c r="D81" s="1" t="s">
        <v>572</v>
      </c>
      <c r="E81" s="53" t="s">
        <v>133</v>
      </c>
      <c r="F81" s="34">
        <v>31018.84</v>
      </c>
      <c r="G81" s="49"/>
      <c r="H81" s="49">
        <f t="shared" si="64"/>
        <v>93056.52</v>
      </c>
      <c r="I81" s="49">
        <f t="shared" si="65"/>
        <v>2326.413</v>
      </c>
      <c r="J81" s="49">
        <v>40122.19</v>
      </c>
      <c r="K81" s="49">
        <f t="shared" si="67"/>
        <v>15509.42</v>
      </c>
      <c r="L81" s="49">
        <f t="shared" si="66"/>
        <v>108565.94</v>
      </c>
      <c r="M81" s="49">
        <f t="shared" si="68"/>
        <v>31018.84</v>
      </c>
      <c r="N81" s="25">
        <f>160000</f>
        <v>160000</v>
      </c>
      <c r="O81" s="25"/>
      <c r="P81" s="49">
        <f t="shared" si="69"/>
        <v>3101.884</v>
      </c>
      <c r="Q81" s="49">
        <v>20000</v>
      </c>
      <c r="R81" s="50">
        <v>0</v>
      </c>
      <c r="S81" s="34">
        <f t="shared" si="70"/>
        <v>504720.04700000002</v>
      </c>
      <c r="T81" s="34">
        <v>504720.04700000002</v>
      </c>
      <c r="U81" s="34">
        <f t="shared" si="60"/>
        <v>0</v>
      </c>
      <c r="V81" s="34"/>
      <c r="W81" s="49">
        <f t="shared" si="71"/>
        <v>15548.33</v>
      </c>
      <c r="X81" s="34">
        <v>15548.33</v>
      </c>
      <c r="Y81" s="34">
        <f t="shared" si="61"/>
        <v>0</v>
      </c>
      <c r="Z81" s="34"/>
      <c r="AA81" s="34"/>
      <c r="AB81" s="34"/>
    </row>
    <row r="82" spans="1:28" ht="20.100000000000001" customHeight="1">
      <c r="A82" s="3">
        <v>4</v>
      </c>
      <c r="B82" s="419" t="s">
        <v>698</v>
      </c>
      <c r="C82" s="420"/>
      <c r="D82" s="31" t="s">
        <v>167</v>
      </c>
      <c r="E82" s="53" t="s">
        <v>60</v>
      </c>
      <c r="F82" s="49">
        <f>24741.26</f>
        <v>24741.26</v>
      </c>
      <c r="G82" s="49"/>
      <c r="H82" s="49">
        <f t="shared" si="64"/>
        <v>74223.78</v>
      </c>
      <c r="I82" s="49">
        <f t="shared" si="65"/>
        <v>1855.5944999999997</v>
      </c>
      <c r="J82" s="34">
        <v>0</v>
      </c>
      <c r="K82" s="49">
        <f>F82*50%</f>
        <v>12370.63</v>
      </c>
      <c r="L82" s="34">
        <f t="shared" si="66"/>
        <v>86594.409999999989</v>
      </c>
      <c r="M82" s="49">
        <f>F82*100%</f>
        <v>24741.26</v>
      </c>
      <c r="N82" s="25">
        <f>120000</f>
        <v>120000</v>
      </c>
      <c r="O82" s="25"/>
      <c r="P82" s="49">
        <f>F82*10%</f>
        <v>2474.1260000000002</v>
      </c>
      <c r="Q82" s="49">
        <v>15000</v>
      </c>
      <c r="R82" s="49">
        <v>0</v>
      </c>
      <c r="S82" s="34">
        <f>SUM(F82:R82)</f>
        <v>362001.06049999996</v>
      </c>
      <c r="T82" s="34">
        <v>354201.02600000001</v>
      </c>
      <c r="U82" s="34">
        <f t="shared" si="60"/>
        <v>7800.0344999999506</v>
      </c>
      <c r="V82" s="34"/>
      <c r="W82" s="49">
        <f>7709.76</f>
        <v>7709.76</v>
      </c>
      <c r="X82" s="34">
        <v>7709.76</v>
      </c>
      <c r="Y82" s="34">
        <f t="shared" si="61"/>
        <v>0</v>
      </c>
      <c r="Z82" s="34"/>
      <c r="AA82" s="34"/>
      <c r="AB82" s="34"/>
    </row>
    <row r="83" spans="1:28" ht="20.100000000000001" customHeight="1">
      <c r="A83" s="3">
        <v>5</v>
      </c>
      <c r="B83" s="419" t="s">
        <v>155</v>
      </c>
      <c r="C83" s="420"/>
      <c r="D83" s="31" t="s">
        <v>156</v>
      </c>
      <c r="E83" s="3" t="s">
        <v>72</v>
      </c>
      <c r="F83" s="49">
        <f t="shared" ref="F83" si="72">17286.33</f>
        <v>17286.330000000002</v>
      </c>
      <c r="G83" s="49"/>
      <c r="H83" s="49">
        <f t="shared" si="64"/>
        <v>51858.990000000005</v>
      </c>
      <c r="I83" s="49">
        <f t="shared" si="65"/>
        <v>1296.4747500000001</v>
      </c>
      <c r="J83" s="49"/>
      <c r="K83" s="49">
        <f t="shared" ref="K83:K85" si="73">F83*50%</f>
        <v>8643.1650000000009</v>
      </c>
      <c r="L83" s="49">
        <f t="shared" si="66"/>
        <v>60502.155000000006</v>
      </c>
      <c r="M83" s="49">
        <f t="shared" ref="M83:M85" si="74">F83*100%</f>
        <v>17286.330000000002</v>
      </c>
      <c r="N83" s="25">
        <f>100000</f>
        <v>100000</v>
      </c>
      <c r="O83" s="25"/>
      <c r="P83" s="49">
        <f t="shared" ref="P83:P85" si="75">F83*10%</f>
        <v>1728.6330000000003</v>
      </c>
      <c r="Q83" s="49">
        <v>10000</v>
      </c>
      <c r="R83" s="49"/>
      <c r="S83" s="34">
        <f t="shared" ref="S83:S85" si="76">SUM(F83:R83)</f>
        <v>268602.07775000005</v>
      </c>
      <c r="T83" s="34">
        <v>268602.07775000005</v>
      </c>
      <c r="U83" s="34">
        <f t="shared" si="60"/>
        <v>0</v>
      </c>
      <c r="V83" s="34"/>
      <c r="W83" s="49">
        <v>3369.51</v>
      </c>
      <c r="X83" s="34">
        <v>3369.51</v>
      </c>
      <c r="Y83" s="34">
        <f t="shared" si="61"/>
        <v>0</v>
      </c>
      <c r="Z83" s="34"/>
      <c r="AA83" s="34"/>
      <c r="AB83" s="34"/>
    </row>
    <row r="84" spans="1:28" ht="20.100000000000001" customHeight="1">
      <c r="A84" s="3">
        <v>6</v>
      </c>
      <c r="B84" s="383" t="s">
        <v>80</v>
      </c>
      <c r="C84" s="384"/>
      <c r="D84" s="31" t="s">
        <v>470</v>
      </c>
      <c r="E84" s="3" t="s">
        <v>648</v>
      </c>
      <c r="F84" s="49">
        <f>13112.16</f>
        <v>13112.16</v>
      </c>
      <c r="G84" s="49"/>
      <c r="H84" s="49">
        <f t="shared" si="64"/>
        <v>39336.479999999996</v>
      </c>
      <c r="I84" s="49">
        <f t="shared" si="65"/>
        <v>983.41199999999992</v>
      </c>
      <c r="J84" s="49"/>
      <c r="K84" s="49">
        <f t="shared" si="73"/>
        <v>6556.08</v>
      </c>
      <c r="L84" s="49">
        <f t="shared" si="66"/>
        <v>45892.56</v>
      </c>
      <c r="M84" s="49">
        <f t="shared" si="74"/>
        <v>13112.16</v>
      </c>
      <c r="N84" s="25">
        <f t="shared" ref="N84:N85" si="77">100000</f>
        <v>100000</v>
      </c>
      <c r="O84" s="25"/>
      <c r="P84" s="49">
        <f t="shared" si="75"/>
        <v>1311.2160000000001</v>
      </c>
      <c r="Q84" s="49">
        <v>10000</v>
      </c>
      <c r="R84" s="49"/>
      <c r="S84" s="34">
        <f t="shared" si="76"/>
        <v>230304.068</v>
      </c>
      <c r="T84" s="34">
        <v>226816.1</v>
      </c>
      <c r="U84" s="34">
        <f t="shared" si="60"/>
        <v>3487.9679999999935</v>
      </c>
      <c r="V84" s="34"/>
      <c r="W84" s="49">
        <v>1484.37</v>
      </c>
      <c r="X84" s="34">
        <v>1484.37</v>
      </c>
      <c r="Y84" s="34">
        <f t="shared" si="61"/>
        <v>0</v>
      </c>
      <c r="Z84" s="34"/>
      <c r="AA84" s="34"/>
      <c r="AB84" s="34"/>
    </row>
    <row r="85" spans="1:28" ht="20.100000000000001" customHeight="1">
      <c r="A85" s="3">
        <v>7</v>
      </c>
      <c r="B85" s="383" t="s">
        <v>84</v>
      </c>
      <c r="C85" s="384"/>
      <c r="D85" s="31" t="s">
        <v>587</v>
      </c>
      <c r="E85" s="3" t="s">
        <v>90</v>
      </c>
      <c r="F85" s="49">
        <f>12351.94</f>
        <v>12351.94</v>
      </c>
      <c r="G85" s="49"/>
      <c r="H85" s="49">
        <f t="shared" si="64"/>
        <v>37055.82</v>
      </c>
      <c r="I85" s="49">
        <f t="shared" si="65"/>
        <v>926.39549999999997</v>
      </c>
      <c r="J85" s="49"/>
      <c r="K85" s="49">
        <f t="shared" si="73"/>
        <v>6175.97</v>
      </c>
      <c r="L85" s="49">
        <f t="shared" si="66"/>
        <v>43231.79</v>
      </c>
      <c r="M85" s="49">
        <f t="shared" si="74"/>
        <v>12351.94</v>
      </c>
      <c r="N85" s="25">
        <f t="shared" si="77"/>
        <v>100000</v>
      </c>
      <c r="O85" s="25"/>
      <c r="P85" s="49">
        <f t="shared" si="75"/>
        <v>1235.1940000000002</v>
      </c>
      <c r="Q85" s="49">
        <v>10000</v>
      </c>
      <c r="R85" s="49"/>
      <c r="S85" s="34">
        <f t="shared" si="76"/>
        <v>223329.04949999999</v>
      </c>
      <c r="T85" s="34">
        <v>223329.04949999999</v>
      </c>
      <c r="U85" s="34">
        <f t="shared" si="60"/>
        <v>0</v>
      </c>
      <c r="V85" s="34"/>
      <c r="W85" s="49">
        <v>1484.37</v>
      </c>
      <c r="X85" s="34">
        <v>1484.37</v>
      </c>
      <c r="Y85" s="34">
        <f t="shared" si="61"/>
        <v>0</v>
      </c>
      <c r="Z85" s="34"/>
      <c r="AA85" s="34"/>
      <c r="AB85" s="34"/>
    </row>
    <row r="86" spans="1:28" ht="20.100000000000001" customHeight="1">
      <c r="A86" s="3"/>
      <c r="B86" s="438" t="s">
        <v>91</v>
      </c>
      <c r="C86" s="439"/>
      <c r="D86" s="28">
        <v>7</v>
      </c>
      <c r="E86" s="28"/>
      <c r="F86" s="65">
        <f>SUM(F79:F85)</f>
        <v>211269.39000000004</v>
      </c>
      <c r="G86" s="65"/>
      <c r="H86" s="65">
        <f t="shared" ref="H86:N86" si="78">SUM(H79:H85)</f>
        <v>633808.16999999993</v>
      </c>
      <c r="I86" s="65">
        <f t="shared" si="78"/>
        <v>15845.204250000001</v>
      </c>
      <c r="J86" s="65">
        <f t="shared" si="78"/>
        <v>160488.76</v>
      </c>
      <c r="K86" s="65">
        <f t="shared" si="78"/>
        <v>105634.69500000002</v>
      </c>
      <c r="L86" s="65">
        <f t="shared" si="78"/>
        <v>739442.86499999999</v>
      </c>
      <c r="M86" s="65">
        <f t="shared" si="78"/>
        <v>211269.39000000004</v>
      </c>
      <c r="N86" s="72">
        <f t="shared" si="78"/>
        <v>940000</v>
      </c>
      <c r="O86" s="72"/>
      <c r="P86" s="65">
        <f>SUM(P79:P85)</f>
        <v>21126.939000000002</v>
      </c>
      <c r="Q86" s="65">
        <f>SUM(Q79:Q85)</f>
        <v>105000</v>
      </c>
      <c r="R86" s="65">
        <f>SUM(R79:R85)</f>
        <v>0</v>
      </c>
      <c r="S86" s="65">
        <f>SUM(S79:S85)</f>
        <v>3143885.4132500007</v>
      </c>
      <c r="T86" s="65">
        <v>3132597.4107500007</v>
      </c>
      <c r="U86" s="68">
        <f t="shared" si="60"/>
        <v>11288.002499999944</v>
      </c>
      <c r="V86" s="65"/>
      <c r="W86" s="65">
        <f>SUM(W79:W85)</f>
        <v>97921.299999999974</v>
      </c>
      <c r="X86" s="65">
        <v>97921.299999999974</v>
      </c>
      <c r="Y86" s="34">
        <f t="shared" si="61"/>
        <v>0</v>
      </c>
      <c r="Z86" s="65"/>
      <c r="AA86" s="65"/>
      <c r="AB86" s="65"/>
    </row>
    <row r="87" spans="1:28" ht="20.100000000000001" customHeight="1">
      <c r="A87" s="3"/>
      <c r="B87" s="440"/>
      <c r="C87" s="441"/>
      <c r="D87" s="379"/>
      <c r="E87" s="379"/>
      <c r="F87" s="37"/>
      <c r="G87" s="37"/>
      <c r="H87" s="37"/>
      <c r="I87" s="37"/>
      <c r="J87" s="37"/>
      <c r="K87" s="37"/>
      <c r="L87" s="37"/>
      <c r="M87" s="37"/>
      <c r="N87" s="25"/>
      <c r="O87" s="25"/>
      <c r="P87" s="37"/>
      <c r="Q87" s="37"/>
      <c r="R87" s="37"/>
      <c r="S87" s="50"/>
      <c r="T87" s="50"/>
      <c r="U87" s="34">
        <f t="shared" si="60"/>
        <v>0</v>
      </c>
      <c r="V87" s="50"/>
      <c r="W87" s="37"/>
      <c r="X87" s="50"/>
      <c r="Y87" s="34">
        <f t="shared" si="61"/>
        <v>0</v>
      </c>
      <c r="Z87" s="34"/>
      <c r="AA87" s="34"/>
      <c r="AB87" s="34"/>
    </row>
    <row r="88" spans="1:28" ht="20.100000000000001" customHeight="1">
      <c r="A88" s="3"/>
      <c r="B88" s="442" t="s">
        <v>654</v>
      </c>
      <c r="C88" s="443"/>
      <c r="D88" s="56"/>
      <c r="E88" s="379"/>
      <c r="F88" s="37"/>
      <c r="G88" s="37"/>
      <c r="H88" s="37"/>
      <c r="I88" s="37"/>
      <c r="J88" s="37"/>
      <c r="K88" s="37"/>
      <c r="L88" s="37"/>
      <c r="M88" s="37"/>
      <c r="N88" s="25"/>
      <c r="O88" s="25"/>
      <c r="P88" s="37"/>
      <c r="Q88" s="37"/>
      <c r="R88" s="37"/>
      <c r="S88" s="50"/>
      <c r="T88" s="50"/>
      <c r="U88" s="34">
        <f t="shared" si="60"/>
        <v>0</v>
      </c>
      <c r="V88" s="50"/>
      <c r="W88" s="37"/>
      <c r="X88" s="50"/>
      <c r="Y88" s="34">
        <f t="shared" si="61"/>
        <v>0</v>
      </c>
      <c r="Z88" s="34"/>
      <c r="AA88" s="34"/>
      <c r="AB88" s="34"/>
    </row>
    <row r="89" spans="1:28" ht="20.100000000000001" customHeight="1">
      <c r="A89" s="3">
        <v>1</v>
      </c>
      <c r="B89" s="419" t="s">
        <v>655</v>
      </c>
      <c r="C89" s="420"/>
      <c r="D89" s="31" t="s">
        <v>590</v>
      </c>
      <c r="E89" s="3" t="s">
        <v>36</v>
      </c>
      <c r="F89" s="49">
        <f>41157.69</f>
        <v>41157.69</v>
      </c>
      <c r="G89" s="49"/>
      <c r="H89" s="49">
        <f t="shared" ref="H89:H98" si="79">F89*300%</f>
        <v>123473.07</v>
      </c>
      <c r="I89" s="49">
        <f t="shared" ref="I89:I98" si="80">F89*7.5%</f>
        <v>3086.8267500000002</v>
      </c>
      <c r="J89" s="49">
        <v>40122.19</v>
      </c>
      <c r="K89" s="49">
        <f t="shared" ref="K89:K98" si="81">F89*50%</f>
        <v>20578.845000000001</v>
      </c>
      <c r="L89" s="49">
        <f t="shared" ref="L89:L98" si="82">F89*350%</f>
        <v>144051.91500000001</v>
      </c>
      <c r="M89" s="49">
        <f t="shared" ref="M89:M98" si="83">F89*100%</f>
        <v>41157.69</v>
      </c>
      <c r="N89" s="25">
        <f>180000</f>
        <v>180000</v>
      </c>
      <c r="O89" s="25"/>
      <c r="P89" s="49">
        <f t="shared" ref="P89:P98" si="84">F89*10%</f>
        <v>4115.7690000000002</v>
      </c>
      <c r="Q89" s="49">
        <v>20000</v>
      </c>
      <c r="R89" s="49"/>
      <c r="S89" s="34">
        <f t="shared" ref="S89:S98" si="85">SUM(F89:R89)</f>
        <v>617743.99575</v>
      </c>
      <c r="T89" s="34">
        <v>604023.33374999999</v>
      </c>
      <c r="U89" s="34">
        <f t="shared" si="60"/>
        <v>13720.662000000011</v>
      </c>
      <c r="V89" s="34"/>
      <c r="W89" s="49">
        <f>21618.09</f>
        <v>21618.09</v>
      </c>
      <c r="X89" s="34">
        <v>21618.09</v>
      </c>
      <c r="Y89" s="34">
        <f t="shared" si="61"/>
        <v>0</v>
      </c>
      <c r="Z89" s="34"/>
      <c r="AA89" s="34"/>
      <c r="AB89" s="34"/>
    </row>
    <row r="90" spans="1:28" ht="20.100000000000001" customHeight="1">
      <c r="A90" s="3">
        <v>2</v>
      </c>
      <c r="B90" s="419" t="s">
        <v>162</v>
      </c>
      <c r="C90" s="420"/>
      <c r="D90" s="31" t="s">
        <v>109</v>
      </c>
      <c r="E90" s="3" t="s">
        <v>45</v>
      </c>
      <c r="F90" s="49">
        <f>33507.5</f>
        <v>33507.5</v>
      </c>
      <c r="G90" s="49"/>
      <c r="H90" s="49">
        <f t="shared" si="79"/>
        <v>100522.5</v>
      </c>
      <c r="I90" s="49">
        <f t="shared" si="80"/>
        <v>2513.0625</v>
      </c>
      <c r="J90" s="49">
        <f>40122.19</f>
        <v>40122.19</v>
      </c>
      <c r="K90" s="49">
        <f t="shared" si="81"/>
        <v>16753.75</v>
      </c>
      <c r="L90" s="49">
        <f t="shared" si="82"/>
        <v>117276.25</v>
      </c>
      <c r="M90" s="49">
        <f t="shared" si="83"/>
        <v>33507.5</v>
      </c>
      <c r="N90" s="25">
        <f>160000</f>
        <v>160000</v>
      </c>
      <c r="O90" s="25"/>
      <c r="P90" s="49">
        <f t="shared" si="84"/>
        <v>3350.75</v>
      </c>
      <c r="Q90" s="49">
        <v>20000</v>
      </c>
      <c r="R90" s="49"/>
      <c r="S90" s="34">
        <f t="shared" si="85"/>
        <v>527553.50249999994</v>
      </c>
      <c r="T90" s="34">
        <v>516137.05000000005</v>
      </c>
      <c r="U90" s="34">
        <f t="shared" si="60"/>
        <v>11416.452499999898</v>
      </c>
      <c r="V90" s="34"/>
      <c r="W90" s="49">
        <f>15548.33</f>
        <v>15548.33</v>
      </c>
      <c r="X90" s="34">
        <v>15548.33</v>
      </c>
      <c r="Y90" s="34">
        <f t="shared" si="61"/>
        <v>0</v>
      </c>
      <c r="Z90" s="34"/>
      <c r="AA90" s="34"/>
      <c r="AB90" s="34"/>
    </row>
    <row r="91" spans="1:28" ht="20.100000000000001" customHeight="1">
      <c r="A91" s="3">
        <v>3</v>
      </c>
      <c r="B91" s="419" t="s">
        <v>163</v>
      </c>
      <c r="C91" s="420"/>
      <c r="D91" s="31" t="s">
        <v>109</v>
      </c>
      <c r="E91" s="3" t="s">
        <v>45</v>
      </c>
      <c r="F91" s="49">
        <f>33507.5</f>
        <v>33507.5</v>
      </c>
      <c r="G91" s="49"/>
      <c r="H91" s="49">
        <f>F91*300%</f>
        <v>100522.5</v>
      </c>
      <c r="I91" s="49">
        <f>F91*7.5%</f>
        <v>2513.0625</v>
      </c>
      <c r="J91" s="49">
        <f>40122.19</f>
        <v>40122.19</v>
      </c>
      <c r="K91" s="49">
        <f>F91*50%</f>
        <v>16753.75</v>
      </c>
      <c r="L91" s="49">
        <f>F91*350%</f>
        <v>117276.25</v>
      </c>
      <c r="M91" s="49">
        <f>F91*100%</f>
        <v>33507.5</v>
      </c>
      <c r="N91" s="25">
        <f>160000</f>
        <v>160000</v>
      </c>
      <c r="O91" s="25"/>
      <c r="P91" s="49">
        <f>F91*10%</f>
        <v>3350.75</v>
      </c>
      <c r="Q91" s="49">
        <v>20000</v>
      </c>
      <c r="R91" s="49"/>
      <c r="S91" s="34">
        <f>SUM(F91:R91)</f>
        <v>527553.50249999994</v>
      </c>
      <c r="T91" s="34">
        <v>516137.05000000005</v>
      </c>
      <c r="U91" s="34">
        <f t="shared" si="60"/>
        <v>11416.452499999898</v>
      </c>
      <c r="V91" s="34"/>
      <c r="W91" s="49">
        <f>15548.33</f>
        <v>15548.33</v>
      </c>
      <c r="X91" s="34">
        <v>15548.33</v>
      </c>
      <c r="Y91" s="34">
        <f t="shared" si="61"/>
        <v>0</v>
      </c>
      <c r="Z91" s="34"/>
      <c r="AA91" s="34"/>
      <c r="AB91" s="34"/>
    </row>
    <row r="92" spans="1:28" ht="20.100000000000001" customHeight="1">
      <c r="A92" s="3">
        <v>4</v>
      </c>
      <c r="B92" s="419" t="s">
        <v>699</v>
      </c>
      <c r="C92" s="420"/>
      <c r="D92" s="31" t="s">
        <v>115</v>
      </c>
      <c r="E92" s="3" t="s">
        <v>54</v>
      </c>
      <c r="F92" s="49">
        <f>26732.65</f>
        <v>26732.65</v>
      </c>
      <c r="G92" s="49"/>
      <c r="H92" s="49">
        <f t="shared" si="79"/>
        <v>80197.950000000012</v>
      </c>
      <c r="I92" s="49">
        <f t="shared" si="80"/>
        <v>2004.94875</v>
      </c>
      <c r="J92" s="49">
        <v>0</v>
      </c>
      <c r="K92" s="49">
        <f t="shared" si="81"/>
        <v>13366.325000000001</v>
      </c>
      <c r="L92" s="49">
        <f t="shared" si="82"/>
        <v>93564.275000000009</v>
      </c>
      <c r="M92" s="49">
        <f t="shared" si="83"/>
        <v>26732.65</v>
      </c>
      <c r="N92" s="25">
        <v>140000</v>
      </c>
      <c r="O92" s="25"/>
      <c r="P92" s="49">
        <f t="shared" si="84"/>
        <v>2673.2650000000003</v>
      </c>
      <c r="Q92" s="49">
        <v>20000</v>
      </c>
      <c r="R92" s="49">
        <v>0</v>
      </c>
      <c r="S92" s="34">
        <f t="shared" si="85"/>
        <v>405272.06374999997</v>
      </c>
      <c r="T92" s="34">
        <v>397211.36749999999</v>
      </c>
      <c r="U92" s="34">
        <f t="shared" si="60"/>
        <v>8060.696249999979</v>
      </c>
      <c r="V92" s="34"/>
      <c r="W92" s="34">
        <f t="shared" si="17"/>
        <v>7709.76</v>
      </c>
      <c r="X92" s="34">
        <v>7709.76</v>
      </c>
      <c r="Y92" s="34">
        <f t="shared" si="61"/>
        <v>0</v>
      </c>
      <c r="Z92" s="34"/>
      <c r="AA92" s="34"/>
      <c r="AB92" s="34"/>
    </row>
    <row r="93" spans="1:28" ht="20.100000000000001" customHeight="1">
      <c r="A93" s="3">
        <v>5</v>
      </c>
      <c r="B93" s="436" t="s">
        <v>164</v>
      </c>
      <c r="C93" s="437"/>
      <c r="D93" s="31" t="s">
        <v>53</v>
      </c>
      <c r="E93" s="3" t="s">
        <v>51</v>
      </c>
      <c r="F93" s="49">
        <f>27611.23</f>
        <v>27611.23</v>
      </c>
      <c r="G93" s="49"/>
      <c r="H93" s="49">
        <f>F93*300%</f>
        <v>82833.69</v>
      </c>
      <c r="I93" s="49">
        <f>F93*7.5%</f>
        <v>2070.8422499999997</v>
      </c>
      <c r="J93" s="49"/>
      <c r="K93" s="49">
        <f>F93*50%</f>
        <v>13805.615</v>
      </c>
      <c r="L93" s="34">
        <f>F93*350%</f>
        <v>96639.304999999993</v>
      </c>
      <c r="M93" s="49">
        <f>F93*100%</f>
        <v>27611.23</v>
      </c>
      <c r="N93" s="25">
        <v>140000</v>
      </c>
      <c r="O93" s="25"/>
      <c r="P93" s="49">
        <f>F93*10%</f>
        <v>2761.123</v>
      </c>
      <c r="Q93" s="49">
        <v>20000</v>
      </c>
      <c r="R93" s="49">
        <v>0</v>
      </c>
      <c r="S93" s="24">
        <f>SUM(F93:R93)</f>
        <v>413333.03525000007</v>
      </c>
      <c r="T93" s="24">
        <v>405272.06374999997</v>
      </c>
      <c r="U93" s="34">
        <f t="shared" si="60"/>
        <v>8060.9715000001015</v>
      </c>
      <c r="V93" s="34"/>
      <c r="W93" s="34">
        <f>7709.76</f>
        <v>7709.76</v>
      </c>
      <c r="X93" s="34">
        <v>7709.76</v>
      </c>
      <c r="Y93" s="34">
        <f t="shared" si="61"/>
        <v>0</v>
      </c>
      <c r="Z93" s="34"/>
      <c r="AA93" s="24"/>
      <c r="AB93" s="24"/>
    </row>
    <row r="94" spans="1:28" ht="20.100000000000001" customHeight="1">
      <c r="A94" s="3">
        <v>6</v>
      </c>
      <c r="B94" s="432" t="s">
        <v>165</v>
      </c>
      <c r="C94" s="433"/>
      <c r="D94" s="31" t="s">
        <v>115</v>
      </c>
      <c r="E94" s="3" t="s">
        <v>54</v>
      </c>
      <c r="F94" s="24">
        <f>26732.65</f>
        <v>26732.65</v>
      </c>
      <c r="G94" s="49"/>
      <c r="H94" s="24">
        <f t="shared" si="79"/>
        <v>80197.950000000012</v>
      </c>
      <c r="I94" s="24">
        <f t="shared" si="80"/>
        <v>2004.94875</v>
      </c>
      <c r="J94" s="24"/>
      <c r="K94" s="24">
        <f t="shared" si="81"/>
        <v>13366.325000000001</v>
      </c>
      <c r="L94" s="24">
        <f t="shared" si="82"/>
        <v>93564.275000000009</v>
      </c>
      <c r="M94" s="24">
        <f t="shared" si="83"/>
        <v>26732.65</v>
      </c>
      <c r="N94" s="25">
        <v>140000</v>
      </c>
      <c r="O94" s="25"/>
      <c r="P94" s="24">
        <f t="shared" si="84"/>
        <v>2673.2650000000003</v>
      </c>
      <c r="Q94" s="24">
        <v>20000</v>
      </c>
      <c r="R94" s="24"/>
      <c r="S94" s="34">
        <f t="shared" si="85"/>
        <v>405272.06374999997</v>
      </c>
      <c r="T94" s="34">
        <v>397211.36749999999</v>
      </c>
      <c r="U94" s="34">
        <f t="shared" si="60"/>
        <v>8060.696249999979</v>
      </c>
      <c r="V94" s="22"/>
      <c r="W94" s="34">
        <f t="shared" si="17"/>
        <v>7709.76</v>
      </c>
      <c r="X94" s="22">
        <v>7709.76</v>
      </c>
      <c r="Y94" s="34">
        <f t="shared" si="61"/>
        <v>0</v>
      </c>
      <c r="Z94" s="34"/>
      <c r="AA94" s="34"/>
      <c r="AB94" s="34"/>
    </row>
    <row r="95" spans="1:28" ht="20.100000000000001" customHeight="1">
      <c r="A95" s="3">
        <v>7</v>
      </c>
      <c r="B95" s="419" t="s">
        <v>700</v>
      </c>
      <c r="C95" s="420"/>
      <c r="D95" s="382" t="s">
        <v>53</v>
      </c>
      <c r="E95" s="53" t="s">
        <v>116</v>
      </c>
      <c r="F95" s="49">
        <f>25854.1</f>
        <v>25854.1</v>
      </c>
      <c r="G95" s="49"/>
      <c r="H95" s="49">
        <f>F95*300%</f>
        <v>77562.299999999988</v>
      </c>
      <c r="I95" s="49">
        <f>F95*7.5%</f>
        <v>1939.0574999999999</v>
      </c>
      <c r="J95" s="49">
        <v>0</v>
      </c>
      <c r="K95" s="49">
        <f>F95*50%</f>
        <v>12927.05</v>
      </c>
      <c r="L95" s="34">
        <f>F95*350%</f>
        <v>90489.349999999991</v>
      </c>
      <c r="M95" s="49">
        <f>F95*100%</f>
        <v>25854.1</v>
      </c>
      <c r="N95" s="25">
        <v>140000</v>
      </c>
      <c r="O95" s="25"/>
      <c r="P95" s="49">
        <f>F95*10%</f>
        <v>2585.41</v>
      </c>
      <c r="Q95" s="49">
        <v>20000</v>
      </c>
      <c r="R95" s="49" t="s">
        <v>701</v>
      </c>
      <c r="S95" s="34">
        <f>SUM(F95:R95)</f>
        <v>397211.36749999999</v>
      </c>
      <c r="T95" s="34">
        <v>389153.05674999999</v>
      </c>
      <c r="U95" s="34">
        <f t="shared" si="60"/>
        <v>8058.3107500000042</v>
      </c>
      <c r="V95" s="34"/>
      <c r="W95" s="49">
        <f t="shared" si="18"/>
        <v>7709.76</v>
      </c>
      <c r="X95" s="34">
        <v>7709.76</v>
      </c>
      <c r="Y95" s="34">
        <f t="shared" si="61"/>
        <v>0</v>
      </c>
      <c r="Z95" s="34"/>
      <c r="AA95" s="34"/>
      <c r="AB95" s="34"/>
    </row>
    <row r="96" spans="1:28" ht="21.6" customHeight="1">
      <c r="A96" s="3">
        <v>8</v>
      </c>
      <c r="B96" s="426" t="s">
        <v>166</v>
      </c>
      <c r="C96" s="426"/>
      <c r="D96" s="31" t="s">
        <v>167</v>
      </c>
      <c r="E96" s="53" t="s">
        <v>60</v>
      </c>
      <c r="F96" s="49">
        <f>24741.26</f>
        <v>24741.26</v>
      </c>
      <c r="G96" s="49"/>
      <c r="H96" s="49">
        <f t="shared" si="79"/>
        <v>74223.78</v>
      </c>
      <c r="I96" s="49">
        <f t="shared" si="80"/>
        <v>1855.5944999999997</v>
      </c>
      <c r="J96" s="49">
        <v>0</v>
      </c>
      <c r="K96" s="49">
        <f t="shared" si="81"/>
        <v>12370.63</v>
      </c>
      <c r="L96" s="34">
        <f t="shared" si="82"/>
        <v>86594.409999999989</v>
      </c>
      <c r="M96" s="49">
        <f t="shared" si="83"/>
        <v>24741.26</v>
      </c>
      <c r="N96" s="25">
        <f>120000</f>
        <v>120000</v>
      </c>
      <c r="O96" s="25"/>
      <c r="P96" s="49">
        <f t="shared" si="84"/>
        <v>2474.1260000000002</v>
      </c>
      <c r="Q96" s="49">
        <v>15000</v>
      </c>
      <c r="R96" s="49">
        <v>0</v>
      </c>
      <c r="S96" s="34">
        <f t="shared" si="85"/>
        <v>362001.06049999996</v>
      </c>
      <c r="T96" s="34">
        <v>354201.02600000001</v>
      </c>
      <c r="U96" s="34">
        <f t="shared" si="60"/>
        <v>7800.0344999999506</v>
      </c>
      <c r="V96" s="34"/>
      <c r="W96" s="49">
        <f>7709.76</f>
        <v>7709.76</v>
      </c>
      <c r="X96" s="34">
        <v>7709.76</v>
      </c>
      <c r="Y96" s="34">
        <f t="shared" si="61"/>
        <v>0</v>
      </c>
      <c r="Z96" s="34"/>
      <c r="AA96" s="34"/>
      <c r="AB96" s="34"/>
    </row>
    <row r="97" spans="1:29" ht="21.6" customHeight="1">
      <c r="A97" s="3">
        <v>9</v>
      </c>
      <c r="B97" s="419" t="s">
        <v>169</v>
      </c>
      <c r="C97" s="420"/>
      <c r="D97" s="382" t="s">
        <v>136</v>
      </c>
      <c r="E97" s="53" t="s">
        <v>643</v>
      </c>
      <c r="F97" s="49">
        <f>23891.12</f>
        <v>23891.119999999999</v>
      </c>
      <c r="G97" s="49"/>
      <c r="H97" s="49">
        <f t="shared" si="79"/>
        <v>71673.36</v>
      </c>
      <c r="I97" s="49">
        <f t="shared" si="80"/>
        <v>1791.8339999999998</v>
      </c>
      <c r="J97" s="49">
        <v>0</v>
      </c>
      <c r="K97" s="49">
        <f t="shared" si="81"/>
        <v>11945.56</v>
      </c>
      <c r="L97" s="34">
        <f t="shared" si="82"/>
        <v>83618.92</v>
      </c>
      <c r="M97" s="49">
        <f t="shared" si="83"/>
        <v>23891.119999999999</v>
      </c>
      <c r="N97" s="25">
        <f t="shared" ref="N97:N98" si="86">120000</f>
        <v>120000</v>
      </c>
      <c r="O97" s="25"/>
      <c r="P97" s="49">
        <f t="shared" si="84"/>
        <v>2389.1120000000001</v>
      </c>
      <c r="Q97" s="49">
        <v>15000</v>
      </c>
      <c r="R97" s="49">
        <v>0</v>
      </c>
      <c r="S97" s="34">
        <f t="shared" si="85"/>
        <v>354201.02600000001</v>
      </c>
      <c r="T97" s="34">
        <v>346713.03325000004</v>
      </c>
      <c r="U97" s="34">
        <f t="shared" si="60"/>
        <v>7487.9927499999758</v>
      </c>
      <c r="V97" s="34"/>
      <c r="W97" s="49">
        <f t="shared" si="18"/>
        <v>7709.76</v>
      </c>
      <c r="X97" s="34">
        <v>7709.76</v>
      </c>
      <c r="Y97" s="34">
        <f t="shared" si="61"/>
        <v>0</v>
      </c>
      <c r="Z97" s="34"/>
      <c r="AA97" s="34"/>
      <c r="AB97" s="34"/>
    </row>
    <row r="98" spans="1:29" ht="21.6" customHeight="1">
      <c r="A98" s="3">
        <v>10</v>
      </c>
      <c r="B98" s="419" t="s">
        <v>170</v>
      </c>
      <c r="C98" s="420"/>
      <c r="D98" s="382" t="s">
        <v>136</v>
      </c>
      <c r="E98" s="53" t="s">
        <v>643</v>
      </c>
      <c r="F98" s="49">
        <f>23891.12</f>
        <v>23891.119999999999</v>
      </c>
      <c r="G98" s="49"/>
      <c r="H98" s="49">
        <f t="shared" si="79"/>
        <v>71673.36</v>
      </c>
      <c r="I98" s="49">
        <f t="shared" si="80"/>
        <v>1791.8339999999998</v>
      </c>
      <c r="J98" s="49">
        <v>0</v>
      </c>
      <c r="K98" s="49">
        <f t="shared" si="81"/>
        <v>11945.56</v>
      </c>
      <c r="L98" s="34">
        <f t="shared" si="82"/>
        <v>83618.92</v>
      </c>
      <c r="M98" s="49">
        <f t="shared" si="83"/>
        <v>23891.119999999999</v>
      </c>
      <c r="N98" s="25">
        <f t="shared" si="86"/>
        <v>120000</v>
      </c>
      <c r="O98" s="25"/>
      <c r="P98" s="49">
        <f t="shared" si="84"/>
        <v>2389.1120000000001</v>
      </c>
      <c r="Q98" s="49">
        <v>15000</v>
      </c>
      <c r="R98" s="49">
        <v>0</v>
      </c>
      <c r="S98" s="34">
        <f t="shared" si="85"/>
        <v>354201.02600000001</v>
      </c>
      <c r="T98" s="34">
        <v>346713.03325000004</v>
      </c>
      <c r="U98" s="34">
        <f t="shared" si="60"/>
        <v>7487.9927499999758</v>
      </c>
      <c r="V98" s="34"/>
      <c r="W98" s="49">
        <f t="shared" si="18"/>
        <v>7709.76</v>
      </c>
      <c r="X98" s="34">
        <v>7709.76</v>
      </c>
      <c r="Y98" s="34">
        <f t="shared" si="61"/>
        <v>0</v>
      </c>
      <c r="Z98" s="34"/>
      <c r="AA98" s="34"/>
      <c r="AB98" s="34"/>
    </row>
    <row r="99" spans="1:29" ht="20.100000000000001" customHeight="1">
      <c r="A99" s="3"/>
      <c r="B99" s="429" t="s">
        <v>91</v>
      </c>
      <c r="C99" s="429"/>
      <c r="D99" s="379">
        <v>10</v>
      </c>
      <c r="E99" s="379"/>
      <c r="F99" s="67">
        <f>SUM(F89:F98)</f>
        <v>287626.82</v>
      </c>
      <c r="G99" s="67"/>
      <c r="H99" s="67">
        <f t="shared" ref="H99:N99" si="87">SUM(H89:H98)</f>
        <v>862880.46</v>
      </c>
      <c r="I99" s="67">
        <f t="shared" si="87"/>
        <v>21572.011499999997</v>
      </c>
      <c r="J99" s="67">
        <f t="shared" si="87"/>
        <v>120366.57</v>
      </c>
      <c r="K99" s="67">
        <f t="shared" si="87"/>
        <v>143813.41</v>
      </c>
      <c r="L99" s="67">
        <f t="shared" si="87"/>
        <v>1006693.8700000002</v>
      </c>
      <c r="M99" s="67">
        <f t="shared" si="87"/>
        <v>287626.82</v>
      </c>
      <c r="N99" s="72">
        <f t="shared" si="87"/>
        <v>1420000</v>
      </c>
      <c r="O99" s="72"/>
      <c r="P99" s="67">
        <f>SUM(P89:P98)</f>
        <v>28762.682000000001</v>
      </c>
      <c r="Q99" s="67">
        <f>SUM(Q89:Q98)</f>
        <v>185000</v>
      </c>
      <c r="R99" s="67">
        <f>SUM(R89:R98)</f>
        <v>0</v>
      </c>
      <c r="S99" s="67">
        <f>SUM(S89:S98)</f>
        <v>4364342.6435000002</v>
      </c>
      <c r="T99" s="67">
        <v>4272772.3817500006</v>
      </c>
      <c r="U99" s="68">
        <f t="shared" si="60"/>
        <v>91570.261749999598</v>
      </c>
      <c r="V99" s="67"/>
      <c r="W99" s="67">
        <f>SUM(W89:W98)</f>
        <v>106683.06999999998</v>
      </c>
      <c r="X99" s="67">
        <v>106683.06999999998</v>
      </c>
      <c r="Y99" s="34">
        <f t="shared" si="61"/>
        <v>0</v>
      </c>
      <c r="Z99" s="67"/>
      <c r="AA99" s="67"/>
      <c r="AB99" s="67"/>
    </row>
    <row r="100" spans="1:29" ht="20.100000000000001" customHeight="1">
      <c r="A100" s="3"/>
      <c r="B100" s="385"/>
      <c r="C100" s="385"/>
      <c r="D100" s="379"/>
      <c r="E100" s="379"/>
      <c r="F100" s="37"/>
      <c r="G100" s="37"/>
      <c r="H100" s="37"/>
      <c r="I100" s="37"/>
      <c r="J100" s="37"/>
      <c r="K100" s="37"/>
      <c r="L100" s="37"/>
      <c r="M100" s="37"/>
      <c r="N100" s="25"/>
      <c r="O100" s="25"/>
      <c r="P100" s="37"/>
      <c r="Q100" s="37"/>
      <c r="R100" s="37"/>
      <c r="S100" s="37"/>
      <c r="T100" s="37"/>
      <c r="U100" s="34">
        <f t="shared" si="60"/>
        <v>0</v>
      </c>
      <c r="V100" s="37"/>
      <c r="W100" s="37"/>
      <c r="X100" s="37"/>
      <c r="Y100" s="34">
        <f t="shared" si="61"/>
        <v>0</v>
      </c>
      <c r="Z100" s="37"/>
      <c r="AA100" s="37"/>
      <c r="AB100" s="37"/>
    </row>
    <row r="101" spans="1:29" ht="20.100000000000001" customHeight="1">
      <c r="A101" s="3"/>
      <c r="B101" s="429" t="s">
        <v>657</v>
      </c>
      <c r="C101" s="429"/>
      <c r="D101" s="379"/>
      <c r="E101" s="379"/>
      <c r="F101" s="37"/>
      <c r="G101" s="37"/>
      <c r="H101" s="37"/>
      <c r="I101" s="37"/>
      <c r="J101" s="37"/>
      <c r="K101" s="37"/>
      <c r="L101" s="37"/>
      <c r="M101" s="37"/>
      <c r="N101" s="25"/>
      <c r="O101" s="25"/>
      <c r="P101" s="37"/>
      <c r="Q101" s="37"/>
      <c r="R101" s="37"/>
      <c r="S101" s="37"/>
      <c r="T101" s="37"/>
      <c r="U101" s="34">
        <f t="shared" si="60"/>
        <v>0</v>
      </c>
      <c r="V101" s="37"/>
      <c r="W101" s="37"/>
      <c r="X101" s="37"/>
      <c r="Y101" s="34">
        <f t="shared" si="61"/>
        <v>0</v>
      </c>
      <c r="Z101" s="37"/>
      <c r="AA101" s="37"/>
      <c r="AB101" s="37"/>
    </row>
    <row r="102" spans="1:29" ht="20.100000000000001" customHeight="1">
      <c r="A102" s="3">
        <v>1</v>
      </c>
      <c r="B102" s="383" t="s">
        <v>41</v>
      </c>
      <c r="C102" s="384"/>
      <c r="D102" s="3" t="s">
        <v>42</v>
      </c>
      <c r="E102" s="53" t="s">
        <v>36</v>
      </c>
      <c r="F102" s="49">
        <f>41157.69</f>
        <v>41157.69</v>
      </c>
      <c r="G102" s="49"/>
      <c r="H102" s="49">
        <f t="shared" ref="H102" si="88">F102*300%</f>
        <v>123473.07</v>
      </c>
      <c r="I102" s="49">
        <f t="shared" ref="I102" si="89">F102*7.5%</f>
        <v>3086.8267500000002</v>
      </c>
      <c r="J102" s="49">
        <v>40122.19</v>
      </c>
      <c r="K102" s="49">
        <f t="shared" ref="K102" si="90">F102*50%</f>
        <v>20578.845000000001</v>
      </c>
      <c r="L102" s="49">
        <f t="shared" ref="L102" si="91">F102*350%</f>
        <v>144051.91500000001</v>
      </c>
      <c r="M102" s="49">
        <f t="shared" ref="M102" si="92">F102*100%</f>
        <v>41157.69</v>
      </c>
      <c r="N102" s="25"/>
      <c r="O102" s="25">
        <f>90000</f>
        <v>90000</v>
      </c>
      <c r="P102" s="49">
        <f t="shared" ref="P102" si="93">F102*10%</f>
        <v>4115.7690000000002</v>
      </c>
      <c r="Q102" s="49">
        <v>20000</v>
      </c>
      <c r="R102" s="49"/>
      <c r="S102" s="34">
        <f>SUM(F102:R102)</f>
        <v>527743.99575</v>
      </c>
      <c r="T102" s="34">
        <v>514023.33374999999</v>
      </c>
      <c r="U102" s="34">
        <f t="shared" si="60"/>
        <v>13720.662000000011</v>
      </c>
      <c r="V102" s="34"/>
      <c r="W102" s="49">
        <f>21618.09</f>
        <v>21618.09</v>
      </c>
      <c r="X102" s="34">
        <v>21618.09</v>
      </c>
      <c r="Y102" s="34">
        <f t="shared" si="61"/>
        <v>0</v>
      </c>
      <c r="Z102" s="34"/>
      <c r="AA102" s="34"/>
      <c r="AB102" s="34"/>
    </row>
    <row r="103" spans="1:29" ht="20.100000000000001" customHeight="1">
      <c r="A103" s="3">
        <v>2</v>
      </c>
      <c r="B103" s="432" t="s">
        <v>46</v>
      </c>
      <c r="C103" s="433"/>
      <c r="D103" s="19" t="s">
        <v>182</v>
      </c>
      <c r="E103" s="27" t="s">
        <v>54</v>
      </c>
      <c r="F103" s="24">
        <f>26732.65</f>
        <v>26732.65</v>
      </c>
      <c r="G103" s="49"/>
      <c r="H103" s="24">
        <f>F103*300%</f>
        <v>80197.950000000012</v>
      </c>
      <c r="I103" s="24">
        <f>F103*7.5%</f>
        <v>2004.94875</v>
      </c>
      <c r="J103" s="24"/>
      <c r="K103" s="24">
        <f>F103*50%</f>
        <v>13366.325000000001</v>
      </c>
      <c r="L103" s="24">
        <f>F103*350%</f>
        <v>93564.275000000009</v>
      </c>
      <c r="M103" s="24">
        <f>F103*100%</f>
        <v>26732.65</v>
      </c>
      <c r="N103" s="25"/>
      <c r="O103" s="25">
        <f>70000</f>
        <v>70000</v>
      </c>
      <c r="P103" s="24">
        <f>F103*10%</f>
        <v>2673.2650000000003</v>
      </c>
      <c r="Q103" s="24">
        <v>20000</v>
      </c>
      <c r="R103" s="24"/>
      <c r="S103" s="34">
        <f>SUM(F103:R103)</f>
        <v>335272.06374999997</v>
      </c>
      <c r="T103" s="34">
        <v>327211.36749999999</v>
      </c>
      <c r="U103" s="34">
        <f t="shared" si="60"/>
        <v>8060.696249999979</v>
      </c>
      <c r="V103" s="22"/>
      <c r="W103" s="34">
        <f t="shared" si="17"/>
        <v>7709.76</v>
      </c>
      <c r="X103" s="22">
        <v>7709.76</v>
      </c>
      <c r="Y103" s="34">
        <f t="shared" si="61"/>
        <v>0</v>
      </c>
      <c r="Z103" s="34"/>
      <c r="AA103" s="34"/>
      <c r="AB103" s="34"/>
      <c r="AC103" s="32"/>
    </row>
    <row r="104" spans="1:29" ht="20.100000000000001" customHeight="1">
      <c r="A104" s="3">
        <v>3</v>
      </c>
      <c r="B104" s="380" t="s">
        <v>591</v>
      </c>
      <c r="C104" s="381"/>
      <c r="D104" s="19" t="s">
        <v>592</v>
      </c>
      <c r="E104" s="53" t="s">
        <v>643</v>
      </c>
      <c r="F104" s="49">
        <f>23891.12</f>
        <v>23891.119999999999</v>
      </c>
      <c r="G104" s="49"/>
      <c r="H104" s="49">
        <f t="shared" ref="H104" si="94">F104*300%</f>
        <v>71673.36</v>
      </c>
      <c r="I104" s="49">
        <f t="shared" ref="I104" si="95">F104*7.5%</f>
        <v>1791.8339999999998</v>
      </c>
      <c r="J104" s="34">
        <v>0</v>
      </c>
      <c r="K104" s="49">
        <f t="shared" ref="K104" si="96">F104*50%</f>
        <v>11945.56</v>
      </c>
      <c r="L104" s="34">
        <f t="shared" ref="L104" si="97">F104*350%</f>
        <v>83618.92</v>
      </c>
      <c r="M104" s="49">
        <f t="shared" ref="M104" si="98">F104*100%</f>
        <v>23891.119999999999</v>
      </c>
      <c r="N104" s="25"/>
      <c r="O104" s="25">
        <v>70000</v>
      </c>
      <c r="P104" s="49">
        <f t="shared" ref="P104" si="99">F104*10%</f>
        <v>2389.1120000000001</v>
      </c>
      <c r="Q104" s="49">
        <v>15000</v>
      </c>
      <c r="R104" s="49">
        <v>0</v>
      </c>
      <c r="S104" s="34">
        <f t="shared" ref="S104" si="100">SUM(F104:R104)</f>
        <v>304201.02600000001</v>
      </c>
      <c r="T104" s="34">
        <v>296713.03325000004</v>
      </c>
      <c r="U104" s="34">
        <f t="shared" si="60"/>
        <v>7487.9927499999758</v>
      </c>
      <c r="V104" s="34"/>
      <c r="W104" s="49">
        <f>7709.76</f>
        <v>7709.76</v>
      </c>
      <c r="X104" s="34">
        <v>7709.76</v>
      </c>
      <c r="Y104" s="34">
        <f t="shared" si="61"/>
        <v>0</v>
      </c>
      <c r="Z104" s="34"/>
      <c r="AA104" s="34"/>
      <c r="AB104" s="34"/>
      <c r="AC104" s="32"/>
    </row>
    <row r="105" spans="1:29" ht="20.100000000000001" customHeight="1">
      <c r="A105" s="3">
        <v>4</v>
      </c>
      <c r="B105" s="419" t="s">
        <v>183</v>
      </c>
      <c r="C105" s="420"/>
      <c r="D105" s="31" t="s">
        <v>658</v>
      </c>
      <c r="E105" s="53" t="s">
        <v>659</v>
      </c>
      <c r="F105" s="24">
        <f>19276.95</f>
        <v>19276.95</v>
      </c>
      <c r="G105" s="49"/>
      <c r="H105" s="49">
        <f>F105*300%</f>
        <v>57830.850000000006</v>
      </c>
      <c r="I105" s="49">
        <f>F105*7.5%</f>
        <v>1445.77125</v>
      </c>
      <c r="J105" s="49"/>
      <c r="K105" s="49">
        <f>F105*50%</f>
        <v>9638.4750000000004</v>
      </c>
      <c r="L105" s="34">
        <f>F105*350%</f>
        <v>67469.324999999997</v>
      </c>
      <c r="M105" s="24">
        <f>F105*100%</f>
        <v>19276.95</v>
      </c>
      <c r="N105" s="25"/>
      <c r="O105" s="25">
        <f>60000</f>
        <v>60000</v>
      </c>
      <c r="P105" s="49">
        <f>F105*10%</f>
        <v>1927.6950000000002</v>
      </c>
      <c r="Q105" s="49">
        <v>10000</v>
      </c>
      <c r="R105" s="49"/>
      <c r="S105" s="34">
        <f>SUM(F105:R105)</f>
        <v>246866.01625000004</v>
      </c>
      <c r="T105" s="34">
        <v>237734.04699999996</v>
      </c>
      <c r="U105" s="34">
        <f t="shared" si="60"/>
        <v>9131.969250000082</v>
      </c>
      <c r="V105" s="34"/>
      <c r="W105" s="49">
        <v>3369.51</v>
      </c>
      <c r="X105" s="34">
        <v>3369.51</v>
      </c>
      <c r="Y105" s="34">
        <f t="shared" si="61"/>
        <v>0</v>
      </c>
      <c r="Z105" s="34"/>
      <c r="AA105" s="34"/>
      <c r="AB105" s="34"/>
      <c r="AC105" s="32"/>
    </row>
    <row r="106" spans="1:29" ht="20.100000000000001" customHeight="1">
      <c r="A106" s="31"/>
      <c r="B106" s="429" t="s">
        <v>91</v>
      </c>
      <c r="C106" s="429"/>
      <c r="D106" s="379">
        <v>4</v>
      </c>
      <c r="E106" s="90"/>
      <c r="F106" s="65">
        <f>SUM(F102:F105)</f>
        <v>111058.40999999999</v>
      </c>
      <c r="G106" s="65"/>
      <c r="H106" s="65">
        <f t="shared" ref="H106:M106" si="101">SUM(H102:H105)</f>
        <v>333175.23</v>
      </c>
      <c r="I106" s="65">
        <f t="shared" si="101"/>
        <v>8329.3807500000003</v>
      </c>
      <c r="J106" s="65">
        <f t="shared" si="101"/>
        <v>40122.19</v>
      </c>
      <c r="K106" s="65">
        <f t="shared" si="101"/>
        <v>55529.204999999994</v>
      </c>
      <c r="L106" s="65">
        <f t="shared" si="101"/>
        <v>388704.435</v>
      </c>
      <c r="M106" s="65">
        <f t="shared" si="101"/>
        <v>111058.40999999999</v>
      </c>
      <c r="N106" s="72"/>
      <c r="O106" s="72">
        <f>SUM(O102:O105)</f>
        <v>290000</v>
      </c>
      <c r="P106" s="65">
        <f>SUM(P102:P105)</f>
        <v>11105.841</v>
      </c>
      <c r="Q106" s="65">
        <f>SUM(Q102:Q105)</f>
        <v>65000</v>
      </c>
      <c r="R106" s="65">
        <f>SUM(R102:R105)</f>
        <v>0</v>
      </c>
      <c r="S106" s="65">
        <f>SUM(S102:S105)</f>
        <v>1414083.1017500001</v>
      </c>
      <c r="T106" s="65">
        <v>1375681.7815</v>
      </c>
      <c r="U106" s="68">
        <f t="shared" si="60"/>
        <v>38401.320250000106</v>
      </c>
      <c r="V106" s="65"/>
      <c r="W106" s="65">
        <f t="shared" ref="W106" si="102">SUM(W102:W105)</f>
        <v>40407.120000000003</v>
      </c>
      <c r="X106" s="65">
        <v>40407.120000000003</v>
      </c>
      <c r="Y106" s="34">
        <f t="shared" si="61"/>
        <v>0</v>
      </c>
      <c r="Z106" s="65"/>
      <c r="AA106" s="65"/>
      <c r="AB106" s="65"/>
      <c r="AC106" s="32"/>
    </row>
    <row r="107" spans="1:29" ht="20.100000000000001" customHeight="1">
      <c r="A107" s="31"/>
      <c r="B107" s="385"/>
      <c r="C107" s="385"/>
      <c r="D107" s="379"/>
      <c r="E107" s="90"/>
      <c r="F107" s="29"/>
      <c r="G107" s="29"/>
      <c r="H107" s="29"/>
      <c r="I107" s="29"/>
      <c r="J107" s="29"/>
      <c r="K107" s="29"/>
      <c r="L107" s="29"/>
      <c r="M107" s="29"/>
      <c r="N107" s="25"/>
      <c r="O107" s="25"/>
      <c r="P107" s="29"/>
      <c r="Q107" s="29"/>
      <c r="R107" s="29"/>
      <c r="S107" s="29"/>
      <c r="T107" s="29"/>
      <c r="U107" s="34">
        <f t="shared" si="60"/>
        <v>0</v>
      </c>
      <c r="V107" s="29"/>
      <c r="W107" s="29"/>
      <c r="X107" s="29"/>
      <c r="Y107" s="34">
        <f t="shared" si="61"/>
        <v>0</v>
      </c>
      <c r="Z107" s="29"/>
      <c r="AA107" s="29"/>
      <c r="AB107" s="29"/>
    </row>
    <row r="108" spans="1:29" ht="20.100000000000001" customHeight="1">
      <c r="A108" s="31"/>
      <c r="B108" s="429" t="s">
        <v>660</v>
      </c>
      <c r="C108" s="429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25"/>
      <c r="O108" s="25"/>
      <c r="P108" s="31"/>
      <c r="Q108" s="31"/>
      <c r="R108" s="31"/>
      <c r="S108" s="31"/>
      <c r="T108" s="31"/>
      <c r="U108" s="34">
        <f t="shared" si="60"/>
        <v>0</v>
      </c>
      <c r="V108" s="31"/>
      <c r="W108" s="31"/>
      <c r="X108" s="31"/>
      <c r="Y108" s="34">
        <f t="shared" si="61"/>
        <v>0</v>
      </c>
      <c r="Z108" s="31"/>
      <c r="AA108" s="31"/>
      <c r="AB108" s="31"/>
    </row>
    <row r="109" spans="1:29" ht="20.100000000000001" customHeight="1">
      <c r="A109" s="31">
        <v>1</v>
      </c>
      <c r="B109" s="419" t="s">
        <v>188</v>
      </c>
      <c r="C109" s="420"/>
      <c r="D109" s="382" t="s">
        <v>189</v>
      </c>
      <c r="E109" s="53" t="s">
        <v>95</v>
      </c>
      <c r="F109" s="49">
        <f>81740.02</f>
        <v>81740.02</v>
      </c>
      <c r="G109" s="49"/>
      <c r="H109" s="49">
        <f>F109*300%</f>
        <v>245220.06</v>
      </c>
      <c r="I109" s="49">
        <f>F109*7.5%</f>
        <v>6130.5015000000003</v>
      </c>
      <c r="J109" s="49">
        <v>80244.38</v>
      </c>
      <c r="K109" s="49">
        <f>F109*50%</f>
        <v>40870.01</v>
      </c>
      <c r="L109" s="49">
        <f>F109*350%</f>
        <v>286090.07</v>
      </c>
      <c r="M109" s="49">
        <f>F109*100%</f>
        <v>81740.02</v>
      </c>
      <c r="N109" s="25">
        <f>200000</f>
        <v>200000</v>
      </c>
      <c r="O109" s="25"/>
      <c r="P109" s="49">
        <f>F109*10%</f>
        <v>8174.0020000000004</v>
      </c>
      <c r="Q109" s="49">
        <v>20000</v>
      </c>
      <c r="R109" s="49">
        <v>0</v>
      </c>
      <c r="S109" s="34">
        <f>SUM(F109:R109)</f>
        <v>1050209.0635000002</v>
      </c>
      <c r="T109" s="34">
        <v>1025433.077</v>
      </c>
      <c r="U109" s="34">
        <f t="shared" si="60"/>
        <v>24775.986500000115</v>
      </c>
      <c r="V109" s="34"/>
      <c r="W109" s="49">
        <f>52776.63</f>
        <v>52776.63</v>
      </c>
      <c r="X109" s="34">
        <v>52776.63</v>
      </c>
      <c r="Y109" s="34">
        <f t="shared" si="61"/>
        <v>0</v>
      </c>
      <c r="Z109" s="34"/>
      <c r="AA109" s="34"/>
      <c r="AB109" s="34"/>
    </row>
    <row r="110" spans="1:29" ht="20.100000000000001" customHeight="1">
      <c r="A110" s="31">
        <v>2</v>
      </c>
      <c r="B110" s="434" t="s">
        <v>190</v>
      </c>
      <c r="C110" s="435"/>
      <c r="D110" s="31" t="s">
        <v>191</v>
      </c>
      <c r="E110" s="3" t="s">
        <v>45</v>
      </c>
      <c r="F110" s="49">
        <f>33507.5</f>
        <v>33507.5</v>
      </c>
      <c r="G110" s="49"/>
      <c r="H110" s="49">
        <f>F110*300%</f>
        <v>100522.5</v>
      </c>
      <c r="I110" s="49">
        <f>F110*7.5%</f>
        <v>2513.0625</v>
      </c>
      <c r="J110" s="49">
        <v>40122.19</v>
      </c>
      <c r="K110" s="49">
        <f>F110*50%</f>
        <v>16753.75</v>
      </c>
      <c r="L110" s="49">
        <f>F110*350%</f>
        <v>117276.25</v>
      </c>
      <c r="M110" s="49">
        <f>F110*100%</f>
        <v>33507.5</v>
      </c>
      <c r="N110" s="25">
        <f>160000</f>
        <v>160000</v>
      </c>
      <c r="O110" s="25"/>
      <c r="P110" s="49">
        <f>F110*10%</f>
        <v>3350.75</v>
      </c>
      <c r="Q110" s="49">
        <v>20000</v>
      </c>
      <c r="R110" s="49">
        <v>0</v>
      </c>
      <c r="S110" s="34">
        <f>SUM(F110:R110)</f>
        <v>527553.50249999994</v>
      </c>
      <c r="T110" s="34">
        <v>527553.50249999994</v>
      </c>
      <c r="U110" s="34">
        <f t="shared" si="60"/>
        <v>0</v>
      </c>
      <c r="V110" s="34"/>
      <c r="W110" s="49">
        <v>15548.33</v>
      </c>
      <c r="X110" s="34">
        <v>15548.33</v>
      </c>
      <c r="Y110" s="34">
        <f t="shared" si="61"/>
        <v>0</v>
      </c>
      <c r="Z110" s="34"/>
      <c r="AA110" s="34"/>
      <c r="AB110" s="34"/>
    </row>
    <row r="111" spans="1:29" ht="20.100000000000001" customHeight="1">
      <c r="A111" s="31">
        <v>3</v>
      </c>
      <c r="B111" s="419" t="s">
        <v>192</v>
      </c>
      <c r="C111" s="420"/>
      <c r="D111" s="31" t="s">
        <v>193</v>
      </c>
      <c r="E111" s="3" t="s">
        <v>57</v>
      </c>
      <c r="F111" s="49">
        <f>26339.3</f>
        <v>26339.3</v>
      </c>
      <c r="G111" s="49"/>
      <c r="H111" s="49">
        <f>F111*300%</f>
        <v>79017.899999999994</v>
      </c>
      <c r="I111" s="49">
        <f>F111*7.5%</f>
        <v>1975.4474999999998</v>
      </c>
      <c r="J111" s="49">
        <v>0</v>
      </c>
      <c r="K111" s="49">
        <f>F111*50%</f>
        <v>13169.65</v>
      </c>
      <c r="L111" s="49">
        <f>F111*350%</f>
        <v>92187.55</v>
      </c>
      <c r="M111" s="49">
        <f>F111*100%</f>
        <v>26339.3</v>
      </c>
      <c r="N111" s="25">
        <f>120000</f>
        <v>120000</v>
      </c>
      <c r="O111" s="25"/>
      <c r="P111" s="49">
        <f>F111*10%</f>
        <v>2633.9300000000003</v>
      </c>
      <c r="Q111" s="49">
        <v>15000</v>
      </c>
      <c r="R111" s="49" t="e">
        <f>#REF!</f>
        <v>#REF!</v>
      </c>
      <c r="S111" s="34" t="e">
        <f>SUM(F111:R111)</f>
        <v>#REF!</v>
      </c>
      <c r="T111" s="34">
        <v>418096.01602499996</v>
      </c>
      <c r="U111" s="34" t="e">
        <f t="shared" si="60"/>
        <v>#REF!</v>
      </c>
      <c r="V111" s="34"/>
      <c r="W111" s="34">
        <f>7709.76</f>
        <v>7709.76</v>
      </c>
      <c r="X111" s="34">
        <v>7709.76</v>
      </c>
      <c r="Y111" s="34">
        <f t="shared" si="61"/>
        <v>0</v>
      </c>
      <c r="Z111" s="34"/>
      <c r="AA111" s="34"/>
      <c r="AB111" s="34"/>
    </row>
    <row r="112" spans="1:29" ht="20.100000000000001" customHeight="1">
      <c r="A112" s="31">
        <v>4</v>
      </c>
      <c r="B112" s="432" t="s">
        <v>194</v>
      </c>
      <c r="C112" s="433"/>
      <c r="D112" s="31" t="s">
        <v>193</v>
      </c>
      <c r="E112" s="27" t="s">
        <v>168</v>
      </c>
      <c r="F112" s="24">
        <f>25523.45</f>
        <v>25523.45</v>
      </c>
      <c r="G112" s="24"/>
      <c r="H112" s="24">
        <f>F112*300%</f>
        <v>76570.350000000006</v>
      </c>
      <c r="I112" s="24">
        <f>F112*7.5%</f>
        <v>1914.25875</v>
      </c>
      <c r="J112" s="24">
        <v>0</v>
      </c>
      <c r="K112" s="24">
        <f>F112*50%</f>
        <v>12761.725</v>
      </c>
      <c r="L112" s="24">
        <f>F112*350%</f>
        <v>89332.074999999997</v>
      </c>
      <c r="M112" s="24">
        <f>F112*100%</f>
        <v>25523.45</v>
      </c>
      <c r="N112" s="25">
        <f>120000</f>
        <v>120000</v>
      </c>
      <c r="O112" s="25"/>
      <c r="P112" s="24">
        <f>F112*10%</f>
        <v>2552.3450000000003</v>
      </c>
      <c r="Q112" s="24">
        <v>15000</v>
      </c>
      <c r="R112" s="24" t="e">
        <f>#REF!</f>
        <v>#REF!</v>
      </c>
      <c r="S112" s="34" t="e">
        <f>SUM(F112:R112)</f>
        <v>#REF!</v>
      </c>
      <c r="T112" s="34">
        <v>401821.17715499998</v>
      </c>
      <c r="U112" s="34" t="e">
        <f t="shared" si="60"/>
        <v>#REF!</v>
      </c>
      <c r="V112" s="22"/>
      <c r="W112" s="22">
        <f>7709.76</f>
        <v>7709.76</v>
      </c>
      <c r="X112" s="22">
        <v>7709.76</v>
      </c>
      <c r="Y112" s="34">
        <f t="shared" si="61"/>
        <v>0</v>
      </c>
      <c r="Z112" s="34"/>
      <c r="AA112" s="34"/>
      <c r="AB112" s="34"/>
    </row>
    <row r="113" spans="1:28" ht="20.100000000000001" customHeight="1">
      <c r="A113" s="31">
        <v>5</v>
      </c>
      <c r="B113" s="419" t="s">
        <v>195</v>
      </c>
      <c r="C113" s="420"/>
      <c r="D113" s="1" t="s">
        <v>196</v>
      </c>
      <c r="E113" s="53" t="s">
        <v>199</v>
      </c>
      <c r="F113" s="54">
        <f>13492.21</f>
        <v>13492.21</v>
      </c>
      <c r="G113" s="49"/>
      <c r="H113" s="49">
        <f>F113*300%</f>
        <v>40476.629999999997</v>
      </c>
      <c r="I113" s="49">
        <f>F113*7.5%</f>
        <v>1011.9157499999999</v>
      </c>
      <c r="J113" s="49"/>
      <c r="K113" s="49">
        <f>F113*50%</f>
        <v>6746.1049999999996</v>
      </c>
      <c r="L113" s="34">
        <f>F113*350%</f>
        <v>47222.735000000001</v>
      </c>
      <c r="M113" s="49">
        <f>F113*100%</f>
        <v>13492.21</v>
      </c>
      <c r="N113" s="25">
        <f>100000</f>
        <v>100000</v>
      </c>
      <c r="O113" s="25"/>
      <c r="P113" s="49">
        <f>F113*10%</f>
        <v>1349.221</v>
      </c>
      <c r="Q113" s="49">
        <v>10000</v>
      </c>
      <c r="R113" s="49" t="e">
        <f>#REF!</f>
        <v>#REF!</v>
      </c>
      <c r="S113" s="34" t="e">
        <f>SUM(F113:R113)</f>
        <v>#REF!</v>
      </c>
      <c r="T113" s="34">
        <v>255637.51548</v>
      </c>
      <c r="U113" s="34" t="e">
        <f t="shared" si="60"/>
        <v>#REF!</v>
      </c>
      <c r="V113" s="34"/>
      <c r="W113" s="49">
        <v>1484.37</v>
      </c>
      <c r="X113" s="34">
        <v>1484.37</v>
      </c>
      <c r="Y113" s="34">
        <f t="shared" si="61"/>
        <v>0</v>
      </c>
      <c r="Z113" s="34"/>
      <c r="AA113" s="34"/>
      <c r="AB113" s="34"/>
    </row>
    <row r="114" spans="1:28" ht="20.100000000000001" customHeight="1">
      <c r="A114" s="31">
        <v>6</v>
      </c>
      <c r="B114" s="380" t="s">
        <v>198</v>
      </c>
      <c r="C114" s="381"/>
      <c r="D114" s="1" t="s">
        <v>196</v>
      </c>
      <c r="E114" s="3" t="s">
        <v>648</v>
      </c>
      <c r="F114" s="49">
        <f>13112.16</f>
        <v>13112.16</v>
      </c>
      <c r="G114" s="49"/>
      <c r="H114" s="49">
        <f t="shared" ref="H114:H116" si="103">F114*300%</f>
        <v>39336.479999999996</v>
      </c>
      <c r="I114" s="49">
        <f t="shared" ref="I114:I116" si="104">F114*7.5%</f>
        <v>983.41199999999992</v>
      </c>
      <c r="J114" s="49"/>
      <c r="K114" s="49">
        <f t="shared" ref="K114:K116" si="105">F114*50%</f>
        <v>6556.08</v>
      </c>
      <c r="L114" s="49">
        <f t="shared" ref="L114:L116" si="106">F114*350%</f>
        <v>45892.56</v>
      </c>
      <c r="M114" s="49">
        <f t="shared" ref="M114:M116" si="107">F114*100%</f>
        <v>13112.16</v>
      </c>
      <c r="N114" s="25">
        <f>100000</f>
        <v>100000</v>
      </c>
      <c r="O114" s="25"/>
      <c r="P114" s="49">
        <f t="shared" ref="P114:P116" si="108">F114*10%</f>
        <v>1311.2160000000001</v>
      </c>
      <c r="Q114" s="49">
        <v>10000</v>
      </c>
      <c r="R114" s="49" t="e">
        <f>#REF!</f>
        <v>#REF!</v>
      </c>
      <c r="S114" s="34" t="e">
        <f t="shared" ref="S114:S116" si="109">SUM(F114:R114)</f>
        <v>#REF!</v>
      </c>
      <c r="T114" s="34">
        <v>251765.87100000001</v>
      </c>
      <c r="U114" s="34" t="e">
        <f t="shared" si="60"/>
        <v>#REF!</v>
      </c>
      <c r="V114" s="34"/>
      <c r="W114" s="49">
        <v>1484.37</v>
      </c>
      <c r="X114" s="34">
        <v>1484.37</v>
      </c>
      <c r="Y114" s="34">
        <f t="shared" si="61"/>
        <v>0</v>
      </c>
      <c r="Z114" s="34"/>
      <c r="AA114" s="34"/>
      <c r="AB114" s="34"/>
    </row>
    <row r="115" spans="1:28" ht="20.100000000000001" customHeight="1">
      <c r="A115" s="31">
        <v>7</v>
      </c>
      <c r="B115" s="383" t="s">
        <v>200</v>
      </c>
      <c r="C115" s="384"/>
      <c r="D115" s="1" t="s">
        <v>196</v>
      </c>
      <c r="E115" s="53" t="s">
        <v>90</v>
      </c>
      <c r="F115" s="54">
        <f>12351.94</f>
        <v>12351.94</v>
      </c>
      <c r="G115" s="49"/>
      <c r="H115" s="49">
        <f t="shared" si="103"/>
        <v>37055.82</v>
      </c>
      <c r="I115" s="49">
        <f t="shared" si="104"/>
        <v>926.39549999999997</v>
      </c>
      <c r="J115" s="49"/>
      <c r="K115" s="49">
        <f t="shared" si="105"/>
        <v>6175.97</v>
      </c>
      <c r="L115" s="34">
        <f t="shared" si="106"/>
        <v>43231.79</v>
      </c>
      <c r="M115" s="49">
        <f t="shared" si="107"/>
        <v>12351.94</v>
      </c>
      <c r="N115" s="25">
        <f t="shared" ref="N115:N116" si="110">100000</f>
        <v>100000</v>
      </c>
      <c r="O115" s="25"/>
      <c r="P115" s="49">
        <f t="shared" si="108"/>
        <v>1235.1940000000002</v>
      </c>
      <c r="Q115" s="49">
        <v>10000</v>
      </c>
      <c r="R115" s="49" t="e">
        <f>#REF!</f>
        <v>#REF!</v>
      </c>
      <c r="S115" s="34" t="e">
        <f t="shared" si="109"/>
        <v>#REF!</v>
      </c>
      <c r="T115" s="34">
        <v>247895.24494499998</v>
      </c>
      <c r="U115" s="34" t="e">
        <f t="shared" si="60"/>
        <v>#REF!</v>
      </c>
      <c r="V115" s="34"/>
      <c r="W115" s="49">
        <v>1484.37</v>
      </c>
      <c r="X115" s="34">
        <v>1484.37</v>
      </c>
      <c r="Y115" s="34">
        <f t="shared" si="61"/>
        <v>0</v>
      </c>
      <c r="Z115" s="34"/>
      <c r="AA115" s="34"/>
      <c r="AB115" s="34"/>
    </row>
    <row r="116" spans="1:28" ht="20.100000000000001" customHeight="1">
      <c r="A116" s="31">
        <v>8</v>
      </c>
      <c r="B116" s="383" t="s">
        <v>702</v>
      </c>
      <c r="C116" s="384"/>
      <c r="D116" s="1" t="s">
        <v>196</v>
      </c>
      <c r="E116" s="53" t="s">
        <v>90</v>
      </c>
      <c r="F116" s="54">
        <f>12351.94</f>
        <v>12351.94</v>
      </c>
      <c r="G116" s="49"/>
      <c r="H116" s="49">
        <f t="shared" si="103"/>
        <v>37055.82</v>
      </c>
      <c r="I116" s="49">
        <f t="shared" si="104"/>
        <v>926.39549999999997</v>
      </c>
      <c r="J116" s="49"/>
      <c r="K116" s="49">
        <f t="shared" si="105"/>
        <v>6175.97</v>
      </c>
      <c r="L116" s="34">
        <f t="shared" si="106"/>
        <v>43231.79</v>
      </c>
      <c r="M116" s="49">
        <f t="shared" si="107"/>
        <v>12351.94</v>
      </c>
      <c r="N116" s="25">
        <f t="shared" si="110"/>
        <v>100000</v>
      </c>
      <c r="O116" s="25"/>
      <c r="P116" s="49">
        <f t="shared" si="108"/>
        <v>1235.1940000000002</v>
      </c>
      <c r="Q116" s="49">
        <v>10000</v>
      </c>
      <c r="R116" s="49" t="e">
        <f>#REF!</f>
        <v>#REF!</v>
      </c>
      <c r="S116" s="34" t="e">
        <f t="shared" si="109"/>
        <v>#REF!</v>
      </c>
      <c r="T116" s="34">
        <v>247895.24494499998</v>
      </c>
      <c r="U116" s="34" t="e">
        <f t="shared" si="60"/>
        <v>#REF!</v>
      </c>
      <c r="V116" s="34"/>
      <c r="W116" s="49">
        <v>1484.37</v>
      </c>
      <c r="X116" s="34">
        <v>1484.37</v>
      </c>
      <c r="Y116" s="34">
        <f t="shared" si="61"/>
        <v>0</v>
      </c>
      <c r="Z116" s="34"/>
      <c r="AA116" s="34"/>
      <c r="AB116" s="34"/>
    </row>
    <row r="117" spans="1:28" ht="20.100000000000001" customHeight="1">
      <c r="A117" s="31"/>
      <c r="B117" s="429" t="s">
        <v>91</v>
      </c>
      <c r="C117" s="429"/>
      <c r="D117" s="3">
        <v>8</v>
      </c>
      <c r="E117" s="31"/>
      <c r="F117" s="66">
        <f>SUM(F109:F116)</f>
        <v>218418.52000000002</v>
      </c>
      <c r="G117" s="66"/>
      <c r="H117" s="66">
        <f t="shared" ref="H117:N117" si="111">SUM(H109:H116)</f>
        <v>655255.55999999982</v>
      </c>
      <c r="I117" s="66">
        <f t="shared" si="111"/>
        <v>16381.389000000003</v>
      </c>
      <c r="J117" s="66">
        <f t="shared" si="111"/>
        <v>120366.57</v>
      </c>
      <c r="K117" s="66">
        <f t="shared" si="111"/>
        <v>109209.26000000001</v>
      </c>
      <c r="L117" s="66">
        <f t="shared" si="111"/>
        <v>764464.82000000007</v>
      </c>
      <c r="M117" s="66">
        <f t="shared" si="111"/>
        <v>218418.52000000002</v>
      </c>
      <c r="N117" s="72">
        <f t="shared" si="111"/>
        <v>1000000</v>
      </c>
      <c r="O117" s="72"/>
      <c r="P117" s="66">
        <f>SUM(P109:P116)</f>
        <v>21841.852000000003</v>
      </c>
      <c r="Q117" s="66">
        <f>SUM(Q109:Q116)</f>
        <v>110000</v>
      </c>
      <c r="R117" s="66" t="e">
        <f>SUM(R109:R116)</f>
        <v>#REF!</v>
      </c>
      <c r="S117" s="66" t="e">
        <f>SUM(S109:S116)</f>
        <v>#REF!</v>
      </c>
      <c r="T117" s="66">
        <v>3376097.6490499997</v>
      </c>
      <c r="U117" s="68" t="e">
        <f t="shared" si="60"/>
        <v>#REF!</v>
      </c>
      <c r="V117" s="66"/>
      <c r="W117" s="66">
        <f t="shared" ref="W117" si="112">SUM(W109:W116)</f>
        <v>89681.959999999963</v>
      </c>
      <c r="X117" s="66">
        <v>89681.959999999963</v>
      </c>
      <c r="Y117" s="34">
        <f t="shared" si="61"/>
        <v>0</v>
      </c>
      <c r="Z117" s="66"/>
      <c r="AA117" s="66"/>
      <c r="AB117" s="66"/>
    </row>
    <row r="118" spans="1:28" ht="20.100000000000001" customHeight="1">
      <c r="A118" s="31"/>
      <c r="B118" s="385"/>
      <c r="C118" s="385"/>
      <c r="D118" s="3"/>
      <c r="E118" s="31"/>
      <c r="F118" s="12"/>
      <c r="G118" s="20"/>
      <c r="H118" s="12"/>
      <c r="I118" s="12"/>
      <c r="J118" s="12"/>
      <c r="K118" s="12"/>
      <c r="L118" s="12"/>
      <c r="M118" s="12"/>
      <c r="N118" s="25"/>
      <c r="O118" s="25"/>
      <c r="P118" s="12"/>
      <c r="Q118" s="12"/>
      <c r="R118" s="12"/>
      <c r="S118" s="12"/>
      <c r="T118" s="12"/>
      <c r="U118" s="34">
        <f t="shared" si="60"/>
        <v>0</v>
      </c>
      <c r="V118" s="12"/>
      <c r="W118" s="12"/>
      <c r="X118" s="12"/>
      <c r="Y118" s="34">
        <f t="shared" si="61"/>
        <v>0</v>
      </c>
      <c r="Z118" s="12"/>
      <c r="AA118" s="12"/>
      <c r="AB118" s="12"/>
    </row>
    <row r="119" spans="1:28" ht="20.100000000000001" customHeight="1">
      <c r="A119" s="31"/>
      <c r="B119" s="429" t="s">
        <v>661</v>
      </c>
      <c r="C119" s="429"/>
      <c r="D119" s="379"/>
      <c r="E119" s="379"/>
      <c r="F119" s="37"/>
      <c r="G119" s="37"/>
      <c r="H119" s="37"/>
      <c r="I119" s="37"/>
      <c r="J119" s="37"/>
      <c r="K119" s="37"/>
      <c r="L119" s="37"/>
      <c r="M119" s="37"/>
      <c r="N119" s="25"/>
      <c r="O119" s="25"/>
      <c r="P119" s="37"/>
      <c r="Q119" s="37"/>
      <c r="R119" s="37"/>
      <c r="S119" s="50"/>
      <c r="T119" s="50"/>
      <c r="U119" s="34">
        <f t="shared" si="60"/>
        <v>0</v>
      </c>
      <c r="V119" s="50"/>
      <c r="W119" s="37"/>
      <c r="X119" s="50"/>
      <c r="Y119" s="34">
        <f t="shared" si="61"/>
        <v>0</v>
      </c>
      <c r="Z119" s="34"/>
      <c r="AA119" s="34"/>
      <c r="AB119" s="34"/>
    </row>
    <row r="120" spans="1:28" ht="20.100000000000001" customHeight="1">
      <c r="A120" s="31">
        <v>1</v>
      </c>
      <c r="B120" s="426" t="s">
        <v>209</v>
      </c>
      <c r="C120" s="426"/>
      <c r="D120" s="382" t="s">
        <v>210</v>
      </c>
      <c r="E120" s="53" t="s">
        <v>95</v>
      </c>
      <c r="F120" s="49">
        <f>81740.02</f>
        <v>81740.02</v>
      </c>
      <c r="G120" s="49"/>
      <c r="H120" s="49">
        <f t="shared" ref="H120:H128" si="113">F120*300%</f>
        <v>245220.06</v>
      </c>
      <c r="I120" s="49">
        <f t="shared" ref="I120:I128" si="114">F120*7.5%</f>
        <v>6130.5015000000003</v>
      </c>
      <c r="J120" s="49">
        <f>80244.38</f>
        <v>80244.38</v>
      </c>
      <c r="K120" s="49">
        <f t="shared" ref="K120:K128" si="115">F120*50%</f>
        <v>40870.01</v>
      </c>
      <c r="L120" s="49">
        <f t="shared" ref="L120:L128" si="116">F120*350%</f>
        <v>286090.07</v>
      </c>
      <c r="M120" s="49">
        <f t="shared" ref="M120:M128" si="117">F120*100%</f>
        <v>81740.02</v>
      </c>
      <c r="N120" s="25"/>
      <c r="O120" s="25">
        <f>100000</f>
        <v>100000</v>
      </c>
      <c r="P120" s="49">
        <f t="shared" ref="P120:P128" si="118">F120*10%</f>
        <v>8174.0020000000004</v>
      </c>
      <c r="Q120" s="49">
        <v>20000</v>
      </c>
      <c r="R120" s="49">
        <v>100000</v>
      </c>
      <c r="S120" s="34">
        <f t="shared" ref="S120:S128" si="119">SUM(F120:R120)</f>
        <v>1050209.0635000002</v>
      </c>
      <c r="T120" s="34">
        <v>1050209.0635000002</v>
      </c>
      <c r="U120" s="34">
        <f t="shared" si="60"/>
        <v>0</v>
      </c>
      <c r="V120" s="34"/>
      <c r="W120" s="49">
        <f>52776.63</f>
        <v>52776.63</v>
      </c>
      <c r="X120" s="34">
        <v>52776.63</v>
      </c>
      <c r="Y120" s="34">
        <f t="shared" si="61"/>
        <v>0</v>
      </c>
      <c r="Z120" s="34"/>
      <c r="AA120" s="34"/>
      <c r="AB120" s="34"/>
    </row>
    <row r="121" spans="1:28" ht="20.100000000000001" customHeight="1">
      <c r="A121" s="31">
        <v>2</v>
      </c>
      <c r="B121" s="426" t="s">
        <v>594</v>
      </c>
      <c r="C121" s="426"/>
      <c r="D121" s="382" t="s">
        <v>595</v>
      </c>
      <c r="E121" s="53" t="s">
        <v>233</v>
      </c>
      <c r="F121" s="49">
        <f>42653.17</f>
        <v>42653.17</v>
      </c>
      <c r="G121" s="49"/>
      <c r="H121" s="49">
        <f t="shared" si="113"/>
        <v>127959.51</v>
      </c>
      <c r="I121" s="49">
        <f t="shared" si="114"/>
        <v>3198.9877499999998</v>
      </c>
      <c r="J121" s="49">
        <v>40122.19</v>
      </c>
      <c r="K121" s="49">
        <f t="shared" si="115"/>
        <v>21326.584999999999</v>
      </c>
      <c r="L121" s="49">
        <f t="shared" si="116"/>
        <v>149286.095</v>
      </c>
      <c r="M121" s="49">
        <f t="shared" si="117"/>
        <v>42653.17</v>
      </c>
      <c r="N121" s="25"/>
      <c r="O121" s="25">
        <f>90000</f>
        <v>90000</v>
      </c>
      <c r="P121" s="49">
        <f t="shared" si="118"/>
        <v>4265.317</v>
      </c>
      <c r="Q121" s="49">
        <v>20000</v>
      </c>
      <c r="R121" s="49">
        <f>100000</f>
        <v>100000</v>
      </c>
      <c r="S121" s="34">
        <f t="shared" si="119"/>
        <v>641465.02474999998</v>
      </c>
      <c r="T121" s="34">
        <v>641465.02474999998</v>
      </c>
      <c r="U121" s="34">
        <f t="shared" si="60"/>
        <v>0</v>
      </c>
      <c r="V121" s="34"/>
      <c r="W121" s="49">
        <f>21618.09</f>
        <v>21618.09</v>
      </c>
      <c r="X121" s="34">
        <v>21618.09</v>
      </c>
      <c r="Y121" s="34">
        <f t="shared" si="61"/>
        <v>0</v>
      </c>
      <c r="Z121" s="34"/>
      <c r="AA121" s="34"/>
      <c r="AB121" s="34"/>
    </row>
    <row r="122" spans="1:28" ht="20.100000000000001" customHeight="1">
      <c r="A122" s="31">
        <v>3</v>
      </c>
      <c r="B122" s="426" t="s">
        <v>211</v>
      </c>
      <c r="C122" s="426"/>
      <c r="D122" s="382" t="s">
        <v>214</v>
      </c>
      <c r="E122" s="53" t="s">
        <v>45</v>
      </c>
      <c r="F122" s="24">
        <f>33507.5</f>
        <v>33507.5</v>
      </c>
      <c r="G122" s="49"/>
      <c r="H122" s="49">
        <f t="shared" si="113"/>
        <v>100522.5</v>
      </c>
      <c r="I122" s="49">
        <f t="shared" si="114"/>
        <v>2513.0625</v>
      </c>
      <c r="J122" s="49">
        <v>40122.19</v>
      </c>
      <c r="K122" s="49">
        <f t="shared" si="115"/>
        <v>16753.75</v>
      </c>
      <c r="L122" s="34">
        <f t="shared" si="116"/>
        <v>117276.25</v>
      </c>
      <c r="M122" s="49">
        <f t="shared" si="117"/>
        <v>33507.5</v>
      </c>
      <c r="N122" s="25"/>
      <c r="O122" s="25">
        <f>80000</f>
        <v>80000</v>
      </c>
      <c r="P122" s="49">
        <f t="shared" si="118"/>
        <v>3350.75</v>
      </c>
      <c r="Q122" s="49">
        <v>20000</v>
      </c>
      <c r="R122" s="49">
        <v>0</v>
      </c>
      <c r="S122" s="34">
        <f t="shared" si="119"/>
        <v>447553.5025</v>
      </c>
      <c r="T122" s="34">
        <v>447553.5025</v>
      </c>
      <c r="U122" s="34">
        <f t="shared" si="60"/>
        <v>0</v>
      </c>
      <c r="V122" s="34"/>
      <c r="W122" s="49">
        <v>15548.33</v>
      </c>
      <c r="X122" s="34">
        <v>15548.33</v>
      </c>
      <c r="Y122" s="34">
        <f t="shared" si="61"/>
        <v>0</v>
      </c>
      <c r="Z122" s="34"/>
      <c r="AA122" s="34"/>
      <c r="AB122" s="34"/>
    </row>
    <row r="123" spans="1:28" ht="20.100000000000001" customHeight="1">
      <c r="A123" s="31">
        <v>4</v>
      </c>
      <c r="B123" s="431" t="s">
        <v>213</v>
      </c>
      <c r="C123" s="431"/>
      <c r="D123" s="382" t="s">
        <v>214</v>
      </c>
      <c r="E123" s="53" t="s">
        <v>45</v>
      </c>
      <c r="F123" s="49">
        <f>33507.5</f>
        <v>33507.5</v>
      </c>
      <c r="G123" s="49"/>
      <c r="H123" s="49">
        <f>F123*300%</f>
        <v>100522.5</v>
      </c>
      <c r="I123" s="49">
        <f>F123*7.5%</f>
        <v>2513.0625</v>
      </c>
      <c r="J123" s="49">
        <f>40122.19</f>
        <v>40122.19</v>
      </c>
      <c r="K123" s="49">
        <f>F123*50%</f>
        <v>16753.75</v>
      </c>
      <c r="L123" s="34">
        <f>F123*350%</f>
        <v>117276.25</v>
      </c>
      <c r="M123" s="49">
        <f>F123*100%</f>
        <v>33507.5</v>
      </c>
      <c r="N123" s="25"/>
      <c r="O123" s="25">
        <f t="shared" si="9"/>
        <v>80000</v>
      </c>
      <c r="P123" s="49">
        <f>F123*10%</f>
        <v>3350.75</v>
      </c>
      <c r="Q123" s="49">
        <v>20000</v>
      </c>
      <c r="R123" s="49">
        <f>100000</f>
        <v>100000</v>
      </c>
      <c r="S123" s="34">
        <f>SUM(F123:R123)</f>
        <v>547553.50249999994</v>
      </c>
      <c r="T123" s="34">
        <v>536137.05000000005</v>
      </c>
      <c r="U123" s="34">
        <f t="shared" si="60"/>
        <v>11416.452499999898</v>
      </c>
      <c r="V123" s="34"/>
      <c r="W123" s="34">
        <f>15548.33</f>
        <v>15548.33</v>
      </c>
      <c r="X123" s="34">
        <v>15548.33</v>
      </c>
      <c r="Y123" s="34">
        <f t="shared" si="61"/>
        <v>0</v>
      </c>
      <c r="Z123" s="34"/>
      <c r="AA123" s="34"/>
      <c r="AB123" s="34"/>
    </row>
    <row r="124" spans="1:28" ht="20.100000000000001" customHeight="1">
      <c r="A124" s="31">
        <v>5</v>
      </c>
      <c r="B124" s="1" t="s">
        <v>215</v>
      </c>
      <c r="D124" s="382" t="s">
        <v>214</v>
      </c>
      <c r="E124" s="53" t="s">
        <v>48</v>
      </c>
      <c r="F124" s="24">
        <f>31018.84</f>
        <v>31018.84</v>
      </c>
      <c r="G124" s="49"/>
      <c r="H124" s="49">
        <f t="shared" ref="H124" si="120">F124*300%</f>
        <v>93056.52</v>
      </c>
      <c r="I124" s="49">
        <f t="shared" ref="I124" si="121">F124*7.5%</f>
        <v>2326.413</v>
      </c>
      <c r="J124" s="49">
        <v>40122.19</v>
      </c>
      <c r="K124" s="49">
        <f t="shared" ref="K124" si="122">F124*50%</f>
        <v>15509.42</v>
      </c>
      <c r="L124" s="34">
        <f t="shared" ref="L124" si="123">F124*350%</f>
        <v>108565.94</v>
      </c>
      <c r="M124" s="49">
        <f t="shared" ref="M124" si="124">F124*100%</f>
        <v>31018.84</v>
      </c>
      <c r="N124" s="25"/>
      <c r="O124" s="25">
        <f>80000</f>
        <v>80000</v>
      </c>
      <c r="P124" s="49">
        <f t="shared" ref="P124" si="125">F124*10%</f>
        <v>3101.884</v>
      </c>
      <c r="Q124" s="49">
        <v>20000</v>
      </c>
      <c r="R124" s="49">
        <v>0</v>
      </c>
      <c r="S124" s="34">
        <f>SUM(F124:R124)</f>
        <v>424720.04700000002</v>
      </c>
      <c r="T124" s="34">
        <v>424720.04700000002</v>
      </c>
      <c r="U124" s="34">
        <f t="shared" si="60"/>
        <v>0</v>
      </c>
      <c r="V124" s="34"/>
      <c r="W124" s="49">
        <f>(15548.33)</f>
        <v>15548.33</v>
      </c>
      <c r="X124" s="34">
        <v>15548.33</v>
      </c>
      <c r="Y124" s="34">
        <f t="shared" si="61"/>
        <v>0</v>
      </c>
      <c r="Z124" s="34"/>
      <c r="AA124" s="34"/>
      <c r="AB124" s="34"/>
    </row>
    <row r="125" spans="1:28" ht="20.100000000000001" customHeight="1">
      <c r="A125" s="31">
        <v>6</v>
      </c>
      <c r="B125" s="430" t="s">
        <v>216</v>
      </c>
      <c r="C125" s="430"/>
      <c r="D125" s="382" t="s">
        <v>597</v>
      </c>
      <c r="E125" s="53" t="s">
        <v>168</v>
      </c>
      <c r="F125" s="49">
        <f>25523.45</f>
        <v>25523.45</v>
      </c>
      <c r="G125" s="49"/>
      <c r="H125" s="49">
        <f t="shared" si="113"/>
        <v>76570.350000000006</v>
      </c>
      <c r="I125" s="49">
        <f t="shared" si="114"/>
        <v>1914.25875</v>
      </c>
      <c r="J125" s="49">
        <v>0</v>
      </c>
      <c r="K125" s="49">
        <f t="shared" si="115"/>
        <v>12761.725</v>
      </c>
      <c r="L125" s="34">
        <f t="shared" si="116"/>
        <v>89332.074999999997</v>
      </c>
      <c r="M125" s="49">
        <f t="shared" si="117"/>
        <v>25523.45</v>
      </c>
      <c r="N125" s="25"/>
      <c r="O125" s="25">
        <f>70000</f>
        <v>70000</v>
      </c>
      <c r="P125" s="49">
        <f t="shared" si="118"/>
        <v>2552.3450000000003</v>
      </c>
      <c r="Q125" s="49">
        <v>15000</v>
      </c>
      <c r="R125" s="49">
        <v>0</v>
      </c>
      <c r="S125" s="34">
        <f t="shared" si="119"/>
        <v>319177.65375</v>
      </c>
      <c r="T125" s="34">
        <v>312001.06049999996</v>
      </c>
      <c r="U125" s="34">
        <f t="shared" si="60"/>
        <v>7176.5932500000345</v>
      </c>
      <c r="V125" s="34"/>
      <c r="W125" s="49">
        <f>7709.76</f>
        <v>7709.76</v>
      </c>
      <c r="X125" s="34">
        <v>7709.76</v>
      </c>
      <c r="Y125" s="34">
        <f t="shared" si="61"/>
        <v>0</v>
      </c>
      <c r="Z125" s="34"/>
      <c r="AA125" s="34"/>
      <c r="AB125" s="34"/>
    </row>
    <row r="126" spans="1:28" ht="20.100000000000001" customHeight="1">
      <c r="A126" s="31">
        <v>7</v>
      </c>
      <c r="B126" s="426" t="s">
        <v>218</v>
      </c>
      <c r="C126" s="426"/>
      <c r="D126" s="382" t="s">
        <v>219</v>
      </c>
      <c r="E126" s="53" t="s">
        <v>60</v>
      </c>
      <c r="F126" s="49">
        <f>24741.26</f>
        <v>24741.26</v>
      </c>
      <c r="G126" s="49"/>
      <c r="H126" s="49">
        <f t="shared" si="113"/>
        <v>74223.78</v>
      </c>
      <c r="I126" s="49">
        <f t="shared" si="114"/>
        <v>1855.5944999999997</v>
      </c>
      <c r="J126" s="49"/>
      <c r="K126" s="49">
        <f t="shared" si="115"/>
        <v>12370.63</v>
      </c>
      <c r="L126" s="34">
        <f t="shared" si="116"/>
        <v>86594.409999999989</v>
      </c>
      <c r="M126" s="49">
        <f t="shared" si="117"/>
        <v>24741.26</v>
      </c>
      <c r="N126" s="25"/>
      <c r="O126" s="25">
        <f t="shared" ref="O126:O128" si="126">70000</f>
        <v>70000</v>
      </c>
      <c r="P126" s="49">
        <f t="shared" si="118"/>
        <v>2474.1260000000002</v>
      </c>
      <c r="Q126" s="49">
        <v>15000</v>
      </c>
      <c r="R126" s="49">
        <f>30000</f>
        <v>30000</v>
      </c>
      <c r="S126" s="34">
        <f t="shared" si="119"/>
        <v>342001.06049999996</v>
      </c>
      <c r="T126" s="34">
        <v>334201.02600000001</v>
      </c>
      <c r="U126" s="34">
        <f t="shared" si="60"/>
        <v>7800.0344999999506</v>
      </c>
      <c r="V126" s="34"/>
      <c r="W126" s="49">
        <f>7709.76</f>
        <v>7709.76</v>
      </c>
      <c r="X126" s="34">
        <v>7709.76</v>
      </c>
      <c r="Y126" s="34">
        <f t="shared" si="61"/>
        <v>0</v>
      </c>
      <c r="Z126" s="34"/>
      <c r="AA126" s="34"/>
      <c r="AB126" s="34"/>
    </row>
    <row r="127" spans="1:28" ht="20.100000000000001" customHeight="1">
      <c r="A127" s="31">
        <v>8</v>
      </c>
      <c r="B127" s="426" t="s">
        <v>220</v>
      </c>
      <c r="C127" s="426"/>
      <c r="D127" s="382" t="s">
        <v>416</v>
      </c>
      <c r="E127" s="53" t="s">
        <v>60</v>
      </c>
      <c r="F127" s="49">
        <f>24741.26</f>
        <v>24741.26</v>
      </c>
      <c r="G127" s="49"/>
      <c r="H127" s="49">
        <f t="shared" si="113"/>
        <v>74223.78</v>
      </c>
      <c r="I127" s="49">
        <f t="shared" si="114"/>
        <v>1855.5944999999997</v>
      </c>
      <c r="J127" s="49"/>
      <c r="K127" s="49">
        <f t="shared" si="115"/>
        <v>12370.63</v>
      </c>
      <c r="L127" s="34">
        <f t="shared" si="116"/>
        <v>86594.409999999989</v>
      </c>
      <c r="M127" s="49">
        <f t="shared" si="117"/>
        <v>24741.26</v>
      </c>
      <c r="N127" s="25"/>
      <c r="O127" s="25">
        <f t="shared" si="126"/>
        <v>70000</v>
      </c>
      <c r="P127" s="49">
        <f t="shared" si="118"/>
        <v>2474.1260000000002</v>
      </c>
      <c r="Q127" s="49">
        <v>15000</v>
      </c>
      <c r="R127" s="49"/>
      <c r="S127" s="34">
        <f t="shared" si="119"/>
        <v>312001.06049999996</v>
      </c>
      <c r="T127" s="34">
        <v>304201.02600000001</v>
      </c>
      <c r="U127" s="34">
        <f t="shared" si="60"/>
        <v>7800.0344999999506</v>
      </c>
      <c r="V127" s="34"/>
      <c r="W127" s="49">
        <f>7709.76</f>
        <v>7709.76</v>
      </c>
      <c r="X127" s="34">
        <v>7709.76</v>
      </c>
      <c r="Y127" s="34">
        <f t="shared" si="61"/>
        <v>0</v>
      </c>
      <c r="Z127" s="34"/>
      <c r="AA127" s="34"/>
      <c r="AB127" s="34"/>
    </row>
    <row r="128" spans="1:28" ht="20.100000000000001" customHeight="1">
      <c r="A128" s="31">
        <v>9</v>
      </c>
      <c r="B128" s="383" t="s">
        <v>596</v>
      </c>
      <c r="C128" s="384"/>
      <c r="D128" s="382" t="s">
        <v>597</v>
      </c>
      <c r="E128" s="53" t="s">
        <v>63</v>
      </c>
      <c r="F128" s="49">
        <f>23891.12</f>
        <v>23891.119999999999</v>
      </c>
      <c r="G128" s="49"/>
      <c r="H128" s="49">
        <f t="shared" si="113"/>
        <v>71673.36</v>
      </c>
      <c r="I128" s="49">
        <f t="shared" si="114"/>
        <v>1791.8339999999998</v>
      </c>
      <c r="J128" s="49"/>
      <c r="K128" s="49">
        <f t="shared" si="115"/>
        <v>11945.56</v>
      </c>
      <c r="L128" s="34">
        <f t="shared" si="116"/>
        <v>83618.92</v>
      </c>
      <c r="M128" s="49">
        <f t="shared" si="117"/>
        <v>23891.119999999999</v>
      </c>
      <c r="N128" s="25"/>
      <c r="O128" s="25">
        <f t="shared" si="126"/>
        <v>70000</v>
      </c>
      <c r="P128" s="49">
        <f t="shared" si="118"/>
        <v>2389.1120000000001</v>
      </c>
      <c r="Q128" s="49">
        <v>15000</v>
      </c>
      <c r="R128" s="49"/>
      <c r="S128" s="34">
        <f t="shared" si="119"/>
        <v>304201.02600000001</v>
      </c>
      <c r="T128" s="34">
        <v>296713.03325000004</v>
      </c>
      <c r="U128" s="34">
        <f t="shared" si="60"/>
        <v>7487.9927499999758</v>
      </c>
      <c r="V128" s="34"/>
      <c r="W128" s="49">
        <f>7709.76</f>
        <v>7709.76</v>
      </c>
      <c r="X128" s="34">
        <v>7709.76</v>
      </c>
      <c r="Y128" s="34">
        <f t="shared" si="61"/>
        <v>0</v>
      </c>
      <c r="Z128" s="34"/>
      <c r="AA128" s="34"/>
      <c r="AB128" s="34"/>
    </row>
    <row r="129" spans="1:28" ht="20.100000000000001" customHeight="1">
      <c r="A129" s="31"/>
      <c r="B129" s="429" t="s">
        <v>91</v>
      </c>
      <c r="C129" s="429"/>
      <c r="D129" s="90" t="s">
        <v>575</v>
      </c>
      <c r="E129" s="53"/>
      <c r="F129" s="37">
        <f>SUM(F120:F128)</f>
        <v>321324.12</v>
      </c>
      <c r="G129" s="37"/>
      <c r="H129" s="37">
        <f t="shared" ref="H129:M129" si="127">SUM(H120:H128)</f>
        <v>963972.3600000001</v>
      </c>
      <c r="I129" s="37">
        <f t="shared" si="127"/>
        <v>24099.308999999997</v>
      </c>
      <c r="J129" s="37">
        <f t="shared" si="127"/>
        <v>240733.14</v>
      </c>
      <c r="K129" s="37">
        <f t="shared" si="127"/>
        <v>160662.06</v>
      </c>
      <c r="L129" s="50">
        <f t="shared" si="127"/>
        <v>1124634.42</v>
      </c>
      <c r="M129" s="37">
        <f t="shared" si="127"/>
        <v>321324.12</v>
      </c>
      <c r="N129" s="72"/>
      <c r="O129" s="72">
        <f>SUM(O120:O128)</f>
        <v>710000</v>
      </c>
      <c r="P129" s="37">
        <f>SUM(P120:P128)</f>
        <v>32132.412000000004</v>
      </c>
      <c r="Q129" s="37">
        <f>SUM(Q120:Q128)</f>
        <v>160000</v>
      </c>
      <c r="R129" s="37">
        <f>SUM(R120:R128)</f>
        <v>330000</v>
      </c>
      <c r="S129" s="50">
        <f>SUM(S120:S128)</f>
        <v>4388881.9410000006</v>
      </c>
      <c r="T129" s="50">
        <v>4347200.8335000006</v>
      </c>
      <c r="U129" s="68">
        <f t="shared" si="60"/>
        <v>41681.107499999925</v>
      </c>
      <c r="V129" s="50"/>
      <c r="W129" s="37">
        <f t="shared" ref="W129" si="128">SUM(W120:W128)</f>
        <v>151878.75000000003</v>
      </c>
      <c r="X129" s="50">
        <v>151878.75000000003</v>
      </c>
      <c r="Y129" s="34">
        <f t="shared" si="61"/>
        <v>0</v>
      </c>
      <c r="Z129" s="50"/>
      <c r="AA129" s="50"/>
      <c r="AB129" s="50"/>
    </row>
    <row r="130" spans="1:28" ht="20.100000000000001" customHeight="1">
      <c r="A130" s="31"/>
      <c r="B130" s="385"/>
      <c r="C130" s="385"/>
      <c r="D130" s="90"/>
      <c r="E130" s="53"/>
      <c r="F130" s="37"/>
      <c r="G130" s="37"/>
      <c r="H130" s="37"/>
      <c r="I130" s="37"/>
      <c r="J130" s="37"/>
      <c r="K130" s="37"/>
      <c r="L130" s="50"/>
      <c r="M130" s="37"/>
      <c r="N130" s="25"/>
      <c r="O130" s="25"/>
      <c r="P130" s="37"/>
      <c r="Q130" s="37"/>
      <c r="R130" s="37"/>
      <c r="S130" s="50"/>
      <c r="T130" s="50"/>
      <c r="U130" s="34">
        <f t="shared" si="60"/>
        <v>0</v>
      </c>
      <c r="V130" s="50"/>
      <c r="W130" s="37"/>
      <c r="X130" s="50"/>
      <c r="Y130" s="34">
        <f t="shared" si="61"/>
        <v>0</v>
      </c>
      <c r="Z130" s="50"/>
      <c r="AA130" s="50"/>
      <c r="AB130" s="50"/>
    </row>
    <row r="131" spans="1:28" ht="20.100000000000001" customHeight="1">
      <c r="A131" s="31"/>
      <c r="B131" s="429" t="s">
        <v>662</v>
      </c>
      <c r="C131" s="429"/>
      <c r="D131" s="382"/>
      <c r="E131" s="53"/>
      <c r="F131" s="49"/>
      <c r="G131" s="49"/>
      <c r="H131" s="49"/>
      <c r="I131" s="49"/>
      <c r="J131" s="49"/>
      <c r="K131" s="49"/>
      <c r="L131" s="34"/>
      <c r="M131" s="49"/>
      <c r="N131" s="25"/>
      <c r="O131" s="25"/>
      <c r="P131" s="49"/>
      <c r="Q131" s="49"/>
      <c r="R131" s="49"/>
      <c r="S131" s="34"/>
      <c r="T131" s="34"/>
      <c r="U131" s="34">
        <f t="shared" si="60"/>
        <v>0</v>
      </c>
      <c r="V131" s="34"/>
      <c r="W131" s="49"/>
      <c r="X131" s="34"/>
      <c r="Y131" s="34">
        <f t="shared" si="61"/>
        <v>0</v>
      </c>
      <c r="Z131" s="34"/>
      <c r="AA131" s="34"/>
      <c r="AB131" s="34"/>
    </row>
    <row r="132" spans="1:28" ht="20.100000000000001" customHeight="1">
      <c r="A132" s="31">
        <v>1</v>
      </c>
      <c r="B132" s="426" t="s">
        <v>663</v>
      </c>
      <c r="C132" s="426"/>
      <c r="D132" s="382" t="s">
        <v>664</v>
      </c>
      <c r="E132" s="53" t="s">
        <v>95</v>
      </c>
      <c r="F132" s="49">
        <v>81740.02</v>
      </c>
      <c r="G132" s="49"/>
      <c r="H132" s="49">
        <f>F132*300%</f>
        <v>245220.06</v>
      </c>
      <c r="I132" s="49">
        <f>F132*7.5%</f>
        <v>6130.5015000000003</v>
      </c>
      <c r="J132" s="49">
        <v>80244.38</v>
      </c>
      <c r="K132" s="49">
        <f>F132*50%</f>
        <v>40870.01</v>
      </c>
      <c r="L132" s="49">
        <f>F132*350%</f>
        <v>286090.07</v>
      </c>
      <c r="M132" s="49">
        <f>F132*100%</f>
        <v>81740.02</v>
      </c>
      <c r="N132" s="25"/>
      <c r="O132" s="25">
        <f>100000</f>
        <v>100000</v>
      </c>
      <c r="P132" s="49">
        <f>F132*10%</f>
        <v>8174.0020000000004</v>
      </c>
      <c r="Q132" s="49">
        <v>20000</v>
      </c>
      <c r="R132" s="49">
        <v>0</v>
      </c>
      <c r="S132" s="34">
        <f>SUM(F132:R132)</f>
        <v>950209.06350000005</v>
      </c>
      <c r="T132" s="34">
        <v>950209.06350000005</v>
      </c>
      <c r="U132" s="34">
        <f t="shared" si="60"/>
        <v>0</v>
      </c>
      <c r="V132" s="34"/>
      <c r="W132" s="49">
        <v>52776.63</v>
      </c>
      <c r="X132" s="34">
        <v>52776.63</v>
      </c>
      <c r="Y132" s="34">
        <f t="shared" si="61"/>
        <v>0</v>
      </c>
      <c r="Z132" s="34"/>
      <c r="AA132" s="34"/>
      <c r="AB132" s="34"/>
    </row>
    <row r="133" spans="1:28" ht="20.100000000000001" customHeight="1">
      <c r="A133" s="31">
        <v>2</v>
      </c>
      <c r="B133" s="426" t="s">
        <v>229</v>
      </c>
      <c r="C133" s="426"/>
      <c r="D133" s="382" t="s">
        <v>230</v>
      </c>
      <c r="E133" s="53" t="s">
        <v>95</v>
      </c>
      <c r="F133" s="49">
        <f>81740.02</f>
        <v>81740.02</v>
      </c>
      <c r="G133" s="49"/>
      <c r="H133" s="49">
        <f>F133*300%</f>
        <v>245220.06</v>
      </c>
      <c r="I133" s="49">
        <f>F133*7.5%</f>
        <v>6130.5015000000003</v>
      </c>
      <c r="J133" s="49">
        <f>80244.38</f>
        <v>80244.38</v>
      </c>
      <c r="K133" s="49">
        <f>F133*50%</f>
        <v>40870.01</v>
      </c>
      <c r="L133" s="49">
        <f>F133*350%</f>
        <v>286090.07</v>
      </c>
      <c r="M133" s="49">
        <f>F133*100%</f>
        <v>81740.02</v>
      </c>
      <c r="N133" s="25"/>
      <c r="O133" s="25">
        <f>100000</f>
        <v>100000</v>
      </c>
      <c r="P133" s="49">
        <f>F133*10%</f>
        <v>8174.0020000000004</v>
      </c>
      <c r="Q133" s="49">
        <v>20000</v>
      </c>
      <c r="R133" s="49">
        <v>0</v>
      </c>
      <c r="S133" s="34">
        <f>SUM(F133:R133)</f>
        <v>950209.06350000005</v>
      </c>
      <c r="T133" s="34">
        <v>950209.06350000005</v>
      </c>
      <c r="U133" s="34">
        <f t="shared" si="60"/>
        <v>0</v>
      </c>
      <c r="V133" s="34"/>
      <c r="W133" s="49">
        <f>52776.63</f>
        <v>52776.63</v>
      </c>
      <c r="X133" s="34">
        <v>52776.63</v>
      </c>
      <c r="Y133" s="34">
        <f t="shared" si="61"/>
        <v>0</v>
      </c>
      <c r="Z133" s="34"/>
      <c r="AA133" s="34"/>
      <c r="AB133" s="34"/>
    </row>
    <row r="134" spans="1:28" ht="20.100000000000001" customHeight="1">
      <c r="A134" s="31">
        <v>3</v>
      </c>
      <c r="B134" s="430" t="s">
        <v>231</v>
      </c>
      <c r="C134" s="430"/>
      <c r="D134" s="382" t="s">
        <v>232</v>
      </c>
      <c r="E134" s="53" t="s">
        <v>233</v>
      </c>
      <c r="F134" s="49">
        <f>42653.17</f>
        <v>42653.17</v>
      </c>
      <c r="G134" s="49"/>
      <c r="H134" s="49">
        <f t="shared" ref="H134:H186" si="129">F134*300%</f>
        <v>127959.51</v>
      </c>
      <c r="I134" s="49">
        <f t="shared" ref="I134:I186" si="130">F134*7.5%</f>
        <v>3198.9877499999998</v>
      </c>
      <c r="J134" s="49">
        <v>40122.19</v>
      </c>
      <c r="K134" s="49">
        <f t="shared" ref="K134:K186" si="131">F134*50%</f>
        <v>21326.584999999999</v>
      </c>
      <c r="L134" s="49">
        <f t="shared" ref="L134:L186" si="132">F134*350%</f>
        <v>149286.095</v>
      </c>
      <c r="M134" s="49">
        <f t="shared" ref="M134:M152" si="133">F134*100%</f>
        <v>42653.17</v>
      </c>
      <c r="N134" s="25"/>
      <c r="O134" s="25">
        <f>90000</f>
        <v>90000</v>
      </c>
      <c r="P134" s="49">
        <f t="shared" ref="P134:P152" si="134">F134*10%</f>
        <v>4265.317</v>
      </c>
      <c r="Q134" s="49">
        <v>20000</v>
      </c>
      <c r="R134" s="49">
        <v>0</v>
      </c>
      <c r="S134" s="34">
        <f t="shared" ref="S134:S154" si="135">SUM(F134:R134)</f>
        <v>541465.02474999998</v>
      </c>
      <c r="T134" s="34">
        <v>541465.02474999998</v>
      </c>
      <c r="U134" s="34">
        <f t="shared" si="60"/>
        <v>0</v>
      </c>
      <c r="V134" s="34"/>
      <c r="W134" s="49">
        <f>21618.09</f>
        <v>21618.09</v>
      </c>
      <c r="X134" s="34">
        <v>21618.09</v>
      </c>
      <c r="Y134" s="34">
        <f t="shared" si="61"/>
        <v>0</v>
      </c>
      <c r="Z134" s="34"/>
      <c r="AA134" s="34"/>
      <c r="AB134" s="34"/>
    </row>
    <row r="135" spans="1:28" ht="20.100000000000001" customHeight="1">
      <c r="A135" s="31">
        <v>4</v>
      </c>
      <c r="B135" s="427" t="s">
        <v>234</v>
      </c>
      <c r="C135" s="428"/>
      <c r="D135" s="19" t="s">
        <v>665</v>
      </c>
      <c r="E135" s="23" t="s">
        <v>45</v>
      </c>
      <c r="F135" s="49">
        <v>33507.5</v>
      </c>
      <c r="G135" s="24"/>
      <c r="H135" s="24">
        <f t="shared" si="129"/>
        <v>100522.5</v>
      </c>
      <c r="I135" s="24">
        <f t="shared" si="130"/>
        <v>2513.0625</v>
      </c>
      <c r="J135" s="24">
        <v>40122.19</v>
      </c>
      <c r="K135" s="24">
        <f t="shared" si="131"/>
        <v>16753.75</v>
      </c>
      <c r="L135" s="24">
        <f t="shared" si="132"/>
        <v>117276.25</v>
      </c>
      <c r="M135" s="24">
        <f t="shared" si="133"/>
        <v>33507.5</v>
      </c>
      <c r="N135" s="25"/>
      <c r="O135" s="25">
        <v>80000</v>
      </c>
      <c r="P135" s="24">
        <f t="shared" si="134"/>
        <v>3350.75</v>
      </c>
      <c r="Q135" s="24">
        <v>20000</v>
      </c>
      <c r="R135" s="24">
        <v>50000</v>
      </c>
      <c r="S135" s="34">
        <f t="shared" si="135"/>
        <v>497553.5025</v>
      </c>
      <c r="T135" s="34">
        <v>497553.5025</v>
      </c>
      <c r="U135" s="34">
        <f t="shared" si="60"/>
        <v>0</v>
      </c>
      <c r="V135" s="22"/>
      <c r="W135" s="22">
        <v>15548.33</v>
      </c>
      <c r="X135" s="22">
        <v>15548.33</v>
      </c>
      <c r="Y135" s="34">
        <f t="shared" si="61"/>
        <v>0</v>
      </c>
      <c r="Z135" s="34"/>
      <c r="AA135" s="34"/>
      <c r="AB135" s="34"/>
    </row>
    <row r="136" spans="1:28" ht="20.100000000000001" customHeight="1">
      <c r="A136" s="31">
        <v>5</v>
      </c>
      <c r="B136" s="427" t="s">
        <v>666</v>
      </c>
      <c r="C136" s="428"/>
      <c r="D136" s="19" t="s">
        <v>667</v>
      </c>
      <c r="E136" s="23" t="s">
        <v>45</v>
      </c>
      <c r="F136" s="49">
        <v>33507.5</v>
      </c>
      <c r="G136" s="24"/>
      <c r="H136" s="24">
        <f t="shared" si="129"/>
        <v>100522.5</v>
      </c>
      <c r="I136" s="24">
        <f t="shared" si="130"/>
        <v>2513.0625</v>
      </c>
      <c r="J136" s="24">
        <v>40122.19</v>
      </c>
      <c r="K136" s="24">
        <f t="shared" si="131"/>
        <v>16753.75</v>
      </c>
      <c r="L136" s="24">
        <f t="shared" si="132"/>
        <v>117276.25</v>
      </c>
      <c r="M136" s="24">
        <f t="shared" si="133"/>
        <v>33507.5</v>
      </c>
      <c r="N136" s="25"/>
      <c r="O136" s="25">
        <v>80000</v>
      </c>
      <c r="P136" s="24">
        <f t="shared" si="134"/>
        <v>3350.75</v>
      </c>
      <c r="Q136" s="24">
        <v>20000</v>
      </c>
      <c r="R136" s="24"/>
      <c r="S136" s="34">
        <f t="shared" si="135"/>
        <v>447553.5025</v>
      </c>
      <c r="T136" s="34">
        <v>447553.5025</v>
      </c>
      <c r="U136" s="34">
        <f t="shared" si="60"/>
        <v>0</v>
      </c>
      <c r="V136" s="22"/>
      <c r="W136" s="22">
        <v>15548.33</v>
      </c>
      <c r="X136" s="22">
        <v>15548.33</v>
      </c>
      <c r="Y136" s="34">
        <f t="shared" si="61"/>
        <v>0</v>
      </c>
      <c r="Z136" s="34"/>
      <c r="AA136" s="34"/>
      <c r="AB136" s="34"/>
    </row>
    <row r="137" spans="1:28" ht="20.100000000000001" customHeight="1">
      <c r="A137" s="31">
        <v>6</v>
      </c>
      <c r="B137" s="426" t="s">
        <v>236</v>
      </c>
      <c r="C137" s="426"/>
      <c r="D137" s="382" t="s">
        <v>237</v>
      </c>
      <c r="E137" s="53" t="s">
        <v>54</v>
      </c>
      <c r="F137" s="49">
        <f>26732.65</f>
        <v>26732.65</v>
      </c>
      <c r="G137" s="49"/>
      <c r="H137" s="49">
        <f t="shared" si="129"/>
        <v>80197.950000000012</v>
      </c>
      <c r="I137" s="49">
        <f t="shared" si="130"/>
        <v>2004.94875</v>
      </c>
      <c r="J137" s="49">
        <v>0</v>
      </c>
      <c r="K137" s="49">
        <f t="shared" si="131"/>
        <v>13366.325000000001</v>
      </c>
      <c r="L137" s="34">
        <f t="shared" si="132"/>
        <v>93564.275000000009</v>
      </c>
      <c r="M137" s="49">
        <f t="shared" si="133"/>
        <v>26732.65</v>
      </c>
      <c r="N137" s="25"/>
      <c r="O137" s="25">
        <v>70000</v>
      </c>
      <c r="P137" s="49">
        <f t="shared" si="134"/>
        <v>2673.2650000000003</v>
      </c>
      <c r="Q137" s="24">
        <v>20000</v>
      </c>
      <c r="R137" s="49"/>
      <c r="S137" s="34">
        <f t="shared" si="135"/>
        <v>335272.06374999997</v>
      </c>
      <c r="T137" s="34">
        <v>327211.36749999999</v>
      </c>
      <c r="U137" s="34">
        <f t="shared" si="60"/>
        <v>8060.696249999979</v>
      </c>
      <c r="V137" s="34"/>
      <c r="W137" s="49">
        <v>7709.76</v>
      </c>
      <c r="X137" s="34">
        <v>7709.76</v>
      </c>
      <c r="Y137" s="34">
        <f t="shared" si="61"/>
        <v>0</v>
      </c>
      <c r="Z137" s="34"/>
      <c r="AA137" s="34"/>
      <c r="AB137" s="34"/>
    </row>
    <row r="138" spans="1:28" ht="20.100000000000001" customHeight="1">
      <c r="A138" s="31">
        <v>7</v>
      </c>
      <c r="B138" s="426" t="s">
        <v>238</v>
      </c>
      <c r="C138" s="426"/>
      <c r="D138" s="31" t="s">
        <v>239</v>
      </c>
      <c r="E138" s="53" t="s">
        <v>54</v>
      </c>
      <c r="F138" s="49">
        <f t="shared" ref="F138:F139" si="136">26732.65</f>
        <v>26732.65</v>
      </c>
      <c r="G138" s="49"/>
      <c r="H138" s="49">
        <f t="shared" si="129"/>
        <v>80197.950000000012</v>
      </c>
      <c r="I138" s="49">
        <f t="shared" si="130"/>
        <v>2004.94875</v>
      </c>
      <c r="J138" s="49">
        <v>0</v>
      </c>
      <c r="K138" s="49">
        <f t="shared" si="131"/>
        <v>13366.325000000001</v>
      </c>
      <c r="L138" s="34">
        <f t="shared" si="132"/>
        <v>93564.275000000009</v>
      </c>
      <c r="M138" s="49">
        <f t="shared" si="133"/>
        <v>26732.65</v>
      </c>
      <c r="N138" s="25"/>
      <c r="O138" s="25">
        <v>70000</v>
      </c>
      <c r="P138" s="49">
        <f t="shared" si="134"/>
        <v>2673.2650000000003</v>
      </c>
      <c r="Q138" s="24">
        <v>20000</v>
      </c>
      <c r="R138" s="49">
        <v>0</v>
      </c>
      <c r="S138" s="34">
        <f t="shared" si="135"/>
        <v>335272.06374999997</v>
      </c>
      <c r="T138" s="34">
        <v>327211.36749999999</v>
      </c>
      <c r="U138" s="34">
        <f t="shared" ref="U138:U186" si="137">S138-T138</f>
        <v>8060.696249999979</v>
      </c>
      <c r="V138" s="34"/>
      <c r="W138" s="49">
        <v>7709.76</v>
      </c>
      <c r="X138" s="34">
        <v>7709.76</v>
      </c>
      <c r="Y138" s="34">
        <f t="shared" ref="Y138:Y186" si="138">X138-W138</f>
        <v>0</v>
      </c>
      <c r="Z138" s="34"/>
      <c r="AA138" s="34"/>
      <c r="AB138" s="34"/>
    </row>
    <row r="139" spans="1:28" ht="20.100000000000001" customHeight="1">
      <c r="A139" s="31">
        <v>8</v>
      </c>
      <c r="B139" s="426" t="s">
        <v>240</v>
      </c>
      <c r="C139" s="426"/>
      <c r="D139" s="31" t="s">
        <v>239</v>
      </c>
      <c r="E139" s="53" t="s">
        <v>54</v>
      </c>
      <c r="F139" s="49">
        <f t="shared" si="136"/>
        <v>26732.65</v>
      </c>
      <c r="G139" s="49"/>
      <c r="H139" s="49">
        <f>F139*300%</f>
        <v>80197.950000000012</v>
      </c>
      <c r="I139" s="49">
        <f>F139*7.5%</f>
        <v>2004.94875</v>
      </c>
      <c r="J139" s="49">
        <v>0</v>
      </c>
      <c r="K139" s="49">
        <f>F139*50%</f>
        <v>13366.325000000001</v>
      </c>
      <c r="L139" s="34">
        <f>F139*350%</f>
        <v>93564.275000000009</v>
      </c>
      <c r="M139" s="49">
        <f>F139*100%</f>
        <v>26732.65</v>
      </c>
      <c r="N139" s="25"/>
      <c r="O139" s="25">
        <v>70000</v>
      </c>
      <c r="P139" s="49">
        <f>F139*10%</f>
        <v>2673.2650000000003</v>
      </c>
      <c r="Q139" s="24">
        <v>20000</v>
      </c>
      <c r="R139" s="49">
        <v>0</v>
      </c>
      <c r="S139" s="34">
        <f>SUM(F139:R139)</f>
        <v>335272.06374999997</v>
      </c>
      <c r="T139" s="34">
        <v>327211.36749999999</v>
      </c>
      <c r="U139" s="34">
        <v>0</v>
      </c>
      <c r="V139" s="34"/>
      <c r="W139" s="49">
        <v>7709.76</v>
      </c>
      <c r="X139" s="34">
        <v>7709.76</v>
      </c>
      <c r="Y139" s="34">
        <f t="shared" si="138"/>
        <v>0</v>
      </c>
      <c r="Z139" s="34"/>
      <c r="AA139" s="34"/>
      <c r="AB139" s="34"/>
    </row>
    <row r="140" spans="1:28" ht="20.100000000000001" customHeight="1">
      <c r="A140" s="31">
        <v>9</v>
      </c>
      <c r="B140" s="426" t="s">
        <v>181</v>
      </c>
      <c r="C140" s="426"/>
      <c r="D140" s="31" t="s">
        <v>245</v>
      </c>
      <c r="E140" s="53" t="s">
        <v>60</v>
      </c>
      <c r="F140" s="49">
        <f>24741.26</f>
        <v>24741.26</v>
      </c>
      <c r="G140" s="49"/>
      <c r="H140" s="49">
        <f t="shared" si="129"/>
        <v>74223.78</v>
      </c>
      <c r="I140" s="49">
        <f t="shared" si="130"/>
        <v>1855.5944999999997</v>
      </c>
      <c r="J140" s="34">
        <v>0</v>
      </c>
      <c r="K140" s="49">
        <f t="shared" si="131"/>
        <v>12370.63</v>
      </c>
      <c r="L140" s="34">
        <f t="shared" si="132"/>
        <v>86594.409999999989</v>
      </c>
      <c r="M140" s="49">
        <f t="shared" si="133"/>
        <v>24741.26</v>
      </c>
      <c r="N140" s="25"/>
      <c r="O140" s="25">
        <v>70000</v>
      </c>
      <c r="P140" s="49">
        <f t="shared" si="134"/>
        <v>2474.1260000000002</v>
      </c>
      <c r="Q140" s="49">
        <v>15000</v>
      </c>
      <c r="R140" s="49">
        <v>0</v>
      </c>
      <c r="S140" s="34">
        <f t="shared" si="135"/>
        <v>312001.06049999996</v>
      </c>
      <c r="T140" s="34">
        <v>304201.02600000001</v>
      </c>
      <c r="U140" s="34">
        <f t="shared" si="137"/>
        <v>7800.0344999999506</v>
      </c>
      <c r="V140" s="34"/>
      <c r="W140" s="49">
        <f>7709.76</f>
        <v>7709.76</v>
      </c>
      <c r="X140" s="34">
        <v>7709.76</v>
      </c>
      <c r="Y140" s="34">
        <f t="shared" si="138"/>
        <v>0</v>
      </c>
      <c r="Z140" s="34"/>
      <c r="AA140" s="34"/>
      <c r="AB140" s="34"/>
    </row>
    <row r="141" spans="1:28" ht="20.100000000000001" customHeight="1">
      <c r="A141" s="31">
        <v>10</v>
      </c>
      <c r="B141" s="419" t="s">
        <v>241</v>
      </c>
      <c r="C141" s="420"/>
      <c r="D141" s="382" t="s">
        <v>242</v>
      </c>
      <c r="E141" s="53" t="s">
        <v>66</v>
      </c>
      <c r="F141" s="49">
        <f>21520.88</f>
        <v>21520.880000000001</v>
      </c>
      <c r="G141" s="49"/>
      <c r="H141" s="49">
        <f>F141*300%</f>
        <v>64562.64</v>
      </c>
      <c r="I141" s="49">
        <f>F141*7.5%</f>
        <v>1614.066</v>
      </c>
      <c r="J141" s="49">
        <v>0</v>
      </c>
      <c r="K141" s="49">
        <f>F141*50%</f>
        <v>10760.44</v>
      </c>
      <c r="L141" s="34">
        <f>F141*350%</f>
        <v>75323.08</v>
      </c>
      <c r="M141" s="49">
        <f>F141*100%</f>
        <v>21520.880000000001</v>
      </c>
      <c r="N141" s="25"/>
      <c r="O141" s="25">
        <f>60000</f>
        <v>60000</v>
      </c>
      <c r="P141" s="49">
        <f>F141*10%</f>
        <v>2152.0880000000002</v>
      </c>
      <c r="Q141" s="49">
        <v>15000</v>
      </c>
      <c r="R141" s="49">
        <v>0</v>
      </c>
      <c r="S141" s="34">
        <f>SUM(F141:R141)</f>
        <v>272454.07400000002</v>
      </c>
      <c r="T141" s="34">
        <v>265372.07499999995</v>
      </c>
      <c r="U141" s="34">
        <f t="shared" si="137"/>
        <v>7081.9990000000689</v>
      </c>
      <c r="V141" s="34"/>
      <c r="W141" s="49">
        <f>3369.51</f>
        <v>3369.51</v>
      </c>
      <c r="X141" s="34">
        <v>3369.51</v>
      </c>
      <c r="Y141" s="34">
        <f t="shared" si="138"/>
        <v>0</v>
      </c>
      <c r="Z141" s="34"/>
      <c r="AA141" s="34"/>
      <c r="AB141" s="34"/>
    </row>
    <row r="142" spans="1:28" ht="20.100000000000001" customHeight="1">
      <c r="A142" s="31">
        <v>11</v>
      </c>
      <c r="B142" s="426" t="s">
        <v>243</v>
      </c>
      <c r="C142" s="426"/>
      <c r="D142" s="382" t="s">
        <v>242</v>
      </c>
      <c r="E142" s="53" t="s">
        <v>66</v>
      </c>
      <c r="F142" s="49">
        <f t="shared" ref="F142:F143" si="139">21520.88</f>
        <v>21520.880000000001</v>
      </c>
      <c r="G142" s="49"/>
      <c r="H142" s="49">
        <f>F142*300%</f>
        <v>64562.64</v>
      </c>
      <c r="I142" s="49">
        <f>F142*7.5%</f>
        <v>1614.066</v>
      </c>
      <c r="J142" s="49">
        <v>0</v>
      </c>
      <c r="K142" s="49">
        <f>F142*50%</f>
        <v>10760.44</v>
      </c>
      <c r="L142" s="34">
        <f>F142*350%</f>
        <v>75323.08</v>
      </c>
      <c r="M142" s="24">
        <f t="shared" si="133"/>
        <v>21520.880000000001</v>
      </c>
      <c r="N142" s="25"/>
      <c r="O142" s="25">
        <f>60000</f>
        <v>60000</v>
      </c>
      <c r="P142" s="49">
        <f t="shared" si="134"/>
        <v>2152.0880000000002</v>
      </c>
      <c r="Q142" s="49">
        <v>15000</v>
      </c>
      <c r="R142" s="49">
        <v>0</v>
      </c>
      <c r="S142" s="34">
        <f t="shared" si="135"/>
        <v>272454.07400000002</v>
      </c>
      <c r="T142" s="34">
        <v>265372.07499999995</v>
      </c>
      <c r="U142" s="34">
        <f t="shared" si="137"/>
        <v>7081.9990000000689</v>
      </c>
      <c r="V142" s="34"/>
      <c r="W142" s="49">
        <v>3369.51</v>
      </c>
      <c r="X142" s="34">
        <v>3369.51</v>
      </c>
      <c r="Y142" s="34">
        <f t="shared" si="138"/>
        <v>0</v>
      </c>
      <c r="Z142" s="34"/>
      <c r="AA142" s="34"/>
      <c r="AB142" s="34"/>
    </row>
    <row r="143" spans="1:28" ht="20.100000000000001" customHeight="1">
      <c r="A143" s="31">
        <v>12</v>
      </c>
      <c r="B143" s="419" t="s">
        <v>244</v>
      </c>
      <c r="C143" s="420"/>
      <c r="D143" s="31" t="s">
        <v>245</v>
      </c>
      <c r="E143" s="53" t="s">
        <v>66</v>
      </c>
      <c r="F143" s="49">
        <f t="shared" si="139"/>
        <v>21520.880000000001</v>
      </c>
      <c r="G143" s="49"/>
      <c r="H143" s="49">
        <f>F143*300%</f>
        <v>64562.64</v>
      </c>
      <c r="I143" s="49">
        <f>F143*7.5%</f>
        <v>1614.066</v>
      </c>
      <c r="J143" s="34"/>
      <c r="K143" s="49">
        <f>F143*50%</f>
        <v>10760.44</v>
      </c>
      <c r="L143" s="34">
        <f>F143*350%</f>
        <v>75323.08</v>
      </c>
      <c r="M143" s="49">
        <f>F143*100%</f>
        <v>21520.880000000001</v>
      </c>
      <c r="N143" s="25"/>
      <c r="O143" s="25">
        <f>60000</f>
        <v>60000</v>
      </c>
      <c r="P143" s="49">
        <f>F143*10%</f>
        <v>2152.0880000000002</v>
      </c>
      <c r="Q143" s="49">
        <v>15000</v>
      </c>
      <c r="R143" s="49"/>
      <c r="S143" s="34">
        <f>SUM(F143:R143)</f>
        <v>272454.07400000002</v>
      </c>
      <c r="T143" s="34">
        <v>265372.07499999995</v>
      </c>
      <c r="U143" s="34">
        <f t="shared" si="137"/>
        <v>7081.9990000000689</v>
      </c>
      <c r="V143" s="34"/>
      <c r="W143" s="49">
        <v>3369.51</v>
      </c>
      <c r="X143" s="34">
        <v>3369.51</v>
      </c>
      <c r="Y143" s="34">
        <f t="shared" si="138"/>
        <v>0</v>
      </c>
      <c r="Z143" s="34"/>
      <c r="AA143" s="34"/>
      <c r="AB143" s="34"/>
    </row>
    <row r="144" spans="1:28" ht="20.100000000000001" customHeight="1">
      <c r="A144" s="31">
        <v>13</v>
      </c>
      <c r="B144" s="419" t="s">
        <v>246</v>
      </c>
      <c r="C144" s="420"/>
      <c r="D144" s="31" t="s">
        <v>255</v>
      </c>
      <c r="E144" s="53" t="s">
        <v>419</v>
      </c>
      <c r="F144" s="24">
        <f>18779.3</f>
        <v>18779.3</v>
      </c>
      <c r="G144" s="49"/>
      <c r="H144" s="49">
        <f>F144*300%</f>
        <v>56337.899999999994</v>
      </c>
      <c r="I144" s="49">
        <f>F144*7.5%</f>
        <v>1408.4475</v>
      </c>
      <c r="J144" s="49"/>
      <c r="K144" s="49">
        <f>F144*50%</f>
        <v>9389.65</v>
      </c>
      <c r="L144" s="34">
        <f>F144*350%</f>
        <v>65727.55</v>
      </c>
      <c r="M144" s="24">
        <f t="shared" si="133"/>
        <v>18779.3</v>
      </c>
      <c r="N144" s="25"/>
      <c r="O144" s="25">
        <f>60000</f>
        <v>60000</v>
      </c>
      <c r="P144" s="49">
        <f t="shared" si="134"/>
        <v>1877.93</v>
      </c>
      <c r="Q144" s="49">
        <v>10000</v>
      </c>
      <c r="R144" s="49"/>
      <c r="S144" s="34">
        <f t="shared" si="135"/>
        <v>242300.07749999996</v>
      </c>
      <c r="T144" s="34">
        <v>237734.04699999996</v>
      </c>
      <c r="U144" s="34">
        <f t="shared" si="137"/>
        <v>4566.0304999999935</v>
      </c>
      <c r="V144" s="34"/>
      <c r="W144" s="49">
        <v>3369.51</v>
      </c>
      <c r="X144" s="34">
        <v>3369.51</v>
      </c>
      <c r="Y144" s="34">
        <f t="shared" si="138"/>
        <v>0</v>
      </c>
      <c r="Z144" s="34"/>
      <c r="AA144" s="34"/>
      <c r="AB144" s="34"/>
    </row>
    <row r="145" spans="1:28" ht="20.100000000000001" customHeight="1">
      <c r="A145" s="31">
        <v>14</v>
      </c>
      <c r="B145" s="419" t="s">
        <v>248</v>
      </c>
      <c r="C145" s="420"/>
      <c r="D145" s="382" t="s">
        <v>418</v>
      </c>
      <c r="E145" s="53" t="s">
        <v>257</v>
      </c>
      <c r="F145" s="24">
        <f>18281.64</f>
        <v>18281.64</v>
      </c>
      <c r="G145" s="49"/>
      <c r="H145" s="49">
        <f t="shared" si="129"/>
        <v>54844.92</v>
      </c>
      <c r="I145" s="49">
        <f t="shared" si="130"/>
        <v>1371.1229999999998</v>
      </c>
      <c r="J145" s="49"/>
      <c r="K145" s="49">
        <f t="shared" si="131"/>
        <v>9140.82</v>
      </c>
      <c r="L145" s="34">
        <f t="shared" si="132"/>
        <v>63985.74</v>
      </c>
      <c r="M145" s="49">
        <f t="shared" si="133"/>
        <v>18281.64</v>
      </c>
      <c r="N145" s="25"/>
      <c r="O145" s="25">
        <f>60000</f>
        <v>60000</v>
      </c>
      <c r="P145" s="49">
        <f t="shared" si="134"/>
        <v>1828.164</v>
      </c>
      <c r="Q145" s="49">
        <v>10000</v>
      </c>
      <c r="R145" s="49"/>
      <c r="S145" s="34">
        <f t="shared" si="135"/>
        <v>237734.04699999996</v>
      </c>
      <c r="T145" s="34">
        <v>233168.19999999998</v>
      </c>
      <c r="U145" s="34">
        <f t="shared" si="137"/>
        <v>4565.8469999999797</v>
      </c>
      <c r="V145" s="34"/>
      <c r="W145" s="49">
        <f>3369.51</f>
        <v>3369.51</v>
      </c>
      <c r="X145" s="34">
        <v>3369.51</v>
      </c>
      <c r="Y145" s="34">
        <f t="shared" si="138"/>
        <v>0</v>
      </c>
      <c r="Z145" s="34"/>
      <c r="AA145" s="34"/>
      <c r="AB145" s="34"/>
    </row>
    <row r="146" spans="1:28" ht="20.100000000000001" customHeight="1">
      <c r="A146" s="31">
        <v>15</v>
      </c>
      <c r="B146" s="419" t="s">
        <v>250</v>
      </c>
      <c r="C146" s="420"/>
      <c r="D146" s="382" t="s">
        <v>274</v>
      </c>
      <c r="E146" s="53" t="s">
        <v>419</v>
      </c>
      <c r="F146" s="24">
        <f>18779.3</f>
        <v>18779.3</v>
      </c>
      <c r="G146" s="49"/>
      <c r="H146" s="49">
        <f>F146*300%</f>
        <v>56337.899999999994</v>
      </c>
      <c r="I146" s="49">
        <f>F146*7.5%</f>
        <v>1408.4475</v>
      </c>
      <c r="J146" s="34"/>
      <c r="K146" s="49">
        <f>F146*50%</f>
        <v>9389.65</v>
      </c>
      <c r="L146" s="34">
        <f>F146*350%</f>
        <v>65727.55</v>
      </c>
      <c r="M146" s="49">
        <f>F146*100%</f>
        <v>18779.3</v>
      </c>
      <c r="N146" s="25"/>
      <c r="O146" s="25">
        <f>60000</f>
        <v>60000</v>
      </c>
      <c r="P146" s="49">
        <f>F146*10%</f>
        <v>1877.93</v>
      </c>
      <c r="Q146" s="49">
        <v>10000</v>
      </c>
      <c r="R146" s="49"/>
      <c r="S146" s="34">
        <f>SUM(F146:R146)</f>
        <v>242300.07749999996</v>
      </c>
      <c r="T146" s="34">
        <v>237734.04699999996</v>
      </c>
      <c r="U146" s="34">
        <f t="shared" si="137"/>
        <v>4566.0304999999935</v>
      </c>
      <c r="V146" s="34"/>
      <c r="W146" s="49">
        <v>3369.51</v>
      </c>
      <c r="X146" s="34">
        <v>3369.51</v>
      </c>
      <c r="Y146" s="34">
        <f t="shared" si="138"/>
        <v>0</v>
      </c>
      <c r="Z146" s="34"/>
      <c r="AA146" s="34"/>
      <c r="AB146" s="34"/>
    </row>
    <row r="147" spans="1:28" ht="20.100000000000001" customHeight="1">
      <c r="A147" s="31">
        <v>16</v>
      </c>
      <c r="B147" s="419" t="s">
        <v>668</v>
      </c>
      <c r="C147" s="420"/>
      <c r="D147" s="31" t="s">
        <v>255</v>
      </c>
      <c r="E147" s="53" t="s">
        <v>157</v>
      </c>
      <c r="F147" s="54">
        <f>17784.1</f>
        <v>17784.099999999999</v>
      </c>
      <c r="G147" s="49"/>
      <c r="H147" s="49">
        <f t="shared" si="129"/>
        <v>53352.299999999996</v>
      </c>
      <c r="I147" s="49">
        <f t="shared" si="130"/>
        <v>1333.8074999999999</v>
      </c>
      <c r="J147" s="49"/>
      <c r="K147" s="49">
        <f t="shared" si="131"/>
        <v>8892.0499999999993</v>
      </c>
      <c r="L147" s="34">
        <f t="shared" si="132"/>
        <v>62244.349999999991</v>
      </c>
      <c r="M147" s="49">
        <f t="shared" si="133"/>
        <v>17784.099999999999</v>
      </c>
      <c r="N147" s="25"/>
      <c r="O147" s="25">
        <f>60000</f>
        <v>60000</v>
      </c>
      <c r="P147" s="49">
        <f t="shared" si="134"/>
        <v>1778.4099999999999</v>
      </c>
      <c r="Q147" s="49">
        <v>10000</v>
      </c>
      <c r="R147" s="49"/>
      <c r="S147" s="34">
        <f t="shared" si="135"/>
        <v>233169.11749999999</v>
      </c>
      <c r="T147" s="34">
        <v>228602.07775000003</v>
      </c>
      <c r="U147" s="34">
        <f t="shared" si="137"/>
        <v>4567.0397499999672</v>
      </c>
      <c r="V147" s="34"/>
      <c r="W147" s="49">
        <v>1484.37</v>
      </c>
      <c r="X147" s="34">
        <v>1484.37</v>
      </c>
      <c r="Y147" s="34">
        <f t="shared" si="138"/>
        <v>0</v>
      </c>
      <c r="Z147" s="34"/>
      <c r="AA147" s="34"/>
      <c r="AB147" s="34"/>
    </row>
    <row r="148" spans="1:28" ht="20.100000000000001" customHeight="1">
      <c r="A148" s="31">
        <v>17</v>
      </c>
      <c r="B148" s="419" t="s">
        <v>669</v>
      </c>
      <c r="C148" s="420"/>
      <c r="D148" s="31" t="s">
        <v>255</v>
      </c>
      <c r="E148" s="53" t="s">
        <v>157</v>
      </c>
      <c r="F148" s="54">
        <f t="shared" ref="F148:F149" si="140">17784.1</f>
        <v>17784.099999999999</v>
      </c>
      <c r="G148" s="49"/>
      <c r="H148" s="49">
        <f t="shared" si="129"/>
        <v>53352.299999999996</v>
      </c>
      <c r="I148" s="49">
        <f t="shared" si="130"/>
        <v>1333.8074999999999</v>
      </c>
      <c r="J148" s="49"/>
      <c r="K148" s="49">
        <f t="shared" si="131"/>
        <v>8892.0499999999993</v>
      </c>
      <c r="L148" s="34">
        <f t="shared" si="132"/>
        <v>62244.349999999991</v>
      </c>
      <c r="M148" s="49">
        <f t="shared" si="133"/>
        <v>17784.099999999999</v>
      </c>
      <c r="N148" s="25"/>
      <c r="O148" s="25">
        <f>60000</f>
        <v>60000</v>
      </c>
      <c r="P148" s="49">
        <f t="shared" si="134"/>
        <v>1778.4099999999999</v>
      </c>
      <c r="Q148" s="49">
        <v>10000</v>
      </c>
      <c r="R148" s="49"/>
      <c r="S148" s="34">
        <f t="shared" si="135"/>
        <v>233169.11749999999</v>
      </c>
      <c r="T148" s="34">
        <v>228602.07775000003</v>
      </c>
      <c r="U148" s="34">
        <f t="shared" si="137"/>
        <v>4567.0397499999672</v>
      </c>
      <c r="V148" s="34"/>
      <c r="W148" s="49">
        <v>1484.37</v>
      </c>
      <c r="X148" s="34">
        <v>1484.37</v>
      </c>
      <c r="Y148" s="34">
        <f t="shared" si="138"/>
        <v>0</v>
      </c>
      <c r="Z148" s="34"/>
      <c r="AA148" s="34"/>
      <c r="AB148" s="34"/>
    </row>
    <row r="149" spans="1:28" ht="20.100000000000001" customHeight="1">
      <c r="A149" s="31">
        <v>18</v>
      </c>
      <c r="B149" s="419" t="s">
        <v>258</v>
      </c>
      <c r="C149" s="420"/>
      <c r="D149" s="31" t="s">
        <v>255</v>
      </c>
      <c r="E149" s="53" t="s">
        <v>157</v>
      </c>
      <c r="F149" s="54">
        <f t="shared" si="140"/>
        <v>17784.099999999999</v>
      </c>
      <c r="G149" s="49"/>
      <c r="H149" s="49">
        <f t="shared" si="129"/>
        <v>53352.299999999996</v>
      </c>
      <c r="I149" s="49">
        <f t="shared" si="130"/>
        <v>1333.8074999999999</v>
      </c>
      <c r="J149" s="49"/>
      <c r="K149" s="49">
        <f t="shared" si="131"/>
        <v>8892.0499999999993</v>
      </c>
      <c r="L149" s="34">
        <f t="shared" si="132"/>
        <v>62244.349999999991</v>
      </c>
      <c r="M149" s="49">
        <f t="shared" si="133"/>
        <v>17784.099999999999</v>
      </c>
      <c r="N149" s="25"/>
      <c r="O149" s="25">
        <f>60000</f>
        <v>60000</v>
      </c>
      <c r="P149" s="49">
        <f t="shared" si="134"/>
        <v>1778.4099999999999</v>
      </c>
      <c r="Q149" s="49">
        <v>10000</v>
      </c>
      <c r="R149" s="49"/>
      <c r="S149" s="34">
        <f t="shared" si="135"/>
        <v>233169.11749999999</v>
      </c>
      <c r="T149" s="34">
        <v>228602.07775000003</v>
      </c>
      <c r="U149" s="34">
        <f t="shared" si="137"/>
        <v>4567.0397499999672</v>
      </c>
      <c r="V149" s="34"/>
      <c r="W149" s="49">
        <v>1484.37</v>
      </c>
      <c r="X149" s="34">
        <v>1484.37</v>
      </c>
      <c r="Y149" s="34">
        <f t="shared" si="138"/>
        <v>0</v>
      </c>
      <c r="Z149" s="34"/>
      <c r="AA149" s="34"/>
      <c r="AB149" s="34"/>
    </row>
    <row r="150" spans="1:28" ht="20.100000000000001" customHeight="1">
      <c r="A150" s="31">
        <v>19</v>
      </c>
      <c r="B150" s="419" t="s">
        <v>263</v>
      </c>
      <c r="C150" s="420"/>
      <c r="D150" s="382" t="s">
        <v>274</v>
      </c>
      <c r="E150" s="53" t="s">
        <v>199</v>
      </c>
      <c r="F150" s="54">
        <f>13492.21</f>
        <v>13492.21</v>
      </c>
      <c r="G150" s="49"/>
      <c r="H150" s="49">
        <f t="shared" si="129"/>
        <v>40476.629999999997</v>
      </c>
      <c r="I150" s="49">
        <f t="shared" si="130"/>
        <v>1011.9157499999999</v>
      </c>
      <c r="J150" s="49"/>
      <c r="K150" s="49">
        <f t="shared" si="131"/>
        <v>6746.1049999999996</v>
      </c>
      <c r="L150" s="34">
        <f t="shared" si="132"/>
        <v>47222.735000000001</v>
      </c>
      <c r="M150" s="49">
        <f t="shared" si="133"/>
        <v>13492.21</v>
      </c>
      <c r="N150" s="25"/>
      <c r="O150" s="25">
        <f>50000</f>
        <v>50000</v>
      </c>
      <c r="P150" s="49">
        <f t="shared" si="134"/>
        <v>1349.221</v>
      </c>
      <c r="Q150" s="49">
        <v>10000</v>
      </c>
      <c r="R150" s="49"/>
      <c r="S150" s="34">
        <f t="shared" si="135"/>
        <v>183791.02674999999</v>
      </c>
      <c r="T150" s="34">
        <v>180304.068</v>
      </c>
      <c r="U150" s="34">
        <f t="shared" si="137"/>
        <v>3486.9587499999907</v>
      </c>
      <c r="V150" s="34"/>
      <c r="W150" s="49">
        <v>1484.37</v>
      </c>
      <c r="X150" s="34">
        <v>1484.37</v>
      </c>
      <c r="Y150" s="34">
        <f t="shared" si="138"/>
        <v>0</v>
      </c>
      <c r="Z150" s="34"/>
      <c r="AA150" s="34"/>
      <c r="AB150" s="34"/>
    </row>
    <row r="151" spans="1:28" ht="20.100000000000001" customHeight="1">
      <c r="A151" s="31">
        <v>20</v>
      </c>
      <c r="B151" s="419" t="s">
        <v>265</v>
      </c>
      <c r="C151" s="420"/>
      <c r="D151" s="382" t="s">
        <v>670</v>
      </c>
      <c r="E151" s="53" t="s">
        <v>199</v>
      </c>
      <c r="F151" s="54">
        <f t="shared" ref="F151:F153" si="141">13492.21</f>
        <v>13492.21</v>
      </c>
      <c r="G151" s="49"/>
      <c r="H151" s="49">
        <f t="shared" si="129"/>
        <v>40476.629999999997</v>
      </c>
      <c r="I151" s="49">
        <f t="shared" si="130"/>
        <v>1011.9157499999999</v>
      </c>
      <c r="J151" s="49"/>
      <c r="K151" s="49">
        <f t="shared" si="131"/>
        <v>6746.1049999999996</v>
      </c>
      <c r="L151" s="34">
        <f t="shared" si="132"/>
        <v>47222.735000000001</v>
      </c>
      <c r="M151" s="49">
        <f t="shared" si="133"/>
        <v>13492.21</v>
      </c>
      <c r="N151" s="25"/>
      <c r="O151" s="25">
        <f>50000</f>
        <v>50000</v>
      </c>
      <c r="P151" s="49">
        <f t="shared" si="134"/>
        <v>1349.221</v>
      </c>
      <c r="Q151" s="49">
        <v>10000</v>
      </c>
      <c r="R151" s="49"/>
      <c r="S151" s="34">
        <f t="shared" si="135"/>
        <v>183791.02674999999</v>
      </c>
      <c r="T151" s="34">
        <v>180304.068</v>
      </c>
      <c r="U151" s="34">
        <f t="shared" si="137"/>
        <v>3486.9587499999907</v>
      </c>
      <c r="V151" s="34"/>
      <c r="W151" s="49">
        <v>1484.37</v>
      </c>
      <c r="X151" s="34">
        <v>1484.37</v>
      </c>
      <c r="Y151" s="34">
        <f t="shared" si="138"/>
        <v>0</v>
      </c>
      <c r="Z151" s="34"/>
      <c r="AA151" s="34"/>
      <c r="AB151" s="34"/>
    </row>
    <row r="152" spans="1:28" ht="20.100000000000001" customHeight="1">
      <c r="A152" s="31">
        <v>21</v>
      </c>
      <c r="B152" s="419" t="s">
        <v>267</v>
      </c>
      <c r="C152" s="420"/>
      <c r="D152" s="382" t="s">
        <v>274</v>
      </c>
      <c r="E152" s="53" t="s">
        <v>199</v>
      </c>
      <c r="F152" s="54">
        <f t="shared" si="141"/>
        <v>13492.21</v>
      </c>
      <c r="G152" s="49"/>
      <c r="H152" s="49">
        <f t="shared" si="129"/>
        <v>40476.629999999997</v>
      </c>
      <c r="I152" s="49">
        <f t="shared" si="130"/>
        <v>1011.9157499999999</v>
      </c>
      <c r="J152" s="49"/>
      <c r="K152" s="49">
        <f t="shared" si="131"/>
        <v>6746.1049999999996</v>
      </c>
      <c r="L152" s="34">
        <f t="shared" si="132"/>
        <v>47222.735000000001</v>
      </c>
      <c r="M152" s="49">
        <f t="shared" si="133"/>
        <v>13492.21</v>
      </c>
      <c r="N152" s="25"/>
      <c r="O152" s="25">
        <f>50000</f>
        <v>50000</v>
      </c>
      <c r="P152" s="49">
        <f t="shared" si="134"/>
        <v>1349.221</v>
      </c>
      <c r="Q152" s="49">
        <v>10000</v>
      </c>
      <c r="R152" s="49"/>
      <c r="S152" s="34">
        <f t="shared" si="135"/>
        <v>183791.02674999999</v>
      </c>
      <c r="T152" s="34">
        <v>180304.068</v>
      </c>
      <c r="U152" s="34">
        <f t="shared" si="137"/>
        <v>3486.9587499999907</v>
      </c>
      <c r="V152" s="34"/>
      <c r="W152" s="49">
        <v>1484.37</v>
      </c>
      <c r="X152" s="34">
        <v>1484.37</v>
      </c>
      <c r="Y152" s="34">
        <f t="shared" si="138"/>
        <v>0</v>
      </c>
      <c r="Z152" s="34"/>
      <c r="AA152" s="34"/>
      <c r="AB152" s="34"/>
    </row>
    <row r="153" spans="1:28" ht="20.100000000000001" customHeight="1">
      <c r="A153" s="31">
        <v>22</v>
      </c>
      <c r="B153" s="419" t="s">
        <v>269</v>
      </c>
      <c r="C153" s="420"/>
      <c r="D153" s="382" t="s">
        <v>270</v>
      </c>
      <c r="E153" s="53" t="s">
        <v>199</v>
      </c>
      <c r="F153" s="54">
        <f t="shared" si="141"/>
        <v>13492.21</v>
      </c>
      <c r="G153" s="49"/>
      <c r="H153" s="49">
        <f>F153*300%</f>
        <v>40476.629999999997</v>
      </c>
      <c r="I153" s="49">
        <f>F153*7.5%</f>
        <v>1011.9157499999999</v>
      </c>
      <c r="J153" s="49"/>
      <c r="K153" s="49">
        <f>F153*50%</f>
        <v>6746.1049999999996</v>
      </c>
      <c r="L153" s="34">
        <f>F153*350%</f>
        <v>47222.735000000001</v>
      </c>
      <c r="M153" s="49">
        <f>F153*100%</f>
        <v>13492.21</v>
      </c>
      <c r="N153" s="25"/>
      <c r="O153" s="25">
        <f>50000</f>
        <v>50000</v>
      </c>
      <c r="P153" s="49">
        <f>F153*10%</f>
        <v>1349.221</v>
      </c>
      <c r="Q153" s="49">
        <v>10000</v>
      </c>
      <c r="R153" s="49"/>
      <c r="S153" s="34">
        <f>SUM(F153:R153)</f>
        <v>183791.02674999999</v>
      </c>
      <c r="T153" s="34">
        <v>180304.068</v>
      </c>
      <c r="U153" s="34">
        <f t="shared" si="137"/>
        <v>3486.9587499999907</v>
      </c>
      <c r="V153" s="34"/>
      <c r="W153" s="49">
        <v>1484.37</v>
      </c>
      <c r="X153" s="34">
        <v>1484.37</v>
      </c>
      <c r="Y153" s="34">
        <f t="shared" si="138"/>
        <v>0</v>
      </c>
      <c r="Z153" s="34"/>
      <c r="AA153" s="34"/>
      <c r="AB153" s="34"/>
    </row>
    <row r="154" spans="1:28" ht="20.100000000000001" customHeight="1">
      <c r="A154" s="31">
        <v>23</v>
      </c>
      <c r="B154" s="383" t="s">
        <v>271</v>
      </c>
      <c r="C154" s="384"/>
      <c r="D154" s="382" t="s">
        <v>276</v>
      </c>
      <c r="E154" s="53" t="s">
        <v>647</v>
      </c>
      <c r="F154" s="54">
        <f>13112.16</f>
        <v>13112.16</v>
      </c>
      <c r="G154" s="49"/>
      <c r="H154" s="49">
        <f t="shared" si="129"/>
        <v>39336.479999999996</v>
      </c>
      <c r="I154" s="49">
        <f t="shared" si="130"/>
        <v>983.41199999999992</v>
      </c>
      <c r="J154" s="49"/>
      <c r="K154" s="49">
        <f t="shared" si="131"/>
        <v>6556.08</v>
      </c>
      <c r="L154" s="34">
        <f t="shared" si="132"/>
        <v>45892.56</v>
      </c>
      <c r="M154" s="49">
        <f>F154*100%</f>
        <v>13112.16</v>
      </c>
      <c r="N154" s="25"/>
      <c r="O154" s="25">
        <f>50000</f>
        <v>50000</v>
      </c>
      <c r="P154" s="49">
        <f>F154*10%</f>
        <v>1311.2160000000001</v>
      </c>
      <c r="Q154" s="49">
        <v>10000</v>
      </c>
      <c r="S154" s="49">
        <f t="shared" si="135"/>
        <v>180304.068</v>
      </c>
      <c r="T154" s="49">
        <v>223168.19999999998</v>
      </c>
      <c r="U154" s="34">
        <f t="shared" si="137"/>
        <v>-42864.131999999983</v>
      </c>
      <c r="V154" s="34"/>
      <c r="W154" s="49">
        <f>3369.51</f>
        <v>3369.51</v>
      </c>
      <c r="X154" s="34">
        <v>3369.51</v>
      </c>
      <c r="Y154" s="34">
        <f t="shared" si="138"/>
        <v>0</v>
      </c>
      <c r="Z154" s="34"/>
      <c r="AA154" s="34"/>
      <c r="AB154" s="34"/>
    </row>
    <row r="155" spans="1:28" ht="20.100000000000001" customHeight="1">
      <c r="A155" s="31">
        <v>24</v>
      </c>
      <c r="B155" s="383" t="s">
        <v>600</v>
      </c>
      <c r="C155" s="384"/>
      <c r="D155" s="382" t="s">
        <v>274</v>
      </c>
      <c r="E155" s="53" t="s">
        <v>90</v>
      </c>
      <c r="F155" s="24">
        <f>12351.94</f>
        <v>12351.94</v>
      </c>
      <c r="G155" s="24"/>
      <c r="H155" s="24">
        <f>F155*300%</f>
        <v>37055.82</v>
      </c>
      <c r="I155" s="24">
        <f>F155*7.5%</f>
        <v>926.39549999999997</v>
      </c>
      <c r="J155" s="24"/>
      <c r="K155" s="24">
        <f>F155*50%</f>
        <v>6175.97</v>
      </c>
      <c r="L155" s="24">
        <f>F155*350%</f>
        <v>43231.79</v>
      </c>
      <c r="M155" s="24">
        <f>F155*100%</f>
        <v>12351.94</v>
      </c>
      <c r="N155" s="25"/>
      <c r="O155" s="25">
        <f>50000</f>
        <v>50000</v>
      </c>
      <c r="P155" s="24">
        <f>F155*10%</f>
        <v>1235.1940000000002</v>
      </c>
      <c r="Q155" s="24">
        <v>10000</v>
      </c>
      <c r="R155" s="24"/>
      <c r="S155" s="34">
        <f t="shared" ref="S155:S157" si="142">R155+Q155+P155+O155+N155+M155+L155+K155+J155+I155+H155+G155+F155</f>
        <v>173329.04949999999</v>
      </c>
      <c r="T155" s="34">
        <v>173329.04949999999</v>
      </c>
      <c r="U155" s="34">
        <f t="shared" si="137"/>
        <v>0</v>
      </c>
      <c r="V155" s="34"/>
      <c r="W155" s="49">
        <v>1484.37</v>
      </c>
      <c r="X155" s="34">
        <v>1484.37</v>
      </c>
      <c r="Y155" s="34">
        <f t="shared" si="138"/>
        <v>0</v>
      </c>
      <c r="Z155" s="34"/>
      <c r="AA155" s="34"/>
      <c r="AB155" s="34"/>
    </row>
    <row r="156" spans="1:28" ht="20.100000000000001" customHeight="1">
      <c r="A156" s="31">
        <v>25</v>
      </c>
      <c r="B156" s="383" t="s">
        <v>176</v>
      </c>
      <c r="C156" s="384"/>
      <c r="D156" s="382" t="s">
        <v>276</v>
      </c>
      <c r="E156" s="53" t="s">
        <v>90</v>
      </c>
      <c r="F156" s="24">
        <f t="shared" ref="F156:F157" si="143">12351.94</f>
        <v>12351.94</v>
      </c>
      <c r="G156" s="24"/>
      <c r="H156" s="24">
        <f t="shared" ref="H156:H157" si="144">F156*300%</f>
        <v>37055.82</v>
      </c>
      <c r="I156" s="24">
        <f t="shared" ref="I156:I157" si="145">F156*7.5%</f>
        <v>926.39549999999997</v>
      </c>
      <c r="J156" s="24"/>
      <c r="K156" s="24">
        <f t="shared" ref="K156:K157" si="146">F156*50%</f>
        <v>6175.97</v>
      </c>
      <c r="L156" s="24">
        <f t="shared" ref="L156:L157" si="147">F156*350%</f>
        <v>43231.79</v>
      </c>
      <c r="M156" s="24">
        <f t="shared" ref="M156:M167" si="148">F156*100%</f>
        <v>12351.94</v>
      </c>
      <c r="N156" s="25"/>
      <c r="O156" s="25">
        <f>50000</f>
        <v>50000</v>
      </c>
      <c r="P156" s="24">
        <f t="shared" ref="P156:P186" si="149">F156*10%</f>
        <v>1235.1940000000002</v>
      </c>
      <c r="Q156" s="24">
        <v>10000</v>
      </c>
      <c r="R156" s="24"/>
      <c r="S156" s="34">
        <f t="shared" si="142"/>
        <v>173329.04949999999</v>
      </c>
      <c r="T156" s="34">
        <v>173329.04949999999</v>
      </c>
      <c r="U156" s="34">
        <f t="shared" si="137"/>
        <v>0</v>
      </c>
      <c r="V156" s="34"/>
      <c r="W156" s="49">
        <v>1484.37</v>
      </c>
      <c r="X156" s="34">
        <v>1484.37</v>
      </c>
      <c r="Y156" s="34">
        <f t="shared" si="138"/>
        <v>0</v>
      </c>
      <c r="Z156" s="34"/>
      <c r="AA156" s="34"/>
      <c r="AB156" s="34"/>
    </row>
    <row r="157" spans="1:28" ht="20.100000000000001" customHeight="1">
      <c r="A157" s="31">
        <v>26</v>
      </c>
      <c r="B157" s="383" t="s">
        <v>273</v>
      </c>
      <c r="C157" s="384"/>
      <c r="D157" s="382" t="s">
        <v>274</v>
      </c>
      <c r="E157" s="53" t="s">
        <v>90</v>
      </c>
      <c r="F157" s="24">
        <f t="shared" si="143"/>
        <v>12351.94</v>
      </c>
      <c r="G157" s="24"/>
      <c r="H157" s="24">
        <f t="shared" si="144"/>
        <v>37055.82</v>
      </c>
      <c r="I157" s="24">
        <f t="shared" si="145"/>
        <v>926.39549999999997</v>
      </c>
      <c r="J157" s="24"/>
      <c r="K157" s="24">
        <f t="shared" si="146"/>
        <v>6175.97</v>
      </c>
      <c r="L157" s="24">
        <f t="shared" si="147"/>
        <v>43231.79</v>
      </c>
      <c r="M157" s="24">
        <f t="shared" si="148"/>
        <v>12351.94</v>
      </c>
      <c r="N157" s="25"/>
      <c r="O157" s="25">
        <f>50000</f>
        <v>50000</v>
      </c>
      <c r="P157" s="24">
        <f t="shared" si="149"/>
        <v>1235.1940000000002</v>
      </c>
      <c r="Q157" s="24">
        <v>10000</v>
      </c>
      <c r="R157" s="24"/>
      <c r="S157" s="34">
        <f t="shared" si="142"/>
        <v>173329.04949999999</v>
      </c>
      <c r="T157" s="34">
        <v>173329.04949999999</v>
      </c>
      <c r="U157" s="34">
        <f t="shared" si="137"/>
        <v>0</v>
      </c>
      <c r="V157" s="34"/>
      <c r="W157" s="49">
        <v>1484.37</v>
      </c>
      <c r="X157" s="34">
        <v>1484.37</v>
      </c>
      <c r="Y157" s="34">
        <f t="shared" si="138"/>
        <v>0</v>
      </c>
      <c r="Z157" s="34"/>
      <c r="AA157" s="34"/>
      <c r="AB157" s="34"/>
    </row>
    <row r="158" spans="1:28" ht="20.100000000000001" customHeight="1">
      <c r="A158" s="31">
        <v>27</v>
      </c>
      <c r="B158" s="426" t="s">
        <v>282</v>
      </c>
      <c r="C158" s="426"/>
      <c r="D158" s="382" t="s">
        <v>283</v>
      </c>
      <c r="E158" s="53" t="s">
        <v>290</v>
      </c>
      <c r="F158" s="54">
        <f>9050.14</f>
        <v>9050.14</v>
      </c>
      <c r="G158" s="25"/>
      <c r="H158" s="49">
        <f t="shared" si="129"/>
        <v>27150.42</v>
      </c>
      <c r="I158" s="49">
        <f t="shared" si="130"/>
        <v>678.76049999999998</v>
      </c>
      <c r="J158" s="54">
        <v>0</v>
      </c>
      <c r="K158" s="49">
        <f t="shared" si="131"/>
        <v>4525.07</v>
      </c>
      <c r="L158" s="34">
        <f t="shared" si="132"/>
        <v>31675.489999999998</v>
      </c>
      <c r="M158" s="49">
        <f t="shared" si="148"/>
        <v>9050.14</v>
      </c>
      <c r="N158" s="25"/>
      <c r="O158" s="25">
        <f>30000</f>
        <v>30000</v>
      </c>
      <c r="P158" s="49">
        <f t="shared" si="149"/>
        <v>905.01400000000001</v>
      </c>
      <c r="Q158" s="54">
        <v>5000</v>
      </c>
      <c r="R158" s="49">
        <f>4000</f>
        <v>4000</v>
      </c>
      <c r="S158" s="34">
        <f t="shared" ref="S158:S182" si="150">SUM(F158:R158)</f>
        <v>122035.03449999999</v>
      </c>
      <c r="T158" s="34">
        <v>119104.99825</v>
      </c>
      <c r="U158" s="34">
        <f t="shared" si="137"/>
        <v>2930.0362499999901</v>
      </c>
      <c r="V158" s="34"/>
      <c r="W158" s="34">
        <v>236.04</v>
      </c>
      <c r="X158" s="34">
        <v>236.04</v>
      </c>
      <c r="Y158" s="34">
        <f t="shared" si="138"/>
        <v>0</v>
      </c>
      <c r="Z158" s="34"/>
      <c r="AA158" s="34"/>
      <c r="AB158" s="34"/>
    </row>
    <row r="159" spans="1:28" ht="20.100000000000001" customHeight="1">
      <c r="A159" s="31">
        <v>28</v>
      </c>
      <c r="B159" s="426" t="s">
        <v>285</v>
      </c>
      <c r="C159" s="426"/>
      <c r="D159" s="382" t="s">
        <v>283</v>
      </c>
      <c r="E159" s="53" t="s">
        <v>290</v>
      </c>
      <c r="F159" s="54">
        <f t="shared" ref="F159:F164" si="151">9050.14</f>
        <v>9050.14</v>
      </c>
      <c r="G159" s="25"/>
      <c r="H159" s="49">
        <f t="shared" si="129"/>
        <v>27150.42</v>
      </c>
      <c r="I159" s="49">
        <f t="shared" si="130"/>
        <v>678.76049999999998</v>
      </c>
      <c r="J159" s="54">
        <v>0</v>
      </c>
      <c r="K159" s="49">
        <f t="shared" si="131"/>
        <v>4525.07</v>
      </c>
      <c r="L159" s="34">
        <f t="shared" si="132"/>
        <v>31675.489999999998</v>
      </c>
      <c r="M159" s="49">
        <f t="shared" si="148"/>
        <v>9050.14</v>
      </c>
      <c r="N159" s="25"/>
      <c r="O159" s="25">
        <f>30000</f>
        <v>30000</v>
      </c>
      <c r="P159" s="49">
        <f t="shared" si="149"/>
        <v>905.01400000000001</v>
      </c>
      <c r="Q159" s="54">
        <v>5000</v>
      </c>
      <c r="R159" s="49">
        <f>7000</f>
        <v>7000</v>
      </c>
      <c r="S159" s="34">
        <f t="shared" si="150"/>
        <v>125035.03449999999</v>
      </c>
      <c r="T159" s="34">
        <v>122104.99825</v>
      </c>
      <c r="U159" s="34">
        <f t="shared" si="137"/>
        <v>2930.0362499999901</v>
      </c>
      <c r="V159" s="34"/>
      <c r="W159" s="34">
        <v>236.04</v>
      </c>
      <c r="X159" s="34">
        <v>236.04</v>
      </c>
      <c r="Y159" s="34">
        <f t="shared" si="138"/>
        <v>0</v>
      </c>
      <c r="Z159" s="34"/>
      <c r="AA159" s="34"/>
      <c r="AB159" s="34"/>
    </row>
    <row r="160" spans="1:28" ht="20.100000000000001" customHeight="1">
      <c r="A160" s="31">
        <v>29</v>
      </c>
      <c r="B160" s="426" t="s">
        <v>286</v>
      </c>
      <c r="C160" s="426"/>
      <c r="D160" s="382" t="s">
        <v>283</v>
      </c>
      <c r="E160" s="53" t="s">
        <v>290</v>
      </c>
      <c r="F160" s="54">
        <f t="shared" si="151"/>
        <v>9050.14</v>
      </c>
      <c r="G160" s="25"/>
      <c r="H160" s="49">
        <f t="shared" si="129"/>
        <v>27150.42</v>
      </c>
      <c r="I160" s="49">
        <f t="shared" si="130"/>
        <v>678.76049999999998</v>
      </c>
      <c r="J160" s="49">
        <v>0</v>
      </c>
      <c r="K160" s="49">
        <f t="shared" si="131"/>
        <v>4525.07</v>
      </c>
      <c r="L160" s="34">
        <f t="shared" si="132"/>
        <v>31675.489999999998</v>
      </c>
      <c r="M160" s="49">
        <f t="shared" si="148"/>
        <v>9050.14</v>
      </c>
      <c r="N160" s="25"/>
      <c r="O160" s="25">
        <f>30000</f>
        <v>30000</v>
      </c>
      <c r="P160" s="49">
        <f t="shared" si="149"/>
        <v>905.01400000000001</v>
      </c>
      <c r="Q160" s="49">
        <v>5000</v>
      </c>
      <c r="R160" s="49">
        <f>4000</f>
        <v>4000</v>
      </c>
      <c r="S160" s="34">
        <f t="shared" si="150"/>
        <v>122035.03449999999</v>
      </c>
      <c r="T160" s="34">
        <v>119104.99825</v>
      </c>
      <c r="U160" s="34">
        <f t="shared" si="137"/>
        <v>2930.0362499999901</v>
      </c>
      <c r="V160" s="34"/>
      <c r="W160" s="34">
        <v>236.04</v>
      </c>
      <c r="X160" s="34">
        <v>236.04</v>
      </c>
      <c r="Y160" s="34">
        <f t="shared" si="138"/>
        <v>0</v>
      </c>
      <c r="Z160" s="34"/>
      <c r="AA160" s="34"/>
      <c r="AB160" s="34"/>
    </row>
    <row r="161" spans="1:28" ht="20.100000000000001" customHeight="1">
      <c r="A161" s="31">
        <v>30</v>
      </c>
      <c r="B161" s="426" t="s">
        <v>671</v>
      </c>
      <c r="C161" s="426"/>
      <c r="D161" s="382" t="s">
        <v>283</v>
      </c>
      <c r="E161" s="53" t="s">
        <v>290</v>
      </c>
      <c r="F161" s="54">
        <f t="shared" si="151"/>
        <v>9050.14</v>
      </c>
      <c r="G161" s="25"/>
      <c r="H161" s="49">
        <f t="shared" si="129"/>
        <v>27150.42</v>
      </c>
      <c r="I161" s="49">
        <f t="shared" si="130"/>
        <v>678.76049999999998</v>
      </c>
      <c r="J161" s="49">
        <v>0</v>
      </c>
      <c r="K161" s="49">
        <f t="shared" si="131"/>
        <v>4525.07</v>
      </c>
      <c r="L161" s="34">
        <f t="shared" si="132"/>
        <v>31675.489999999998</v>
      </c>
      <c r="M161" s="49">
        <f t="shared" si="148"/>
        <v>9050.14</v>
      </c>
      <c r="N161" s="25"/>
      <c r="O161" s="25">
        <f>30000</f>
        <v>30000</v>
      </c>
      <c r="P161" s="49">
        <f t="shared" si="149"/>
        <v>905.01400000000001</v>
      </c>
      <c r="Q161" s="49">
        <v>5000</v>
      </c>
      <c r="R161" s="49">
        <f>4000</f>
        <v>4000</v>
      </c>
      <c r="S161" s="34">
        <f t="shared" si="150"/>
        <v>122035.03449999999</v>
      </c>
      <c r="T161" s="34">
        <v>119104.99825</v>
      </c>
      <c r="U161" s="34">
        <f t="shared" si="137"/>
        <v>2930.0362499999901</v>
      </c>
      <c r="V161" s="34"/>
      <c r="W161" s="34">
        <v>236.04</v>
      </c>
      <c r="X161" s="34">
        <v>236.04</v>
      </c>
      <c r="Y161" s="34">
        <f t="shared" si="138"/>
        <v>0</v>
      </c>
      <c r="Z161" s="34"/>
      <c r="AA161" s="34"/>
      <c r="AB161" s="34"/>
    </row>
    <row r="162" spans="1:28" ht="20.100000000000001" customHeight="1">
      <c r="A162" s="31">
        <v>31</v>
      </c>
      <c r="B162" s="426" t="s">
        <v>601</v>
      </c>
      <c r="C162" s="426"/>
      <c r="D162" s="382" t="s">
        <v>283</v>
      </c>
      <c r="E162" s="53" t="s">
        <v>290</v>
      </c>
      <c r="F162" s="54">
        <f t="shared" si="151"/>
        <v>9050.14</v>
      </c>
      <c r="G162" s="25"/>
      <c r="H162" s="49">
        <f t="shared" si="129"/>
        <v>27150.42</v>
      </c>
      <c r="I162" s="49">
        <f t="shared" si="130"/>
        <v>678.76049999999998</v>
      </c>
      <c r="J162" s="49">
        <v>0</v>
      </c>
      <c r="K162" s="49">
        <f t="shared" si="131"/>
        <v>4525.07</v>
      </c>
      <c r="L162" s="34">
        <f t="shared" si="132"/>
        <v>31675.489999999998</v>
      </c>
      <c r="M162" s="49">
        <f t="shared" si="148"/>
        <v>9050.14</v>
      </c>
      <c r="N162" s="25"/>
      <c r="O162" s="25">
        <f>30000</f>
        <v>30000</v>
      </c>
      <c r="P162" s="49">
        <f t="shared" si="149"/>
        <v>905.01400000000001</v>
      </c>
      <c r="Q162" s="49">
        <v>5000</v>
      </c>
      <c r="R162" s="49">
        <f>4000</f>
        <v>4000</v>
      </c>
      <c r="S162" s="34">
        <f t="shared" si="150"/>
        <v>122035.03449999999</v>
      </c>
      <c r="T162" s="34">
        <v>119104.99825</v>
      </c>
      <c r="U162" s="34">
        <f t="shared" si="137"/>
        <v>2930.0362499999901</v>
      </c>
      <c r="V162" s="34"/>
      <c r="W162" s="34">
        <v>236.04</v>
      </c>
      <c r="X162" s="34">
        <v>236.04</v>
      </c>
      <c r="Y162" s="34">
        <f t="shared" si="138"/>
        <v>0</v>
      </c>
      <c r="Z162" s="34"/>
      <c r="AA162" s="34"/>
      <c r="AB162" s="34"/>
    </row>
    <row r="163" spans="1:28" ht="20.100000000000001" customHeight="1">
      <c r="A163" s="31">
        <v>32</v>
      </c>
      <c r="B163" s="426" t="s">
        <v>287</v>
      </c>
      <c r="C163" s="426"/>
      <c r="D163" s="382" t="s">
        <v>283</v>
      </c>
      <c r="E163" s="53" t="s">
        <v>290</v>
      </c>
      <c r="F163" s="54">
        <f t="shared" si="151"/>
        <v>9050.14</v>
      </c>
      <c r="G163" s="25"/>
      <c r="H163" s="49">
        <f t="shared" si="129"/>
        <v>27150.42</v>
      </c>
      <c r="I163" s="49">
        <f t="shared" si="130"/>
        <v>678.76049999999998</v>
      </c>
      <c r="J163" s="49">
        <v>0</v>
      </c>
      <c r="K163" s="49">
        <f t="shared" si="131"/>
        <v>4525.07</v>
      </c>
      <c r="L163" s="34">
        <f t="shared" si="132"/>
        <v>31675.489999999998</v>
      </c>
      <c r="M163" s="49">
        <f t="shared" si="148"/>
        <v>9050.14</v>
      </c>
      <c r="N163" s="25"/>
      <c r="O163" s="25">
        <f>30000</f>
        <v>30000</v>
      </c>
      <c r="P163" s="49">
        <f t="shared" si="149"/>
        <v>905.01400000000001</v>
      </c>
      <c r="Q163" s="49">
        <v>5000</v>
      </c>
      <c r="R163" s="49">
        <f>4000</f>
        <v>4000</v>
      </c>
      <c r="S163" s="34">
        <f t="shared" si="150"/>
        <v>122035.03449999999</v>
      </c>
      <c r="T163" s="34">
        <v>119104.99825</v>
      </c>
      <c r="U163" s="34">
        <f t="shared" si="137"/>
        <v>2930.0362499999901</v>
      </c>
      <c r="V163" s="34"/>
      <c r="W163" s="34">
        <v>236.04</v>
      </c>
      <c r="X163" s="34">
        <v>236.04</v>
      </c>
      <c r="Y163" s="34">
        <f t="shared" si="138"/>
        <v>0</v>
      </c>
      <c r="Z163" s="34"/>
      <c r="AA163" s="34"/>
      <c r="AB163" s="34"/>
    </row>
    <row r="164" spans="1:28" ht="20.100000000000001" customHeight="1">
      <c r="A164" s="31">
        <v>33</v>
      </c>
      <c r="B164" s="426" t="s">
        <v>288</v>
      </c>
      <c r="C164" s="426"/>
      <c r="D164" s="382" t="s">
        <v>283</v>
      </c>
      <c r="E164" s="53" t="s">
        <v>290</v>
      </c>
      <c r="F164" s="54">
        <f t="shared" si="151"/>
        <v>9050.14</v>
      </c>
      <c r="G164" s="25"/>
      <c r="H164" s="49">
        <f t="shared" si="129"/>
        <v>27150.42</v>
      </c>
      <c r="I164" s="49">
        <f t="shared" si="130"/>
        <v>678.76049999999998</v>
      </c>
      <c r="J164" s="49">
        <v>0</v>
      </c>
      <c r="K164" s="49">
        <f t="shared" si="131"/>
        <v>4525.07</v>
      </c>
      <c r="L164" s="34">
        <f t="shared" si="132"/>
        <v>31675.489999999998</v>
      </c>
      <c r="M164" s="49">
        <f t="shared" si="148"/>
        <v>9050.14</v>
      </c>
      <c r="N164" s="25"/>
      <c r="O164" s="25">
        <f>30000</f>
        <v>30000</v>
      </c>
      <c r="P164" s="49">
        <f t="shared" si="149"/>
        <v>905.01400000000001</v>
      </c>
      <c r="Q164" s="49">
        <v>5000</v>
      </c>
      <c r="R164" s="49">
        <f>4000</f>
        <v>4000</v>
      </c>
      <c r="S164" s="34">
        <f t="shared" si="150"/>
        <v>122035.03449999999</v>
      </c>
      <c r="T164" s="34">
        <v>119104.99825</v>
      </c>
      <c r="U164" s="34">
        <f t="shared" si="137"/>
        <v>2930.0362499999901</v>
      </c>
      <c r="V164" s="34"/>
      <c r="W164" s="34">
        <v>236.04</v>
      </c>
      <c r="X164" s="34">
        <v>236.04</v>
      </c>
      <c r="Y164" s="34">
        <f t="shared" si="138"/>
        <v>0</v>
      </c>
      <c r="Z164" s="34"/>
      <c r="AA164" s="34"/>
      <c r="AB164" s="34"/>
    </row>
    <row r="165" spans="1:28" ht="20.100000000000001" customHeight="1">
      <c r="A165" s="31">
        <v>34</v>
      </c>
      <c r="B165" s="426" t="s">
        <v>289</v>
      </c>
      <c r="C165" s="426"/>
      <c r="D165" s="382" t="s">
        <v>302</v>
      </c>
      <c r="E165" s="53" t="s">
        <v>672</v>
      </c>
      <c r="F165" s="49">
        <f>5769.6</f>
        <v>5769.6</v>
      </c>
      <c r="G165" s="25"/>
      <c r="H165" s="49">
        <f t="shared" si="129"/>
        <v>17308.800000000003</v>
      </c>
      <c r="I165" s="49">
        <f t="shared" si="130"/>
        <v>432.72</v>
      </c>
      <c r="J165" s="49">
        <v>0</v>
      </c>
      <c r="K165" s="49">
        <f t="shared" si="131"/>
        <v>2884.8</v>
      </c>
      <c r="L165" s="34">
        <f t="shared" si="132"/>
        <v>20193.600000000002</v>
      </c>
      <c r="M165" s="49">
        <f t="shared" si="148"/>
        <v>5769.6</v>
      </c>
      <c r="N165" s="25"/>
      <c r="O165" s="25">
        <f>20000</f>
        <v>20000</v>
      </c>
      <c r="P165" s="49">
        <f t="shared" si="149"/>
        <v>576.96</v>
      </c>
      <c r="Q165" s="49">
        <v>5000</v>
      </c>
      <c r="R165" s="49">
        <f>7000</f>
        <v>7000</v>
      </c>
      <c r="S165" s="34">
        <f t="shared" si="150"/>
        <v>84936.08</v>
      </c>
      <c r="T165" s="34">
        <v>83370.091</v>
      </c>
      <c r="U165" s="34">
        <f t="shared" si="137"/>
        <v>1565.9890000000014</v>
      </c>
      <c r="V165" s="34"/>
      <c r="W165" s="34">
        <v>236.04</v>
      </c>
      <c r="X165" s="34">
        <v>236.04</v>
      </c>
      <c r="Y165" s="34">
        <f t="shared" si="138"/>
        <v>0</v>
      </c>
      <c r="Z165" s="34"/>
      <c r="AA165" s="34"/>
      <c r="AB165" s="34"/>
    </row>
    <row r="166" spans="1:28" ht="20.100000000000001" customHeight="1">
      <c r="A166" s="31">
        <v>35</v>
      </c>
      <c r="B166" s="426" t="s">
        <v>291</v>
      </c>
      <c r="C166" s="426"/>
      <c r="D166" s="382" t="s">
        <v>302</v>
      </c>
      <c r="E166" s="53" t="s">
        <v>672</v>
      </c>
      <c r="F166" s="49">
        <f t="shared" ref="F166:F171" si="152">5769.6</f>
        <v>5769.6</v>
      </c>
      <c r="G166" s="25"/>
      <c r="H166" s="49">
        <f t="shared" si="129"/>
        <v>17308.800000000003</v>
      </c>
      <c r="I166" s="49">
        <f t="shared" si="130"/>
        <v>432.72</v>
      </c>
      <c r="J166" s="49">
        <v>0</v>
      </c>
      <c r="K166" s="49">
        <f t="shared" si="131"/>
        <v>2884.8</v>
      </c>
      <c r="L166" s="34">
        <f t="shared" si="132"/>
        <v>20193.600000000002</v>
      </c>
      <c r="M166" s="49">
        <f t="shared" si="148"/>
        <v>5769.6</v>
      </c>
      <c r="N166" s="25"/>
      <c r="O166" s="25">
        <f>20000</f>
        <v>20000</v>
      </c>
      <c r="P166" s="49">
        <f t="shared" si="149"/>
        <v>576.96</v>
      </c>
      <c r="Q166" s="49">
        <v>5000</v>
      </c>
      <c r="R166" s="49">
        <f>4000</f>
        <v>4000</v>
      </c>
      <c r="S166" s="34">
        <f t="shared" si="150"/>
        <v>81936.08</v>
      </c>
      <c r="T166" s="34">
        <v>80370.091</v>
      </c>
      <c r="U166" s="34">
        <f t="shared" si="137"/>
        <v>1565.9890000000014</v>
      </c>
      <c r="V166" s="34"/>
      <c r="W166" s="34">
        <v>236.04</v>
      </c>
      <c r="X166" s="34">
        <v>236.04</v>
      </c>
      <c r="Y166" s="34">
        <f t="shared" si="138"/>
        <v>0</v>
      </c>
      <c r="Z166" s="34"/>
      <c r="AA166" s="34"/>
      <c r="AB166" s="34"/>
    </row>
    <row r="167" spans="1:28" ht="20.100000000000001" customHeight="1">
      <c r="A167" s="31">
        <v>36</v>
      </c>
      <c r="B167" s="426" t="s">
        <v>576</v>
      </c>
      <c r="C167" s="426"/>
      <c r="D167" s="382" t="s">
        <v>302</v>
      </c>
      <c r="E167" s="53" t="s">
        <v>672</v>
      </c>
      <c r="F167" s="49">
        <f t="shared" si="152"/>
        <v>5769.6</v>
      </c>
      <c r="G167" s="25"/>
      <c r="H167" s="49">
        <f t="shared" si="129"/>
        <v>17308.800000000003</v>
      </c>
      <c r="I167" s="49">
        <f t="shared" si="130"/>
        <v>432.72</v>
      </c>
      <c r="J167" s="49">
        <v>0</v>
      </c>
      <c r="K167" s="49">
        <f t="shared" si="131"/>
        <v>2884.8</v>
      </c>
      <c r="L167" s="34">
        <f t="shared" si="132"/>
        <v>20193.600000000002</v>
      </c>
      <c r="M167" s="49">
        <f t="shared" si="148"/>
        <v>5769.6</v>
      </c>
      <c r="N167" s="25"/>
      <c r="O167" s="25">
        <f>20000</f>
        <v>20000</v>
      </c>
      <c r="P167" s="49">
        <f t="shared" si="149"/>
        <v>576.96</v>
      </c>
      <c r="Q167" s="49">
        <v>5000</v>
      </c>
      <c r="R167" s="49">
        <f>4000</f>
        <v>4000</v>
      </c>
      <c r="S167" s="34">
        <f t="shared" si="150"/>
        <v>81936.08</v>
      </c>
      <c r="T167" s="34">
        <v>80370.091</v>
      </c>
      <c r="U167" s="34">
        <f t="shared" si="137"/>
        <v>1565.9890000000014</v>
      </c>
      <c r="V167" s="34"/>
      <c r="W167" s="34">
        <v>236.04</v>
      </c>
      <c r="X167" s="34">
        <v>236.04</v>
      </c>
      <c r="Y167" s="34">
        <f t="shared" si="138"/>
        <v>0</v>
      </c>
      <c r="Z167" s="34"/>
      <c r="AA167" s="34"/>
      <c r="AB167" s="34"/>
    </row>
    <row r="168" spans="1:28" ht="20.100000000000001" customHeight="1">
      <c r="A168" s="31">
        <v>37</v>
      </c>
      <c r="B168" s="31" t="s">
        <v>292</v>
      </c>
      <c r="C168" s="31"/>
      <c r="D168" s="382" t="s">
        <v>302</v>
      </c>
      <c r="E168" s="53" t="s">
        <v>672</v>
      </c>
      <c r="F168" s="49">
        <f t="shared" si="152"/>
        <v>5769.6</v>
      </c>
      <c r="G168" s="25"/>
      <c r="H168" s="49">
        <f t="shared" si="129"/>
        <v>17308.800000000003</v>
      </c>
      <c r="I168" s="49">
        <f t="shared" si="130"/>
        <v>432.72</v>
      </c>
      <c r="J168" s="49">
        <v>0</v>
      </c>
      <c r="K168" s="49">
        <f t="shared" si="131"/>
        <v>2884.8</v>
      </c>
      <c r="L168" s="34">
        <f t="shared" si="132"/>
        <v>20193.600000000002</v>
      </c>
      <c r="M168" s="49">
        <f>F167*100%</f>
        <v>5769.6</v>
      </c>
      <c r="N168" s="25"/>
      <c r="O168" s="25">
        <f>20000</f>
        <v>20000</v>
      </c>
      <c r="P168" s="49">
        <f t="shared" si="149"/>
        <v>576.96</v>
      </c>
      <c r="Q168" s="49">
        <v>5000</v>
      </c>
      <c r="R168" s="49">
        <f>7000</f>
        <v>7000</v>
      </c>
      <c r="S168" s="34">
        <f t="shared" si="150"/>
        <v>84936.08</v>
      </c>
      <c r="T168" s="34">
        <v>83370.091</v>
      </c>
      <c r="U168" s="34">
        <f t="shared" si="137"/>
        <v>1565.9890000000014</v>
      </c>
      <c r="V168" s="34"/>
      <c r="W168" s="34">
        <v>236.04</v>
      </c>
      <c r="X168" s="34">
        <v>236.04</v>
      </c>
      <c r="Y168" s="34">
        <f t="shared" si="138"/>
        <v>0</v>
      </c>
      <c r="Z168" s="34"/>
      <c r="AA168" s="34"/>
      <c r="AB168" s="34"/>
    </row>
    <row r="169" spans="1:28" ht="20.100000000000001" customHeight="1">
      <c r="A169" s="31">
        <v>38</v>
      </c>
      <c r="B169" s="419" t="s">
        <v>293</v>
      </c>
      <c r="C169" s="420"/>
      <c r="D169" s="382" t="s">
        <v>302</v>
      </c>
      <c r="E169" s="53" t="s">
        <v>672</v>
      </c>
      <c r="F169" s="49">
        <f t="shared" si="152"/>
        <v>5769.6</v>
      </c>
      <c r="G169" s="25"/>
      <c r="H169" s="49">
        <f t="shared" si="129"/>
        <v>17308.800000000003</v>
      </c>
      <c r="I169" s="49">
        <f t="shared" si="130"/>
        <v>432.72</v>
      </c>
      <c r="J169" s="49"/>
      <c r="K169" s="49">
        <f t="shared" si="131"/>
        <v>2884.8</v>
      </c>
      <c r="L169" s="34">
        <f t="shared" si="132"/>
        <v>20193.600000000002</v>
      </c>
      <c r="M169" s="49">
        <f t="shared" ref="M169:M186" si="153">F169*100%</f>
        <v>5769.6</v>
      </c>
      <c r="N169" s="25"/>
      <c r="O169" s="25">
        <f>20000</f>
        <v>20000</v>
      </c>
      <c r="P169" s="49">
        <f t="shared" si="149"/>
        <v>576.96</v>
      </c>
      <c r="Q169" s="49">
        <v>5000</v>
      </c>
      <c r="R169" s="49">
        <f>4000</f>
        <v>4000</v>
      </c>
      <c r="S169" s="34">
        <f t="shared" si="150"/>
        <v>81936.08</v>
      </c>
      <c r="T169" s="34">
        <v>80370.091</v>
      </c>
      <c r="U169" s="34">
        <f t="shared" si="137"/>
        <v>1565.9890000000014</v>
      </c>
      <c r="V169" s="34"/>
      <c r="W169" s="34">
        <v>236.04</v>
      </c>
      <c r="X169" s="34">
        <v>236.04</v>
      </c>
      <c r="Y169" s="34">
        <f t="shared" si="138"/>
        <v>0</v>
      </c>
      <c r="Z169" s="34"/>
      <c r="AA169" s="34"/>
      <c r="AB169" s="34"/>
    </row>
    <row r="170" spans="1:28" ht="20.100000000000001" customHeight="1">
      <c r="A170" s="31">
        <v>39</v>
      </c>
      <c r="B170" s="382" t="s">
        <v>294</v>
      </c>
      <c r="C170" s="31"/>
      <c r="D170" s="382" t="s">
        <v>302</v>
      </c>
      <c r="E170" s="53" t="s">
        <v>672</v>
      </c>
      <c r="F170" s="49">
        <f t="shared" si="152"/>
        <v>5769.6</v>
      </c>
      <c r="G170" s="25"/>
      <c r="H170" s="49">
        <f t="shared" si="129"/>
        <v>17308.800000000003</v>
      </c>
      <c r="I170" s="49">
        <f t="shared" si="130"/>
        <v>432.72</v>
      </c>
      <c r="J170" s="49"/>
      <c r="K170" s="49">
        <f t="shared" si="131"/>
        <v>2884.8</v>
      </c>
      <c r="L170" s="34">
        <f t="shared" si="132"/>
        <v>20193.600000000002</v>
      </c>
      <c r="M170" s="49">
        <f t="shared" si="153"/>
        <v>5769.6</v>
      </c>
      <c r="N170" s="25"/>
      <c r="O170" s="25">
        <f>20000</f>
        <v>20000</v>
      </c>
      <c r="P170" s="49">
        <f t="shared" si="149"/>
        <v>576.96</v>
      </c>
      <c r="Q170" s="49">
        <v>5000</v>
      </c>
      <c r="R170" s="49">
        <f>4000</f>
        <v>4000</v>
      </c>
      <c r="S170" s="34">
        <f t="shared" si="150"/>
        <v>81936.08</v>
      </c>
      <c r="T170" s="34">
        <v>80370.091</v>
      </c>
      <c r="U170" s="34">
        <f t="shared" si="137"/>
        <v>1565.9890000000014</v>
      </c>
      <c r="V170" s="34"/>
      <c r="W170" s="34">
        <v>236.04</v>
      </c>
      <c r="X170" s="34">
        <v>236.04</v>
      </c>
      <c r="Y170" s="34">
        <f t="shared" si="138"/>
        <v>0</v>
      </c>
      <c r="Z170" s="34"/>
      <c r="AA170" s="34"/>
      <c r="AB170" s="34"/>
    </row>
    <row r="171" spans="1:28" ht="20.100000000000001" customHeight="1">
      <c r="A171" s="31">
        <v>40</v>
      </c>
      <c r="B171" s="382" t="s">
        <v>295</v>
      </c>
      <c r="C171" s="31"/>
      <c r="D171" s="382" t="s">
        <v>302</v>
      </c>
      <c r="E171" s="53" t="s">
        <v>672</v>
      </c>
      <c r="F171" s="49">
        <f t="shared" si="152"/>
        <v>5769.6</v>
      </c>
      <c r="G171" s="25"/>
      <c r="H171" s="49">
        <f t="shared" si="129"/>
        <v>17308.800000000003</v>
      </c>
      <c r="I171" s="49">
        <f t="shared" si="130"/>
        <v>432.72</v>
      </c>
      <c r="J171" s="49"/>
      <c r="K171" s="49">
        <f t="shared" si="131"/>
        <v>2884.8</v>
      </c>
      <c r="L171" s="34">
        <f t="shared" si="132"/>
        <v>20193.600000000002</v>
      </c>
      <c r="M171" s="49">
        <f t="shared" si="153"/>
        <v>5769.6</v>
      </c>
      <c r="N171" s="25"/>
      <c r="O171" s="25">
        <f>20000</f>
        <v>20000</v>
      </c>
      <c r="P171" s="49">
        <f t="shared" si="149"/>
        <v>576.96</v>
      </c>
      <c r="Q171" s="49">
        <v>5000</v>
      </c>
      <c r="R171" s="49">
        <f>7000</f>
        <v>7000</v>
      </c>
      <c r="S171" s="34">
        <f t="shared" si="150"/>
        <v>84936.08</v>
      </c>
      <c r="T171" s="34">
        <v>83370.091</v>
      </c>
      <c r="U171" s="34">
        <f t="shared" si="137"/>
        <v>1565.9890000000014</v>
      </c>
      <c r="V171" s="34"/>
      <c r="W171" s="34">
        <v>236.04</v>
      </c>
      <c r="X171" s="34">
        <v>236.04</v>
      </c>
      <c r="Y171" s="34">
        <f t="shared" si="138"/>
        <v>0</v>
      </c>
      <c r="Z171" s="34"/>
      <c r="AA171" s="34"/>
      <c r="AB171" s="34"/>
    </row>
    <row r="172" spans="1:28" ht="20.100000000000001" customHeight="1">
      <c r="A172" s="31">
        <v>41</v>
      </c>
      <c r="B172" s="419" t="s">
        <v>296</v>
      </c>
      <c r="C172" s="420"/>
      <c r="D172" s="382" t="s">
        <v>302</v>
      </c>
      <c r="E172" s="53" t="s">
        <v>303</v>
      </c>
      <c r="F172" s="49">
        <f t="shared" ref="F172:F173" si="154">5257.44</f>
        <v>5257.44</v>
      </c>
      <c r="G172" s="25"/>
      <c r="H172" s="49">
        <f t="shared" si="129"/>
        <v>15772.32</v>
      </c>
      <c r="I172" s="49">
        <f t="shared" si="130"/>
        <v>394.30799999999994</v>
      </c>
      <c r="J172" s="49"/>
      <c r="K172" s="49">
        <f t="shared" si="131"/>
        <v>2628.72</v>
      </c>
      <c r="L172" s="34">
        <f t="shared" si="132"/>
        <v>18401.039999999997</v>
      </c>
      <c r="M172" s="49">
        <f t="shared" si="153"/>
        <v>5257.44</v>
      </c>
      <c r="N172" s="25"/>
      <c r="O172" s="25">
        <f>20000</f>
        <v>20000</v>
      </c>
      <c r="P172" s="49">
        <f t="shared" si="149"/>
        <v>525.74400000000003</v>
      </c>
      <c r="Q172" s="49">
        <v>5000</v>
      </c>
      <c r="R172" s="49">
        <f>7000</f>
        <v>7000</v>
      </c>
      <c r="S172" s="34">
        <f t="shared" si="150"/>
        <v>80237.012000000002</v>
      </c>
      <c r="T172" s="34">
        <v>78671.023000000016</v>
      </c>
      <c r="U172" s="34">
        <f t="shared" si="137"/>
        <v>1565.9889999999868</v>
      </c>
      <c r="V172" s="34"/>
      <c r="W172" s="34">
        <v>236.04</v>
      </c>
      <c r="X172" s="34">
        <v>236.04</v>
      </c>
      <c r="Y172" s="34">
        <f t="shared" si="138"/>
        <v>0</v>
      </c>
      <c r="Z172" s="34"/>
      <c r="AA172" s="34"/>
      <c r="AB172" s="34"/>
    </row>
    <row r="173" spans="1:28" ht="20.100000000000001" customHeight="1">
      <c r="A173" s="31">
        <v>42</v>
      </c>
      <c r="B173" s="419" t="s">
        <v>299</v>
      </c>
      <c r="C173" s="420"/>
      <c r="D173" s="382" t="s">
        <v>302</v>
      </c>
      <c r="E173" s="53" t="s">
        <v>303</v>
      </c>
      <c r="F173" s="49">
        <f t="shared" si="154"/>
        <v>5257.44</v>
      </c>
      <c r="G173" s="25"/>
      <c r="H173" s="49">
        <f t="shared" si="129"/>
        <v>15772.32</v>
      </c>
      <c r="I173" s="49">
        <f t="shared" si="130"/>
        <v>394.30799999999994</v>
      </c>
      <c r="J173" s="49"/>
      <c r="K173" s="49">
        <f t="shared" si="131"/>
        <v>2628.72</v>
      </c>
      <c r="L173" s="34">
        <f t="shared" si="132"/>
        <v>18401.039999999997</v>
      </c>
      <c r="M173" s="49">
        <f t="shared" si="153"/>
        <v>5257.44</v>
      </c>
      <c r="N173" s="25"/>
      <c r="O173" s="25">
        <f>20000</f>
        <v>20000</v>
      </c>
      <c r="P173" s="49">
        <f t="shared" si="149"/>
        <v>525.74400000000003</v>
      </c>
      <c r="Q173" s="49">
        <v>5000</v>
      </c>
      <c r="R173" s="49">
        <f>7000</f>
        <v>7000</v>
      </c>
      <c r="S173" s="34">
        <f t="shared" si="150"/>
        <v>80237.012000000002</v>
      </c>
      <c r="T173" s="34">
        <v>78671.023000000016</v>
      </c>
      <c r="U173" s="34">
        <f t="shared" si="137"/>
        <v>1565.9889999999868</v>
      </c>
      <c r="V173" s="34"/>
      <c r="W173" s="34">
        <v>236.04</v>
      </c>
      <c r="X173" s="34">
        <v>236.04</v>
      </c>
      <c r="Y173" s="34">
        <f t="shared" si="138"/>
        <v>0</v>
      </c>
      <c r="Z173" s="34"/>
      <c r="AA173" s="34"/>
      <c r="AB173" s="34"/>
    </row>
    <row r="174" spans="1:28" ht="20.100000000000001" customHeight="1">
      <c r="A174" s="31">
        <v>43</v>
      </c>
      <c r="B174" s="382" t="s">
        <v>300</v>
      </c>
      <c r="C174" s="31"/>
      <c r="D174" s="382" t="s">
        <v>302</v>
      </c>
      <c r="E174" s="53" t="s">
        <v>400</v>
      </c>
      <c r="F174" s="49">
        <f>5428.12</f>
        <v>5428.12</v>
      </c>
      <c r="G174" s="25"/>
      <c r="H174" s="49">
        <f t="shared" si="129"/>
        <v>16284.36</v>
      </c>
      <c r="I174" s="49">
        <f t="shared" si="130"/>
        <v>407.10899999999998</v>
      </c>
      <c r="J174" s="49"/>
      <c r="K174" s="49">
        <f t="shared" si="131"/>
        <v>2714.06</v>
      </c>
      <c r="L174" s="34">
        <f t="shared" si="132"/>
        <v>18998.419999999998</v>
      </c>
      <c r="M174" s="49">
        <f t="shared" si="153"/>
        <v>5428.12</v>
      </c>
      <c r="N174" s="25"/>
      <c r="O174" s="25">
        <f>20000</f>
        <v>20000</v>
      </c>
      <c r="P174" s="49">
        <f t="shared" si="149"/>
        <v>542.81200000000001</v>
      </c>
      <c r="Q174" s="49">
        <v>5000</v>
      </c>
      <c r="R174" s="49">
        <f>7000</f>
        <v>7000</v>
      </c>
      <c r="S174" s="34">
        <f t="shared" si="150"/>
        <v>81803.001000000018</v>
      </c>
      <c r="T174" s="34">
        <v>80237.012000000002</v>
      </c>
      <c r="U174" s="34">
        <f t="shared" si="137"/>
        <v>1565.9890000000159</v>
      </c>
      <c r="V174" s="34"/>
      <c r="W174" s="34">
        <f>236.04</f>
        <v>236.04</v>
      </c>
      <c r="X174" s="34">
        <v>236.04</v>
      </c>
      <c r="Y174" s="34">
        <f t="shared" si="138"/>
        <v>0</v>
      </c>
      <c r="Z174" s="34"/>
      <c r="AA174" s="34"/>
      <c r="AB174" s="34"/>
    </row>
    <row r="175" spans="1:28" ht="20.100000000000001" customHeight="1">
      <c r="A175" s="31">
        <v>44</v>
      </c>
      <c r="B175" s="419" t="s">
        <v>301</v>
      </c>
      <c r="C175" s="420"/>
      <c r="D175" s="382" t="s">
        <v>302</v>
      </c>
      <c r="E175" s="53" t="s">
        <v>673</v>
      </c>
      <c r="F175" s="49">
        <f>5086.76</f>
        <v>5086.76</v>
      </c>
      <c r="G175" s="25"/>
      <c r="H175" s="49">
        <f t="shared" si="129"/>
        <v>15260.28</v>
      </c>
      <c r="I175" s="49">
        <f t="shared" si="130"/>
        <v>381.50700000000001</v>
      </c>
      <c r="J175" s="49"/>
      <c r="K175" s="49">
        <f t="shared" si="131"/>
        <v>2543.38</v>
      </c>
      <c r="L175" s="34">
        <f t="shared" si="132"/>
        <v>17803.66</v>
      </c>
      <c r="M175" s="49">
        <f t="shared" si="153"/>
        <v>5086.76</v>
      </c>
      <c r="N175" s="25"/>
      <c r="O175" s="25">
        <f>20000</f>
        <v>20000</v>
      </c>
      <c r="P175" s="49">
        <f t="shared" si="149"/>
        <v>508.67600000000004</v>
      </c>
      <c r="Q175" s="49">
        <v>5000</v>
      </c>
      <c r="R175" s="49">
        <f>7000</f>
        <v>7000</v>
      </c>
      <c r="S175" s="34">
        <f t="shared" si="150"/>
        <v>78671.023000000016</v>
      </c>
      <c r="T175" s="34">
        <v>77104.024750000011</v>
      </c>
      <c r="U175" s="34">
        <f t="shared" si="137"/>
        <v>1566.9982500000042</v>
      </c>
      <c r="V175" s="34"/>
      <c r="W175" s="34">
        <v>236.04</v>
      </c>
      <c r="X175" s="34">
        <v>236.04</v>
      </c>
      <c r="Y175" s="34">
        <f t="shared" si="138"/>
        <v>0</v>
      </c>
      <c r="Z175" s="34"/>
      <c r="AA175" s="34"/>
      <c r="AB175" s="34"/>
    </row>
    <row r="176" spans="1:28" ht="20.100000000000001" customHeight="1">
      <c r="A176" s="31">
        <v>45</v>
      </c>
      <c r="B176" s="419" t="s">
        <v>304</v>
      </c>
      <c r="C176" s="420"/>
      <c r="D176" s="382" t="s">
        <v>305</v>
      </c>
      <c r="E176" s="53" t="s">
        <v>674</v>
      </c>
      <c r="F176" s="49">
        <f>4915.94</f>
        <v>4915.9399999999996</v>
      </c>
      <c r="G176" s="25"/>
      <c r="H176" s="49">
        <f t="shared" si="129"/>
        <v>14747.82</v>
      </c>
      <c r="I176" s="49">
        <f t="shared" si="130"/>
        <v>368.69549999999998</v>
      </c>
      <c r="J176" s="49"/>
      <c r="K176" s="49">
        <f t="shared" si="131"/>
        <v>2457.9699999999998</v>
      </c>
      <c r="L176" s="34">
        <f t="shared" si="132"/>
        <v>17205.789999999997</v>
      </c>
      <c r="M176" s="49">
        <f t="shared" si="153"/>
        <v>4915.9399999999996</v>
      </c>
      <c r="N176" s="25"/>
      <c r="O176" s="25">
        <f>20000</f>
        <v>20000</v>
      </c>
      <c r="P176" s="49">
        <f t="shared" si="149"/>
        <v>491.59399999999999</v>
      </c>
      <c r="Q176" s="49">
        <v>5000</v>
      </c>
      <c r="R176" s="49">
        <f>7000</f>
        <v>7000</v>
      </c>
      <c r="S176" s="34">
        <f t="shared" si="150"/>
        <v>77103.749500000005</v>
      </c>
      <c r="T176" s="34">
        <v>75538.03575000001</v>
      </c>
      <c r="U176" s="34">
        <f t="shared" si="137"/>
        <v>1565.7137499999953</v>
      </c>
      <c r="V176" s="34"/>
      <c r="W176" s="34">
        <v>236.04</v>
      </c>
      <c r="X176" s="34">
        <v>236.04</v>
      </c>
      <c r="Y176" s="34">
        <f t="shared" si="138"/>
        <v>0</v>
      </c>
      <c r="Z176" s="34"/>
      <c r="AA176" s="34"/>
      <c r="AB176" s="34"/>
    </row>
    <row r="177" spans="1:28" ht="20.100000000000001" customHeight="1">
      <c r="A177" s="31">
        <v>46</v>
      </c>
      <c r="B177" s="419" t="s">
        <v>307</v>
      </c>
      <c r="C177" s="420"/>
      <c r="D177" s="382" t="s">
        <v>305</v>
      </c>
      <c r="E177" s="53" t="s">
        <v>674</v>
      </c>
      <c r="F177" s="49">
        <f t="shared" ref="F177:F180" si="155">4915.94</f>
        <v>4915.9399999999996</v>
      </c>
      <c r="G177" s="25"/>
      <c r="H177" s="49">
        <f t="shared" si="129"/>
        <v>14747.82</v>
      </c>
      <c r="I177" s="49">
        <f t="shared" si="130"/>
        <v>368.69549999999998</v>
      </c>
      <c r="J177" s="49"/>
      <c r="K177" s="49">
        <f t="shared" si="131"/>
        <v>2457.9699999999998</v>
      </c>
      <c r="L177" s="34">
        <f t="shared" si="132"/>
        <v>17205.789999999997</v>
      </c>
      <c r="M177" s="49">
        <f t="shared" si="153"/>
        <v>4915.9399999999996</v>
      </c>
      <c r="N177" s="25"/>
      <c r="O177" s="25">
        <f>20000</f>
        <v>20000</v>
      </c>
      <c r="P177" s="49">
        <f t="shared" si="149"/>
        <v>491.59399999999999</v>
      </c>
      <c r="Q177" s="49">
        <v>5000</v>
      </c>
      <c r="R177" s="49">
        <f>4000</f>
        <v>4000</v>
      </c>
      <c r="S177" s="34">
        <f t="shared" si="150"/>
        <v>74103.749500000005</v>
      </c>
      <c r="T177" s="34">
        <v>72538.03575000001</v>
      </c>
      <c r="U177" s="34">
        <f t="shared" si="137"/>
        <v>1565.7137499999953</v>
      </c>
      <c r="V177" s="34"/>
      <c r="W177" s="34">
        <v>236.04</v>
      </c>
      <c r="X177" s="34">
        <v>236.04</v>
      </c>
      <c r="Y177" s="34">
        <f t="shared" si="138"/>
        <v>0</v>
      </c>
      <c r="Z177" s="34"/>
      <c r="AA177" s="34"/>
      <c r="AB177" s="34"/>
    </row>
    <row r="178" spans="1:28" ht="20.100000000000001" customHeight="1">
      <c r="A178" s="31">
        <v>47</v>
      </c>
      <c r="B178" s="419" t="s">
        <v>308</v>
      </c>
      <c r="C178" s="420"/>
      <c r="D178" s="382" t="s">
        <v>305</v>
      </c>
      <c r="E178" s="53" t="s">
        <v>674</v>
      </c>
      <c r="F178" s="49">
        <f t="shared" si="155"/>
        <v>4915.9399999999996</v>
      </c>
      <c r="G178" s="25"/>
      <c r="H178" s="49">
        <f t="shared" si="129"/>
        <v>14747.82</v>
      </c>
      <c r="I178" s="49">
        <f t="shared" si="130"/>
        <v>368.69549999999998</v>
      </c>
      <c r="J178" s="49"/>
      <c r="K178" s="49">
        <f t="shared" si="131"/>
        <v>2457.9699999999998</v>
      </c>
      <c r="L178" s="34">
        <f t="shared" si="132"/>
        <v>17205.789999999997</v>
      </c>
      <c r="M178" s="49">
        <f t="shared" si="153"/>
        <v>4915.9399999999996</v>
      </c>
      <c r="N178" s="25"/>
      <c r="O178" s="25">
        <f>20000</f>
        <v>20000</v>
      </c>
      <c r="P178" s="49">
        <f t="shared" si="149"/>
        <v>491.59399999999999</v>
      </c>
      <c r="Q178" s="49">
        <v>5000</v>
      </c>
      <c r="R178" s="49">
        <f>7000</f>
        <v>7000</v>
      </c>
      <c r="S178" s="34">
        <f t="shared" si="150"/>
        <v>77103.749500000005</v>
      </c>
      <c r="T178" s="34">
        <v>75538.03575000001</v>
      </c>
      <c r="U178" s="34">
        <f t="shared" si="137"/>
        <v>1565.7137499999953</v>
      </c>
      <c r="V178" s="34"/>
      <c r="W178" s="34">
        <v>236.04</v>
      </c>
      <c r="X178" s="34">
        <v>236.04</v>
      </c>
      <c r="Y178" s="34">
        <f t="shared" si="138"/>
        <v>0</v>
      </c>
      <c r="Z178" s="34"/>
      <c r="AA178" s="34"/>
      <c r="AB178" s="34"/>
    </row>
    <row r="179" spans="1:28" ht="20.100000000000001" customHeight="1">
      <c r="A179" s="31">
        <v>48</v>
      </c>
      <c r="B179" s="419" t="s">
        <v>309</v>
      </c>
      <c r="C179" s="420"/>
      <c r="D179" s="382" t="s">
        <v>305</v>
      </c>
      <c r="E179" s="53" t="s">
        <v>674</v>
      </c>
      <c r="F179" s="49">
        <f t="shared" si="155"/>
        <v>4915.9399999999996</v>
      </c>
      <c r="G179" s="25"/>
      <c r="H179" s="49">
        <f t="shared" si="129"/>
        <v>14747.82</v>
      </c>
      <c r="I179" s="49">
        <f t="shared" si="130"/>
        <v>368.69549999999998</v>
      </c>
      <c r="J179" s="49"/>
      <c r="K179" s="49">
        <f t="shared" si="131"/>
        <v>2457.9699999999998</v>
      </c>
      <c r="L179" s="34">
        <f t="shared" si="132"/>
        <v>17205.789999999997</v>
      </c>
      <c r="M179" s="49">
        <f t="shared" si="153"/>
        <v>4915.9399999999996</v>
      </c>
      <c r="N179" s="25"/>
      <c r="O179" s="25">
        <f>20000</f>
        <v>20000</v>
      </c>
      <c r="P179" s="49">
        <f t="shared" si="149"/>
        <v>491.59399999999999</v>
      </c>
      <c r="Q179" s="49">
        <v>5000</v>
      </c>
      <c r="R179" s="49">
        <f>4000</f>
        <v>4000</v>
      </c>
      <c r="S179" s="34">
        <f t="shared" si="150"/>
        <v>74103.749500000005</v>
      </c>
      <c r="T179" s="34">
        <v>72538.03575000001</v>
      </c>
      <c r="U179" s="34">
        <f t="shared" si="137"/>
        <v>1565.7137499999953</v>
      </c>
      <c r="V179" s="34"/>
      <c r="W179" s="34">
        <v>236.04</v>
      </c>
      <c r="X179" s="34">
        <v>236.04</v>
      </c>
      <c r="Y179" s="34">
        <f t="shared" si="138"/>
        <v>0</v>
      </c>
      <c r="Z179" s="34"/>
      <c r="AA179" s="34"/>
      <c r="AB179" s="34"/>
    </row>
    <row r="180" spans="1:28" ht="20.100000000000001" customHeight="1">
      <c r="A180" s="31">
        <v>49</v>
      </c>
      <c r="B180" s="419" t="s">
        <v>310</v>
      </c>
      <c r="C180" s="420"/>
      <c r="D180" s="382" t="s">
        <v>305</v>
      </c>
      <c r="E180" s="53" t="s">
        <v>674</v>
      </c>
      <c r="F180" s="49">
        <f t="shared" si="155"/>
        <v>4915.9399999999996</v>
      </c>
      <c r="G180" s="25"/>
      <c r="H180" s="49">
        <f t="shared" si="129"/>
        <v>14747.82</v>
      </c>
      <c r="I180" s="49">
        <f t="shared" si="130"/>
        <v>368.69549999999998</v>
      </c>
      <c r="J180" s="49"/>
      <c r="K180" s="49">
        <f t="shared" si="131"/>
        <v>2457.9699999999998</v>
      </c>
      <c r="L180" s="34">
        <f t="shared" si="132"/>
        <v>17205.789999999997</v>
      </c>
      <c r="M180" s="49">
        <f t="shared" si="153"/>
        <v>4915.9399999999996</v>
      </c>
      <c r="N180" s="25"/>
      <c r="O180" s="25">
        <f>20000</f>
        <v>20000</v>
      </c>
      <c r="P180" s="49">
        <f t="shared" si="149"/>
        <v>491.59399999999999</v>
      </c>
      <c r="Q180" s="49">
        <v>5000</v>
      </c>
      <c r="R180" s="49">
        <f>7000</f>
        <v>7000</v>
      </c>
      <c r="S180" s="34">
        <f t="shared" si="150"/>
        <v>77103.749500000005</v>
      </c>
      <c r="T180" s="34">
        <v>75538.03575000001</v>
      </c>
      <c r="U180" s="34">
        <f t="shared" si="137"/>
        <v>1565.7137499999953</v>
      </c>
      <c r="V180" s="34"/>
      <c r="W180" s="34">
        <v>236.04</v>
      </c>
      <c r="X180" s="34">
        <v>236.04</v>
      </c>
      <c r="Y180" s="34">
        <f t="shared" si="138"/>
        <v>0</v>
      </c>
      <c r="Z180" s="34"/>
      <c r="AA180" s="34"/>
      <c r="AB180" s="34"/>
    </row>
    <row r="181" spans="1:28" ht="20.100000000000001" customHeight="1">
      <c r="A181" s="31">
        <v>50</v>
      </c>
      <c r="B181" s="421" t="s">
        <v>313</v>
      </c>
      <c r="C181" s="422"/>
      <c r="D181" s="382" t="s">
        <v>305</v>
      </c>
      <c r="E181" s="53" t="s">
        <v>675</v>
      </c>
      <c r="F181" s="49">
        <f>4836.5</f>
        <v>4836.5</v>
      </c>
      <c r="G181" s="25"/>
      <c r="H181" s="49">
        <f t="shared" si="129"/>
        <v>14509.5</v>
      </c>
      <c r="I181" s="49">
        <f t="shared" si="130"/>
        <v>362.73750000000001</v>
      </c>
      <c r="J181" s="49"/>
      <c r="K181" s="49">
        <f t="shared" si="131"/>
        <v>2418.25</v>
      </c>
      <c r="L181" s="34">
        <f t="shared" si="132"/>
        <v>16927.75</v>
      </c>
      <c r="M181" s="49">
        <f t="shared" si="153"/>
        <v>4836.5</v>
      </c>
      <c r="N181" s="25"/>
      <c r="O181" s="25">
        <f>15000</f>
        <v>15000</v>
      </c>
      <c r="P181" s="49">
        <f t="shared" si="149"/>
        <v>483.65000000000003</v>
      </c>
      <c r="Q181" s="49">
        <v>5000</v>
      </c>
      <c r="R181" s="49">
        <f>7000</f>
        <v>7000</v>
      </c>
      <c r="S181" s="34">
        <f t="shared" si="150"/>
        <v>71374.887500000012</v>
      </c>
      <c r="T181" s="34">
        <v>67328.070250000004</v>
      </c>
      <c r="U181" s="34">
        <f t="shared" si="137"/>
        <v>4046.8172500000073</v>
      </c>
      <c r="V181" s="34"/>
      <c r="W181" s="34">
        <v>236.04</v>
      </c>
      <c r="X181" s="34">
        <v>236.04</v>
      </c>
      <c r="Y181" s="34">
        <f t="shared" si="138"/>
        <v>0</v>
      </c>
      <c r="Z181" s="34"/>
      <c r="AA181" s="34"/>
      <c r="AB181" s="34"/>
    </row>
    <row r="182" spans="1:28" ht="20.100000000000001" customHeight="1">
      <c r="A182" s="31">
        <v>51</v>
      </c>
      <c r="B182" s="423" t="s">
        <v>314</v>
      </c>
      <c r="C182" s="424"/>
      <c r="D182" s="382" t="s">
        <v>305</v>
      </c>
      <c r="E182" s="53" t="s">
        <v>675</v>
      </c>
      <c r="F182" s="49">
        <f t="shared" ref="F182:F183" si="156">4836.5</f>
        <v>4836.5</v>
      </c>
      <c r="G182" s="25"/>
      <c r="H182" s="49">
        <f t="shared" si="129"/>
        <v>14509.5</v>
      </c>
      <c r="I182" s="49">
        <f t="shared" si="130"/>
        <v>362.73750000000001</v>
      </c>
      <c r="J182" s="49"/>
      <c r="K182" s="49">
        <f t="shared" si="131"/>
        <v>2418.25</v>
      </c>
      <c r="L182" s="34">
        <f t="shared" si="132"/>
        <v>16927.75</v>
      </c>
      <c r="M182" s="49">
        <f t="shared" si="153"/>
        <v>4836.5</v>
      </c>
      <c r="N182" s="25"/>
      <c r="O182" s="25">
        <f>15000</f>
        <v>15000</v>
      </c>
      <c r="P182" s="49">
        <f t="shared" si="149"/>
        <v>483.65000000000003</v>
      </c>
      <c r="Q182" s="49">
        <v>5000</v>
      </c>
      <c r="R182" s="49">
        <f>7000</f>
        <v>7000</v>
      </c>
      <c r="S182" s="34">
        <f t="shared" si="150"/>
        <v>71374.887500000012</v>
      </c>
      <c r="T182" s="34">
        <v>67328.070250000004</v>
      </c>
      <c r="U182" s="34">
        <f t="shared" si="137"/>
        <v>4046.8172500000073</v>
      </c>
      <c r="V182" s="34"/>
      <c r="W182" s="34">
        <v>236.04</v>
      </c>
      <c r="X182" s="34">
        <v>236.04</v>
      </c>
      <c r="Y182" s="34">
        <f t="shared" si="138"/>
        <v>0</v>
      </c>
      <c r="Z182" s="34"/>
      <c r="AA182" s="34"/>
      <c r="AB182" s="34"/>
    </row>
    <row r="183" spans="1:28" ht="20.100000000000001" customHeight="1">
      <c r="A183" s="31">
        <v>52</v>
      </c>
      <c r="B183" s="390" t="s">
        <v>315</v>
      </c>
      <c r="C183" s="374"/>
      <c r="D183" s="382" t="s">
        <v>305</v>
      </c>
      <c r="E183" s="53" t="s">
        <v>675</v>
      </c>
      <c r="F183" s="49">
        <f t="shared" si="156"/>
        <v>4836.5</v>
      </c>
      <c r="G183" s="25"/>
      <c r="H183" s="49">
        <f t="shared" si="129"/>
        <v>14509.5</v>
      </c>
      <c r="I183" s="49">
        <f t="shared" si="130"/>
        <v>362.73750000000001</v>
      </c>
      <c r="J183" s="49"/>
      <c r="K183" s="49">
        <f t="shared" si="131"/>
        <v>2418.25</v>
      </c>
      <c r="L183" s="34">
        <f t="shared" si="132"/>
        <v>16927.75</v>
      </c>
      <c r="M183" s="49">
        <f t="shared" si="153"/>
        <v>4836.5</v>
      </c>
      <c r="N183" s="25"/>
      <c r="O183" s="25">
        <f>15000</f>
        <v>15000</v>
      </c>
      <c r="P183" s="49">
        <f t="shared" si="149"/>
        <v>483.65000000000003</v>
      </c>
      <c r="Q183" s="49">
        <v>5000</v>
      </c>
      <c r="R183" s="49">
        <f>4000</f>
        <v>4000</v>
      </c>
      <c r="S183" s="34">
        <f t="shared" ref="S183:S184" si="157">SUM(F183:R183)</f>
        <v>68374.887500000012</v>
      </c>
      <c r="T183" s="34">
        <v>64328.070250000004</v>
      </c>
      <c r="U183" s="34">
        <f t="shared" si="137"/>
        <v>4046.8172500000073</v>
      </c>
      <c r="V183" s="34"/>
      <c r="W183" s="34">
        <v>236.04</v>
      </c>
      <c r="X183" s="34">
        <v>236.04</v>
      </c>
      <c r="Y183" s="34">
        <f t="shared" si="138"/>
        <v>0</v>
      </c>
      <c r="Z183" s="34"/>
      <c r="AA183" s="34"/>
      <c r="AB183" s="34"/>
    </row>
    <row r="184" spans="1:28" ht="20.100000000000001" customHeight="1">
      <c r="A184" s="31">
        <v>53</v>
      </c>
      <c r="B184" s="390" t="s">
        <v>311</v>
      </c>
      <c r="C184" s="374"/>
      <c r="D184" s="382" t="s">
        <v>305</v>
      </c>
      <c r="E184" s="53" t="s">
        <v>317</v>
      </c>
      <c r="F184" s="49">
        <f>4915.94</f>
        <v>4915.9399999999996</v>
      </c>
      <c r="G184" s="25"/>
      <c r="H184" s="49">
        <f t="shared" si="129"/>
        <v>14747.82</v>
      </c>
      <c r="I184" s="49">
        <f t="shared" si="130"/>
        <v>368.69549999999998</v>
      </c>
      <c r="J184" s="49"/>
      <c r="K184" s="49">
        <f t="shared" si="131"/>
        <v>2457.9699999999998</v>
      </c>
      <c r="L184" s="34">
        <f t="shared" si="132"/>
        <v>17205.789999999997</v>
      </c>
      <c r="M184" s="49">
        <f t="shared" si="153"/>
        <v>4915.9399999999996</v>
      </c>
      <c r="N184" s="25"/>
      <c r="O184" s="25">
        <f>20000</f>
        <v>20000</v>
      </c>
      <c r="P184" s="49">
        <f t="shared" si="149"/>
        <v>491.59399999999999</v>
      </c>
      <c r="Q184" s="49">
        <v>5000</v>
      </c>
      <c r="R184" s="49">
        <f>4000</f>
        <v>4000</v>
      </c>
      <c r="S184" s="34">
        <f t="shared" si="157"/>
        <v>74103.749500000005</v>
      </c>
      <c r="T184" s="34">
        <v>72538.03575000001</v>
      </c>
      <c r="U184" s="34">
        <f t="shared" si="137"/>
        <v>1565.7137499999953</v>
      </c>
      <c r="V184" s="34"/>
      <c r="W184" s="34">
        <v>236.04</v>
      </c>
      <c r="X184" s="34">
        <v>236.04</v>
      </c>
      <c r="Y184" s="34">
        <f t="shared" si="138"/>
        <v>0</v>
      </c>
      <c r="Z184" s="34"/>
      <c r="AA184" s="34"/>
      <c r="AB184" s="34"/>
    </row>
    <row r="185" spans="1:28" ht="20.100000000000001" customHeight="1">
      <c r="A185" s="31">
        <v>54</v>
      </c>
      <c r="B185" s="390" t="s">
        <v>318</v>
      </c>
      <c r="C185" s="374"/>
      <c r="D185" s="382" t="s">
        <v>305</v>
      </c>
      <c r="E185" s="53" t="s">
        <v>676</v>
      </c>
      <c r="F185" s="76">
        <f>4248.5</f>
        <v>4248.5</v>
      </c>
      <c r="G185" s="25"/>
      <c r="H185" s="49">
        <f t="shared" si="129"/>
        <v>12745.5</v>
      </c>
      <c r="I185" s="49">
        <f t="shared" si="130"/>
        <v>318.63749999999999</v>
      </c>
      <c r="J185" s="49"/>
      <c r="K185" s="49">
        <f t="shared" si="131"/>
        <v>2124.25</v>
      </c>
      <c r="L185" s="34">
        <f t="shared" si="132"/>
        <v>14869.75</v>
      </c>
      <c r="M185" s="49">
        <f t="shared" si="153"/>
        <v>4248.5</v>
      </c>
      <c r="N185" s="25"/>
      <c r="O185" s="25">
        <f>15000</f>
        <v>15000</v>
      </c>
      <c r="P185" s="49">
        <f t="shared" si="149"/>
        <v>424.85</v>
      </c>
      <c r="Q185" s="49">
        <v>5000</v>
      </c>
      <c r="R185" s="49">
        <f>7000</f>
        <v>7000</v>
      </c>
      <c r="S185" s="34">
        <f>SUM(F185:R185)</f>
        <v>65979.987499999988</v>
      </c>
      <c r="T185" s="34">
        <v>64631.996500000001</v>
      </c>
      <c r="U185" s="34">
        <f t="shared" si="137"/>
        <v>1347.9909999999873</v>
      </c>
      <c r="V185" s="34"/>
      <c r="W185" s="34">
        <v>236.04</v>
      </c>
      <c r="X185" s="34">
        <v>236.04</v>
      </c>
      <c r="Y185" s="34">
        <f t="shared" si="138"/>
        <v>0</v>
      </c>
      <c r="Z185" s="34"/>
      <c r="AA185" s="34"/>
      <c r="AB185" s="34"/>
    </row>
    <row r="186" spans="1:28" ht="20.100000000000001" customHeight="1">
      <c r="A186" s="31">
        <v>55</v>
      </c>
      <c r="B186" s="390" t="s">
        <v>312</v>
      </c>
      <c r="C186" s="374"/>
      <c r="D186" s="382" t="s">
        <v>305</v>
      </c>
      <c r="E186" s="53" t="s">
        <v>317</v>
      </c>
      <c r="F186" s="49">
        <f>4915.94</f>
        <v>4915.9399999999996</v>
      </c>
      <c r="G186" s="25"/>
      <c r="H186" s="49">
        <f t="shared" si="129"/>
        <v>14747.82</v>
      </c>
      <c r="I186" s="49">
        <f t="shared" si="130"/>
        <v>368.69549999999998</v>
      </c>
      <c r="J186" s="49"/>
      <c r="K186" s="49">
        <f t="shared" si="131"/>
        <v>2457.9699999999998</v>
      </c>
      <c r="L186" s="34">
        <f t="shared" si="132"/>
        <v>17205.789999999997</v>
      </c>
      <c r="M186" s="49">
        <f t="shared" si="153"/>
        <v>4915.9399999999996</v>
      </c>
      <c r="N186" s="25"/>
      <c r="O186" s="25">
        <f>20000</f>
        <v>20000</v>
      </c>
      <c r="P186" s="49">
        <f t="shared" si="149"/>
        <v>491.59399999999999</v>
      </c>
      <c r="Q186" s="49">
        <v>5000</v>
      </c>
      <c r="R186" s="49">
        <f>7000</f>
        <v>7000</v>
      </c>
      <c r="S186" s="34">
        <f t="shared" ref="S186" si="158">SUM(F186:R186)</f>
        <v>77103.749500000005</v>
      </c>
      <c r="T186" s="34">
        <v>75538.03575000001</v>
      </c>
      <c r="U186" s="34">
        <f t="shared" si="137"/>
        <v>1565.7137499999953</v>
      </c>
      <c r="V186" s="34"/>
      <c r="W186" s="34">
        <v>236.04</v>
      </c>
      <c r="X186" s="34">
        <v>236.04</v>
      </c>
      <c r="Y186" s="34">
        <f t="shared" si="138"/>
        <v>0</v>
      </c>
      <c r="Z186" s="34"/>
      <c r="AA186" s="34"/>
      <c r="AB186" s="34"/>
    </row>
    <row r="187" spans="1:28" ht="20.100000000000001" customHeight="1">
      <c r="A187" s="31"/>
      <c r="B187" s="58" t="s">
        <v>91</v>
      </c>
      <c r="D187" s="41" t="s">
        <v>577</v>
      </c>
      <c r="E187" s="35"/>
      <c r="F187" s="67">
        <f t="shared" ref="F187:M187" si="159">SUM(F132:F186)</f>
        <v>833916.93999999925</v>
      </c>
      <c r="G187" s="67">
        <f t="shared" si="159"/>
        <v>0</v>
      </c>
      <c r="H187" s="67">
        <f t="shared" si="159"/>
        <v>2501750.8199999956</v>
      </c>
      <c r="I187" s="67">
        <f t="shared" si="159"/>
        <v>62543.770499999991</v>
      </c>
      <c r="J187" s="67">
        <f t="shared" si="159"/>
        <v>280855.33</v>
      </c>
      <c r="K187" s="67">
        <f t="shared" si="159"/>
        <v>416958.46999999962</v>
      </c>
      <c r="L187" s="67">
        <f t="shared" si="159"/>
        <v>2918709.2900000033</v>
      </c>
      <c r="M187" s="67">
        <f t="shared" si="159"/>
        <v>833916.93999999925</v>
      </c>
      <c r="N187" s="72"/>
      <c r="O187" s="72">
        <f>SUM(O132:O186)</f>
        <v>2300000</v>
      </c>
      <c r="P187" s="67">
        <f>SUM(P132:P186)</f>
        <v>83391.694000000018</v>
      </c>
      <c r="Q187" s="67">
        <f>SUM(Q132:Q186)</f>
        <v>505000</v>
      </c>
      <c r="R187" s="67">
        <f>SUM(R132:R186)</f>
        <v>211000</v>
      </c>
      <c r="S187" s="67">
        <f>SUM(S132:S186)</f>
        <v>10948043.254499998</v>
      </c>
      <c r="T187" s="67">
        <v>10834146.823000003</v>
      </c>
      <c r="U187" s="68">
        <f>SUM(U132:U186)</f>
        <v>105835.73524999988</v>
      </c>
      <c r="V187" s="67"/>
      <c r="W187" s="67">
        <f t="shared" ref="W187" si="160">SUM(W132:W186)</f>
        <v>234382.48000000027</v>
      </c>
      <c r="X187" s="67">
        <v>234382.48000000027</v>
      </c>
      <c r="Y187" s="67">
        <f t="shared" ref="Y187" si="161">SUM(Y132:Y186)</f>
        <v>0</v>
      </c>
      <c r="Z187" s="67"/>
      <c r="AA187" s="67"/>
      <c r="AB187" s="67"/>
    </row>
    <row r="188" spans="1:28" ht="20.100000000000001" customHeight="1">
      <c r="A188" s="31"/>
      <c r="B188" s="425" t="s">
        <v>330</v>
      </c>
      <c r="C188" s="425"/>
      <c r="D188" s="59">
        <f>D39+D43+D56+D61+D76+D86+D99+D106+D117+D129+D187</f>
        <v>148</v>
      </c>
      <c r="E188" s="389"/>
      <c r="F188" s="38">
        <f t="shared" ref="F188:U188" si="162">F39+F43+F56+F61+F76+F86+F99+F106+F117+F129+F187</f>
        <v>3775265.3499999996</v>
      </c>
      <c r="G188" s="38">
        <f t="shared" si="162"/>
        <v>0</v>
      </c>
      <c r="H188" s="38">
        <f t="shared" si="162"/>
        <v>11165307.299999993</v>
      </c>
      <c r="I188" s="38">
        <f t="shared" si="162"/>
        <v>319254.875</v>
      </c>
      <c r="J188" s="38">
        <f t="shared" si="162"/>
        <v>2311503.6900000004</v>
      </c>
      <c r="K188" s="38">
        <f t="shared" si="162"/>
        <v>1879608.2399999998</v>
      </c>
      <c r="L188" s="38">
        <f t="shared" si="162"/>
        <v>12651718.100000003</v>
      </c>
      <c r="M188" s="38">
        <f t="shared" si="162"/>
        <v>3735143.17</v>
      </c>
      <c r="N188" s="38">
        <f t="shared" si="162"/>
        <v>7680000</v>
      </c>
      <c r="O188" s="38">
        <f t="shared" si="162"/>
        <v>5010000</v>
      </c>
      <c r="P188" s="38">
        <f t="shared" si="162"/>
        <v>377526.54000000004</v>
      </c>
      <c r="Q188" s="38">
        <f t="shared" si="162"/>
        <v>2020000</v>
      </c>
      <c r="R188" s="38" t="e">
        <f t="shared" si="162"/>
        <v>#REF!</v>
      </c>
      <c r="S188" s="38" t="e">
        <f t="shared" si="162"/>
        <v>#REF!</v>
      </c>
      <c r="T188" s="38">
        <f t="shared" si="162"/>
        <v>51639317.288800001</v>
      </c>
      <c r="U188" s="38" t="e">
        <f t="shared" si="162"/>
        <v>#REF!</v>
      </c>
      <c r="V188" s="38"/>
      <c r="W188" s="38">
        <f>W39+W43+W56+W61+W76+W86+W99+W106+W117+W129+W187</f>
        <v>1514721.3</v>
      </c>
      <c r="X188" s="38">
        <v>1514721.3</v>
      </c>
      <c r="Y188" s="38">
        <f>Y39+Y43+Y56+Y61+Y76+Y86+Y99+Y106+Y117+Y129+Y187</f>
        <v>0</v>
      </c>
      <c r="Z188" s="38"/>
      <c r="AA188" s="38"/>
      <c r="AB188" s="38"/>
    </row>
    <row r="189" spans="1:28" ht="20.100000000000001" customHeight="1">
      <c r="A189" s="31"/>
      <c r="B189" s="417"/>
      <c r="C189" s="417"/>
      <c r="D189" s="391"/>
      <c r="E189" s="388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</row>
    <row r="190" spans="1:28" ht="20.100000000000001" customHeight="1">
      <c r="A190" s="31"/>
      <c r="B190" s="417"/>
      <c r="C190" s="417"/>
      <c r="D190" s="416" t="s">
        <v>678</v>
      </c>
      <c r="E190" s="416"/>
      <c r="F190" s="416"/>
      <c r="G190" s="416"/>
      <c r="H190" s="416"/>
      <c r="I190" s="416"/>
      <c r="J190" s="416"/>
      <c r="K190" s="418" t="s">
        <v>703</v>
      </c>
      <c r="L190" s="418"/>
      <c r="M190" s="418"/>
      <c r="N190" s="389"/>
      <c r="O190" s="389"/>
      <c r="P190" s="418" t="s">
        <v>704</v>
      </c>
      <c r="Q190" s="418"/>
      <c r="R190" s="418"/>
      <c r="S190" s="418"/>
      <c r="T190" s="389"/>
      <c r="U190" s="389"/>
      <c r="V190" s="389"/>
      <c r="W190" s="389"/>
      <c r="X190" s="389"/>
      <c r="Y190" s="57"/>
      <c r="Z190" s="57"/>
      <c r="AA190" s="57"/>
      <c r="AB190" s="57"/>
    </row>
    <row r="191" spans="1:28" ht="20.100000000000001" customHeight="1">
      <c r="A191" s="31"/>
      <c r="B191" s="417"/>
      <c r="C191" s="417"/>
      <c r="D191" s="416"/>
      <c r="E191" s="416"/>
      <c r="F191" s="416"/>
      <c r="G191" s="416"/>
      <c r="H191" s="416"/>
      <c r="I191" s="416"/>
      <c r="J191" s="416"/>
      <c r="K191" s="418"/>
      <c r="L191" s="418"/>
      <c r="M191" s="418"/>
      <c r="N191" s="389"/>
      <c r="O191" s="389"/>
      <c r="P191" s="418"/>
      <c r="Q191" s="418"/>
      <c r="R191" s="418"/>
      <c r="S191" s="418"/>
      <c r="T191" s="389"/>
      <c r="U191" s="389"/>
      <c r="V191" s="389"/>
      <c r="W191" s="389"/>
      <c r="X191" s="389"/>
      <c r="Y191" s="57"/>
      <c r="Z191" s="57"/>
      <c r="AA191" s="57"/>
      <c r="AB191" s="57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3:E3"/>
    <mergeCell ref="B5:C5"/>
    <mergeCell ref="U5:Z5"/>
    <mergeCell ref="B6:C6"/>
    <mergeCell ref="B7:C7"/>
    <mergeCell ref="B8:C8"/>
    <mergeCell ref="B15:C15"/>
    <mergeCell ref="B16:C16"/>
    <mergeCell ref="B17:C1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93"/>
  <sheetViews>
    <sheetView view="pageBreakPreview" zoomScaleNormal="100" zoomScaleSheetLayoutView="100" workbookViewId="0">
      <pane xSplit="2" ySplit="6" topLeftCell="C187" activePane="bottomRight" state="frozen"/>
      <selection pane="bottomRight" activeCell="L189" sqref="L18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41" customWidth="1"/>
    <col min="2" max="2" width="43.85546875" style="141" customWidth="1"/>
    <col min="3" max="3" width="32.42578125" style="141" customWidth="1"/>
    <col min="4" max="4" width="9.140625" style="141" customWidth="1"/>
    <col min="5" max="5" width="13.85546875" style="141" customWidth="1"/>
    <col min="6" max="6" width="14.7109375" style="141" customWidth="1"/>
    <col min="7" max="7" width="14" style="141" customWidth="1"/>
    <col min="8" max="16384" width="9.140625" style="141"/>
  </cols>
  <sheetData>
    <row r="1" spans="1:7" ht="27" customHeight="1">
      <c r="A1" s="411" t="s">
        <v>0</v>
      </c>
      <c r="B1" s="411"/>
      <c r="C1" s="411"/>
      <c r="D1" s="411"/>
      <c r="E1" s="411"/>
    </row>
    <row r="2" spans="1:7" ht="33.75" customHeight="1">
      <c r="A2" s="142" t="s">
        <v>705</v>
      </c>
      <c r="B2" s="143"/>
      <c r="C2" s="143"/>
      <c r="D2" s="142"/>
      <c r="E2" s="146"/>
    </row>
    <row r="3" spans="1:7" ht="9.75" customHeight="1"/>
    <row r="4" spans="1:7" ht="61.5" customHeight="1">
      <c r="A4" s="19"/>
      <c r="B4" s="147" t="s">
        <v>2</v>
      </c>
      <c r="C4" s="148" t="s">
        <v>3</v>
      </c>
      <c r="D4" s="201" t="s">
        <v>4</v>
      </c>
      <c r="E4" s="152" t="s">
        <v>403</v>
      </c>
      <c r="F4" s="152" t="s">
        <v>706</v>
      </c>
      <c r="G4" s="152" t="s">
        <v>707</v>
      </c>
    </row>
    <row r="5" spans="1:7" ht="20.100000000000001" customHeight="1">
      <c r="A5" s="153" t="s">
        <v>26</v>
      </c>
      <c r="B5" s="154" t="s">
        <v>27</v>
      </c>
      <c r="C5" s="202"/>
      <c r="D5" s="154"/>
      <c r="E5" s="155" t="s">
        <v>25</v>
      </c>
      <c r="F5" s="155" t="s">
        <v>25</v>
      </c>
      <c r="G5" s="155" t="s">
        <v>25</v>
      </c>
    </row>
    <row r="6" spans="1:7" ht="20.100000000000001" customHeight="1">
      <c r="A6" s="27">
        <v>1</v>
      </c>
      <c r="B6" s="133" t="s">
        <v>28</v>
      </c>
      <c r="C6" s="203" t="s">
        <v>29</v>
      </c>
      <c r="D6" s="138" t="s">
        <v>30</v>
      </c>
      <c r="E6" s="213">
        <v>2000000</v>
      </c>
      <c r="F6" s="22">
        <v>0</v>
      </c>
      <c r="G6" s="213">
        <v>2000000</v>
      </c>
    </row>
    <row r="7" spans="1:7" ht="20.100000000000001" customHeight="1">
      <c r="A7" s="27">
        <v>2</v>
      </c>
      <c r="B7" s="133" t="s">
        <v>464</v>
      </c>
      <c r="C7" s="204" t="s">
        <v>561</v>
      </c>
      <c r="D7" s="27" t="s">
        <v>233</v>
      </c>
      <c r="E7" s="213">
        <v>700000</v>
      </c>
      <c r="F7" s="22">
        <v>0</v>
      </c>
      <c r="G7" s="213">
        <v>700000</v>
      </c>
    </row>
    <row r="8" spans="1:7" ht="20.100000000000001" customHeight="1">
      <c r="A8" s="27">
        <v>3</v>
      </c>
      <c r="B8" s="135" t="s">
        <v>562</v>
      </c>
      <c r="C8" s="204" t="s">
        <v>563</v>
      </c>
      <c r="D8" s="27" t="s">
        <v>36</v>
      </c>
      <c r="E8" s="213">
        <f>700000/2</f>
        <v>350000</v>
      </c>
      <c r="F8" s="22">
        <v>0</v>
      </c>
      <c r="G8" s="213">
        <f t="shared" ref="G8:G9" si="0">700000/2</f>
        <v>350000</v>
      </c>
    </row>
    <row r="9" spans="1:7" ht="20.100000000000001" customHeight="1">
      <c r="A9" s="27">
        <v>4</v>
      </c>
      <c r="B9" s="133" t="s">
        <v>31</v>
      </c>
      <c r="C9" s="203" t="s">
        <v>32</v>
      </c>
      <c r="D9" s="27" t="s">
        <v>638</v>
      </c>
      <c r="E9" s="213">
        <f>700000/2</f>
        <v>350000</v>
      </c>
      <c r="F9" s="22">
        <v>0</v>
      </c>
      <c r="G9" s="213">
        <f t="shared" si="0"/>
        <v>350000</v>
      </c>
    </row>
    <row r="10" spans="1:7" ht="20.100000000000001" customHeight="1">
      <c r="A10" s="27">
        <v>5</v>
      </c>
      <c r="B10" s="135" t="s">
        <v>34</v>
      </c>
      <c r="C10" s="204" t="s">
        <v>35</v>
      </c>
      <c r="D10" s="158" t="s">
        <v>107</v>
      </c>
      <c r="E10" s="213">
        <v>700000</v>
      </c>
      <c r="F10" s="22">
        <v>0</v>
      </c>
      <c r="G10" s="213">
        <v>700000</v>
      </c>
    </row>
    <row r="11" spans="1:7" ht="20.100000000000001" customHeight="1">
      <c r="A11" s="27">
        <v>6</v>
      </c>
      <c r="B11" s="135" t="s">
        <v>179</v>
      </c>
      <c r="C11" s="204" t="s">
        <v>466</v>
      </c>
      <c r="D11" s="23" t="s">
        <v>107</v>
      </c>
      <c r="E11" s="213">
        <v>700000</v>
      </c>
      <c r="F11" s="22">
        <v>0</v>
      </c>
      <c r="G11" s="213">
        <v>700000</v>
      </c>
    </row>
    <row r="12" spans="1:7" ht="20.100000000000001" customHeight="1">
      <c r="A12" s="27">
        <v>7</v>
      </c>
      <c r="B12" s="133" t="s">
        <v>37</v>
      </c>
      <c r="C12" s="205" t="s">
        <v>38</v>
      </c>
      <c r="D12" s="23" t="s">
        <v>107</v>
      </c>
      <c r="E12" s="213">
        <v>700000</v>
      </c>
      <c r="F12" s="22">
        <v>0</v>
      </c>
      <c r="G12" s="213">
        <v>700000</v>
      </c>
    </row>
    <row r="13" spans="1:7" ht="20.100000000000001" customHeight="1">
      <c r="A13" s="27">
        <v>8</v>
      </c>
      <c r="B13" s="135" t="s">
        <v>39</v>
      </c>
      <c r="C13" s="204" t="s">
        <v>40</v>
      </c>
      <c r="D13" s="23" t="s">
        <v>107</v>
      </c>
      <c r="E13" s="213">
        <v>700000</v>
      </c>
      <c r="F13" s="22">
        <v>0</v>
      </c>
      <c r="G13" s="213">
        <v>700000</v>
      </c>
    </row>
    <row r="14" spans="1:7" ht="20.100000000000001" customHeight="1">
      <c r="A14" s="27">
        <v>9</v>
      </c>
      <c r="B14" s="133" t="s">
        <v>43</v>
      </c>
      <c r="C14" s="203" t="s">
        <v>44</v>
      </c>
      <c r="D14" s="158" t="s">
        <v>45</v>
      </c>
      <c r="E14" s="213">
        <v>700000</v>
      </c>
      <c r="F14" s="22">
        <v>0</v>
      </c>
      <c r="G14" s="213">
        <v>700000</v>
      </c>
    </row>
    <row r="15" spans="1:7" ht="20.100000000000001" customHeight="1">
      <c r="A15" s="27">
        <v>10</v>
      </c>
      <c r="B15" s="134" t="s">
        <v>151</v>
      </c>
      <c r="C15" s="203" t="s">
        <v>152</v>
      </c>
      <c r="D15" s="27" t="s">
        <v>133</v>
      </c>
      <c r="E15" s="213">
        <v>700000</v>
      </c>
      <c r="F15" s="22">
        <v>0</v>
      </c>
      <c r="G15" s="213">
        <v>700000</v>
      </c>
    </row>
    <row r="16" spans="1:7" ht="20.100000000000001" customHeight="1">
      <c r="A16" s="27">
        <v>11</v>
      </c>
      <c r="B16" s="137" t="s">
        <v>564</v>
      </c>
      <c r="C16" s="204" t="s">
        <v>565</v>
      </c>
      <c r="D16" s="23" t="s">
        <v>54</v>
      </c>
      <c r="E16" s="213">
        <v>500000</v>
      </c>
      <c r="F16" s="22">
        <v>0</v>
      </c>
      <c r="G16" s="213">
        <v>500000</v>
      </c>
    </row>
    <row r="17" spans="1:7" ht="19.5" customHeight="1">
      <c r="A17" s="27">
        <v>12</v>
      </c>
      <c r="B17" s="135" t="s">
        <v>467</v>
      </c>
      <c r="C17" s="204" t="s">
        <v>50</v>
      </c>
      <c r="D17" s="27" t="s">
        <v>54</v>
      </c>
      <c r="E17" s="213">
        <v>500000</v>
      </c>
      <c r="F17" s="22">
        <v>0</v>
      </c>
      <c r="G17" s="213">
        <v>500000</v>
      </c>
    </row>
    <row r="18" spans="1:7" ht="19.5" customHeight="1">
      <c r="A18" s="27">
        <v>13</v>
      </c>
      <c r="B18" s="135" t="s">
        <v>566</v>
      </c>
      <c r="C18" s="204" t="s">
        <v>567</v>
      </c>
      <c r="D18" s="27" t="s">
        <v>54</v>
      </c>
      <c r="E18" s="213">
        <v>500000</v>
      </c>
      <c r="F18" s="22">
        <v>0</v>
      </c>
      <c r="G18" s="213">
        <v>500000</v>
      </c>
    </row>
    <row r="19" spans="1:7" ht="20.100000000000001" customHeight="1">
      <c r="A19" s="27">
        <v>14</v>
      </c>
      <c r="B19" s="133" t="s">
        <v>49</v>
      </c>
      <c r="C19" s="204" t="s">
        <v>50</v>
      </c>
      <c r="D19" s="158" t="s">
        <v>54</v>
      </c>
      <c r="E19" s="213">
        <v>500000</v>
      </c>
      <c r="F19" s="22">
        <v>0</v>
      </c>
      <c r="G19" s="213">
        <v>500000</v>
      </c>
    </row>
    <row r="20" spans="1:7" ht="20.100000000000001" customHeight="1">
      <c r="A20" s="27">
        <v>15</v>
      </c>
      <c r="B20" s="133" t="s">
        <v>58</v>
      </c>
      <c r="C20" s="203" t="s">
        <v>59</v>
      </c>
      <c r="D20" s="158" t="s">
        <v>643</v>
      </c>
      <c r="E20" s="213">
        <v>500000</v>
      </c>
      <c r="F20" s="213">
        <v>500000</v>
      </c>
      <c r="G20" s="22">
        <v>0</v>
      </c>
    </row>
    <row r="21" spans="1:7" ht="20.100000000000001" customHeight="1">
      <c r="A21" s="27">
        <v>16</v>
      </c>
      <c r="B21" s="134" t="s">
        <v>61</v>
      </c>
      <c r="C21" s="204" t="s">
        <v>62</v>
      </c>
      <c r="D21" s="158" t="s">
        <v>644</v>
      </c>
      <c r="E21" s="213">
        <v>500000</v>
      </c>
      <c r="F21" s="213">
        <v>500000</v>
      </c>
      <c r="G21" s="22">
        <v>0</v>
      </c>
    </row>
    <row r="22" spans="1:7" ht="20.100000000000001" customHeight="1">
      <c r="A22" s="27">
        <v>17</v>
      </c>
      <c r="B22" s="133" t="s">
        <v>206</v>
      </c>
      <c r="C22" s="203" t="s">
        <v>207</v>
      </c>
      <c r="D22" s="158" t="s">
        <v>66</v>
      </c>
      <c r="E22" s="213">
        <v>400000</v>
      </c>
      <c r="F22" s="213">
        <v>400000</v>
      </c>
      <c r="G22" s="22">
        <v>0</v>
      </c>
    </row>
    <row r="23" spans="1:7" ht="18.75" customHeight="1">
      <c r="A23" s="27">
        <v>18</v>
      </c>
      <c r="B23" s="133" t="s">
        <v>64</v>
      </c>
      <c r="C23" s="203" t="s">
        <v>65</v>
      </c>
      <c r="D23" s="158" t="s">
        <v>69</v>
      </c>
      <c r="E23" s="213">
        <v>400000</v>
      </c>
      <c r="F23" s="213">
        <v>400000</v>
      </c>
      <c r="G23" s="22">
        <v>0</v>
      </c>
    </row>
    <row r="24" spans="1:7" ht="18.75" customHeight="1">
      <c r="A24" s="27">
        <v>19</v>
      </c>
      <c r="B24" s="133" t="s">
        <v>204</v>
      </c>
      <c r="C24" s="204" t="s">
        <v>205</v>
      </c>
      <c r="D24" s="158" t="s">
        <v>69</v>
      </c>
      <c r="E24" s="213">
        <v>400000</v>
      </c>
      <c r="F24" s="213">
        <v>400000</v>
      </c>
      <c r="G24" s="22">
        <v>0</v>
      </c>
    </row>
    <row r="25" spans="1:7" ht="18.75" customHeight="1">
      <c r="A25" s="27">
        <v>20</v>
      </c>
      <c r="B25" s="134" t="s">
        <v>252</v>
      </c>
      <c r="C25" s="204" t="s">
        <v>584</v>
      </c>
      <c r="D25" s="158" t="s">
        <v>257</v>
      </c>
      <c r="E25" s="213">
        <v>300000</v>
      </c>
      <c r="F25" s="213">
        <v>300000</v>
      </c>
      <c r="G25" s="22">
        <v>0</v>
      </c>
    </row>
    <row r="26" spans="1:7" ht="18.75" customHeight="1">
      <c r="A26" s="27">
        <v>21</v>
      </c>
      <c r="B26" s="134" t="s">
        <v>568</v>
      </c>
      <c r="C26" s="203" t="s">
        <v>88</v>
      </c>
      <c r="D26" s="158" t="s">
        <v>157</v>
      </c>
      <c r="E26" s="213">
        <v>300000</v>
      </c>
      <c r="F26" s="213">
        <v>300000</v>
      </c>
      <c r="G26" s="22">
        <v>0</v>
      </c>
    </row>
    <row r="27" spans="1:7" ht="18.75" customHeight="1">
      <c r="A27" s="27">
        <v>22</v>
      </c>
      <c r="B27" s="19" t="s">
        <v>73</v>
      </c>
      <c r="C27" s="204" t="s">
        <v>74</v>
      </c>
      <c r="D27" s="27" t="s">
        <v>79</v>
      </c>
      <c r="E27" s="213">
        <v>300000</v>
      </c>
      <c r="F27" s="213">
        <v>300000</v>
      </c>
      <c r="G27" s="22">
        <v>0</v>
      </c>
    </row>
    <row r="28" spans="1:7" ht="18.75" customHeight="1">
      <c r="A28" s="27">
        <v>23</v>
      </c>
      <c r="B28" s="134" t="s">
        <v>76</v>
      </c>
      <c r="C28" s="203" t="s">
        <v>74</v>
      </c>
      <c r="D28" s="158" t="s">
        <v>79</v>
      </c>
      <c r="E28" s="213">
        <v>300000</v>
      </c>
      <c r="F28" s="213">
        <v>300000</v>
      </c>
      <c r="G28" s="22">
        <v>0</v>
      </c>
    </row>
    <row r="29" spans="1:7" ht="18.75" customHeight="1">
      <c r="A29" s="27">
        <v>24</v>
      </c>
      <c r="B29" s="133" t="s">
        <v>468</v>
      </c>
      <c r="C29" s="203" t="s">
        <v>469</v>
      </c>
      <c r="D29" s="158" t="s">
        <v>79</v>
      </c>
      <c r="E29" s="213">
        <v>300000</v>
      </c>
      <c r="F29" s="213">
        <v>300000</v>
      </c>
      <c r="G29" s="22">
        <v>0</v>
      </c>
    </row>
    <row r="30" spans="1:7" ht="18.75" customHeight="1">
      <c r="A30" s="27">
        <v>25</v>
      </c>
      <c r="B30" s="134" t="s">
        <v>77</v>
      </c>
      <c r="C30" s="203" t="s">
        <v>412</v>
      </c>
      <c r="D30" s="158" t="s">
        <v>647</v>
      </c>
      <c r="E30" s="213">
        <v>300000</v>
      </c>
      <c r="F30" s="213">
        <v>300000</v>
      </c>
      <c r="G30" s="22">
        <v>0</v>
      </c>
    </row>
    <row r="31" spans="1:7" ht="18.75" customHeight="1">
      <c r="A31" s="27">
        <v>26</v>
      </c>
      <c r="B31" s="133" t="s">
        <v>185</v>
      </c>
      <c r="C31" s="205" t="s">
        <v>586</v>
      </c>
      <c r="D31" s="158" t="s">
        <v>648</v>
      </c>
      <c r="E31" s="213">
        <v>300000</v>
      </c>
      <c r="F31" s="213">
        <v>300000</v>
      </c>
      <c r="G31" s="22">
        <v>0</v>
      </c>
    </row>
    <row r="32" spans="1:7" ht="18.75" customHeight="1">
      <c r="A32" s="27">
        <v>27</v>
      </c>
      <c r="B32" s="134" t="s">
        <v>80</v>
      </c>
      <c r="C32" s="204" t="s">
        <v>470</v>
      </c>
      <c r="D32" s="27" t="s">
        <v>648</v>
      </c>
      <c r="E32" s="213">
        <v>300000</v>
      </c>
      <c r="F32" s="213">
        <v>300000</v>
      </c>
      <c r="G32" s="22">
        <v>0</v>
      </c>
    </row>
    <row r="33" spans="1:7" ht="18.75" customHeight="1">
      <c r="A33" s="27">
        <v>28</v>
      </c>
      <c r="B33" s="134" t="s">
        <v>82</v>
      </c>
      <c r="C33" s="205" t="s">
        <v>83</v>
      </c>
      <c r="D33" s="158" t="s">
        <v>79</v>
      </c>
      <c r="E33" s="213">
        <v>300000</v>
      </c>
      <c r="F33" s="213">
        <v>300000</v>
      </c>
      <c r="G33" s="22">
        <v>0</v>
      </c>
    </row>
    <row r="34" spans="1:7" ht="18.75" customHeight="1">
      <c r="A34" s="27">
        <v>29</v>
      </c>
      <c r="B34" s="134" t="s">
        <v>708</v>
      </c>
      <c r="C34" s="205" t="s">
        <v>83</v>
      </c>
      <c r="D34" s="158" t="s">
        <v>90</v>
      </c>
      <c r="E34" s="213">
        <v>300000</v>
      </c>
      <c r="F34" s="213">
        <v>300000</v>
      </c>
      <c r="G34" s="22">
        <v>0</v>
      </c>
    </row>
    <row r="35" spans="1:7" ht="18.75" customHeight="1">
      <c r="A35" s="27">
        <v>30</v>
      </c>
      <c r="B35" s="134" t="s">
        <v>84</v>
      </c>
      <c r="C35" s="204" t="s">
        <v>587</v>
      </c>
      <c r="D35" s="27" t="s">
        <v>90</v>
      </c>
      <c r="E35" s="213">
        <v>300000</v>
      </c>
      <c r="F35" s="213">
        <v>300000</v>
      </c>
      <c r="G35" s="22">
        <v>0</v>
      </c>
    </row>
    <row r="36" spans="1:7" ht="18.75" customHeight="1">
      <c r="A36" s="27">
        <v>31</v>
      </c>
      <c r="B36" s="134" t="s">
        <v>87</v>
      </c>
      <c r="C36" s="203" t="s">
        <v>88</v>
      </c>
      <c r="D36" s="158" t="s">
        <v>90</v>
      </c>
      <c r="E36" s="213">
        <v>300000</v>
      </c>
      <c r="F36" s="213">
        <v>300000</v>
      </c>
      <c r="G36" s="22">
        <v>0</v>
      </c>
    </row>
    <row r="37" spans="1:7" ht="18.75" customHeight="1">
      <c r="A37" s="27">
        <v>32</v>
      </c>
      <c r="B37" s="134" t="s">
        <v>569</v>
      </c>
      <c r="C37" s="203" t="s">
        <v>88</v>
      </c>
      <c r="D37" s="158" t="s">
        <v>90</v>
      </c>
      <c r="E37" s="213">
        <v>300000</v>
      </c>
      <c r="F37" s="213">
        <v>300000</v>
      </c>
      <c r="G37" s="22">
        <v>0</v>
      </c>
    </row>
    <row r="38" spans="1:7" ht="26.25" customHeight="1">
      <c r="A38" s="27"/>
      <c r="B38" s="136" t="s">
        <v>91</v>
      </c>
      <c r="C38" s="206">
        <v>29</v>
      </c>
      <c r="D38" s="158"/>
      <c r="E38" s="214">
        <f>SUM(E6:E37)</f>
        <v>15700000</v>
      </c>
      <c r="F38" s="214">
        <f>SUM(F6:F37)</f>
        <v>6100000</v>
      </c>
      <c r="G38" s="214">
        <f t="shared" ref="G38" si="1">SUM(G6:G37)</f>
        <v>9600000</v>
      </c>
    </row>
    <row r="39" spans="1:7" ht="18.75" customHeight="1">
      <c r="A39" s="27"/>
      <c r="B39" s="103"/>
      <c r="C39" s="204"/>
      <c r="D39" s="158"/>
      <c r="E39" s="214"/>
      <c r="F39" s="213"/>
      <c r="G39" s="214"/>
    </row>
    <row r="40" spans="1:7" ht="18.75" customHeight="1">
      <c r="A40" s="27"/>
      <c r="B40" s="136" t="s">
        <v>92</v>
      </c>
      <c r="C40" s="204"/>
      <c r="D40" s="158"/>
      <c r="E40" s="213"/>
      <c r="F40" s="213"/>
      <c r="G40" s="213"/>
    </row>
    <row r="41" spans="1:7" ht="18.75" customHeight="1">
      <c r="A41" s="27">
        <v>1</v>
      </c>
      <c r="B41" s="134" t="s">
        <v>93</v>
      </c>
      <c r="C41" s="204" t="s">
        <v>94</v>
      </c>
      <c r="D41" s="27" t="s">
        <v>650</v>
      </c>
      <c r="E41" s="213">
        <v>1000000</v>
      </c>
      <c r="F41" s="22">
        <v>0</v>
      </c>
      <c r="G41" s="213">
        <v>1000000</v>
      </c>
    </row>
    <row r="42" spans="1:7" ht="18.75" customHeight="1">
      <c r="A42" s="27">
        <v>2</v>
      </c>
      <c r="B42" s="134" t="s">
        <v>96</v>
      </c>
      <c r="C42" s="204" t="s">
        <v>97</v>
      </c>
      <c r="D42" s="27" t="s">
        <v>90</v>
      </c>
      <c r="E42" s="213">
        <v>300000</v>
      </c>
      <c r="F42" s="213">
        <v>300000</v>
      </c>
      <c r="G42" s="22">
        <v>0</v>
      </c>
    </row>
    <row r="43" spans="1:7" ht="19.5" customHeight="1">
      <c r="A43" s="27"/>
      <c r="B43" s="135"/>
      <c r="C43" s="206">
        <v>2</v>
      </c>
      <c r="D43" s="27"/>
      <c r="E43" s="214">
        <f>SUM(E41:E42)</f>
        <v>1300000</v>
      </c>
      <c r="F43" s="214">
        <f t="shared" ref="F43:G43" si="2">SUM(F41:F42)</f>
        <v>300000</v>
      </c>
      <c r="G43" s="214">
        <f t="shared" si="2"/>
        <v>1000000</v>
      </c>
    </row>
    <row r="44" spans="1:7" ht="20.100000000000001" customHeight="1">
      <c r="A44" s="27"/>
      <c r="B44" s="135"/>
      <c r="C44" s="204"/>
      <c r="D44" s="27"/>
      <c r="E44" s="213"/>
      <c r="F44" s="213"/>
      <c r="G44" s="213"/>
    </row>
    <row r="45" spans="1:7" ht="20.100000000000001" customHeight="1">
      <c r="A45" s="27"/>
      <c r="B45" s="162" t="s">
        <v>100</v>
      </c>
      <c r="C45" s="207"/>
      <c r="D45" s="151"/>
      <c r="E45" s="213"/>
      <c r="F45" s="213"/>
      <c r="G45" s="213"/>
    </row>
    <row r="46" spans="1:7" ht="20.100000000000001" customHeight="1">
      <c r="A46" s="27">
        <v>1</v>
      </c>
      <c r="B46" s="133" t="s">
        <v>101</v>
      </c>
      <c r="C46" s="204" t="s">
        <v>102</v>
      </c>
      <c r="D46" s="27" t="s">
        <v>95</v>
      </c>
      <c r="E46" s="213">
        <v>1000000</v>
      </c>
      <c r="F46" s="22">
        <v>0</v>
      </c>
      <c r="G46" s="213">
        <v>1000000</v>
      </c>
    </row>
    <row r="47" spans="1:7" ht="20.100000000000001" customHeight="1">
      <c r="A47" s="27">
        <v>2</v>
      </c>
      <c r="B47" s="133" t="s">
        <v>103</v>
      </c>
      <c r="C47" s="204" t="s">
        <v>104</v>
      </c>
      <c r="D47" s="27" t="s">
        <v>45</v>
      </c>
      <c r="E47" s="213">
        <v>700000</v>
      </c>
      <c r="F47" s="22">
        <v>0</v>
      </c>
      <c r="G47" s="213">
        <v>700000</v>
      </c>
    </row>
    <row r="48" spans="1:7" ht="20.100000000000001" customHeight="1">
      <c r="A48" s="27">
        <v>3</v>
      </c>
      <c r="B48" s="133" t="s">
        <v>105</v>
      </c>
      <c r="C48" s="204" t="s">
        <v>109</v>
      </c>
      <c r="D48" s="27" t="s">
        <v>45</v>
      </c>
      <c r="E48" s="213">
        <v>700000</v>
      </c>
      <c r="F48" s="22">
        <v>0</v>
      </c>
      <c r="G48" s="213">
        <v>700000</v>
      </c>
    </row>
    <row r="49" spans="1:7" ht="20.100000000000001" customHeight="1">
      <c r="A49" s="27">
        <v>4</v>
      </c>
      <c r="B49" s="133" t="s">
        <v>108</v>
      </c>
      <c r="C49" s="204" t="s">
        <v>109</v>
      </c>
      <c r="D49" s="27" t="s">
        <v>111</v>
      </c>
      <c r="E49" s="213">
        <v>700000</v>
      </c>
      <c r="F49" s="22">
        <v>0</v>
      </c>
      <c r="G49" s="213">
        <v>700000</v>
      </c>
    </row>
    <row r="50" spans="1:7" ht="20.100000000000001" customHeight="1">
      <c r="A50" s="27">
        <v>5</v>
      </c>
      <c r="B50" s="133" t="s">
        <v>110</v>
      </c>
      <c r="C50" s="204" t="s">
        <v>109</v>
      </c>
      <c r="D50" s="27" t="s">
        <v>48</v>
      </c>
      <c r="E50" s="213">
        <v>700000</v>
      </c>
      <c r="F50" s="22">
        <v>0</v>
      </c>
      <c r="G50" s="213">
        <v>700000</v>
      </c>
    </row>
    <row r="51" spans="1:7" ht="20.100000000000001" customHeight="1">
      <c r="A51" s="27">
        <v>6</v>
      </c>
      <c r="B51" s="133" t="s">
        <v>112</v>
      </c>
      <c r="C51" s="204" t="s">
        <v>115</v>
      </c>
      <c r="D51" s="27" t="s">
        <v>54</v>
      </c>
      <c r="E51" s="213">
        <v>500000</v>
      </c>
      <c r="F51" s="22">
        <v>0</v>
      </c>
      <c r="G51" s="213">
        <v>500000</v>
      </c>
    </row>
    <row r="52" spans="1:7" ht="20.100000000000001" customHeight="1">
      <c r="A52" s="27">
        <v>7</v>
      </c>
      <c r="B52" s="135" t="s">
        <v>113</v>
      </c>
      <c r="C52" s="204" t="s">
        <v>53</v>
      </c>
      <c r="D52" s="23" t="s">
        <v>54</v>
      </c>
      <c r="E52" s="213">
        <v>500000</v>
      </c>
      <c r="F52" s="22">
        <v>0</v>
      </c>
      <c r="G52" s="213">
        <v>500000</v>
      </c>
    </row>
    <row r="53" spans="1:7" ht="20.100000000000001" customHeight="1">
      <c r="A53" s="27">
        <v>8</v>
      </c>
      <c r="B53" s="133" t="s">
        <v>473</v>
      </c>
      <c r="C53" s="204" t="s">
        <v>53</v>
      </c>
      <c r="D53" s="27" t="s">
        <v>116</v>
      </c>
      <c r="E53" s="213">
        <v>500000</v>
      </c>
      <c r="F53" s="22">
        <v>0</v>
      </c>
      <c r="G53" s="213">
        <v>500000</v>
      </c>
    </row>
    <row r="54" spans="1:7" ht="20.100000000000001" customHeight="1">
      <c r="A54" s="27">
        <v>9</v>
      </c>
      <c r="B54" s="133" t="s">
        <v>114</v>
      </c>
      <c r="C54" s="204" t="s">
        <v>167</v>
      </c>
      <c r="D54" s="27" t="s">
        <v>60</v>
      </c>
      <c r="E54" s="213">
        <v>500000</v>
      </c>
      <c r="F54" s="213">
        <v>500000</v>
      </c>
      <c r="G54" s="22">
        <v>0</v>
      </c>
    </row>
    <row r="55" spans="1:7" ht="20.100000000000001" customHeight="1">
      <c r="A55" s="27">
        <v>10</v>
      </c>
      <c r="B55" s="133" t="s">
        <v>119</v>
      </c>
      <c r="C55" s="204" t="s">
        <v>118</v>
      </c>
      <c r="D55" s="27" t="s">
        <v>79</v>
      </c>
      <c r="E55" s="213">
        <v>300000</v>
      </c>
      <c r="F55" s="213">
        <v>300000</v>
      </c>
      <c r="G55" s="22">
        <v>0</v>
      </c>
    </row>
    <row r="56" spans="1:7" ht="20.100000000000001" customHeight="1">
      <c r="A56" s="27">
        <v>11</v>
      </c>
      <c r="B56" s="133" t="s">
        <v>120</v>
      </c>
      <c r="C56" s="204" t="s">
        <v>118</v>
      </c>
      <c r="D56" s="27" t="s">
        <v>79</v>
      </c>
      <c r="E56" s="213">
        <v>300000</v>
      </c>
      <c r="F56" s="213">
        <v>300000</v>
      </c>
      <c r="G56" s="22">
        <v>0</v>
      </c>
    </row>
    <row r="57" spans="1:7" ht="20.100000000000001" customHeight="1">
      <c r="A57" s="27">
        <v>12</v>
      </c>
      <c r="B57" s="133" t="s">
        <v>121</v>
      </c>
      <c r="C57" s="204" t="s">
        <v>118</v>
      </c>
      <c r="D57" s="27" t="s">
        <v>79</v>
      </c>
      <c r="E57" s="213">
        <v>300000</v>
      </c>
      <c r="F57" s="213">
        <v>300000</v>
      </c>
      <c r="G57" s="22">
        <v>0</v>
      </c>
    </row>
    <row r="58" spans="1:7" ht="25.5" customHeight="1">
      <c r="A58" s="27"/>
      <c r="B58" s="136" t="s">
        <v>91</v>
      </c>
      <c r="C58" s="206">
        <v>11</v>
      </c>
      <c r="D58" s="28"/>
      <c r="E58" s="215">
        <f>SUM(E46:E57)</f>
        <v>6700000</v>
      </c>
      <c r="F58" s="215">
        <f t="shared" ref="F58:G58" si="3">SUM(F46:F57)</f>
        <v>1400000</v>
      </c>
      <c r="G58" s="215">
        <f t="shared" si="3"/>
        <v>5300000</v>
      </c>
    </row>
    <row r="59" spans="1:7" ht="20.100000000000001" customHeight="1">
      <c r="A59" s="27"/>
      <c r="B59" s="103"/>
      <c r="C59" s="206"/>
      <c r="D59" s="28"/>
      <c r="E59" s="216"/>
      <c r="F59" s="216"/>
      <c r="G59" s="216"/>
    </row>
    <row r="60" spans="1:7" ht="20.100000000000001" customHeight="1">
      <c r="A60" s="27"/>
      <c r="B60" s="136" t="s">
        <v>122</v>
      </c>
      <c r="C60" s="206"/>
      <c r="D60" s="28"/>
      <c r="E60" s="216"/>
      <c r="F60" s="216"/>
      <c r="G60" s="216"/>
    </row>
    <row r="61" spans="1:7" ht="20.100000000000001" customHeight="1">
      <c r="A61" s="27">
        <v>1</v>
      </c>
      <c r="B61" s="133" t="s">
        <v>123</v>
      </c>
      <c r="C61" s="203" t="s">
        <v>124</v>
      </c>
      <c r="D61" s="158" t="s">
        <v>95</v>
      </c>
      <c r="E61" s="213">
        <f>1000000/2</f>
        <v>500000</v>
      </c>
      <c r="F61" s="22">
        <v>0</v>
      </c>
      <c r="G61" s="213">
        <f t="shared" ref="G61" si="4">1000000/2</f>
        <v>500000</v>
      </c>
    </row>
    <row r="62" spans="1:7" ht="20.100000000000001" customHeight="1">
      <c r="A62" s="27"/>
      <c r="B62" s="136" t="s">
        <v>91</v>
      </c>
      <c r="C62" s="206">
        <v>2</v>
      </c>
      <c r="D62" s="28"/>
      <c r="E62" s="215">
        <f>SUM(E61)</f>
        <v>500000</v>
      </c>
      <c r="F62" s="65">
        <f t="shared" ref="F62:G62" si="5">SUM(F61)</f>
        <v>0</v>
      </c>
      <c r="G62" s="215">
        <f t="shared" si="5"/>
        <v>500000</v>
      </c>
    </row>
    <row r="63" spans="1:7" ht="20.100000000000001" customHeight="1">
      <c r="A63" s="27"/>
      <c r="B63" s="136"/>
      <c r="C63" s="206"/>
      <c r="D63" s="28"/>
      <c r="E63" s="216"/>
      <c r="F63" s="216"/>
      <c r="G63" s="216"/>
    </row>
    <row r="64" spans="1:7" ht="20.100000000000001" customHeight="1">
      <c r="A64" s="27"/>
      <c r="B64" s="136" t="s">
        <v>128</v>
      </c>
      <c r="C64" s="206"/>
      <c r="D64" s="28"/>
      <c r="E64" s="216"/>
      <c r="F64" s="216"/>
      <c r="G64" s="216"/>
    </row>
    <row r="65" spans="1:7" ht="20.100000000000001" customHeight="1">
      <c r="A65" s="27">
        <v>1</v>
      </c>
      <c r="B65" s="133" t="s">
        <v>129</v>
      </c>
      <c r="C65" s="205" t="s">
        <v>130</v>
      </c>
      <c r="D65" s="27" t="s">
        <v>95</v>
      </c>
      <c r="E65" s="217">
        <f>1000000/2</f>
        <v>500000</v>
      </c>
      <c r="F65" s="24">
        <v>0</v>
      </c>
      <c r="G65" s="217">
        <f t="shared" ref="G65" si="6">1000000/2</f>
        <v>500000</v>
      </c>
    </row>
    <row r="66" spans="1:7" ht="20.100000000000001" customHeight="1">
      <c r="A66" s="27">
        <v>2</v>
      </c>
      <c r="B66" s="134" t="s">
        <v>131</v>
      </c>
      <c r="C66" s="205" t="s">
        <v>132</v>
      </c>
      <c r="D66" s="158" t="s">
        <v>133</v>
      </c>
      <c r="E66" s="213">
        <f>700000/2</f>
        <v>350000</v>
      </c>
      <c r="F66" s="24">
        <v>0</v>
      </c>
      <c r="G66" s="213">
        <f t="shared" ref="G66" si="7">700000/2</f>
        <v>350000</v>
      </c>
    </row>
    <row r="67" spans="1:7" ht="20.100000000000001" customHeight="1">
      <c r="A67" s="27">
        <v>3</v>
      </c>
      <c r="B67" s="133" t="s">
        <v>134</v>
      </c>
      <c r="C67" s="204" t="s">
        <v>136</v>
      </c>
      <c r="D67" s="27" t="s">
        <v>60</v>
      </c>
      <c r="E67" s="217">
        <v>500000</v>
      </c>
      <c r="F67" s="217">
        <v>500000</v>
      </c>
      <c r="G67" s="24">
        <v>0</v>
      </c>
    </row>
    <row r="68" spans="1:7" ht="20.100000000000001" customHeight="1">
      <c r="A68" s="27">
        <v>4</v>
      </c>
      <c r="B68" s="134" t="s">
        <v>135</v>
      </c>
      <c r="C68" s="205" t="s">
        <v>136</v>
      </c>
      <c r="D68" s="158" t="s">
        <v>643</v>
      </c>
      <c r="E68" s="217">
        <v>500000</v>
      </c>
      <c r="F68" s="217">
        <v>500000</v>
      </c>
      <c r="G68" s="24">
        <v>0</v>
      </c>
    </row>
    <row r="69" spans="1:7" ht="20.100000000000001" customHeight="1">
      <c r="A69" s="27">
        <v>5</v>
      </c>
      <c r="B69" s="135" t="s">
        <v>137</v>
      </c>
      <c r="C69" s="205" t="s">
        <v>53</v>
      </c>
      <c r="D69" s="158" t="s">
        <v>54</v>
      </c>
      <c r="E69" s="217">
        <v>500000</v>
      </c>
      <c r="F69" s="24">
        <v>0</v>
      </c>
      <c r="G69" s="217">
        <v>500000</v>
      </c>
    </row>
    <row r="70" spans="1:7" ht="20.100000000000001" customHeight="1">
      <c r="A70" s="27">
        <v>6</v>
      </c>
      <c r="B70" s="133" t="s">
        <v>138</v>
      </c>
      <c r="C70" s="204" t="s">
        <v>118</v>
      </c>
      <c r="D70" s="27" t="s">
        <v>652</v>
      </c>
      <c r="E70" s="213">
        <v>300000</v>
      </c>
      <c r="F70" s="217">
        <v>300000</v>
      </c>
      <c r="G70" s="24">
        <v>0</v>
      </c>
    </row>
    <row r="71" spans="1:7" ht="20.100000000000001" customHeight="1">
      <c r="A71" s="27">
        <v>7</v>
      </c>
      <c r="B71" s="133" t="s">
        <v>202</v>
      </c>
      <c r="C71" s="205" t="s">
        <v>140</v>
      </c>
      <c r="D71" s="158" t="s">
        <v>66</v>
      </c>
      <c r="E71" s="213">
        <v>400000</v>
      </c>
      <c r="F71" s="217">
        <v>400000</v>
      </c>
      <c r="G71" s="22">
        <v>0</v>
      </c>
    </row>
    <row r="72" spans="1:7" ht="20.100000000000001" customHeight="1">
      <c r="A72" s="27">
        <v>8</v>
      </c>
      <c r="B72" s="133" t="s">
        <v>139</v>
      </c>
      <c r="C72" s="205" t="s">
        <v>140</v>
      </c>
      <c r="D72" s="158" t="s">
        <v>69</v>
      </c>
      <c r="E72" s="213">
        <v>400000</v>
      </c>
      <c r="F72" s="217">
        <v>400000</v>
      </c>
      <c r="G72" s="22">
        <v>0</v>
      </c>
    </row>
    <row r="73" spans="1:7" ht="20.100000000000001" customHeight="1">
      <c r="A73" s="27">
        <v>9</v>
      </c>
      <c r="B73" s="133" t="s">
        <v>141</v>
      </c>
      <c r="C73" s="205" t="s">
        <v>140</v>
      </c>
      <c r="D73" s="158" t="s">
        <v>69</v>
      </c>
      <c r="E73" s="213">
        <v>400000</v>
      </c>
      <c r="F73" s="217">
        <v>400000</v>
      </c>
      <c r="G73" s="22">
        <v>0</v>
      </c>
    </row>
    <row r="74" spans="1:7" ht="20.100000000000001" customHeight="1">
      <c r="A74" s="27">
        <v>10</v>
      </c>
      <c r="B74" s="133" t="s">
        <v>142</v>
      </c>
      <c r="C74" s="204" t="s">
        <v>143</v>
      </c>
      <c r="D74" s="27" t="s">
        <v>69</v>
      </c>
      <c r="E74" s="213">
        <v>400000</v>
      </c>
      <c r="F74" s="217">
        <v>400000</v>
      </c>
      <c r="G74" s="22">
        <v>0</v>
      </c>
    </row>
    <row r="75" spans="1:7" ht="20.100000000000001" customHeight="1">
      <c r="A75" s="27">
        <v>11</v>
      </c>
      <c r="B75" s="133" t="s">
        <v>570</v>
      </c>
      <c r="C75" s="205" t="s">
        <v>118</v>
      </c>
      <c r="D75" s="27" t="s">
        <v>72</v>
      </c>
      <c r="E75" s="213">
        <v>300000</v>
      </c>
      <c r="F75" s="217">
        <v>300000</v>
      </c>
      <c r="G75" s="22">
        <v>0</v>
      </c>
    </row>
    <row r="76" spans="1:7" ht="20.100000000000001" customHeight="1">
      <c r="A76" s="27">
        <v>12</v>
      </c>
      <c r="B76" s="133" t="s">
        <v>145</v>
      </c>
      <c r="C76" s="205" t="s">
        <v>68</v>
      </c>
      <c r="D76" s="27" t="s">
        <v>79</v>
      </c>
      <c r="E76" s="213">
        <v>300000</v>
      </c>
      <c r="F76" s="217">
        <v>300000</v>
      </c>
      <c r="G76" s="22">
        <v>0</v>
      </c>
    </row>
    <row r="77" spans="1:7" ht="20.100000000000001" customHeight="1">
      <c r="A77" s="27">
        <v>13</v>
      </c>
      <c r="B77" s="135" t="s">
        <v>67</v>
      </c>
      <c r="C77" s="205" t="s">
        <v>68</v>
      </c>
      <c r="D77" s="27" t="s">
        <v>90</v>
      </c>
      <c r="E77" s="213">
        <v>300000</v>
      </c>
      <c r="F77" s="213">
        <v>300000</v>
      </c>
      <c r="G77" s="22">
        <v>0</v>
      </c>
    </row>
    <row r="78" spans="1:7" ht="20.100000000000001" customHeight="1">
      <c r="A78" s="27"/>
      <c r="B78" s="136" t="s">
        <v>91</v>
      </c>
      <c r="C78" s="206">
        <v>13</v>
      </c>
      <c r="D78" s="28"/>
      <c r="E78" s="215">
        <f>SUM(E65:E77)</f>
        <v>5150000</v>
      </c>
      <c r="F78" s="215">
        <f t="shared" ref="F78:G78" si="8">SUM(F65:F77)</f>
        <v>3800000</v>
      </c>
      <c r="G78" s="215">
        <f t="shared" si="8"/>
        <v>1350000</v>
      </c>
    </row>
    <row r="79" spans="1:7" ht="20.100000000000001" customHeight="1">
      <c r="A79" s="27"/>
      <c r="B79" s="103"/>
      <c r="C79" s="206"/>
      <c r="D79" s="28"/>
      <c r="E79" s="216"/>
      <c r="F79" s="216"/>
      <c r="G79" s="216"/>
    </row>
    <row r="80" spans="1:7" ht="20.100000000000001" customHeight="1">
      <c r="A80" s="27"/>
      <c r="B80" s="136" t="s">
        <v>146</v>
      </c>
      <c r="C80" s="206"/>
      <c r="D80" s="28"/>
      <c r="E80" s="216"/>
      <c r="F80" s="216"/>
      <c r="G80" s="216"/>
    </row>
    <row r="81" spans="1:7" ht="20.100000000000001" customHeight="1">
      <c r="A81" s="27">
        <v>1</v>
      </c>
      <c r="B81" s="133" t="s">
        <v>147</v>
      </c>
      <c r="C81" s="204" t="s">
        <v>148</v>
      </c>
      <c r="D81" s="27" t="s">
        <v>95</v>
      </c>
      <c r="E81" s="213">
        <v>1000000</v>
      </c>
      <c r="F81" s="22">
        <v>0</v>
      </c>
      <c r="G81" s="213">
        <v>1000000</v>
      </c>
    </row>
    <row r="82" spans="1:7" ht="20.100000000000001" customHeight="1">
      <c r="A82" s="27">
        <v>2</v>
      </c>
      <c r="B82" s="135" t="s">
        <v>149</v>
      </c>
      <c r="C82" s="204" t="s">
        <v>150</v>
      </c>
      <c r="D82" s="158" t="s">
        <v>133</v>
      </c>
      <c r="E82" s="213">
        <v>700000</v>
      </c>
      <c r="F82" s="22">
        <v>0</v>
      </c>
      <c r="G82" s="213">
        <v>700000</v>
      </c>
    </row>
    <row r="83" spans="1:7" ht="20.100000000000001" customHeight="1">
      <c r="A83" s="27">
        <v>3</v>
      </c>
      <c r="B83" s="135" t="s">
        <v>571</v>
      </c>
      <c r="C83" s="204" t="s">
        <v>572</v>
      </c>
      <c r="D83" s="158" t="s">
        <v>133</v>
      </c>
      <c r="E83" s="213">
        <f>700000/2</f>
        <v>350000</v>
      </c>
      <c r="F83" s="22">
        <v>0</v>
      </c>
      <c r="G83" s="213">
        <f t="shared" ref="G83" si="9">700000/2</f>
        <v>350000</v>
      </c>
    </row>
    <row r="84" spans="1:7" ht="20.100000000000001" customHeight="1">
      <c r="A84" s="27">
        <v>4</v>
      </c>
      <c r="B84" s="133" t="s">
        <v>153</v>
      </c>
      <c r="C84" s="204" t="s">
        <v>414</v>
      </c>
      <c r="D84" s="158" t="s">
        <v>60</v>
      </c>
      <c r="E84" s="213">
        <v>500000</v>
      </c>
      <c r="F84" s="213">
        <v>500000</v>
      </c>
      <c r="G84" s="22">
        <v>0</v>
      </c>
    </row>
    <row r="85" spans="1:7" ht="20.100000000000001" customHeight="1">
      <c r="A85" s="27">
        <v>5</v>
      </c>
      <c r="B85" s="133" t="s">
        <v>155</v>
      </c>
      <c r="C85" s="204" t="s">
        <v>156</v>
      </c>
      <c r="D85" s="27" t="s">
        <v>72</v>
      </c>
      <c r="E85" s="213">
        <v>300000</v>
      </c>
      <c r="F85" s="213">
        <v>300000</v>
      </c>
      <c r="G85" s="22">
        <v>0</v>
      </c>
    </row>
    <row r="86" spans="1:7" ht="20.100000000000001" customHeight="1">
      <c r="A86" s="27"/>
      <c r="B86" s="136" t="s">
        <v>91</v>
      </c>
      <c r="C86" s="206">
        <v>5</v>
      </c>
      <c r="D86" s="28"/>
      <c r="E86" s="215">
        <f>SUM(E81:E85)</f>
        <v>2850000</v>
      </c>
      <c r="F86" s="215">
        <f>SUM(F81:F85)</f>
        <v>800000</v>
      </c>
      <c r="G86" s="215">
        <f t="shared" ref="G86" si="10">SUM(G81:G85)</f>
        <v>2050000</v>
      </c>
    </row>
    <row r="87" spans="1:7" ht="20.100000000000001" customHeight="1">
      <c r="A87" s="27"/>
      <c r="B87" s="136"/>
      <c r="C87" s="206"/>
      <c r="D87" s="28"/>
      <c r="E87" s="213"/>
      <c r="F87" s="213"/>
      <c r="G87" s="213"/>
    </row>
    <row r="88" spans="1:7" ht="20.100000000000001" customHeight="1">
      <c r="A88" s="27"/>
      <c r="B88" s="136" t="s">
        <v>161</v>
      </c>
      <c r="C88" s="208"/>
      <c r="D88" s="28"/>
      <c r="E88" s="213"/>
      <c r="F88" s="213"/>
      <c r="G88" s="213"/>
    </row>
    <row r="89" spans="1:7" ht="20.100000000000001" customHeight="1">
      <c r="A89" s="27">
        <v>1</v>
      </c>
      <c r="B89" s="133" t="s">
        <v>655</v>
      </c>
      <c r="C89" s="204" t="s">
        <v>590</v>
      </c>
      <c r="D89" s="27" t="s">
        <v>36</v>
      </c>
      <c r="E89" s="213">
        <v>700000</v>
      </c>
      <c r="F89" s="22">
        <v>0</v>
      </c>
      <c r="G89" s="213">
        <v>700000</v>
      </c>
    </row>
    <row r="90" spans="1:7" ht="20.100000000000001" customHeight="1">
      <c r="A90" s="27">
        <v>2</v>
      </c>
      <c r="B90" s="133" t="s">
        <v>162</v>
      </c>
      <c r="C90" s="204" t="s">
        <v>109</v>
      </c>
      <c r="D90" s="27" t="s">
        <v>45</v>
      </c>
      <c r="E90" s="213">
        <v>700000</v>
      </c>
      <c r="F90" s="22">
        <v>0</v>
      </c>
      <c r="G90" s="213">
        <v>700000</v>
      </c>
    </row>
    <row r="91" spans="1:7" ht="20.100000000000001" customHeight="1">
      <c r="A91" s="27">
        <v>3</v>
      </c>
      <c r="B91" s="133" t="s">
        <v>163</v>
      </c>
      <c r="C91" s="204" t="s">
        <v>109</v>
      </c>
      <c r="D91" s="27" t="s">
        <v>45</v>
      </c>
      <c r="E91" s="213">
        <v>700000</v>
      </c>
      <c r="F91" s="22">
        <v>0</v>
      </c>
      <c r="G91" s="213">
        <v>700000</v>
      </c>
    </row>
    <row r="92" spans="1:7" ht="20.100000000000001" customHeight="1">
      <c r="A92" s="27">
        <v>4</v>
      </c>
      <c r="B92" s="135" t="s">
        <v>164</v>
      </c>
      <c r="C92" s="204" t="s">
        <v>53</v>
      </c>
      <c r="D92" s="27" t="s">
        <v>51</v>
      </c>
      <c r="E92" s="217">
        <v>500000</v>
      </c>
      <c r="F92" s="22">
        <v>0</v>
      </c>
      <c r="G92" s="217">
        <v>500000</v>
      </c>
    </row>
    <row r="93" spans="1:7" ht="20.100000000000001" customHeight="1">
      <c r="A93" s="27">
        <v>5</v>
      </c>
      <c r="B93" s="133" t="s">
        <v>165</v>
      </c>
      <c r="C93" s="204" t="s">
        <v>115</v>
      </c>
      <c r="D93" s="27" t="s">
        <v>54</v>
      </c>
      <c r="E93" s="217">
        <v>500000</v>
      </c>
      <c r="F93" s="22">
        <v>0</v>
      </c>
      <c r="G93" s="217">
        <v>500000</v>
      </c>
    </row>
    <row r="94" spans="1:7" ht="21.6" customHeight="1">
      <c r="A94" s="27">
        <v>6</v>
      </c>
      <c r="B94" s="133" t="s">
        <v>166</v>
      </c>
      <c r="C94" s="204" t="s">
        <v>167</v>
      </c>
      <c r="D94" s="158" t="s">
        <v>60</v>
      </c>
      <c r="E94" s="217">
        <v>500000</v>
      </c>
      <c r="F94" s="213">
        <v>500000</v>
      </c>
      <c r="G94" s="24">
        <v>0</v>
      </c>
    </row>
    <row r="95" spans="1:7" ht="21.6" customHeight="1">
      <c r="A95" s="27">
        <v>7</v>
      </c>
      <c r="B95" s="133" t="s">
        <v>169</v>
      </c>
      <c r="C95" s="203" t="s">
        <v>136</v>
      </c>
      <c r="D95" s="158" t="s">
        <v>643</v>
      </c>
      <c r="E95" s="217">
        <v>500000</v>
      </c>
      <c r="F95" s="213">
        <v>500000</v>
      </c>
      <c r="G95" s="24">
        <v>0</v>
      </c>
    </row>
    <row r="96" spans="1:7" ht="21.6" customHeight="1">
      <c r="A96" s="27">
        <v>8</v>
      </c>
      <c r="B96" s="133" t="s">
        <v>170</v>
      </c>
      <c r="C96" s="203" t="s">
        <v>136</v>
      </c>
      <c r="D96" s="158" t="s">
        <v>643</v>
      </c>
      <c r="E96" s="217">
        <f>500000/2</f>
        <v>250000</v>
      </c>
      <c r="F96" s="217">
        <f>500000/2</f>
        <v>250000</v>
      </c>
      <c r="G96" s="24">
        <v>0</v>
      </c>
    </row>
    <row r="97" spans="1:7" ht="21.6" customHeight="1">
      <c r="A97" s="27">
        <v>9</v>
      </c>
      <c r="B97" s="133" t="s">
        <v>172</v>
      </c>
      <c r="C97" s="205" t="s">
        <v>140</v>
      </c>
      <c r="D97" s="158" t="s">
        <v>69</v>
      </c>
      <c r="E97" s="213">
        <v>400000</v>
      </c>
      <c r="F97" s="213">
        <v>400000</v>
      </c>
      <c r="G97" s="24">
        <v>0</v>
      </c>
    </row>
    <row r="98" spans="1:7" ht="21.6" customHeight="1">
      <c r="A98" s="27">
        <v>10</v>
      </c>
      <c r="B98" s="133" t="s">
        <v>174</v>
      </c>
      <c r="C98" s="204" t="s">
        <v>175</v>
      </c>
      <c r="D98" s="27" t="s">
        <v>72</v>
      </c>
      <c r="E98" s="213">
        <v>300000</v>
      </c>
      <c r="F98" s="213">
        <v>300000</v>
      </c>
      <c r="G98" s="24">
        <v>0</v>
      </c>
    </row>
    <row r="99" spans="1:7" ht="21.6" customHeight="1">
      <c r="A99" s="27">
        <v>11</v>
      </c>
      <c r="B99" s="133" t="s">
        <v>176</v>
      </c>
      <c r="C99" s="205" t="s">
        <v>177</v>
      </c>
      <c r="D99" s="158" t="s">
        <v>90</v>
      </c>
      <c r="E99" s="213">
        <v>300000</v>
      </c>
      <c r="F99" s="213">
        <v>300000</v>
      </c>
      <c r="G99" s="24">
        <v>0</v>
      </c>
    </row>
    <row r="100" spans="1:7" ht="20.100000000000001" customHeight="1">
      <c r="A100" s="27"/>
      <c r="B100" s="136" t="s">
        <v>91</v>
      </c>
      <c r="C100" s="206">
        <v>10</v>
      </c>
      <c r="D100" s="28"/>
      <c r="E100" s="215">
        <f>SUM(E89:E99)</f>
        <v>5350000</v>
      </c>
      <c r="F100" s="215">
        <f t="shared" ref="F100:G100" si="11">SUM(F89:F99)</f>
        <v>2250000</v>
      </c>
      <c r="G100" s="215">
        <f t="shared" si="11"/>
        <v>3100000</v>
      </c>
    </row>
    <row r="101" spans="1:7" ht="20.100000000000001" customHeight="1">
      <c r="A101" s="27"/>
      <c r="B101" s="103"/>
      <c r="C101" s="206"/>
      <c r="D101" s="28"/>
      <c r="E101" s="216"/>
      <c r="F101" s="216"/>
      <c r="G101" s="216"/>
    </row>
    <row r="102" spans="1:7" ht="20.100000000000001" customHeight="1">
      <c r="A102" s="27"/>
      <c r="B102" s="136" t="s">
        <v>709</v>
      </c>
      <c r="C102" s="206"/>
      <c r="D102" s="28"/>
      <c r="E102" s="216"/>
      <c r="F102" s="216"/>
      <c r="G102" s="216"/>
    </row>
    <row r="103" spans="1:7" ht="20.100000000000001" customHeight="1">
      <c r="A103" s="27">
        <v>1</v>
      </c>
      <c r="B103" s="134" t="s">
        <v>41</v>
      </c>
      <c r="C103" s="209" t="s">
        <v>42</v>
      </c>
      <c r="D103" s="158" t="s">
        <v>36</v>
      </c>
      <c r="E103" s="213">
        <v>700000</v>
      </c>
      <c r="F103" s="22">
        <v>0</v>
      </c>
      <c r="G103" s="213">
        <v>700000</v>
      </c>
    </row>
    <row r="104" spans="1:7" ht="20.100000000000001" customHeight="1">
      <c r="A104" s="27">
        <v>2</v>
      </c>
      <c r="B104" s="133" t="s">
        <v>46</v>
      </c>
      <c r="C104" s="204" t="s">
        <v>182</v>
      </c>
      <c r="D104" s="27" t="s">
        <v>54</v>
      </c>
      <c r="E104" s="213">
        <v>500000</v>
      </c>
      <c r="F104" s="22">
        <v>0</v>
      </c>
      <c r="G104" s="213">
        <v>500000</v>
      </c>
    </row>
    <row r="105" spans="1:7" ht="20.100000000000001" customHeight="1">
      <c r="A105" s="27">
        <v>3</v>
      </c>
      <c r="B105" s="134" t="s">
        <v>591</v>
      </c>
      <c r="C105" s="204" t="s">
        <v>592</v>
      </c>
      <c r="D105" s="158" t="s">
        <v>643</v>
      </c>
      <c r="E105" s="213">
        <v>500000</v>
      </c>
      <c r="F105" s="213">
        <v>500000</v>
      </c>
      <c r="G105" s="22">
        <v>0</v>
      </c>
    </row>
    <row r="106" spans="1:7" ht="20.100000000000001" customHeight="1">
      <c r="A106" s="27">
        <v>4</v>
      </c>
      <c r="B106" s="133" t="s">
        <v>183</v>
      </c>
      <c r="C106" s="204" t="s">
        <v>184</v>
      </c>
      <c r="D106" s="158" t="s">
        <v>69</v>
      </c>
      <c r="E106" s="213">
        <v>400000</v>
      </c>
      <c r="F106" s="213">
        <v>400000</v>
      </c>
      <c r="G106" s="22">
        <v>0</v>
      </c>
    </row>
    <row r="107" spans="1:7" ht="20.100000000000001" customHeight="1">
      <c r="A107" s="19"/>
      <c r="B107" s="136" t="s">
        <v>91</v>
      </c>
      <c r="C107" s="206">
        <v>4</v>
      </c>
      <c r="D107" s="164"/>
      <c r="E107" s="215">
        <f>SUM(E103:E106)</f>
        <v>2100000</v>
      </c>
      <c r="F107" s="215">
        <f t="shared" ref="F107:G107" si="12">SUM(F103:F106)</f>
        <v>900000</v>
      </c>
      <c r="G107" s="215">
        <f t="shared" si="12"/>
        <v>1200000</v>
      </c>
    </row>
    <row r="108" spans="1:7" ht="20.100000000000001" customHeight="1">
      <c r="A108" s="19"/>
      <c r="B108" s="103"/>
      <c r="C108" s="206"/>
      <c r="D108" s="164"/>
      <c r="E108" s="216"/>
      <c r="F108" s="216"/>
      <c r="G108" s="216"/>
    </row>
    <row r="109" spans="1:7" ht="20.100000000000001" customHeight="1">
      <c r="A109" s="19"/>
      <c r="B109" s="136" t="s">
        <v>187</v>
      </c>
      <c r="C109" s="204"/>
      <c r="D109" s="19"/>
      <c r="E109" s="218"/>
      <c r="F109" s="218"/>
      <c r="G109" s="218"/>
    </row>
    <row r="110" spans="1:7" ht="20.100000000000001" customHeight="1">
      <c r="A110" s="19">
        <v>1</v>
      </c>
      <c r="B110" s="133" t="s">
        <v>188</v>
      </c>
      <c r="C110" s="203" t="s">
        <v>189</v>
      </c>
      <c r="D110" s="158" t="s">
        <v>95</v>
      </c>
      <c r="E110" s="213">
        <v>1000000</v>
      </c>
      <c r="F110" s="22">
        <v>0</v>
      </c>
      <c r="G110" s="213">
        <v>1000000</v>
      </c>
    </row>
    <row r="111" spans="1:7" ht="20.100000000000001" customHeight="1">
      <c r="A111" s="19">
        <v>2</v>
      </c>
      <c r="B111" s="133" t="s">
        <v>190</v>
      </c>
      <c r="C111" s="204" t="s">
        <v>191</v>
      </c>
      <c r="D111" s="23" t="s">
        <v>107</v>
      </c>
      <c r="E111" s="213">
        <v>700000</v>
      </c>
      <c r="F111" s="22">
        <v>0</v>
      </c>
      <c r="G111" s="213">
        <v>700000</v>
      </c>
    </row>
    <row r="112" spans="1:7" ht="20.100000000000001" customHeight="1">
      <c r="A112" s="19">
        <v>3</v>
      </c>
      <c r="B112" s="133" t="s">
        <v>192</v>
      </c>
      <c r="C112" s="204" t="s">
        <v>193</v>
      </c>
      <c r="D112" s="27" t="s">
        <v>57</v>
      </c>
      <c r="E112" s="213">
        <v>500000</v>
      </c>
      <c r="F112" s="213">
        <v>500000</v>
      </c>
      <c r="G112" s="22">
        <v>0</v>
      </c>
    </row>
    <row r="113" spans="1:7" ht="20.100000000000001" customHeight="1">
      <c r="A113" s="19">
        <v>4</v>
      </c>
      <c r="B113" s="133" t="s">
        <v>194</v>
      </c>
      <c r="C113" s="204" t="s">
        <v>193</v>
      </c>
      <c r="D113" s="27" t="s">
        <v>168</v>
      </c>
      <c r="E113" s="213">
        <v>500000</v>
      </c>
      <c r="F113" s="213">
        <v>500000</v>
      </c>
      <c r="G113" s="22">
        <v>0</v>
      </c>
    </row>
    <row r="114" spans="1:7" ht="20.100000000000001" customHeight="1">
      <c r="A114" s="19">
        <v>5</v>
      </c>
      <c r="B114" s="133" t="s">
        <v>195</v>
      </c>
      <c r="C114" s="204" t="s">
        <v>196</v>
      </c>
      <c r="D114" s="158" t="s">
        <v>199</v>
      </c>
      <c r="E114" s="213">
        <v>300000</v>
      </c>
      <c r="F114" s="213">
        <v>300000</v>
      </c>
      <c r="G114" s="22">
        <v>0</v>
      </c>
    </row>
    <row r="115" spans="1:7" ht="20.100000000000001" customHeight="1">
      <c r="A115" s="19">
        <v>6</v>
      </c>
      <c r="B115" s="134" t="s">
        <v>198</v>
      </c>
      <c r="C115" s="204" t="s">
        <v>196</v>
      </c>
      <c r="D115" s="27" t="s">
        <v>648</v>
      </c>
      <c r="E115" s="213">
        <v>300000</v>
      </c>
      <c r="F115" s="213">
        <v>300000</v>
      </c>
      <c r="G115" s="22">
        <v>0</v>
      </c>
    </row>
    <row r="116" spans="1:7" ht="20.100000000000001" customHeight="1">
      <c r="A116" s="19">
        <v>7</v>
      </c>
      <c r="B116" s="134" t="s">
        <v>200</v>
      </c>
      <c r="C116" s="204" t="s">
        <v>196</v>
      </c>
      <c r="D116" s="158" t="s">
        <v>90</v>
      </c>
      <c r="E116" s="213">
        <v>300000</v>
      </c>
      <c r="F116" s="213">
        <v>300000</v>
      </c>
      <c r="G116" s="22">
        <v>0</v>
      </c>
    </row>
    <row r="117" spans="1:7" ht="20.100000000000001" customHeight="1">
      <c r="A117" s="19"/>
      <c r="B117" s="136" t="s">
        <v>91</v>
      </c>
      <c r="C117" s="206">
        <v>7</v>
      </c>
      <c r="D117" s="19"/>
      <c r="E117" s="219">
        <f>SUM(E110:E116)</f>
        <v>3600000</v>
      </c>
      <c r="F117" s="219">
        <f t="shared" ref="F117:G117" si="13">SUM(F110:F116)</f>
        <v>1900000</v>
      </c>
      <c r="G117" s="219">
        <f t="shared" si="13"/>
        <v>1700000</v>
      </c>
    </row>
    <row r="118" spans="1:7" ht="20.100000000000001" customHeight="1">
      <c r="A118" s="19"/>
      <c r="B118" s="103"/>
      <c r="C118" s="209"/>
      <c r="D118" s="19"/>
      <c r="E118" s="220"/>
      <c r="F118" s="220"/>
      <c r="G118" s="220"/>
    </row>
    <row r="119" spans="1:7" ht="20.100000000000001" customHeight="1">
      <c r="A119" s="19"/>
      <c r="B119" s="136" t="s">
        <v>208</v>
      </c>
      <c r="C119" s="206"/>
      <c r="D119" s="28"/>
      <c r="E119" s="213"/>
      <c r="F119" s="213"/>
      <c r="G119" s="213"/>
    </row>
    <row r="120" spans="1:7" ht="20.100000000000001" customHeight="1">
      <c r="A120" s="19">
        <v>1</v>
      </c>
      <c r="B120" s="133" t="s">
        <v>209</v>
      </c>
      <c r="C120" s="203" t="s">
        <v>210</v>
      </c>
      <c r="D120" s="158" t="s">
        <v>95</v>
      </c>
      <c r="E120" s="213">
        <v>1000000</v>
      </c>
      <c r="F120" s="22">
        <v>0</v>
      </c>
      <c r="G120" s="213">
        <v>1000000</v>
      </c>
    </row>
    <row r="121" spans="1:7" ht="20.100000000000001" customHeight="1">
      <c r="A121" s="19">
        <v>2</v>
      </c>
      <c r="B121" s="133" t="s">
        <v>594</v>
      </c>
      <c r="C121" s="203" t="s">
        <v>595</v>
      </c>
      <c r="D121" s="158" t="s">
        <v>233</v>
      </c>
      <c r="E121" s="213">
        <v>700000</v>
      </c>
      <c r="F121" s="22">
        <v>0</v>
      </c>
      <c r="G121" s="213">
        <v>700000</v>
      </c>
    </row>
    <row r="122" spans="1:7" ht="20.100000000000001" customHeight="1">
      <c r="A122" s="19">
        <v>3</v>
      </c>
      <c r="B122" s="133" t="s">
        <v>211</v>
      </c>
      <c r="C122" s="203" t="s">
        <v>214</v>
      </c>
      <c r="D122" s="158" t="s">
        <v>45</v>
      </c>
      <c r="E122" s="213">
        <v>700000</v>
      </c>
      <c r="F122" s="22">
        <v>0</v>
      </c>
      <c r="G122" s="213">
        <v>700000</v>
      </c>
    </row>
    <row r="123" spans="1:7" ht="20.100000000000001" customHeight="1">
      <c r="A123" s="19">
        <v>4</v>
      </c>
      <c r="B123" s="135" t="s">
        <v>213</v>
      </c>
      <c r="C123" s="203" t="s">
        <v>214</v>
      </c>
      <c r="D123" s="158" t="s">
        <v>45</v>
      </c>
      <c r="E123" s="213">
        <v>700000</v>
      </c>
      <c r="F123" s="22">
        <v>0</v>
      </c>
      <c r="G123" s="213">
        <v>700000</v>
      </c>
    </row>
    <row r="124" spans="1:7" ht="20.100000000000001" customHeight="1">
      <c r="A124" s="19">
        <v>5</v>
      </c>
      <c r="B124" s="135" t="s">
        <v>215</v>
      </c>
      <c r="C124" s="203" t="s">
        <v>214</v>
      </c>
      <c r="D124" s="158" t="s">
        <v>48</v>
      </c>
      <c r="E124" s="213">
        <v>700000</v>
      </c>
      <c r="F124" s="22">
        <v>0</v>
      </c>
      <c r="G124" s="213">
        <v>700000</v>
      </c>
    </row>
    <row r="125" spans="1:7" ht="20.100000000000001" customHeight="1">
      <c r="A125" s="19">
        <v>6</v>
      </c>
      <c r="B125" s="133" t="s">
        <v>216</v>
      </c>
      <c r="C125" s="203" t="s">
        <v>217</v>
      </c>
      <c r="D125" s="158" t="s">
        <v>116</v>
      </c>
      <c r="E125" s="213">
        <v>500000</v>
      </c>
      <c r="F125" s="22">
        <v>0</v>
      </c>
      <c r="G125" s="213">
        <v>500000</v>
      </c>
    </row>
    <row r="126" spans="1:7" ht="20.100000000000001" customHeight="1">
      <c r="A126" s="19">
        <v>7</v>
      </c>
      <c r="B126" s="133" t="s">
        <v>218</v>
      </c>
      <c r="C126" s="203" t="s">
        <v>219</v>
      </c>
      <c r="D126" s="158" t="s">
        <v>60</v>
      </c>
      <c r="E126" s="213">
        <v>500000</v>
      </c>
      <c r="F126" s="213">
        <v>500000</v>
      </c>
      <c r="G126" s="22">
        <v>0</v>
      </c>
    </row>
    <row r="127" spans="1:7" ht="20.100000000000001" customHeight="1">
      <c r="A127" s="19">
        <v>8</v>
      </c>
      <c r="B127" s="133" t="s">
        <v>220</v>
      </c>
      <c r="C127" s="203" t="s">
        <v>416</v>
      </c>
      <c r="D127" s="158" t="s">
        <v>60</v>
      </c>
      <c r="E127" s="213">
        <v>500000</v>
      </c>
      <c r="F127" s="213">
        <v>500000</v>
      </c>
      <c r="G127" s="22">
        <v>0</v>
      </c>
    </row>
    <row r="128" spans="1:7" ht="20.100000000000001" customHeight="1">
      <c r="A128" s="19">
        <v>9</v>
      </c>
      <c r="B128" s="134" t="s">
        <v>596</v>
      </c>
      <c r="C128" s="203" t="s">
        <v>597</v>
      </c>
      <c r="D128" s="158" t="s">
        <v>63</v>
      </c>
      <c r="E128" s="213">
        <v>500000</v>
      </c>
      <c r="F128" s="213">
        <v>500000</v>
      </c>
      <c r="G128" s="22">
        <v>0</v>
      </c>
    </row>
    <row r="129" spans="1:7" ht="20.100000000000001" customHeight="1">
      <c r="A129" s="19">
        <v>10</v>
      </c>
      <c r="B129" s="133" t="s">
        <v>221</v>
      </c>
      <c r="C129" s="203" t="s">
        <v>222</v>
      </c>
      <c r="D129" s="27" t="s">
        <v>79</v>
      </c>
      <c r="E129" s="213">
        <v>300000</v>
      </c>
      <c r="F129" s="213">
        <v>300000</v>
      </c>
      <c r="G129" s="22">
        <v>0</v>
      </c>
    </row>
    <row r="130" spans="1:7" ht="20.100000000000001" customHeight="1">
      <c r="A130" s="19">
        <v>11</v>
      </c>
      <c r="B130" s="134" t="s">
        <v>223</v>
      </c>
      <c r="C130" s="203" t="s">
        <v>224</v>
      </c>
      <c r="D130" s="158" t="s">
        <v>90</v>
      </c>
      <c r="E130" s="213">
        <v>300000</v>
      </c>
      <c r="F130" s="213">
        <v>300000</v>
      </c>
      <c r="G130" s="22">
        <v>0</v>
      </c>
    </row>
    <row r="131" spans="1:7" ht="20.100000000000001" customHeight="1">
      <c r="A131" s="19"/>
      <c r="B131" s="136" t="s">
        <v>91</v>
      </c>
      <c r="C131" s="210" t="s">
        <v>599</v>
      </c>
      <c r="D131" s="158"/>
      <c r="E131" s="221">
        <f>SUM(E120:E130)</f>
        <v>6400000</v>
      </c>
      <c r="F131" s="221">
        <f t="shared" ref="F131:G131" si="14">SUM(F120:F130)</f>
        <v>2100000</v>
      </c>
      <c r="G131" s="221">
        <f t="shared" si="14"/>
        <v>4300000</v>
      </c>
    </row>
    <row r="132" spans="1:7" ht="20.100000000000001" customHeight="1">
      <c r="A132" s="19"/>
      <c r="B132" s="103"/>
      <c r="C132" s="210"/>
      <c r="D132" s="158"/>
      <c r="E132" s="222"/>
      <c r="F132" s="222"/>
      <c r="G132" s="222"/>
    </row>
    <row r="133" spans="1:7" ht="20.100000000000001" customHeight="1">
      <c r="A133" s="19"/>
      <c r="B133" s="136" t="s">
        <v>228</v>
      </c>
      <c r="C133" s="203"/>
      <c r="D133" s="158"/>
      <c r="E133" s="213"/>
      <c r="F133" s="213"/>
      <c r="G133" s="213"/>
    </row>
    <row r="134" spans="1:7" ht="20.100000000000001" customHeight="1">
      <c r="A134" s="168">
        <v>1</v>
      </c>
      <c r="B134" s="133" t="s">
        <v>229</v>
      </c>
      <c r="C134" s="203" t="s">
        <v>710</v>
      </c>
      <c r="D134" s="158" t="s">
        <v>95</v>
      </c>
      <c r="E134" s="213">
        <f>1000000/2</f>
        <v>500000</v>
      </c>
      <c r="F134" s="22">
        <v>0</v>
      </c>
      <c r="G134" s="213">
        <f t="shared" ref="G134" si="15">1000000/2</f>
        <v>500000</v>
      </c>
    </row>
    <row r="135" spans="1:7" ht="20.100000000000001" customHeight="1">
      <c r="A135" s="168">
        <v>2</v>
      </c>
      <c r="B135" s="133" t="s">
        <v>231</v>
      </c>
      <c r="C135" s="203" t="s">
        <v>232</v>
      </c>
      <c r="D135" s="158" t="s">
        <v>233</v>
      </c>
      <c r="E135" s="213">
        <f>700000/2</f>
        <v>350000</v>
      </c>
      <c r="F135" s="22">
        <v>0</v>
      </c>
      <c r="G135" s="213">
        <f t="shared" ref="G135" si="16">700000/2</f>
        <v>350000</v>
      </c>
    </row>
    <row r="136" spans="1:7" ht="20.100000000000001" customHeight="1">
      <c r="A136" s="168">
        <v>3</v>
      </c>
      <c r="B136" s="135" t="s">
        <v>234</v>
      </c>
      <c r="C136" s="204" t="s">
        <v>235</v>
      </c>
      <c r="D136" s="23" t="s">
        <v>107</v>
      </c>
      <c r="E136" s="213">
        <v>700000</v>
      </c>
      <c r="F136" s="22">
        <v>0</v>
      </c>
      <c r="G136" s="213">
        <v>700000</v>
      </c>
    </row>
    <row r="137" spans="1:7" ht="20.100000000000001" customHeight="1">
      <c r="A137" s="168">
        <v>4</v>
      </c>
      <c r="B137" s="133" t="s">
        <v>236</v>
      </c>
      <c r="C137" s="203" t="s">
        <v>237</v>
      </c>
      <c r="D137" s="158" t="s">
        <v>54</v>
      </c>
      <c r="E137" s="213">
        <v>500000</v>
      </c>
      <c r="F137" s="22">
        <v>0</v>
      </c>
      <c r="G137" s="213">
        <v>500000</v>
      </c>
    </row>
    <row r="138" spans="1:7" ht="20.100000000000001" customHeight="1">
      <c r="A138" s="168">
        <v>5</v>
      </c>
      <c r="B138" s="133" t="s">
        <v>238</v>
      </c>
      <c r="C138" s="204" t="s">
        <v>239</v>
      </c>
      <c r="D138" s="158" t="s">
        <v>54</v>
      </c>
      <c r="E138" s="213">
        <v>500000</v>
      </c>
      <c r="F138" s="22">
        <v>0</v>
      </c>
      <c r="G138" s="213">
        <v>500000</v>
      </c>
    </row>
    <row r="139" spans="1:7" ht="20.100000000000001" customHeight="1">
      <c r="A139" s="168">
        <v>6</v>
      </c>
      <c r="B139" s="133" t="s">
        <v>181</v>
      </c>
      <c r="C139" s="204" t="s">
        <v>245</v>
      </c>
      <c r="D139" s="158" t="s">
        <v>60</v>
      </c>
      <c r="E139" s="213">
        <v>500000</v>
      </c>
      <c r="F139" s="213">
        <v>500000</v>
      </c>
      <c r="G139" s="22">
        <v>0</v>
      </c>
    </row>
    <row r="140" spans="1:7" ht="20.100000000000001" customHeight="1">
      <c r="A140" s="168">
        <v>7</v>
      </c>
      <c r="B140" s="133" t="s">
        <v>241</v>
      </c>
      <c r="C140" s="203" t="s">
        <v>242</v>
      </c>
      <c r="D140" s="158" t="s">
        <v>66</v>
      </c>
      <c r="E140" s="213">
        <v>400000</v>
      </c>
      <c r="F140" s="213">
        <v>400000</v>
      </c>
      <c r="G140" s="22">
        <v>0</v>
      </c>
    </row>
    <row r="141" spans="1:7" ht="20.100000000000001" customHeight="1">
      <c r="A141" s="168">
        <v>8</v>
      </c>
      <c r="B141" s="133" t="s">
        <v>243</v>
      </c>
      <c r="C141" s="203" t="s">
        <v>242</v>
      </c>
      <c r="D141" s="158" t="s">
        <v>66</v>
      </c>
      <c r="E141" s="213">
        <v>400000</v>
      </c>
      <c r="F141" s="213">
        <v>400000</v>
      </c>
      <c r="G141" s="22">
        <v>0</v>
      </c>
    </row>
    <row r="142" spans="1:7" ht="20.100000000000001" customHeight="1">
      <c r="A142" s="168">
        <v>9</v>
      </c>
      <c r="B142" s="133" t="s">
        <v>244</v>
      </c>
      <c r="C142" s="204" t="s">
        <v>245</v>
      </c>
      <c r="D142" s="158" t="s">
        <v>66</v>
      </c>
      <c r="E142" s="213">
        <v>400000</v>
      </c>
      <c r="F142" s="213">
        <v>400000</v>
      </c>
      <c r="G142" s="22">
        <v>0</v>
      </c>
    </row>
    <row r="143" spans="1:7" ht="20.100000000000001" customHeight="1">
      <c r="A143" s="168">
        <v>10</v>
      </c>
      <c r="B143" s="133" t="s">
        <v>246</v>
      </c>
      <c r="C143" s="203" t="s">
        <v>251</v>
      </c>
      <c r="D143" s="158" t="s">
        <v>69</v>
      </c>
      <c r="E143" s="213">
        <v>400000</v>
      </c>
      <c r="F143" s="213">
        <v>400000</v>
      </c>
      <c r="G143" s="22">
        <v>0</v>
      </c>
    </row>
    <row r="144" spans="1:7" ht="20.100000000000001" customHeight="1">
      <c r="A144" s="168">
        <v>11</v>
      </c>
      <c r="B144" s="133" t="s">
        <v>248</v>
      </c>
      <c r="C144" s="203" t="s">
        <v>418</v>
      </c>
      <c r="D144" s="158" t="s">
        <v>257</v>
      </c>
      <c r="E144" s="213">
        <v>300000</v>
      </c>
      <c r="F144" s="213">
        <v>300000</v>
      </c>
      <c r="G144" s="22">
        <v>0</v>
      </c>
    </row>
    <row r="145" spans="1:7" ht="20.100000000000001" customHeight="1">
      <c r="A145" s="168">
        <v>12</v>
      </c>
      <c r="B145" s="133" t="s">
        <v>250</v>
      </c>
      <c r="C145" s="203" t="s">
        <v>251</v>
      </c>
      <c r="D145" s="158" t="s">
        <v>69</v>
      </c>
      <c r="E145" s="213">
        <v>400000</v>
      </c>
      <c r="F145" s="213">
        <v>400000</v>
      </c>
      <c r="G145" s="22">
        <v>0</v>
      </c>
    </row>
    <row r="146" spans="1:7" ht="20.100000000000001" customHeight="1">
      <c r="A146" s="168">
        <v>13</v>
      </c>
      <c r="B146" s="133" t="s">
        <v>254</v>
      </c>
      <c r="C146" s="204" t="s">
        <v>255</v>
      </c>
      <c r="D146" s="158" t="s">
        <v>157</v>
      </c>
      <c r="E146" s="213">
        <v>300000</v>
      </c>
      <c r="F146" s="213">
        <v>300000</v>
      </c>
      <c r="G146" s="22">
        <v>0</v>
      </c>
    </row>
    <row r="147" spans="1:7" ht="20.100000000000001" customHeight="1">
      <c r="A147" s="168">
        <v>14</v>
      </c>
      <c r="B147" s="133" t="s">
        <v>256</v>
      </c>
      <c r="C147" s="204" t="s">
        <v>255</v>
      </c>
      <c r="D147" s="158" t="s">
        <v>157</v>
      </c>
      <c r="E147" s="213">
        <v>300000</v>
      </c>
      <c r="F147" s="213">
        <v>300000</v>
      </c>
      <c r="G147" s="22">
        <v>0</v>
      </c>
    </row>
    <row r="148" spans="1:7" ht="20.100000000000001" customHeight="1">
      <c r="A148" s="168">
        <v>15</v>
      </c>
      <c r="B148" s="133" t="s">
        <v>258</v>
      </c>
      <c r="C148" s="204" t="s">
        <v>255</v>
      </c>
      <c r="D148" s="158" t="s">
        <v>157</v>
      </c>
      <c r="E148" s="213">
        <v>300000</v>
      </c>
      <c r="F148" s="213">
        <v>300000</v>
      </c>
      <c r="G148" s="22">
        <v>0</v>
      </c>
    </row>
    <row r="149" spans="1:7" ht="20.100000000000001" customHeight="1">
      <c r="A149" s="168">
        <v>16</v>
      </c>
      <c r="B149" s="133" t="s">
        <v>259</v>
      </c>
      <c r="C149" s="203" t="s">
        <v>260</v>
      </c>
      <c r="D149" s="158" t="s">
        <v>72</v>
      </c>
      <c r="E149" s="213">
        <v>300000</v>
      </c>
      <c r="F149" s="213">
        <v>300000</v>
      </c>
      <c r="G149" s="22">
        <v>0</v>
      </c>
    </row>
    <row r="150" spans="1:7" ht="20.100000000000001" customHeight="1">
      <c r="A150" s="168">
        <v>17</v>
      </c>
      <c r="B150" s="133" t="s">
        <v>261</v>
      </c>
      <c r="C150" s="203" t="s">
        <v>262</v>
      </c>
      <c r="D150" s="27" t="s">
        <v>79</v>
      </c>
      <c r="E150" s="213">
        <v>300000</v>
      </c>
      <c r="F150" s="213">
        <v>300000</v>
      </c>
      <c r="G150" s="22">
        <v>0</v>
      </c>
    </row>
    <row r="151" spans="1:7" ht="20.100000000000001" customHeight="1">
      <c r="A151" s="168">
        <v>18</v>
      </c>
      <c r="B151" s="133" t="s">
        <v>263</v>
      </c>
      <c r="C151" s="203" t="s">
        <v>264</v>
      </c>
      <c r="D151" s="158" t="s">
        <v>72</v>
      </c>
      <c r="E151" s="213">
        <v>300000</v>
      </c>
      <c r="F151" s="213">
        <v>300000</v>
      </c>
      <c r="G151" s="22">
        <v>0</v>
      </c>
    </row>
    <row r="152" spans="1:7" ht="20.100000000000001" customHeight="1">
      <c r="A152" s="168">
        <v>19</v>
      </c>
      <c r="B152" s="133" t="s">
        <v>265</v>
      </c>
      <c r="C152" s="203" t="s">
        <v>266</v>
      </c>
      <c r="D152" s="158" t="s">
        <v>79</v>
      </c>
      <c r="E152" s="213">
        <v>300000</v>
      </c>
      <c r="F152" s="213">
        <v>300000</v>
      </c>
      <c r="G152" s="22">
        <v>0</v>
      </c>
    </row>
    <row r="153" spans="1:7" ht="20.100000000000001" customHeight="1">
      <c r="A153" s="168">
        <v>20</v>
      </c>
      <c r="B153" s="133" t="s">
        <v>267</v>
      </c>
      <c r="C153" s="203" t="s">
        <v>268</v>
      </c>
      <c r="D153" s="158" t="s">
        <v>72</v>
      </c>
      <c r="E153" s="213">
        <v>300000</v>
      </c>
      <c r="F153" s="213">
        <v>300000</v>
      </c>
      <c r="G153" s="22">
        <v>0</v>
      </c>
    </row>
    <row r="154" spans="1:7" ht="20.100000000000001" customHeight="1">
      <c r="A154" s="168">
        <v>21</v>
      </c>
      <c r="B154" s="133" t="s">
        <v>269</v>
      </c>
      <c r="C154" s="203" t="s">
        <v>270</v>
      </c>
      <c r="D154" s="158" t="s">
        <v>79</v>
      </c>
      <c r="E154" s="213">
        <v>300000</v>
      </c>
      <c r="F154" s="213">
        <v>300000</v>
      </c>
      <c r="G154" s="22">
        <v>0</v>
      </c>
    </row>
    <row r="155" spans="1:7" ht="20.100000000000001" customHeight="1">
      <c r="A155" s="168">
        <v>22</v>
      </c>
      <c r="B155" s="134" t="s">
        <v>271</v>
      </c>
      <c r="C155" s="203" t="s">
        <v>276</v>
      </c>
      <c r="D155" s="158" t="s">
        <v>647</v>
      </c>
      <c r="E155" s="213">
        <v>300000</v>
      </c>
      <c r="F155" s="213">
        <v>300000</v>
      </c>
      <c r="G155" s="22">
        <v>0</v>
      </c>
    </row>
    <row r="156" spans="1:7" ht="20.100000000000001" customHeight="1">
      <c r="A156" s="168">
        <v>23</v>
      </c>
      <c r="B156" s="134" t="s">
        <v>600</v>
      </c>
      <c r="C156" s="203" t="s">
        <v>274</v>
      </c>
      <c r="D156" s="158" t="s">
        <v>90</v>
      </c>
      <c r="E156" s="213">
        <v>300000</v>
      </c>
      <c r="F156" s="213">
        <v>300000</v>
      </c>
      <c r="G156" s="22">
        <v>0</v>
      </c>
    </row>
    <row r="157" spans="1:7" ht="20.100000000000001" customHeight="1">
      <c r="A157" s="168">
        <v>24</v>
      </c>
      <c r="B157" s="134" t="s">
        <v>273</v>
      </c>
      <c r="C157" s="203" t="s">
        <v>274</v>
      </c>
      <c r="D157" s="158" t="s">
        <v>90</v>
      </c>
      <c r="E157" s="213">
        <v>300000</v>
      </c>
      <c r="F157" s="213">
        <v>300000</v>
      </c>
      <c r="G157" s="22">
        <v>0</v>
      </c>
    </row>
    <row r="158" spans="1:7" ht="20.100000000000001" customHeight="1">
      <c r="A158" s="168">
        <v>25</v>
      </c>
      <c r="B158" s="134" t="s">
        <v>275</v>
      </c>
      <c r="C158" s="203" t="s">
        <v>276</v>
      </c>
      <c r="D158" s="158" t="s">
        <v>90</v>
      </c>
      <c r="E158" s="213">
        <v>300000</v>
      </c>
      <c r="F158" s="213">
        <v>300000</v>
      </c>
      <c r="G158" s="22">
        <v>0</v>
      </c>
    </row>
    <row r="159" spans="1:7" ht="20.100000000000001" customHeight="1">
      <c r="A159" s="168">
        <v>26</v>
      </c>
      <c r="B159" s="134" t="s">
        <v>277</v>
      </c>
      <c r="C159" s="203" t="s">
        <v>278</v>
      </c>
      <c r="D159" s="158" t="s">
        <v>90</v>
      </c>
      <c r="E159" s="213">
        <v>300000</v>
      </c>
      <c r="F159" s="213">
        <v>300000</v>
      </c>
      <c r="G159" s="22">
        <v>0</v>
      </c>
    </row>
    <row r="160" spans="1:7" ht="20.100000000000001" customHeight="1">
      <c r="A160" s="168">
        <v>27</v>
      </c>
      <c r="B160" s="134" t="s">
        <v>279</v>
      </c>
      <c r="C160" s="203" t="s">
        <v>280</v>
      </c>
      <c r="D160" s="158" t="s">
        <v>90</v>
      </c>
      <c r="E160" s="213">
        <v>300000</v>
      </c>
      <c r="F160" s="213">
        <v>300000</v>
      </c>
      <c r="G160" s="22">
        <v>0</v>
      </c>
    </row>
    <row r="161" spans="1:7" ht="20.100000000000001" customHeight="1">
      <c r="A161" s="168">
        <v>28</v>
      </c>
      <c r="B161" s="133" t="s">
        <v>282</v>
      </c>
      <c r="C161" s="203" t="s">
        <v>283</v>
      </c>
      <c r="D161" s="158" t="s">
        <v>290</v>
      </c>
      <c r="E161" s="213">
        <v>100000</v>
      </c>
      <c r="F161" s="213">
        <v>100000</v>
      </c>
      <c r="G161" s="22">
        <v>0</v>
      </c>
    </row>
    <row r="162" spans="1:7" ht="20.100000000000001" customHeight="1">
      <c r="A162" s="168">
        <v>29</v>
      </c>
      <c r="B162" s="133" t="s">
        <v>285</v>
      </c>
      <c r="C162" s="203" t="s">
        <v>283</v>
      </c>
      <c r="D162" s="158" t="s">
        <v>290</v>
      </c>
      <c r="E162" s="213">
        <v>100000</v>
      </c>
      <c r="F162" s="213">
        <v>100000</v>
      </c>
      <c r="G162" s="22">
        <v>0</v>
      </c>
    </row>
    <row r="163" spans="1:7" ht="20.100000000000001" customHeight="1">
      <c r="A163" s="168">
        <v>30</v>
      </c>
      <c r="B163" s="133" t="s">
        <v>286</v>
      </c>
      <c r="C163" s="203" t="s">
        <v>283</v>
      </c>
      <c r="D163" s="158" t="s">
        <v>290</v>
      </c>
      <c r="E163" s="213">
        <v>100000</v>
      </c>
      <c r="F163" s="213">
        <v>100000</v>
      </c>
      <c r="G163" s="22">
        <v>0</v>
      </c>
    </row>
    <row r="164" spans="1:7" ht="20.100000000000001" customHeight="1">
      <c r="A164" s="168">
        <v>31</v>
      </c>
      <c r="B164" s="133" t="s">
        <v>671</v>
      </c>
      <c r="C164" s="203" t="s">
        <v>283</v>
      </c>
      <c r="D164" s="158" t="s">
        <v>290</v>
      </c>
      <c r="E164" s="213">
        <v>100000</v>
      </c>
      <c r="F164" s="213">
        <v>100000</v>
      </c>
      <c r="G164" s="22">
        <v>0</v>
      </c>
    </row>
    <row r="165" spans="1:7" ht="20.100000000000001" customHeight="1">
      <c r="A165" s="168">
        <v>32</v>
      </c>
      <c r="B165" s="133" t="s">
        <v>601</v>
      </c>
      <c r="C165" s="203" t="s">
        <v>283</v>
      </c>
      <c r="D165" s="158" t="s">
        <v>290</v>
      </c>
      <c r="E165" s="213">
        <v>100000</v>
      </c>
      <c r="F165" s="213">
        <v>100000</v>
      </c>
      <c r="G165" s="22">
        <v>0</v>
      </c>
    </row>
    <row r="166" spans="1:7" ht="20.100000000000001" customHeight="1">
      <c r="A166" s="168">
        <v>33</v>
      </c>
      <c r="B166" s="133" t="s">
        <v>287</v>
      </c>
      <c r="C166" s="203" t="s">
        <v>283</v>
      </c>
      <c r="D166" s="158" t="s">
        <v>290</v>
      </c>
      <c r="E166" s="213">
        <v>100000</v>
      </c>
      <c r="F166" s="213">
        <v>100000</v>
      </c>
      <c r="G166" s="22">
        <v>0</v>
      </c>
    </row>
    <row r="167" spans="1:7" ht="20.100000000000001" customHeight="1">
      <c r="A167" s="168">
        <v>34</v>
      </c>
      <c r="B167" s="133" t="s">
        <v>288</v>
      </c>
      <c r="C167" s="203" t="s">
        <v>283</v>
      </c>
      <c r="D167" s="158" t="s">
        <v>290</v>
      </c>
      <c r="E167" s="213">
        <v>100000</v>
      </c>
      <c r="F167" s="213">
        <v>100000</v>
      </c>
      <c r="G167" s="22">
        <v>0</v>
      </c>
    </row>
    <row r="168" spans="1:7" ht="20.100000000000001" customHeight="1">
      <c r="A168" s="168">
        <v>35</v>
      </c>
      <c r="B168" s="133" t="s">
        <v>289</v>
      </c>
      <c r="C168" s="203" t="s">
        <v>283</v>
      </c>
      <c r="D168" s="158" t="s">
        <v>298</v>
      </c>
      <c r="E168" s="213">
        <v>100000</v>
      </c>
      <c r="F168" s="213">
        <v>100000</v>
      </c>
      <c r="G168" s="22">
        <v>0</v>
      </c>
    </row>
    <row r="169" spans="1:7" ht="20.100000000000001" customHeight="1">
      <c r="A169" s="168">
        <v>36</v>
      </c>
      <c r="B169" s="133" t="s">
        <v>291</v>
      </c>
      <c r="C169" s="203" t="s">
        <v>283</v>
      </c>
      <c r="D169" s="158" t="s">
        <v>298</v>
      </c>
      <c r="E169" s="213">
        <v>100000</v>
      </c>
      <c r="F169" s="213">
        <v>100000</v>
      </c>
      <c r="G169" s="22">
        <v>0</v>
      </c>
    </row>
    <row r="170" spans="1:7" ht="20.100000000000001" customHeight="1">
      <c r="A170" s="168">
        <v>37</v>
      </c>
      <c r="B170" s="133" t="s">
        <v>576</v>
      </c>
      <c r="C170" s="203" t="s">
        <v>283</v>
      </c>
      <c r="D170" s="158" t="s">
        <v>298</v>
      </c>
      <c r="E170" s="213">
        <v>100000</v>
      </c>
      <c r="F170" s="213">
        <v>100000</v>
      </c>
      <c r="G170" s="22">
        <v>0</v>
      </c>
    </row>
    <row r="171" spans="1:7" ht="20.100000000000001" customHeight="1">
      <c r="A171" s="168">
        <v>38</v>
      </c>
      <c r="B171" s="135" t="s">
        <v>292</v>
      </c>
      <c r="C171" s="203" t="s">
        <v>283</v>
      </c>
      <c r="D171" s="158" t="s">
        <v>298</v>
      </c>
      <c r="E171" s="213">
        <v>100000</v>
      </c>
      <c r="F171" s="213">
        <v>100000</v>
      </c>
      <c r="G171" s="22">
        <v>0</v>
      </c>
    </row>
    <row r="172" spans="1:7" ht="20.100000000000001" customHeight="1">
      <c r="A172" s="168">
        <v>39</v>
      </c>
      <c r="B172" s="133" t="s">
        <v>293</v>
      </c>
      <c r="C172" s="203" t="s">
        <v>283</v>
      </c>
      <c r="D172" s="158" t="s">
        <v>298</v>
      </c>
      <c r="E172" s="213">
        <v>100000</v>
      </c>
      <c r="F172" s="213">
        <v>100000</v>
      </c>
      <c r="G172" s="22">
        <v>0</v>
      </c>
    </row>
    <row r="173" spans="1:7" ht="20.100000000000001" customHeight="1">
      <c r="A173" s="168">
        <v>40</v>
      </c>
      <c r="B173" s="134" t="s">
        <v>294</v>
      </c>
      <c r="C173" s="203" t="s">
        <v>283</v>
      </c>
      <c r="D173" s="158" t="s">
        <v>298</v>
      </c>
      <c r="E173" s="213">
        <v>100000</v>
      </c>
      <c r="F173" s="213">
        <v>100000</v>
      </c>
      <c r="G173" s="22">
        <v>0</v>
      </c>
    </row>
    <row r="174" spans="1:7" ht="20.100000000000001" customHeight="1">
      <c r="A174" s="168">
        <v>41</v>
      </c>
      <c r="B174" s="134" t="s">
        <v>295</v>
      </c>
      <c r="C174" s="203" t="s">
        <v>283</v>
      </c>
      <c r="D174" s="158" t="s">
        <v>298</v>
      </c>
      <c r="E174" s="213">
        <v>100000</v>
      </c>
      <c r="F174" s="213">
        <v>100000</v>
      </c>
      <c r="G174" s="22">
        <v>0</v>
      </c>
    </row>
    <row r="175" spans="1:7" ht="20.100000000000001" customHeight="1">
      <c r="A175" s="168">
        <v>42</v>
      </c>
      <c r="B175" s="133" t="s">
        <v>296</v>
      </c>
      <c r="C175" s="203" t="s">
        <v>302</v>
      </c>
      <c r="D175" s="158" t="s">
        <v>303</v>
      </c>
      <c r="E175" s="213">
        <v>100000</v>
      </c>
      <c r="F175" s="213">
        <v>100000</v>
      </c>
      <c r="G175" s="22">
        <v>0</v>
      </c>
    </row>
    <row r="176" spans="1:7" ht="20.100000000000001" customHeight="1">
      <c r="A176" s="168">
        <v>43</v>
      </c>
      <c r="B176" s="133" t="s">
        <v>299</v>
      </c>
      <c r="C176" s="203" t="s">
        <v>302</v>
      </c>
      <c r="D176" s="158" t="s">
        <v>303</v>
      </c>
      <c r="E176" s="213">
        <v>100000</v>
      </c>
      <c r="F176" s="213">
        <v>100000</v>
      </c>
      <c r="G176" s="22">
        <v>0</v>
      </c>
    </row>
    <row r="177" spans="1:7" ht="20.100000000000001" customHeight="1">
      <c r="A177" s="168">
        <v>44</v>
      </c>
      <c r="B177" s="134" t="s">
        <v>300</v>
      </c>
      <c r="C177" s="203" t="s">
        <v>302</v>
      </c>
      <c r="D177" s="158" t="s">
        <v>400</v>
      </c>
      <c r="E177" s="213">
        <v>100000</v>
      </c>
      <c r="F177" s="213">
        <v>100000</v>
      </c>
      <c r="G177" s="22">
        <v>0</v>
      </c>
    </row>
    <row r="178" spans="1:7" ht="20.100000000000001" customHeight="1">
      <c r="A178" s="168">
        <v>45</v>
      </c>
      <c r="B178" s="133" t="s">
        <v>301</v>
      </c>
      <c r="C178" s="203" t="s">
        <v>302</v>
      </c>
      <c r="D178" s="158" t="s">
        <v>673</v>
      </c>
      <c r="E178" s="213">
        <v>100000</v>
      </c>
      <c r="F178" s="213">
        <v>100000</v>
      </c>
      <c r="G178" s="22">
        <v>0</v>
      </c>
    </row>
    <row r="179" spans="1:7" ht="20.100000000000001" customHeight="1">
      <c r="A179" s="168">
        <v>46</v>
      </c>
      <c r="B179" s="133" t="s">
        <v>304</v>
      </c>
      <c r="C179" s="203" t="s">
        <v>305</v>
      </c>
      <c r="D179" s="158" t="s">
        <v>674</v>
      </c>
      <c r="E179" s="213">
        <v>100000</v>
      </c>
      <c r="F179" s="213">
        <v>100000</v>
      </c>
      <c r="G179" s="22">
        <v>0</v>
      </c>
    </row>
    <row r="180" spans="1:7" ht="20.100000000000001" customHeight="1">
      <c r="A180" s="168">
        <v>47</v>
      </c>
      <c r="B180" s="133" t="s">
        <v>307</v>
      </c>
      <c r="C180" s="203" t="s">
        <v>305</v>
      </c>
      <c r="D180" s="158" t="s">
        <v>674</v>
      </c>
      <c r="E180" s="213">
        <v>100000</v>
      </c>
      <c r="F180" s="213">
        <v>100000</v>
      </c>
      <c r="G180" s="22">
        <v>0</v>
      </c>
    </row>
    <row r="181" spans="1:7" ht="20.100000000000001" customHeight="1">
      <c r="A181" s="168">
        <v>48</v>
      </c>
      <c r="B181" s="133" t="s">
        <v>308</v>
      </c>
      <c r="C181" s="203" t="s">
        <v>305</v>
      </c>
      <c r="D181" s="158" t="s">
        <v>674</v>
      </c>
      <c r="E181" s="213">
        <v>100000</v>
      </c>
      <c r="F181" s="213">
        <v>100000</v>
      </c>
      <c r="G181" s="22">
        <v>0</v>
      </c>
    </row>
    <row r="182" spans="1:7" ht="20.100000000000001" customHeight="1">
      <c r="A182" s="168">
        <v>49</v>
      </c>
      <c r="B182" s="133" t="s">
        <v>309</v>
      </c>
      <c r="C182" s="203" t="s">
        <v>305</v>
      </c>
      <c r="D182" s="158" t="s">
        <v>674</v>
      </c>
      <c r="E182" s="213">
        <v>100000</v>
      </c>
      <c r="F182" s="213">
        <v>100000</v>
      </c>
      <c r="G182" s="22">
        <v>0</v>
      </c>
    </row>
    <row r="183" spans="1:7" ht="20.100000000000001" customHeight="1">
      <c r="A183" s="168">
        <v>50</v>
      </c>
      <c r="B183" s="133" t="s">
        <v>310</v>
      </c>
      <c r="C183" s="203" t="s">
        <v>305</v>
      </c>
      <c r="D183" s="158" t="s">
        <v>674</v>
      </c>
      <c r="E183" s="213">
        <v>100000</v>
      </c>
      <c r="F183" s="213">
        <v>100000</v>
      </c>
      <c r="G183" s="22">
        <v>0</v>
      </c>
    </row>
    <row r="184" spans="1:7" ht="20.100000000000001" customHeight="1">
      <c r="A184" s="168">
        <v>51</v>
      </c>
      <c r="B184" s="134" t="s">
        <v>311</v>
      </c>
      <c r="C184" s="203" t="s">
        <v>305</v>
      </c>
      <c r="D184" s="158" t="s">
        <v>317</v>
      </c>
      <c r="E184" s="213">
        <v>100000</v>
      </c>
      <c r="F184" s="213">
        <v>100000</v>
      </c>
      <c r="G184" s="22">
        <v>0</v>
      </c>
    </row>
    <row r="185" spans="1:7" ht="20.100000000000001" customHeight="1">
      <c r="A185" s="168">
        <v>52</v>
      </c>
      <c r="B185" s="134" t="s">
        <v>312</v>
      </c>
      <c r="C185" s="203" t="s">
        <v>305</v>
      </c>
      <c r="D185" s="158" t="s">
        <v>317</v>
      </c>
      <c r="E185" s="213">
        <v>100000</v>
      </c>
      <c r="F185" s="213">
        <v>100000</v>
      </c>
      <c r="G185" s="22">
        <v>0</v>
      </c>
    </row>
    <row r="186" spans="1:7" ht="20.100000000000001" customHeight="1">
      <c r="A186" s="168">
        <v>53</v>
      </c>
      <c r="B186" s="133" t="s">
        <v>313</v>
      </c>
      <c r="C186" s="203" t="s">
        <v>302</v>
      </c>
      <c r="D186" s="158" t="s">
        <v>317</v>
      </c>
      <c r="E186" s="213">
        <v>100000</v>
      </c>
      <c r="F186" s="213">
        <v>100000</v>
      </c>
      <c r="G186" s="22">
        <v>0</v>
      </c>
    </row>
    <row r="187" spans="1:7" ht="20.100000000000001" customHeight="1">
      <c r="A187" s="168">
        <v>54</v>
      </c>
      <c r="B187" s="133" t="s">
        <v>314</v>
      </c>
      <c r="C187" s="203" t="s">
        <v>302</v>
      </c>
      <c r="D187" s="158" t="s">
        <v>317</v>
      </c>
      <c r="E187" s="213">
        <v>100000</v>
      </c>
      <c r="F187" s="213">
        <v>100000</v>
      </c>
      <c r="G187" s="22">
        <v>0</v>
      </c>
    </row>
    <row r="188" spans="1:7" ht="20.100000000000001" customHeight="1">
      <c r="A188" s="168">
        <v>55</v>
      </c>
      <c r="B188" s="134" t="s">
        <v>315</v>
      </c>
      <c r="C188" s="203" t="s">
        <v>305</v>
      </c>
      <c r="D188" s="158" t="s">
        <v>675</v>
      </c>
      <c r="E188" s="213">
        <v>100000</v>
      </c>
      <c r="F188" s="213">
        <v>100000</v>
      </c>
      <c r="G188" s="22">
        <v>0</v>
      </c>
    </row>
    <row r="189" spans="1:7" ht="20.100000000000001" customHeight="1">
      <c r="A189" s="168">
        <v>56</v>
      </c>
      <c r="B189" s="134" t="s">
        <v>318</v>
      </c>
      <c r="C189" s="203" t="s">
        <v>305</v>
      </c>
      <c r="D189" s="158" t="s">
        <v>676</v>
      </c>
      <c r="E189" s="213">
        <v>100000</v>
      </c>
      <c r="F189" s="213">
        <v>100000</v>
      </c>
      <c r="G189" s="22">
        <v>0</v>
      </c>
    </row>
    <row r="190" spans="1:7" ht="20.100000000000001" customHeight="1">
      <c r="A190" s="168"/>
      <c r="B190" s="154" t="s">
        <v>91</v>
      </c>
      <c r="C190" s="211" t="s">
        <v>711</v>
      </c>
      <c r="D190" s="21"/>
      <c r="E190" s="215">
        <f>SUM(E134:E189)</f>
        <v>12750000</v>
      </c>
      <c r="F190" s="215">
        <f t="shared" ref="F190:G190" si="17">SUM(F134:F189)</f>
        <v>10200000</v>
      </c>
      <c r="G190" s="215">
        <f t="shared" si="17"/>
        <v>2550000</v>
      </c>
    </row>
    <row r="191" spans="1:7" ht="20.100000000000001" customHeight="1">
      <c r="A191" s="19"/>
      <c r="B191" s="171" t="s">
        <v>330</v>
      </c>
      <c r="C191" s="212">
        <f>C38+C43+C58+C62+C78+C86+C100+C107+C117+C131+C190+2</f>
        <v>152</v>
      </c>
      <c r="D191" s="173"/>
      <c r="E191" s="223">
        <f>E190+E131+E117+E107+E100+E86+E78+E62+E58+E43+E38</f>
        <v>62400000</v>
      </c>
      <c r="F191" s="223">
        <f>F190+F131+F117+F107+F100+F86+F78+F62+F58+F43+F38</f>
        <v>29750000</v>
      </c>
      <c r="G191" s="223">
        <f t="shared" ref="G191" si="18">G190+G131+G117+G107+G100+G86+G78+G62+G58+G43+G38</f>
        <v>32650000</v>
      </c>
    </row>
    <row r="192" spans="1:7" ht="20.100000000000001" customHeight="1">
      <c r="B192" s="175"/>
      <c r="C192" s="175"/>
      <c r="D192" s="176"/>
      <c r="E192" s="224"/>
      <c r="F192" s="225"/>
      <c r="G192" s="225"/>
    </row>
    <row r="193" spans="2:5" ht="28.5" customHeight="1">
      <c r="B193" s="175"/>
      <c r="C193" s="175"/>
      <c r="D193" s="176"/>
      <c r="E193" s="226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93"/>
  <sheetViews>
    <sheetView view="pageBreakPreview" zoomScaleNormal="100" zoomScaleSheetLayoutView="100" workbookViewId="0">
      <pane xSplit="2" ySplit="6" topLeftCell="C187" activePane="bottomRight" state="frozen"/>
      <selection pane="bottomRight" activeCell="K15" sqref="K15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41" customWidth="1"/>
    <col min="2" max="2" width="43.85546875" style="141" customWidth="1"/>
    <col min="3" max="3" width="32.42578125" style="141" customWidth="1"/>
    <col min="4" max="4" width="9.140625" style="141" customWidth="1"/>
    <col min="5" max="5" width="13.85546875" style="141" customWidth="1"/>
    <col min="6" max="6" width="14.7109375" style="141" customWidth="1"/>
    <col min="7" max="7" width="14" style="141" customWidth="1"/>
    <col min="8" max="16384" width="9.140625" style="141"/>
  </cols>
  <sheetData>
    <row r="1" spans="1:7" ht="27" customHeight="1">
      <c r="A1" s="411" t="s">
        <v>0</v>
      </c>
      <c r="B1" s="411"/>
      <c r="C1" s="411"/>
      <c r="D1" s="411"/>
      <c r="E1" s="411"/>
    </row>
    <row r="2" spans="1:7" ht="33.75" customHeight="1">
      <c r="A2" s="142" t="s">
        <v>705</v>
      </c>
      <c r="B2" s="143"/>
      <c r="C2" s="143"/>
      <c r="D2" s="142"/>
      <c r="E2" s="146"/>
    </row>
    <row r="3" spans="1:7" ht="9.75" customHeight="1"/>
    <row r="4" spans="1:7" ht="61.5" customHeight="1">
      <c r="A4" s="19"/>
      <c r="B4" s="147" t="s">
        <v>2</v>
      </c>
      <c r="C4" s="148" t="s">
        <v>3</v>
      </c>
      <c r="D4" s="201" t="s">
        <v>4</v>
      </c>
      <c r="E4" s="152" t="s">
        <v>403</v>
      </c>
      <c r="F4" s="152" t="s">
        <v>706</v>
      </c>
      <c r="G4" s="152" t="s">
        <v>707</v>
      </c>
    </row>
    <row r="5" spans="1:7" ht="20.100000000000001" customHeight="1">
      <c r="A5" s="153" t="s">
        <v>26</v>
      </c>
      <c r="B5" s="154" t="s">
        <v>27</v>
      </c>
      <c r="C5" s="202"/>
      <c r="D5" s="154"/>
      <c r="E5" s="155" t="s">
        <v>25</v>
      </c>
      <c r="F5" s="155" t="s">
        <v>25</v>
      </c>
      <c r="G5" s="155" t="s">
        <v>25</v>
      </c>
    </row>
    <row r="6" spans="1:7" ht="20.100000000000001" customHeight="1">
      <c r="A6" s="27">
        <v>1</v>
      </c>
      <c r="B6" s="133" t="s">
        <v>28</v>
      </c>
      <c r="C6" s="203" t="s">
        <v>29</v>
      </c>
      <c r="D6" s="138" t="s">
        <v>30</v>
      </c>
      <c r="E6" s="213">
        <v>2000000</v>
      </c>
      <c r="F6" s="22">
        <v>0</v>
      </c>
      <c r="G6" s="213">
        <v>2000000</v>
      </c>
    </row>
    <row r="7" spans="1:7" ht="20.100000000000001" customHeight="1">
      <c r="A7" s="27">
        <v>2</v>
      </c>
      <c r="B7" s="133" t="s">
        <v>464</v>
      </c>
      <c r="C7" s="204" t="s">
        <v>561</v>
      </c>
      <c r="D7" s="27" t="s">
        <v>233</v>
      </c>
      <c r="E7" s="213">
        <v>700000</v>
      </c>
      <c r="F7" s="22">
        <v>0</v>
      </c>
      <c r="G7" s="213">
        <v>700000</v>
      </c>
    </row>
    <row r="8" spans="1:7" ht="20.100000000000001" customHeight="1">
      <c r="A8" s="27">
        <v>3</v>
      </c>
      <c r="B8" s="135" t="s">
        <v>562</v>
      </c>
      <c r="C8" s="204" t="s">
        <v>563</v>
      </c>
      <c r="D8" s="27" t="s">
        <v>36</v>
      </c>
      <c r="E8" s="213">
        <f>700000/2</f>
        <v>350000</v>
      </c>
      <c r="F8" s="22">
        <v>0</v>
      </c>
      <c r="G8" s="213">
        <f t="shared" ref="G8:G9" si="0">700000/2</f>
        <v>350000</v>
      </c>
    </row>
    <row r="9" spans="1:7" ht="20.100000000000001" customHeight="1">
      <c r="A9" s="27">
        <v>4</v>
      </c>
      <c r="B9" s="133" t="s">
        <v>31</v>
      </c>
      <c r="C9" s="203" t="s">
        <v>32</v>
      </c>
      <c r="D9" s="27" t="s">
        <v>638</v>
      </c>
      <c r="E9" s="213">
        <f>700000/2</f>
        <v>350000</v>
      </c>
      <c r="F9" s="22">
        <v>0</v>
      </c>
      <c r="G9" s="213">
        <f t="shared" si="0"/>
        <v>350000</v>
      </c>
    </row>
    <row r="10" spans="1:7" ht="20.100000000000001" customHeight="1">
      <c r="A10" s="27">
        <v>5</v>
      </c>
      <c r="B10" s="135" t="s">
        <v>34</v>
      </c>
      <c r="C10" s="204" t="s">
        <v>35</v>
      </c>
      <c r="D10" s="158" t="s">
        <v>107</v>
      </c>
      <c r="E10" s="213">
        <v>700000</v>
      </c>
      <c r="F10" s="22">
        <v>0</v>
      </c>
      <c r="G10" s="213">
        <v>700000</v>
      </c>
    </row>
    <row r="11" spans="1:7" ht="20.100000000000001" customHeight="1">
      <c r="A11" s="27">
        <v>6</v>
      </c>
      <c r="B11" s="135" t="s">
        <v>179</v>
      </c>
      <c r="C11" s="204" t="s">
        <v>466</v>
      </c>
      <c r="D11" s="23" t="s">
        <v>107</v>
      </c>
      <c r="E11" s="213">
        <v>700000</v>
      </c>
      <c r="F11" s="22">
        <v>0</v>
      </c>
      <c r="G11" s="213">
        <v>700000</v>
      </c>
    </row>
    <row r="12" spans="1:7" ht="20.100000000000001" customHeight="1">
      <c r="A12" s="27">
        <v>7</v>
      </c>
      <c r="B12" s="133" t="s">
        <v>37</v>
      </c>
      <c r="C12" s="205" t="s">
        <v>38</v>
      </c>
      <c r="D12" s="23" t="s">
        <v>107</v>
      </c>
      <c r="E12" s="213">
        <v>700000</v>
      </c>
      <c r="F12" s="22">
        <v>0</v>
      </c>
      <c r="G12" s="213">
        <v>700000</v>
      </c>
    </row>
    <row r="13" spans="1:7" ht="20.100000000000001" customHeight="1">
      <c r="A13" s="27">
        <v>8</v>
      </c>
      <c r="B13" s="135" t="s">
        <v>39</v>
      </c>
      <c r="C13" s="204" t="s">
        <v>40</v>
      </c>
      <c r="D13" s="23" t="s">
        <v>107</v>
      </c>
      <c r="E13" s="213">
        <v>700000</v>
      </c>
      <c r="F13" s="22">
        <v>0</v>
      </c>
      <c r="G13" s="213">
        <v>700000</v>
      </c>
    </row>
    <row r="14" spans="1:7" ht="20.100000000000001" customHeight="1">
      <c r="A14" s="27">
        <v>9</v>
      </c>
      <c r="B14" s="133" t="s">
        <v>43</v>
      </c>
      <c r="C14" s="203" t="s">
        <v>44</v>
      </c>
      <c r="D14" s="158" t="s">
        <v>45</v>
      </c>
      <c r="E14" s="213">
        <v>700000</v>
      </c>
      <c r="F14" s="22">
        <v>0</v>
      </c>
      <c r="G14" s="213">
        <v>700000</v>
      </c>
    </row>
    <row r="15" spans="1:7" ht="20.100000000000001" customHeight="1">
      <c r="A15" s="27">
        <v>10</v>
      </c>
      <c r="B15" s="134" t="s">
        <v>151</v>
      </c>
      <c r="C15" s="203" t="s">
        <v>152</v>
      </c>
      <c r="D15" s="27" t="s">
        <v>133</v>
      </c>
      <c r="E15" s="213">
        <v>700000</v>
      </c>
      <c r="F15" s="22">
        <v>0</v>
      </c>
      <c r="G15" s="213">
        <v>700000</v>
      </c>
    </row>
    <row r="16" spans="1:7" ht="20.100000000000001" customHeight="1">
      <c r="A16" s="27">
        <v>11</v>
      </c>
      <c r="B16" s="137" t="s">
        <v>564</v>
      </c>
      <c r="C16" s="204" t="s">
        <v>565</v>
      </c>
      <c r="D16" s="23" t="s">
        <v>54</v>
      </c>
      <c r="E16" s="213">
        <v>500000</v>
      </c>
      <c r="F16" s="22">
        <v>0</v>
      </c>
      <c r="G16" s="213">
        <v>500000</v>
      </c>
    </row>
    <row r="17" spans="1:7" ht="19.5" customHeight="1">
      <c r="A17" s="27">
        <v>12</v>
      </c>
      <c r="B17" s="135" t="s">
        <v>467</v>
      </c>
      <c r="C17" s="204" t="s">
        <v>50</v>
      </c>
      <c r="D17" s="27" t="s">
        <v>54</v>
      </c>
      <c r="E17" s="213">
        <v>500000</v>
      </c>
      <c r="F17" s="22">
        <v>0</v>
      </c>
      <c r="G17" s="213">
        <v>500000</v>
      </c>
    </row>
    <row r="18" spans="1:7" ht="19.5" customHeight="1">
      <c r="A18" s="27">
        <v>13</v>
      </c>
      <c r="B18" s="135" t="s">
        <v>566</v>
      </c>
      <c r="C18" s="204" t="s">
        <v>567</v>
      </c>
      <c r="D18" s="27" t="s">
        <v>54</v>
      </c>
      <c r="E18" s="213">
        <v>500000</v>
      </c>
      <c r="F18" s="22">
        <v>0</v>
      </c>
      <c r="G18" s="213">
        <v>500000</v>
      </c>
    </row>
    <row r="19" spans="1:7" ht="20.100000000000001" customHeight="1">
      <c r="A19" s="27">
        <v>14</v>
      </c>
      <c r="B19" s="133" t="s">
        <v>49</v>
      </c>
      <c r="C19" s="204" t="s">
        <v>50</v>
      </c>
      <c r="D19" s="158" t="s">
        <v>54</v>
      </c>
      <c r="E19" s="213">
        <v>500000</v>
      </c>
      <c r="F19" s="22">
        <v>0</v>
      </c>
      <c r="G19" s="213">
        <v>500000</v>
      </c>
    </row>
    <row r="20" spans="1:7" ht="20.100000000000001" customHeight="1">
      <c r="A20" s="27">
        <v>15</v>
      </c>
      <c r="B20" s="133" t="s">
        <v>58</v>
      </c>
      <c r="C20" s="203" t="s">
        <v>59</v>
      </c>
      <c r="D20" s="158" t="s">
        <v>643</v>
      </c>
      <c r="E20" s="213">
        <v>500000</v>
      </c>
      <c r="F20" s="213">
        <v>500000</v>
      </c>
      <c r="G20" s="22">
        <v>0</v>
      </c>
    </row>
    <row r="21" spans="1:7" ht="20.100000000000001" customHeight="1">
      <c r="A21" s="27">
        <v>16</v>
      </c>
      <c r="B21" s="134" t="s">
        <v>61</v>
      </c>
      <c r="C21" s="204" t="s">
        <v>62</v>
      </c>
      <c r="D21" s="158" t="s">
        <v>644</v>
      </c>
      <c r="E21" s="213">
        <v>500000</v>
      </c>
      <c r="F21" s="213">
        <v>500000</v>
      </c>
      <c r="G21" s="22">
        <v>0</v>
      </c>
    </row>
    <row r="22" spans="1:7" ht="20.100000000000001" customHeight="1">
      <c r="A22" s="27">
        <v>17</v>
      </c>
      <c r="B22" s="133" t="s">
        <v>206</v>
      </c>
      <c r="C22" s="203" t="s">
        <v>207</v>
      </c>
      <c r="D22" s="158" t="s">
        <v>66</v>
      </c>
      <c r="E22" s="213">
        <v>400000</v>
      </c>
      <c r="F22" s="213">
        <v>400000</v>
      </c>
      <c r="G22" s="22">
        <v>0</v>
      </c>
    </row>
    <row r="23" spans="1:7" ht="18.75" customHeight="1">
      <c r="A23" s="27">
        <v>18</v>
      </c>
      <c r="B23" s="133" t="s">
        <v>64</v>
      </c>
      <c r="C23" s="203" t="s">
        <v>65</v>
      </c>
      <c r="D23" s="158" t="s">
        <v>69</v>
      </c>
      <c r="E23" s="213">
        <v>400000</v>
      </c>
      <c r="F23" s="213">
        <v>400000</v>
      </c>
      <c r="G23" s="22">
        <v>0</v>
      </c>
    </row>
    <row r="24" spans="1:7" ht="18.75" customHeight="1">
      <c r="A24" s="27">
        <v>19</v>
      </c>
      <c r="B24" s="133" t="s">
        <v>204</v>
      </c>
      <c r="C24" s="204" t="s">
        <v>205</v>
      </c>
      <c r="D24" s="158" t="s">
        <v>69</v>
      </c>
      <c r="E24" s="213">
        <v>400000</v>
      </c>
      <c r="F24" s="213">
        <v>400000</v>
      </c>
      <c r="G24" s="22">
        <v>0</v>
      </c>
    </row>
    <row r="25" spans="1:7" ht="18.75" customHeight="1">
      <c r="A25" s="27">
        <v>20</v>
      </c>
      <c r="B25" s="134" t="s">
        <v>252</v>
      </c>
      <c r="C25" s="204" t="s">
        <v>584</v>
      </c>
      <c r="D25" s="158" t="s">
        <v>257</v>
      </c>
      <c r="E25" s="213">
        <v>300000</v>
      </c>
      <c r="F25" s="213">
        <v>300000</v>
      </c>
      <c r="G25" s="22">
        <v>0</v>
      </c>
    </row>
    <row r="26" spans="1:7" ht="18.75" customHeight="1">
      <c r="A26" s="27">
        <v>21</v>
      </c>
      <c r="B26" s="134" t="s">
        <v>568</v>
      </c>
      <c r="C26" s="203" t="s">
        <v>88</v>
      </c>
      <c r="D26" s="158" t="s">
        <v>157</v>
      </c>
      <c r="E26" s="213">
        <v>300000</v>
      </c>
      <c r="F26" s="213">
        <v>300000</v>
      </c>
      <c r="G26" s="22">
        <v>0</v>
      </c>
    </row>
    <row r="27" spans="1:7" ht="18.75" customHeight="1">
      <c r="A27" s="27">
        <v>22</v>
      </c>
      <c r="B27" s="19" t="s">
        <v>73</v>
      </c>
      <c r="C27" s="204" t="s">
        <v>74</v>
      </c>
      <c r="D27" s="27" t="s">
        <v>79</v>
      </c>
      <c r="E27" s="213">
        <v>300000</v>
      </c>
      <c r="F27" s="213">
        <v>300000</v>
      </c>
      <c r="G27" s="22">
        <v>0</v>
      </c>
    </row>
    <row r="28" spans="1:7" ht="18.75" customHeight="1">
      <c r="A28" s="27">
        <v>23</v>
      </c>
      <c r="B28" s="134" t="s">
        <v>76</v>
      </c>
      <c r="C28" s="203" t="s">
        <v>74</v>
      </c>
      <c r="D28" s="158" t="s">
        <v>79</v>
      </c>
      <c r="E28" s="213">
        <v>300000</v>
      </c>
      <c r="F28" s="213">
        <v>300000</v>
      </c>
      <c r="G28" s="22">
        <v>0</v>
      </c>
    </row>
    <row r="29" spans="1:7" ht="18.75" customHeight="1">
      <c r="A29" s="27">
        <v>24</v>
      </c>
      <c r="B29" s="133" t="s">
        <v>468</v>
      </c>
      <c r="C29" s="203" t="s">
        <v>469</v>
      </c>
      <c r="D29" s="158" t="s">
        <v>79</v>
      </c>
      <c r="E29" s="213">
        <v>300000</v>
      </c>
      <c r="F29" s="213">
        <v>300000</v>
      </c>
      <c r="G29" s="22">
        <v>0</v>
      </c>
    </row>
    <row r="30" spans="1:7" ht="18.75" customHeight="1">
      <c r="A30" s="27">
        <v>25</v>
      </c>
      <c r="B30" s="134" t="s">
        <v>77</v>
      </c>
      <c r="C30" s="203" t="s">
        <v>412</v>
      </c>
      <c r="D30" s="158" t="s">
        <v>647</v>
      </c>
      <c r="E30" s="213">
        <v>300000</v>
      </c>
      <c r="F30" s="213">
        <v>300000</v>
      </c>
      <c r="G30" s="22">
        <v>0</v>
      </c>
    </row>
    <row r="31" spans="1:7" ht="18.75" customHeight="1">
      <c r="A31" s="27">
        <v>26</v>
      </c>
      <c r="B31" s="133" t="s">
        <v>185</v>
      </c>
      <c r="C31" s="205" t="s">
        <v>586</v>
      </c>
      <c r="D31" s="158" t="s">
        <v>648</v>
      </c>
      <c r="E31" s="213">
        <v>300000</v>
      </c>
      <c r="F31" s="213">
        <v>300000</v>
      </c>
      <c r="G31" s="22">
        <v>0</v>
      </c>
    </row>
    <row r="32" spans="1:7" ht="18.75" customHeight="1">
      <c r="A32" s="27">
        <v>27</v>
      </c>
      <c r="B32" s="134" t="s">
        <v>80</v>
      </c>
      <c r="C32" s="204" t="s">
        <v>470</v>
      </c>
      <c r="D32" s="27" t="s">
        <v>648</v>
      </c>
      <c r="E32" s="213">
        <v>300000</v>
      </c>
      <c r="F32" s="213">
        <v>300000</v>
      </c>
      <c r="G32" s="22">
        <v>0</v>
      </c>
    </row>
    <row r="33" spans="1:7" ht="18.75" customHeight="1">
      <c r="A33" s="27">
        <v>28</v>
      </c>
      <c r="B33" s="134" t="s">
        <v>82</v>
      </c>
      <c r="C33" s="205" t="s">
        <v>83</v>
      </c>
      <c r="D33" s="158" t="s">
        <v>79</v>
      </c>
      <c r="E33" s="213">
        <v>300000</v>
      </c>
      <c r="F33" s="213">
        <v>300000</v>
      </c>
      <c r="G33" s="22">
        <v>0</v>
      </c>
    </row>
    <row r="34" spans="1:7" ht="18.75" customHeight="1">
      <c r="A34" s="27">
        <v>29</v>
      </c>
      <c r="B34" s="134" t="s">
        <v>708</v>
      </c>
      <c r="C34" s="205" t="s">
        <v>83</v>
      </c>
      <c r="D34" s="158" t="s">
        <v>90</v>
      </c>
      <c r="E34" s="213">
        <v>300000</v>
      </c>
      <c r="F34" s="213">
        <v>300000</v>
      </c>
      <c r="G34" s="22">
        <v>0</v>
      </c>
    </row>
    <row r="35" spans="1:7" ht="18.75" customHeight="1">
      <c r="A35" s="27">
        <v>30</v>
      </c>
      <c r="B35" s="134" t="s">
        <v>84</v>
      </c>
      <c r="C35" s="204" t="s">
        <v>587</v>
      </c>
      <c r="D35" s="27" t="s">
        <v>90</v>
      </c>
      <c r="E35" s="213">
        <v>300000</v>
      </c>
      <c r="F35" s="213">
        <v>300000</v>
      </c>
      <c r="G35" s="22">
        <v>0</v>
      </c>
    </row>
    <row r="36" spans="1:7" ht="18.75" customHeight="1">
      <c r="A36" s="27">
        <v>31</v>
      </c>
      <c r="B36" s="134" t="s">
        <v>87</v>
      </c>
      <c r="C36" s="203" t="s">
        <v>88</v>
      </c>
      <c r="D36" s="158" t="s">
        <v>90</v>
      </c>
      <c r="E36" s="213">
        <v>300000</v>
      </c>
      <c r="F36" s="213">
        <v>300000</v>
      </c>
      <c r="G36" s="22">
        <v>0</v>
      </c>
    </row>
    <row r="37" spans="1:7" ht="18.75" customHeight="1">
      <c r="A37" s="27">
        <v>32</v>
      </c>
      <c r="B37" s="134" t="s">
        <v>569</v>
      </c>
      <c r="C37" s="203" t="s">
        <v>88</v>
      </c>
      <c r="D37" s="158" t="s">
        <v>90</v>
      </c>
      <c r="E37" s="213">
        <v>300000</v>
      </c>
      <c r="F37" s="213">
        <v>300000</v>
      </c>
      <c r="G37" s="22">
        <v>0</v>
      </c>
    </row>
    <row r="38" spans="1:7" ht="26.25" customHeight="1">
      <c r="A38" s="27"/>
      <c r="B38" s="136" t="s">
        <v>91</v>
      </c>
      <c r="C38" s="206">
        <v>29</v>
      </c>
      <c r="D38" s="158"/>
      <c r="E38" s="214">
        <f>SUM(E6:E37)</f>
        <v>15700000</v>
      </c>
      <c r="F38" s="214">
        <f>SUM(F6:F37)</f>
        <v>6100000</v>
      </c>
      <c r="G38" s="214">
        <f t="shared" ref="G38" si="1">SUM(G6:G37)</f>
        <v>9600000</v>
      </c>
    </row>
    <row r="39" spans="1:7" ht="18.75" customHeight="1">
      <c r="A39" s="27"/>
      <c r="B39" s="103"/>
      <c r="C39" s="204"/>
      <c r="D39" s="158"/>
      <c r="E39" s="214"/>
      <c r="F39" s="213"/>
      <c r="G39" s="214"/>
    </row>
    <row r="40" spans="1:7" ht="18.75" customHeight="1">
      <c r="A40" s="27"/>
      <c r="B40" s="136" t="s">
        <v>92</v>
      </c>
      <c r="C40" s="204"/>
      <c r="D40" s="158"/>
      <c r="E40" s="213"/>
      <c r="F40" s="213"/>
      <c r="G40" s="213"/>
    </row>
    <row r="41" spans="1:7" ht="18.75" customHeight="1">
      <c r="A41" s="27">
        <v>1</v>
      </c>
      <c r="B41" s="134" t="s">
        <v>93</v>
      </c>
      <c r="C41" s="204" t="s">
        <v>94</v>
      </c>
      <c r="D41" s="27" t="s">
        <v>650</v>
      </c>
      <c r="E41" s="213">
        <v>1000000</v>
      </c>
      <c r="F41" s="22">
        <v>0</v>
      </c>
      <c r="G41" s="213">
        <v>1000000</v>
      </c>
    </row>
    <row r="42" spans="1:7" ht="18.75" customHeight="1">
      <c r="A42" s="27">
        <v>2</v>
      </c>
      <c r="B42" s="134" t="s">
        <v>96</v>
      </c>
      <c r="C42" s="204" t="s">
        <v>97</v>
      </c>
      <c r="D42" s="27" t="s">
        <v>90</v>
      </c>
      <c r="E42" s="213">
        <v>300000</v>
      </c>
      <c r="F42" s="213">
        <v>300000</v>
      </c>
      <c r="G42" s="22">
        <v>0</v>
      </c>
    </row>
    <row r="43" spans="1:7" ht="19.5" customHeight="1">
      <c r="A43" s="27"/>
      <c r="B43" s="135"/>
      <c r="C43" s="206">
        <v>2</v>
      </c>
      <c r="D43" s="27"/>
      <c r="E43" s="214">
        <f>SUM(E41:E42)</f>
        <v>1300000</v>
      </c>
      <c r="F43" s="214">
        <f t="shared" ref="F43:G43" si="2">SUM(F41:F42)</f>
        <v>300000</v>
      </c>
      <c r="G43" s="214">
        <f t="shared" si="2"/>
        <v>1000000</v>
      </c>
    </row>
    <row r="44" spans="1:7" ht="20.100000000000001" customHeight="1">
      <c r="A44" s="27"/>
      <c r="B44" s="135"/>
      <c r="C44" s="204"/>
      <c r="D44" s="27"/>
      <c r="E44" s="213"/>
      <c r="F44" s="213"/>
      <c r="G44" s="213"/>
    </row>
    <row r="45" spans="1:7" ht="20.100000000000001" customHeight="1">
      <c r="A45" s="27"/>
      <c r="B45" s="162" t="s">
        <v>100</v>
      </c>
      <c r="C45" s="207"/>
      <c r="D45" s="151"/>
      <c r="E45" s="213"/>
      <c r="F45" s="213"/>
      <c r="G45" s="213"/>
    </row>
    <row r="46" spans="1:7" ht="20.100000000000001" customHeight="1">
      <c r="A46" s="27">
        <v>1</v>
      </c>
      <c r="B46" s="133" t="s">
        <v>101</v>
      </c>
      <c r="C46" s="204" t="s">
        <v>102</v>
      </c>
      <c r="D46" s="27" t="s">
        <v>95</v>
      </c>
      <c r="E46" s="213">
        <v>1000000</v>
      </c>
      <c r="F46" s="22">
        <v>0</v>
      </c>
      <c r="G46" s="213">
        <v>1000000</v>
      </c>
    </row>
    <row r="47" spans="1:7" ht="20.100000000000001" customHeight="1">
      <c r="A47" s="27">
        <v>2</v>
      </c>
      <c r="B47" s="133" t="s">
        <v>103</v>
      </c>
      <c r="C47" s="204" t="s">
        <v>104</v>
      </c>
      <c r="D47" s="27" t="s">
        <v>45</v>
      </c>
      <c r="E47" s="213">
        <v>700000</v>
      </c>
      <c r="F47" s="22">
        <v>0</v>
      </c>
      <c r="G47" s="213">
        <v>700000</v>
      </c>
    </row>
    <row r="48" spans="1:7" ht="20.100000000000001" customHeight="1">
      <c r="A48" s="27">
        <v>3</v>
      </c>
      <c r="B48" s="133" t="s">
        <v>105</v>
      </c>
      <c r="C48" s="204" t="s">
        <v>109</v>
      </c>
      <c r="D48" s="27" t="s">
        <v>45</v>
      </c>
      <c r="E48" s="213">
        <v>700000</v>
      </c>
      <c r="F48" s="22">
        <v>0</v>
      </c>
      <c r="G48" s="213">
        <v>700000</v>
      </c>
    </row>
    <row r="49" spans="1:7" ht="20.100000000000001" customHeight="1">
      <c r="A49" s="27">
        <v>4</v>
      </c>
      <c r="B49" s="133" t="s">
        <v>108</v>
      </c>
      <c r="C49" s="204" t="s">
        <v>109</v>
      </c>
      <c r="D49" s="27" t="s">
        <v>111</v>
      </c>
      <c r="E49" s="213">
        <v>700000</v>
      </c>
      <c r="F49" s="22">
        <v>0</v>
      </c>
      <c r="G49" s="213">
        <v>700000</v>
      </c>
    </row>
    <row r="50" spans="1:7" ht="20.100000000000001" customHeight="1">
      <c r="A50" s="27">
        <v>5</v>
      </c>
      <c r="B50" s="133" t="s">
        <v>110</v>
      </c>
      <c r="C50" s="204" t="s">
        <v>109</v>
      </c>
      <c r="D50" s="27" t="s">
        <v>48</v>
      </c>
      <c r="E50" s="213">
        <v>700000</v>
      </c>
      <c r="F50" s="22">
        <v>0</v>
      </c>
      <c r="G50" s="213">
        <v>700000</v>
      </c>
    </row>
    <row r="51" spans="1:7" ht="20.100000000000001" customHeight="1">
      <c r="A51" s="27">
        <v>6</v>
      </c>
      <c r="B51" s="133" t="s">
        <v>112</v>
      </c>
      <c r="C51" s="204" t="s">
        <v>115</v>
      </c>
      <c r="D51" s="27" t="s">
        <v>54</v>
      </c>
      <c r="E51" s="213">
        <v>500000</v>
      </c>
      <c r="F51" s="22">
        <v>0</v>
      </c>
      <c r="G51" s="213">
        <v>500000</v>
      </c>
    </row>
    <row r="52" spans="1:7" ht="20.100000000000001" customHeight="1">
      <c r="A52" s="27">
        <v>7</v>
      </c>
      <c r="B52" s="135" t="s">
        <v>113</v>
      </c>
      <c r="C52" s="204" t="s">
        <v>53</v>
      </c>
      <c r="D52" s="23" t="s">
        <v>54</v>
      </c>
      <c r="E52" s="213">
        <v>500000</v>
      </c>
      <c r="F52" s="22">
        <v>0</v>
      </c>
      <c r="G52" s="213">
        <v>500000</v>
      </c>
    </row>
    <row r="53" spans="1:7" ht="20.100000000000001" customHeight="1">
      <c r="A53" s="27">
        <v>8</v>
      </c>
      <c r="B53" s="133" t="s">
        <v>473</v>
      </c>
      <c r="C53" s="204" t="s">
        <v>53</v>
      </c>
      <c r="D53" s="27" t="s">
        <v>116</v>
      </c>
      <c r="E53" s="213">
        <v>500000</v>
      </c>
      <c r="F53" s="22">
        <v>0</v>
      </c>
      <c r="G53" s="213">
        <v>500000</v>
      </c>
    </row>
    <row r="54" spans="1:7" ht="20.100000000000001" customHeight="1">
      <c r="A54" s="27">
        <v>9</v>
      </c>
      <c r="B54" s="133" t="s">
        <v>114</v>
      </c>
      <c r="C54" s="204" t="s">
        <v>167</v>
      </c>
      <c r="D54" s="27" t="s">
        <v>60</v>
      </c>
      <c r="E54" s="213">
        <v>500000</v>
      </c>
      <c r="F54" s="213">
        <v>500000</v>
      </c>
      <c r="G54" s="22">
        <v>0</v>
      </c>
    </row>
    <row r="55" spans="1:7" ht="20.100000000000001" customHeight="1">
      <c r="A55" s="27">
        <v>10</v>
      </c>
      <c r="B55" s="133" t="s">
        <v>119</v>
      </c>
      <c r="C55" s="204" t="s">
        <v>118</v>
      </c>
      <c r="D55" s="27" t="s">
        <v>79</v>
      </c>
      <c r="E55" s="213">
        <v>300000</v>
      </c>
      <c r="F55" s="213">
        <v>300000</v>
      </c>
      <c r="G55" s="22">
        <v>0</v>
      </c>
    </row>
    <row r="56" spans="1:7" ht="20.100000000000001" customHeight="1">
      <c r="A56" s="27">
        <v>11</v>
      </c>
      <c r="B56" s="133" t="s">
        <v>120</v>
      </c>
      <c r="C56" s="204" t="s">
        <v>118</v>
      </c>
      <c r="D56" s="27" t="s">
        <v>79</v>
      </c>
      <c r="E56" s="213">
        <v>300000</v>
      </c>
      <c r="F56" s="213">
        <v>300000</v>
      </c>
      <c r="G56" s="22">
        <v>0</v>
      </c>
    </row>
    <row r="57" spans="1:7" ht="20.100000000000001" customHeight="1">
      <c r="A57" s="27">
        <v>12</v>
      </c>
      <c r="B57" s="133" t="s">
        <v>121</v>
      </c>
      <c r="C57" s="204" t="s">
        <v>118</v>
      </c>
      <c r="D57" s="27" t="s">
        <v>79</v>
      </c>
      <c r="E57" s="213">
        <v>300000</v>
      </c>
      <c r="F57" s="213">
        <v>300000</v>
      </c>
      <c r="G57" s="22">
        <v>0</v>
      </c>
    </row>
    <row r="58" spans="1:7" ht="25.5" customHeight="1">
      <c r="A58" s="27"/>
      <c r="B58" s="136" t="s">
        <v>91</v>
      </c>
      <c r="C58" s="206">
        <v>11</v>
      </c>
      <c r="D58" s="28"/>
      <c r="E58" s="215">
        <f>SUM(E46:E57)</f>
        <v>6700000</v>
      </c>
      <c r="F58" s="215">
        <f t="shared" ref="F58:G58" si="3">SUM(F46:F57)</f>
        <v>1400000</v>
      </c>
      <c r="G58" s="215">
        <f t="shared" si="3"/>
        <v>5300000</v>
      </c>
    </row>
    <row r="59" spans="1:7" ht="20.100000000000001" customHeight="1">
      <c r="A59" s="27"/>
      <c r="B59" s="103"/>
      <c r="C59" s="206"/>
      <c r="D59" s="28"/>
      <c r="E59" s="216"/>
      <c r="F59" s="216"/>
      <c r="G59" s="216"/>
    </row>
    <row r="60" spans="1:7" ht="20.100000000000001" customHeight="1">
      <c r="A60" s="27"/>
      <c r="B60" s="136" t="s">
        <v>122</v>
      </c>
      <c r="C60" s="206"/>
      <c r="D60" s="28"/>
      <c r="E60" s="216"/>
      <c r="F60" s="216"/>
      <c r="G60" s="216"/>
    </row>
    <row r="61" spans="1:7" ht="20.100000000000001" customHeight="1">
      <c r="A61" s="27">
        <v>1</v>
      </c>
      <c r="B61" s="133" t="s">
        <v>123</v>
      </c>
      <c r="C61" s="203" t="s">
        <v>124</v>
      </c>
      <c r="D61" s="158" t="s">
        <v>95</v>
      </c>
      <c r="E61" s="213">
        <f>1000000/2</f>
        <v>500000</v>
      </c>
      <c r="F61" s="22">
        <v>0</v>
      </c>
      <c r="G61" s="213">
        <f t="shared" ref="G61" si="4">1000000/2</f>
        <v>500000</v>
      </c>
    </row>
    <row r="62" spans="1:7" ht="20.100000000000001" customHeight="1">
      <c r="A62" s="27"/>
      <c r="B62" s="136" t="s">
        <v>91</v>
      </c>
      <c r="C62" s="206">
        <v>2</v>
      </c>
      <c r="D62" s="28"/>
      <c r="E62" s="215">
        <f>SUM(E61)</f>
        <v>500000</v>
      </c>
      <c r="F62" s="65">
        <f t="shared" ref="F62:G62" si="5">SUM(F61)</f>
        <v>0</v>
      </c>
      <c r="G62" s="215">
        <f t="shared" si="5"/>
        <v>500000</v>
      </c>
    </row>
    <row r="63" spans="1:7" ht="20.100000000000001" customHeight="1">
      <c r="A63" s="27"/>
      <c r="B63" s="136"/>
      <c r="C63" s="206"/>
      <c r="D63" s="28"/>
      <c r="E63" s="216"/>
      <c r="F63" s="216"/>
      <c r="G63" s="216"/>
    </row>
    <row r="64" spans="1:7" ht="20.100000000000001" customHeight="1">
      <c r="A64" s="27"/>
      <c r="B64" s="136" t="s">
        <v>128</v>
      </c>
      <c r="C64" s="206"/>
      <c r="D64" s="28"/>
      <c r="E64" s="216"/>
      <c r="F64" s="216"/>
      <c r="G64" s="216"/>
    </row>
    <row r="65" spans="1:7" ht="20.100000000000001" customHeight="1">
      <c r="A65" s="27">
        <v>1</v>
      </c>
      <c r="B65" s="133" t="s">
        <v>129</v>
      </c>
      <c r="C65" s="205" t="s">
        <v>130</v>
      </c>
      <c r="D65" s="27" t="s">
        <v>95</v>
      </c>
      <c r="E65" s="217">
        <f>1000000/2</f>
        <v>500000</v>
      </c>
      <c r="F65" s="24">
        <v>0</v>
      </c>
      <c r="G65" s="217">
        <f t="shared" ref="G65" si="6">1000000/2</f>
        <v>500000</v>
      </c>
    </row>
    <row r="66" spans="1:7" ht="20.100000000000001" customHeight="1">
      <c r="A66" s="27">
        <v>2</v>
      </c>
      <c r="B66" s="134" t="s">
        <v>131</v>
      </c>
      <c r="C66" s="205" t="s">
        <v>132</v>
      </c>
      <c r="D66" s="158" t="s">
        <v>133</v>
      </c>
      <c r="E66" s="213">
        <f>700000/2</f>
        <v>350000</v>
      </c>
      <c r="F66" s="24">
        <v>0</v>
      </c>
      <c r="G66" s="213">
        <f t="shared" ref="G66" si="7">700000/2</f>
        <v>350000</v>
      </c>
    </row>
    <row r="67" spans="1:7" ht="20.100000000000001" customHeight="1">
      <c r="A67" s="27">
        <v>3</v>
      </c>
      <c r="B67" s="133" t="s">
        <v>134</v>
      </c>
      <c r="C67" s="204" t="s">
        <v>136</v>
      </c>
      <c r="D67" s="27" t="s">
        <v>60</v>
      </c>
      <c r="E67" s="217">
        <v>500000</v>
      </c>
      <c r="F67" s="217">
        <v>500000</v>
      </c>
      <c r="G67" s="24">
        <v>0</v>
      </c>
    </row>
    <row r="68" spans="1:7" ht="20.100000000000001" customHeight="1">
      <c r="A68" s="27">
        <v>4</v>
      </c>
      <c r="B68" s="134" t="s">
        <v>135</v>
      </c>
      <c r="C68" s="205" t="s">
        <v>136</v>
      </c>
      <c r="D68" s="158" t="s">
        <v>643</v>
      </c>
      <c r="E68" s="217">
        <v>500000</v>
      </c>
      <c r="F68" s="217">
        <v>500000</v>
      </c>
      <c r="G68" s="24">
        <v>0</v>
      </c>
    </row>
    <row r="69" spans="1:7" ht="20.100000000000001" customHeight="1">
      <c r="A69" s="27">
        <v>5</v>
      </c>
      <c r="B69" s="135" t="s">
        <v>137</v>
      </c>
      <c r="C69" s="205" t="s">
        <v>53</v>
      </c>
      <c r="D69" s="158" t="s">
        <v>54</v>
      </c>
      <c r="E69" s="217">
        <v>500000</v>
      </c>
      <c r="F69" s="24">
        <v>0</v>
      </c>
      <c r="G69" s="217">
        <v>500000</v>
      </c>
    </row>
    <row r="70" spans="1:7" ht="20.100000000000001" customHeight="1">
      <c r="A70" s="27">
        <v>6</v>
      </c>
      <c r="B70" s="133" t="s">
        <v>138</v>
      </c>
      <c r="C70" s="204" t="s">
        <v>118</v>
      </c>
      <c r="D70" s="27" t="s">
        <v>652</v>
      </c>
      <c r="E70" s="213">
        <v>300000</v>
      </c>
      <c r="F70" s="217">
        <v>300000</v>
      </c>
      <c r="G70" s="24">
        <v>0</v>
      </c>
    </row>
    <row r="71" spans="1:7" ht="20.100000000000001" customHeight="1">
      <c r="A71" s="27">
        <v>7</v>
      </c>
      <c r="B71" s="133" t="s">
        <v>202</v>
      </c>
      <c r="C71" s="205" t="s">
        <v>140</v>
      </c>
      <c r="D71" s="158" t="s">
        <v>66</v>
      </c>
      <c r="E71" s="213">
        <v>400000</v>
      </c>
      <c r="F71" s="217">
        <v>400000</v>
      </c>
      <c r="G71" s="22">
        <v>0</v>
      </c>
    </row>
    <row r="72" spans="1:7" ht="20.100000000000001" customHeight="1">
      <c r="A72" s="27">
        <v>8</v>
      </c>
      <c r="B72" s="133" t="s">
        <v>139</v>
      </c>
      <c r="C72" s="205" t="s">
        <v>140</v>
      </c>
      <c r="D72" s="158" t="s">
        <v>69</v>
      </c>
      <c r="E72" s="213">
        <v>400000</v>
      </c>
      <c r="F72" s="217">
        <v>400000</v>
      </c>
      <c r="G72" s="22">
        <v>0</v>
      </c>
    </row>
    <row r="73" spans="1:7" ht="20.100000000000001" customHeight="1">
      <c r="A73" s="27">
        <v>9</v>
      </c>
      <c r="B73" s="133" t="s">
        <v>141</v>
      </c>
      <c r="C73" s="205" t="s">
        <v>140</v>
      </c>
      <c r="D73" s="158" t="s">
        <v>69</v>
      </c>
      <c r="E73" s="213">
        <v>400000</v>
      </c>
      <c r="F73" s="217">
        <v>400000</v>
      </c>
      <c r="G73" s="22">
        <v>0</v>
      </c>
    </row>
    <row r="74" spans="1:7" ht="20.100000000000001" customHeight="1">
      <c r="A74" s="27">
        <v>10</v>
      </c>
      <c r="B74" s="133" t="s">
        <v>142</v>
      </c>
      <c r="C74" s="204" t="s">
        <v>143</v>
      </c>
      <c r="D74" s="27" t="s">
        <v>69</v>
      </c>
      <c r="E74" s="213">
        <v>400000</v>
      </c>
      <c r="F74" s="217">
        <v>400000</v>
      </c>
      <c r="G74" s="22">
        <v>0</v>
      </c>
    </row>
    <row r="75" spans="1:7" ht="20.100000000000001" customHeight="1">
      <c r="A75" s="27">
        <v>11</v>
      </c>
      <c r="B75" s="133" t="s">
        <v>570</v>
      </c>
      <c r="C75" s="205" t="s">
        <v>118</v>
      </c>
      <c r="D75" s="27" t="s">
        <v>72</v>
      </c>
      <c r="E75" s="213">
        <v>300000</v>
      </c>
      <c r="F75" s="217">
        <v>300000</v>
      </c>
      <c r="G75" s="22">
        <v>0</v>
      </c>
    </row>
    <row r="76" spans="1:7" ht="20.100000000000001" customHeight="1">
      <c r="A76" s="27">
        <v>12</v>
      </c>
      <c r="B76" s="133" t="s">
        <v>145</v>
      </c>
      <c r="C76" s="205" t="s">
        <v>68</v>
      </c>
      <c r="D76" s="27" t="s">
        <v>79</v>
      </c>
      <c r="E76" s="213">
        <v>300000</v>
      </c>
      <c r="F76" s="217">
        <v>300000</v>
      </c>
      <c r="G76" s="22">
        <v>0</v>
      </c>
    </row>
    <row r="77" spans="1:7" ht="20.100000000000001" customHeight="1">
      <c r="A77" s="27">
        <v>13</v>
      </c>
      <c r="B77" s="135" t="s">
        <v>67</v>
      </c>
      <c r="C77" s="205" t="s">
        <v>68</v>
      </c>
      <c r="D77" s="27" t="s">
        <v>90</v>
      </c>
      <c r="E77" s="213">
        <v>300000</v>
      </c>
      <c r="F77" s="213">
        <v>300000</v>
      </c>
      <c r="G77" s="22">
        <v>0</v>
      </c>
    </row>
    <row r="78" spans="1:7" ht="20.100000000000001" customHeight="1">
      <c r="A78" s="27"/>
      <c r="B78" s="136" t="s">
        <v>91</v>
      </c>
      <c r="C78" s="206">
        <v>13</v>
      </c>
      <c r="D78" s="28"/>
      <c r="E78" s="215">
        <f>SUM(E65:E77)</f>
        <v>5150000</v>
      </c>
      <c r="F78" s="215">
        <f t="shared" ref="F78:G78" si="8">SUM(F65:F77)</f>
        <v>3800000</v>
      </c>
      <c r="G78" s="215">
        <f t="shared" si="8"/>
        <v>1350000</v>
      </c>
    </row>
    <row r="79" spans="1:7" ht="20.100000000000001" customHeight="1">
      <c r="A79" s="27"/>
      <c r="B79" s="103"/>
      <c r="C79" s="206"/>
      <c r="D79" s="28"/>
      <c r="E79" s="216"/>
      <c r="F79" s="216"/>
      <c r="G79" s="216"/>
    </row>
    <row r="80" spans="1:7" ht="20.100000000000001" customHeight="1">
      <c r="A80" s="27"/>
      <c r="B80" s="136" t="s">
        <v>146</v>
      </c>
      <c r="C80" s="206"/>
      <c r="D80" s="28"/>
      <c r="E80" s="216"/>
      <c r="F80" s="216"/>
      <c r="G80" s="216"/>
    </row>
    <row r="81" spans="1:7" ht="20.100000000000001" customHeight="1">
      <c r="A81" s="27">
        <v>1</v>
      </c>
      <c r="B81" s="133" t="s">
        <v>147</v>
      </c>
      <c r="C81" s="204" t="s">
        <v>148</v>
      </c>
      <c r="D81" s="27" t="s">
        <v>95</v>
      </c>
      <c r="E81" s="213">
        <v>1000000</v>
      </c>
      <c r="F81" s="22">
        <v>0</v>
      </c>
      <c r="G81" s="213">
        <v>1000000</v>
      </c>
    </row>
    <row r="82" spans="1:7" ht="20.100000000000001" customHeight="1">
      <c r="A82" s="27">
        <v>2</v>
      </c>
      <c r="B82" s="135" t="s">
        <v>149</v>
      </c>
      <c r="C82" s="204" t="s">
        <v>150</v>
      </c>
      <c r="D82" s="158" t="s">
        <v>133</v>
      </c>
      <c r="E82" s="213">
        <v>700000</v>
      </c>
      <c r="F82" s="22">
        <v>0</v>
      </c>
      <c r="G82" s="213">
        <v>700000</v>
      </c>
    </row>
    <row r="83" spans="1:7" ht="20.100000000000001" customHeight="1">
      <c r="A83" s="27">
        <v>3</v>
      </c>
      <c r="B83" s="135" t="s">
        <v>571</v>
      </c>
      <c r="C83" s="204" t="s">
        <v>572</v>
      </c>
      <c r="D83" s="158" t="s">
        <v>133</v>
      </c>
      <c r="E83" s="213">
        <f>700000/2</f>
        <v>350000</v>
      </c>
      <c r="F83" s="22">
        <v>0</v>
      </c>
      <c r="G83" s="213">
        <f t="shared" ref="G83" si="9">700000/2</f>
        <v>350000</v>
      </c>
    </row>
    <row r="84" spans="1:7" ht="20.100000000000001" customHeight="1">
      <c r="A84" s="27">
        <v>4</v>
      </c>
      <c r="B84" s="133" t="s">
        <v>153</v>
      </c>
      <c r="C84" s="204" t="s">
        <v>414</v>
      </c>
      <c r="D84" s="158" t="s">
        <v>60</v>
      </c>
      <c r="E84" s="213">
        <v>500000</v>
      </c>
      <c r="F84" s="213">
        <v>500000</v>
      </c>
      <c r="G84" s="22">
        <v>0</v>
      </c>
    </row>
    <row r="85" spans="1:7" ht="20.100000000000001" customHeight="1">
      <c r="A85" s="27">
        <v>5</v>
      </c>
      <c r="B85" s="133" t="s">
        <v>155</v>
      </c>
      <c r="C85" s="204" t="s">
        <v>156</v>
      </c>
      <c r="D85" s="27" t="s">
        <v>72</v>
      </c>
      <c r="E85" s="213">
        <v>300000</v>
      </c>
      <c r="F85" s="213">
        <v>300000</v>
      </c>
      <c r="G85" s="22">
        <v>0</v>
      </c>
    </row>
    <row r="86" spans="1:7" ht="20.100000000000001" customHeight="1">
      <c r="A86" s="27"/>
      <c r="B86" s="136" t="s">
        <v>91</v>
      </c>
      <c r="C86" s="206">
        <v>5</v>
      </c>
      <c r="D86" s="28"/>
      <c r="E86" s="215">
        <f>SUM(E81:E85)</f>
        <v>2850000</v>
      </c>
      <c r="F86" s="215">
        <f>SUM(F81:F85)</f>
        <v>800000</v>
      </c>
      <c r="G86" s="215">
        <f t="shared" ref="G86" si="10">SUM(G81:G85)</f>
        <v>2050000</v>
      </c>
    </row>
    <row r="87" spans="1:7" ht="20.100000000000001" customHeight="1">
      <c r="A87" s="27"/>
      <c r="B87" s="136"/>
      <c r="C87" s="206"/>
      <c r="D87" s="28"/>
      <c r="E87" s="213"/>
      <c r="F87" s="213"/>
      <c r="G87" s="213"/>
    </row>
    <row r="88" spans="1:7" ht="20.100000000000001" customHeight="1">
      <c r="A88" s="27"/>
      <c r="B88" s="136" t="s">
        <v>161</v>
      </c>
      <c r="C88" s="208"/>
      <c r="D88" s="28"/>
      <c r="E88" s="213"/>
      <c r="F88" s="213"/>
      <c r="G88" s="213"/>
    </row>
    <row r="89" spans="1:7" ht="20.100000000000001" customHeight="1">
      <c r="A89" s="27">
        <v>1</v>
      </c>
      <c r="B89" s="133" t="s">
        <v>655</v>
      </c>
      <c r="C89" s="204" t="s">
        <v>590</v>
      </c>
      <c r="D89" s="27" t="s">
        <v>36</v>
      </c>
      <c r="E89" s="213">
        <v>700000</v>
      </c>
      <c r="F89" s="22">
        <v>0</v>
      </c>
      <c r="G89" s="213">
        <v>700000</v>
      </c>
    </row>
    <row r="90" spans="1:7" ht="20.100000000000001" customHeight="1">
      <c r="A90" s="27">
        <v>2</v>
      </c>
      <c r="B90" s="133" t="s">
        <v>162</v>
      </c>
      <c r="C90" s="204" t="s">
        <v>109</v>
      </c>
      <c r="D90" s="27" t="s">
        <v>45</v>
      </c>
      <c r="E90" s="213">
        <v>700000</v>
      </c>
      <c r="F90" s="22">
        <v>0</v>
      </c>
      <c r="G90" s="213">
        <v>700000</v>
      </c>
    </row>
    <row r="91" spans="1:7" ht="20.100000000000001" customHeight="1">
      <c r="A91" s="27">
        <v>3</v>
      </c>
      <c r="B91" s="133" t="s">
        <v>163</v>
      </c>
      <c r="C91" s="204" t="s">
        <v>109</v>
      </c>
      <c r="D91" s="27" t="s">
        <v>45</v>
      </c>
      <c r="E91" s="213">
        <v>700000</v>
      </c>
      <c r="F91" s="22">
        <v>0</v>
      </c>
      <c r="G91" s="213">
        <v>700000</v>
      </c>
    </row>
    <row r="92" spans="1:7" ht="20.100000000000001" customHeight="1">
      <c r="A92" s="27">
        <v>4</v>
      </c>
      <c r="B92" s="135" t="s">
        <v>164</v>
      </c>
      <c r="C92" s="204" t="s">
        <v>53</v>
      </c>
      <c r="D92" s="27" t="s">
        <v>51</v>
      </c>
      <c r="E92" s="217">
        <v>500000</v>
      </c>
      <c r="F92" s="22">
        <v>0</v>
      </c>
      <c r="G92" s="217">
        <v>500000</v>
      </c>
    </row>
    <row r="93" spans="1:7" ht="20.100000000000001" customHeight="1">
      <c r="A93" s="27">
        <v>5</v>
      </c>
      <c r="B93" s="133" t="s">
        <v>165</v>
      </c>
      <c r="C93" s="204" t="s">
        <v>115</v>
      </c>
      <c r="D93" s="27" t="s">
        <v>54</v>
      </c>
      <c r="E93" s="217">
        <v>500000</v>
      </c>
      <c r="F93" s="22">
        <v>0</v>
      </c>
      <c r="G93" s="217">
        <v>500000</v>
      </c>
    </row>
    <row r="94" spans="1:7" ht="21.6" customHeight="1">
      <c r="A94" s="27">
        <v>6</v>
      </c>
      <c r="B94" s="133" t="s">
        <v>166</v>
      </c>
      <c r="C94" s="204" t="s">
        <v>167</v>
      </c>
      <c r="D94" s="158" t="s">
        <v>60</v>
      </c>
      <c r="E94" s="217">
        <v>500000</v>
      </c>
      <c r="F94" s="213">
        <v>500000</v>
      </c>
      <c r="G94" s="24">
        <v>0</v>
      </c>
    </row>
    <row r="95" spans="1:7" ht="21.6" customHeight="1">
      <c r="A95" s="27">
        <v>7</v>
      </c>
      <c r="B95" s="133" t="s">
        <v>169</v>
      </c>
      <c r="C95" s="203" t="s">
        <v>136</v>
      </c>
      <c r="D95" s="158" t="s">
        <v>643</v>
      </c>
      <c r="E95" s="217">
        <v>500000</v>
      </c>
      <c r="F95" s="213">
        <v>500000</v>
      </c>
      <c r="G95" s="24">
        <v>0</v>
      </c>
    </row>
    <row r="96" spans="1:7" ht="21.6" customHeight="1">
      <c r="A96" s="27">
        <v>8</v>
      </c>
      <c r="B96" s="133" t="s">
        <v>170</v>
      </c>
      <c r="C96" s="203" t="s">
        <v>136</v>
      </c>
      <c r="D96" s="158" t="s">
        <v>643</v>
      </c>
      <c r="E96" s="217">
        <f>500000/2</f>
        <v>250000</v>
      </c>
      <c r="F96" s="217">
        <f>500000/2</f>
        <v>250000</v>
      </c>
      <c r="G96" s="24">
        <v>0</v>
      </c>
    </row>
    <row r="97" spans="1:7" ht="21.6" customHeight="1">
      <c r="A97" s="27">
        <v>9</v>
      </c>
      <c r="B97" s="133" t="s">
        <v>172</v>
      </c>
      <c r="C97" s="205" t="s">
        <v>140</v>
      </c>
      <c r="D97" s="158" t="s">
        <v>69</v>
      </c>
      <c r="E97" s="213">
        <v>400000</v>
      </c>
      <c r="F97" s="213">
        <v>400000</v>
      </c>
      <c r="G97" s="24">
        <v>0</v>
      </c>
    </row>
    <row r="98" spans="1:7" ht="21.6" customHeight="1">
      <c r="A98" s="27">
        <v>10</v>
      </c>
      <c r="B98" s="133" t="s">
        <v>174</v>
      </c>
      <c r="C98" s="204" t="s">
        <v>175</v>
      </c>
      <c r="D98" s="27" t="s">
        <v>72</v>
      </c>
      <c r="E98" s="213">
        <v>300000</v>
      </c>
      <c r="F98" s="213">
        <v>300000</v>
      </c>
      <c r="G98" s="24">
        <v>0</v>
      </c>
    </row>
    <row r="99" spans="1:7" ht="21.6" customHeight="1">
      <c r="A99" s="27">
        <v>11</v>
      </c>
      <c r="B99" s="133" t="s">
        <v>176</v>
      </c>
      <c r="C99" s="205" t="s">
        <v>177</v>
      </c>
      <c r="D99" s="158" t="s">
        <v>90</v>
      </c>
      <c r="E99" s="213">
        <v>300000</v>
      </c>
      <c r="F99" s="213">
        <v>300000</v>
      </c>
      <c r="G99" s="24">
        <v>0</v>
      </c>
    </row>
    <row r="100" spans="1:7" ht="20.100000000000001" customHeight="1">
      <c r="A100" s="27"/>
      <c r="B100" s="136" t="s">
        <v>91</v>
      </c>
      <c r="C100" s="206">
        <v>10</v>
      </c>
      <c r="D100" s="28"/>
      <c r="E100" s="215">
        <f>SUM(E89:E99)</f>
        <v>5350000</v>
      </c>
      <c r="F100" s="215">
        <f t="shared" ref="F100:G100" si="11">SUM(F89:F99)</f>
        <v>2250000</v>
      </c>
      <c r="G100" s="215">
        <f t="shared" si="11"/>
        <v>3100000</v>
      </c>
    </row>
    <row r="101" spans="1:7" ht="20.100000000000001" customHeight="1">
      <c r="A101" s="27"/>
      <c r="B101" s="103"/>
      <c r="C101" s="206"/>
      <c r="D101" s="28"/>
      <c r="E101" s="216"/>
      <c r="F101" s="216"/>
      <c r="G101" s="216"/>
    </row>
    <row r="102" spans="1:7" ht="20.100000000000001" customHeight="1">
      <c r="A102" s="27"/>
      <c r="B102" s="136" t="s">
        <v>709</v>
      </c>
      <c r="C102" s="206"/>
      <c r="D102" s="28"/>
      <c r="E102" s="216"/>
      <c r="F102" s="216"/>
      <c r="G102" s="216"/>
    </row>
    <row r="103" spans="1:7" ht="20.100000000000001" customHeight="1">
      <c r="A103" s="27">
        <v>1</v>
      </c>
      <c r="B103" s="134" t="s">
        <v>41</v>
      </c>
      <c r="C103" s="209" t="s">
        <v>42</v>
      </c>
      <c r="D103" s="158" t="s">
        <v>36</v>
      </c>
      <c r="E103" s="213">
        <v>700000</v>
      </c>
      <c r="F103" s="22">
        <v>0</v>
      </c>
      <c r="G103" s="213">
        <v>700000</v>
      </c>
    </row>
    <row r="104" spans="1:7" ht="20.100000000000001" customHeight="1">
      <c r="A104" s="27">
        <v>2</v>
      </c>
      <c r="B104" s="133" t="s">
        <v>46</v>
      </c>
      <c r="C104" s="204" t="s">
        <v>182</v>
      </c>
      <c r="D104" s="27" t="s">
        <v>54</v>
      </c>
      <c r="E104" s="213">
        <v>500000</v>
      </c>
      <c r="F104" s="22">
        <v>0</v>
      </c>
      <c r="G104" s="213">
        <v>500000</v>
      </c>
    </row>
    <row r="105" spans="1:7" ht="20.100000000000001" customHeight="1">
      <c r="A105" s="27">
        <v>3</v>
      </c>
      <c r="B105" s="134" t="s">
        <v>591</v>
      </c>
      <c r="C105" s="204" t="s">
        <v>592</v>
      </c>
      <c r="D105" s="158" t="s">
        <v>643</v>
      </c>
      <c r="E105" s="213">
        <v>500000</v>
      </c>
      <c r="F105" s="213">
        <v>500000</v>
      </c>
      <c r="G105" s="22">
        <v>0</v>
      </c>
    </row>
    <row r="106" spans="1:7" ht="20.100000000000001" customHeight="1">
      <c r="A106" s="27">
        <v>4</v>
      </c>
      <c r="B106" s="133" t="s">
        <v>183</v>
      </c>
      <c r="C106" s="204" t="s">
        <v>184</v>
      </c>
      <c r="D106" s="158" t="s">
        <v>69</v>
      </c>
      <c r="E106" s="213">
        <v>400000</v>
      </c>
      <c r="F106" s="213">
        <v>400000</v>
      </c>
      <c r="G106" s="22">
        <v>0</v>
      </c>
    </row>
    <row r="107" spans="1:7" ht="20.100000000000001" customHeight="1">
      <c r="A107" s="19"/>
      <c r="B107" s="136" t="s">
        <v>91</v>
      </c>
      <c r="C107" s="206">
        <v>4</v>
      </c>
      <c r="D107" s="164"/>
      <c r="E107" s="215">
        <f>SUM(E103:E106)</f>
        <v>2100000</v>
      </c>
      <c r="F107" s="215">
        <f t="shared" ref="F107:G107" si="12">SUM(F103:F106)</f>
        <v>900000</v>
      </c>
      <c r="G107" s="215">
        <f t="shared" si="12"/>
        <v>1200000</v>
      </c>
    </row>
    <row r="108" spans="1:7" ht="20.100000000000001" customHeight="1">
      <c r="A108" s="19"/>
      <c r="B108" s="103"/>
      <c r="C108" s="206"/>
      <c r="D108" s="164"/>
      <c r="E108" s="216"/>
      <c r="F108" s="216"/>
      <c r="G108" s="216"/>
    </row>
    <row r="109" spans="1:7" ht="20.100000000000001" customHeight="1">
      <c r="A109" s="19"/>
      <c r="B109" s="136" t="s">
        <v>187</v>
      </c>
      <c r="C109" s="204"/>
      <c r="D109" s="19"/>
      <c r="E109" s="218"/>
      <c r="F109" s="218"/>
      <c r="G109" s="218"/>
    </row>
    <row r="110" spans="1:7" ht="20.100000000000001" customHeight="1">
      <c r="A110" s="19">
        <v>1</v>
      </c>
      <c r="B110" s="133" t="s">
        <v>188</v>
      </c>
      <c r="C110" s="203" t="s">
        <v>189</v>
      </c>
      <c r="D110" s="158" t="s">
        <v>95</v>
      </c>
      <c r="E110" s="213">
        <v>1000000</v>
      </c>
      <c r="F110" s="22">
        <v>0</v>
      </c>
      <c r="G110" s="213">
        <v>1000000</v>
      </c>
    </row>
    <row r="111" spans="1:7" ht="20.100000000000001" customHeight="1">
      <c r="A111" s="19">
        <v>2</v>
      </c>
      <c r="B111" s="133" t="s">
        <v>190</v>
      </c>
      <c r="C111" s="204" t="s">
        <v>191</v>
      </c>
      <c r="D111" s="23" t="s">
        <v>107</v>
      </c>
      <c r="E111" s="213">
        <v>700000</v>
      </c>
      <c r="F111" s="22">
        <v>0</v>
      </c>
      <c r="G111" s="213">
        <v>700000</v>
      </c>
    </row>
    <row r="112" spans="1:7" ht="20.100000000000001" customHeight="1">
      <c r="A112" s="19">
        <v>3</v>
      </c>
      <c r="B112" s="133" t="s">
        <v>192</v>
      </c>
      <c r="C112" s="204" t="s">
        <v>193</v>
      </c>
      <c r="D112" s="27" t="s">
        <v>57</v>
      </c>
      <c r="E112" s="213">
        <v>500000</v>
      </c>
      <c r="F112" s="213">
        <v>500000</v>
      </c>
      <c r="G112" s="22">
        <v>0</v>
      </c>
    </row>
    <row r="113" spans="1:7" ht="20.100000000000001" customHeight="1">
      <c r="A113" s="19">
        <v>4</v>
      </c>
      <c r="B113" s="133" t="s">
        <v>194</v>
      </c>
      <c r="C113" s="204" t="s">
        <v>193</v>
      </c>
      <c r="D113" s="27" t="s">
        <v>168</v>
      </c>
      <c r="E113" s="213">
        <v>500000</v>
      </c>
      <c r="F113" s="213">
        <v>500000</v>
      </c>
      <c r="G113" s="22">
        <v>0</v>
      </c>
    </row>
    <row r="114" spans="1:7" ht="20.100000000000001" customHeight="1">
      <c r="A114" s="19">
        <v>5</v>
      </c>
      <c r="B114" s="133" t="s">
        <v>195</v>
      </c>
      <c r="C114" s="204" t="s">
        <v>196</v>
      </c>
      <c r="D114" s="158" t="s">
        <v>199</v>
      </c>
      <c r="E114" s="213">
        <v>300000</v>
      </c>
      <c r="F114" s="213">
        <v>300000</v>
      </c>
      <c r="G114" s="22">
        <v>0</v>
      </c>
    </row>
    <row r="115" spans="1:7" ht="20.100000000000001" customHeight="1">
      <c r="A115" s="19">
        <v>6</v>
      </c>
      <c r="B115" s="134" t="s">
        <v>198</v>
      </c>
      <c r="C115" s="204" t="s">
        <v>196</v>
      </c>
      <c r="D115" s="27" t="s">
        <v>648</v>
      </c>
      <c r="E115" s="213">
        <v>300000</v>
      </c>
      <c r="F115" s="213">
        <v>300000</v>
      </c>
      <c r="G115" s="22">
        <v>0</v>
      </c>
    </row>
    <row r="116" spans="1:7" ht="20.100000000000001" customHeight="1">
      <c r="A116" s="19">
        <v>7</v>
      </c>
      <c r="B116" s="134" t="s">
        <v>200</v>
      </c>
      <c r="C116" s="204" t="s">
        <v>196</v>
      </c>
      <c r="D116" s="158" t="s">
        <v>90</v>
      </c>
      <c r="E116" s="213">
        <v>300000</v>
      </c>
      <c r="F116" s="213">
        <v>300000</v>
      </c>
      <c r="G116" s="22">
        <v>0</v>
      </c>
    </row>
    <row r="117" spans="1:7" ht="20.100000000000001" customHeight="1">
      <c r="A117" s="19"/>
      <c r="B117" s="136" t="s">
        <v>91</v>
      </c>
      <c r="C117" s="206">
        <v>7</v>
      </c>
      <c r="D117" s="19"/>
      <c r="E117" s="219">
        <f>SUM(E110:E116)</f>
        <v>3600000</v>
      </c>
      <c r="F117" s="219">
        <f t="shared" ref="F117:G117" si="13">SUM(F110:F116)</f>
        <v>1900000</v>
      </c>
      <c r="G117" s="219">
        <f t="shared" si="13"/>
        <v>1700000</v>
      </c>
    </row>
    <row r="118" spans="1:7" ht="20.100000000000001" customHeight="1">
      <c r="A118" s="19"/>
      <c r="B118" s="103"/>
      <c r="C118" s="209"/>
      <c r="D118" s="19"/>
      <c r="E118" s="220"/>
      <c r="F118" s="220"/>
      <c r="G118" s="220"/>
    </row>
    <row r="119" spans="1:7" ht="20.100000000000001" customHeight="1">
      <c r="A119" s="19"/>
      <c r="B119" s="136" t="s">
        <v>208</v>
      </c>
      <c r="C119" s="206"/>
      <c r="D119" s="28"/>
      <c r="E119" s="213"/>
      <c r="F119" s="213"/>
      <c r="G119" s="213"/>
    </row>
    <row r="120" spans="1:7" ht="20.100000000000001" customHeight="1">
      <c r="A120" s="19">
        <v>1</v>
      </c>
      <c r="B120" s="133" t="s">
        <v>209</v>
      </c>
      <c r="C120" s="203" t="s">
        <v>210</v>
      </c>
      <c r="D120" s="158" t="s">
        <v>95</v>
      </c>
      <c r="E120" s="213">
        <v>1000000</v>
      </c>
      <c r="F120" s="22">
        <v>0</v>
      </c>
      <c r="G120" s="213">
        <v>1000000</v>
      </c>
    </row>
    <row r="121" spans="1:7" ht="20.100000000000001" customHeight="1">
      <c r="A121" s="19">
        <v>2</v>
      </c>
      <c r="B121" s="133" t="s">
        <v>594</v>
      </c>
      <c r="C121" s="203" t="s">
        <v>595</v>
      </c>
      <c r="D121" s="158" t="s">
        <v>233</v>
      </c>
      <c r="E121" s="213">
        <v>700000</v>
      </c>
      <c r="F121" s="22">
        <v>0</v>
      </c>
      <c r="G121" s="213">
        <v>700000</v>
      </c>
    </row>
    <row r="122" spans="1:7" ht="20.100000000000001" customHeight="1">
      <c r="A122" s="19">
        <v>3</v>
      </c>
      <c r="B122" s="133" t="s">
        <v>211</v>
      </c>
      <c r="C122" s="203" t="s">
        <v>214</v>
      </c>
      <c r="D122" s="158" t="s">
        <v>45</v>
      </c>
      <c r="E122" s="213">
        <v>700000</v>
      </c>
      <c r="F122" s="22">
        <v>0</v>
      </c>
      <c r="G122" s="213">
        <v>700000</v>
      </c>
    </row>
    <row r="123" spans="1:7" ht="20.100000000000001" customHeight="1">
      <c r="A123" s="19">
        <v>4</v>
      </c>
      <c r="B123" s="135" t="s">
        <v>213</v>
      </c>
      <c r="C123" s="203" t="s">
        <v>214</v>
      </c>
      <c r="D123" s="158" t="s">
        <v>45</v>
      </c>
      <c r="E123" s="213">
        <v>700000</v>
      </c>
      <c r="F123" s="22">
        <v>0</v>
      </c>
      <c r="G123" s="213">
        <v>700000</v>
      </c>
    </row>
    <row r="124" spans="1:7" ht="20.100000000000001" customHeight="1">
      <c r="A124" s="19">
        <v>5</v>
      </c>
      <c r="B124" s="135" t="s">
        <v>215</v>
      </c>
      <c r="C124" s="203" t="s">
        <v>214</v>
      </c>
      <c r="D124" s="158" t="s">
        <v>48</v>
      </c>
      <c r="E124" s="213">
        <v>700000</v>
      </c>
      <c r="F124" s="22">
        <v>0</v>
      </c>
      <c r="G124" s="213">
        <v>700000</v>
      </c>
    </row>
    <row r="125" spans="1:7" ht="20.100000000000001" customHeight="1">
      <c r="A125" s="19">
        <v>6</v>
      </c>
      <c r="B125" s="133" t="s">
        <v>216</v>
      </c>
      <c r="C125" s="203" t="s">
        <v>217</v>
      </c>
      <c r="D125" s="158" t="s">
        <v>116</v>
      </c>
      <c r="E125" s="213">
        <v>500000</v>
      </c>
      <c r="F125" s="22">
        <v>0</v>
      </c>
      <c r="G125" s="213">
        <v>500000</v>
      </c>
    </row>
    <row r="126" spans="1:7" ht="20.100000000000001" customHeight="1">
      <c r="A126" s="19">
        <v>7</v>
      </c>
      <c r="B126" s="133" t="s">
        <v>218</v>
      </c>
      <c r="C126" s="203" t="s">
        <v>219</v>
      </c>
      <c r="D126" s="158" t="s">
        <v>60</v>
      </c>
      <c r="E126" s="213">
        <v>500000</v>
      </c>
      <c r="F126" s="213">
        <v>500000</v>
      </c>
      <c r="G126" s="22">
        <v>0</v>
      </c>
    </row>
    <row r="127" spans="1:7" ht="20.100000000000001" customHeight="1">
      <c r="A127" s="19">
        <v>8</v>
      </c>
      <c r="B127" s="133" t="s">
        <v>220</v>
      </c>
      <c r="C127" s="203" t="s">
        <v>416</v>
      </c>
      <c r="D127" s="158" t="s">
        <v>60</v>
      </c>
      <c r="E127" s="213">
        <v>500000</v>
      </c>
      <c r="F127" s="213">
        <v>500000</v>
      </c>
      <c r="G127" s="22">
        <v>0</v>
      </c>
    </row>
    <row r="128" spans="1:7" ht="20.100000000000001" customHeight="1">
      <c r="A128" s="19">
        <v>9</v>
      </c>
      <c r="B128" s="134" t="s">
        <v>596</v>
      </c>
      <c r="C128" s="203" t="s">
        <v>597</v>
      </c>
      <c r="D128" s="158" t="s">
        <v>63</v>
      </c>
      <c r="E128" s="213">
        <v>500000</v>
      </c>
      <c r="F128" s="213">
        <v>500000</v>
      </c>
      <c r="G128" s="22">
        <v>0</v>
      </c>
    </row>
    <row r="129" spans="1:7" ht="20.100000000000001" customHeight="1">
      <c r="A129" s="19">
        <v>10</v>
      </c>
      <c r="B129" s="133" t="s">
        <v>221</v>
      </c>
      <c r="C129" s="203" t="s">
        <v>222</v>
      </c>
      <c r="D129" s="27" t="s">
        <v>79</v>
      </c>
      <c r="E129" s="213">
        <v>300000</v>
      </c>
      <c r="F129" s="213">
        <v>300000</v>
      </c>
      <c r="G129" s="22">
        <v>0</v>
      </c>
    </row>
    <row r="130" spans="1:7" ht="20.100000000000001" customHeight="1">
      <c r="A130" s="19">
        <v>11</v>
      </c>
      <c r="B130" s="134" t="s">
        <v>223</v>
      </c>
      <c r="C130" s="203" t="s">
        <v>224</v>
      </c>
      <c r="D130" s="158" t="s">
        <v>90</v>
      </c>
      <c r="E130" s="213">
        <v>300000</v>
      </c>
      <c r="F130" s="213">
        <v>300000</v>
      </c>
      <c r="G130" s="22">
        <v>0</v>
      </c>
    </row>
    <row r="131" spans="1:7" ht="20.100000000000001" customHeight="1">
      <c r="A131" s="19"/>
      <c r="B131" s="136" t="s">
        <v>91</v>
      </c>
      <c r="C131" s="210" t="s">
        <v>599</v>
      </c>
      <c r="D131" s="158"/>
      <c r="E131" s="221">
        <f>SUM(E120:E130)</f>
        <v>6400000</v>
      </c>
      <c r="F131" s="221">
        <f t="shared" ref="F131:G131" si="14">SUM(F120:F130)</f>
        <v>2100000</v>
      </c>
      <c r="G131" s="221">
        <f t="shared" si="14"/>
        <v>4300000</v>
      </c>
    </row>
    <row r="132" spans="1:7" ht="20.100000000000001" customHeight="1">
      <c r="A132" s="19"/>
      <c r="B132" s="103"/>
      <c r="C132" s="210"/>
      <c r="D132" s="158"/>
      <c r="E132" s="222"/>
      <c r="F132" s="222"/>
      <c r="G132" s="222"/>
    </row>
    <row r="133" spans="1:7" ht="20.100000000000001" customHeight="1">
      <c r="A133" s="19"/>
      <c r="B133" s="136" t="s">
        <v>228</v>
      </c>
      <c r="C133" s="203"/>
      <c r="D133" s="158"/>
      <c r="E133" s="213"/>
      <c r="F133" s="213"/>
      <c r="G133" s="213"/>
    </row>
    <row r="134" spans="1:7" ht="20.100000000000001" customHeight="1">
      <c r="A134" s="168">
        <v>1</v>
      </c>
      <c r="B134" s="133" t="s">
        <v>229</v>
      </c>
      <c r="C134" s="203" t="s">
        <v>710</v>
      </c>
      <c r="D134" s="158" t="s">
        <v>95</v>
      </c>
      <c r="E134" s="213">
        <f>1000000/2</f>
        <v>500000</v>
      </c>
      <c r="F134" s="22">
        <v>0</v>
      </c>
      <c r="G134" s="213">
        <f t="shared" ref="G134" si="15">1000000/2</f>
        <v>500000</v>
      </c>
    </row>
    <row r="135" spans="1:7" ht="20.100000000000001" customHeight="1">
      <c r="A135" s="168">
        <v>2</v>
      </c>
      <c r="B135" s="133" t="s">
        <v>231</v>
      </c>
      <c r="C135" s="203" t="s">
        <v>232</v>
      </c>
      <c r="D135" s="158" t="s">
        <v>233</v>
      </c>
      <c r="E135" s="213">
        <f>700000/2</f>
        <v>350000</v>
      </c>
      <c r="F135" s="22">
        <v>0</v>
      </c>
      <c r="G135" s="213">
        <f t="shared" ref="G135" si="16">700000/2</f>
        <v>350000</v>
      </c>
    </row>
    <row r="136" spans="1:7" ht="20.100000000000001" customHeight="1">
      <c r="A136" s="168">
        <v>3</v>
      </c>
      <c r="B136" s="135" t="s">
        <v>234</v>
      </c>
      <c r="C136" s="204" t="s">
        <v>235</v>
      </c>
      <c r="D136" s="23" t="s">
        <v>107</v>
      </c>
      <c r="E136" s="213">
        <v>700000</v>
      </c>
      <c r="F136" s="22">
        <v>0</v>
      </c>
      <c r="G136" s="213">
        <v>700000</v>
      </c>
    </row>
    <row r="137" spans="1:7" ht="20.100000000000001" customHeight="1">
      <c r="A137" s="168">
        <v>4</v>
      </c>
      <c r="B137" s="133" t="s">
        <v>236</v>
      </c>
      <c r="C137" s="203" t="s">
        <v>237</v>
      </c>
      <c r="D137" s="158" t="s">
        <v>54</v>
      </c>
      <c r="E137" s="213">
        <v>500000</v>
      </c>
      <c r="F137" s="22">
        <v>0</v>
      </c>
      <c r="G137" s="213">
        <v>500000</v>
      </c>
    </row>
    <row r="138" spans="1:7" ht="20.100000000000001" customHeight="1">
      <c r="A138" s="168">
        <v>5</v>
      </c>
      <c r="B138" s="133" t="s">
        <v>238</v>
      </c>
      <c r="C138" s="204" t="s">
        <v>239</v>
      </c>
      <c r="D138" s="158" t="s">
        <v>54</v>
      </c>
      <c r="E138" s="213">
        <v>500000</v>
      </c>
      <c r="F138" s="22">
        <v>0</v>
      </c>
      <c r="G138" s="213">
        <v>500000</v>
      </c>
    </row>
    <row r="139" spans="1:7" ht="20.100000000000001" customHeight="1">
      <c r="A139" s="168">
        <v>6</v>
      </c>
      <c r="B139" s="133" t="s">
        <v>181</v>
      </c>
      <c r="C139" s="204" t="s">
        <v>245</v>
      </c>
      <c r="D139" s="158" t="s">
        <v>60</v>
      </c>
      <c r="E139" s="213">
        <v>500000</v>
      </c>
      <c r="F139" s="213">
        <v>500000</v>
      </c>
      <c r="G139" s="22">
        <v>0</v>
      </c>
    </row>
    <row r="140" spans="1:7" ht="20.100000000000001" customHeight="1">
      <c r="A140" s="168">
        <v>7</v>
      </c>
      <c r="B140" s="133" t="s">
        <v>241</v>
      </c>
      <c r="C140" s="203" t="s">
        <v>242</v>
      </c>
      <c r="D140" s="158" t="s">
        <v>66</v>
      </c>
      <c r="E140" s="213">
        <v>400000</v>
      </c>
      <c r="F140" s="213">
        <v>400000</v>
      </c>
      <c r="G140" s="22">
        <v>0</v>
      </c>
    </row>
    <row r="141" spans="1:7" ht="20.100000000000001" customHeight="1">
      <c r="A141" s="168">
        <v>8</v>
      </c>
      <c r="B141" s="133" t="s">
        <v>243</v>
      </c>
      <c r="C141" s="203" t="s">
        <v>242</v>
      </c>
      <c r="D141" s="158" t="s">
        <v>66</v>
      </c>
      <c r="E141" s="213">
        <v>400000</v>
      </c>
      <c r="F141" s="213">
        <v>400000</v>
      </c>
      <c r="G141" s="22">
        <v>0</v>
      </c>
    </row>
    <row r="142" spans="1:7" ht="20.100000000000001" customHeight="1">
      <c r="A142" s="168">
        <v>9</v>
      </c>
      <c r="B142" s="133" t="s">
        <v>244</v>
      </c>
      <c r="C142" s="204" t="s">
        <v>245</v>
      </c>
      <c r="D142" s="158" t="s">
        <v>66</v>
      </c>
      <c r="E142" s="213">
        <v>400000</v>
      </c>
      <c r="F142" s="213">
        <v>400000</v>
      </c>
      <c r="G142" s="22">
        <v>0</v>
      </c>
    </row>
    <row r="143" spans="1:7" ht="20.100000000000001" customHeight="1">
      <c r="A143" s="168">
        <v>10</v>
      </c>
      <c r="B143" s="133" t="s">
        <v>246</v>
      </c>
      <c r="C143" s="203" t="s">
        <v>251</v>
      </c>
      <c r="D143" s="158" t="s">
        <v>69</v>
      </c>
      <c r="E143" s="213">
        <v>400000</v>
      </c>
      <c r="F143" s="213">
        <v>400000</v>
      </c>
      <c r="G143" s="22">
        <v>0</v>
      </c>
    </row>
    <row r="144" spans="1:7" ht="20.100000000000001" customHeight="1">
      <c r="A144" s="168">
        <v>11</v>
      </c>
      <c r="B144" s="133" t="s">
        <v>248</v>
      </c>
      <c r="C144" s="203" t="s">
        <v>418</v>
      </c>
      <c r="D144" s="158" t="s">
        <v>257</v>
      </c>
      <c r="E144" s="213">
        <v>300000</v>
      </c>
      <c r="F144" s="213">
        <v>300000</v>
      </c>
      <c r="G144" s="22">
        <v>0</v>
      </c>
    </row>
    <row r="145" spans="1:7" ht="20.100000000000001" customHeight="1">
      <c r="A145" s="168">
        <v>12</v>
      </c>
      <c r="B145" s="133" t="s">
        <v>250</v>
      </c>
      <c r="C145" s="203" t="s">
        <v>251</v>
      </c>
      <c r="D145" s="158" t="s">
        <v>69</v>
      </c>
      <c r="E145" s="213">
        <v>400000</v>
      </c>
      <c r="F145" s="213">
        <v>400000</v>
      </c>
      <c r="G145" s="22">
        <v>0</v>
      </c>
    </row>
    <row r="146" spans="1:7" ht="20.100000000000001" customHeight="1">
      <c r="A146" s="168">
        <v>13</v>
      </c>
      <c r="B146" s="133" t="s">
        <v>254</v>
      </c>
      <c r="C146" s="204" t="s">
        <v>255</v>
      </c>
      <c r="D146" s="158" t="s">
        <v>157</v>
      </c>
      <c r="E146" s="213">
        <v>300000</v>
      </c>
      <c r="F146" s="213">
        <v>300000</v>
      </c>
      <c r="G146" s="22">
        <v>0</v>
      </c>
    </row>
    <row r="147" spans="1:7" ht="20.100000000000001" customHeight="1">
      <c r="A147" s="168">
        <v>14</v>
      </c>
      <c r="B147" s="133" t="s">
        <v>256</v>
      </c>
      <c r="C147" s="204" t="s">
        <v>255</v>
      </c>
      <c r="D147" s="158" t="s">
        <v>157</v>
      </c>
      <c r="E147" s="213">
        <v>300000</v>
      </c>
      <c r="F147" s="213">
        <v>300000</v>
      </c>
      <c r="G147" s="22">
        <v>0</v>
      </c>
    </row>
    <row r="148" spans="1:7" ht="20.100000000000001" customHeight="1">
      <c r="A148" s="168">
        <v>15</v>
      </c>
      <c r="B148" s="133" t="s">
        <v>258</v>
      </c>
      <c r="C148" s="204" t="s">
        <v>255</v>
      </c>
      <c r="D148" s="158" t="s">
        <v>157</v>
      </c>
      <c r="E148" s="213">
        <v>300000</v>
      </c>
      <c r="F148" s="213">
        <v>300000</v>
      </c>
      <c r="G148" s="22">
        <v>0</v>
      </c>
    </row>
    <row r="149" spans="1:7" ht="20.100000000000001" customHeight="1">
      <c r="A149" s="168">
        <v>16</v>
      </c>
      <c r="B149" s="133" t="s">
        <v>259</v>
      </c>
      <c r="C149" s="203" t="s">
        <v>260</v>
      </c>
      <c r="D149" s="158" t="s">
        <v>72</v>
      </c>
      <c r="E149" s="213">
        <v>300000</v>
      </c>
      <c r="F149" s="213">
        <v>300000</v>
      </c>
      <c r="G149" s="22">
        <v>0</v>
      </c>
    </row>
    <row r="150" spans="1:7" ht="20.100000000000001" customHeight="1">
      <c r="A150" s="168">
        <v>17</v>
      </c>
      <c r="B150" s="133" t="s">
        <v>261</v>
      </c>
      <c r="C150" s="203" t="s">
        <v>262</v>
      </c>
      <c r="D150" s="27" t="s">
        <v>79</v>
      </c>
      <c r="E150" s="213">
        <v>300000</v>
      </c>
      <c r="F150" s="213">
        <v>300000</v>
      </c>
      <c r="G150" s="22">
        <v>0</v>
      </c>
    </row>
    <row r="151" spans="1:7" ht="20.100000000000001" customHeight="1">
      <c r="A151" s="168">
        <v>18</v>
      </c>
      <c r="B151" s="133" t="s">
        <v>263</v>
      </c>
      <c r="C151" s="203" t="s">
        <v>264</v>
      </c>
      <c r="D151" s="158" t="s">
        <v>72</v>
      </c>
      <c r="E151" s="213">
        <v>300000</v>
      </c>
      <c r="F151" s="213">
        <v>300000</v>
      </c>
      <c r="G151" s="22">
        <v>0</v>
      </c>
    </row>
    <row r="152" spans="1:7" ht="20.100000000000001" customHeight="1">
      <c r="A152" s="168">
        <v>19</v>
      </c>
      <c r="B152" s="133" t="s">
        <v>265</v>
      </c>
      <c r="C152" s="203" t="s">
        <v>266</v>
      </c>
      <c r="D152" s="158" t="s">
        <v>79</v>
      </c>
      <c r="E152" s="213">
        <v>300000</v>
      </c>
      <c r="F152" s="213">
        <v>300000</v>
      </c>
      <c r="G152" s="22">
        <v>0</v>
      </c>
    </row>
    <row r="153" spans="1:7" ht="20.100000000000001" customHeight="1">
      <c r="A153" s="168">
        <v>20</v>
      </c>
      <c r="B153" s="133" t="s">
        <v>267</v>
      </c>
      <c r="C153" s="203" t="s">
        <v>268</v>
      </c>
      <c r="D153" s="158" t="s">
        <v>72</v>
      </c>
      <c r="E153" s="213">
        <v>300000</v>
      </c>
      <c r="F153" s="213">
        <v>300000</v>
      </c>
      <c r="G153" s="22">
        <v>0</v>
      </c>
    </row>
    <row r="154" spans="1:7" ht="20.100000000000001" customHeight="1">
      <c r="A154" s="168">
        <v>21</v>
      </c>
      <c r="B154" s="133" t="s">
        <v>269</v>
      </c>
      <c r="C154" s="203" t="s">
        <v>270</v>
      </c>
      <c r="D154" s="158" t="s">
        <v>79</v>
      </c>
      <c r="E154" s="213">
        <v>300000</v>
      </c>
      <c r="F154" s="213">
        <v>300000</v>
      </c>
      <c r="G154" s="22">
        <v>0</v>
      </c>
    </row>
    <row r="155" spans="1:7" ht="20.100000000000001" customHeight="1">
      <c r="A155" s="168">
        <v>22</v>
      </c>
      <c r="B155" s="134" t="s">
        <v>271</v>
      </c>
      <c r="C155" s="203" t="s">
        <v>276</v>
      </c>
      <c r="D155" s="158" t="s">
        <v>647</v>
      </c>
      <c r="E155" s="213">
        <v>300000</v>
      </c>
      <c r="F155" s="213">
        <v>300000</v>
      </c>
      <c r="G155" s="22">
        <v>0</v>
      </c>
    </row>
    <row r="156" spans="1:7" ht="20.100000000000001" customHeight="1">
      <c r="A156" s="168">
        <v>23</v>
      </c>
      <c r="B156" s="134" t="s">
        <v>600</v>
      </c>
      <c r="C156" s="203" t="s">
        <v>274</v>
      </c>
      <c r="D156" s="158" t="s">
        <v>90</v>
      </c>
      <c r="E156" s="213">
        <v>300000</v>
      </c>
      <c r="F156" s="213">
        <v>300000</v>
      </c>
      <c r="G156" s="22">
        <v>0</v>
      </c>
    </row>
    <row r="157" spans="1:7" ht="20.100000000000001" customHeight="1">
      <c r="A157" s="168">
        <v>24</v>
      </c>
      <c r="B157" s="134" t="s">
        <v>273</v>
      </c>
      <c r="C157" s="203" t="s">
        <v>274</v>
      </c>
      <c r="D157" s="158" t="s">
        <v>90</v>
      </c>
      <c r="E157" s="213">
        <v>300000</v>
      </c>
      <c r="F157" s="213">
        <v>300000</v>
      </c>
      <c r="G157" s="22">
        <v>0</v>
      </c>
    </row>
    <row r="158" spans="1:7" ht="20.100000000000001" customHeight="1">
      <c r="A158" s="168">
        <v>25</v>
      </c>
      <c r="B158" s="134" t="s">
        <v>275</v>
      </c>
      <c r="C158" s="203" t="s">
        <v>276</v>
      </c>
      <c r="D158" s="158" t="s">
        <v>90</v>
      </c>
      <c r="E158" s="213">
        <v>300000</v>
      </c>
      <c r="F158" s="213">
        <v>300000</v>
      </c>
      <c r="G158" s="22">
        <v>0</v>
      </c>
    </row>
    <row r="159" spans="1:7" ht="20.100000000000001" customHeight="1">
      <c r="A159" s="168">
        <v>26</v>
      </c>
      <c r="B159" s="134" t="s">
        <v>277</v>
      </c>
      <c r="C159" s="203" t="s">
        <v>278</v>
      </c>
      <c r="D159" s="158" t="s">
        <v>90</v>
      </c>
      <c r="E159" s="213">
        <v>300000</v>
      </c>
      <c r="F159" s="213">
        <v>300000</v>
      </c>
      <c r="G159" s="22">
        <v>0</v>
      </c>
    </row>
    <row r="160" spans="1:7" ht="20.100000000000001" customHeight="1">
      <c r="A160" s="168">
        <v>27</v>
      </c>
      <c r="B160" s="134" t="s">
        <v>279</v>
      </c>
      <c r="C160" s="203" t="s">
        <v>280</v>
      </c>
      <c r="D160" s="158" t="s">
        <v>90</v>
      </c>
      <c r="E160" s="213">
        <v>300000</v>
      </c>
      <c r="F160" s="213">
        <v>300000</v>
      </c>
      <c r="G160" s="22">
        <v>0</v>
      </c>
    </row>
    <row r="161" spans="1:7" ht="20.100000000000001" customHeight="1">
      <c r="A161" s="168">
        <v>28</v>
      </c>
      <c r="B161" s="133" t="s">
        <v>282</v>
      </c>
      <c r="C161" s="203" t="s">
        <v>283</v>
      </c>
      <c r="D161" s="158" t="s">
        <v>290</v>
      </c>
      <c r="E161" s="213">
        <v>100000</v>
      </c>
      <c r="F161" s="213">
        <v>100000</v>
      </c>
      <c r="G161" s="22">
        <v>0</v>
      </c>
    </row>
    <row r="162" spans="1:7" ht="20.100000000000001" customHeight="1">
      <c r="A162" s="168">
        <v>29</v>
      </c>
      <c r="B162" s="133" t="s">
        <v>285</v>
      </c>
      <c r="C162" s="203" t="s">
        <v>283</v>
      </c>
      <c r="D162" s="158" t="s">
        <v>290</v>
      </c>
      <c r="E162" s="213">
        <v>100000</v>
      </c>
      <c r="F162" s="213">
        <v>100000</v>
      </c>
      <c r="G162" s="22">
        <v>0</v>
      </c>
    </row>
    <row r="163" spans="1:7" ht="20.100000000000001" customHeight="1">
      <c r="A163" s="168">
        <v>30</v>
      </c>
      <c r="B163" s="133" t="s">
        <v>286</v>
      </c>
      <c r="C163" s="203" t="s">
        <v>283</v>
      </c>
      <c r="D163" s="158" t="s">
        <v>290</v>
      </c>
      <c r="E163" s="213">
        <v>100000</v>
      </c>
      <c r="F163" s="213">
        <v>100000</v>
      </c>
      <c r="G163" s="22">
        <v>0</v>
      </c>
    </row>
    <row r="164" spans="1:7" ht="20.100000000000001" customHeight="1">
      <c r="A164" s="168">
        <v>31</v>
      </c>
      <c r="B164" s="133" t="s">
        <v>671</v>
      </c>
      <c r="C164" s="203" t="s">
        <v>283</v>
      </c>
      <c r="D164" s="158" t="s">
        <v>290</v>
      </c>
      <c r="E164" s="213">
        <v>100000</v>
      </c>
      <c r="F164" s="213">
        <v>100000</v>
      </c>
      <c r="G164" s="22">
        <v>0</v>
      </c>
    </row>
    <row r="165" spans="1:7" ht="20.100000000000001" customHeight="1">
      <c r="A165" s="168">
        <v>32</v>
      </c>
      <c r="B165" s="133" t="s">
        <v>601</v>
      </c>
      <c r="C165" s="203" t="s">
        <v>283</v>
      </c>
      <c r="D165" s="158" t="s">
        <v>290</v>
      </c>
      <c r="E165" s="213">
        <v>100000</v>
      </c>
      <c r="F165" s="213">
        <v>100000</v>
      </c>
      <c r="G165" s="22">
        <v>0</v>
      </c>
    </row>
    <row r="166" spans="1:7" ht="20.100000000000001" customHeight="1">
      <c r="A166" s="168">
        <v>33</v>
      </c>
      <c r="B166" s="133" t="s">
        <v>287</v>
      </c>
      <c r="C166" s="203" t="s">
        <v>283</v>
      </c>
      <c r="D166" s="158" t="s">
        <v>290</v>
      </c>
      <c r="E166" s="213">
        <v>100000</v>
      </c>
      <c r="F166" s="213">
        <v>100000</v>
      </c>
      <c r="G166" s="22">
        <v>0</v>
      </c>
    </row>
    <row r="167" spans="1:7" ht="20.100000000000001" customHeight="1">
      <c r="A167" s="168">
        <v>34</v>
      </c>
      <c r="B167" s="133" t="s">
        <v>288</v>
      </c>
      <c r="C167" s="203" t="s">
        <v>283</v>
      </c>
      <c r="D167" s="158" t="s">
        <v>290</v>
      </c>
      <c r="E167" s="213">
        <v>100000</v>
      </c>
      <c r="F167" s="213">
        <v>100000</v>
      </c>
      <c r="G167" s="22">
        <v>0</v>
      </c>
    </row>
    <row r="168" spans="1:7" ht="20.100000000000001" customHeight="1">
      <c r="A168" s="168">
        <v>35</v>
      </c>
      <c r="B168" s="133" t="s">
        <v>289</v>
      </c>
      <c r="C168" s="203" t="s">
        <v>283</v>
      </c>
      <c r="D168" s="158" t="s">
        <v>298</v>
      </c>
      <c r="E168" s="213">
        <v>100000</v>
      </c>
      <c r="F168" s="213">
        <v>100000</v>
      </c>
      <c r="G168" s="22">
        <v>0</v>
      </c>
    </row>
    <row r="169" spans="1:7" ht="20.100000000000001" customHeight="1">
      <c r="A169" s="168">
        <v>36</v>
      </c>
      <c r="B169" s="133" t="s">
        <v>291</v>
      </c>
      <c r="C169" s="203" t="s">
        <v>283</v>
      </c>
      <c r="D169" s="158" t="s">
        <v>298</v>
      </c>
      <c r="E169" s="213">
        <v>100000</v>
      </c>
      <c r="F169" s="213">
        <v>100000</v>
      </c>
      <c r="G169" s="22">
        <v>0</v>
      </c>
    </row>
    <row r="170" spans="1:7" ht="20.100000000000001" customHeight="1">
      <c r="A170" s="168">
        <v>37</v>
      </c>
      <c r="B170" s="133" t="s">
        <v>576</v>
      </c>
      <c r="C170" s="203" t="s">
        <v>283</v>
      </c>
      <c r="D170" s="158" t="s">
        <v>298</v>
      </c>
      <c r="E170" s="213">
        <v>100000</v>
      </c>
      <c r="F170" s="213">
        <v>100000</v>
      </c>
      <c r="G170" s="22">
        <v>0</v>
      </c>
    </row>
    <row r="171" spans="1:7" ht="20.100000000000001" customHeight="1">
      <c r="A171" s="168">
        <v>38</v>
      </c>
      <c r="B171" s="135" t="s">
        <v>292</v>
      </c>
      <c r="C171" s="203" t="s">
        <v>283</v>
      </c>
      <c r="D171" s="158" t="s">
        <v>298</v>
      </c>
      <c r="E171" s="213">
        <v>100000</v>
      </c>
      <c r="F171" s="213">
        <v>100000</v>
      </c>
      <c r="G171" s="22">
        <v>0</v>
      </c>
    </row>
    <row r="172" spans="1:7" ht="20.100000000000001" customHeight="1">
      <c r="A172" s="168">
        <v>39</v>
      </c>
      <c r="B172" s="133" t="s">
        <v>293</v>
      </c>
      <c r="C172" s="203" t="s">
        <v>283</v>
      </c>
      <c r="D172" s="158" t="s">
        <v>298</v>
      </c>
      <c r="E172" s="213">
        <v>100000</v>
      </c>
      <c r="F172" s="213">
        <v>100000</v>
      </c>
      <c r="G172" s="22">
        <v>0</v>
      </c>
    </row>
    <row r="173" spans="1:7" ht="20.100000000000001" customHeight="1">
      <c r="A173" s="168">
        <v>40</v>
      </c>
      <c r="B173" s="134" t="s">
        <v>294</v>
      </c>
      <c r="C173" s="203" t="s">
        <v>283</v>
      </c>
      <c r="D173" s="158" t="s">
        <v>298</v>
      </c>
      <c r="E173" s="213">
        <v>100000</v>
      </c>
      <c r="F173" s="213">
        <v>100000</v>
      </c>
      <c r="G173" s="22">
        <v>0</v>
      </c>
    </row>
    <row r="174" spans="1:7" ht="20.100000000000001" customHeight="1">
      <c r="A174" s="168">
        <v>41</v>
      </c>
      <c r="B174" s="134" t="s">
        <v>295</v>
      </c>
      <c r="C174" s="203" t="s">
        <v>283</v>
      </c>
      <c r="D174" s="158" t="s">
        <v>298</v>
      </c>
      <c r="E174" s="213">
        <v>100000</v>
      </c>
      <c r="F174" s="213">
        <v>100000</v>
      </c>
      <c r="G174" s="22">
        <v>0</v>
      </c>
    </row>
    <row r="175" spans="1:7" ht="20.100000000000001" customHeight="1">
      <c r="A175" s="168">
        <v>42</v>
      </c>
      <c r="B175" s="133" t="s">
        <v>296</v>
      </c>
      <c r="C175" s="203" t="s">
        <v>302</v>
      </c>
      <c r="D175" s="158" t="s">
        <v>303</v>
      </c>
      <c r="E175" s="213">
        <v>100000</v>
      </c>
      <c r="F175" s="213">
        <v>100000</v>
      </c>
      <c r="G175" s="22">
        <v>0</v>
      </c>
    </row>
    <row r="176" spans="1:7" ht="20.100000000000001" customHeight="1">
      <c r="A176" s="168">
        <v>43</v>
      </c>
      <c r="B176" s="133" t="s">
        <v>299</v>
      </c>
      <c r="C176" s="203" t="s">
        <v>302</v>
      </c>
      <c r="D176" s="158" t="s">
        <v>303</v>
      </c>
      <c r="E176" s="213">
        <v>100000</v>
      </c>
      <c r="F176" s="213">
        <v>100000</v>
      </c>
      <c r="G176" s="22">
        <v>0</v>
      </c>
    </row>
    <row r="177" spans="1:7" ht="20.100000000000001" customHeight="1">
      <c r="A177" s="168">
        <v>44</v>
      </c>
      <c r="B177" s="134" t="s">
        <v>300</v>
      </c>
      <c r="C177" s="203" t="s">
        <v>302</v>
      </c>
      <c r="D177" s="158" t="s">
        <v>400</v>
      </c>
      <c r="E177" s="213">
        <v>100000</v>
      </c>
      <c r="F177" s="213">
        <v>100000</v>
      </c>
      <c r="G177" s="22">
        <v>0</v>
      </c>
    </row>
    <row r="178" spans="1:7" ht="20.100000000000001" customHeight="1">
      <c r="A178" s="168">
        <v>45</v>
      </c>
      <c r="B178" s="133" t="s">
        <v>301</v>
      </c>
      <c r="C178" s="203" t="s">
        <v>302</v>
      </c>
      <c r="D178" s="158" t="s">
        <v>673</v>
      </c>
      <c r="E178" s="213">
        <v>100000</v>
      </c>
      <c r="F178" s="213">
        <v>100000</v>
      </c>
      <c r="G178" s="22">
        <v>0</v>
      </c>
    </row>
    <row r="179" spans="1:7" ht="20.100000000000001" customHeight="1">
      <c r="A179" s="168">
        <v>46</v>
      </c>
      <c r="B179" s="133" t="s">
        <v>304</v>
      </c>
      <c r="C179" s="203" t="s">
        <v>305</v>
      </c>
      <c r="D179" s="158" t="s">
        <v>674</v>
      </c>
      <c r="E179" s="213">
        <v>100000</v>
      </c>
      <c r="F179" s="213">
        <v>100000</v>
      </c>
      <c r="G179" s="22">
        <v>0</v>
      </c>
    </row>
    <row r="180" spans="1:7" ht="20.100000000000001" customHeight="1">
      <c r="A180" s="168">
        <v>47</v>
      </c>
      <c r="B180" s="133" t="s">
        <v>307</v>
      </c>
      <c r="C180" s="203" t="s">
        <v>305</v>
      </c>
      <c r="D180" s="158" t="s">
        <v>674</v>
      </c>
      <c r="E180" s="213">
        <v>100000</v>
      </c>
      <c r="F180" s="213">
        <v>100000</v>
      </c>
      <c r="G180" s="22">
        <v>0</v>
      </c>
    </row>
    <row r="181" spans="1:7" ht="20.100000000000001" customHeight="1">
      <c r="A181" s="168">
        <v>48</v>
      </c>
      <c r="B181" s="133" t="s">
        <v>308</v>
      </c>
      <c r="C181" s="203" t="s">
        <v>305</v>
      </c>
      <c r="D181" s="158" t="s">
        <v>674</v>
      </c>
      <c r="E181" s="213">
        <v>100000</v>
      </c>
      <c r="F181" s="213">
        <v>100000</v>
      </c>
      <c r="G181" s="22">
        <v>0</v>
      </c>
    </row>
    <row r="182" spans="1:7" ht="20.100000000000001" customHeight="1">
      <c r="A182" s="168">
        <v>49</v>
      </c>
      <c r="B182" s="133" t="s">
        <v>309</v>
      </c>
      <c r="C182" s="203" t="s">
        <v>305</v>
      </c>
      <c r="D182" s="158" t="s">
        <v>674</v>
      </c>
      <c r="E182" s="213">
        <v>100000</v>
      </c>
      <c r="F182" s="213">
        <v>100000</v>
      </c>
      <c r="G182" s="22">
        <v>0</v>
      </c>
    </row>
    <row r="183" spans="1:7" ht="20.100000000000001" customHeight="1">
      <c r="A183" s="168">
        <v>50</v>
      </c>
      <c r="B183" s="133" t="s">
        <v>310</v>
      </c>
      <c r="C183" s="203" t="s">
        <v>305</v>
      </c>
      <c r="D183" s="158" t="s">
        <v>674</v>
      </c>
      <c r="E183" s="213">
        <v>100000</v>
      </c>
      <c r="F183" s="213">
        <v>100000</v>
      </c>
      <c r="G183" s="22">
        <v>0</v>
      </c>
    </row>
    <row r="184" spans="1:7" ht="20.100000000000001" customHeight="1">
      <c r="A184" s="168">
        <v>51</v>
      </c>
      <c r="B184" s="134" t="s">
        <v>311</v>
      </c>
      <c r="C184" s="203" t="s">
        <v>305</v>
      </c>
      <c r="D184" s="158" t="s">
        <v>317</v>
      </c>
      <c r="E184" s="213">
        <v>100000</v>
      </c>
      <c r="F184" s="213">
        <v>100000</v>
      </c>
      <c r="G184" s="22">
        <v>0</v>
      </c>
    </row>
    <row r="185" spans="1:7" ht="20.100000000000001" customHeight="1">
      <c r="A185" s="168">
        <v>52</v>
      </c>
      <c r="B185" s="134" t="s">
        <v>312</v>
      </c>
      <c r="C185" s="203" t="s">
        <v>305</v>
      </c>
      <c r="D185" s="158" t="s">
        <v>317</v>
      </c>
      <c r="E185" s="213">
        <v>100000</v>
      </c>
      <c r="F185" s="213">
        <v>100000</v>
      </c>
      <c r="G185" s="22">
        <v>0</v>
      </c>
    </row>
    <row r="186" spans="1:7" ht="20.100000000000001" customHeight="1">
      <c r="A186" s="168">
        <v>53</v>
      </c>
      <c r="B186" s="133" t="s">
        <v>313</v>
      </c>
      <c r="C186" s="203" t="s">
        <v>302</v>
      </c>
      <c r="D186" s="158" t="s">
        <v>317</v>
      </c>
      <c r="E186" s="213">
        <v>100000</v>
      </c>
      <c r="F186" s="213">
        <v>100000</v>
      </c>
      <c r="G186" s="22">
        <v>0</v>
      </c>
    </row>
    <row r="187" spans="1:7" ht="20.100000000000001" customHeight="1">
      <c r="A187" s="168">
        <v>54</v>
      </c>
      <c r="B187" s="133" t="s">
        <v>314</v>
      </c>
      <c r="C187" s="203" t="s">
        <v>302</v>
      </c>
      <c r="D187" s="158" t="s">
        <v>317</v>
      </c>
      <c r="E187" s="213">
        <v>100000</v>
      </c>
      <c r="F187" s="213">
        <v>100000</v>
      </c>
      <c r="G187" s="22">
        <v>0</v>
      </c>
    </row>
    <row r="188" spans="1:7" ht="20.100000000000001" customHeight="1">
      <c r="A188" s="168">
        <v>55</v>
      </c>
      <c r="B188" s="134" t="s">
        <v>315</v>
      </c>
      <c r="C188" s="203" t="s">
        <v>305</v>
      </c>
      <c r="D188" s="158" t="s">
        <v>675</v>
      </c>
      <c r="E188" s="213">
        <v>100000</v>
      </c>
      <c r="F188" s="213">
        <v>100000</v>
      </c>
      <c r="G188" s="22">
        <v>0</v>
      </c>
    </row>
    <row r="189" spans="1:7" ht="20.100000000000001" customHeight="1">
      <c r="A189" s="168">
        <v>56</v>
      </c>
      <c r="B189" s="134" t="s">
        <v>318</v>
      </c>
      <c r="C189" s="203" t="s">
        <v>305</v>
      </c>
      <c r="D189" s="158" t="s">
        <v>676</v>
      </c>
      <c r="E189" s="213">
        <v>100000</v>
      </c>
      <c r="F189" s="213">
        <v>100000</v>
      </c>
      <c r="G189" s="22">
        <v>0</v>
      </c>
    </row>
    <row r="190" spans="1:7" ht="20.100000000000001" customHeight="1">
      <c r="A190" s="168"/>
      <c r="B190" s="154" t="s">
        <v>91</v>
      </c>
      <c r="C190" s="211" t="s">
        <v>711</v>
      </c>
      <c r="D190" s="21"/>
      <c r="E190" s="215">
        <f>SUM(E134:E189)</f>
        <v>12750000</v>
      </c>
      <c r="F190" s="215">
        <f t="shared" ref="F190:G190" si="17">SUM(F134:F189)</f>
        <v>10200000</v>
      </c>
      <c r="G190" s="215">
        <f t="shared" si="17"/>
        <v>2550000</v>
      </c>
    </row>
    <row r="191" spans="1:7" ht="20.100000000000001" customHeight="1">
      <c r="A191" s="19"/>
      <c r="B191" s="171" t="s">
        <v>330</v>
      </c>
      <c r="C191" s="212">
        <f>C38+C43+C58+C62+C78+C86+C100+C107+C117+C131+C190+2</f>
        <v>152</v>
      </c>
      <c r="D191" s="173"/>
      <c r="E191" s="223">
        <f>E190+E131+E117+E107+E100+E86+E78+E62+E58+E43+E38</f>
        <v>62400000</v>
      </c>
      <c r="F191" s="223">
        <f>F190+F131+F117+F107+F100+F86+F78+F62+F58+F43+F38</f>
        <v>29750000</v>
      </c>
      <c r="G191" s="223">
        <f t="shared" ref="G191" si="18">G190+G131+G117+G107+G100+G86+G78+G62+G58+G43+G38</f>
        <v>32650000</v>
      </c>
    </row>
    <row r="192" spans="1:7" ht="20.100000000000001" customHeight="1">
      <c r="B192" s="175"/>
      <c r="C192" s="175"/>
      <c r="D192" s="176"/>
      <c r="E192" s="224"/>
      <c r="F192" s="225"/>
      <c r="G192" s="225"/>
    </row>
    <row r="193" spans="2:5" ht="28.5" customHeight="1">
      <c r="B193" s="175"/>
      <c r="C193" s="175"/>
      <c r="D193" s="176"/>
      <c r="E193" s="226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454" t="s">
        <v>712</v>
      </c>
      <c r="B1" s="454"/>
      <c r="C1" s="454"/>
      <c r="D1" s="454"/>
      <c r="E1" s="454"/>
      <c r="F1" s="454"/>
    </row>
    <row r="2" spans="1:6" ht="18.75">
      <c r="A2" s="455" t="s">
        <v>713</v>
      </c>
      <c r="B2" s="455"/>
      <c r="C2" s="455"/>
      <c r="D2" s="455"/>
      <c r="E2" s="455"/>
      <c r="F2" s="455"/>
    </row>
    <row r="3" spans="1:6" ht="18.75">
      <c r="A3" s="431"/>
      <c r="B3" s="431"/>
      <c r="C3" s="431"/>
      <c r="D3" s="3" t="s">
        <v>714</v>
      </c>
      <c r="E3" s="3" t="s">
        <v>715</v>
      </c>
      <c r="F3" s="10"/>
    </row>
    <row r="4" spans="1:6" ht="18.75">
      <c r="A4" s="431" t="s">
        <v>716</v>
      </c>
      <c r="B4" s="431"/>
      <c r="C4" s="431"/>
      <c r="D4" s="11">
        <f>E4*12</f>
        <v>948475.67999999993</v>
      </c>
      <c r="E4" s="11">
        <f>SUMMARY!F3</f>
        <v>79039.64</v>
      </c>
      <c r="F4" s="1"/>
    </row>
    <row r="5" spans="1:6" ht="18.75">
      <c r="A5" s="431" t="s">
        <v>717</v>
      </c>
      <c r="B5" s="431"/>
      <c r="C5" s="431"/>
      <c r="D5" s="11">
        <f t="shared" ref="D5:D14" si="0">E5*12</f>
        <v>2845427.04</v>
      </c>
      <c r="E5" s="11">
        <f>SUMMARY!H3</f>
        <v>237118.91999999998</v>
      </c>
      <c r="F5" s="1"/>
    </row>
    <row r="6" spans="1:6" ht="18.75">
      <c r="A6" s="431" t="s">
        <v>718</v>
      </c>
      <c r="B6" s="431"/>
      <c r="C6" s="431"/>
      <c r="D6" s="11">
        <f t="shared" si="0"/>
        <v>71135.676000000007</v>
      </c>
      <c r="E6" s="11">
        <f>SUMMARY!I3</f>
        <v>5927.973</v>
      </c>
      <c r="F6" s="1"/>
    </row>
    <row r="7" spans="1:6" ht="18.75">
      <c r="A7" s="431" t="s">
        <v>719</v>
      </c>
      <c r="B7" s="431"/>
      <c r="C7" s="431"/>
      <c r="D7" s="11">
        <f t="shared" si="0"/>
        <v>962932.56</v>
      </c>
      <c r="E7" s="11">
        <f>SUMMARY!J3</f>
        <v>80244.38</v>
      </c>
      <c r="F7" s="1"/>
    </row>
    <row r="8" spans="1:6" ht="18.75">
      <c r="A8" s="431" t="s">
        <v>720</v>
      </c>
      <c r="B8" s="431"/>
      <c r="C8" s="431"/>
      <c r="D8" s="11">
        <f t="shared" si="0"/>
        <v>474237.83999999997</v>
      </c>
      <c r="E8" s="11">
        <f>SUMMARY!K3</f>
        <v>39519.82</v>
      </c>
      <c r="F8" s="1"/>
    </row>
    <row r="9" spans="1:6" ht="18.75">
      <c r="A9" s="431" t="s">
        <v>721</v>
      </c>
      <c r="B9" s="431"/>
      <c r="C9" s="431"/>
      <c r="D9" s="11">
        <f t="shared" si="0"/>
        <v>3319664.88</v>
      </c>
      <c r="E9" s="11">
        <f>SUMMARY!L3</f>
        <v>276638.74</v>
      </c>
      <c r="F9" s="1"/>
    </row>
    <row r="10" spans="1:6" ht="18.75">
      <c r="A10" s="436" t="s">
        <v>722</v>
      </c>
      <c r="B10" s="453"/>
      <c r="C10" s="437"/>
      <c r="D10" s="11">
        <f>E10*12</f>
        <v>0</v>
      </c>
      <c r="E10" s="11"/>
      <c r="F10" s="1"/>
    </row>
    <row r="11" spans="1:6" ht="18.75">
      <c r="A11" s="431" t="s">
        <v>723</v>
      </c>
      <c r="B11" s="431"/>
      <c r="C11" s="431"/>
      <c r="D11" s="11">
        <f t="shared" si="0"/>
        <v>948475.67999999993</v>
      </c>
      <c r="E11" s="11">
        <f>SUMMARY!N3</f>
        <v>79039.64</v>
      </c>
      <c r="F11" s="1"/>
    </row>
    <row r="12" spans="1:6" ht="18.75">
      <c r="A12" s="431" t="s">
        <v>724</v>
      </c>
      <c r="B12" s="431"/>
      <c r="C12" s="431"/>
      <c r="D12" s="11">
        <f t="shared" si="0"/>
        <v>94847.567999999999</v>
      </c>
      <c r="E12" s="11">
        <f>SUMMARY!O3</f>
        <v>7903.9639999999999</v>
      </c>
      <c r="F12" s="1"/>
    </row>
    <row r="13" spans="1:6" ht="18.75">
      <c r="A13" s="431" t="s">
        <v>725</v>
      </c>
      <c r="B13" s="431"/>
      <c r="C13" s="431"/>
      <c r="D13" s="11">
        <f t="shared" si="0"/>
        <v>240000</v>
      </c>
      <c r="E13" s="11">
        <f>SUMMARY!P3</f>
        <v>20000</v>
      </c>
      <c r="F13" s="1"/>
    </row>
    <row r="14" spans="1:6" ht="18.75">
      <c r="A14" s="450" t="s">
        <v>16</v>
      </c>
      <c r="B14" s="450"/>
      <c r="C14" s="450"/>
      <c r="D14" s="12">
        <f t="shared" si="0"/>
        <v>9905196.9240000006</v>
      </c>
      <c r="E14" s="12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456" t="s">
        <v>726</v>
      </c>
      <c r="B1" s="456"/>
      <c r="C1" s="456"/>
      <c r="D1" s="456"/>
      <c r="E1" s="456"/>
      <c r="F1" s="456"/>
    </row>
    <row r="2" spans="1:6" ht="18.75">
      <c r="A2" s="455" t="s">
        <v>727</v>
      </c>
      <c r="B2" s="455"/>
      <c r="C2" s="455"/>
      <c r="D2" s="455"/>
      <c r="E2" s="455"/>
      <c r="F2" s="455"/>
    </row>
    <row r="3" spans="1:6" ht="18.75">
      <c r="A3" s="431"/>
      <c r="B3" s="431"/>
      <c r="C3" s="431"/>
      <c r="D3" s="3" t="s">
        <v>714</v>
      </c>
      <c r="E3" s="3" t="s">
        <v>715</v>
      </c>
      <c r="F3" s="10"/>
    </row>
    <row r="4" spans="1:6" ht="18.75">
      <c r="A4" s="431" t="s">
        <v>716</v>
      </c>
      <c r="B4" s="431"/>
      <c r="C4" s="431"/>
      <c r="D4" s="11" t="e">
        <f>E4*12</f>
        <v>#REF!</v>
      </c>
      <c r="E4" s="11" t="e">
        <f>'DECEMBER 2023'!#REF!</f>
        <v>#REF!</v>
      </c>
      <c r="F4" s="1"/>
    </row>
    <row r="5" spans="1:6" ht="18.75">
      <c r="A5" s="431" t="s">
        <v>717</v>
      </c>
      <c r="B5" s="431"/>
      <c r="C5" s="431"/>
      <c r="D5" s="11" t="e">
        <f t="shared" ref="D5:D13" si="0">E5*12</f>
        <v>#REF!</v>
      </c>
      <c r="E5" s="11" t="e">
        <f>'DECEMBER 2023'!#REF!</f>
        <v>#REF!</v>
      </c>
      <c r="F5" s="1"/>
    </row>
    <row r="6" spans="1:6" ht="18.75">
      <c r="A6" s="431" t="s">
        <v>718</v>
      </c>
      <c r="B6" s="431"/>
      <c r="C6" s="431"/>
      <c r="D6" s="11" t="e">
        <f t="shared" si="0"/>
        <v>#REF!</v>
      </c>
      <c r="E6" s="11" t="e">
        <f>'DECEMBER 2023'!#REF!</f>
        <v>#REF!</v>
      </c>
      <c r="F6" s="1"/>
    </row>
    <row r="7" spans="1:6" ht="18.75">
      <c r="A7" s="431" t="s">
        <v>719</v>
      </c>
      <c r="B7" s="431"/>
      <c r="C7" s="431"/>
      <c r="D7" s="11" t="e">
        <f t="shared" si="0"/>
        <v>#REF!</v>
      </c>
      <c r="E7" s="11" t="e">
        <f>'DECEMBER 2023'!#REF!</f>
        <v>#REF!</v>
      </c>
      <c r="F7" s="1"/>
    </row>
    <row r="8" spans="1:6" ht="18.75">
      <c r="A8" s="431" t="s">
        <v>720</v>
      </c>
      <c r="B8" s="431"/>
      <c r="C8" s="431"/>
      <c r="D8" s="11" t="e">
        <f t="shared" si="0"/>
        <v>#REF!</v>
      </c>
      <c r="E8" s="11" t="e">
        <f>'DECEMBER 2023'!#REF!</f>
        <v>#REF!</v>
      </c>
      <c r="F8" s="1"/>
    </row>
    <row r="9" spans="1:6" ht="18.75">
      <c r="A9" s="431" t="s">
        <v>721</v>
      </c>
      <c r="B9" s="431"/>
      <c r="C9" s="431"/>
      <c r="D9" s="11" t="e">
        <f t="shared" si="0"/>
        <v>#REF!</v>
      </c>
      <c r="E9" s="11" t="e">
        <f>'DECEMBER 2023'!#REF!</f>
        <v>#REF!</v>
      </c>
      <c r="F9" s="1"/>
    </row>
    <row r="10" spans="1:6" ht="18.75">
      <c r="A10" s="431" t="s">
        <v>723</v>
      </c>
      <c r="B10" s="431"/>
      <c r="C10" s="431"/>
      <c r="D10" s="11" t="e">
        <f t="shared" si="0"/>
        <v>#REF!</v>
      </c>
      <c r="E10" s="11" t="e">
        <f>'DECEMBER 2023'!#REF!</f>
        <v>#REF!</v>
      </c>
      <c r="F10" s="1"/>
    </row>
    <row r="11" spans="1:6" ht="18.75">
      <c r="A11" s="436" t="s">
        <v>728</v>
      </c>
      <c r="B11" s="453"/>
      <c r="C11" s="437"/>
      <c r="D11" s="11">
        <f t="shared" si="0"/>
        <v>1200000</v>
      </c>
      <c r="E11" s="11">
        <v>100000</v>
      </c>
      <c r="F11" s="1"/>
    </row>
    <row r="12" spans="1:6" ht="18.75">
      <c r="A12" s="431" t="s">
        <v>724</v>
      </c>
      <c r="B12" s="431"/>
      <c r="C12" s="431"/>
      <c r="D12" s="11" t="e">
        <f t="shared" si="0"/>
        <v>#REF!</v>
      </c>
      <c r="E12" s="11" t="e">
        <f>'DECEMBER 2023'!#REF!</f>
        <v>#REF!</v>
      </c>
      <c r="F12" s="1"/>
    </row>
    <row r="13" spans="1:6" ht="18.75">
      <c r="A13" s="431" t="s">
        <v>725</v>
      </c>
      <c r="B13" s="431"/>
      <c r="C13" s="431"/>
      <c r="D13" s="11" t="e">
        <f t="shared" si="0"/>
        <v>#REF!</v>
      </c>
      <c r="E13" s="11" t="e">
        <f>'DECEMBER 2023'!#REF!</f>
        <v>#REF!</v>
      </c>
      <c r="F13" s="1"/>
    </row>
    <row r="14" spans="1:6" ht="18.75">
      <c r="A14" s="450" t="s">
        <v>16</v>
      </c>
      <c r="B14" s="450"/>
      <c r="C14" s="450"/>
      <c r="D14" s="12" t="e">
        <f>SUM(D4:D13)</f>
        <v>#REF!</v>
      </c>
      <c r="E14" s="12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456" t="s">
        <v>729</v>
      </c>
      <c r="B1" s="456"/>
      <c r="C1" s="456"/>
      <c r="D1" s="456"/>
      <c r="E1" s="456"/>
      <c r="F1" s="456"/>
    </row>
    <row r="2" spans="1:6" ht="18.75">
      <c r="A2" s="455" t="s">
        <v>730</v>
      </c>
      <c r="B2" s="455"/>
      <c r="C2" s="455"/>
      <c r="D2" s="455"/>
      <c r="E2" s="455"/>
      <c r="F2" s="455"/>
    </row>
    <row r="3" spans="1:6" ht="18.75">
      <c r="A3" s="431"/>
      <c r="B3" s="431"/>
      <c r="C3" s="431"/>
      <c r="D3" s="3" t="s">
        <v>714</v>
      </c>
      <c r="E3" s="3" t="s">
        <v>715</v>
      </c>
      <c r="F3" s="10"/>
    </row>
    <row r="4" spans="1:6" ht="18.75">
      <c r="A4" s="431" t="s">
        <v>716</v>
      </c>
      <c r="B4" s="431"/>
      <c r="C4" s="431"/>
      <c r="D4" s="11">
        <f>E4*12</f>
        <v>493892.28</v>
      </c>
      <c r="E4" s="11">
        <f>'DECEMBER 2023'!E98</f>
        <v>41157.69</v>
      </c>
      <c r="F4" s="1"/>
    </row>
    <row r="5" spans="1:6" ht="18.75">
      <c r="A5" s="431" t="s">
        <v>717</v>
      </c>
      <c r="B5" s="431"/>
      <c r="C5" s="431"/>
      <c r="D5" s="11">
        <f t="shared" ref="D5:D14" si="0">E5*12</f>
        <v>1481676.84</v>
      </c>
      <c r="E5" s="11">
        <f>'DECEMBER 2023'!G98</f>
        <v>123473.07</v>
      </c>
      <c r="F5" s="1"/>
    </row>
    <row r="6" spans="1:6" ht="18.75">
      <c r="A6" s="431" t="s">
        <v>718</v>
      </c>
      <c r="B6" s="431"/>
      <c r="C6" s="431"/>
      <c r="D6" s="11">
        <f t="shared" si="0"/>
        <v>37041.921000000002</v>
      </c>
      <c r="E6" s="11">
        <f>'DECEMBER 2023'!H98</f>
        <v>3086.8267500000002</v>
      </c>
      <c r="F6" s="1"/>
    </row>
    <row r="7" spans="1:6" ht="18.75">
      <c r="A7" s="431" t="s">
        <v>719</v>
      </c>
      <c r="B7" s="431"/>
      <c r="C7" s="431"/>
      <c r="D7" s="11">
        <f t="shared" si="0"/>
        <v>481466.28</v>
      </c>
      <c r="E7" s="11">
        <f>'DECEMBER 2023'!I98</f>
        <v>40122.19</v>
      </c>
      <c r="F7" s="1"/>
    </row>
    <row r="8" spans="1:6" ht="18.75">
      <c r="A8" s="431" t="s">
        <v>720</v>
      </c>
      <c r="B8" s="431"/>
      <c r="C8" s="431"/>
      <c r="D8" s="11">
        <f t="shared" si="0"/>
        <v>246946.14</v>
      </c>
      <c r="E8" s="11">
        <f>'DECEMBER 2023'!J98</f>
        <v>20578.845000000001</v>
      </c>
      <c r="F8" s="1"/>
    </row>
    <row r="9" spans="1:6" ht="18.75">
      <c r="A9" s="431" t="s">
        <v>721</v>
      </c>
      <c r="B9" s="431"/>
      <c r="C9" s="431"/>
      <c r="D9" s="11">
        <f t="shared" si="0"/>
        <v>1728622.98</v>
      </c>
      <c r="E9" s="11">
        <f>'DECEMBER 2023'!K98</f>
        <v>144051.91500000001</v>
      </c>
      <c r="F9" s="1"/>
    </row>
    <row r="10" spans="1:6" ht="18.75">
      <c r="A10" s="431" t="s">
        <v>723</v>
      </c>
      <c r="B10" s="431"/>
      <c r="C10" s="431"/>
      <c r="D10" s="11">
        <f t="shared" si="0"/>
        <v>493892.28</v>
      </c>
      <c r="E10" s="11">
        <f>'DECEMBER 2023'!L98</f>
        <v>41157.69</v>
      </c>
      <c r="F10" s="1"/>
    </row>
    <row r="11" spans="1:6" ht="18.75">
      <c r="A11" s="436" t="s">
        <v>722</v>
      </c>
      <c r="B11" s="453"/>
      <c r="C11" s="437"/>
      <c r="D11" s="11">
        <f t="shared" si="0"/>
        <v>0</v>
      </c>
      <c r="E11" s="11">
        <v>0</v>
      </c>
      <c r="F11" s="1"/>
    </row>
    <row r="12" spans="1:6" ht="18.75">
      <c r="A12" s="431" t="s">
        <v>724</v>
      </c>
      <c r="B12" s="431"/>
      <c r="C12" s="431"/>
      <c r="D12" s="11">
        <f t="shared" si="0"/>
        <v>49389.228000000003</v>
      </c>
      <c r="E12" s="11">
        <f>'DECEMBER 2023'!O98</f>
        <v>4115.7690000000002</v>
      </c>
      <c r="F12" s="1"/>
    </row>
    <row r="13" spans="1:6" ht="18.75">
      <c r="A13" s="431" t="s">
        <v>725</v>
      </c>
      <c r="B13" s="431"/>
      <c r="C13" s="431"/>
      <c r="D13" s="11">
        <f t="shared" si="0"/>
        <v>240000</v>
      </c>
      <c r="E13" s="11">
        <v>20000</v>
      </c>
      <c r="F13" s="1"/>
    </row>
    <row r="14" spans="1:6" ht="18.75">
      <c r="A14" s="450" t="s">
        <v>16</v>
      </c>
      <c r="B14" s="450"/>
      <c r="C14" s="450"/>
      <c r="D14" s="12">
        <f t="shared" si="0"/>
        <v>5252927.949</v>
      </c>
      <c r="E14" s="12">
        <f>SUM(E4:E13)</f>
        <v>437743.99575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456" t="s">
        <v>731</v>
      </c>
      <c r="B1" s="456"/>
      <c r="C1" s="456"/>
      <c r="D1" s="456"/>
      <c r="E1" s="456"/>
      <c r="F1" s="456"/>
    </row>
    <row r="2" spans="1:6" ht="18.75">
      <c r="A2" s="455" t="s">
        <v>732</v>
      </c>
      <c r="B2" s="455"/>
      <c r="C2" s="455"/>
      <c r="D2" s="455"/>
      <c r="E2" s="455"/>
      <c r="F2" s="455"/>
    </row>
    <row r="3" spans="1:6" ht="18.75">
      <c r="A3" s="431"/>
      <c r="B3" s="431"/>
      <c r="C3" s="431"/>
      <c r="D3" s="3" t="s">
        <v>714</v>
      </c>
      <c r="E3" s="3" t="s">
        <v>715</v>
      </c>
      <c r="F3" s="10"/>
    </row>
    <row r="4" spans="1:6" ht="18.75">
      <c r="A4" s="431" t="s">
        <v>716</v>
      </c>
      <c r="B4" s="431"/>
      <c r="C4" s="431"/>
      <c r="D4" s="11" t="e">
        <f>E4*12</f>
        <v>#REF!</v>
      </c>
      <c r="E4" s="11" t="e">
        <f>'DECEMBER 2023'!#REF!</f>
        <v>#REF!</v>
      </c>
      <c r="F4" s="1"/>
    </row>
    <row r="5" spans="1:6" ht="18.75">
      <c r="A5" s="431" t="s">
        <v>717</v>
      </c>
      <c r="B5" s="431"/>
      <c r="C5" s="431"/>
      <c r="D5" s="11" t="e">
        <f t="shared" ref="D5:D14" si="0">E5*12</f>
        <v>#REF!</v>
      </c>
      <c r="E5" s="11" t="e">
        <f>'DECEMBER 2023'!#REF!</f>
        <v>#REF!</v>
      </c>
      <c r="F5" s="1"/>
    </row>
    <row r="6" spans="1:6" ht="18.75">
      <c r="A6" s="431" t="s">
        <v>718</v>
      </c>
      <c r="B6" s="431"/>
      <c r="C6" s="431"/>
      <c r="D6" s="11" t="e">
        <f t="shared" si="0"/>
        <v>#REF!</v>
      </c>
      <c r="E6" s="11" t="e">
        <f>'DECEMBER 2023'!#REF!</f>
        <v>#REF!</v>
      </c>
      <c r="F6" s="1"/>
    </row>
    <row r="7" spans="1:6" ht="18.75">
      <c r="A7" s="431" t="s">
        <v>719</v>
      </c>
      <c r="B7" s="431"/>
      <c r="C7" s="431"/>
      <c r="D7" s="11">
        <f t="shared" si="0"/>
        <v>0</v>
      </c>
      <c r="E7" s="11">
        <f>SUMMARY!J6</f>
        <v>0</v>
      </c>
      <c r="F7" s="1"/>
    </row>
    <row r="8" spans="1:6" ht="18.75">
      <c r="A8" s="431" t="s">
        <v>720</v>
      </c>
      <c r="B8" s="431"/>
      <c r="C8" s="431"/>
      <c r="D8" s="11" t="e">
        <f t="shared" si="0"/>
        <v>#REF!</v>
      </c>
      <c r="E8" s="11" t="e">
        <f>'DECEMBER 2023'!#REF!</f>
        <v>#REF!</v>
      </c>
      <c r="F8" s="1"/>
    </row>
    <row r="9" spans="1:6" ht="18.75">
      <c r="A9" s="431" t="s">
        <v>721</v>
      </c>
      <c r="B9" s="431"/>
      <c r="C9" s="431"/>
      <c r="D9" s="11" t="e">
        <f t="shared" si="0"/>
        <v>#REF!</v>
      </c>
      <c r="E9" s="11" t="e">
        <f>'DECEMBER 2023'!#REF!</f>
        <v>#REF!</v>
      </c>
      <c r="F9" s="1"/>
    </row>
    <row r="10" spans="1:6" ht="18.75">
      <c r="A10" s="431" t="s">
        <v>723</v>
      </c>
      <c r="B10" s="431"/>
      <c r="C10" s="431"/>
      <c r="D10" s="11" t="e">
        <f t="shared" si="0"/>
        <v>#REF!</v>
      </c>
      <c r="E10" s="11" t="e">
        <f>'DECEMBER 2023'!#REF!</f>
        <v>#REF!</v>
      </c>
      <c r="F10" s="1"/>
    </row>
    <row r="11" spans="1:6" ht="18.75">
      <c r="A11" s="436" t="s">
        <v>722</v>
      </c>
      <c r="B11" s="453"/>
      <c r="C11" s="437"/>
      <c r="D11" s="11">
        <f t="shared" si="0"/>
        <v>0</v>
      </c>
      <c r="E11" s="11">
        <v>0</v>
      </c>
      <c r="F11" s="1"/>
    </row>
    <row r="12" spans="1:6" ht="18.75">
      <c r="A12" s="431" t="s">
        <v>724</v>
      </c>
      <c r="B12" s="431"/>
      <c r="C12" s="431"/>
      <c r="D12" s="11" t="e">
        <f t="shared" si="0"/>
        <v>#REF!</v>
      </c>
      <c r="E12" s="11" t="e">
        <f>'DECEMBER 2023'!#REF!</f>
        <v>#REF!</v>
      </c>
      <c r="F12" s="1"/>
    </row>
    <row r="13" spans="1:6" ht="18.75">
      <c r="A13" s="431" t="s">
        <v>725</v>
      </c>
      <c r="B13" s="431"/>
      <c r="C13" s="431"/>
      <c r="D13" s="11" t="e">
        <f t="shared" si="0"/>
        <v>#REF!</v>
      </c>
      <c r="E13" s="11" t="e">
        <f>'DECEMBER 2023'!#REF!</f>
        <v>#REF!</v>
      </c>
      <c r="F13" s="1"/>
    </row>
    <row r="14" spans="1:6" ht="18.75">
      <c r="A14" s="450" t="s">
        <v>16</v>
      </c>
      <c r="B14" s="450"/>
      <c r="C14" s="450"/>
      <c r="D14" s="12" t="e">
        <f t="shared" si="0"/>
        <v>#REF!</v>
      </c>
      <c r="E14" s="12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456"/>
      <c r="B1" s="456"/>
      <c r="C1" s="456"/>
      <c r="D1" s="456"/>
      <c r="E1" s="456"/>
      <c r="F1" s="456"/>
    </row>
    <row r="2" spans="1:6" ht="18.75">
      <c r="A2" s="455"/>
      <c r="B2" s="455"/>
      <c r="C2" s="455"/>
      <c r="D2" s="455"/>
      <c r="E2" s="455"/>
      <c r="F2" s="455"/>
    </row>
    <row r="3" spans="1:6" ht="18.75">
      <c r="A3" s="431"/>
      <c r="B3" s="431"/>
      <c r="C3" s="431"/>
      <c r="D3" s="3" t="s">
        <v>714</v>
      </c>
      <c r="E3" s="3" t="s">
        <v>715</v>
      </c>
      <c r="F3" s="10"/>
    </row>
    <row r="4" spans="1:6" ht="18.75">
      <c r="A4" s="431" t="s">
        <v>716</v>
      </c>
      <c r="B4" s="431"/>
      <c r="C4" s="431"/>
      <c r="D4" s="11">
        <f>E4*12</f>
        <v>255527.52</v>
      </c>
      <c r="E4" s="11">
        <f>SUMMARY!F7</f>
        <v>21293.96</v>
      </c>
      <c r="F4" s="1"/>
    </row>
    <row r="5" spans="1:6" ht="18.75">
      <c r="A5" s="431" t="s">
        <v>717</v>
      </c>
      <c r="B5" s="431"/>
      <c r="C5" s="431"/>
      <c r="D5" s="11">
        <f t="shared" ref="D5:D13" si="0">E5*12</f>
        <v>766582.55999999994</v>
      </c>
      <c r="E5" s="11">
        <f>SUMMARY!H7</f>
        <v>63881.88</v>
      </c>
      <c r="F5" s="1"/>
    </row>
    <row r="6" spans="1:6" ht="18.75">
      <c r="A6" s="431" t="s">
        <v>718</v>
      </c>
      <c r="B6" s="431"/>
      <c r="C6" s="431"/>
      <c r="D6" s="11">
        <f t="shared" si="0"/>
        <v>19164.563999999998</v>
      </c>
      <c r="E6" s="11">
        <f>SUMMARY!I7</f>
        <v>1597.0469999999998</v>
      </c>
      <c r="F6" s="1"/>
    </row>
    <row r="7" spans="1:6" ht="18.75">
      <c r="A7" s="431" t="s">
        <v>719</v>
      </c>
      <c r="B7" s="431"/>
      <c r="C7" s="431"/>
      <c r="D7" s="11">
        <f t="shared" si="0"/>
        <v>0</v>
      </c>
      <c r="E7" s="11">
        <f>SUMMARY!J6</f>
        <v>0</v>
      </c>
      <c r="F7" s="1"/>
    </row>
    <row r="8" spans="1:6" ht="18.75">
      <c r="A8" s="431" t="s">
        <v>720</v>
      </c>
      <c r="B8" s="431"/>
      <c r="C8" s="431"/>
      <c r="D8" s="11">
        <f t="shared" si="0"/>
        <v>127763.76</v>
      </c>
      <c r="E8" s="11">
        <f>SUMMARY!K7</f>
        <v>10646.98</v>
      </c>
      <c r="F8" s="1"/>
    </row>
    <row r="9" spans="1:6" ht="18.75">
      <c r="A9" s="431" t="s">
        <v>721</v>
      </c>
      <c r="B9" s="431"/>
      <c r="C9" s="431"/>
      <c r="D9" s="11">
        <f t="shared" si="0"/>
        <v>894346.32000000007</v>
      </c>
      <c r="E9" s="11">
        <f>SUMMARY!L7</f>
        <v>74528.86</v>
      </c>
      <c r="F9" s="1"/>
    </row>
    <row r="10" spans="1:6" ht="18.75">
      <c r="A10" s="431" t="s">
        <v>723</v>
      </c>
      <c r="B10" s="431"/>
      <c r="C10" s="431"/>
      <c r="D10" s="11">
        <f t="shared" si="0"/>
        <v>255527.52</v>
      </c>
      <c r="E10" s="11">
        <f>SUMMARY!N7</f>
        <v>21293.96</v>
      </c>
      <c r="F10" s="1"/>
    </row>
    <row r="11" spans="1:6" ht="18.75">
      <c r="A11" s="431" t="s">
        <v>724</v>
      </c>
      <c r="B11" s="431"/>
      <c r="C11" s="431"/>
      <c r="D11" s="11">
        <f t="shared" si="0"/>
        <v>25552.752</v>
      </c>
      <c r="E11" s="11">
        <f>SUMMARY!O7</f>
        <v>2129.3960000000002</v>
      </c>
      <c r="F11" s="1"/>
    </row>
    <row r="12" spans="1:6" ht="18.75">
      <c r="A12" s="431" t="s">
        <v>725</v>
      </c>
      <c r="B12" s="431"/>
      <c r="C12" s="431"/>
      <c r="D12" s="11">
        <f t="shared" si="0"/>
        <v>120000</v>
      </c>
      <c r="E12" s="11">
        <f>SUMMARY!P7</f>
        <v>10000</v>
      </c>
      <c r="F12" s="1"/>
    </row>
    <row r="13" spans="1:6" ht="18.75">
      <c r="A13" s="450" t="s">
        <v>16</v>
      </c>
      <c r="B13" s="450"/>
      <c r="C13" s="450"/>
      <c r="D13" s="12">
        <f t="shared" si="0"/>
        <v>2464464.9960000003</v>
      </c>
      <c r="E13" s="12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456" t="s">
        <v>733</v>
      </c>
      <c r="B1" s="456"/>
      <c r="C1" s="456"/>
      <c r="D1" s="456"/>
      <c r="E1" s="456"/>
      <c r="F1" s="456"/>
    </row>
    <row r="2" spans="1:6" ht="18.75">
      <c r="A2" s="455" t="s">
        <v>734</v>
      </c>
      <c r="B2" s="455"/>
      <c r="C2" s="455"/>
      <c r="D2" s="455"/>
      <c r="E2" s="455"/>
      <c r="F2" s="455"/>
    </row>
    <row r="3" spans="1:6" ht="18.75">
      <c r="A3" s="431"/>
      <c r="B3" s="431"/>
      <c r="C3" s="431"/>
      <c r="D3" s="3" t="s">
        <v>714</v>
      </c>
      <c r="E3" s="3" t="s">
        <v>715</v>
      </c>
      <c r="F3" s="10"/>
    </row>
    <row r="4" spans="1:6" ht="18.75">
      <c r="A4" s="431" t="s">
        <v>716</v>
      </c>
      <c r="B4" s="431"/>
      <c r="C4" s="431"/>
      <c r="D4" s="11">
        <f>E4*12</f>
        <v>207435.96000000002</v>
      </c>
      <c r="E4" s="11">
        <f>SUMMARY!F8</f>
        <v>17286.330000000002</v>
      </c>
      <c r="F4" s="1"/>
    </row>
    <row r="5" spans="1:6" ht="18.75">
      <c r="A5" s="431" t="s">
        <v>717</v>
      </c>
      <c r="B5" s="431"/>
      <c r="C5" s="431"/>
      <c r="D5" s="11">
        <f t="shared" ref="D5:D14" si="0">E5*12</f>
        <v>622307.88000000012</v>
      </c>
      <c r="E5" s="11">
        <f>SUMMARY!H8</f>
        <v>51858.990000000005</v>
      </c>
      <c r="F5" s="1"/>
    </row>
    <row r="6" spans="1:6" ht="18.75">
      <c r="A6" s="431" t="s">
        <v>718</v>
      </c>
      <c r="B6" s="431"/>
      <c r="C6" s="431"/>
      <c r="D6" s="11">
        <f t="shared" si="0"/>
        <v>15557.697</v>
      </c>
      <c r="E6" s="11">
        <f>SUMMARY!I8</f>
        <v>1296.4747500000001</v>
      </c>
      <c r="F6" s="1"/>
    </row>
    <row r="7" spans="1:6" ht="18.75">
      <c r="A7" s="431" t="s">
        <v>719</v>
      </c>
      <c r="B7" s="431"/>
      <c r="C7" s="431"/>
      <c r="D7" s="11">
        <f t="shared" si="0"/>
        <v>0</v>
      </c>
      <c r="E7" s="11">
        <f>SUMMARY!J6</f>
        <v>0</v>
      </c>
      <c r="F7" s="1"/>
    </row>
    <row r="8" spans="1:6" ht="18.75">
      <c r="A8" s="431" t="s">
        <v>720</v>
      </c>
      <c r="B8" s="431"/>
      <c r="C8" s="431"/>
      <c r="D8" s="11">
        <f t="shared" si="0"/>
        <v>103717.98000000001</v>
      </c>
      <c r="E8" s="11">
        <f>SUMMARY!K8</f>
        <v>8643.1650000000009</v>
      </c>
      <c r="F8" s="1"/>
    </row>
    <row r="9" spans="1:6" ht="18.75">
      <c r="A9" s="431" t="s">
        <v>721</v>
      </c>
      <c r="B9" s="431"/>
      <c r="C9" s="431"/>
      <c r="D9" s="11">
        <f t="shared" si="0"/>
        <v>726025.8600000001</v>
      </c>
      <c r="E9" s="11">
        <f>SUMMARY!L8</f>
        <v>60502.155000000006</v>
      </c>
      <c r="F9" s="1"/>
    </row>
    <row r="10" spans="1:6" ht="18.75">
      <c r="A10" s="431" t="s">
        <v>723</v>
      </c>
      <c r="B10" s="431"/>
      <c r="C10" s="431"/>
      <c r="D10" s="11">
        <f t="shared" si="0"/>
        <v>207435.96000000002</v>
      </c>
      <c r="E10" s="11">
        <f>SUMMARY!N8</f>
        <v>17286.330000000002</v>
      </c>
      <c r="F10" s="1"/>
    </row>
    <row r="11" spans="1:6" ht="18.75">
      <c r="A11" s="436" t="s">
        <v>722</v>
      </c>
      <c r="B11" s="453"/>
      <c r="C11" s="437"/>
      <c r="D11" s="11">
        <f t="shared" si="0"/>
        <v>480000</v>
      </c>
      <c r="E11" s="11">
        <v>40000</v>
      </c>
      <c r="F11" s="1"/>
    </row>
    <row r="12" spans="1:6" ht="18.75">
      <c r="A12" s="431" t="s">
        <v>724</v>
      </c>
      <c r="B12" s="431"/>
      <c r="C12" s="431"/>
      <c r="D12" s="11">
        <f t="shared" si="0"/>
        <v>20743.596000000005</v>
      </c>
      <c r="E12" s="11">
        <f>SUMMARY!O8</f>
        <v>1728.6330000000003</v>
      </c>
      <c r="F12" s="1"/>
    </row>
    <row r="13" spans="1:6" ht="18.75">
      <c r="A13" s="431" t="s">
        <v>725</v>
      </c>
      <c r="B13" s="431"/>
      <c r="C13" s="431"/>
      <c r="D13" s="11">
        <f t="shared" si="0"/>
        <v>120000</v>
      </c>
      <c r="E13" s="11">
        <f>SUMMARY!P7</f>
        <v>10000</v>
      </c>
      <c r="F13" s="1"/>
    </row>
    <row r="14" spans="1:6" ht="18.75">
      <c r="A14" s="450" t="s">
        <v>16</v>
      </c>
      <c r="B14" s="450"/>
      <c r="C14" s="450"/>
      <c r="D14" s="12">
        <f t="shared" si="0"/>
        <v>2503224.9330000002</v>
      </c>
      <c r="E14" s="12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456" t="s">
        <v>735</v>
      </c>
      <c r="B1" s="456"/>
      <c r="C1" s="456"/>
      <c r="D1" s="456"/>
      <c r="E1" s="456"/>
      <c r="F1" s="456"/>
    </row>
    <row r="2" spans="1:6" ht="18.75">
      <c r="A2" s="455" t="s">
        <v>736</v>
      </c>
      <c r="B2" s="455"/>
      <c r="C2" s="455"/>
      <c r="D2" s="455"/>
      <c r="E2" s="455"/>
      <c r="F2" s="455"/>
    </row>
    <row r="3" spans="1:6" ht="18.75">
      <c r="A3" s="431"/>
      <c r="B3" s="431"/>
      <c r="C3" s="431"/>
      <c r="D3" s="3" t="s">
        <v>714</v>
      </c>
      <c r="E3" s="3" t="s">
        <v>715</v>
      </c>
      <c r="F3" s="10"/>
    </row>
    <row r="4" spans="1:6" ht="18.75">
      <c r="A4" s="431" t="s">
        <v>716</v>
      </c>
      <c r="B4" s="431"/>
      <c r="C4" s="431"/>
      <c r="D4" s="11">
        <f>E4*12</f>
        <v>176833.68</v>
      </c>
      <c r="E4" s="11">
        <f>SUMMARY!F9</f>
        <v>14736.14</v>
      </c>
      <c r="F4" s="1"/>
    </row>
    <row r="5" spans="1:6" ht="18.75">
      <c r="A5" s="431" t="s">
        <v>717</v>
      </c>
      <c r="B5" s="431"/>
      <c r="C5" s="431"/>
      <c r="D5" s="11">
        <f t="shared" ref="D5:D14" si="0">E5*12</f>
        <v>530501.04</v>
      </c>
      <c r="E5" s="11">
        <f>SUMMARY!H9</f>
        <v>44208.42</v>
      </c>
      <c r="F5" s="1"/>
    </row>
    <row r="6" spans="1:6" ht="18.75">
      <c r="A6" s="431" t="s">
        <v>718</v>
      </c>
      <c r="B6" s="431"/>
      <c r="C6" s="431"/>
      <c r="D6" s="11">
        <f t="shared" si="0"/>
        <v>13262.525999999998</v>
      </c>
      <c r="E6" s="11">
        <f>SUMMARY!I9</f>
        <v>1105.2104999999999</v>
      </c>
      <c r="F6" s="1"/>
    </row>
    <row r="7" spans="1:6" ht="18.75">
      <c r="A7" s="431" t="s">
        <v>719</v>
      </c>
      <c r="B7" s="431"/>
      <c r="C7" s="431"/>
      <c r="D7" s="11">
        <f t="shared" si="0"/>
        <v>0</v>
      </c>
      <c r="E7" s="11">
        <f>SUMMARY!J6</f>
        <v>0</v>
      </c>
      <c r="F7" s="1"/>
    </row>
    <row r="8" spans="1:6" ht="18.75">
      <c r="A8" s="431" t="s">
        <v>720</v>
      </c>
      <c r="B8" s="431"/>
      <c r="C8" s="431"/>
      <c r="D8" s="11">
        <f t="shared" si="0"/>
        <v>88416.84</v>
      </c>
      <c r="E8" s="11">
        <f>SUMMARY!K9</f>
        <v>7368.07</v>
      </c>
      <c r="F8" s="1"/>
    </row>
    <row r="9" spans="1:6" ht="18.75">
      <c r="A9" s="431" t="s">
        <v>721</v>
      </c>
      <c r="B9" s="431"/>
      <c r="C9" s="431"/>
      <c r="D9" s="11">
        <f t="shared" si="0"/>
        <v>618917.88</v>
      </c>
      <c r="E9" s="11">
        <f>SUMMARY!L9</f>
        <v>51576.49</v>
      </c>
      <c r="F9" s="1"/>
    </row>
    <row r="10" spans="1:6" ht="18.75">
      <c r="A10" s="431" t="s">
        <v>723</v>
      </c>
      <c r="B10" s="431"/>
      <c r="C10" s="431"/>
      <c r="D10" s="11">
        <f t="shared" si="0"/>
        <v>176833.68</v>
      </c>
      <c r="E10" s="11">
        <f>SUMMARY!N9</f>
        <v>14736.14</v>
      </c>
      <c r="F10" s="1"/>
    </row>
    <row r="11" spans="1:6" ht="18.75">
      <c r="A11" s="436" t="s">
        <v>737</v>
      </c>
      <c r="B11" s="453"/>
      <c r="C11" s="437"/>
      <c r="D11" s="11">
        <f t="shared" si="0"/>
        <v>480000</v>
      </c>
      <c r="E11" s="11">
        <v>40000</v>
      </c>
      <c r="F11" s="1"/>
    </row>
    <row r="12" spans="1:6" ht="18.75">
      <c r="A12" s="431" t="s">
        <v>724</v>
      </c>
      <c r="B12" s="431"/>
      <c r="C12" s="431"/>
      <c r="D12" s="11">
        <f t="shared" si="0"/>
        <v>17683.368000000002</v>
      </c>
      <c r="E12" s="11">
        <f>SUMMARY!O9</f>
        <v>1473.614</v>
      </c>
      <c r="F12" s="1"/>
    </row>
    <row r="13" spans="1:6" ht="18.75">
      <c r="A13" s="431" t="s">
        <v>725</v>
      </c>
      <c r="B13" s="431"/>
      <c r="C13" s="431"/>
      <c r="D13" s="11">
        <f t="shared" si="0"/>
        <v>120000</v>
      </c>
      <c r="E13" s="11">
        <f>SUMMARY!P7</f>
        <v>10000</v>
      </c>
      <c r="F13" s="1"/>
    </row>
    <row r="14" spans="1:6" ht="18.75">
      <c r="A14" s="450" t="s">
        <v>16</v>
      </c>
      <c r="B14" s="450"/>
      <c r="C14" s="450"/>
      <c r="D14" s="12">
        <f t="shared" si="0"/>
        <v>2222449.014</v>
      </c>
      <c r="E14" s="12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456" t="s">
        <v>738</v>
      </c>
      <c r="B1" s="456"/>
      <c r="C1" s="456"/>
      <c r="D1" s="456"/>
      <c r="E1" s="456"/>
      <c r="F1" s="456"/>
    </row>
    <row r="2" spans="1:6" ht="18.75">
      <c r="A2" s="455"/>
      <c r="B2" s="455"/>
      <c r="C2" s="455"/>
      <c r="D2" s="455"/>
      <c r="E2" s="455"/>
      <c r="F2" s="455"/>
    </row>
    <row r="3" spans="1:6" ht="18.75">
      <c r="A3" s="431"/>
      <c r="B3" s="431"/>
      <c r="C3" s="431"/>
      <c r="D3" s="3" t="s">
        <v>714</v>
      </c>
      <c r="E3" s="3" t="s">
        <v>715</v>
      </c>
      <c r="F3" s="10"/>
    </row>
    <row r="4" spans="1:6" ht="18.75">
      <c r="A4" s="431" t="s">
        <v>716</v>
      </c>
      <c r="B4" s="431"/>
      <c r="C4" s="431"/>
      <c r="D4" s="11">
        <f>E4*12</f>
        <v>310249.19999999995</v>
      </c>
      <c r="E4" s="11">
        <f>'DECEMBER 2023'!E77</f>
        <v>25854.1</v>
      </c>
      <c r="F4" s="1"/>
    </row>
    <row r="5" spans="1:6" ht="18.75">
      <c r="A5" s="431" t="s">
        <v>717</v>
      </c>
      <c r="B5" s="431"/>
      <c r="C5" s="431"/>
      <c r="D5" s="11" t="e">
        <f t="shared" ref="D5:D12" si="0">E5*12</f>
        <v>#REF!</v>
      </c>
      <c r="E5" s="11" t="e">
        <f>'DECEMBER 2023'!#REF!</f>
        <v>#REF!</v>
      </c>
      <c r="F5" s="1"/>
    </row>
    <row r="6" spans="1:6" ht="18.75">
      <c r="A6" s="431" t="s">
        <v>718</v>
      </c>
      <c r="B6" s="431"/>
      <c r="C6" s="431"/>
      <c r="D6" s="11" t="e">
        <f t="shared" si="0"/>
        <v>#REF!</v>
      </c>
      <c r="E6" s="11" t="e">
        <f>'DECEMBER 2023'!#REF!</f>
        <v>#REF!</v>
      </c>
      <c r="F6" s="1"/>
    </row>
    <row r="7" spans="1:6" ht="18.75">
      <c r="A7" s="431" t="s">
        <v>720</v>
      </c>
      <c r="B7" s="431"/>
      <c r="C7" s="431"/>
      <c r="D7" s="11">
        <f t="shared" si="0"/>
        <v>160395.90000000002</v>
      </c>
      <c r="E7" s="11">
        <f>'DECEMBER 2023'!J125</f>
        <v>13366.325000000001</v>
      </c>
      <c r="F7" s="1"/>
    </row>
    <row r="8" spans="1:6" ht="18.75">
      <c r="A8" s="431" t="s">
        <v>721</v>
      </c>
      <c r="B8" s="431"/>
      <c r="C8" s="431"/>
      <c r="D8" s="11" t="e">
        <f t="shared" si="0"/>
        <v>#REF!</v>
      </c>
      <c r="E8" s="11" t="e">
        <f>'DECEMBER 2023'!#REF!</f>
        <v>#REF!</v>
      </c>
      <c r="F8" s="1"/>
    </row>
    <row r="9" spans="1:6" ht="18.75">
      <c r="A9" s="431" t="s">
        <v>723</v>
      </c>
      <c r="B9" s="431"/>
      <c r="C9" s="431"/>
      <c r="D9" s="11">
        <f t="shared" si="0"/>
        <v>320791.80000000005</v>
      </c>
      <c r="E9" s="11">
        <f>'DECEMBER 2023'!L125</f>
        <v>26732.65</v>
      </c>
      <c r="F9" s="1"/>
    </row>
    <row r="10" spans="1:6" ht="18.75">
      <c r="A10" s="431" t="s">
        <v>724</v>
      </c>
      <c r="B10" s="431"/>
      <c r="C10" s="431"/>
      <c r="D10" s="11" t="e">
        <f t="shared" si="0"/>
        <v>#REF!</v>
      </c>
      <c r="E10" s="11" t="e">
        <f>'DECEMBER 2023'!#REF!</f>
        <v>#REF!</v>
      </c>
      <c r="F10" s="1"/>
    </row>
    <row r="11" spans="1:6" ht="18.75">
      <c r="A11" s="431" t="s">
        <v>725</v>
      </c>
      <c r="B11" s="431"/>
      <c r="C11" s="431"/>
      <c r="D11" s="11">
        <f t="shared" si="0"/>
        <v>240000</v>
      </c>
      <c r="E11" s="11">
        <f>'DECEMBER 2023'!P125</f>
        <v>20000</v>
      </c>
      <c r="F11" s="1"/>
    </row>
    <row r="12" spans="1:6" ht="18.75">
      <c r="A12" s="450" t="s">
        <v>16</v>
      </c>
      <c r="B12" s="450"/>
      <c r="C12" s="450"/>
      <c r="D12" s="12" t="e">
        <f t="shared" si="0"/>
        <v>#REF!</v>
      </c>
      <c r="E12" s="12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680</v>
      </c>
      <c r="G1" s="2" t="s">
        <v>739</v>
      </c>
      <c r="H1" s="2"/>
      <c r="I1" s="2"/>
      <c r="J1" s="2"/>
      <c r="K1" s="2"/>
      <c r="L1" s="2"/>
      <c r="M1" s="2" t="s">
        <v>740</v>
      </c>
      <c r="N1" s="2" t="s">
        <v>681</v>
      </c>
      <c r="O1" s="2" t="s">
        <v>682</v>
      </c>
      <c r="P1" s="2" t="s">
        <v>684</v>
      </c>
      <c r="Q1" s="2" t="s">
        <v>685</v>
      </c>
      <c r="R1" s="2" t="s">
        <v>686</v>
      </c>
      <c r="S1" s="2" t="s">
        <v>741</v>
      </c>
      <c r="T1" s="379"/>
      <c r="U1" s="6" t="s">
        <v>742</v>
      </c>
      <c r="V1" s="5" t="s">
        <v>743</v>
      </c>
    </row>
    <row r="2" spans="1:22" ht="18.75">
      <c r="F2" s="2" t="s">
        <v>689</v>
      </c>
      <c r="G2" s="2" t="s">
        <v>744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745</v>
      </c>
      <c r="N2" s="2" t="s">
        <v>12</v>
      </c>
      <c r="O2" s="2" t="s">
        <v>13</v>
      </c>
      <c r="P2" s="2" t="s">
        <v>14</v>
      </c>
      <c r="Q2" s="2" t="s">
        <v>14</v>
      </c>
      <c r="R2" s="2" t="s">
        <v>15</v>
      </c>
      <c r="S2" s="2" t="s">
        <v>689</v>
      </c>
      <c r="T2" s="2" t="s">
        <v>21</v>
      </c>
      <c r="U2" s="6"/>
      <c r="V2" s="5"/>
    </row>
    <row r="3" spans="1:22" ht="18.75">
      <c r="A3" s="457" t="s">
        <v>746</v>
      </c>
      <c r="B3" s="458"/>
      <c r="C3" s="459"/>
      <c r="D3" s="13"/>
      <c r="E3" s="13" t="s">
        <v>747</v>
      </c>
      <c r="F3" s="14">
        <v>79039.64</v>
      </c>
      <c r="G3" s="14"/>
      <c r="H3" s="14">
        <f t="shared" ref="H3:H10" si="0">F3*300%</f>
        <v>237118.91999999998</v>
      </c>
      <c r="I3" s="14">
        <f t="shared" ref="I3:I10" si="1">F3*7.5%</f>
        <v>5927.973</v>
      </c>
      <c r="J3" s="14">
        <v>80244.38</v>
      </c>
      <c r="K3" s="14">
        <f t="shared" ref="K3:K10" si="2">F3*50%</f>
        <v>39519.82</v>
      </c>
      <c r="L3" s="14">
        <f t="shared" ref="L3:L10" si="3">F3*350%</f>
        <v>276638.74</v>
      </c>
      <c r="M3" s="14">
        <v>0</v>
      </c>
      <c r="N3" s="14">
        <f t="shared" ref="N3:N10" si="4">F3*100%</f>
        <v>79039.64</v>
      </c>
      <c r="O3" s="14">
        <f t="shared" ref="O3:O10" si="5">F3*10%</f>
        <v>7903.9639999999999</v>
      </c>
      <c r="P3" s="14">
        <v>20000</v>
      </c>
      <c r="Q3" s="14">
        <v>0</v>
      </c>
      <c r="R3" s="14">
        <f t="shared" ref="R3:R10" si="6">SUM(F3:Q3)</f>
        <v>825433.07700000005</v>
      </c>
      <c r="S3" s="14"/>
      <c r="T3" s="7"/>
      <c r="U3" s="9"/>
    </row>
    <row r="4" spans="1:22" ht="18.75">
      <c r="A4" s="457" t="s">
        <v>748</v>
      </c>
      <c r="B4" s="458"/>
      <c r="C4" s="459"/>
      <c r="D4" s="13"/>
      <c r="E4" s="13" t="s">
        <v>749</v>
      </c>
      <c r="F4" s="14">
        <v>36784.71</v>
      </c>
      <c r="G4" s="14"/>
      <c r="H4" s="14">
        <f t="shared" si="0"/>
        <v>110354.13</v>
      </c>
      <c r="I4" s="14">
        <f t="shared" si="1"/>
        <v>2758.8532499999997</v>
      </c>
      <c r="J4" s="14">
        <v>80244.38</v>
      </c>
      <c r="K4" s="14">
        <f t="shared" si="2"/>
        <v>18392.355</v>
      </c>
      <c r="L4" s="14">
        <f t="shared" si="3"/>
        <v>128746.485</v>
      </c>
      <c r="M4" s="14"/>
      <c r="N4" s="14">
        <f t="shared" si="4"/>
        <v>36784.71</v>
      </c>
      <c r="O4" s="14">
        <f t="shared" si="5"/>
        <v>3678.471</v>
      </c>
      <c r="P4" s="14">
        <v>20000</v>
      </c>
      <c r="Q4" s="14">
        <v>0</v>
      </c>
      <c r="R4" s="14">
        <f t="shared" si="6"/>
        <v>437744.09425000002</v>
      </c>
      <c r="S4" s="14"/>
      <c r="T4" s="7"/>
      <c r="U4" s="9"/>
    </row>
    <row r="5" spans="1:22" ht="18.75">
      <c r="A5" s="460" t="s">
        <v>115</v>
      </c>
      <c r="B5" s="461"/>
      <c r="C5" s="462"/>
      <c r="D5" s="15"/>
      <c r="E5" s="18" t="s">
        <v>171</v>
      </c>
      <c r="F5" s="16">
        <v>24975.81</v>
      </c>
      <c r="G5" s="14">
        <v>0</v>
      </c>
      <c r="H5" s="16">
        <f>F5*300%</f>
        <v>74927.430000000008</v>
      </c>
      <c r="I5" s="16">
        <f>F5*7.5%</f>
        <v>1873.1857500000001</v>
      </c>
      <c r="J5" s="16">
        <v>0</v>
      </c>
      <c r="K5" s="16">
        <f>F5*50%</f>
        <v>12487.905000000001</v>
      </c>
      <c r="L5" s="16">
        <f>F5*350%</f>
        <v>87415.335000000006</v>
      </c>
      <c r="M5" s="16">
        <v>0</v>
      </c>
      <c r="N5" s="16">
        <f>F5*100%</f>
        <v>24975.81</v>
      </c>
      <c r="O5" s="16">
        <v>100000</v>
      </c>
      <c r="P5" s="16">
        <f>F5*10%</f>
        <v>2497.5810000000001</v>
      </c>
      <c r="Q5" s="16">
        <v>20000</v>
      </c>
      <c r="R5" s="16">
        <v>0</v>
      </c>
      <c r="S5" s="14">
        <f>SUM(F5:R5)</f>
        <v>349153.05674999999</v>
      </c>
      <c r="T5" s="14">
        <v>0</v>
      </c>
      <c r="U5" s="17">
        <f>S5-T5</f>
        <v>349153.05674999999</v>
      </c>
      <c r="V5" s="14">
        <v>344720.6</v>
      </c>
    </row>
    <row r="6" spans="1:22" ht="18.75">
      <c r="A6" s="457" t="s">
        <v>167</v>
      </c>
      <c r="B6" s="458"/>
      <c r="C6" s="459"/>
      <c r="D6" s="13"/>
      <c r="E6" s="13" t="s">
        <v>750</v>
      </c>
      <c r="F6" s="14">
        <v>23891.119999999999</v>
      </c>
      <c r="G6" s="14"/>
      <c r="H6" s="14">
        <f t="shared" si="0"/>
        <v>71673.36</v>
      </c>
      <c r="I6" s="14">
        <f t="shared" si="1"/>
        <v>1791.8339999999998</v>
      </c>
      <c r="J6" s="14">
        <v>0</v>
      </c>
      <c r="K6" s="14">
        <f t="shared" si="2"/>
        <v>11945.56</v>
      </c>
      <c r="L6" s="14">
        <f t="shared" si="3"/>
        <v>83618.92</v>
      </c>
      <c r="M6" s="14">
        <v>0</v>
      </c>
      <c r="N6" s="14">
        <f t="shared" si="4"/>
        <v>23891.119999999999</v>
      </c>
      <c r="O6" s="14">
        <f t="shared" si="5"/>
        <v>2389.1120000000001</v>
      </c>
      <c r="P6" s="14">
        <v>15000</v>
      </c>
      <c r="Q6" s="14">
        <v>0</v>
      </c>
      <c r="R6" s="14">
        <f t="shared" si="6"/>
        <v>234201.02599999998</v>
      </c>
      <c r="S6" s="14"/>
      <c r="T6" s="7"/>
      <c r="U6" s="9"/>
    </row>
    <row r="7" spans="1:22" ht="18.75">
      <c r="A7" s="457" t="s">
        <v>751</v>
      </c>
      <c r="B7" s="458"/>
      <c r="C7" s="459"/>
      <c r="D7" s="13"/>
      <c r="E7" s="13" t="s">
        <v>752</v>
      </c>
      <c r="F7" s="14">
        <v>21293.96</v>
      </c>
      <c r="G7" s="14"/>
      <c r="H7" s="14">
        <f t="shared" si="0"/>
        <v>63881.88</v>
      </c>
      <c r="I7" s="14">
        <f t="shared" si="1"/>
        <v>1597.0469999999998</v>
      </c>
      <c r="J7" s="14">
        <v>0</v>
      </c>
      <c r="K7" s="14">
        <f t="shared" si="2"/>
        <v>10646.98</v>
      </c>
      <c r="L7" s="14">
        <f t="shared" si="3"/>
        <v>74528.86</v>
      </c>
      <c r="M7" s="14">
        <v>0</v>
      </c>
      <c r="N7" s="14">
        <f t="shared" si="4"/>
        <v>21293.96</v>
      </c>
      <c r="O7" s="14">
        <f t="shared" si="5"/>
        <v>2129.3960000000002</v>
      </c>
      <c r="P7" s="14">
        <v>10000</v>
      </c>
      <c r="Q7" s="14">
        <v>0</v>
      </c>
      <c r="R7" s="14">
        <f t="shared" si="6"/>
        <v>205372.08300000001</v>
      </c>
      <c r="S7" s="14"/>
      <c r="T7" s="7"/>
      <c r="U7" s="9"/>
    </row>
    <row r="8" spans="1:22" ht="18.75">
      <c r="A8" s="457" t="s">
        <v>118</v>
      </c>
      <c r="B8" s="458"/>
      <c r="C8" s="459"/>
      <c r="D8" s="13"/>
      <c r="E8" s="13" t="s">
        <v>753</v>
      </c>
      <c r="F8" s="14">
        <v>17286.330000000002</v>
      </c>
      <c r="G8" s="14"/>
      <c r="H8" s="14">
        <f t="shared" si="0"/>
        <v>51858.990000000005</v>
      </c>
      <c r="I8" s="14">
        <f t="shared" si="1"/>
        <v>1296.4747500000001</v>
      </c>
      <c r="J8" s="14">
        <v>0</v>
      </c>
      <c r="K8" s="14">
        <f t="shared" si="2"/>
        <v>8643.1650000000009</v>
      </c>
      <c r="L8" s="14">
        <f t="shared" si="3"/>
        <v>60502.155000000006</v>
      </c>
      <c r="M8" s="14">
        <v>0</v>
      </c>
      <c r="N8" s="14">
        <f t="shared" si="4"/>
        <v>17286.330000000002</v>
      </c>
      <c r="O8" s="14">
        <f t="shared" si="5"/>
        <v>1728.6330000000003</v>
      </c>
      <c r="P8" s="14">
        <v>10000</v>
      </c>
      <c r="Q8" s="14">
        <v>0</v>
      </c>
      <c r="R8" s="14">
        <f t="shared" si="6"/>
        <v>168602.07775000003</v>
      </c>
      <c r="S8" s="14"/>
      <c r="T8" s="7"/>
      <c r="U8" s="9"/>
    </row>
    <row r="9" spans="1:22" ht="18.75">
      <c r="A9" s="457" t="s">
        <v>754</v>
      </c>
      <c r="B9" s="458"/>
      <c r="C9" s="459"/>
      <c r="D9" s="13"/>
      <c r="E9" s="13" t="s">
        <v>755</v>
      </c>
      <c r="F9" s="14">
        <v>14736.14</v>
      </c>
      <c r="G9" s="14"/>
      <c r="H9" s="14">
        <f t="shared" si="0"/>
        <v>44208.42</v>
      </c>
      <c r="I9" s="14">
        <f t="shared" si="1"/>
        <v>1105.2104999999999</v>
      </c>
      <c r="J9" s="14">
        <v>0</v>
      </c>
      <c r="K9" s="14">
        <f t="shared" si="2"/>
        <v>7368.07</v>
      </c>
      <c r="L9" s="14">
        <f t="shared" si="3"/>
        <v>51576.49</v>
      </c>
      <c r="M9" s="14">
        <v>0</v>
      </c>
      <c r="N9" s="14">
        <f t="shared" si="4"/>
        <v>14736.14</v>
      </c>
      <c r="O9" s="14">
        <f t="shared" si="5"/>
        <v>1473.614</v>
      </c>
      <c r="P9" s="14">
        <v>10000</v>
      </c>
      <c r="Q9" s="14">
        <v>0</v>
      </c>
      <c r="R9" s="14">
        <f t="shared" si="6"/>
        <v>145204.0845</v>
      </c>
      <c r="S9" s="14"/>
      <c r="T9" s="7"/>
      <c r="U9" s="9"/>
    </row>
    <row r="10" spans="1:22" ht="18.75">
      <c r="A10" s="457"/>
      <c r="B10" s="458"/>
      <c r="C10" s="459"/>
      <c r="D10" s="13"/>
      <c r="E10" s="13" t="s">
        <v>756</v>
      </c>
      <c r="F10" s="14">
        <v>12351.94</v>
      </c>
      <c r="G10" s="14"/>
      <c r="H10" s="14">
        <f t="shared" si="0"/>
        <v>37055.82</v>
      </c>
      <c r="I10" s="14">
        <f t="shared" si="1"/>
        <v>926.39549999999997</v>
      </c>
      <c r="J10" s="14">
        <v>0</v>
      </c>
      <c r="K10" s="14">
        <f t="shared" si="2"/>
        <v>6175.97</v>
      </c>
      <c r="L10" s="14">
        <f t="shared" si="3"/>
        <v>43231.79</v>
      </c>
      <c r="M10" s="14">
        <v>0</v>
      </c>
      <c r="N10" s="14">
        <f t="shared" si="4"/>
        <v>12351.94</v>
      </c>
      <c r="O10" s="14">
        <f t="shared" si="5"/>
        <v>1235.1940000000002</v>
      </c>
      <c r="P10" s="14">
        <v>10000</v>
      </c>
      <c r="Q10" s="14">
        <v>0</v>
      </c>
      <c r="R10" s="14">
        <f t="shared" si="6"/>
        <v>123329.04950000001</v>
      </c>
      <c r="S10" s="14"/>
      <c r="T10" s="7"/>
      <c r="U10" s="9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456" t="s">
        <v>757</v>
      </c>
      <c r="B1" s="456"/>
      <c r="C1" s="456"/>
      <c r="D1" s="456"/>
      <c r="E1" s="456"/>
      <c r="F1" s="456"/>
    </row>
    <row r="2" spans="1:6" ht="18.75">
      <c r="A2" s="455" t="s">
        <v>758</v>
      </c>
      <c r="B2" s="455"/>
      <c r="C2" s="455"/>
      <c r="D2" s="455"/>
      <c r="E2" s="455"/>
      <c r="F2" s="455"/>
    </row>
    <row r="3" spans="1:6" ht="18.75">
      <c r="A3" s="431"/>
      <c r="B3" s="431"/>
      <c r="C3" s="431"/>
      <c r="D3" s="3" t="s">
        <v>714</v>
      </c>
      <c r="E3" s="3" t="s">
        <v>715</v>
      </c>
      <c r="F3" s="10"/>
    </row>
    <row r="4" spans="1:6" ht="18.75">
      <c r="A4" s="431" t="s">
        <v>716</v>
      </c>
      <c r="B4" s="431"/>
      <c r="C4" s="431"/>
      <c r="D4" s="11">
        <f>E4*12</f>
        <v>299709.72000000003</v>
      </c>
      <c r="E4" s="11">
        <f>SUMMARY!F5</f>
        <v>24975.81</v>
      </c>
      <c r="F4" s="1"/>
    </row>
    <row r="5" spans="1:6" ht="18.75">
      <c r="A5" s="431" t="s">
        <v>717</v>
      </c>
      <c r="B5" s="431"/>
      <c r="C5" s="431"/>
      <c r="D5" s="11">
        <f t="shared" ref="D5:D14" si="0">E5*12</f>
        <v>899129.16000000015</v>
      </c>
      <c r="E5" s="11">
        <f>SUMMARY!H5</f>
        <v>74927.430000000008</v>
      </c>
      <c r="F5" s="1"/>
    </row>
    <row r="6" spans="1:6" ht="18.75">
      <c r="A6" s="431" t="s">
        <v>718</v>
      </c>
      <c r="B6" s="431"/>
      <c r="C6" s="431"/>
      <c r="D6" s="11">
        <f t="shared" si="0"/>
        <v>22478.228999999999</v>
      </c>
      <c r="E6" s="11">
        <f>SUMMARY!I5</f>
        <v>1873.1857500000001</v>
      </c>
      <c r="F6" s="1"/>
    </row>
    <row r="7" spans="1:6" ht="18.75">
      <c r="A7" s="431" t="s">
        <v>719</v>
      </c>
      <c r="B7" s="431"/>
      <c r="C7" s="431"/>
      <c r="D7" s="11">
        <f t="shared" si="0"/>
        <v>0</v>
      </c>
      <c r="E7" s="11">
        <f>SUMMARY!J6</f>
        <v>0</v>
      </c>
      <c r="F7" s="1"/>
    </row>
    <row r="8" spans="1:6" ht="18.75">
      <c r="A8" s="431" t="s">
        <v>720</v>
      </c>
      <c r="B8" s="431"/>
      <c r="C8" s="431"/>
      <c r="D8" s="11">
        <f t="shared" si="0"/>
        <v>149854.86000000002</v>
      </c>
      <c r="E8" s="11">
        <f>SUMMARY!K5</f>
        <v>12487.905000000001</v>
      </c>
      <c r="F8" s="1"/>
    </row>
    <row r="9" spans="1:6" ht="18.75">
      <c r="A9" s="431" t="s">
        <v>721</v>
      </c>
      <c r="B9" s="431"/>
      <c r="C9" s="431"/>
      <c r="D9" s="11">
        <f t="shared" si="0"/>
        <v>1048984.02</v>
      </c>
      <c r="E9" s="11">
        <f>SUMMARY!L5</f>
        <v>87415.335000000006</v>
      </c>
      <c r="F9" s="1"/>
    </row>
    <row r="10" spans="1:6" ht="18.75">
      <c r="A10" s="431" t="s">
        <v>723</v>
      </c>
      <c r="B10" s="431"/>
      <c r="C10" s="431"/>
      <c r="D10" s="11">
        <f t="shared" si="0"/>
        <v>299709.72000000003</v>
      </c>
      <c r="E10" s="11">
        <f>SUMMARY!N5</f>
        <v>24975.81</v>
      </c>
      <c r="F10" s="1"/>
    </row>
    <row r="11" spans="1:6" ht="18.75">
      <c r="A11" s="436" t="s">
        <v>722</v>
      </c>
      <c r="B11" s="453"/>
      <c r="C11" s="437"/>
      <c r="D11" s="11">
        <f t="shared" si="0"/>
        <v>0</v>
      </c>
      <c r="E11" s="11">
        <v>0</v>
      </c>
      <c r="F11" s="1"/>
    </row>
    <row r="12" spans="1:6" ht="18.75">
      <c r="A12" s="431" t="s">
        <v>724</v>
      </c>
      <c r="B12" s="431"/>
      <c r="C12" s="431"/>
      <c r="D12" s="11">
        <f t="shared" si="0"/>
        <v>29970.972000000002</v>
      </c>
      <c r="E12" s="11">
        <f>SUMMARY!P5</f>
        <v>2497.5810000000001</v>
      </c>
      <c r="F12" s="1"/>
    </row>
    <row r="13" spans="1:6" ht="18.75">
      <c r="A13" s="431" t="s">
        <v>725</v>
      </c>
      <c r="B13" s="431"/>
      <c r="C13" s="431"/>
      <c r="D13" s="11">
        <f t="shared" si="0"/>
        <v>240000</v>
      </c>
      <c r="E13" s="11">
        <f>SUMMARY!Q5</f>
        <v>20000</v>
      </c>
      <c r="F13" s="1"/>
    </row>
    <row r="14" spans="1:6" ht="18.75">
      <c r="A14" s="450" t="s">
        <v>16</v>
      </c>
      <c r="B14" s="450"/>
      <c r="C14" s="450"/>
      <c r="D14" s="12">
        <f t="shared" si="0"/>
        <v>2989836.6810000003</v>
      </c>
      <c r="E14" s="12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455" t="s">
        <v>759</v>
      </c>
      <c r="B1" s="455"/>
      <c r="C1" s="455"/>
    </row>
    <row r="2" spans="1:3" ht="18.75">
      <c r="A2" s="455" t="s">
        <v>730</v>
      </c>
      <c r="B2" s="455"/>
      <c r="C2" s="455"/>
    </row>
    <row r="3" spans="1:3" ht="18.75">
      <c r="A3" s="20"/>
      <c r="B3" s="20" t="s">
        <v>714</v>
      </c>
      <c r="C3" s="20" t="s">
        <v>715</v>
      </c>
    </row>
    <row r="4" spans="1:3" ht="18.75">
      <c r="A4" s="31" t="s">
        <v>716</v>
      </c>
      <c r="B4" s="25">
        <f>C4*12</f>
        <v>475947</v>
      </c>
      <c r="C4" s="25">
        <v>39662.25</v>
      </c>
    </row>
    <row r="5" spans="1:3" ht="18.75">
      <c r="A5" s="31" t="s">
        <v>717</v>
      </c>
      <c r="B5" s="25">
        <f t="shared" ref="B5:B13" si="0">C5*12</f>
        <v>1427841</v>
      </c>
      <c r="C5" s="25">
        <v>118986.75</v>
      </c>
    </row>
    <row r="6" spans="1:3" ht="18.75">
      <c r="A6" s="31" t="s">
        <v>718</v>
      </c>
      <c r="B6" s="25">
        <f t="shared" si="0"/>
        <v>35696.04</v>
      </c>
      <c r="C6" s="25">
        <v>2974.67</v>
      </c>
    </row>
    <row r="7" spans="1:3" ht="18.75">
      <c r="A7" s="31" t="s">
        <v>719</v>
      </c>
      <c r="B7" s="25" t="e">
        <f t="shared" si="0"/>
        <v>#REF!</v>
      </c>
      <c r="C7" s="25" t="e">
        <f>'DECEMBER 2023'!#REF!</f>
        <v>#REF!</v>
      </c>
    </row>
    <row r="8" spans="1:3" ht="18.75">
      <c r="A8" s="31" t="s">
        <v>720</v>
      </c>
      <c r="B8" s="25">
        <f t="shared" si="0"/>
        <v>237973.56</v>
      </c>
      <c r="C8" s="25">
        <v>19831.13</v>
      </c>
    </row>
    <row r="9" spans="1:3" ht="18.75">
      <c r="A9" s="31" t="s">
        <v>721</v>
      </c>
      <c r="B9" s="25">
        <f t="shared" si="0"/>
        <v>1665814.56</v>
      </c>
      <c r="C9" s="25">
        <v>138817.88</v>
      </c>
    </row>
    <row r="10" spans="1:3" ht="18.75">
      <c r="A10" s="31" t="s">
        <v>723</v>
      </c>
      <c r="B10" s="25">
        <f t="shared" si="0"/>
        <v>475947</v>
      </c>
      <c r="C10" s="25">
        <v>39662.25</v>
      </c>
    </row>
    <row r="11" spans="1:3" ht="18.75">
      <c r="A11" s="31" t="s">
        <v>722</v>
      </c>
      <c r="B11" s="25">
        <f t="shared" si="0"/>
        <v>0</v>
      </c>
      <c r="C11" s="25">
        <v>0</v>
      </c>
    </row>
    <row r="12" spans="1:3" ht="18.75">
      <c r="A12" s="31" t="s">
        <v>724</v>
      </c>
      <c r="B12" s="25">
        <f t="shared" si="0"/>
        <v>47594.76</v>
      </c>
      <c r="C12" s="25">
        <v>3966.23</v>
      </c>
    </row>
    <row r="13" spans="1:3" ht="18.75">
      <c r="A13" s="31" t="s">
        <v>725</v>
      </c>
      <c r="B13" s="25" t="e">
        <f t="shared" si="0"/>
        <v>#REF!</v>
      </c>
      <c r="C13" s="25" t="e">
        <f>'DECEMBER 2023'!#REF!</f>
        <v>#REF!</v>
      </c>
    </row>
    <row r="14" spans="1:3" ht="18.75">
      <c r="A14" s="20" t="s">
        <v>16</v>
      </c>
      <c r="B14" s="26" t="e">
        <f>SUM(B4:B13)</f>
        <v>#REF!</v>
      </c>
      <c r="C14" s="26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D60"/>
  <sheetViews>
    <sheetView workbookViewId="0">
      <selection activeCell="E9" sqref="E9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73"/>
      <c r="B2" s="73" t="s">
        <v>5</v>
      </c>
      <c r="C2" s="73"/>
      <c r="D2" s="73"/>
    </row>
    <row r="3" spans="1:4" ht="15">
      <c r="A3" s="73" t="s">
        <v>26</v>
      </c>
      <c r="B3" s="73" t="s">
        <v>4</v>
      </c>
      <c r="C3" s="73" t="s">
        <v>760</v>
      </c>
      <c r="D3" s="74" t="s">
        <v>25</v>
      </c>
    </row>
    <row r="4" spans="1:4" ht="15">
      <c r="A4" s="75">
        <v>1</v>
      </c>
      <c r="B4" s="75">
        <v>17</v>
      </c>
      <c r="C4" s="75">
        <v>9</v>
      </c>
      <c r="D4" s="76">
        <v>81740.02</v>
      </c>
    </row>
    <row r="5" spans="1:4" ht="15">
      <c r="A5" s="75">
        <v>2</v>
      </c>
      <c r="B5" s="75">
        <v>17</v>
      </c>
      <c r="C5" s="75">
        <v>8</v>
      </c>
      <c r="D5" s="76">
        <f>79039.64</f>
        <v>79039.64</v>
      </c>
    </row>
    <row r="6" spans="1:4" ht="15">
      <c r="A6" s="75">
        <v>3</v>
      </c>
      <c r="B6" s="75">
        <v>17</v>
      </c>
      <c r="C6" s="75">
        <v>7</v>
      </c>
      <c r="D6" s="76">
        <f>76339.3</f>
        <v>76339.3</v>
      </c>
    </row>
    <row r="7" spans="1:4" ht="15">
      <c r="A7" s="75">
        <v>4</v>
      </c>
      <c r="B7" s="75">
        <v>16</v>
      </c>
      <c r="C7" s="75">
        <v>9</v>
      </c>
      <c r="D7" s="76">
        <f>42653.17</f>
        <v>42653.17</v>
      </c>
    </row>
    <row r="8" spans="1:4" ht="15">
      <c r="A8" s="75">
        <v>5</v>
      </c>
      <c r="B8" s="75">
        <f>16</f>
        <v>16</v>
      </c>
      <c r="C8" s="75">
        <v>8</v>
      </c>
      <c r="D8" s="76">
        <v>41157.69</v>
      </c>
    </row>
    <row r="9" spans="1:4" ht="15">
      <c r="A9" s="75">
        <v>6</v>
      </c>
      <c r="B9" s="75">
        <v>16</v>
      </c>
      <c r="C9" s="75">
        <v>7</v>
      </c>
      <c r="D9" s="76">
        <v>39662.25</v>
      </c>
    </row>
    <row r="10" spans="1:4" ht="15">
      <c r="A10" s="75">
        <v>7</v>
      </c>
      <c r="B10" s="75">
        <v>15</v>
      </c>
      <c r="C10" s="75">
        <v>9</v>
      </c>
      <c r="D10" s="76">
        <v>33507.5</v>
      </c>
    </row>
    <row r="11" spans="1:4" ht="15">
      <c r="A11" s="75">
        <v>8</v>
      </c>
      <c r="B11" s="75">
        <v>15</v>
      </c>
      <c r="C11" s="75">
        <v>8</v>
      </c>
      <c r="D11" s="76">
        <v>32263.200000000001</v>
      </c>
    </row>
    <row r="12" spans="1:4" ht="15">
      <c r="A12" s="75">
        <v>9</v>
      </c>
      <c r="B12" s="75">
        <v>15</v>
      </c>
      <c r="C12" s="75">
        <v>7</v>
      </c>
      <c r="D12" s="76">
        <v>31018.84</v>
      </c>
    </row>
    <row r="13" spans="1:4" ht="15">
      <c r="A13" s="75">
        <v>10</v>
      </c>
      <c r="B13" s="75">
        <v>14</v>
      </c>
      <c r="C13" s="75">
        <v>11</v>
      </c>
      <c r="D13" s="76">
        <v>28489.81</v>
      </c>
    </row>
    <row r="14" spans="1:4" ht="15">
      <c r="A14" s="75">
        <v>11</v>
      </c>
      <c r="B14" s="75">
        <v>14</v>
      </c>
      <c r="C14" s="75">
        <v>10</v>
      </c>
      <c r="D14" s="76">
        <v>27611.23</v>
      </c>
    </row>
    <row r="15" spans="1:4" ht="15">
      <c r="A15" s="75">
        <v>12</v>
      </c>
      <c r="B15" s="75">
        <v>14</v>
      </c>
      <c r="C15" s="75">
        <v>9</v>
      </c>
      <c r="D15" s="76">
        <v>26732.65</v>
      </c>
    </row>
    <row r="16" spans="1:4" ht="15">
      <c r="A16" s="75">
        <v>13</v>
      </c>
      <c r="B16" s="75">
        <v>14</v>
      </c>
      <c r="C16" s="75">
        <v>8</v>
      </c>
      <c r="D16" s="76">
        <v>25854.1</v>
      </c>
    </row>
    <row r="17" spans="1:4" ht="15">
      <c r="A17" s="75">
        <v>14</v>
      </c>
      <c r="B17" s="75">
        <v>14</v>
      </c>
      <c r="C17" s="75">
        <v>7</v>
      </c>
      <c r="D17" s="76">
        <v>24975.81</v>
      </c>
    </row>
    <row r="18" spans="1:4" ht="15">
      <c r="A18" s="75">
        <v>15</v>
      </c>
      <c r="B18" s="75">
        <v>13</v>
      </c>
      <c r="C18" s="75">
        <v>11</v>
      </c>
      <c r="D18" s="76">
        <v>26339.3</v>
      </c>
    </row>
    <row r="19" spans="1:4" ht="15">
      <c r="A19" s="75">
        <v>16</v>
      </c>
      <c r="B19" s="75">
        <v>13</v>
      </c>
      <c r="C19" s="75">
        <v>10</v>
      </c>
      <c r="D19" s="76">
        <v>25523.45</v>
      </c>
    </row>
    <row r="20" spans="1:4" ht="15">
      <c r="A20" s="75">
        <v>17</v>
      </c>
      <c r="B20" s="75">
        <v>13</v>
      </c>
      <c r="C20" s="75">
        <v>9</v>
      </c>
      <c r="D20" s="76">
        <v>24741.26</v>
      </c>
    </row>
    <row r="21" spans="1:4" ht="15">
      <c r="A21" s="75">
        <v>18</v>
      </c>
      <c r="B21" s="75">
        <v>13</v>
      </c>
      <c r="C21" s="75">
        <v>8</v>
      </c>
      <c r="D21" s="76">
        <v>23891.119999999999</v>
      </c>
    </row>
    <row r="22" spans="1:4" ht="15">
      <c r="A22" s="75">
        <v>19</v>
      </c>
      <c r="B22" s="75">
        <v>13</v>
      </c>
      <c r="C22" s="75">
        <v>7</v>
      </c>
      <c r="D22" s="76">
        <v>23074.99</v>
      </c>
    </row>
    <row r="23" spans="1:4" ht="15">
      <c r="A23" s="75">
        <v>20</v>
      </c>
      <c r="B23" s="75">
        <v>12</v>
      </c>
      <c r="C23" s="75">
        <v>12</v>
      </c>
      <c r="D23" s="76"/>
    </row>
    <row r="24" spans="1:4" ht="15">
      <c r="A24" s="75">
        <v>21</v>
      </c>
      <c r="B24" s="75">
        <v>12</v>
      </c>
      <c r="C24" s="75">
        <v>11</v>
      </c>
      <c r="D24" s="76"/>
    </row>
    <row r="25" spans="1:4" ht="15">
      <c r="A25" s="75">
        <v>22</v>
      </c>
      <c r="B25" s="75">
        <v>12</v>
      </c>
      <c r="C25" s="75">
        <v>10</v>
      </c>
      <c r="D25" s="76"/>
    </row>
    <row r="26" spans="1:4" ht="15">
      <c r="A26" s="75">
        <v>23</v>
      </c>
      <c r="B26" s="75">
        <v>12</v>
      </c>
      <c r="C26" s="75">
        <v>9</v>
      </c>
      <c r="D26" s="76"/>
    </row>
    <row r="27" spans="1:4" ht="15">
      <c r="A27" s="75">
        <v>24</v>
      </c>
      <c r="B27" s="75">
        <v>12</v>
      </c>
      <c r="C27" s="75">
        <v>8</v>
      </c>
      <c r="D27" s="76">
        <f>21520.88</f>
        <v>21520.880000000001</v>
      </c>
    </row>
    <row r="28" spans="1:4" ht="15">
      <c r="A28" s="75">
        <v>25</v>
      </c>
      <c r="B28" s="75">
        <v>12</v>
      </c>
      <c r="C28" s="75">
        <v>7</v>
      </c>
      <c r="D28" s="76">
        <f>20749</f>
        <v>20749</v>
      </c>
    </row>
    <row r="29" spans="1:4" ht="15">
      <c r="A29" s="75">
        <v>26</v>
      </c>
      <c r="B29" s="75">
        <v>10</v>
      </c>
      <c r="C29" s="75">
        <v>13</v>
      </c>
      <c r="D29" s="76"/>
    </row>
    <row r="30" spans="1:4" ht="15">
      <c r="A30" s="75">
        <v>27</v>
      </c>
      <c r="B30" s="75">
        <v>10</v>
      </c>
      <c r="C30" s="75">
        <v>12</v>
      </c>
      <c r="D30" s="76">
        <v>19774.62</v>
      </c>
    </row>
    <row r="31" spans="1:4" ht="15">
      <c r="A31" s="75">
        <v>28</v>
      </c>
      <c r="B31" s="75">
        <v>10</v>
      </c>
      <c r="C31" s="75">
        <v>11</v>
      </c>
      <c r="D31" s="76">
        <v>19276.95</v>
      </c>
    </row>
    <row r="32" spans="1:4" ht="15">
      <c r="A32" s="75">
        <v>29</v>
      </c>
      <c r="B32" s="75">
        <v>10</v>
      </c>
      <c r="C32" s="75">
        <v>10</v>
      </c>
      <c r="D32" s="76">
        <v>18779.3</v>
      </c>
    </row>
    <row r="33" spans="1:4" ht="15">
      <c r="A33" s="75">
        <v>30</v>
      </c>
      <c r="B33" s="75">
        <v>10</v>
      </c>
      <c r="C33" s="75">
        <v>9</v>
      </c>
      <c r="D33" s="76">
        <v>18281.64</v>
      </c>
    </row>
    <row r="34" spans="1:4" ht="15">
      <c r="A34" s="75">
        <v>31</v>
      </c>
      <c r="B34" s="75">
        <v>10</v>
      </c>
      <c r="C34" s="75">
        <v>8</v>
      </c>
      <c r="D34" s="76">
        <v>17784.099999999999</v>
      </c>
    </row>
    <row r="35" spans="1:4" ht="15">
      <c r="A35" s="75">
        <v>32</v>
      </c>
      <c r="B35" s="75">
        <v>10</v>
      </c>
      <c r="C35" s="75">
        <v>7</v>
      </c>
      <c r="D35" s="76">
        <v>17286.330000000002</v>
      </c>
    </row>
    <row r="36" spans="1:4" ht="15">
      <c r="A36" s="75">
        <v>33</v>
      </c>
      <c r="B36" s="75">
        <v>9</v>
      </c>
      <c r="C36" s="75">
        <v>10</v>
      </c>
      <c r="D36" s="76">
        <v>16093.74</v>
      </c>
    </row>
    <row r="37" spans="1:4" ht="15">
      <c r="A37" s="75">
        <v>34</v>
      </c>
      <c r="B37" s="75">
        <v>9</v>
      </c>
      <c r="C37" s="75">
        <v>9</v>
      </c>
      <c r="D37" s="117">
        <f>15641.2</f>
        <v>15641.2</v>
      </c>
    </row>
    <row r="38" spans="1:4" ht="15">
      <c r="A38" s="75">
        <v>35</v>
      </c>
      <c r="B38" s="75">
        <v>9</v>
      </c>
      <c r="C38" s="75">
        <v>8</v>
      </c>
      <c r="D38" s="117">
        <f>15188.68</f>
        <v>15188.68</v>
      </c>
    </row>
    <row r="39" spans="1:4" ht="15">
      <c r="A39" s="75">
        <v>36</v>
      </c>
      <c r="B39" s="75">
        <v>9</v>
      </c>
      <c r="C39">
        <v>7</v>
      </c>
      <c r="D39" s="117">
        <f>14736.14</f>
        <v>14736.14</v>
      </c>
    </row>
    <row r="40" spans="1:4" ht="15">
      <c r="A40" s="75">
        <v>37</v>
      </c>
      <c r="B40" s="75">
        <v>8</v>
      </c>
      <c r="C40" s="75">
        <v>10</v>
      </c>
      <c r="D40" s="76">
        <v>13492.21</v>
      </c>
    </row>
    <row r="41" spans="1:4" ht="15">
      <c r="A41" s="75">
        <v>38</v>
      </c>
      <c r="B41" s="75">
        <v>8</v>
      </c>
      <c r="C41" s="75">
        <v>9</v>
      </c>
      <c r="D41" s="76">
        <v>13112.16</v>
      </c>
    </row>
    <row r="42" spans="1:4" ht="15">
      <c r="A42" s="75">
        <v>39</v>
      </c>
      <c r="B42" s="75">
        <v>8</v>
      </c>
      <c r="C42" s="75">
        <v>8</v>
      </c>
      <c r="D42" s="76">
        <v>12732</v>
      </c>
    </row>
    <row r="43" spans="1:4" ht="15">
      <c r="A43" s="75">
        <v>40</v>
      </c>
      <c r="B43" s="75">
        <v>8</v>
      </c>
      <c r="C43" s="75">
        <v>7</v>
      </c>
      <c r="D43" s="76">
        <v>12351.94</v>
      </c>
    </row>
    <row r="44" spans="1:4" ht="15">
      <c r="A44" s="75">
        <v>41</v>
      </c>
      <c r="B44" s="75">
        <v>7</v>
      </c>
      <c r="C44" s="75">
        <v>10</v>
      </c>
    </row>
    <row r="45" spans="1:4" ht="15">
      <c r="A45" s="75">
        <v>42</v>
      </c>
      <c r="B45" s="75">
        <v>7</v>
      </c>
      <c r="C45" s="75">
        <v>9</v>
      </c>
    </row>
    <row r="46" spans="1:4" ht="15">
      <c r="A46" s="75">
        <v>43</v>
      </c>
      <c r="B46" s="75">
        <v>7</v>
      </c>
      <c r="C46" s="75">
        <v>8</v>
      </c>
      <c r="D46" s="76"/>
    </row>
    <row r="47" spans="1:4" ht="15">
      <c r="A47" s="75">
        <v>44</v>
      </c>
      <c r="B47" s="75">
        <v>7</v>
      </c>
      <c r="C47" s="75">
        <v>6</v>
      </c>
      <c r="D47" s="76"/>
    </row>
    <row r="48" spans="1:4" ht="15">
      <c r="A48" s="75">
        <v>45</v>
      </c>
      <c r="B48" s="75">
        <v>7</v>
      </c>
      <c r="C48" s="75">
        <v>5</v>
      </c>
      <c r="D48" s="76"/>
    </row>
    <row r="49" spans="1:4" ht="15">
      <c r="A49" s="75">
        <v>46</v>
      </c>
      <c r="B49" s="75">
        <v>7</v>
      </c>
      <c r="C49" s="75">
        <v>4</v>
      </c>
      <c r="D49" s="76">
        <f>9050.14</f>
        <v>9050.14</v>
      </c>
    </row>
    <row r="50" spans="1:4" ht="15">
      <c r="A50" s="75">
        <v>47</v>
      </c>
      <c r="B50" s="75">
        <v>7</v>
      </c>
      <c r="C50" s="75">
        <v>3</v>
      </c>
      <c r="D50" s="76">
        <f>8730.79</f>
        <v>8730.7900000000009</v>
      </c>
    </row>
    <row r="51" spans="1:4" ht="15">
      <c r="A51" s="75">
        <v>48</v>
      </c>
      <c r="B51" s="75">
        <v>5</v>
      </c>
      <c r="C51" s="75">
        <v>13</v>
      </c>
      <c r="D51" s="76">
        <v>5769.6</v>
      </c>
    </row>
    <row r="52" spans="1:4" ht="15">
      <c r="A52" s="75">
        <v>49</v>
      </c>
      <c r="B52" s="75">
        <v>5</v>
      </c>
      <c r="C52" s="75">
        <v>12</v>
      </c>
      <c r="D52" s="76">
        <v>5598.92</v>
      </c>
    </row>
    <row r="53" spans="1:4" ht="15">
      <c r="A53" s="75">
        <v>50</v>
      </c>
      <c r="B53" s="75">
        <v>5</v>
      </c>
      <c r="C53" s="75">
        <v>11</v>
      </c>
      <c r="D53" s="76">
        <v>5428.12</v>
      </c>
    </row>
    <row r="54" spans="1:4" ht="15">
      <c r="A54" s="75">
        <v>51</v>
      </c>
      <c r="B54" s="75">
        <v>5</v>
      </c>
      <c r="C54" s="75">
        <v>10</v>
      </c>
      <c r="D54" s="76">
        <v>5257.44</v>
      </c>
    </row>
    <row r="55" spans="1:4" ht="15">
      <c r="A55" s="75">
        <v>52</v>
      </c>
      <c r="B55" s="75">
        <v>5</v>
      </c>
      <c r="C55" s="75">
        <v>9</v>
      </c>
      <c r="D55" s="76">
        <v>5086.76</v>
      </c>
    </row>
    <row r="56" spans="1:4" ht="15">
      <c r="A56" s="75">
        <v>53</v>
      </c>
      <c r="B56" s="75">
        <v>5</v>
      </c>
      <c r="C56" s="75">
        <v>8</v>
      </c>
      <c r="D56" s="76">
        <v>4915.9399999999996</v>
      </c>
    </row>
    <row r="57" spans="1:4" ht="15">
      <c r="A57" s="75"/>
      <c r="B57" s="75">
        <v>5</v>
      </c>
      <c r="C57" s="75">
        <v>7</v>
      </c>
      <c r="D57" s="76">
        <v>4745.29</v>
      </c>
    </row>
    <row r="58" spans="1:4" ht="15">
      <c r="B58" s="75">
        <v>4</v>
      </c>
      <c r="C58" s="75">
        <v>11</v>
      </c>
      <c r="D58" s="76">
        <v>4836.3</v>
      </c>
    </row>
    <row r="59" spans="1:4" ht="15">
      <c r="B59" s="75">
        <v>4</v>
      </c>
      <c r="C59" s="75">
        <v>8</v>
      </c>
      <c r="D59" s="76">
        <v>4248.51</v>
      </c>
    </row>
    <row r="60" spans="1:4" ht="15">
      <c r="B60" s="75">
        <v>4</v>
      </c>
      <c r="C60" s="75">
        <v>7</v>
      </c>
      <c r="D60" s="76">
        <v>4101.58</v>
      </c>
    </row>
  </sheetData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192"/>
  <sheetViews>
    <sheetView view="pageBreakPreview" zoomScaleNormal="69" zoomScaleSheetLayoutView="100" workbookViewId="0">
      <pane xSplit="3" ySplit="7" topLeftCell="D153" activePane="bottomRight" state="frozen"/>
      <selection pane="bottomRight" activeCell="C6" sqref="C6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41" customWidth="1"/>
    <col min="2" max="2" width="42.42578125" style="141" customWidth="1"/>
    <col min="3" max="3" width="40.42578125" style="141" customWidth="1"/>
    <col min="4" max="4" width="11.5703125" style="141" customWidth="1"/>
    <col min="5" max="5" width="21.7109375" style="141" customWidth="1"/>
    <col min="6" max="16384" width="9.140625" style="141"/>
  </cols>
  <sheetData>
    <row r="1" spans="1:5" ht="27" customHeight="1">
      <c r="A1" s="463" t="s">
        <v>0</v>
      </c>
      <c r="B1" s="463"/>
      <c r="C1" s="463"/>
      <c r="D1" s="463"/>
    </row>
    <row r="2" spans="1:5" ht="33.75" customHeight="1">
      <c r="A2" s="412" t="s">
        <v>761</v>
      </c>
      <c r="B2" s="412"/>
      <c r="C2" s="412"/>
      <c r="D2" s="412"/>
    </row>
    <row r="3" spans="1:5" ht="9.75" customHeight="1"/>
    <row r="4" spans="1:5" ht="33" customHeight="1">
      <c r="A4" s="19"/>
      <c r="B4" s="147" t="s">
        <v>2</v>
      </c>
      <c r="C4" s="148" t="s">
        <v>3</v>
      </c>
      <c r="D4" s="149" t="s">
        <v>4</v>
      </c>
    </row>
    <row r="5" spans="1:5" ht="17.25" customHeight="1">
      <c r="C5" s="154"/>
      <c r="D5" s="154"/>
    </row>
    <row r="6" spans="1:5" ht="20.100000000000001" customHeight="1">
      <c r="A6" s="153" t="s">
        <v>26</v>
      </c>
      <c r="B6" s="154" t="s">
        <v>27</v>
      </c>
      <c r="C6" s="154"/>
      <c r="D6" s="154"/>
    </row>
    <row r="7" spans="1:5" ht="20.100000000000001" customHeight="1">
      <c r="A7" s="27">
        <v>1</v>
      </c>
      <c r="B7" s="133" t="s">
        <v>28</v>
      </c>
      <c r="C7" s="138" t="s">
        <v>29</v>
      </c>
      <c r="D7" s="138" t="s">
        <v>30</v>
      </c>
      <c r="E7" s="157"/>
    </row>
    <row r="8" spans="1:5" ht="20.100000000000001" customHeight="1">
      <c r="A8" s="27">
        <v>2</v>
      </c>
      <c r="B8" s="133" t="s">
        <v>464</v>
      </c>
      <c r="C8" s="19" t="s">
        <v>465</v>
      </c>
      <c r="D8" s="27" t="s">
        <v>233</v>
      </c>
      <c r="E8" s="157"/>
    </row>
    <row r="9" spans="1:5" ht="20.100000000000001" customHeight="1">
      <c r="A9" s="27">
        <v>3</v>
      </c>
      <c r="B9" s="133" t="s">
        <v>31</v>
      </c>
      <c r="C9" s="138" t="s">
        <v>32</v>
      </c>
      <c r="D9" s="27" t="s">
        <v>33</v>
      </c>
      <c r="E9" s="157"/>
    </row>
    <row r="10" spans="1:5" ht="20.100000000000001" customHeight="1">
      <c r="A10" s="27">
        <v>4</v>
      </c>
      <c r="B10" s="135" t="s">
        <v>34</v>
      </c>
      <c r="C10" s="19" t="s">
        <v>35</v>
      </c>
      <c r="D10" s="158" t="s">
        <v>36</v>
      </c>
      <c r="E10" s="157"/>
    </row>
    <row r="11" spans="1:5" ht="20.100000000000001" customHeight="1">
      <c r="A11" s="27">
        <v>5</v>
      </c>
      <c r="B11" s="135" t="s">
        <v>179</v>
      </c>
      <c r="C11" s="19" t="s">
        <v>466</v>
      </c>
      <c r="D11" s="23" t="s">
        <v>36</v>
      </c>
      <c r="E11" s="157"/>
    </row>
    <row r="12" spans="1:5" ht="20.100000000000001" customHeight="1">
      <c r="A12" s="27">
        <v>6</v>
      </c>
      <c r="B12" s="133" t="s">
        <v>37</v>
      </c>
      <c r="C12" s="92" t="s">
        <v>38</v>
      </c>
      <c r="D12" s="23" t="s">
        <v>36</v>
      </c>
      <c r="E12" s="157"/>
    </row>
    <row r="13" spans="1:5" ht="20.100000000000001" customHeight="1">
      <c r="A13" s="27">
        <v>7</v>
      </c>
      <c r="B13" s="135" t="s">
        <v>39</v>
      </c>
      <c r="C13" s="19" t="s">
        <v>40</v>
      </c>
      <c r="D13" s="23" t="s">
        <v>36</v>
      </c>
      <c r="E13" s="157"/>
    </row>
    <row r="14" spans="1:5" ht="20.100000000000001" customHeight="1">
      <c r="A14" s="27">
        <v>8</v>
      </c>
      <c r="B14" s="133" t="s">
        <v>43</v>
      </c>
      <c r="C14" s="138" t="s">
        <v>44</v>
      </c>
      <c r="D14" s="158" t="s">
        <v>45</v>
      </c>
      <c r="E14" s="157"/>
    </row>
    <row r="15" spans="1:5" ht="20.100000000000001" customHeight="1">
      <c r="A15" s="27">
        <v>9</v>
      </c>
      <c r="B15" s="134" t="s">
        <v>151</v>
      </c>
      <c r="C15" s="138" t="s">
        <v>152</v>
      </c>
      <c r="D15" s="27" t="s">
        <v>127</v>
      </c>
      <c r="E15" s="157"/>
    </row>
    <row r="16" spans="1:5" ht="20.100000000000001" customHeight="1">
      <c r="A16" s="27">
        <v>10</v>
      </c>
      <c r="B16" s="137" t="s">
        <v>564</v>
      </c>
      <c r="C16" s="19" t="s">
        <v>565</v>
      </c>
      <c r="D16" s="23" t="s">
        <v>51</v>
      </c>
      <c r="E16" s="157"/>
    </row>
    <row r="17" spans="1:5" ht="19.5" customHeight="1">
      <c r="A17" s="27">
        <v>11</v>
      </c>
      <c r="B17" s="135" t="s">
        <v>467</v>
      </c>
      <c r="C17" s="19" t="s">
        <v>50</v>
      </c>
      <c r="D17" s="27" t="s">
        <v>51</v>
      </c>
      <c r="E17" s="157"/>
    </row>
    <row r="18" spans="1:5" ht="19.5" customHeight="1">
      <c r="A18" s="27">
        <v>12</v>
      </c>
      <c r="B18" s="135" t="s">
        <v>566</v>
      </c>
      <c r="C18" s="19" t="s">
        <v>567</v>
      </c>
      <c r="D18" s="27" t="s">
        <v>51</v>
      </c>
      <c r="E18" s="157"/>
    </row>
    <row r="19" spans="1:5" ht="20.100000000000001" customHeight="1">
      <c r="A19" s="27">
        <v>13</v>
      </c>
      <c r="B19" s="133" t="s">
        <v>49</v>
      </c>
      <c r="C19" s="19" t="s">
        <v>50</v>
      </c>
      <c r="D19" s="158" t="s">
        <v>51</v>
      </c>
      <c r="E19" s="157"/>
    </row>
    <row r="20" spans="1:5" ht="20.100000000000001" customHeight="1">
      <c r="A20" s="27">
        <v>14</v>
      </c>
      <c r="B20" s="133" t="s">
        <v>58</v>
      </c>
      <c r="C20" s="138" t="s">
        <v>59</v>
      </c>
      <c r="D20" s="158" t="s">
        <v>60</v>
      </c>
      <c r="E20" s="157"/>
    </row>
    <row r="21" spans="1:5" ht="20.100000000000001" customHeight="1">
      <c r="A21" s="27">
        <v>15</v>
      </c>
      <c r="B21" s="134" t="s">
        <v>61</v>
      </c>
      <c r="C21" s="19" t="s">
        <v>62</v>
      </c>
      <c r="D21" s="158" t="s">
        <v>63</v>
      </c>
      <c r="E21" s="157"/>
    </row>
    <row r="22" spans="1:5" ht="20.100000000000001" customHeight="1">
      <c r="A22" s="27">
        <v>16</v>
      </c>
      <c r="B22" s="133" t="s">
        <v>206</v>
      </c>
      <c r="C22" s="138" t="s">
        <v>207</v>
      </c>
      <c r="D22" s="158" t="s">
        <v>203</v>
      </c>
      <c r="E22" s="157"/>
    </row>
    <row r="23" spans="1:5" ht="18.75" customHeight="1">
      <c r="A23" s="27">
        <v>17</v>
      </c>
      <c r="B23" s="133" t="s">
        <v>64</v>
      </c>
      <c r="C23" s="138" t="s">
        <v>65</v>
      </c>
      <c r="D23" s="158" t="s">
        <v>66</v>
      </c>
      <c r="E23" s="157"/>
    </row>
    <row r="24" spans="1:5" ht="18.75" customHeight="1">
      <c r="A24" s="27">
        <v>18</v>
      </c>
      <c r="B24" s="134" t="s">
        <v>568</v>
      </c>
      <c r="C24" s="138" t="s">
        <v>88</v>
      </c>
      <c r="D24" s="158" t="s">
        <v>257</v>
      </c>
      <c r="E24" s="157"/>
    </row>
    <row r="25" spans="1:5" ht="18.75" customHeight="1">
      <c r="A25" s="27">
        <v>19</v>
      </c>
      <c r="B25" s="19" t="s">
        <v>73</v>
      </c>
      <c r="C25" s="19" t="s">
        <v>74</v>
      </c>
      <c r="D25" s="27" t="s">
        <v>75</v>
      </c>
      <c r="E25" s="157"/>
    </row>
    <row r="26" spans="1:5" ht="18.75" customHeight="1">
      <c r="A26" s="27">
        <v>20</v>
      </c>
      <c r="B26" s="134" t="s">
        <v>76</v>
      </c>
      <c r="C26" s="138" t="s">
        <v>74</v>
      </c>
      <c r="D26" s="158" t="s">
        <v>75</v>
      </c>
      <c r="E26" s="157"/>
    </row>
    <row r="27" spans="1:5" ht="18.75" customHeight="1">
      <c r="A27" s="27">
        <v>21</v>
      </c>
      <c r="B27" s="133" t="s">
        <v>468</v>
      </c>
      <c r="C27" s="138" t="s">
        <v>469</v>
      </c>
      <c r="D27" s="158" t="s">
        <v>75</v>
      </c>
      <c r="E27" s="157"/>
    </row>
    <row r="28" spans="1:5" ht="18.75" customHeight="1">
      <c r="A28" s="27">
        <v>22</v>
      </c>
      <c r="B28" s="134" t="s">
        <v>77</v>
      </c>
      <c r="C28" s="138" t="s">
        <v>412</v>
      </c>
      <c r="D28" s="158" t="s">
        <v>199</v>
      </c>
      <c r="E28" s="157"/>
    </row>
    <row r="29" spans="1:5" ht="18.75" customHeight="1">
      <c r="A29" s="27">
        <v>23</v>
      </c>
      <c r="B29" s="134" t="s">
        <v>80</v>
      </c>
      <c r="C29" s="19" t="s">
        <v>470</v>
      </c>
      <c r="D29" s="27" t="s">
        <v>199</v>
      </c>
      <c r="E29" s="157"/>
    </row>
    <row r="30" spans="1:5" ht="18.75" customHeight="1">
      <c r="A30" s="27">
        <v>24</v>
      </c>
      <c r="B30" s="134" t="s">
        <v>82</v>
      </c>
      <c r="C30" s="92" t="s">
        <v>83</v>
      </c>
      <c r="D30" s="158" t="s">
        <v>75</v>
      </c>
      <c r="E30" s="157"/>
    </row>
    <row r="31" spans="1:5" ht="18.75" customHeight="1">
      <c r="A31" s="27">
        <v>25</v>
      </c>
      <c r="B31" s="134" t="s">
        <v>84</v>
      </c>
      <c r="C31" s="19" t="s">
        <v>85</v>
      </c>
      <c r="D31" s="27" t="s">
        <v>86</v>
      </c>
      <c r="E31" s="157"/>
    </row>
    <row r="32" spans="1:5" ht="18.75" customHeight="1">
      <c r="A32" s="27">
        <v>26</v>
      </c>
      <c r="B32" s="134" t="s">
        <v>87</v>
      </c>
      <c r="C32" s="138" t="s">
        <v>88</v>
      </c>
      <c r="D32" s="158" t="s">
        <v>86</v>
      </c>
      <c r="E32" s="157"/>
    </row>
    <row r="33" spans="1:5" ht="18.75" customHeight="1">
      <c r="A33" s="27">
        <v>27</v>
      </c>
      <c r="B33" s="134" t="s">
        <v>569</v>
      </c>
      <c r="C33" s="138" t="s">
        <v>88</v>
      </c>
      <c r="D33" s="158" t="s">
        <v>86</v>
      </c>
      <c r="E33" s="157"/>
    </row>
    <row r="34" spans="1:5" ht="18.75" customHeight="1">
      <c r="A34" s="27">
        <v>28</v>
      </c>
      <c r="B34" s="134" t="s">
        <v>225</v>
      </c>
      <c r="C34" s="138" t="s">
        <v>226</v>
      </c>
      <c r="D34" s="158" t="s">
        <v>90</v>
      </c>
      <c r="E34" s="157"/>
    </row>
    <row r="35" spans="1:5" ht="20.25" customHeight="1">
      <c r="A35" s="27"/>
      <c r="B35" s="136" t="s">
        <v>91</v>
      </c>
      <c r="C35" s="28">
        <v>28</v>
      </c>
      <c r="D35" s="158"/>
      <c r="E35" s="157"/>
    </row>
    <row r="36" spans="1:5" ht="18.75" customHeight="1">
      <c r="A36" s="27"/>
      <c r="B36" s="103"/>
      <c r="C36" s="19"/>
      <c r="D36" s="158"/>
      <c r="E36" s="157"/>
    </row>
    <row r="37" spans="1:5" ht="18.75" customHeight="1">
      <c r="A37" s="27"/>
      <c r="B37" s="136" t="s">
        <v>92</v>
      </c>
      <c r="C37" s="19"/>
      <c r="D37" s="158"/>
      <c r="E37" s="157"/>
    </row>
    <row r="38" spans="1:5" ht="18.75" customHeight="1">
      <c r="A38" s="27">
        <v>1</v>
      </c>
      <c r="B38" s="134" t="s">
        <v>93</v>
      </c>
      <c r="C38" s="19" t="s">
        <v>94</v>
      </c>
      <c r="D38" s="27" t="s">
        <v>95</v>
      </c>
      <c r="E38" s="157"/>
    </row>
    <row r="39" spans="1:5" ht="18.75" customHeight="1">
      <c r="A39" s="27">
        <v>2</v>
      </c>
      <c r="B39" s="134" t="s">
        <v>96</v>
      </c>
      <c r="C39" s="19" t="s">
        <v>97</v>
      </c>
      <c r="D39" s="27" t="s">
        <v>90</v>
      </c>
      <c r="E39" s="157"/>
    </row>
    <row r="40" spans="1:5" ht="19.5" customHeight="1">
      <c r="A40" s="27"/>
      <c r="B40" s="135"/>
      <c r="C40" s="28">
        <v>2</v>
      </c>
      <c r="D40" s="27"/>
      <c r="E40" s="157"/>
    </row>
    <row r="41" spans="1:5" ht="20.100000000000001" customHeight="1">
      <c r="A41" s="27"/>
      <c r="B41" s="135"/>
      <c r="C41" s="19"/>
      <c r="D41" s="27"/>
      <c r="E41" s="157"/>
    </row>
    <row r="42" spans="1:5" ht="20.100000000000001" customHeight="1">
      <c r="A42" s="27"/>
      <c r="B42" s="162" t="s">
        <v>100</v>
      </c>
      <c r="C42" s="147"/>
      <c r="D42" s="151"/>
      <c r="E42" s="157"/>
    </row>
    <row r="43" spans="1:5" ht="20.100000000000001" customHeight="1">
      <c r="A43" s="27">
        <v>1</v>
      </c>
      <c r="B43" s="133" t="s">
        <v>101</v>
      </c>
      <c r="C43" s="19" t="s">
        <v>102</v>
      </c>
      <c r="D43" s="27" t="s">
        <v>95</v>
      </c>
      <c r="E43" s="157"/>
    </row>
    <row r="44" spans="1:5" ht="20.100000000000001" customHeight="1">
      <c r="A44" s="27">
        <v>2</v>
      </c>
      <c r="B44" s="133" t="s">
        <v>103</v>
      </c>
      <c r="C44" s="19" t="s">
        <v>104</v>
      </c>
      <c r="D44" s="27" t="s">
        <v>45</v>
      </c>
      <c r="E44" s="157"/>
    </row>
    <row r="45" spans="1:5" ht="20.100000000000001" customHeight="1">
      <c r="A45" s="27">
        <v>3</v>
      </c>
      <c r="B45" s="133" t="s">
        <v>105</v>
      </c>
      <c r="C45" s="19" t="s">
        <v>109</v>
      </c>
      <c r="D45" s="27" t="s">
        <v>45</v>
      </c>
      <c r="E45" s="157"/>
    </row>
    <row r="46" spans="1:5" ht="20.100000000000001" customHeight="1">
      <c r="A46" s="27">
        <v>4</v>
      </c>
      <c r="B46" s="133" t="s">
        <v>108</v>
      </c>
      <c r="C46" s="19" t="s">
        <v>109</v>
      </c>
      <c r="D46" s="27" t="s">
        <v>45</v>
      </c>
      <c r="E46" s="157"/>
    </row>
    <row r="47" spans="1:5" ht="20.100000000000001" customHeight="1">
      <c r="A47" s="27">
        <v>5</v>
      </c>
      <c r="B47" s="133" t="s">
        <v>110</v>
      </c>
      <c r="C47" s="19" t="s">
        <v>109</v>
      </c>
      <c r="D47" s="27" t="s">
        <v>111</v>
      </c>
      <c r="E47" s="157"/>
    </row>
    <row r="48" spans="1:5" ht="20.100000000000001" customHeight="1">
      <c r="A48" s="27">
        <v>6</v>
      </c>
      <c r="B48" s="133" t="s">
        <v>112</v>
      </c>
      <c r="C48" s="19" t="s">
        <v>115</v>
      </c>
      <c r="D48" s="27" t="s">
        <v>51</v>
      </c>
      <c r="E48" s="157"/>
    </row>
    <row r="49" spans="1:5" ht="20.100000000000001" customHeight="1">
      <c r="A49" s="27">
        <v>7</v>
      </c>
      <c r="B49" s="135" t="s">
        <v>113</v>
      </c>
      <c r="C49" s="19" t="s">
        <v>53</v>
      </c>
      <c r="D49" s="23" t="s">
        <v>51</v>
      </c>
      <c r="E49" s="157"/>
    </row>
    <row r="50" spans="1:5" ht="20.100000000000001" customHeight="1">
      <c r="A50" s="27">
        <v>8</v>
      </c>
      <c r="B50" s="133" t="s">
        <v>473</v>
      </c>
      <c r="C50" s="19" t="s">
        <v>53</v>
      </c>
      <c r="D50" s="27" t="s">
        <v>54</v>
      </c>
      <c r="E50" s="157"/>
    </row>
    <row r="51" spans="1:5" ht="20.100000000000001" customHeight="1">
      <c r="A51" s="27">
        <v>9</v>
      </c>
      <c r="B51" s="133" t="s">
        <v>114</v>
      </c>
      <c r="C51" s="19" t="s">
        <v>167</v>
      </c>
      <c r="D51" s="27" t="s">
        <v>168</v>
      </c>
      <c r="E51" s="157"/>
    </row>
    <row r="52" spans="1:5" ht="20.100000000000001" customHeight="1">
      <c r="A52" s="27">
        <v>10</v>
      </c>
      <c r="B52" s="133" t="s">
        <v>119</v>
      </c>
      <c r="C52" s="19" t="s">
        <v>118</v>
      </c>
      <c r="D52" s="27" t="s">
        <v>79</v>
      </c>
      <c r="E52" s="157"/>
    </row>
    <row r="53" spans="1:5" ht="20.100000000000001" customHeight="1">
      <c r="A53" s="27">
        <v>11</v>
      </c>
      <c r="B53" s="133" t="s">
        <v>120</v>
      </c>
      <c r="C53" s="19" t="s">
        <v>118</v>
      </c>
      <c r="D53" s="27" t="s">
        <v>79</v>
      </c>
      <c r="E53" s="157"/>
    </row>
    <row r="54" spans="1:5" ht="20.100000000000001" customHeight="1">
      <c r="A54" s="27">
        <v>12</v>
      </c>
      <c r="B54" s="133" t="s">
        <v>121</v>
      </c>
      <c r="C54" s="19" t="s">
        <v>118</v>
      </c>
      <c r="D54" s="27" t="s">
        <v>79</v>
      </c>
      <c r="E54" s="157"/>
    </row>
    <row r="55" spans="1:5" ht="25.5" customHeight="1">
      <c r="A55" s="27"/>
      <c r="B55" s="136" t="s">
        <v>91</v>
      </c>
      <c r="C55" s="28">
        <v>12</v>
      </c>
      <c r="D55" s="28"/>
      <c r="E55" s="157"/>
    </row>
    <row r="56" spans="1:5" ht="20.100000000000001" customHeight="1">
      <c r="A56" s="27"/>
      <c r="B56" s="103"/>
      <c r="C56" s="28"/>
      <c r="D56" s="28"/>
      <c r="E56" s="157"/>
    </row>
    <row r="57" spans="1:5" ht="20.100000000000001" customHeight="1">
      <c r="A57" s="27"/>
      <c r="B57" s="136" t="s">
        <v>122</v>
      </c>
      <c r="C57" s="28"/>
      <c r="D57" s="28"/>
      <c r="E57" s="157"/>
    </row>
    <row r="58" spans="1:5" ht="20.100000000000001" customHeight="1">
      <c r="A58" s="27">
        <v>1</v>
      </c>
      <c r="B58" s="133" t="s">
        <v>123</v>
      </c>
      <c r="C58" s="138" t="s">
        <v>124</v>
      </c>
      <c r="D58" s="158" t="s">
        <v>95</v>
      </c>
      <c r="E58" s="157"/>
    </row>
    <row r="59" spans="1:5" ht="20.100000000000001" customHeight="1">
      <c r="A59" s="27">
        <v>2</v>
      </c>
      <c r="B59" s="133" t="s">
        <v>125</v>
      </c>
      <c r="C59" s="138" t="s">
        <v>126</v>
      </c>
      <c r="D59" s="158" t="s">
        <v>127</v>
      </c>
      <c r="E59" s="157"/>
    </row>
    <row r="60" spans="1:5" ht="20.100000000000001" customHeight="1">
      <c r="A60" s="27"/>
      <c r="B60" s="136" t="s">
        <v>91</v>
      </c>
      <c r="C60" s="28">
        <v>2</v>
      </c>
      <c r="D60" s="28"/>
      <c r="E60" s="157"/>
    </row>
    <row r="61" spans="1:5" ht="20.100000000000001" customHeight="1">
      <c r="A61" s="27"/>
      <c r="B61" s="136"/>
      <c r="C61" s="28"/>
      <c r="D61" s="28"/>
      <c r="E61" s="157"/>
    </row>
    <row r="62" spans="1:5" ht="20.100000000000001" customHeight="1">
      <c r="A62" s="27"/>
      <c r="B62" s="136" t="s">
        <v>128</v>
      </c>
      <c r="C62" s="28"/>
      <c r="D62" s="28"/>
      <c r="E62" s="157"/>
    </row>
    <row r="63" spans="1:5" ht="20.100000000000001" customHeight="1">
      <c r="A63" s="27">
        <v>1</v>
      </c>
      <c r="B63" s="133" t="s">
        <v>129</v>
      </c>
      <c r="C63" s="92" t="s">
        <v>130</v>
      </c>
      <c r="D63" s="27" t="s">
        <v>95</v>
      </c>
      <c r="E63" s="157"/>
    </row>
    <row r="64" spans="1:5" ht="20.100000000000001" customHeight="1">
      <c r="A64" s="27">
        <v>2</v>
      </c>
      <c r="B64" s="134" t="s">
        <v>131</v>
      </c>
      <c r="C64" s="92" t="s">
        <v>132</v>
      </c>
      <c r="D64" s="158" t="s">
        <v>133</v>
      </c>
      <c r="E64" s="157"/>
    </row>
    <row r="65" spans="1:5" ht="20.100000000000001" customHeight="1">
      <c r="A65" s="27">
        <v>3</v>
      </c>
      <c r="B65" s="133" t="s">
        <v>134</v>
      </c>
      <c r="C65" s="19" t="s">
        <v>136</v>
      </c>
      <c r="D65" s="27" t="s">
        <v>168</v>
      </c>
      <c r="E65" s="157"/>
    </row>
    <row r="66" spans="1:5" ht="20.100000000000001" customHeight="1">
      <c r="A66" s="27">
        <v>4</v>
      </c>
      <c r="B66" s="134" t="s">
        <v>135</v>
      </c>
      <c r="C66" s="92" t="s">
        <v>136</v>
      </c>
      <c r="D66" s="158" t="s">
        <v>60</v>
      </c>
      <c r="E66" s="157"/>
    </row>
    <row r="67" spans="1:5" ht="20.100000000000001" customHeight="1">
      <c r="A67" s="27">
        <v>5</v>
      </c>
      <c r="B67" s="135" t="s">
        <v>137</v>
      </c>
      <c r="C67" s="92" t="s">
        <v>53</v>
      </c>
      <c r="D67" s="158" t="s">
        <v>51</v>
      </c>
      <c r="E67" s="157"/>
    </row>
    <row r="68" spans="1:5" ht="20.100000000000001" customHeight="1">
      <c r="A68" s="27">
        <v>6</v>
      </c>
      <c r="B68" s="135" t="s">
        <v>52</v>
      </c>
      <c r="C68" s="92" t="s">
        <v>53</v>
      </c>
      <c r="D68" s="158" t="s">
        <v>54</v>
      </c>
      <c r="E68" s="157"/>
    </row>
    <row r="69" spans="1:5" ht="20.100000000000001" customHeight="1">
      <c r="A69" s="27">
        <v>7</v>
      </c>
      <c r="B69" s="133" t="s">
        <v>138</v>
      </c>
      <c r="C69" s="19" t="s">
        <v>118</v>
      </c>
      <c r="D69" s="27" t="s">
        <v>69</v>
      </c>
      <c r="E69" s="157"/>
    </row>
    <row r="70" spans="1:5" ht="20.100000000000001" customHeight="1">
      <c r="A70" s="27">
        <v>8</v>
      </c>
      <c r="B70" s="133" t="s">
        <v>139</v>
      </c>
      <c r="C70" s="92" t="s">
        <v>140</v>
      </c>
      <c r="D70" s="158" t="s">
        <v>69</v>
      </c>
      <c r="E70" s="157"/>
    </row>
    <row r="71" spans="1:5" ht="20.100000000000001" customHeight="1">
      <c r="A71" s="27">
        <v>9</v>
      </c>
      <c r="B71" s="133" t="s">
        <v>141</v>
      </c>
      <c r="C71" s="92" t="s">
        <v>140</v>
      </c>
      <c r="D71" s="158" t="s">
        <v>69</v>
      </c>
      <c r="E71" s="157"/>
    </row>
    <row r="72" spans="1:5" ht="20.100000000000001" customHeight="1">
      <c r="A72" s="27">
        <v>10</v>
      </c>
      <c r="B72" s="133" t="s">
        <v>142</v>
      </c>
      <c r="C72" s="19" t="s">
        <v>143</v>
      </c>
      <c r="D72" s="27" t="s">
        <v>66</v>
      </c>
      <c r="E72" s="157"/>
    </row>
    <row r="73" spans="1:5" ht="20.100000000000001" customHeight="1">
      <c r="A73" s="27">
        <v>11</v>
      </c>
      <c r="B73" s="133" t="s">
        <v>570</v>
      </c>
      <c r="C73" s="92" t="s">
        <v>118</v>
      </c>
      <c r="D73" s="27" t="s">
        <v>157</v>
      </c>
      <c r="E73" s="157"/>
    </row>
    <row r="74" spans="1:5" ht="20.100000000000001" customHeight="1">
      <c r="A74" s="27">
        <v>12</v>
      </c>
      <c r="B74" s="133" t="s">
        <v>145</v>
      </c>
      <c r="C74" s="92" t="s">
        <v>68</v>
      </c>
      <c r="D74" s="27" t="s">
        <v>75</v>
      </c>
      <c r="E74" s="157"/>
    </row>
    <row r="75" spans="1:5" ht="20.100000000000001" customHeight="1">
      <c r="A75" s="27">
        <v>13</v>
      </c>
      <c r="B75" s="135" t="s">
        <v>67</v>
      </c>
      <c r="C75" s="92" t="s">
        <v>68</v>
      </c>
      <c r="D75" s="27" t="s">
        <v>86</v>
      </c>
      <c r="E75" s="157"/>
    </row>
    <row r="76" spans="1:5" ht="20.100000000000001" customHeight="1">
      <c r="A76" s="27"/>
      <c r="B76" s="136" t="s">
        <v>91</v>
      </c>
      <c r="C76" s="28">
        <v>13</v>
      </c>
      <c r="D76" s="28"/>
      <c r="E76" s="157"/>
    </row>
    <row r="77" spans="1:5" ht="20.100000000000001" customHeight="1">
      <c r="A77" s="27"/>
      <c r="B77" s="103"/>
      <c r="C77" s="28"/>
      <c r="D77" s="28"/>
      <c r="E77" s="157"/>
    </row>
    <row r="78" spans="1:5" ht="20.100000000000001" customHeight="1">
      <c r="A78" s="27"/>
      <c r="B78" s="136" t="s">
        <v>146</v>
      </c>
      <c r="C78" s="28"/>
      <c r="D78" s="28"/>
      <c r="E78" s="157"/>
    </row>
    <row r="79" spans="1:5" ht="20.100000000000001" customHeight="1">
      <c r="A79" s="27">
        <v>1</v>
      </c>
      <c r="B79" s="133" t="s">
        <v>147</v>
      </c>
      <c r="C79" s="19" t="s">
        <v>148</v>
      </c>
      <c r="D79" s="27" t="s">
        <v>95</v>
      </c>
      <c r="E79" s="157"/>
    </row>
    <row r="80" spans="1:5" ht="20.100000000000001" customHeight="1">
      <c r="A80" s="27">
        <v>2</v>
      </c>
      <c r="B80" s="135" t="s">
        <v>149</v>
      </c>
      <c r="C80" s="19" t="s">
        <v>150</v>
      </c>
      <c r="D80" s="158" t="s">
        <v>133</v>
      </c>
      <c r="E80" s="157"/>
    </row>
    <row r="81" spans="1:5" ht="20.100000000000001" customHeight="1">
      <c r="A81" s="27">
        <v>3</v>
      </c>
      <c r="B81" s="135" t="s">
        <v>571</v>
      </c>
      <c r="C81" s="19" t="s">
        <v>572</v>
      </c>
      <c r="D81" s="158" t="s">
        <v>133</v>
      </c>
      <c r="E81" s="157"/>
    </row>
    <row r="82" spans="1:5" ht="20.100000000000001" customHeight="1">
      <c r="A82" s="27">
        <v>4</v>
      </c>
      <c r="B82" s="133" t="s">
        <v>153</v>
      </c>
      <c r="C82" s="19" t="s">
        <v>414</v>
      </c>
      <c r="D82" s="158" t="s">
        <v>168</v>
      </c>
      <c r="E82" s="157"/>
    </row>
    <row r="83" spans="1:5" ht="20.100000000000001" customHeight="1">
      <c r="A83" s="27">
        <v>5</v>
      </c>
      <c r="B83" s="133" t="s">
        <v>155</v>
      </c>
      <c r="C83" s="19" t="s">
        <v>156</v>
      </c>
      <c r="D83" s="27" t="s">
        <v>157</v>
      </c>
      <c r="E83" s="157"/>
    </row>
    <row r="84" spans="1:5" ht="20.100000000000001" customHeight="1">
      <c r="A84" s="27"/>
      <c r="B84" s="136" t="s">
        <v>91</v>
      </c>
      <c r="C84" s="28">
        <v>5</v>
      </c>
      <c r="D84" s="28"/>
      <c r="E84" s="157"/>
    </row>
    <row r="85" spans="1:5" ht="20.100000000000001" customHeight="1">
      <c r="A85" s="27"/>
      <c r="B85" s="136"/>
      <c r="C85" s="28"/>
      <c r="D85" s="28"/>
      <c r="E85" s="157"/>
    </row>
    <row r="86" spans="1:5" ht="20.100000000000001" customHeight="1">
      <c r="A86" s="27"/>
      <c r="B86" s="136" t="s">
        <v>161</v>
      </c>
      <c r="C86" s="163"/>
      <c r="D86" s="28"/>
      <c r="E86" s="157"/>
    </row>
    <row r="87" spans="1:5" ht="20.100000000000001" customHeight="1">
      <c r="A87" s="27">
        <v>1</v>
      </c>
      <c r="B87" s="133" t="s">
        <v>162</v>
      </c>
      <c r="C87" s="19" t="s">
        <v>109</v>
      </c>
      <c r="D87" s="27" t="s">
        <v>45</v>
      </c>
      <c r="E87" s="157"/>
    </row>
    <row r="88" spans="1:5" ht="20.100000000000001" customHeight="1">
      <c r="A88" s="27">
        <v>2</v>
      </c>
      <c r="B88" s="133" t="s">
        <v>163</v>
      </c>
      <c r="C88" s="19" t="s">
        <v>109</v>
      </c>
      <c r="D88" s="27" t="s">
        <v>45</v>
      </c>
      <c r="E88" s="157"/>
    </row>
    <row r="89" spans="1:5" ht="20.100000000000001" customHeight="1">
      <c r="A89" s="27">
        <v>3</v>
      </c>
      <c r="B89" s="135" t="s">
        <v>164</v>
      </c>
      <c r="C89" s="19" t="s">
        <v>53</v>
      </c>
      <c r="D89" s="27" t="s">
        <v>413</v>
      </c>
      <c r="E89" s="157"/>
    </row>
    <row r="90" spans="1:5" ht="20.100000000000001" customHeight="1">
      <c r="A90" s="27">
        <v>4</v>
      </c>
      <c r="B90" s="133" t="s">
        <v>165</v>
      </c>
      <c r="C90" s="19" t="s">
        <v>115</v>
      </c>
      <c r="D90" s="27" t="s">
        <v>51</v>
      </c>
      <c r="E90" s="157"/>
    </row>
    <row r="91" spans="1:5" ht="21.6" customHeight="1">
      <c r="A91" s="27">
        <v>5</v>
      </c>
      <c r="B91" s="133" t="s">
        <v>166</v>
      </c>
      <c r="C91" s="19" t="s">
        <v>167</v>
      </c>
      <c r="D91" s="158" t="s">
        <v>168</v>
      </c>
      <c r="E91" s="157"/>
    </row>
    <row r="92" spans="1:5" ht="21.6" customHeight="1">
      <c r="A92" s="27">
        <v>6</v>
      </c>
      <c r="B92" s="133" t="s">
        <v>169</v>
      </c>
      <c r="C92" s="138" t="s">
        <v>136</v>
      </c>
      <c r="D92" s="158" t="s">
        <v>60</v>
      </c>
      <c r="E92" s="157"/>
    </row>
    <row r="93" spans="1:5" ht="21.6" customHeight="1">
      <c r="A93" s="27">
        <v>7</v>
      </c>
      <c r="B93" s="133" t="s">
        <v>170</v>
      </c>
      <c r="C93" s="138" t="s">
        <v>136</v>
      </c>
      <c r="D93" s="158" t="s">
        <v>60</v>
      </c>
      <c r="E93" s="157"/>
    </row>
    <row r="94" spans="1:5" ht="21.6" customHeight="1">
      <c r="A94" s="27">
        <v>8</v>
      </c>
      <c r="B94" s="133" t="s">
        <v>172</v>
      </c>
      <c r="C94" s="92" t="s">
        <v>140</v>
      </c>
      <c r="D94" s="158" t="s">
        <v>69</v>
      </c>
      <c r="E94" s="157"/>
    </row>
    <row r="95" spans="1:5" ht="21.6" customHeight="1">
      <c r="A95" s="27">
        <v>9</v>
      </c>
      <c r="B95" s="133" t="s">
        <v>174</v>
      </c>
      <c r="C95" s="19" t="s">
        <v>175</v>
      </c>
      <c r="D95" s="27" t="s">
        <v>72</v>
      </c>
      <c r="E95" s="157"/>
    </row>
    <row r="96" spans="1:5" ht="21.6" customHeight="1">
      <c r="A96" s="27">
        <v>10</v>
      </c>
      <c r="B96" s="133" t="s">
        <v>176</v>
      </c>
      <c r="C96" s="92" t="s">
        <v>177</v>
      </c>
      <c r="D96" s="158" t="s">
        <v>86</v>
      </c>
      <c r="E96" s="157"/>
    </row>
    <row r="97" spans="1:5" ht="20.100000000000001" customHeight="1">
      <c r="A97" s="27"/>
      <c r="B97" s="136" t="s">
        <v>91</v>
      </c>
      <c r="C97" s="28">
        <v>10</v>
      </c>
      <c r="D97" s="28"/>
      <c r="E97" s="157"/>
    </row>
    <row r="98" spans="1:5" ht="20.100000000000001" customHeight="1">
      <c r="A98" s="27"/>
      <c r="B98" s="103"/>
      <c r="C98" s="28"/>
      <c r="D98" s="28"/>
      <c r="E98" s="157"/>
    </row>
    <row r="99" spans="1:5" ht="20.100000000000001" customHeight="1">
      <c r="A99" s="27"/>
      <c r="B99" s="136" t="s">
        <v>178</v>
      </c>
      <c r="C99" s="28"/>
      <c r="D99" s="28"/>
      <c r="E99" s="157"/>
    </row>
    <row r="100" spans="1:5" ht="20.100000000000001" customHeight="1">
      <c r="A100" s="27">
        <v>1</v>
      </c>
      <c r="B100" s="134" t="s">
        <v>41</v>
      </c>
      <c r="C100" s="27" t="s">
        <v>42</v>
      </c>
      <c r="D100" s="158" t="s">
        <v>36</v>
      </c>
      <c r="E100" s="157"/>
    </row>
    <row r="101" spans="1:5" ht="20.100000000000001" customHeight="1">
      <c r="A101" s="27">
        <v>2</v>
      </c>
      <c r="B101" s="133" t="s">
        <v>46</v>
      </c>
      <c r="C101" s="19" t="s">
        <v>182</v>
      </c>
      <c r="D101" s="27" t="s">
        <v>51</v>
      </c>
      <c r="E101" s="157"/>
    </row>
    <row r="102" spans="1:5" ht="20.100000000000001" customHeight="1">
      <c r="A102" s="27">
        <v>3</v>
      </c>
      <c r="B102" s="133" t="s">
        <v>183</v>
      </c>
      <c r="C102" s="19" t="s">
        <v>184</v>
      </c>
      <c r="D102" s="158" t="s">
        <v>66</v>
      </c>
      <c r="E102" s="157"/>
    </row>
    <row r="103" spans="1:5" ht="20.100000000000001" customHeight="1">
      <c r="A103" s="27">
        <v>4</v>
      </c>
      <c r="B103" s="133" t="s">
        <v>185</v>
      </c>
      <c r="C103" s="19" t="s">
        <v>415</v>
      </c>
      <c r="D103" s="158" t="s">
        <v>199</v>
      </c>
      <c r="E103" s="157"/>
    </row>
    <row r="104" spans="1:5" ht="20.100000000000001" customHeight="1">
      <c r="A104" s="19"/>
      <c r="B104" s="136" t="s">
        <v>91</v>
      </c>
      <c r="C104" s="28">
        <v>4</v>
      </c>
      <c r="D104" s="164"/>
      <c r="E104" s="157"/>
    </row>
    <row r="105" spans="1:5" ht="20.100000000000001" customHeight="1">
      <c r="A105" s="19"/>
      <c r="B105" s="103"/>
      <c r="C105" s="28"/>
      <c r="D105" s="164"/>
      <c r="E105" s="157"/>
    </row>
    <row r="106" spans="1:5" ht="20.100000000000001" customHeight="1">
      <c r="A106" s="19"/>
      <c r="B106" s="136" t="s">
        <v>187</v>
      </c>
      <c r="C106" s="19"/>
      <c r="D106" s="19"/>
      <c r="E106" s="157"/>
    </row>
    <row r="107" spans="1:5" ht="20.100000000000001" customHeight="1">
      <c r="A107" s="19">
        <v>1</v>
      </c>
      <c r="B107" s="133" t="s">
        <v>188</v>
      </c>
      <c r="C107" s="138" t="s">
        <v>189</v>
      </c>
      <c r="D107" s="158" t="s">
        <v>95</v>
      </c>
      <c r="E107" s="157"/>
    </row>
    <row r="108" spans="1:5" ht="20.100000000000001" customHeight="1">
      <c r="A108" s="19">
        <v>2</v>
      </c>
      <c r="B108" s="133" t="s">
        <v>190</v>
      </c>
      <c r="C108" s="19" t="s">
        <v>191</v>
      </c>
      <c r="D108" s="23" t="s">
        <v>36</v>
      </c>
      <c r="E108" s="157"/>
    </row>
    <row r="109" spans="1:5" ht="20.100000000000001" customHeight="1">
      <c r="A109" s="19">
        <v>3</v>
      </c>
      <c r="B109" s="133" t="s">
        <v>192</v>
      </c>
      <c r="C109" s="19" t="s">
        <v>193</v>
      </c>
      <c r="D109" s="27" t="s">
        <v>57</v>
      </c>
      <c r="E109" s="157"/>
    </row>
    <row r="110" spans="1:5" ht="20.100000000000001" customHeight="1">
      <c r="A110" s="19">
        <v>4</v>
      </c>
      <c r="B110" s="133" t="s">
        <v>194</v>
      </c>
      <c r="C110" s="19" t="s">
        <v>193</v>
      </c>
      <c r="D110" s="27" t="s">
        <v>57</v>
      </c>
      <c r="E110" s="157"/>
    </row>
    <row r="111" spans="1:5" ht="20.100000000000001" customHeight="1">
      <c r="A111" s="19">
        <v>5</v>
      </c>
      <c r="B111" s="133" t="s">
        <v>195</v>
      </c>
      <c r="C111" s="19" t="s">
        <v>196</v>
      </c>
      <c r="D111" s="158" t="s">
        <v>197</v>
      </c>
      <c r="E111" s="157"/>
    </row>
    <row r="112" spans="1:5" ht="20.100000000000001" customHeight="1">
      <c r="A112" s="19">
        <v>6</v>
      </c>
      <c r="B112" s="134" t="s">
        <v>198</v>
      </c>
      <c r="C112" s="19" t="s">
        <v>196</v>
      </c>
      <c r="D112" s="27" t="s">
        <v>199</v>
      </c>
      <c r="E112" s="157"/>
    </row>
    <row r="113" spans="1:5" ht="20.100000000000001" customHeight="1">
      <c r="A113" s="19">
        <v>7</v>
      </c>
      <c r="B113" s="134" t="s">
        <v>200</v>
      </c>
      <c r="C113" s="19" t="s">
        <v>196</v>
      </c>
      <c r="D113" s="158" t="s">
        <v>86</v>
      </c>
      <c r="E113" s="157"/>
    </row>
    <row r="114" spans="1:5" ht="25.5" customHeight="1">
      <c r="A114" s="19"/>
      <c r="B114" s="136" t="s">
        <v>91</v>
      </c>
      <c r="C114" s="28">
        <v>7</v>
      </c>
      <c r="D114" s="19"/>
      <c r="E114" s="157"/>
    </row>
    <row r="115" spans="1:5" ht="20.100000000000001" customHeight="1">
      <c r="A115" s="19"/>
      <c r="B115" s="136"/>
      <c r="C115" s="28"/>
      <c r="D115" s="19"/>
      <c r="E115" s="157"/>
    </row>
    <row r="116" spans="1:5" ht="20.100000000000001" customHeight="1">
      <c r="A116" s="27"/>
      <c r="B116" s="136" t="s">
        <v>201</v>
      </c>
      <c r="C116" s="28"/>
      <c r="D116" s="28"/>
      <c r="E116" s="157"/>
    </row>
    <row r="117" spans="1:5" ht="20.100000000000001" customHeight="1">
      <c r="A117" s="27">
        <v>1</v>
      </c>
      <c r="B117" s="133" t="s">
        <v>202</v>
      </c>
      <c r="C117" s="92" t="s">
        <v>140</v>
      </c>
      <c r="D117" s="158" t="s">
        <v>203</v>
      </c>
      <c r="E117" s="157"/>
    </row>
    <row r="118" spans="1:5" ht="18.75" customHeight="1">
      <c r="A118" s="27">
        <v>2</v>
      </c>
      <c r="B118" s="133" t="s">
        <v>204</v>
      </c>
      <c r="C118" s="19" t="s">
        <v>205</v>
      </c>
      <c r="D118" s="158" t="s">
        <v>66</v>
      </c>
      <c r="E118" s="157"/>
    </row>
    <row r="119" spans="1:5" ht="24.75" customHeight="1">
      <c r="A119" s="19"/>
      <c r="B119" s="136" t="s">
        <v>91</v>
      </c>
      <c r="C119" s="28">
        <v>2</v>
      </c>
      <c r="D119" s="164"/>
      <c r="E119" s="157"/>
    </row>
    <row r="120" spans="1:5" ht="20.100000000000001" customHeight="1">
      <c r="A120" s="19"/>
      <c r="B120" s="136"/>
      <c r="C120" s="28"/>
      <c r="D120" s="19"/>
      <c r="E120" s="157"/>
    </row>
    <row r="121" spans="1:5" ht="20.100000000000001" customHeight="1">
      <c r="A121" s="19"/>
      <c r="B121" s="136" t="s">
        <v>208</v>
      </c>
      <c r="C121" s="28"/>
      <c r="D121" s="28"/>
      <c r="E121" s="157"/>
    </row>
    <row r="122" spans="1:5" ht="20.100000000000001" customHeight="1">
      <c r="A122" s="19">
        <v>1</v>
      </c>
      <c r="B122" s="133" t="s">
        <v>209</v>
      </c>
      <c r="C122" s="138" t="s">
        <v>210</v>
      </c>
      <c r="D122" s="158" t="s">
        <v>95</v>
      </c>
      <c r="E122" s="157"/>
    </row>
    <row r="123" spans="1:5" ht="20.100000000000001" customHeight="1">
      <c r="A123" s="19">
        <v>2</v>
      </c>
      <c r="B123" s="133" t="s">
        <v>594</v>
      </c>
      <c r="C123" s="138" t="s">
        <v>595</v>
      </c>
      <c r="D123" s="158" t="s">
        <v>233</v>
      </c>
      <c r="E123" s="157"/>
    </row>
    <row r="124" spans="1:5" ht="20.100000000000001" customHeight="1">
      <c r="A124" s="19">
        <v>3</v>
      </c>
      <c r="B124" s="133" t="s">
        <v>211</v>
      </c>
      <c r="C124" s="138" t="s">
        <v>214</v>
      </c>
      <c r="D124" s="158" t="s">
        <v>45</v>
      </c>
      <c r="E124" s="157"/>
    </row>
    <row r="125" spans="1:5" ht="20.100000000000001" customHeight="1">
      <c r="A125" s="19">
        <v>4</v>
      </c>
      <c r="B125" s="135" t="s">
        <v>213</v>
      </c>
      <c r="C125" s="138" t="s">
        <v>214</v>
      </c>
      <c r="D125" s="158" t="s">
        <v>45</v>
      </c>
      <c r="E125" s="157"/>
    </row>
    <row r="126" spans="1:5" ht="20.100000000000001" customHeight="1">
      <c r="A126" s="19">
        <v>5</v>
      </c>
      <c r="B126" s="135" t="s">
        <v>215</v>
      </c>
      <c r="C126" s="138" t="s">
        <v>214</v>
      </c>
      <c r="D126" s="158" t="s">
        <v>48</v>
      </c>
      <c r="E126" s="157"/>
    </row>
    <row r="127" spans="1:5" ht="20.100000000000001" customHeight="1">
      <c r="A127" s="19">
        <v>6</v>
      </c>
      <c r="B127" s="133" t="s">
        <v>216</v>
      </c>
      <c r="C127" s="138" t="s">
        <v>217</v>
      </c>
      <c r="D127" s="158" t="s">
        <v>54</v>
      </c>
      <c r="E127" s="157"/>
    </row>
    <row r="128" spans="1:5" ht="20.100000000000001" customHeight="1">
      <c r="A128" s="19">
        <v>7</v>
      </c>
      <c r="B128" s="133" t="s">
        <v>218</v>
      </c>
      <c r="C128" s="138" t="s">
        <v>219</v>
      </c>
      <c r="D128" s="158" t="s">
        <v>168</v>
      </c>
      <c r="E128" s="157"/>
    </row>
    <row r="129" spans="1:5" ht="20.100000000000001" customHeight="1">
      <c r="A129" s="19">
        <v>8</v>
      </c>
      <c r="B129" s="133" t="s">
        <v>220</v>
      </c>
      <c r="C129" s="138" t="s">
        <v>416</v>
      </c>
      <c r="D129" s="158" t="s">
        <v>168</v>
      </c>
      <c r="E129" s="157"/>
    </row>
    <row r="130" spans="1:5" ht="20.100000000000001" customHeight="1">
      <c r="A130" s="19">
        <v>9</v>
      </c>
      <c r="B130" s="133" t="s">
        <v>221</v>
      </c>
      <c r="C130" s="138" t="s">
        <v>222</v>
      </c>
      <c r="D130" s="27" t="s">
        <v>75</v>
      </c>
      <c r="E130" s="157"/>
    </row>
    <row r="131" spans="1:5" ht="20.100000000000001" customHeight="1">
      <c r="A131" s="19">
        <v>10</v>
      </c>
      <c r="B131" s="134" t="s">
        <v>223</v>
      </c>
      <c r="C131" s="138" t="s">
        <v>224</v>
      </c>
      <c r="D131" s="158" t="s">
        <v>90</v>
      </c>
      <c r="E131" s="157"/>
    </row>
    <row r="132" spans="1:5" ht="20.100000000000001" customHeight="1">
      <c r="A132" s="19"/>
      <c r="B132" s="136" t="s">
        <v>91</v>
      </c>
      <c r="C132" s="164" t="s">
        <v>227</v>
      </c>
      <c r="D132" s="158"/>
      <c r="E132" s="157"/>
    </row>
    <row r="133" spans="1:5" ht="20.100000000000001" customHeight="1">
      <c r="A133" s="19"/>
      <c r="B133" s="103"/>
      <c r="C133" s="164"/>
      <c r="D133" s="158"/>
      <c r="E133" s="157"/>
    </row>
    <row r="134" spans="1:5" ht="20.100000000000001" customHeight="1">
      <c r="A134" s="19"/>
      <c r="B134" s="136" t="s">
        <v>228</v>
      </c>
      <c r="C134" s="138"/>
      <c r="D134" s="158"/>
      <c r="E134" s="157"/>
    </row>
    <row r="135" spans="1:5" ht="20.100000000000001" customHeight="1">
      <c r="A135" s="168">
        <v>1</v>
      </c>
      <c r="B135" s="133" t="s">
        <v>229</v>
      </c>
      <c r="C135" s="138" t="s">
        <v>230</v>
      </c>
      <c r="D135" s="158" t="s">
        <v>95</v>
      </c>
      <c r="E135" s="157"/>
    </row>
    <row r="136" spans="1:5" ht="20.100000000000001" customHeight="1">
      <c r="A136" s="168">
        <v>2</v>
      </c>
      <c r="B136" s="133" t="s">
        <v>231</v>
      </c>
      <c r="C136" s="138" t="s">
        <v>232</v>
      </c>
      <c r="D136" s="158" t="s">
        <v>233</v>
      </c>
      <c r="E136" s="157"/>
    </row>
    <row r="137" spans="1:5" ht="20.100000000000001" customHeight="1">
      <c r="A137" s="168">
        <v>3</v>
      </c>
      <c r="B137" s="135" t="s">
        <v>234</v>
      </c>
      <c r="C137" s="19" t="s">
        <v>235</v>
      </c>
      <c r="D137" s="23" t="s">
        <v>36</v>
      </c>
      <c r="E137" s="157"/>
    </row>
    <row r="138" spans="1:5" ht="20.100000000000001" customHeight="1">
      <c r="A138" s="168">
        <v>4</v>
      </c>
      <c r="B138" s="133" t="s">
        <v>236</v>
      </c>
      <c r="C138" s="138" t="s">
        <v>237</v>
      </c>
      <c r="D138" s="158" t="s">
        <v>51</v>
      </c>
      <c r="E138" s="157"/>
    </row>
    <row r="139" spans="1:5" ht="20.100000000000001" customHeight="1">
      <c r="A139" s="168">
        <v>5</v>
      </c>
      <c r="B139" s="133" t="s">
        <v>238</v>
      </c>
      <c r="C139" s="19" t="s">
        <v>239</v>
      </c>
      <c r="D139" s="158" t="s">
        <v>51</v>
      </c>
      <c r="E139" s="157"/>
    </row>
    <row r="140" spans="1:5" ht="20.100000000000001" customHeight="1">
      <c r="A140" s="168">
        <v>6</v>
      </c>
      <c r="B140" s="133" t="s">
        <v>181</v>
      </c>
      <c r="C140" s="19" t="s">
        <v>245</v>
      </c>
      <c r="D140" s="158" t="s">
        <v>168</v>
      </c>
      <c r="E140" s="157"/>
    </row>
    <row r="141" spans="1:5" ht="20.100000000000001" customHeight="1">
      <c r="A141" s="168">
        <v>7</v>
      </c>
      <c r="B141" s="133" t="s">
        <v>241</v>
      </c>
      <c r="C141" s="138" t="s">
        <v>242</v>
      </c>
      <c r="D141" s="158" t="s">
        <v>203</v>
      </c>
      <c r="E141" s="157"/>
    </row>
    <row r="142" spans="1:5" ht="20.100000000000001" customHeight="1">
      <c r="A142" s="168">
        <v>8</v>
      </c>
      <c r="B142" s="133" t="s">
        <v>243</v>
      </c>
      <c r="C142" s="138" t="s">
        <v>242</v>
      </c>
      <c r="D142" s="158" t="s">
        <v>203</v>
      </c>
      <c r="E142" s="157"/>
    </row>
    <row r="143" spans="1:5" ht="20.100000000000001" customHeight="1">
      <c r="A143" s="168">
        <v>9</v>
      </c>
      <c r="B143" s="133" t="s">
        <v>244</v>
      </c>
      <c r="C143" s="19" t="s">
        <v>245</v>
      </c>
      <c r="D143" s="158" t="s">
        <v>203</v>
      </c>
      <c r="E143" s="157"/>
    </row>
    <row r="144" spans="1:5" ht="20.100000000000001" customHeight="1">
      <c r="A144" s="168">
        <v>10</v>
      </c>
      <c r="B144" s="133" t="s">
        <v>246</v>
      </c>
      <c r="C144" s="138" t="s">
        <v>247</v>
      </c>
      <c r="D144" s="158" t="s">
        <v>66</v>
      </c>
      <c r="E144" s="157"/>
    </row>
    <row r="145" spans="1:5" ht="20.100000000000001" customHeight="1">
      <c r="A145" s="168">
        <v>11</v>
      </c>
      <c r="B145" s="133" t="s">
        <v>248</v>
      </c>
      <c r="C145" s="138" t="s">
        <v>418</v>
      </c>
      <c r="D145" s="158" t="s">
        <v>419</v>
      </c>
      <c r="E145" s="157"/>
    </row>
    <row r="146" spans="1:5" ht="20.100000000000001" customHeight="1">
      <c r="A146" s="168">
        <v>12</v>
      </c>
      <c r="B146" s="133" t="s">
        <v>250</v>
      </c>
      <c r="C146" s="138" t="s">
        <v>251</v>
      </c>
      <c r="D146" s="158" t="s">
        <v>203</v>
      </c>
      <c r="E146" s="157"/>
    </row>
    <row r="147" spans="1:5" ht="20.100000000000001" customHeight="1">
      <c r="A147" s="168">
        <v>13</v>
      </c>
      <c r="B147" s="134" t="s">
        <v>252</v>
      </c>
      <c r="C147" s="19" t="s">
        <v>262</v>
      </c>
      <c r="D147" s="158" t="s">
        <v>419</v>
      </c>
      <c r="E147" s="157"/>
    </row>
    <row r="148" spans="1:5" ht="20.100000000000001" customHeight="1">
      <c r="A148" s="168">
        <v>14</v>
      </c>
      <c r="B148" s="133" t="s">
        <v>254</v>
      </c>
      <c r="C148" s="19" t="s">
        <v>255</v>
      </c>
      <c r="D148" s="158" t="s">
        <v>157</v>
      </c>
      <c r="E148" s="157"/>
    </row>
    <row r="149" spans="1:5" ht="20.100000000000001" customHeight="1">
      <c r="A149" s="168">
        <v>15</v>
      </c>
      <c r="B149" s="133" t="s">
        <v>256</v>
      </c>
      <c r="C149" s="19" t="s">
        <v>255</v>
      </c>
      <c r="D149" s="158" t="s">
        <v>257</v>
      </c>
      <c r="E149" s="157"/>
    </row>
    <row r="150" spans="1:5" ht="20.100000000000001" customHeight="1">
      <c r="A150" s="168">
        <v>16</v>
      </c>
      <c r="B150" s="133" t="s">
        <v>258</v>
      </c>
      <c r="C150" s="19" t="s">
        <v>255</v>
      </c>
      <c r="D150" s="158" t="s">
        <v>257</v>
      </c>
      <c r="E150" s="157"/>
    </row>
    <row r="151" spans="1:5" ht="20.100000000000001" customHeight="1">
      <c r="A151" s="168">
        <v>17</v>
      </c>
      <c r="B151" s="133" t="s">
        <v>259</v>
      </c>
      <c r="C151" s="138" t="s">
        <v>260</v>
      </c>
      <c r="D151" s="158" t="s">
        <v>72</v>
      </c>
      <c r="E151" s="157"/>
    </row>
    <row r="152" spans="1:5" ht="20.100000000000001" customHeight="1">
      <c r="A152" s="168">
        <v>18</v>
      </c>
      <c r="B152" s="133" t="s">
        <v>261</v>
      </c>
      <c r="C152" s="138" t="s">
        <v>262</v>
      </c>
      <c r="D152" s="27" t="s">
        <v>79</v>
      </c>
      <c r="E152" s="157"/>
    </row>
    <row r="153" spans="1:5" ht="20.100000000000001" customHeight="1">
      <c r="A153" s="168">
        <v>19</v>
      </c>
      <c r="B153" s="133" t="s">
        <v>263</v>
      </c>
      <c r="C153" s="138" t="s">
        <v>264</v>
      </c>
      <c r="D153" s="158" t="s">
        <v>157</v>
      </c>
      <c r="E153" s="157"/>
    </row>
    <row r="154" spans="1:5" ht="20.100000000000001" customHeight="1">
      <c r="A154" s="168">
        <v>20</v>
      </c>
      <c r="B154" s="133" t="s">
        <v>265</v>
      </c>
      <c r="C154" s="138" t="s">
        <v>266</v>
      </c>
      <c r="D154" s="158" t="s">
        <v>75</v>
      </c>
      <c r="E154" s="157"/>
    </row>
    <row r="155" spans="1:5" ht="20.100000000000001" customHeight="1">
      <c r="A155" s="168">
        <v>21</v>
      </c>
      <c r="B155" s="133" t="s">
        <v>267</v>
      </c>
      <c r="C155" s="138" t="s">
        <v>268</v>
      </c>
      <c r="D155" s="158" t="s">
        <v>157</v>
      </c>
      <c r="E155" s="157"/>
    </row>
    <row r="156" spans="1:5" ht="20.100000000000001" customHeight="1">
      <c r="A156" s="168">
        <v>22</v>
      </c>
      <c r="B156" s="133" t="s">
        <v>269</v>
      </c>
      <c r="C156" s="138" t="s">
        <v>270</v>
      </c>
      <c r="D156" s="158" t="s">
        <v>75</v>
      </c>
      <c r="E156" s="157"/>
    </row>
    <row r="157" spans="1:5" ht="20.100000000000001" customHeight="1">
      <c r="A157" s="168">
        <v>23</v>
      </c>
      <c r="B157" s="134" t="s">
        <v>271</v>
      </c>
      <c r="C157" s="138" t="s">
        <v>276</v>
      </c>
      <c r="D157" s="158" t="s">
        <v>199</v>
      </c>
      <c r="E157" s="157"/>
    </row>
    <row r="158" spans="1:5" ht="20.100000000000001" customHeight="1">
      <c r="A158" s="168">
        <v>24</v>
      </c>
      <c r="B158" s="134" t="s">
        <v>273</v>
      </c>
      <c r="C158" s="138" t="s">
        <v>274</v>
      </c>
      <c r="D158" s="158" t="s">
        <v>90</v>
      </c>
      <c r="E158" s="157"/>
    </row>
    <row r="159" spans="1:5" ht="20.100000000000001" customHeight="1">
      <c r="A159" s="168">
        <v>25</v>
      </c>
      <c r="B159" s="134" t="s">
        <v>275</v>
      </c>
      <c r="C159" s="138" t="s">
        <v>276</v>
      </c>
      <c r="D159" s="158" t="s">
        <v>90</v>
      </c>
      <c r="E159" s="157"/>
    </row>
    <row r="160" spans="1:5" ht="20.100000000000001" customHeight="1">
      <c r="A160" s="168">
        <v>26</v>
      </c>
      <c r="B160" s="134" t="s">
        <v>277</v>
      </c>
      <c r="C160" s="138" t="s">
        <v>278</v>
      </c>
      <c r="D160" s="158" t="s">
        <v>86</v>
      </c>
      <c r="E160" s="157"/>
    </row>
    <row r="161" spans="1:5" ht="20.100000000000001" customHeight="1">
      <c r="A161" s="168">
        <v>27</v>
      </c>
      <c r="B161" s="134" t="s">
        <v>279</v>
      </c>
      <c r="C161" s="138" t="s">
        <v>280</v>
      </c>
      <c r="D161" s="158" t="s">
        <v>86</v>
      </c>
      <c r="E161" s="157"/>
    </row>
    <row r="162" spans="1:5" ht="20.100000000000001" customHeight="1">
      <c r="A162" s="168">
        <v>28</v>
      </c>
      <c r="B162" s="133" t="s">
        <v>282</v>
      </c>
      <c r="C162" s="138" t="s">
        <v>283</v>
      </c>
      <c r="D162" s="158" t="s">
        <v>284</v>
      </c>
      <c r="E162" s="157"/>
    </row>
    <row r="163" spans="1:5" ht="20.100000000000001" customHeight="1">
      <c r="A163" s="168">
        <v>29</v>
      </c>
      <c r="B163" s="133" t="s">
        <v>285</v>
      </c>
      <c r="C163" s="138" t="s">
        <v>283</v>
      </c>
      <c r="D163" s="158" t="s">
        <v>284</v>
      </c>
      <c r="E163" s="157"/>
    </row>
    <row r="164" spans="1:5" ht="20.100000000000001" customHeight="1">
      <c r="A164" s="168">
        <v>30</v>
      </c>
      <c r="B164" s="133" t="s">
        <v>286</v>
      </c>
      <c r="C164" s="138" t="s">
        <v>283</v>
      </c>
      <c r="D164" s="158" t="s">
        <v>284</v>
      </c>
      <c r="E164" s="157"/>
    </row>
    <row r="165" spans="1:5" ht="20.100000000000001" customHeight="1">
      <c r="A165" s="168">
        <v>31</v>
      </c>
      <c r="B165" s="133" t="s">
        <v>287</v>
      </c>
      <c r="C165" s="138" t="s">
        <v>283</v>
      </c>
      <c r="D165" s="158" t="s">
        <v>284</v>
      </c>
      <c r="E165" s="157"/>
    </row>
    <row r="166" spans="1:5" ht="20.100000000000001" customHeight="1">
      <c r="A166" s="168">
        <v>32</v>
      </c>
      <c r="B166" s="133" t="s">
        <v>288</v>
      </c>
      <c r="C166" s="138" t="s">
        <v>283</v>
      </c>
      <c r="D166" s="158" t="s">
        <v>284</v>
      </c>
      <c r="E166" s="157"/>
    </row>
    <row r="167" spans="1:5" ht="20.100000000000001" customHeight="1">
      <c r="A167" s="168">
        <v>33</v>
      </c>
      <c r="B167" s="133" t="s">
        <v>289</v>
      </c>
      <c r="C167" s="138" t="s">
        <v>283</v>
      </c>
      <c r="D167" s="158" t="s">
        <v>290</v>
      </c>
      <c r="E167" s="157"/>
    </row>
    <row r="168" spans="1:5" ht="20.100000000000001" customHeight="1">
      <c r="A168" s="168">
        <v>34</v>
      </c>
      <c r="B168" s="133" t="s">
        <v>291</v>
      </c>
      <c r="C168" s="138" t="s">
        <v>283</v>
      </c>
      <c r="D168" s="158" t="s">
        <v>290</v>
      </c>
      <c r="E168" s="157"/>
    </row>
    <row r="169" spans="1:5" ht="20.100000000000001" customHeight="1">
      <c r="A169" s="168">
        <v>35</v>
      </c>
      <c r="B169" s="133" t="s">
        <v>576</v>
      </c>
      <c r="C169" s="138" t="s">
        <v>283</v>
      </c>
      <c r="D169" s="158" t="s">
        <v>290</v>
      </c>
      <c r="E169" s="157"/>
    </row>
    <row r="170" spans="1:5" ht="20.100000000000001" customHeight="1">
      <c r="A170" s="168">
        <v>36</v>
      </c>
      <c r="B170" s="135" t="s">
        <v>292</v>
      </c>
      <c r="C170" s="138" t="s">
        <v>283</v>
      </c>
      <c r="D170" s="158" t="s">
        <v>290</v>
      </c>
      <c r="E170" s="157"/>
    </row>
    <row r="171" spans="1:5" ht="20.100000000000001" customHeight="1">
      <c r="A171" s="168">
        <v>37</v>
      </c>
      <c r="B171" s="133" t="s">
        <v>293</v>
      </c>
      <c r="C171" s="138" t="s">
        <v>283</v>
      </c>
      <c r="D171" s="158" t="s">
        <v>290</v>
      </c>
      <c r="E171" s="157"/>
    </row>
    <row r="172" spans="1:5" ht="20.100000000000001" customHeight="1">
      <c r="A172" s="168">
        <v>38</v>
      </c>
      <c r="B172" s="134" t="s">
        <v>294</v>
      </c>
      <c r="C172" s="138" t="s">
        <v>283</v>
      </c>
      <c r="D172" s="158" t="s">
        <v>290</v>
      </c>
      <c r="E172" s="157"/>
    </row>
    <row r="173" spans="1:5" ht="20.100000000000001" customHeight="1">
      <c r="A173" s="168">
        <v>39</v>
      </c>
      <c r="B173" s="134" t="s">
        <v>295</v>
      </c>
      <c r="C173" s="138" t="s">
        <v>283</v>
      </c>
      <c r="D173" s="158" t="s">
        <v>290</v>
      </c>
      <c r="E173" s="157"/>
    </row>
    <row r="174" spans="1:5" ht="20.100000000000001" customHeight="1">
      <c r="A174" s="168">
        <v>40</v>
      </c>
      <c r="B174" s="133" t="s">
        <v>296</v>
      </c>
      <c r="C174" s="138" t="s">
        <v>302</v>
      </c>
      <c r="D174" s="158" t="s">
        <v>400</v>
      </c>
      <c r="E174" s="157"/>
    </row>
    <row r="175" spans="1:5" ht="20.100000000000001" customHeight="1">
      <c r="A175" s="168">
        <v>41</v>
      </c>
      <c r="B175" s="133" t="s">
        <v>299</v>
      </c>
      <c r="C175" s="138" t="s">
        <v>302</v>
      </c>
      <c r="D175" s="158" t="s">
        <v>400</v>
      </c>
      <c r="E175" s="157"/>
    </row>
    <row r="176" spans="1:5" ht="20.100000000000001" customHeight="1">
      <c r="A176" s="168">
        <v>42</v>
      </c>
      <c r="B176" s="134" t="s">
        <v>300</v>
      </c>
      <c r="C176" s="138" t="s">
        <v>302</v>
      </c>
      <c r="D176" s="158" t="s">
        <v>401</v>
      </c>
      <c r="E176" s="157"/>
    </row>
    <row r="177" spans="1:5" ht="20.100000000000001" customHeight="1">
      <c r="A177" s="168">
        <v>43</v>
      </c>
      <c r="B177" s="133" t="s">
        <v>301</v>
      </c>
      <c r="C177" s="138" t="s">
        <v>302</v>
      </c>
      <c r="D177" s="158" t="s">
        <v>303</v>
      </c>
      <c r="E177" s="157"/>
    </row>
    <row r="178" spans="1:5" ht="20.100000000000001" customHeight="1">
      <c r="A178" s="168">
        <v>44</v>
      </c>
      <c r="B178" s="133" t="s">
        <v>304</v>
      </c>
      <c r="C178" s="138" t="s">
        <v>305</v>
      </c>
      <c r="D178" s="158" t="s">
        <v>306</v>
      </c>
      <c r="E178" s="157"/>
    </row>
    <row r="179" spans="1:5" ht="20.100000000000001" customHeight="1">
      <c r="A179" s="168">
        <v>45</v>
      </c>
      <c r="B179" s="133" t="s">
        <v>307</v>
      </c>
      <c r="C179" s="138" t="s">
        <v>305</v>
      </c>
      <c r="D179" s="158" t="s">
        <v>306</v>
      </c>
      <c r="E179" s="157"/>
    </row>
    <row r="180" spans="1:5" ht="20.100000000000001" customHeight="1">
      <c r="A180" s="168">
        <v>46</v>
      </c>
      <c r="B180" s="133" t="s">
        <v>308</v>
      </c>
      <c r="C180" s="138" t="s">
        <v>305</v>
      </c>
      <c r="D180" s="158" t="s">
        <v>306</v>
      </c>
      <c r="E180" s="157"/>
    </row>
    <row r="181" spans="1:5" ht="20.100000000000001" customHeight="1">
      <c r="A181" s="168">
        <v>47</v>
      </c>
      <c r="B181" s="133" t="s">
        <v>309</v>
      </c>
      <c r="C181" s="138" t="s">
        <v>305</v>
      </c>
      <c r="D181" s="158" t="s">
        <v>306</v>
      </c>
      <c r="E181" s="157"/>
    </row>
    <row r="182" spans="1:5" ht="20.100000000000001" customHeight="1">
      <c r="A182" s="168">
        <v>48</v>
      </c>
      <c r="B182" s="133" t="s">
        <v>310</v>
      </c>
      <c r="C182" s="138" t="s">
        <v>305</v>
      </c>
      <c r="D182" s="158" t="s">
        <v>306</v>
      </c>
      <c r="E182" s="157"/>
    </row>
    <row r="183" spans="1:5" ht="20.100000000000001" customHeight="1">
      <c r="A183" s="168">
        <v>49</v>
      </c>
      <c r="B183" s="134" t="s">
        <v>311</v>
      </c>
      <c r="C183" s="138" t="s">
        <v>305</v>
      </c>
      <c r="D183" s="158" t="s">
        <v>306</v>
      </c>
      <c r="E183" s="157"/>
    </row>
    <row r="184" spans="1:5" ht="20.100000000000001" customHeight="1">
      <c r="A184" s="168">
        <v>50</v>
      </c>
      <c r="B184" s="134" t="s">
        <v>312</v>
      </c>
      <c r="C184" s="138" t="s">
        <v>305</v>
      </c>
      <c r="D184" s="158" t="s">
        <v>306</v>
      </c>
      <c r="E184" s="157"/>
    </row>
    <row r="185" spans="1:5" ht="20.100000000000001" customHeight="1">
      <c r="A185" s="168">
        <v>51</v>
      </c>
      <c r="B185" s="133" t="s">
        <v>313</v>
      </c>
      <c r="C185" s="138" t="s">
        <v>302</v>
      </c>
      <c r="D185" s="158" t="s">
        <v>306</v>
      </c>
      <c r="E185" s="157"/>
    </row>
    <row r="186" spans="1:5" ht="20.100000000000001" customHeight="1">
      <c r="A186" s="168">
        <v>52</v>
      </c>
      <c r="B186" s="133" t="s">
        <v>314</v>
      </c>
      <c r="C186" s="138" t="s">
        <v>302</v>
      </c>
      <c r="D186" s="158" t="s">
        <v>306</v>
      </c>
      <c r="E186" s="157"/>
    </row>
    <row r="187" spans="1:5" ht="20.100000000000001" customHeight="1">
      <c r="A187" s="168">
        <v>53</v>
      </c>
      <c r="B187" s="134" t="s">
        <v>315</v>
      </c>
      <c r="C187" s="138" t="s">
        <v>305</v>
      </c>
      <c r="D187" s="158" t="s">
        <v>420</v>
      </c>
      <c r="E187" s="157"/>
    </row>
    <row r="188" spans="1:5" ht="20.100000000000001" customHeight="1">
      <c r="A188" s="168">
        <v>54</v>
      </c>
      <c r="B188" s="134" t="s">
        <v>318</v>
      </c>
      <c r="C188" s="138" t="s">
        <v>305</v>
      </c>
      <c r="D188" s="158" t="s">
        <v>319</v>
      </c>
      <c r="E188" s="157"/>
    </row>
    <row r="189" spans="1:5" ht="20.100000000000001" customHeight="1">
      <c r="A189" s="168"/>
      <c r="B189" s="154" t="s">
        <v>91</v>
      </c>
      <c r="C189" s="170" t="s">
        <v>579</v>
      </c>
      <c r="D189" s="21"/>
      <c r="E189" s="157"/>
    </row>
    <row r="190" spans="1:5" ht="32.25" customHeight="1">
      <c r="A190" s="19"/>
      <c r="B190" s="171" t="s">
        <v>330</v>
      </c>
      <c r="C190" s="172">
        <f>C35+C40+C55+C60+C76+C84+C97+C104+C114+C132+C189</f>
        <v>147</v>
      </c>
      <c r="D190" s="173"/>
      <c r="E190" s="157"/>
    </row>
    <row r="191" spans="1:5" ht="20.100000000000001" customHeight="1">
      <c r="B191" s="175"/>
      <c r="D191" s="176"/>
      <c r="E191" s="179"/>
    </row>
    <row r="192" spans="1:5" ht="65.25" customHeight="1">
      <c r="B192" s="175"/>
      <c r="C192" s="176"/>
      <c r="D192" s="176"/>
    </row>
  </sheetData>
  <mergeCells count="2">
    <mergeCell ref="A1:D1"/>
    <mergeCell ref="A2:D2"/>
  </mergeCells>
  <pageMargins left="0.23622047244094491" right="0.23622047244094491" top="0.98425196850393704" bottom="0.98425196850393704" header="0.51181102362204722" footer="0.51181102362204722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Private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CMH</dc:creator>
  <cp:keywords/>
  <dc:description/>
  <cp:lastModifiedBy>Hazeemmh Muhammed</cp:lastModifiedBy>
  <cp:revision/>
  <dcterms:created xsi:type="dcterms:W3CDTF">2008-06-27T10:36:45Z</dcterms:created>
  <dcterms:modified xsi:type="dcterms:W3CDTF">2025-09-03T11:11:45Z</dcterms:modified>
  <cp:category/>
  <cp:contentStatus/>
</cp:coreProperties>
</file>