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25c3a878cf0ca188/Desktop/Payroll_System_App/"/>
    </mc:Choice>
  </mc:AlternateContent>
  <xr:revisionPtr revIDLastSave="0" documentId="8_{C5795CE3-FCCB-4427-A4DB-4EFC557BD8D3}" xr6:coauthVersionLast="47" xr6:coauthVersionMax="47" xr10:uidLastSave="{00000000-0000-0000-0000-000000000000}"/>
  <bookViews>
    <workbookView xWindow="2010" yWindow="945" windowWidth="26790" windowHeight="15255" xr2:uid="{8A1E36A8-C53F-4ECC-94DF-BDB2E43F77CC}"/>
  </bookViews>
  <sheets>
    <sheet name="July, 2022" sheetId="1" r:id="rId1"/>
  </sheets>
  <externalReferences>
    <externalReference r:id="rId2"/>
    <externalReference r:id="rId3"/>
    <externalReference r:id="rId4"/>
    <externalReference r:id="rId5"/>
  </externalReferences>
  <definedNames>
    <definedName name="_xlnm.Print_Area" localSheetId="0">'July, 2022'!$A$1:$Z$200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7" i="1" l="1"/>
  <c r="Y196" i="1"/>
  <c r="P196" i="1"/>
  <c r="T195" i="1"/>
  <c r="X195" i="1" s="1"/>
  <c r="Q195" i="1"/>
  <c r="O195" i="1"/>
  <c r="N195" i="1"/>
  <c r="L195" i="1"/>
  <c r="K195" i="1"/>
  <c r="J195" i="1"/>
  <c r="H195" i="1"/>
  <c r="G195" i="1"/>
  <c r="R195" i="1" s="1"/>
  <c r="Z195" i="1" s="1"/>
  <c r="U194" i="1"/>
  <c r="T194" i="1"/>
  <c r="Q194" i="1"/>
  <c r="O194" i="1"/>
  <c r="N194" i="1"/>
  <c r="L194" i="1"/>
  <c r="K194" i="1"/>
  <c r="J194" i="1"/>
  <c r="H194" i="1"/>
  <c r="G194" i="1"/>
  <c r="X193" i="1"/>
  <c r="U193" i="1"/>
  <c r="T193" i="1"/>
  <c r="Q193" i="1"/>
  <c r="O193" i="1"/>
  <c r="N193" i="1"/>
  <c r="L193" i="1"/>
  <c r="K193" i="1"/>
  <c r="J193" i="1"/>
  <c r="H193" i="1"/>
  <c r="G193" i="1"/>
  <c r="X192" i="1"/>
  <c r="U192" i="1"/>
  <c r="T192" i="1"/>
  <c r="Q192" i="1"/>
  <c r="O192" i="1"/>
  <c r="N192" i="1"/>
  <c r="L192" i="1"/>
  <c r="K192" i="1"/>
  <c r="J192" i="1"/>
  <c r="H192" i="1"/>
  <c r="G192" i="1"/>
  <c r="R192" i="1" s="1"/>
  <c r="Z192" i="1" s="1"/>
  <c r="U191" i="1"/>
  <c r="X191" i="1" s="1"/>
  <c r="T191" i="1"/>
  <c r="Q191" i="1"/>
  <c r="O191" i="1"/>
  <c r="N191" i="1"/>
  <c r="L191" i="1"/>
  <c r="K191" i="1"/>
  <c r="J191" i="1"/>
  <c r="H191" i="1"/>
  <c r="G191" i="1"/>
  <c r="R191" i="1" s="1"/>
  <c r="Z191" i="1" s="1"/>
  <c r="T190" i="1"/>
  <c r="X190" i="1" s="1"/>
  <c r="Q190" i="1"/>
  <c r="O190" i="1"/>
  <c r="N190" i="1"/>
  <c r="L190" i="1"/>
  <c r="K190" i="1"/>
  <c r="J190" i="1"/>
  <c r="H190" i="1"/>
  <c r="G190" i="1"/>
  <c r="R190" i="1" s="1"/>
  <c r="Z190" i="1" s="1"/>
  <c r="U189" i="1"/>
  <c r="T189" i="1"/>
  <c r="Q189" i="1"/>
  <c r="O189" i="1"/>
  <c r="N189" i="1"/>
  <c r="L189" i="1"/>
  <c r="K189" i="1"/>
  <c r="J189" i="1"/>
  <c r="H189" i="1"/>
  <c r="G189" i="1"/>
  <c r="R189" i="1" s="1"/>
  <c r="X188" i="1"/>
  <c r="U188" i="1"/>
  <c r="T188" i="1"/>
  <c r="Q188" i="1"/>
  <c r="O188" i="1"/>
  <c r="N188" i="1"/>
  <c r="L188" i="1"/>
  <c r="K188" i="1"/>
  <c r="J188" i="1"/>
  <c r="H188" i="1"/>
  <c r="G188" i="1"/>
  <c r="X187" i="1"/>
  <c r="U187" i="1"/>
  <c r="T187" i="1"/>
  <c r="Q187" i="1"/>
  <c r="O187" i="1"/>
  <c r="N187" i="1"/>
  <c r="L187" i="1"/>
  <c r="K187" i="1"/>
  <c r="J187" i="1"/>
  <c r="H187" i="1"/>
  <c r="G187" i="1"/>
  <c r="R187" i="1" s="1"/>
  <c r="Z187" i="1" s="1"/>
  <c r="U186" i="1"/>
  <c r="X186" i="1" s="1"/>
  <c r="T186" i="1"/>
  <c r="Q186" i="1"/>
  <c r="O186" i="1"/>
  <c r="N186" i="1"/>
  <c r="L186" i="1"/>
  <c r="K186" i="1"/>
  <c r="J186" i="1"/>
  <c r="H186" i="1"/>
  <c r="G186" i="1"/>
  <c r="R186" i="1" s="1"/>
  <c r="Z186" i="1" s="1"/>
  <c r="U185" i="1"/>
  <c r="X185" i="1" s="1"/>
  <c r="T185" i="1"/>
  <c r="Q185" i="1"/>
  <c r="O185" i="1"/>
  <c r="N185" i="1"/>
  <c r="L185" i="1"/>
  <c r="K185" i="1"/>
  <c r="J185" i="1"/>
  <c r="H185" i="1"/>
  <c r="G185" i="1"/>
  <c r="U184" i="1"/>
  <c r="X184" i="1" s="1"/>
  <c r="T184" i="1"/>
  <c r="Q184" i="1"/>
  <c r="O184" i="1"/>
  <c r="N184" i="1"/>
  <c r="L184" i="1"/>
  <c r="K184" i="1"/>
  <c r="J184" i="1"/>
  <c r="H184" i="1"/>
  <c r="G184" i="1"/>
  <c r="R184" i="1" s="1"/>
  <c r="W183" i="1"/>
  <c r="U183" i="1"/>
  <c r="T183" i="1"/>
  <c r="X183" i="1" s="1"/>
  <c r="Q183" i="1"/>
  <c r="O183" i="1"/>
  <c r="N183" i="1"/>
  <c r="L183" i="1"/>
  <c r="K183" i="1"/>
  <c r="J183" i="1"/>
  <c r="H183" i="1"/>
  <c r="G183" i="1"/>
  <c r="R183" i="1" s="1"/>
  <c r="Z183" i="1" s="1"/>
  <c r="U182" i="1"/>
  <c r="T182" i="1"/>
  <c r="Q182" i="1"/>
  <c r="O182" i="1"/>
  <c r="N182" i="1"/>
  <c r="L182" i="1"/>
  <c r="K182" i="1"/>
  <c r="J182" i="1"/>
  <c r="H182" i="1"/>
  <c r="G182" i="1"/>
  <c r="R182" i="1" s="1"/>
  <c r="U181" i="1"/>
  <c r="X181" i="1" s="1"/>
  <c r="T181" i="1"/>
  <c r="Q181" i="1"/>
  <c r="O181" i="1"/>
  <c r="N181" i="1"/>
  <c r="L181" i="1"/>
  <c r="K181" i="1"/>
  <c r="J181" i="1"/>
  <c r="H181" i="1"/>
  <c r="G181" i="1"/>
  <c r="X180" i="1"/>
  <c r="U180" i="1"/>
  <c r="T180" i="1"/>
  <c r="Q180" i="1"/>
  <c r="O180" i="1"/>
  <c r="N180" i="1"/>
  <c r="L180" i="1"/>
  <c r="K180" i="1"/>
  <c r="J180" i="1"/>
  <c r="H180" i="1"/>
  <c r="G180" i="1"/>
  <c r="R180" i="1" s="1"/>
  <c r="Z180" i="1" s="1"/>
  <c r="U179" i="1"/>
  <c r="T179" i="1"/>
  <c r="Q179" i="1"/>
  <c r="O179" i="1"/>
  <c r="N179" i="1"/>
  <c r="L179" i="1"/>
  <c r="K179" i="1"/>
  <c r="J179" i="1"/>
  <c r="H179" i="1"/>
  <c r="G179" i="1"/>
  <c r="R179" i="1" s="1"/>
  <c r="U178" i="1"/>
  <c r="X178" i="1" s="1"/>
  <c r="T178" i="1"/>
  <c r="Q178" i="1"/>
  <c r="O178" i="1"/>
  <c r="N178" i="1"/>
  <c r="L178" i="1"/>
  <c r="K178" i="1"/>
  <c r="J178" i="1"/>
  <c r="H178" i="1"/>
  <c r="G178" i="1"/>
  <c r="U177" i="1"/>
  <c r="X177" i="1" s="1"/>
  <c r="T177" i="1"/>
  <c r="Q177" i="1"/>
  <c r="O177" i="1"/>
  <c r="N177" i="1"/>
  <c r="L177" i="1"/>
  <c r="K177" i="1"/>
  <c r="J177" i="1"/>
  <c r="H177" i="1"/>
  <c r="G177" i="1"/>
  <c r="R177" i="1" s="1"/>
  <c r="X176" i="1"/>
  <c r="U176" i="1"/>
  <c r="T176" i="1"/>
  <c r="Q176" i="1"/>
  <c r="O176" i="1"/>
  <c r="N176" i="1"/>
  <c r="L176" i="1"/>
  <c r="K176" i="1"/>
  <c r="J176" i="1"/>
  <c r="H176" i="1"/>
  <c r="G176" i="1"/>
  <c r="R176" i="1" s="1"/>
  <c r="Z176" i="1" s="1"/>
  <c r="U175" i="1"/>
  <c r="X175" i="1" s="1"/>
  <c r="T175" i="1"/>
  <c r="Q175" i="1"/>
  <c r="O175" i="1"/>
  <c r="N175" i="1"/>
  <c r="L175" i="1"/>
  <c r="K175" i="1"/>
  <c r="J175" i="1"/>
  <c r="H175" i="1"/>
  <c r="G175" i="1"/>
  <c r="R175" i="1" s="1"/>
  <c r="Z175" i="1" s="1"/>
  <c r="U174" i="1"/>
  <c r="T174" i="1"/>
  <c r="Q174" i="1"/>
  <c r="O174" i="1"/>
  <c r="N174" i="1"/>
  <c r="L174" i="1"/>
  <c r="K174" i="1"/>
  <c r="J174" i="1"/>
  <c r="H174" i="1"/>
  <c r="G174" i="1"/>
  <c r="R174" i="1" s="1"/>
  <c r="U173" i="1"/>
  <c r="X173" i="1" s="1"/>
  <c r="T173" i="1"/>
  <c r="Q173" i="1"/>
  <c r="O173" i="1"/>
  <c r="N173" i="1"/>
  <c r="L173" i="1"/>
  <c r="K173" i="1"/>
  <c r="J173" i="1"/>
  <c r="H173" i="1"/>
  <c r="G173" i="1"/>
  <c r="V172" i="1"/>
  <c r="U172" i="1"/>
  <c r="T172" i="1"/>
  <c r="X172" i="1" s="1"/>
  <c r="Q172" i="1"/>
  <c r="O172" i="1"/>
  <c r="N172" i="1"/>
  <c r="L172" i="1"/>
  <c r="K172" i="1"/>
  <c r="J172" i="1"/>
  <c r="H172" i="1"/>
  <c r="G172" i="1"/>
  <c r="R172" i="1" s="1"/>
  <c r="Z172" i="1" s="1"/>
  <c r="U171" i="1"/>
  <c r="X171" i="1" s="1"/>
  <c r="Q171" i="1"/>
  <c r="O171" i="1"/>
  <c r="N171" i="1"/>
  <c r="L171" i="1"/>
  <c r="K171" i="1"/>
  <c r="J171" i="1"/>
  <c r="H171" i="1"/>
  <c r="G171" i="1"/>
  <c r="R171" i="1" s="1"/>
  <c r="Z171" i="1" s="1"/>
  <c r="U170" i="1"/>
  <c r="X170" i="1" s="1"/>
  <c r="T170" i="1"/>
  <c r="Q170" i="1"/>
  <c r="O170" i="1"/>
  <c r="N170" i="1"/>
  <c r="L170" i="1"/>
  <c r="K170" i="1"/>
  <c r="J170" i="1"/>
  <c r="H170" i="1"/>
  <c r="G170" i="1"/>
  <c r="U169" i="1"/>
  <c r="X169" i="1" s="1"/>
  <c r="T169" i="1"/>
  <c r="Q169" i="1"/>
  <c r="O169" i="1"/>
  <c r="N169" i="1"/>
  <c r="L169" i="1"/>
  <c r="K169" i="1"/>
  <c r="J169" i="1"/>
  <c r="H169" i="1"/>
  <c r="G169" i="1"/>
  <c r="R169" i="1" s="1"/>
  <c r="X168" i="1"/>
  <c r="U168" i="1"/>
  <c r="T168" i="1"/>
  <c r="Q168" i="1"/>
  <c r="O168" i="1"/>
  <c r="N168" i="1"/>
  <c r="L168" i="1"/>
  <c r="K168" i="1"/>
  <c r="J168" i="1"/>
  <c r="H168" i="1"/>
  <c r="G168" i="1"/>
  <c r="R168" i="1" s="1"/>
  <c r="Z168" i="1" s="1"/>
  <c r="V167" i="1"/>
  <c r="U167" i="1"/>
  <c r="T167" i="1"/>
  <c r="Q167" i="1"/>
  <c r="Q196" i="1" s="1"/>
  <c r="O167" i="1"/>
  <c r="N167" i="1"/>
  <c r="L167" i="1"/>
  <c r="K167" i="1"/>
  <c r="J167" i="1"/>
  <c r="H167" i="1"/>
  <c r="G167" i="1"/>
  <c r="R167" i="1" s="1"/>
  <c r="X166" i="1"/>
  <c r="V166" i="1"/>
  <c r="U166" i="1"/>
  <c r="T166" i="1"/>
  <c r="O166" i="1"/>
  <c r="N166" i="1"/>
  <c r="L166" i="1"/>
  <c r="K166" i="1"/>
  <c r="R166" i="1" s="1"/>
  <c r="Z166" i="1" s="1"/>
  <c r="J166" i="1"/>
  <c r="H166" i="1"/>
  <c r="G166" i="1"/>
  <c r="F166" i="1"/>
  <c r="F196" i="1" s="1"/>
  <c r="V165" i="1"/>
  <c r="X165" i="1" s="1"/>
  <c r="O165" i="1"/>
  <c r="R165" i="1" s="1"/>
  <c r="Z165" i="1" s="1"/>
  <c r="N165" i="1"/>
  <c r="L165" i="1"/>
  <c r="K165" i="1"/>
  <c r="J165" i="1"/>
  <c r="H165" i="1"/>
  <c r="G165" i="1"/>
  <c r="X164" i="1"/>
  <c r="V164" i="1"/>
  <c r="O164" i="1"/>
  <c r="N164" i="1"/>
  <c r="L164" i="1"/>
  <c r="K164" i="1"/>
  <c r="J164" i="1"/>
  <c r="H164" i="1"/>
  <c r="G164" i="1"/>
  <c r="V163" i="1"/>
  <c r="X163" i="1" s="1"/>
  <c r="T163" i="1"/>
  <c r="O163" i="1"/>
  <c r="N163" i="1"/>
  <c r="L163" i="1"/>
  <c r="K163" i="1"/>
  <c r="J163" i="1"/>
  <c r="H163" i="1"/>
  <c r="G163" i="1"/>
  <c r="V162" i="1"/>
  <c r="X162" i="1" s="1"/>
  <c r="U162" i="1"/>
  <c r="T162" i="1"/>
  <c r="O162" i="1"/>
  <c r="R162" i="1" s="1"/>
  <c r="N162" i="1"/>
  <c r="L162" i="1"/>
  <c r="K162" i="1"/>
  <c r="J162" i="1"/>
  <c r="H162" i="1"/>
  <c r="G162" i="1"/>
  <c r="X161" i="1"/>
  <c r="W161" i="1"/>
  <c r="U161" i="1"/>
  <c r="T161" i="1"/>
  <c r="O161" i="1"/>
  <c r="N161" i="1"/>
  <c r="L161" i="1"/>
  <c r="K161" i="1"/>
  <c r="R161" i="1" s="1"/>
  <c r="Z161" i="1" s="1"/>
  <c r="J161" i="1"/>
  <c r="H161" i="1"/>
  <c r="G161" i="1"/>
  <c r="Z160" i="1"/>
  <c r="X160" i="1"/>
  <c r="O160" i="1"/>
  <c r="N160" i="1"/>
  <c r="L160" i="1"/>
  <c r="K160" i="1"/>
  <c r="J160" i="1"/>
  <c r="H160" i="1"/>
  <c r="R160" i="1" s="1"/>
  <c r="G160" i="1"/>
  <c r="V159" i="1"/>
  <c r="X159" i="1" s="1"/>
  <c r="U159" i="1"/>
  <c r="T159" i="1"/>
  <c r="O159" i="1"/>
  <c r="N159" i="1"/>
  <c r="L159" i="1"/>
  <c r="K159" i="1"/>
  <c r="J159" i="1"/>
  <c r="R159" i="1" s="1"/>
  <c r="Z159" i="1" s="1"/>
  <c r="H159" i="1"/>
  <c r="G159" i="1"/>
  <c r="X158" i="1"/>
  <c r="U158" i="1"/>
  <c r="T158" i="1"/>
  <c r="O158" i="1"/>
  <c r="N158" i="1"/>
  <c r="L158" i="1"/>
  <c r="K158" i="1"/>
  <c r="J158" i="1"/>
  <c r="R158" i="1" s="1"/>
  <c r="Z158" i="1" s="1"/>
  <c r="H158" i="1"/>
  <c r="G158" i="1"/>
  <c r="X157" i="1"/>
  <c r="O157" i="1"/>
  <c r="N157" i="1"/>
  <c r="L157" i="1"/>
  <c r="K157" i="1"/>
  <c r="J157" i="1"/>
  <c r="H157" i="1"/>
  <c r="G157" i="1"/>
  <c r="X156" i="1"/>
  <c r="N156" i="1"/>
  <c r="K156" i="1"/>
  <c r="E156" i="1"/>
  <c r="W155" i="1"/>
  <c r="X155" i="1" s="1"/>
  <c r="N155" i="1"/>
  <c r="K155" i="1"/>
  <c r="E155" i="1"/>
  <c r="E196" i="1" s="1"/>
  <c r="X154" i="1"/>
  <c r="O154" i="1"/>
  <c r="N154" i="1"/>
  <c r="L154" i="1"/>
  <c r="K154" i="1"/>
  <c r="J154" i="1"/>
  <c r="H154" i="1"/>
  <c r="R154" i="1" s="1"/>
  <c r="Z154" i="1" s="1"/>
  <c r="G154" i="1"/>
  <c r="X153" i="1"/>
  <c r="V153" i="1"/>
  <c r="U153" i="1"/>
  <c r="T153" i="1"/>
  <c r="O153" i="1"/>
  <c r="N153" i="1"/>
  <c r="L153" i="1"/>
  <c r="K153" i="1"/>
  <c r="R153" i="1" s="1"/>
  <c r="Z153" i="1" s="1"/>
  <c r="J153" i="1"/>
  <c r="H153" i="1"/>
  <c r="G153" i="1"/>
  <c r="X152" i="1"/>
  <c r="U152" i="1"/>
  <c r="T152" i="1"/>
  <c r="O152" i="1"/>
  <c r="N152" i="1"/>
  <c r="L152" i="1"/>
  <c r="K152" i="1"/>
  <c r="R152" i="1" s="1"/>
  <c r="Z152" i="1" s="1"/>
  <c r="J152" i="1"/>
  <c r="H152" i="1"/>
  <c r="G152" i="1"/>
  <c r="X151" i="1"/>
  <c r="V151" i="1"/>
  <c r="U151" i="1"/>
  <c r="O151" i="1"/>
  <c r="N151" i="1"/>
  <c r="L151" i="1"/>
  <c r="K151" i="1"/>
  <c r="R151" i="1" s="1"/>
  <c r="Z151" i="1" s="1"/>
  <c r="J151" i="1"/>
  <c r="H151" i="1"/>
  <c r="G151" i="1"/>
  <c r="W150" i="1"/>
  <c r="V150" i="1"/>
  <c r="U150" i="1"/>
  <c r="X150" i="1" s="1"/>
  <c r="T150" i="1"/>
  <c r="O150" i="1"/>
  <c r="N150" i="1"/>
  <c r="L150" i="1"/>
  <c r="K150" i="1"/>
  <c r="J150" i="1"/>
  <c r="H150" i="1"/>
  <c r="G150" i="1"/>
  <c r="R150" i="1" s="1"/>
  <c r="Z150" i="1" s="1"/>
  <c r="U149" i="1"/>
  <c r="X149" i="1" s="1"/>
  <c r="T149" i="1"/>
  <c r="O149" i="1"/>
  <c r="N149" i="1"/>
  <c r="L149" i="1"/>
  <c r="K149" i="1"/>
  <c r="J149" i="1"/>
  <c r="H149" i="1"/>
  <c r="G149" i="1"/>
  <c r="U148" i="1"/>
  <c r="X148" i="1" s="1"/>
  <c r="T148" i="1"/>
  <c r="O148" i="1"/>
  <c r="N148" i="1"/>
  <c r="L148" i="1"/>
  <c r="K148" i="1"/>
  <c r="J148" i="1"/>
  <c r="H148" i="1"/>
  <c r="G148" i="1"/>
  <c r="U147" i="1"/>
  <c r="X147" i="1" s="1"/>
  <c r="O147" i="1"/>
  <c r="N147" i="1"/>
  <c r="L147" i="1"/>
  <c r="K147" i="1"/>
  <c r="R147" i="1" s="1"/>
  <c r="Z147" i="1" s="1"/>
  <c r="J147" i="1"/>
  <c r="H147" i="1"/>
  <c r="G147" i="1"/>
  <c r="W146" i="1"/>
  <c r="V146" i="1"/>
  <c r="U146" i="1"/>
  <c r="O146" i="1"/>
  <c r="N146" i="1"/>
  <c r="L146" i="1"/>
  <c r="K146" i="1"/>
  <c r="J146" i="1"/>
  <c r="H146" i="1"/>
  <c r="G146" i="1"/>
  <c r="W145" i="1"/>
  <c r="U145" i="1"/>
  <c r="T145" i="1"/>
  <c r="O145" i="1"/>
  <c r="L145" i="1"/>
  <c r="K145" i="1"/>
  <c r="J145" i="1"/>
  <c r="H145" i="1"/>
  <c r="G145" i="1"/>
  <c r="V144" i="1"/>
  <c r="X144" i="1" s="1"/>
  <c r="U144" i="1"/>
  <c r="T144" i="1"/>
  <c r="O144" i="1"/>
  <c r="L144" i="1"/>
  <c r="K144" i="1"/>
  <c r="J144" i="1"/>
  <c r="H144" i="1"/>
  <c r="G144" i="1"/>
  <c r="R144" i="1" s="1"/>
  <c r="Z144" i="1" s="1"/>
  <c r="V143" i="1"/>
  <c r="U143" i="1"/>
  <c r="O143" i="1"/>
  <c r="L143" i="1"/>
  <c r="K143" i="1"/>
  <c r="J143" i="1"/>
  <c r="H143" i="1"/>
  <c r="G143" i="1"/>
  <c r="R143" i="1" s="1"/>
  <c r="X142" i="1"/>
  <c r="O142" i="1"/>
  <c r="L142" i="1"/>
  <c r="K142" i="1"/>
  <c r="J142" i="1"/>
  <c r="H142" i="1"/>
  <c r="G142" i="1"/>
  <c r="R142" i="1" s="1"/>
  <c r="Z142" i="1" s="1"/>
  <c r="V141" i="1"/>
  <c r="X141" i="1" s="1"/>
  <c r="T141" i="1"/>
  <c r="O141" i="1"/>
  <c r="L141" i="1"/>
  <c r="K141" i="1"/>
  <c r="J141" i="1"/>
  <c r="H141" i="1"/>
  <c r="G141" i="1"/>
  <c r="R141" i="1" s="1"/>
  <c r="Z141" i="1" s="1"/>
  <c r="W140" i="1"/>
  <c r="U140" i="1"/>
  <c r="T140" i="1"/>
  <c r="T196" i="1" s="1"/>
  <c r="O140" i="1"/>
  <c r="N140" i="1"/>
  <c r="L140" i="1"/>
  <c r="K140" i="1"/>
  <c r="J140" i="1"/>
  <c r="H140" i="1"/>
  <c r="G140" i="1"/>
  <c r="W139" i="1"/>
  <c r="X139" i="1" s="1"/>
  <c r="U139" i="1"/>
  <c r="T139" i="1"/>
  <c r="O139" i="1"/>
  <c r="N139" i="1"/>
  <c r="N196" i="1" s="1"/>
  <c r="L139" i="1"/>
  <c r="K139" i="1"/>
  <c r="J139" i="1"/>
  <c r="I139" i="1"/>
  <c r="I196" i="1" s="1"/>
  <c r="H139" i="1"/>
  <c r="G139" i="1"/>
  <c r="X138" i="1"/>
  <c r="V138" i="1"/>
  <c r="V196" i="1" s="1"/>
  <c r="U138" i="1"/>
  <c r="O138" i="1"/>
  <c r="N138" i="1"/>
  <c r="L138" i="1"/>
  <c r="K138" i="1"/>
  <c r="J138" i="1"/>
  <c r="R138" i="1" s="1"/>
  <c r="H138" i="1"/>
  <c r="G138" i="1"/>
  <c r="Y135" i="1"/>
  <c r="Q135" i="1"/>
  <c r="P135" i="1"/>
  <c r="V134" i="1"/>
  <c r="U134" i="1"/>
  <c r="T134" i="1"/>
  <c r="X134" i="1" s="1"/>
  <c r="O134" i="1"/>
  <c r="N134" i="1"/>
  <c r="L134" i="1"/>
  <c r="R134" i="1" s="1"/>
  <c r="K134" i="1"/>
  <c r="J134" i="1"/>
  <c r="H134" i="1"/>
  <c r="G134" i="1"/>
  <c r="F134" i="1"/>
  <c r="F135" i="1" s="1"/>
  <c r="U133" i="1"/>
  <c r="X133" i="1" s="1"/>
  <c r="N133" i="1"/>
  <c r="G133" i="1"/>
  <c r="E133" i="1"/>
  <c r="W132" i="1"/>
  <c r="X132" i="1" s="1"/>
  <c r="T132" i="1"/>
  <c r="O132" i="1"/>
  <c r="N132" i="1"/>
  <c r="L132" i="1"/>
  <c r="K132" i="1"/>
  <c r="J132" i="1"/>
  <c r="H132" i="1"/>
  <c r="G132" i="1"/>
  <c r="R132" i="1" s="1"/>
  <c r="Z132" i="1" s="1"/>
  <c r="W131" i="1"/>
  <c r="V131" i="1"/>
  <c r="U131" i="1"/>
  <c r="T131" i="1"/>
  <c r="O131" i="1"/>
  <c r="N131" i="1"/>
  <c r="L131" i="1"/>
  <c r="K131" i="1"/>
  <c r="J131" i="1"/>
  <c r="R131" i="1" s="1"/>
  <c r="H131" i="1"/>
  <c r="G131" i="1"/>
  <c r="W130" i="1"/>
  <c r="V130" i="1"/>
  <c r="U130" i="1"/>
  <c r="U135" i="1" s="1"/>
  <c r="T130" i="1"/>
  <c r="X130" i="1" s="1"/>
  <c r="Q130" i="1"/>
  <c r="O130" i="1"/>
  <c r="N130" i="1"/>
  <c r="L130" i="1"/>
  <c r="K130" i="1"/>
  <c r="J130" i="1"/>
  <c r="H130" i="1"/>
  <c r="G130" i="1"/>
  <c r="R130" i="1" s="1"/>
  <c r="W129" i="1"/>
  <c r="X129" i="1" s="1"/>
  <c r="U129" i="1"/>
  <c r="T129" i="1"/>
  <c r="O129" i="1"/>
  <c r="N129" i="1"/>
  <c r="L129" i="1"/>
  <c r="K129" i="1"/>
  <c r="J129" i="1"/>
  <c r="R129" i="1" s="1"/>
  <c r="Z129" i="1" s="1"/>
  <c r="H129" i="1"/>
  <c r="G129" i="1"/>
  <c r="X128" i="1"/>
  <c r="W128" i="1"/>
  <c r="T128" i="1"/>
  <c r="O128" i="1"/>
  <c r="N128" i="1"/>
  <c r="L128" i="1"/>
  <c r="K128" i="1"/>
  <c r="J128" i="1"/>
  <c r="R128" i="1" s="1"/>
  <c r="Z128" i="1" s="1"/>
  <c r="H128" i="1"/>
  <c r="G128" i="1"/>
  <c r="X127" i="1"/>
  <c r="W127" i="1"/>
  <c r="V127" i="1"/>
  <c r="T127" i="1"/>
  <c r="Q127" i="1"/>
  <c r="O127" i="1"/>
  <c r="N127" i="1"/>
  <c r="L127" i="1"/>
  <c r="K127" i="1"/>
  <c r="J127" i="1"/>
  <c r="I127" i="1"/>
  <c r="I135" i="1" s="1"/>
  <c r="H127" i="1"/>
  <c r="R127" i="1" s="1"/>
  <c r="Z127" i="1" s="1"/>
  <c r="G127" i="1"/>
  <c r="X126" i="1"/>
  <c r="V126" i="1"/>
  <c r="U126" i="1"/>
  <c r="T126" i="1"/>
  <c r="O126" i="1"/>
  <c r="N126" i="1"/>
  <c r="L126" i="1"/>
  <c r="K126" i="1"/>
  <c r="R126" i="1" s="1"/>
  <c r="Z126" i="1" s="1"/>
  <c r="J126" i="1"/>
  <c r="H126" i="1"/>
  <c r="G126" i="1"/>
  <c r="W125" i="1"/>
  <c r="U125" i="1"/>
  <c r="T125" i="1"/>
  <c r="X125" i="1" s="1"/>
  <c r="Q125" i="1"/>
  <c r="O125" i="1"/>
  <c r="N125" i="1"/>
  <c r="N135" i="1" s="1"/>
  <c r="L125" i="1"/>
  <c r="K125" i="1"/>
  <c r="J125" i="1"/>
  <c r="H125" i="1"/>
  <c r="G125" i="1"/>
  <c r="R125" i="1" s="1"/>
  <c r="Z125" i="1" s="1"/>
  <c r="W124" i="1"/>
  <c r="V124" i="1"/>
  <c r="V135" i="1" s="1"/>
  <c r="U124" i="1"/>
  <c r="T124" i="1"/>
  <c r="O124" i="1"/>
  <c r="N124" i="1"/>
  <c r="L124" i="1"/>
  <c r="K124" i="1"/>
  <c r="J124" i="1"/>
  <c r="I124" i="1"/>
  <c r="H124" i="1"/>
  <c r="G124" i="1"/>
  <c r="R124" i="1" s="1"/>
  <c r="Y121" i="1"/>
  <c r="P121" i="1"/>
  <c r="I121" i="1"/>
  <c r="E121" i="1"/>
  <c r="X120" i="1"/>
  <c r="T120" i="1"/>
  <c r="Q120" i="1"/>
  <c r="O120" i="1"/>
  <c r="M120" i="1"/>
  <c r="L120" i="1"/>
  <c r="K120" i="1"/>
  <c r="J120" i="1"/>
  <c r="H120" i="1"/>
  <c r="G120" i="1"/>
  <c r="X119" i="1"/>
  <c r="T119" i="1"/>
  <c r="Q119" i="1"/>
  <c r="O119" i="1"/>
  <c r="M119" i="1"/>
  <c r="L119" i="1"/>
  <c r="K119" i="1"/>
  <c r="J119" i="1"/>
  <c r="H119" i="1"/>
  <c r="G119" i="1"/>
  <c r="X118" i="1"/>
  <c r="U118" i="1"/>
  <c r="Q118" i="1"/>
  <c r="O118" i="1"/>
  <c r="M118" i="1"/>
  <c r="L118" i="1"/>
  <c r="K118" i="1"/>
  <c r="J118" i="1"/>
  <c r="H118" i="1"/>
  <c r="G118" i="1"/>
  <c r="W117" i="1"/>
  <c r="U117" i="1"/>
  <c r="T117" i="1"/>
  <c r="X117" i="1" s="1"/>
  <c r="Q117" i="1"/>
  <c r="O117" i="1"/>
  <c r="M117" i="1"/>
  <c r="M121" i="1" s="1"/>
  <c r="L117" i="1"/>
  <c r="K117" i="1"/>
  <c r="J117" i="1"/>
  <c r="H117" i="1"/>
  <c r="H121" i="1" s="1"/>
  <c r="G117" i="1"/>
  <c r="R117" i="1" s="1"/>
  <c r="W116" i="1"/>
  <c r="X116" i="1" s="1"/>
  <c r="V116" i="1"/>
  <c r="V121" i="1" s="1"/>
  <c r="U116" i="1"/>
  <c r="Q116" i="1"/>
  <c r="Q121" i="1" s="1"/>
  <c r="O116" i="1"/>
  <c r="M116" i="1"/>
  <c r="L116" i="1"/>
  <c r="K116" i="1"/>
  <c r="J116" i="1"/>
  <c r="H116" i="1"/>
  <c r="G116" i="1"/>
  <c r="X115" i="1"/>
  <c r="V115" i="1"/>
  <c r="U115" i="1"/>
  <c r="U121" i="1" s="1"/>
  <c r="O115" i="1"/>
  <c r="M115" i="1"/>
  <c r="L115" i="1"/>
  <c r="K115" i="1"/>
  <c r="J115" i="1"/>
  <c r="H115" i="1"/>
  <c r="G115" i="1"/>
  <c r="R115" i="1" s="1"/>
  <c r="Z115" i="1" s="1"/>
  <c r="X114" i="1"/>
  <c r="W114" i="1"/>
  <c r="T114" i="1"/>
  <c r="T121" i="1" s="1"/>
  <c r="O114" i="1"/>
  <c r="O121" i="1" s="1"/>
  <c r="M114" i="1"/>
  <c r="L114" i="1"/>
  <c r="L121" i="1" s="1"/>
  <c r="K114" i="1"/>
  <c r="K121" i="1" s="1"/>
  <c r="J114" i="1"/>
  <c r="J121" i="1" s="1"/>
  <c r="H114" i="1"/>
  <c r="G114" i="1"/>
  <c r="G121" i="1" s="1"/>
  <c r="Q111" i="1"/>
  <c r="P111" i="1"/>
  <c r="I111" i="1"/>
  <c r="E111" i="1"/>
  <c r="U110" i="1"/>
  <c r="X110" i="1" s="1"/>
  <c r="T110" i="1"/>
  <c r="T111" i="1" s="1"/>
  <c r="O110" i="1"/>
  <c r="N110" i="1"/>
  <c r="L110" i="1"/>
  <c r="K110" i="1"/>
  <c r="J110" i="1"/>
  <c r="H110" i="1"/>
  <c r="G110" i="1"/>
  <c r="R110" i="1" s="1"/>
  <c r="X109" i="1"/>
  <c r="W109" i="1"/>
  <c r="O109" i="1"/>
  <c r="L109" i="1"/>
  <c r="K109" i="1"/>
  <c r="J109" i="1"/>
  <c r="H109" i="1"/>
  <c r="G109" i="1"/>
  <c r="R109" i="1" s="1"/>
  <c r="Z109" i="1" s="1"/>
  <c r="W108" i="1"/>
  <c r="V108" i="1"/>
  <c r="V111" i="1" s="1"/>
  <c r="O108" i="1"/>
  <c r="O111" i="1" s="1"/>
  <c r="N108" i="1"/>
  <c r="L108" i="1"/>
  <c r="L111" i="1" s="1"/>
  <c r="K108" i="1"/>
  <c r="J108" i="1"/>
  <c r="J111" i="1" s="1"/>
  <c r="H108" i="1"/>
  <c r="G108" i="1"/>
  <c r="G111" i="1" s="1"/>
  <c r="W107" i="1"/>
  <c r="W111" i="1" s="1"/>
  <c r="U107" i="1"/>
  <c r="U111" i="1" s="1"/>
  <c r="T107" i="1"/>
  <c r="O107" i="1"/>
  <c r="N107" i="1"/>
  <c r="N111" i="1" s="1"/>
  <c r="L107" i="1"/>
  <c r="K107" i="1"/>
  <c r="K111" i="1" s="1"/>
  <c r="J107" i="1"/>
  <c r="H107" i="1"/>
  <c r="R107" i="1" s="1"/>
  <c r="G107" i="1"/>
  <c r="Q104" i="1"/>
  <c r="P104" i="1"/>
  <c r="X103" i="1"/>
  <c r="Z103" i="1" s="1"/>
  <c r="R103" i="1"/>
  <c r="M103" i="1"/>
  <c r="X102" i="1"/>
  <c r="M102" i="1"/>
  <c r="E102" i="1"/>
  <c r="O102" i="1" s="1"/>
  <c r="W101" i="1"/>
  <c r="X101" i="1" s="1"/>
  <c r="M101" i="1"/>
  <c r="E101" i="1"/>
  <c r="W100" i="1"/>
  <c r="X100" i="1" s="1"/>
  <c r="T100" i="1"/>
  <c r="O100" i="1"/>
  <c r="M100" i="1"/>
  <c r="L100" i="1"/>
  <c r="K100" i="1"/>
  <c r="J100" i="1"/>
  <c r="H100" i="1"/>
  <c r="G100" i="1"/>
  <c r="R100" i="1" s="1"/>
  <c r="Z100" i="1" s="1"/>
  <c r="W99" i="1"/>
  <c r="X99" i="1" s="1"/>
  <c r="O99" i="1"/>
  <c r="M99" i="1"/>
  <c r="L99" i="1"/>
  <c r="K99" i="1"/>
  <c r="R99" i="1" s="1"/>
  <c r="Z99" i="1" s="1"/>
  <c r="J99" i="1"/>
  <c r="H99" i="1"/>
  <c r="G99" i="1"/>
  <c r="W98" i="1"/>
  <c r="X98" i="1" s="1"/>
  <c r="T98" i="1"/>
  <c r="O98" i="1"/>
  <c r="M98" i="1"/>
  <c r="L98" i="1"/>
  <c r="K98" i="1"/>
  <c r="R98" i="1" s="1"/>
  <c r="J98" i="1"/>
  <c r="H98" i="1"/>
  <c r="G98" i="1"/>
  <c r="W97" i="1"/>
  <c r="X97" i="1" s="1"/>
  <c r="O97" i="1"/>
  <c r="J97" i="1"/>
  <c r="H97" i="1"/>
  <c r="E97" i="1"/>
  <c r="X96" i="1"/>
  <c r="W96" i="1"/>
  <c r="U96" i="1"/>
  <c r="T96" i="1"/>
  <c r="O96" i="1"/>
  <c r="L96" i="1"/>
  <c r="K96" i="1"/>
  <c r="J96" i="1"/>
  <c r="R96" i="1" s="1"/>
  <c r="Z96" i="1" s="1"/>
  <c r="H96" i="1"/>
  <c r="G96" i="1"/>
  <c r="W95" i="1"/>
  <c r="V95" i="1"/>
  <c r="U95" i="1"/>
  <c r="T95" i="1"/>
  <c r="X95" i="1" s="1"/>
  <c r="O95" i="1"/>
  <c r="L95" i="1"/>
  <c r="K95" i="1"/>
  <c r="J95" i="1"/>
  <c r="H95" i="1"/>
  <c r="G95" i="1"/>
  <c r="R95" i="1" s="1"/>
  <c r="W94" i="1"/>
  <c r="X94" i="1" s="1"/>
  <c r="V94" i="1"/>
  <c r="V104" i="1" s="1"/>
  <c r="U94" i="1"/>
  <c r="U104" i="1" s="1"/>
  <c r="T94" i="1"/>
  <c r="O94" i="1"/>
  <c r="M94" i="1"/>
  <c r="L94" i="1"/>
  <c r="K94" i="1"/>
  <c r="J94" i="1"/>
  <c r="I94" i="1"/>
  <c r="H94" i="1"/>
  <c r="G94" i="1"/>
  <c r="R94" i="1" s="1"/>
  <c r="X93" i="1"/>
  <c r="W93" i="1"/>
  <c r="O93" i="1"/>
  <c r="M93" i="1"/>
  <c r="L93" i="1"/>
  <c r="K93" i="1"/>
  <c r="J93" i="1"/>
  <c r="I93" i="1"/>
  <c r="I104" i="1" s="1"/>
  <c r="H93" i="1"/>
  <c r="G93" i="1"/>
  <c r="R93" i="1" s="1"/>
  <c r="Z93" i="1" s="1"/>
  <c r="X92" i="1"/>
  <c r="W92" i="1"/>
  <c r="W104" i="1" s="1"/>
  <c r="O92" i="1"/>
  <c r="M92" i="1"/>
  <c r="M104" i="1" s="1"/>
  <c r="L92" i="1"/>
  <c r="K92" i="1"/>
  <c r="J92" i="1"/>
  <c r="H92" i="1"/>
  <c r="G92" i="1"/>
  <c r="W89" i="1"/>
  <c r="V89" i="1"/>
  <c r="Q89" i="1"/>
  <c r="P89" i="1"/>
  <c r="I89" i="1"/>
  <c r="E89" i="1"/>
  <c r="U88" i="1"/>
  <c r="X88" i="1" s="1"/>
  <c r="T88" i="1"/>
  <c r="T89" i="1" s="1"/>
  <c r="O88" i="1"/>
  <c r="M88" i="1"/>
  <c r="L88" i="1"/>
  <c r="K88" i="1"/>
  <c r="R88" i="1" s="1"/>
  <c r="Z88" i="1" s="1"/>
  <c r="J88" i="1"/>
  <c r="H88" i="1"/>
  <c r="G88" i="1"/>
  <c r="Z87" i="1"/>
  <c r="W87" i="1"/>
  <c r="X87" i="1" s="1"/>
  <c r="O87" i="1"/>
  <c r="M87" i="1"/>
  <c r="L87" i="1"/>
  <c r="K87" i="1"/>
  <c r="J87" i="1"/>
  <c r="R87" i="1" s="1"/>
  <c r="H87" i="1"/>
  <c r="G87" i="1"/>
  <c r="X86" i="1"/>
  <c r="W86" i="1"/>
  <c r="O86" i="1"/>
  <c r="M86" i="1"/>
  <c r="L86" i="1"/>
  <c r="K86" i="1"/>
  <c r="J86" i="1"/>
  <c r="H86" i="1"/>
  <c r="R86" i="1" s="1"/>
  <c r="Z86" i="1" s="1"/>
  <c r="G86" i="1"/>
  <c r="U85" i="1"/>
  <c r="O85" i="1"/>
  <c r="O89" i="1" s="1"/>
  <c r="M85" i="1"/>
  <c r="M89" i="1" s="1"/>
  <c r="L85" i="1"/>
  <c r="L89" i="1" s="1"/>
  <c r="K85" i="1"/>
  <c r="J85" i="1"/>
  <c r="J89" i="1" s="1"/>
  <c r="H85" i="1"/>
  <c r="H89" i="1" s="1"/>
  <c r="G85" i="1"/>
  <c r="Q82" i="1"/>
  <c r="P82" i="1"/>
  <c r="I82" i="1"/>
  <c r="X81" i="1"/>
  <c r="O81" i="1"/>
  <c r="M81" i="1"/>
  <c r="L81" i="1"/>
  <c r="K81" i="1"/>
  <c r="J81" i="1"/>
  <c r="H81" i="1"/>
  <c r="G81" i="1"/>
  <c r="U80" i="1"/>
  <c r="X80" i="1" s="1"/>
  <c r="T80" i="1"/>
  <c r="O80" i="1"/>
  <c r="M80" i="1"/>
  <c r="L80" i="1"/>
  <c r="J80" i="1"/>
  <c r="H80" i="1"/>
  <c r="G80" i="1"/>
  <c r="E80" i="1"/>
  <c r="T79" i="1"/>
  <c r="X79" i="1" s="1"/>
  <c r="O79" i="1"/>
  <c r="M79" i="1"/>
  <c r="L79" i="1"/>
  <c r="K79" i="1"/>
  <c r="J79" i="1"/>
  <c r="H79" i="1"/>
  <c r="G79" i="1"/>
  <c r="R79" i="1" s="1"/>
  <c r="X78" i="1"/>
  <c r="T78" i="1"/>
  <c r="O78" i="1"/>
  <c r="M78" i="1"/>
  <c r="L78" i="1"/>
  <c r="K78" i="1"/>
  <c r="R78" i="1" s="1"/>
  <c r="Z78" i="1" s="1"/>
  <c r="J78" i="1"/>
  <c r="H78" i="1"/>
  <c r="G78" i="1"/>
  <c r="W77" i="1"/>
  <c r="X77" i="1" s="1"/>
  <c r="O77" i="1"/>
  <c r="M77" i="1"/>
  <c r="L77" i="1"/>
  <c r="J77" i="1"/>
  <c r="G77" i="1"/>
  <c r="E77" i="1"/>
  <c r="H77" i="1" s="1"/>
  <c r="W76" i="1"/>
  <c r="X76" i="1" s="1"/>
  <c r="O76" i="1"/>
  <c r="M76" i="1"/>
  <c r="L76" i="1"/>
  <c r="J76" i="1"/>
  <c r="G76" i="1"/>
  <c r="E76" i="1"/>
  <c r="H76" i="1" s="1"/>
  <c r="W75" i="1"/>
  <c r="V75" i="1"/>
  <c r="U75" i="1"/>
  <c r="T75" i="1"/>
  <c r="M75" i="1"/>
  <c r="H75" i="1"/>
  <c r="E75" i="1"/>
  <c r="E82" i="1" s="1"/>
  <c r="X74" i="1"/>
  <c r="U74" i="1"/>
  <c r="T74" i="1"/>
  <c r="O74" i="1"/>
  <c r="M74" i="1"/>
  <c r="L74" i="1"/>
  <c r="K74" i="1"/>
  <c r="J74" i="1"/>
  <c r="H74" i="1"/>
  <c r="G74" i="1"/>
  <c r="X73" i="1"/>
  <c r="W73" i="1"/>
  <c r="U73" i="1"/>
  <c r="T73" i="1"/>
  <c r="O73" i="1"/>
  <c r="M73" i="1"/>
  <c r="L73" i="1"/>
  <c r="K73" i="1"/>
  <c r="R73" i="1" s="1"/>
  <c r="Z73" i="1" s="1"/>
  <c r="J73" i="1"/>
  <c r="H73" i="1"/>
  <c r="G73" i="1"/>
  <c r="V72" i="1"/>
  <c r="X72" i="1" s="1"/>
  <c r="U72" i="1"/>
  <c r="T72" i="1"/>
  <c r="O72" i="1"/>
  <c r="M72" i="1"/>
  <c r="L72" i="1"/>
  <c r="K72" i="1"/>
  <c r="J72" i="1"/>
  <c r="H72" i="1"/>
  <c r="G72" i="1"/>
  <c r="R72" i="1" s="1"/>
  <c r="Z72" i="1" s="1"/>
  <c r="W71" i="1"/>
  <c r="T71" i="1"/>
  <c r="X71" i="1" s="1"/>
  <c r="O71" i="1"/>
  <c r="M71" i="1"/>
  <c r="L71" i="1"/>
  <c r="K71" i="1"/>
  <c r="J71" i="1"/>
  <c r="H71" i="1"/>
  <c r="G71" i="1"/>
  <c r="R71" i="1" s="1"/>
  <c r="W70" i="1"/>
  <c r="U70" i="1"/>
  <c r="T70" i="1"/>
  <c r="O70" i="1"/>
  <c r="M70" i="1"/>
  <c r="L70" i="1"/>
  <c r="K70" i="1"/>
  <c r="J70" i="1"/>
  <c r="H70" i="1"/>
  <c r="R70" i="1" s="1"/>
  <c r="G70" i="1"/>
  <c r="W69" i="1"/>
  <c r="T69" i="1"/>
  <c r="O69" i="1"/>
  <c r="M69" i="1"/>
  <c r="M82" i="1" s="1"/>
  <c r="L69" i="1"/>
  <c r="K69" i="1"/>
  <c r="J69" i="1"/>
  <c r="I69" i="1"/>
  <c r="H69" i="1"/>
  <c r="H82" i="1" s="1"/>
  <c r="G69" i="1"/>
  <c r="V66" i="1"/>
  <c r="T66" i="1"/>
  <c r="Q66" i="1"/>
  <c r="P66" i="1"/>
  <c r="M66" i="1"/>
  <c r="K66" i="1"/>
  <c r="I66" i="1"/>
  <c r="G66" i="1"/>
  <c r="E66" i="1"/>
  <c r="W65" i="1"/>
  <c r="U65" i="1"/>
  <c r="U66" i="1" s="1"/>
  <c r="T65" i="1"/>
  <c r="O65" i="1"/>
  <c r="O66" i="1" s="1"/>
  <c r="N65" i="1"/>
  <c r="N66" i="1" s="1"/>
  <c r="L65" i="1"/>
  <c r="K65" i="1"/>
  <c r="J65" i="1"/>
  <c r="H65" i="1"/>
  <c r="G65" i="1"/>
  <c r="X64" i="1"/>
  <c r="O64" i="1"/>
  <c r="M64" i="1"/>
  <c r="L64" i="1"/>
  <c r="L66" i="1" s="1"/>
  <c r="K64" i="1"/>
  <c r="J64" i="1"/>
  <c r="J66" i="1" s="1"/>
  <c r="H64" i="1"/>
  <c r="H66" i="1" s="1"/>
  <c r="G64" i="1"/>
  <c r="R64" i="1" s="1"/>
  <c r="V61" i="1"/>
  <c r="Q61" i="1"/>
  <c r="P61" i="1"/>
  <c r="I61" i="1"/>
  <c r="X60" i="1"/>
  <c r="O60" i="1"/>
  <c r="M60" i="1"/>
  <c r="L60" i="1"/>
  <c r="J60" i="1"/>
  <c r="G60" i="1"/>
  <c r="E60" i="1"/>
  <c r="X59" i="1"/>
  <c r="M59" i="1"/>
  <c r="E59" i="1"/>
  <c r="W58" i="1"/>
  <c r="V58" i="1"/>
  <c r="X58" i="1" s="1"/>
  <c r="U58" i="1"/>
  <c r="T58" i="1"/>
  <c r="O58" i="1"/>
  <c r="M58" i="1"/>
  <c r="L58" i="1"/>
  <c r="K58" i="1"/>
  <c r="J58" i="1"/>
  <c r="H58" i="1"/>
  <c r="G58" i="1"/>
  <c r="R58" i="1" s="1"/>
  <c r="Z58" i="1" s="1"/>
  <c r="X57" i="1"/>
  <c r="O57" i="1"/>
  <c r="M57" i="1"/>
  <c r="L57" i="1"/>
  <c r="K57" i="1"/>
  <c r="J57" i="1"/>
  <c r="H57" i="1"/>
  <c r="G57" i="1"/>
  <c r="R57" i="1" s="1"/>
  <c r="X56" i="1"/>
  <c r="O56" i="1"/>
  <c r="M56" i="1"/>
  <c r="L56" i="1"/>
  <c r="K56" i="1"/>
  <c r="J56" i="1"/>
  <c r="H56" i="1"/>
  <c r="G56" i="1"/>
  <c r="R56" i="1" s="1"/>
  <c r="Z56" i="1" s="1"/>
  <c r="X55" i="1"/>
  <c r="U55" i="1"/>
  <c r="T55" i="1"/>
  <c r="O55" i="1"/>
  <c r="M55" i="1"/>
  <c r="L55" i="1"/>
  <c r="K55" i="1"/>
  <c r="J55" i="1"/>
  <c r="H55" i="1"/>
  <c r="G55" i="1"/>
  <c r="X54" i="1"/>
  <c r="V54" i="1"/>
  <c r="O54" i="1"/>
  <c r="M54" i="1"/>
  <c r="L54" i="1"/>
  <c r="K54" i="1"/>
  <c r="J54" i="1"/>
  <c r="H54" i="1"/>
  <c r="R54" i="1" s="1"/>
  <c r="G54" i="1"/>
  <c r="W53" i="1"/>
  <c r="X53" i="1" s="1"/>
  <c r="U53" i="1"/>
  <c r="T53" i="1"/>
  <c r="O53" i="1"/>
  <c r="M53" i="1"/>
  <c r="L53" i="1"/>
  <c r="K53" i="1"/>
  <c r="J53" i="1"/>
  <c r="H53" i="1"/>
  <c r="G53" i="1"/>
  <c r="R53" i="1" s="1"/>
  <c r="Z53" i="1" s="1"/>
  <c r="X52" i="1"/>
  <c r="U52" i="1"/>
  <c r="T52" i="1"/>
  <c r="O52" i="1"/>
  <c r="M52" i="1"/>
  <c r="L52" i="1"/>
  <c r="K52" i="1"/>
  <c r="J52" i="1"/>
  <c r="H52" i="1"/>
  <c r="G52" i="1"/>
  <c r="X51" i="1"/>
  <c r="U51" i="1"/>
  <c r="O51" i="1"/>
  <c r="M51" i="1"/>
  <c r="L51" i="1"/>
  <c r="K51" i="1"/>
  <c r="J51" i="1"/>
  <c r="H51" i="1"/>
  <c r="R51" i="1" s="1"/>
  <c r="G51" i="1"/>
  <c r="W50" i="1"/>
  <c r="U50" i="1"/>
  <c r="U61" i="1" s="1"/>
  <c r="T50" i="1"/>
  <c r="T61" i="1" s="1"/>
  <c r="O50" i="1"/>
  <c r="M50" i="1"/>
  <c r="M61" i="1" s="1"/>
  <c r="L50" i="1"/>
  <c r="K50" i="1"/>
  <c r="J50" i="1"/>
  <c r="H50" i="1"/>
  <c r="G50" i="1"/>
  <c r="P47" i="1"/>
  <c r="L47" i="1"/>
  <c r="I47" i="1"/>
  <c r="H47" i="1"/>
  <c r="E47" i="1"/>
  <c r="X46" i="1"/>
  <c r="V46" i="1"/>
  <c r="V47" i="1" s="1"/>
  <c r="T46" i="1"/>
  <c r="O46" i="1"/>
  <c r="R46" i="1" s="1"/>
  <c r="Z46" i="1" s="1"/>
  <c r="N46" i="1"/>
  <c r="L46" i="1"/>
  <c r="K46" i="1"/>
  <c r="J46" i="1"/>
  <c r="H46" i="1"/>
  <c r="G46" i="1"/>
  <c r="X45" i="1"/>
  <c r="X47" i="1" s="1"/>
  <c r="W45" i="1"/>
  <c r="W47" i="1" s="1"/>
  <c r="T45" i="1"/>
  <c r="T47" i="1" s="1"/>
  <c r="O45" i="1"/>
  <c r="N45" i="1"/>
  <c r="N47" i="1" s="1"/>
  <c r="L45" i="1"/>
  <c r="K45" i="1"/>
  <c r="K47" i="1" s="1"/>
  <c r="J45" i="1"/>
  <c r="H45" i="1"/>
  <c r="G45" i="1"/>
  <c r="G47" i="1" s="1"/>
  <c r="P42" i="1"/>
  <c r="P197" i="1" s="1"/>
  <c r="X41" i="1"/>
  <c r="W41" i="1"/>
  <c r="O41" i="1"/>
  <c r="N41" i="1"/>
  <c r="L41" i="1"/>
  <c r="K41" i="1"/>
  <c r="J41" i="1"/>
  <c r="H41" i="1"/>
  <c r="G41" i="1"/>
  <c r="F41" i="1"/>
  <c r="F42" i="1" s="1"/>
  <c r="F197" i="1" s="1"/>
  <c r="X40" i="1"/>
  <c r="U40" i="1"/>
  <c r="T40" i="1"/>
  <c r="O40" i="1"/>
  <c r="N40" i="1"/>
  <c r="L40" i="1"/>
  <c r="K40" i="1"/>
  <c r="J40" i="1"/>
  <c r="R40" i="1" s="1"/>
  <c r="Z40" i="1" s="1"/>
  <c r="H40" i="1"/>
  <c r="G40" i="1"/>
  <c r="X39" i="1"/>
  <c r="W39" i="1"/>
  <c r="V39" i="1"/>
  <c r="O39" i="1"/>
  <c r="N39" i="1"/>
  <c r="L39" i="1"/>
  <c r="K39" i="1"/>
  <c r="J39" i="1"/>
  <c r="H39" i="1"/>
  <c r="G39" i="1"/>
  <c r="X38" i="1"/>
  <c r="W38" i="1"/>
  <c r="V38" i="1"/>
  <c r="T38" i="1"/>
  <c r="O38" i="1"/>
  <c r="N38" i="1"/>
  <c r="L38" i="1"/>
  <c r="K38" i="1"/>
  <c r="R38" i="1" s="1"/>
  <c r="Z38" i="1" s="1"/>
  <c r="J38" i="1"/>
  <c r="H38" i="1"/>
  <c r="G38" i="1"/>
  <c r="X37" i="1"/>
  <c r="T37" i="1"/>
  <c r="O37" i="1"/>
  <c r="N37" i="1"/>
  <c r="L37" i="1"/>
  <c r="K37" i="1"/>
  <c r="J37" i="1"/>
  <c r="H37" i="1"/>
  <c r="G37" i="1"/>
  <c r="X36" i="1"/>
  <c r="W36" i="1"/>
  <c r="O36" i="1"/>
  <c r="N36" i="1"/>
  <c r="L36" i="1"/>
  <c r="K36" i="1"/>
  <c r="J36" i="1"/>
  <c r="H36" i="1"/>
  <c r="G36" i="1"/>
  <c r="R36" i="1" s="1"/>
  <c r="Z36" i="1" s="1"/>
  <c r="W35" i="1"/>
  <c r="X35" i="1" s="1"/>
  <c r="U35" i="1"/>
  <c r="T35" i="1"/>
  <c r="O35" i="1"/>
  <c r="N35" i="1"/>
  <c r="L35" i="1"/>
  <c r="K35" i="1"/>
  <c r="J35" i="1"/>
  <c r="H35" i="1"/>
  <c r="R35" i="1" s="1"/>
  <c r="G35" i="1"/>
  <c r="X34" i="1"/>
  <c r="T34" i="1"/>
  <c r="O34" i="1"/>
  <c r="N34" i="1"/>
  <c r="L34" i="1"/>
  <c r="K34" i="1"/>
  <c r="J34" i="1"/>
  <c r="H34" i="1"/>
  <c r="G34" i="1"/>
  <c r="R34" i="1" s="1"/>
  <c r="Z34" i="1" s="1"/>
  <c r="X33" i="1"/>
  <c r="O33" i="1"/>
  <c r="N33" i="1"/>
  <c r="L33" i="1"/>
  <c r="K33" i="1"/>
  <c r="R33" i="1" s="1"/>
  <c r="Z33" i="1" s="1"/>
  <c r="J33" i="1"/>
  <c r="H33" i="1"/>
  <c r="G33" i="1"/>
  <c r="X32" i="1"/>
  <c r="O32" i="1"/>
  <c r="N32" i="1"/>
  <c r="L32" i="1"/>
  <c r="J32" i="1"/>
  <c r="H32" i="1"/>
  <c r="G32" i="1"/>
  <c r="E32" i="1"/>
  <c r="X31" i="1"/>
  <c r="W31" i="1"/>
  <c r="U31" i="1"/>
  <c r="T31" i="1"/>
  <c r="O31" i="1"/>
  <c r="N31" i="1"/>
  <c r="L31" i="1"/>
  <c r="K31" i="1"/>
  <c r="R31" i="1" s="1"/>
  <c r="Z31" i="1" s="1"/>
  <c r="J31" i="1"/>
  <c r="H31" i="1"/>
  <c r="G31" i="1"/>
  <c r="V30" i="1"/>
  <c r="U30" i="1"/>
  <c r="T30" i="1"/>
  <c r="O30" i="1"/>
  <c r="L30" i="1"/>
  <c r="K30" i="1"/>
  <c r="R30" i="1" s="1"/>
  <c r="J30" i="1"/>
  <c r="H30" i="1"/>
  <c r="G30" i="1"/>
  <c r="X29" i="1"/>
  <c r="U29" i="1"/>
  <c r="T29" i="1"/>
  <c r="O29" i="1"/>
  <c r="N29" i="1"/>
  <c r="L29" i="1"/>
  <c r="K29" i="1"/>
  <c r="R29" i="1" s="1"/>
  <c r="Z29" i="1" s="1"/>
  <c r="J29" i="1"/>
  <c r="H29" i="1"/>
  <c r="G29" i="1"/>
  <c r="X28" i="1"/>
  <c r="U28" i="1"/>
  <c r="T28" i="1"/>
  <c r="O28" i="1"/>
  <c r="N28" i="1"/>
  <c r="L28" i="1"/>
  <c r="K28" i="1"/>
  <c r="R28" i="1" s="1"/>
  <c r="Z28" i="1" s="1"/>
  <c r="J28" i="1"/>
  <c r="H28" i="1"/>
  <c r="G28" i="1"/>
  <c r="V27" i="1"/>
  <c r="U27" i="1"/>
  <c r="T27" i="1"/>
  <c r="X27" i="1" s="1"/>
  <c r="N27" i="1"/>
  <c r="L27" i="1"/>
  <c r="G27" i="1"/>
  <c r="E27" i="1"/>
  <c r="K27" i="1" s="1"/>
  <c r="W26" i="1"/>
  <c r="X26" i="1" s="1"/>
  <c r="V26" i="1"/>
  <c r="T26" i="1"/>
  <c r="Q26" i="1"/>
  <c r="O26" i="1"/>
  <c r="M26" i="1"/>
  <c r="L26" i="1"/>
  <c r="K26" i="1"/>
  <c r="J26" i="1"/>
  <c r="H26" i="1"/>
  <c r="G26" i="1"/>
  <c r="W25" i="1"/>
  <c r="U25" i="1"/>
  <c r="T25" i="1"/>
  <c r="X25" i="1" s="1"/>
  <c r="O25" i="1"/>
  <c r="M25" i="1"/>
  <c r="L25" i="1"/>
  <c r="R25" i="1" s="1"/>
  <c r="Z25" i="1" s="1"/>
  <c r="K25" i="1"/>
  <c r="J25" i="1"/>
  <c r="H25" i="1"/>
  <c r="G25" i="1"/>
  <c r="W24" i="1"/>
  <c r="V24" i="1"/>
  <c r="U24" i="1"/>
  <c r="O24" i="1"/>
  <c r="R24" i="1" s="1"/>
  <c r="N24" i="1"/>
  <c r="L24" i="1"/>
  <c r="K24" i="1"/>
  <c r="J24" i="1"/>
  <c r="H24" i="1"/>
  <c r="G24" i="1"/>
  <c r="W23" i="1"/>
  <c r="X23" i="1" s="1"/>
  <c r="Q23" i="1"/>
  <c r="O23" i="1"/>
  <c r="N23" i="1"/>
  <c r="L23" i="1"/>
  <c r="K23" i="1"/>
  <c r="J23" i="1"/>
  <c r="H23" i="1"/>
  <c r="G23" i="1"/>
  <c r="W22" i="1"/>
  <c r="X22" i="1" s="1"/>
  <c r="Q22" i="1"/>
  <c r="O22" i="1"/>
  <c r="M22" i="1"/>
  <c r="L22" i="1"/>
  <c r="K22" i="1"/>
  <c r="J22" i="1"/>
  <c r="H22" i="1"/>
  <c r="G22" i="1"/>
  <c r="V21" i="1"/>
  <c r="X21" i="1" s="1"/>
  <c r="O21" i="1"/>
  <c r="N21" i="1"/>
  <c r="L21" i="1"/>
  <c r="R21" i="1" s="1"/>
  <c r="Z21" i="1" s="1"/>
  <c r="K21" i="1"/>
  <c r="J21" i="1"/>
  <c r="H21" i="1"/>
  <c r="G21" i="1"/>
  <c r="U20" i="1"/>
  <c r="X20" i="1" s="1"/>
  <c r="O20" i="1"/>
  <c r="N20" i="1"/>
  <c r="L20" i="1"/>
  <c r="K20" i="1"/>
  <c r="R20" i="1" s="1"/>
  <c r="Z20" i="1" s="1"/>
  <c r="J20" i="1"/>
  <c r="H20" i="1"/>
  <c r="G20" i="1"/>
  <c r="X19" i="1"/>
  <c r="U19" i="1"/>
  <c r="T19" i="1"/>
  <c r="O19" i="1"/>
  <c r="N19" i="1"/>
  <c r="L19" i="1"/>
  <c r="K19" i="1"/>
  <c r="R19" i="1" s="1"/>
  <c r="Z19" i="1" s="1"/>
  <c r="J19" i="1"/>
  <c r="H19" i="1"/>
  <c r="G19" i="1"/>
  <c r="W18" i="1"/>
  <c r="V18" i="1"/>
  <c r="U18" i="1"/>
  <c r="X18" i="1" s="1"/>
  <c r="T18" i="1"/>
  <c r="O18" i="1"/>
  <c r="N18" i="1"/>
  <c r="L18" i="1"/>
  <c r="K18" i="1"/>
  <c r="J18" i="1"/>
  <c r="I18" i="1"/>
  <c r="I42" i="1" s="1"/>
  <c r="I197" i="1" s="1"/>
  <c r="H18" i="1"/>
  <c r="G18" i="1"/>
  <c r="X17" i="1"/>
  <c r="V17" i="1"/>
  <c r="U17" i="1"/>
  <c r="T17" i="1"/>
  <c r="R17" i="1"/>
  <c r="Z17" i="1" s="1"/>
  <c r="O17" i="1"/>
  <c r="N17" i="1"/>
  <c r="L17" i="1"/>
  <c r="K17" i="1"/>
  <c r="J17" i="1"/>
  <c r="H17" i="1"/>
  <c r="G17" i="1"/>
  <c r="V16" i="1"/>
  <c r="U16" i="1"/>
  <c r="T16" i="1"/>
  <c r="X16" i="1" s="1"/>
  <c r="O16" i="1"/>
  <c r="N16" i="1"/>
  <c r="L16" i="1"/>
  <c r="K16" i="1"/>
  <c r="J16" i="1"/>
  <c r="H16" i="1"/>
  <c r="G16" i="1"/>
  <c r="V15" i="1"/>
  <c r="T15" i="1"/>
  <c r="X15" i="1" s="1"/>
  <c r="Q15" i="1"/>
  <c r="O15" i="1"/>
  <c r="N15" i="1"/>
  <c r="L15" i="1"/>
  <c r="K15" i="1"/>
  <c r="J15" i="1"/>
  <c r="H15" i="1"/>
  <c r="G15" i="1"/>
  <c r="X14" i="1"/>
  <c r="Q14" i="1"/>
  <c r="N14" i="1"/>
  <c r="L14" i="1"/>
  <c r="G14" i="1"/>
  <c r="G42" i="1" s="1"/>
  <c r="E14" i="1"/>
  <c r="K14" i="1" s="1"/>
  <c r="W13" i="1"/>
  <c r="X13" i="1" s="1"/>
  <c r="T13" i="1"/>
  <c r="O13" i="1"/>
  <c r="N13" i="1"/>
  <c r="L13" i="1"/>
  <c r="K13" i="1"/>
  <c r="J13" i="1"/>
  <c r="H13" i="1"/>
  <c r="G13" i="1"/>
  <c r="W12" i="1"/>
  <c r="X12" i="1" s="1"/>
  <c r="Q12" i="1"/>
  <c r="Q42" i="1" s="1"/>
  <c r="O12" i="1"/>
  <c r="M12" i="1"/>
  <c r="L12" i="1"/>
  <c r="K12" i="1"/>
  <c r="J12" i="1"/>
  <c r="H12" i="1"/>
  <c r="G12" i="1"/>
  <c r="W11" i="1"/>
  <c r="V11" i="1"/>
  <c r="O11" i="1"/>
  <c r="M11" i="1"/>
  <c r="R11" i="1" s="1"/>
  <c r="L11" i="1"/>
  <c r="K11" i="1"/>
  <c r="J11" i="1"/>
  <c r="H11" i="1"/>
  <c r="G11" i="1"/>
  <c r="V10" i="1"/>
  <c r="U10" i="1"/>
  <c r="U42" i="1" s="1"/>
  <c r="O10" i="1"/>
  <c r="M10" i="1"/>
  <c r="L10" i="1"/>
  <c r="K10" i="1"/>
  <c r="J10" i="1"/>
  <c r="H10" i="1"/>
  <c r="G10" i="1"/>
  <c r="X9" i="1"/>
  <c r="R9" i="1"/>
  <c r="M9" i="1"/>
  <c r="H4" i="1"/>
  <c r="E4" i="1"/>
  <c r="Z30" i="1" l="1"/>
  <c r="Z35" i="1"/>
  <c r="O59" i="1"/>
  <c r="J59" i="1"/>
  <c r="E61" i="1"/>
  <c r="H59" i="1"/>
  <c r="L59" i="1"/>
  <c r="L61" i="1" s="1"/>
  <c r="G59" i="1"/>
  <c r="Z130" i="1"/>
  <c r="R22" i="1"/>
  <c r="Z22" i="1" s="1"/>
  <c r="X30" i="1"/>
  <c r="J61" i="1"/>
  <c r="O61" i="1"/>
  <c r="Z57" i="1"/>
  <c r="K59" i="1"/>
  <c r="U82" i="1"/>
  <c r="U197" i="1" s="1"/>
  <c r="X70" i="1"/>
  <c r="Z117" i="1"/>
  <c r="R12" i="1"/>
  <c r="Z12" i="1" s="1"/>
  <c r="L42" i="1"/>
  <c r="N42" i="1"/>
  <c r="N197" i="1" s="1"/>
  <c r="R13" i="1"/>
  <c r="Z13" i="1" s="1"/>
  <c r="R15" i="1"/>
  <c r="Z15" i="1" s="1"/>
  <c r="R18" i="1"/>
  <c r="Z18" i="1" s="1"/>
  <c r="R23" i="1"/>
  <c r="Z23" i="1" s="1"/>
  <c r="R26" i="1"/>
  <c r="Z26" i="1" s="1"/>
  <c r="R39" i="1"/>
  <c r="Z39" i="1" s="1"/>
  <c r="T42" i="1"/>
  <c r="J47" i="1"/>
  <c r="O47" i="1"/>
  <c r="Z51" i="1"/>
  <c r="R52" i="1"/>
  <c r="Z52" i="1" s="1"/>
  <c r="Z64" i="1"/>
  <c r="R65" i="1"/>
  <c r="Z65" i="1" s="1"/>
  <c r="Z70" i="1"/>
  <c r="Z9" i="1"/>
  <c r="W61" i="1"/>
  <c r="X50" i="1"/>
  <c r="X61" i="1" s="1"/>
  <c r="W82" i="1"/>
  <c r="X69" i="1"/>
  <c r="X82" i="1" s="1"/>
  <c r="V42" i="1"/>
  <c r="X10" i="1"/>
  <c r="M42" i="1"/>
  <c r="M197" i="1" s="1"/>
  <c r="H42" i="1"/>
  <c r="R10" i="1"/>
  <c r="W42" i="1"/>
  <c r="X11" i="1"/>
  <c r="Z11" i="1" s="1"/>
  <c r="Q197" i="1"/>
  <c r="R16" i="1"/>
  <c r="Z16" i="1" s="1"/>
  <c r="X24" i="1"/>
  <c r="Z24" i="1" s="1"/>
  <c r="R37" i="1"/>
  <c r="Z37" i="1" s="1"/>
  <c r="R41" i="1"/>
  <c r="Z41" i="1" s="1"/>
  <c r="G61" i="1"/>
  <c r="Z54" i="1"/>
  <c r="R55" i="1"/>
  <c r="Z55" i="1" s="1"/>
  <c r="R59" i="1"/>
  <c r="Z59" i="1" s="1"/>
  <c r="W66" i="1"/>
  <c r="X65" i="1"/>
  <c r="X66" i="1" s="1"/>
  <c r="Z71" i="1"/>
  <c r="R74" i="1"/>
  <c r="Z74" i="1" s="1"/>
  <c r="X75" i="1"/>
  <c r="Z79" i="1"/>
  <c r="Z138" i="1"/>
  <c r="H14" i="1"/>
  <c r="H27" i="1"/>
  <c r="R45" i="1"/>
  <c r="R50" i="1"/>
  <c r="H60" i="1"/>
  <c r="R60" i="1" s="1"/>
  <c r="Z60" i="1" s="1"/>
  <c r="J82" i="1"/>
  <c r="O82" i="1"/>
  <c r="J75" i="1"/>
  <c r="O75" i="1"/>
  <c r="K76" i="1"/>
  <c r="R76" i="1"/>
  <c r="Z76" i="1" s="1"/>
  <c r="K77" i="1"/>
  <c r="R77" i="1"/>
  <c r="Z77" i="1" s="1"/>
  <c r="Z134" i="1"/>
  <c r="J14" i="1"/>
  <c r="J42" i="1" s="1"/>
  <c r="O14" i="1"/>
  <c r="J27" i="1"/>
  <c r="O27" i="1"/>
  <c r="R27" i="1" s="1"/>
  <c r="Z27" i="1" s="1"/>
  <c r="K32" i="1"/>
  <c r="K42" i="1" s="1"/>
  <c r="E42" i="1"/>
  <c r="R69" i="1"/>
  <c r="K75" i="1"/>
  <c r="K82" i="1" s="1"/>
  <c r="R81" i="1"/>
  <c r="Z81" i="1" s="1"/>
  <c r="V82" i="1"/>
  <c r="K89" i="1"/>
  <c r="U89" i="1"/>
  <c r="X85" i="1"/>
  <c r="X89" i="1" s="1"/>
  <c r="Z162" i="1"/>
  <c r="K60" i="1"/>
  <c r="K61" i="1" s="1"/>
  <c r="T82" i="1"/>
  <c r="G75" i="1"/>
  <c r="G82" i="1" s="1"/>
  <c r="L75" i="1"/>
  <c r="L82" i="1" s="1"/>
  <c r="R80" i="1"/>
  <c r="Z80" i="1" s="1"/>
  <c r="K80" i="1"/>
  <c r="R85" i="1"/>
  <c r="G89" i="1"/>
  <c r="Z94" i="1"/>
  <c r="Z95" i="1"/>
  <c r="Z98" i="1"/>
  <c r="G101" i="1"/>
  <c r="R101" i="1" s="1"/>
  <c r="Z101" i="1" s="1"/>
  <c r="L101" i="1"/>
  <c r="G102" i="1"/>
  <c r="R102" i="1" s="1"/>
  <c r="Z102" i="1" s="1"/>
  <c r="L102" i="1"/>
  <c r="Z110" i="1"/>
  <c r="H111" i="1"/>
  <c r="R114" i="1"/>
  <c r="R120" i="1"/>
  <c r="Z120" i="1" s="1"/>
  <c r="W121" i="1"/>
  <c r="T135" i="1"/>
  <c r="O133" i="1"/>
  <c r="O135" i="1" s="1"/>
  <c r="J133" i="1"/>
  <c r="E135" i="1"/>
  <c r="H133" i="1"/>
  <c r="H135" i="1" s="1"/>
  <c r="X143" i="1"/>
  <c r="X146" i="1"/>
  <c r="R149" i="1"/>
  <c r="Z149" i="1" s="1"/>
  <c r="J155" i="1"/>
  <c r="J196" i="1" s="1"/>
  <c r="J156" i="1"/>
  <c r="R170" i="1"/>
  <c r="Z170" i="1" s="1"/>
  <c r="Z177" i="1"/>
  <c r="R185" i="1"/>
  <c r="Z185" i="1" s="1"/>
  <c r="R92" i="1"/>
  <c r="E104" i="1"/>
  <c r="K97" i="1"/>
  <c r="K104" i="1" s="1"/>
  <c r="H101" i="1"/>
  <c r="H104" i="1" s="1"/>
  <c r="H102" i="1"/>
  <c r="X107" i="1"/>
  <c r="X108" i="1"/>
  <c r="R116" i="1"/>
  <c r="Z116" i="1" s="1"/>
  <c r="R119" i="1"/>
  <c r="Z119" i="1" s="1"/>
  <c r="G135" i="1"/>
  <c r="Z143" i="1"/>
  <c r="R164" i="1"/>
  <c r="Z164" i="1" s="1"/>
  <c r="Z169" i="1"/>
  <c r="Z182" i="1"/>
  <c r="Z184" i="1"/>
  <c r="T104" i="1"/>
  <c r="G97" i="1"/>
  <c r="R97" i="1" s="1"/>
  <c r="Z97" i="1" s="1"/>
  <c r="L97" i="1"/>
  <c r="L104" i="1" s="1"/>
  <c r="J101" i="1"/>
  <c r="O101" i="1"/>
  <c r="O104" i="1" s="1"/>
  <c r="J102" i="1"/>
  <c r="J104" i="1" s="1"/>
  <c r="R108" i="1"/>
  <c r="R111" i="1" s="1"/>
  <c r="R118" i="1"/>
  <c r="Z118" i="1" s="1"/>
  <c r="J135" i="1"/>
  <c r="X131" i="1"/>
  <c r="Z131" i="1" s="1"/>
  <c r="K133" i="1"/>
  <c r="K135" i="1" s="1"/>
  <c r="K196" i="1"/>
  <c r="R140" i="1"/>
  <c r="R145" i="1"/>
  <c r="Z145" i="1" s="1"/>
  <c r="X145" i="1"/>
  <c r="R157" i="1"/>
  <c r="Z157" i="1" s="1"/>
  <c r="X167" i="1"/>
  <c r="Z167" i="1" s="1"/>
  <c r="R173" i="1"/>
  <c r="Z173" i="1" s="1"/>
  <c r="X174" i="1"/>
  <c r="Z174" i="1" s="1"/>
  <c r="R181" i="1"/>
  <c r="Z181" i="1" s="1"/>
  <c r="X182" i="1"/>
  <c r="R194" i="1"/>
  <c r="X104" i="1"/>
  <c r="K101" i="1"/>
  <c r="K102" i="1"/>
  <c r="X121" i="1"/>
  <c r="W135" i="1"/>
  <c r="X124" i="1"/>
  <c r="Z124" i="1" s="1"/>
  <c r="L133" i="1"/>
  <c r="L135" i="1" s="1"/>
  <c r="L196" i="1"/>
  <c r="U196" i="1"/>
  <c r="R139" i="1"/>
  <c r="Z139" i="1" s="1"/>
  <c r="X140" i="1"/>
  <c r="X196" i="1" s="1"/>
  <c r="R146" i="1"/>
  <c r="Z146" i="1" s="1"/>
  <c r="R148" i="1"/>
  <c r="Z148" i="1" s="1"/>
  <c r="H155" i="1"/>
  <c r="H196" i="1" s="1"/>
  <c r="L155" i="1"/>
  <c r="G155" i="1"/>
  <c r="R155" i="1" s="1"/>
  <c r="Z155" i="1" s="1"/>
  <c r="O155" i="1"/>
  <c r="O196" i="1" s="1"/>
  <c r="H156" i="1"/>
  <c r="L156" i="1"/>
  <c r="G156" i="1"/>
  <c r="R156" i="1" s="1"/>
  <c r="Z156" i="1" s="1"/>
  <c r="O156" i="1"/>
  <c r="R163" i="1"/>
  <c r="Z163" i="1" s="1"/>
  <c r="R178" i="1"/>
  <c r="Z178" i="1" s="1"/>
  <c r="X179" i="1"/>
  <c r="Z179" i="1" s="1"/>
  <c r="R188" i="1"/>
  <c r="Z188" i="1" s="1"/>
  <c r="X189" i="1"/>
  <c r="Z189" i="1" s="1"/>
  <c r="R193" i="1"/>
  <c r="Z193" i="1" s="1"/>
  <c r="X194" i="1"/>
  <c r="W196" i="1"/>
  <c r="K197" i="1" l="1"/>
  <c r="J197" i="1"/>
  <c r="G197" i="1"/>
  <c r="R121" i="1"/>
  <c r="Z114" i="1"/>
  <c r="Z121" i="1" s="1"/>
  <c r="R89" i="1"/>
  <c r="Z85" i="1"/>
  <c r="Z89" i="1" s="1"/>
  <c r="R14" i="1"/>
  <c r="Z14" i="1" s="1"/>
  <c r="O42" i="1"/>
  <c r="O197" i="1" s="1"/>
  <c r="R133" i="1"/>
  <c r="Z45" i="1"/>
  <c r="Z47" i="1" s="1"/>
  <c r="R47" i="1"/>
  <c r="R196" i="1"/>
  <c r="R32" i="1"/>
  <c r="Z32" i="1" s="1"/>
  <c r="T197" i="1"/>
  <c r="L197" i="1"/>
  <c r="H61" i="1"/>
  <c r="H197" i="1" s="1"/>
  <c r="G196" i="1"/>
  <c r="Z194" i="1"/>
  <c r="X111" i="1"/>
  <c r="Z69" i="1"/>
  <c r="Z196" i="1"/>
  <c r="Z66" i="1"/>
  <c r="G104" i="1"/>
  <c r="Z108" i="1"/>
  <c r="R104" i="1"/>
  <c r="Z92" i="1"/>
  <c r="Z104" i="1" s="1"/>
  <c r="W197" i="1"/>
  <c r="X42" i="1"/>
  <c r="R66" i="1"/>
  <c r="X135" i="1"/>
  <c r="Z140" i="1"/>
  <c r="Z107" i="1"/>
  <c r="Z111" i="1" s="1"/>
  <c r="R75" i="1"/>
  <c r="Z75" i="1" s="1"/>
  <c r="Z50" i="1"/>
  <c r="Z61" i="1" s="1"/>
  <c r="R61" i="1"/>
  <c r="Z10" i="1"/>
  <c r="Z42" i="1" s="1"/>
  <c r="V197" i="1"/>
  <c r="Z82" i="1" l="1"/>
  <c r="Z197" i="1" s="1"/>
  <c r="Z133" i="1"/>
  <c r="Z135" i="1" s="1"/>
  <c r="R135" i="1"/>
  <c r="X197" i="1"/>
  <c r="R82" i="1"/>
  <c r="R42" i="1"/>
  <c r="R197" i="1" s="1"/>
</calcChain>
</file>

<file path=xl/sharedStrings.xml><?xml version="1.0" encoding="utf-8"?>
<sst xmlns="http://schemas.openxmlformats.org/spreadsheetml/2006/main" count="541" uniqueCount="343">
  <si>
    <t xml:space="preserve"> </t>
  </si>
  <si>
    <t>STAFF PAYROLL FOR THE MONTH OF JULY 2022</t>
  </si>
  <si>
    <t>STAFF NAME</t>
  </si>
  <si>
    <t>DEDUCTIONS</t>
  </si>
  <si>
    <t>NET SALARY</t>
  </si>
  <si>
    <t>DESIGNATION</t>
  </si>
  <si>
    <t xml:space="preserve">SALARY </t>
  </si>
  <si>
    <t>BASIC</t>
  </si>
  <si>
    <t>MOTOR/</t>
  </si>
  <si>
    <t>RESEARCH</t>
  </si>
  <si>
    <t>HARDSHIP</t>
  </si>
  <si>
    <t>LEAVE</t>
  </si>
  <si>
    <t>OUT FIT</t>
  </si>
  <si>
    <t>LEGISLATIVE</t>
  </si>
  <si>
    <t>GROSS</t>
  </si>
  <si>
    <t>JUNE,2022</t>
  </si>
  <si>
    <t>JULY,2022</t>
  </si>
  <si>
    <t>LEVEL</t>
  </si>
  <si>
    <t>SALARY</t>
  </si>
  <si>
    <t>SALARY/ALLOWCE AREARS</t>
  </si>
  <si>
    <t>RENT</t>
  </si>
  <si>
    <t>UTILITY</t>
  </si>
  <si>
    <t>DOMESTIC</t>
  </si>
  <si>
    <t>ENTERT.</t>
  </si>
  <si>
    <t>FURNIT.</t>
  </si>
  <si>
    <t>FUEL</t>
  </si>
  <si>
    <t>ALLOWANCE</t>
  </si>
  <si>
    <t>ALLCE</t>
  </si>
  <si>
    <t>DUTY ALLCE</t>
  </si>
  <si>
    <t>AUCTION</t>
  </si>
  <si>
    <t>COOP SOCIETY</t>
  </si>
  <si>
    <t>COOP. LOAN RECOVERY</t>
  </si>
  <si>
    <t>NHF DEDUCTION</t>
  </si>
  <si>
    <t>PAYE</t>
  </si>
  <si>
    <t>TOTAL</t>
  </si>
  <si>
    <t>S/N</t>
  </si>
  <si>
    <t>DG'S OFFICE</t>
  </si>
  <si>
    <t>N</t>
  </si>
  <si>
    <t xml:space="preserve">PROF. ABUBAKAR O. SULAIMAN </t>
  </si>
  <si>
    <t>DIRECTOR GENERAL</t>
  </si>
  <si>
    <t>CONSOL</t>
  </si>
  <si>
    <t>DR ADEYEMI AKEEB FAJINGBESI</t>
  </si>
  <si>
    <t>DIR. SPECIAL DUTIES, DG OFFICE</t>
  </si>
  <si>
    <t>17(9)</t>
  </si>
  <si>
    <t>DR JAKE DABANG DAN AZUMI</t>
  </si>
  <si>
    <t>DEPUTY DIRECTOR  TRAINING</t>
  </si>
  <si>
    <t>16(8)</t>
  </si>
  <si>
    <t>DR ABDULSALAM NASIRU NAEEM</t>
  </si>
  <si>
    <t>SA ACADEMICS</t>
  </si>
  <si>
    <t>RAHEEM USMAN AYIGORO</t>
  </si>
  <si>
    <t>SA-INFRASTRUCTURE</t>
  </si>
  <si>
    <t>16 (8)</t>
  </si>
  <si>
    <t>MARIAM MOHAMMED BELLO</t>
  </si>
  <si>
    <t>SA- SPECIAL DUTIES</t>
  </si>
  <si>
    <t>15 (7)</t>
  </si>
  <si>
    <t>AKINSANMI ADEJOKE OLUKEMI</t>
  </si>
  <si>
    <t>HEAD INFORMATION/PROTOCOL</t>
  </si>
  <si>
    <t>15(9)</t>
  </si>
  <si>
    <t>DR IKEME ARTHUR J.O</t>
  </si>
  <si>
    <t>SNR RESEARCH FELLOW</t>
  </si>
  <si>
    <t>MOSHOOD M. OLALERE</t>
  </si>
  <si>
    <t>MANAGER ADMIN DG's OFFICE</t>
  </si>
  <si>
    <t>ANDRAWUS MUSA</t>
  </si>
  <si>
    <t xml:space="preserve">ASST. DIRECTOR, STORE </t>
  </si>
  <si>
    <t>AYOBOLU OLAJIDE OLUFUNSHO</t>
  </si>
  <si>
    <t>ASST.DIR., INFORMATION</t>
  </si>
  <si>
    <t>HUSSEIN EGYE MUSA</t>
  </si>
  <si>
    <t>CHIEF PROTOCOL OFFICER</t>
  </si>
  <si>
    <t>14(9)</t>
  </si>
  <si>
    <t>DONALD E. MKPANAM</t>
  </si>
  <si>
    <t>CHIEF ICT OFFICER</t>
  </si>
  <si>
    <t>JOY HARUNA MAKERI</t>
  </si>
  <si>
    <t>RESEARCH FELLOW 1 TRAINING</t>
  </si>
  <si>
    <t>ALI ABDULLAHI</t>
  </si>
  <si>
    <t>ASST. CHIEF ICT OFFICER</t>
  </si>
  <si>
    <t>13(11)</t>
  </si>
  <si>
    <t>ANTHONY EDET</t>
  </si>
  <si>
    <t>ASST. MGR  M&amp;E</t>
  </si>
  <si>
    <t>13(9)</t>
  </si>
  <si>
    <t>PERCY TERFA GBAHABO</t>
  </si>
  <si>
    <t>HEAD, NILDS LIAISON OFFICE</t>
  </si>
  <si>
    <t>13(8)</t>
  </si>
  <si>
    <t>HASSANA AHMED IBRAHIM</t>
  </si>
  <si>
    <t>PA- TO DG</t>
  </si>
  <si>
    <t>13 (7)</t>
  </si>
  <si>
    <t>CHRISTIAN MADUABUCHI ODO</t>
  </si>
  <si>
    <t>PRINCIPAL ICT OFFICER</t>
  </si>
  <si>
    <t>12(8)</t>
  </si>
  <si>
    <t>ADUGBA RICHARD TERSEER</t>
  </si>
  <si>
    <t>INFORMATION OFFICER</t>
  </si>
  <si>
    <t>10(10)</t>
  </si>
  <si>
    <t>EGUATU U. ONYEJELEM</t>
  </si>
  <si>
    <t>OFFICER M&amp;E</t>
  </si>
  <si>
    <t>ODEH SUZIE</t>
  </si>
  <si>
    <t>ADMIN. OFFICER, LIASION OFFICE</t>
  </si>
  <si>
    <t>10(9)</t>
  </si>
  <si>
    <t>YAKUB OLUWATOYIN USMAN</t>
  </si>
  <si>
    <t>ASST. ADMIN. OFFICER</t>
  </si>
  <si>
    <t>10(8)</t>
  </si>
  <si>
    <t>ELIZABETH OGECHUKWU ONYEAKU</t>
  </si>
  <si>
    <t>ICT OFFICER</t>
  </si>
  <si>
    <t>9(7)</t>
  </si>
  <si>
    <t>VICTOR ASUKWO</t>
  </si>
  <si>
    <t>8 (10)</t>
  </si>
  <si>
    <t>IJEOMA NKOLIKWA</t>
  </si>
  <si>
    <t>ASSISTANT STORES OFFICER</t>
  </si>
  <si>
    <t>8(10)</t>
  </si>
  <si>
    <t>ABDULRAHMAN A SULAIMAN</t>
  </si>
  <si>
    <t>8 (9)</t>
  </si>
  <si>
    <t>TASSNEEM IBRAHIM</t>
  </si>
  <si>
    <t>ASSIST. INFORMATION</t>
  </si>
  <si>
    <t>8(9)</t>
  </si>
  <si>
    <t>DARE SHEU MAGBON</t>
  </si>
  <si>
    <t>ASSIST. PG</t>
  </si>
  <si>
    <t>JIMOH ADEBAYO ZAKA</t>
  </si>
  <si>
    <t>ASST. OFFICER/COMM</t>
  </si>
  <si>
    <t>8(7)</t>
  </si>
  <si>
    <t>HABEEBA K MUHAMMAD SALIHU</t>
  </si>
  <si>
    <t>MOHAMMED BELLO</t>
  </si>
  <si>
    <t>RESEARCH ASSITANT PG</t>
  </si>
  <si>
    <t>SULEIMAN ABUBAKAR SODEEQ</t>
  </si>
  <si>
    <t>INTERNAL AUDIT</t>
  </si>
  <si>
    <t>OSANAIYE DAVID AKINYEMI</t>
  </si>
  <si>
    <t>DIRECTOR INTERNAL AUDIT</t>
  </si>
  <si>
    <t>17(8)</t>
  </si>
  <si>
    <t>JAMILA ABDUL</t>
  </si>
  <si>
    <t>AUDITOR II</t>
  </si>
  <si>
    <t>LEG. SUPPORT SEVICES</t>
  </si>
  <si>
    <t>PROF. EDOBA BRIGHT OMOREGBE</t>
  </si>
  <si>
    <t>AG. DLSS</t>
  </si>
  <si>
    <t>DR CLINTON JAJA</t>
  </si>
  <si>
    <t xml:space="preserve">SENIOR RESEARCH FELLOW </t>
  </si>
  <si>
    <t>BETHEL UZOMA IHUGBA</t>
  </si>
  <si>
    <t xml:space="preserve">SNR RESEARCH FELLOW </t>
  </si>
  <si>
    <t>OGUCHE SAMUEL</t>
  </si>
  <si>
    <t>15(8)</t>
  </si>
  <si>
    <t>IBRAHIM USMAN</t>
  </si>
  <si>
    <t>RESEARCH FELLOW I</t>
  </si>
  <si>
    <t>14(11)</t>
  </si>
  <si>
    <t>DR MOHAMMED O. AMALI</t>
  </si>
  <si>
    <t>YAHAYA SHAMSU</t>
  </si>
  <si>
    <t>RESEARCH FELLOW 1</t>
  </si>
  <si>
    <t>OFORDEME ADAOBI JULIA</t>
  </si>
  <si>
    <t>RESEARCH FELLOW 11</t>
  </si>
  <si>
    <t>13(10)</t>
  </si>
  <si>
    <t>DORIS DAKDA AARON</t>
  </si>
  <si>
    <t>RESEARCH FELLOW II</t>
  </si>
  <si>
    <t>ZAINAB AKINDE</t>
  </si>
  <si>
    <t>RESEARCH OFFICER</t>
  </si>
  <si>
    <t>ABDULLAHI AHMAD USMAN</t>
  </si>
  <si>
    <t>LEGAL SERVICES</t>
  </si>
  <si>
    <t>DR SHUIBU DANWANKA</t>
  </si>
  <si>
    <t>DIRECTOR LEGAL SERVICES</t>
  </si>
  <si>
    <t>ABDULSALAM BAKO</t>
  </si>
  <si>
    <t>MANAGER, LEGAL SERVICES</t>
  </si>
  <si>
    <t>15 (8)</t>
  </si>
  <si>
    <t>DEMOCRACY AND GOVERNANCE</t>
  </si>
  <si>
    <t>DR. ADEWALE ADEREMI</t>
  </si>
  <si>
    <t>DIRECTOR, DEMOCRATIC STUDIES</t>
  </si>
  <si>
    <t>NDANUSA MOHAMMED MANZUMA</t>
  </si>
  <si>
    <t>EJALONIBU GANIYU LAYI</t>
  </si>
  <si>
    <t>LONA POLIT BONKAT</t>
  </si>
  <si>
    <t>YUNUSA ABDULLAHI</t>
  </si>
  <si>
    <t>UDEFUNA NNADOZIE PATRICK</t>
  </si>
  <si>
    <t>10(13)</t>
  </si>
  <si>
    <t>OSOLAFIA MUHAMMAD EGYE</t>
  </si>
  <si>
    <t>PRINCIPAL RESEARCH OFFICER</t>
  </si>
  <si>
    <t>SHAFIU YAHYA MIKAIL</t>
  </si>
  <si>
    <t>12(7)</t>
  </si>
  <si>
    <t>HASSAN YERIMA</t>
  </si>
  <si>
    <t>HAUWA PATE SADIQ</t>
  </si>
  <si>
    <t>PROGRAMME OFFICER</t>
  </si>
  <si>
    <t>ABAYOMI KAYODE QUADRI</t>
  </si>
  <si>
    <t>10(7)</t>
  </si>
  <si>
    <t>NNANDI LIVINUS ATURE</t>
  </si>
  <si>
    <t>RESEARCH ASSISTANT</t>
  </si>
  <si>
    <t>LUCKY AGWOM</t>
  </si>
  <si>
    <t>STUDIES</t>
  </si>
  <si>
    <t>DR ASIMIYU G. ABIOLA</t>
  </si>
  <si>
    <t>DIRECTOR POST GRADUATE</t>
  </si>
  <si>
    <t>USMAN WALI</t>
  </si>
  <si>
    <t>SENIOR RESEARCH FELLOW</t>
  </si>
  <si>
    <t>MOSHOOD TOSHO AMUDA</t>
  </si>
  <si>
    <t>MANAGER, EXAMS &amp; RECORDS</t>
  </si>
  <si>
    <t>IGWE STACY</t>
  </si>
  <si>
    <t>ECONOMIC DEV. AND SOCIAL RESEARCH</t>
  </si>
  <si>
    <t>DR ASEMOTA OMOROGBE JOSEPH</t>
  </si>
  <si>
    <t>Ag. DEPUTY DIRECTOR, ECO &amp; SOC DEV DEPT</t>
  </si>
  <si>
    <t>TERFA WILLIAMS ABRAHAM</t>
  </si>
  <si>
    <t>DR AUGUSTINE C. OSIGWE</t>
  </si>
  <si>
    <t>NGARA CHRISTOPHER OCHANJA</t>
  </si>
  <si>
    <t>14(10)</t>
  </si>
  <si>
    <t>OMOJU OLUWASOLA EMMANUEL</t>
  </si>
  <si>
    <t>FESTUS OSAGU NDIDI</t>
  </si>
  <si>
    <t>14(7)</t>
  </si>
  <si>
    <t>IBE EZECHI CYRIACUS</t>
  </si>
  <si>
    <t>OSIKHEN LEO IGBANOI</t>
  </si>
  <si>
    <t>OKUNGBOWA OSARETIN GODSPOWER</t>
  </si>
  <si>
    <t>YUSUF IBRAHIM</t>
  </si>
  <si>
    <t>MARYAM MUSA SADA</t>
  </si>
  <si>
    <t>CHARITY EZENWAJIOBI</t>
  </si>
  <si>
    <t>REASEARCH. ASST.</t>
  </si>
  <si>
    <t>TRAINING AND INTERNATIONAL COOP</t>
  </si>
  <si>
    <t>REKIYA IBRAHIM ATTAH</t>
  </si>
  <si>
    <t>DEPUTY DIRECTOR TRAINING</t>
  </si>
  <si>
    <t>DR FRANCIS NDUM OJIE</t>
  </si>
  <si>
    <t>CHIEF TRAINING OFFICER</t>
  </si>
  <si>
    <t>ABUBAKAR MOHAMMED BASHIR</t>
  </si>
  <si>
    <t>ASST. CHIEF TRAINING OFFICER</t>
  </si>
  <si>
    <t>OKECHUKWU UCHENNA HULDA</t>
  </si>
  <si>
    <t xml:space="preserve">TRAINING OFFICER </t>
  </si>
  <si>
    <t>10(11)</t>
  </si>
  <si>
    <t>LIBRARY AND DOCUMENTATION</t>
  </si>
  <si>
    <t>DR MAIMUNA IZAH</t>
  </si>
  <si>
    <t>INSITUTE LIBRARIAN</t>
  </si>
  <si>
    <t>CATHERINE E. IKOKOH</t>
  </si>
  <si>
    <t>SNR RESEARCH FELLOW DOCU</t>
  </si>
  <si>
    <t>ALIYU SANNI ABUBAKAR</t>
  </si>
  <si>
    <t>RESEARCH FELLOW 11 DATA &amp; DOCU</t>
  </si>
  <si>
    <t>CHINAKO N. ASOGWA</t>
  </si>
  <si>
    <t>AMOS ABA</t>
  </si>
  <si>
    <t>LIBRARY ASSISTANT</t>
  </si>
  <si>
    <t>TITILAYO DANIEL MARVELLOUS</t>
  </si>
  <si>
    <t>ENENCHE JEREMIAH AGADA</t>
  </si>
  <si>
    <t>FINANCE &amp; ACCOUNT</t>
  </si>
  <si>
    <t>IBRAHIM M. MSHELIA</t>
  </si>
  <si>
    <t>DIR. FINANCE &amp; ACCOUNTS</t>
  </si>
  <si>
    <t>KABIR MUHAMMAD SULAIMAN</t>
  </si>
  <si>
    <t>DD FINANCE &amp; ACCOUNTS</t>
  </si>
  <si>
    <t>16(9)</t>
  </si>
  <si>
    <t>RAHILA NURUDEEN HABU</t>
  </si>
  <si>
    <t>ASST. DIRECTOR, ACCOUNTS</t>
  </si>
  <si>
    <t>TONDO IORWUESE EDWARD</t>
  </si>
  <si>
    <t>ARAOYE GANIYAT TITILOLA</t>
  </si>
  <si>
    <t>15(7)</t>
  </si>
  <si>
    <t>SHEHU ABDULLAHI</t>
  </si>
  <si>
    <t>ASST. CHIEF ACCOUNT OFFICER</t>
  </si>
  <si>
    <t>OJOGIWA ABISOLA GANIAT</t>
  </si>
  <si>
    <t>ASST. CHIEF BUDGET OFFICER</t>
  </si>
  <si>
    <t>RAHILA SALIHU</t>
  </si>
  <si>
    <t>ASST. CHIEF ACCOUNTOFFICER</t>
  </si>
  <si>
    <t>SALMAN RABBIAT BOLATITO</t>
  </si>
  <si>
    <t>13 (8)</t>
  </si>
  <si>
    <t>HUSSAIN HAZEEM</t>
  </si>
  <si>
    <t>ACCOUNT. OFFICER</t>
  </si>
  <si>
    <t>MUNIRAT JIMOH</t>
  </si>
  <si>
    <t>ACCOUNT ASSISTANT</t>
  </si>
  <si>
    <t>11</t>
  </si>
  <si>
    <t>ADMINISTRATION &amp; HUMAN RESOURCE</t>
  </si>
  <si>
    <t>DR KABIR AHMED</t>
  </si>
  <si>
    <t>DIR.ADMIN &amp; HR</t>
  </si>
  <si>
    <t>AMINU BELLO DUKKU</t>
  </si>
  <si>
    <t>DIR ADMIN</t>
  </si>
  <si>
    <t>MAGAJI BALA</t>
  </si>
  <si>
    <t>DD ADMIN</t>
  </si>
  <si>
    <t>ARCH. TIJO ZARA BORYO</t>
  </si>
  <si>
    <t>ASST. DIRECTOR, ASSETS/MAINT.</t>
  </si>
  <si>
    <t>PRISCILLA NKECHI CHUWKU</t>
  </si>
  <si>
    <t>ASST. DIRECTOR, HUMAN RESOURCES</t>
  </si>
  <si>
    <t>SIMON YAKUBU WAKAWA</t>
  </si>
  <si>
    <t>CHIEF , ASSETS &amp; MAINT. OFFICER</t>
  </si>
  <si>
    <t>SALAMATU YAKUBU</t>
  </si>
  <si>
    <t>CHIEF ADMIN OFFICER</t>
  </si>
  <si>
    <t>MOHAMMED R. ADAMU</t>
  </si>
  <si>
    <t>PRINCIPAL CONF. SECRETARY</t>
  </si>
  <si>
    <t>EROMOSELE OMONIGBO</t>
  </si>
  <si>
    <t>PRINCIPAL PERSONNEL OFFICER</t>
  </si>
  <si>
    <t>OGUNYOMI ROTIMI</t>
  </si>
  <si>
    <t>OMOUDU QUEEN PRISCILLA</t>
  </si>
  <si>
    <t>JUWAIRATU ABDULSALAM ISAH</t>
  </si>
  <si>
    <t>SENIOR CONFIDENTIAL SECR</t>
  </si>
  <si>
    <t>ABDULWAHAB DAHIRU</t>
  </si>
  <si>
    <t>ADMIN OFFICER</t>
  </si>
  <si>
    <t>BASSEY NSONGURUA UDOFIA</t>
  </si>
  <si>
    <t>CONFIDENTIAL SECRETARY</t>
  </si>
  <si>
    <t>YUSIF SADIQ SANI</t>
  </si>
  <si>
    <t>STELLA NGOZI PAUL</t>
  </si>
  <si>
    <t>OWOEYE TOSIN KAYODE</t>
  </si>
  <si>
    <t>ISERE RICHARD KANTEE</t>
  </si>
  <si>
    <t>SNR ADMIN OFFICER</t>
  </si>
  <si>
    <t>FAROOQ ONOKIJIPA</t>
  </si>
  <si>
    <t>ADMIN. OFFICER</t>
  </si>
  <si>
    <t>NAZIRU RABIU IBRAHIM</t>
  </si>
  <si>
    <t>GIDEON B. LAMIDO</t>
  </si>
  <si>
    <t>ASST OFFICER ASSETS &amp; MAINT</t>
  </si>
  <si>
    <t>IWODI ENE JUDITH</t>
  </si>
  <si>
    <t>SARATU H. GWALEM</t>
  </si>
  <si>
    <t>ADMIN. ASSISTANT DLSS</t>
  </si>
  <si>
    <t>BUKOLA HAUWA SHIRU</t>
  </si>
  <si>
    <t>ADMIN. ASST.</t>
  </si>
  <si>
    <t>OLOLADE ABRU IDOWU</t>
  </si>
  <si>
    <t>CHRISTABEL UKOH</t>
  </si>
  <si>
    <t>HARUNA MUSA</t>
  </si>
  <si>
    <t>YAHAYA ADAMU ABDULHAMID</t>
  </si>
  <si>
    <t>ASST. OFF. ASSET &amp; MAINT.t.</t>
  </si>
  <si>
    <t>AYUBA SULE</t>
  </si>
  <si>
    <t>DISPATCH OFFICER</t>
  </si>
  <si>
    <t>OLATUNJI OYEDELE YUSUF</t>
  </si>
  <si>
    <t>CHIEF DRIVER</t>
  </si>
  <si>
    <t>7(4)</t>
  </si>
  <si>
    <t>TASIU MOHAMMED</t>
  </si>
  <si>
    <t>NAMADI IDRIS UMAR</t>
  </si>
  <si>
    <t>DANJUMA KAGADAMA</t>
  </si>
  <si>
    <t>ALFRED ISABU</t>
  </si>
  <si>
    <t>ALIYU YAKUBU</t>
  </si>
  <si>
    <t>ABDULLAHI HARUNA</t>
  </si>
  <si>
    <t>OGABO OGAH USMAN</t>
  </si>
  <si>
    <t>SENIOR DRIVER</t>
  </si>
  <si>
    <t>5(13)</t>
  </si>
  <si>
    <t>ETSU UMARU</t>
  </si>
  <si>
    <t xml:space="preserve">MURTALA LAWAL </t>
  </si>
  <si>
    <t>EDACHE  OGA</t>
  </si>
  <si>
    <t>YUGUDA S. IDRIS</t>
  </si>
  <si>
    <t>GARBA ADAMU</t>
  </si>
  <si>
    <t>BAKARI HUSSEINI</t>
  </si>
  <si>
    <t>YUNUSA ABDULMUMINI ELEOJO</t>
  </si>
  <si>
    <t>5(10)</t>
  </si>
  <si>
    <t>JOHN GIMAH</t>
  </si>
  <si>
    <t>ABUBAKAR MUSA DANLAMI</t>
  </si>
  <si>
    <t>5(11)</t>
  </si>
  <si>
    <t>OYINLOLA ISMAHEEL TAIWO</t>
  </si>
  <si>
    <t>5(9)</t>
  </si>
  <si>
    <t>IBRAHIM ZAKARI AHMAD</t>
  </si>
  <si>
    <t>DRIVER</t>
  </si>
  <si>
    <t>5 (8)</t>
  </si>
  <si>
    <t>SHEDRACK NASARA M.</t>
  </si>
  <si>
    <t>IBRAHIM ALIYU</t>
  </si>
  <si>
    <t>ABUBAKAR AMINU DOLE</t>
  </si>
  <si>
    <t>DARAMOLA SANJO SAMSON</t>
  </si>
  <si>
    <t>ABDULLAHI YUSUF</t>
  </si>
  <si>
    <t>5(8)</t>
  </si>
  <si>
    <t>SUNDAY ADEYI</t>
  </si>
  <si>
    <t>JONATHAN GABRIEL</t>
  </si>
  <si>
    <t>4(10)</t>
  </si>
  <si>
    <t>ZHOKWO PETER</t>
  </si>
  <si>
    <t>JOHN ETIMBUK UDO</t>
  </si>
  <si>
    <t>LAWAL TANIMU</t>
  </si>
  <si>
    <t>4(8)</t>
  </si>
  <si>
    <t>58</t>
  </si>
  <si>
    <t>GRAND TOTAL</t>
  </si>
  <si>
    <t>PREPARED BY:</t>
  </si>
  <si>
    <t>SIGNATURE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</si>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</sst>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.00_);_(* \(#,##0.00\);_(* &quot;-&quot;??_);_(@_)"/>
  </numFmts>
  <fonts count="14" x14ac:knownFonts="1">
    <font>
      <sz val="10"/>
      <name val="Arial"/>
    </font>
    <font>
      <sz val="14"/>
      <name val="Times New Roman"/>
      <family val="1"/>
    </font>
    <font>
      <b/>
      <u val="double"/>
      <sz val="14"/>
      <name val="Times New Roman"/>
      <family val="1"/>
    </font>
    <font>
      <b/>
      <u/>
      <sz val="14"/>
      <name val="Times New Roman"/>
      <family val="1"/>
    </font>
    <font>
      <sz val="14"/>
      <color indexed="9"/>
      <name val="Times New Roman"/>
      <family val="1"/>
    </font>
    <font>
      <b/>
      <sz val="14"/>
      <name val="Times New Roman"/>
      <family val="1"/>
    </font>
    <font>
      <sz val="14"/>
      <color indexed="8"/>
      <name val="Times New Roman"/>
      <family val="1"/>
    </font>
    <font>
      <b/>
      <sz val="14"/>
      <color indexed="8"/>
      <name val="Times New Roman"/>
      <family val="1"/>
    </font>
    <font>
      <b/>
      <strike/>
      <sz val="14"/>
      <name val="Times New Roman"/>
      <family val="1"/>
    </font>
    <font>
      <sz val="10"/>
      <name val="Arial"/>
      <family val="2"/>
    </font>
    <font>
      <sz val="14"/>
      <color theme="1"/>
      <name val="Times New Roman"/>
      <family val="1"/>
    </font>
    <font>
      <b/>
      <u val="singleAccounting"/>
      <sz val="14"/>
      <name val="Times New Roman"/>
      <family val="1"/>
    </font>
    <font>
      <sz val="12"/>
      <name val="Tahoma"/>
      <family val="2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9" fillId="0" borderId="0" applyFont="0" applyFill="0" applyBorder="0" applyAlignment="0" applyProtection="0"/>
  </cellStyleXfs>
  <cellXfs count="9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/>
    </xf>
    <xf numFmtId="4" fontId="1" fillId="0" borderId="0" xfId="0" applyNumberFormat="1" applyFont="1"/>
    <xf numFmtId="0" fontId="3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17" fontId="3" fillId="0" borderId="0" xfId="0" applyNumberFormat="1" applyFont="1" applyAlignment="1">
      <alignment horizontal="left"/>
    </xf>
    <xf numFmtId="4" fontId="4" fillId="0" borderId="0" xfId="0" applyNumberFormat="1" applyFont="1"/>
    <xf numFmtId="0" fontId="4" fillId="0" borderId="0" xfId="0" applyFont="1"/>
    <xf numFmtId="0" fontId="3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1" fillId="0" borderId="1" xfId="0" applyFont="1" applyBorder="1"/>
    <xf numFmtId="0" fontId="5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wrapText="1"/>
    </xf>
    <xf numFmtId="0" fontId="5" fillId="0" borderId="1" xfId="0" applyFont="1" applyBorder="1"/>
    <xf numFmtId="0" fontId="3" fillId="0" borderId="1" xfId="0" applyFont="1" applyBorder="1" applyAlignment="1">
      <alignment horizontal="center" wrapText="1"/>
    </xf>
    <xf numFmtId="49" fontId="6" fillId="0" borderId="1" xfId="0" applyNumberFormat="1" applyFont="1" applyBorder="1" applyAlignment="1">
      <alignment horizontal="left"/>
    </xf>
    <xf numFmtId="49" fontId="7" fillId="0" borderId="1" xfId="0" applyNumberFormat="1" applyFont="1" applyBorder="1" applyAlignment="1">
      <alignment horizontal="left"/>
    </xf>
    <xf numFmtId="0" fontId="8" fillId="0" borderId="1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49" fontId="1" fillId="0" borderId="2" xfId="0" applyNumberFormat="1" applyFont="1" applyBorder="1" applyAlignment="1">
      <alignment wrapText="1"/>
    </xf>
    <xf numFmtId="49" fontId="1" fillId="0" borderId="1" xfId="0" applyNumberFormat="1" applyFont="1" applyBorder="1" applyAlignment="1">
      <alignment horizontal="left"/>
    </xf>
    <xf numFmtId="164" fontId="1" fillId="0" borderId="1" xfId="1" applyFont="1" applyFill="1" applyBorder="1" applyAlignment="1">
      <alignment horizontal="right"/>
    </xf>
    <xf numFmtId="164" fontId="1" fillId="0" borderId="1" xfId="1" applyFont="1" applyBorder="1"/>
    <xf numFmtId="164" fontId="1" fillId="0" borderId="0" xfId="0" applyNumberFormat="1" applyFont="1"/>
    <xf numFmtId="49" fontId="1" fillId="0" borderId="1" xfId="0" applyNumberFormat="1" applyFont="1" applyBorder="1" applyAlignment="1">
      <alignment horizontal="center"/>
    </xf>
    <xf numFmtId="164" fontId="1" fillId="0" borderId="1" xfId="1" quotePrefix="1" applyFont="1" applyFill="1" applyBorder="1" applyAlignment="1">
      <alignment horizontal="right"/>
    </xf>
    <xf numFmtId="0" fontId="1" fillId="0" borderId="2" xfId="0" applyFont="1" applyBorder="1" applyAlignment="1">
      <alignment wrapText="1"/>
    </xf>
    <xf numFmtId="0" fontId="1" fillId="0" borderId="3" xfId="0" applyFont="1" applyBorder="1"/>
    <xf numFmtId="0" fontId="1" fillId="0" borderId="3" xfId="0" applyFont="1" applyBorder="1" applyAlignment="1">
      <alignment horizontal="center"/>
    </xf>
    <xf numFmtId="164" fontId="1" fillId="0" borderId="3" xfId="1" applyFont="1" applyFill="1" applyBorder="1" applyAlignment="1">
      <alignment horizontal="right"/>
    </xf>
    <xf numFmtId="164" fontId="1" fillId="0" borderId="3" xfId="1" quotePrefix="1" applyFont="1" applyFill="1" applyBorder="1" applyAlignment="1">
      <alignment horizontal="right"/>
    </xf>
    <xf numFmtId="20" fontId="1" fillId="0" borderId="1" xfId="0" applyNumberFormat="1" applyFont="1" applyBorder="1" applyAlignment="1">
      <alignment horizontal="center"/>
    </xf>
    <xf numFmtId="49" fontId="1" fillId="2" borderId="2" xfId="0" applyNumberFormat="1" applyFont="1" applyFill="1" applyBorder="1" applyAlignment="1">
      <alignment wrapText="1"/>
    </xf>
    <xf numFmtId="0" fontId="1" fillId="2" borderId="1" xfId="0" applyFont="1" applyFill="1" applyBorder="1" applyAlignment="1">
      <alignment horizontal="left"/>
    </xf>
    <xf numFmtId="0" fontId="1" fillId="2" borderId="1" xfId="0" applyFont="1" applyFill="1" applyBorder="1" applyAlignment="1">
      <alignment horizontal="center"/>
    </xf>
    <xf numFmtId="164" fontId="1" fillId="2" borderId="1" xfId="1" quotePrefix="1" applyFont="1" applyFill="1" applyBorder="1" applyAlignment="1">
      <alignment horizontal="right"/>
    </xf>
    <xf numFmtId="164" fontId="5" fillId="0" borderId="1" xfId="1" applyFont="1" applyFill="1" applyBorder="1" applyAlignment="1">
      <alignment horizontal="right"/>
    </xf>
    <xf numFmtId="49" fontId="1" fillId="0" borderId="1" xfId="0" applyNumberFormat="1" applyFont="1" applyBorder="1" applyAlignment="1">
      <alignment wrapText="1"/>
    </xf>
    <xf numFmtId="49" fontId="1" fillId="0" borderId="2" xfId="0" applyNumberFormat="1" applyFont="1" applyBorder="1" applyAlignment="1">
      <alignment horizontal="left" wrapText="1"/>
    </xf>
    <xf numFmtId="0" fontId="1" fillId="0" borderId="0" xfId="0" applyFont="1" applyAlignment="1">
      <alignment horizontal="center"/>
    </xf>
    <xf numFmtId="0" fontId="10" fillId="0" borderId="2" xfId="0" applyFont="1" applyBorder="1" applyAlignment="1">
      <alignment wrapText="1"/>
    </xf>
    <xf numFmtId="20" fontId="1" fillId="0" borderId="3" xfId="0" applyNumberFormat="1" applyFont="1" applyBorder="1" applyAlignment="1">
      <alignment horizontal="center"/>
    </xf>
    <xf numFmtId="43" fontId="1" fillId="0" borderId="0" xfId="0" applyNumberFormat="1" applyFont="1"/>
    <xf numFmtId="164" fontId="1" fillId="0" borderId="1" xfId="1" applyFont="1" applyFill="1" applyBorder="1"/>
    <xf numFmtId="49" fontId="1" fillId="2" borderId="2" xfId="0" applyNumberFormat="1" applyFont="1" applyFill="1" applyBorder="1" applyAlignment="1">
      <alignment horizontal="left" wrapText="1"/>
    </xf>
    <xf numFmtId="49" fontId="5" fillId="0" borderId="1" xfId="0" applyNumberFormat="1" applyFont="1" applyBorder="1" applyAlignment="1">
      <alignment wrapText="1"/>
    </xf>
    <xf numFmtId="164" fontId="3" fillId="0" borderId="1" xfId="1" applyFont="1" applyFill="1" applyBorder="1" applyAlignment="1">
      <alignment horizontal="right"/>
    </xf>
    <xf numFmtId="164" fontId="11" fillId="0" borderId="1" xfId="1" applyFont="1" applyBorder="1"/>
    <xf numFmtId="49" fontId="5" fillId="0" borderId="1" xfId="0" applyNumberFormat="1" applyFont="1" applyBorder="1" applyAlignment="1">
      <alignment horizontal="left" wrapText="1"/>
    </xf>
    <xf numFmtId="0" fontId="1" fillId="0" borderId="1" xfId="0" applyFont="1" applyBorder="1" applyAlignment="1">
      <alignment wrapText="1"/>
    </xf>
    <xf numFmtId="0" fontId="3" fillId="0" borderId="2" xfId="0" applyFont="1" applyBorder="1" applyAlignment="1">
      <alignment wrapText="1"/>
    </xf>
    <xf numFmtId="0" fontId="3" fillId="0" borderId="1" xfId="0" applyFont="1" applyBorder="1" applyAlignment="1">
      <alignment horizontal="left"/>
    </xf>
    <xf numFmtId="0" fontId="1" fillId="2" borderId="2" xfId="0" applyFont="1" applyFill="1" applyBorder="1" applyAlignment="1">
      <alignment wrapText="1"/>
    </xf>
    <xf numFmtId="20" fontId="1" fillId="2" borderId="1" xfId="0" applyNumberFormat="1" applyFont="1" applyFill="1" applyBorder="1" applyAlignment="1">
      <alignment horizontal="center"/>
    </xf>
    <xf numFmtId="164" fontId="1" fillId="2" borderId="1" xfId="1" applyFont="1" applyFill="1" applyBorder="1" applyAlignment="1">
      <alignment horizontal="right"/>
    </xf>
    <xf numFmtId="49" fontId="5" fillId="2" borderId="2" xfId="0" applyNumberFormat="1" applyFont="1" applyFill="1" applyBorder="1" applyAlignment="1">
      <alignment wrapText="1"/>
    </xf>
    <xf numFmtId="0" fontId="5" fillId="2" borderId="1" xfId="0" applyFont="1" applyFill="1" applyBorder="1" applyAlignment="1">
      <alignment horizontal="center"/>
    </xf>
    <xf numFmtId="164" fontId="11" fillId="2" borderId="1" xfId="1" quotePrefix="1" applyFont="1" applyFill="1" applyBorder="1" applyAlignment="1">
      <alignment horizontal="right"/>
    </xf>
    <xf numFmtId="49" fontId="5" fillId="2" borderId="1" xfId="0" applyNumberFormat="1" applyFont="1" applyFill="1" applyBorder="1" applyAlignment="1">
      <alignment horizontal="left" wrapText="1"/>
    </xf>
    <xf numFmtId="164" fontId="5" fillId="2" borderId="1" xfId="1" quotePrefix="1" applyFont="1" applyFill="1" applyBorder="1" applyAlignment="1">
      <alignment horizontal="right"/>
    </xf>
    <xf numFmtId="0" fontId="1" fillId="2" borderId="1" xfId="0" applyFont="1" applyFill="1" applyBorder="1"/>
    <xf numFmtId="49" fontId="5" fillId="2" borderId="2" xfId="0" applyNumberFormat="1" applyFont="1" applyFill="1" applyBorder="1" applyAlignment="1">
      <alignment horizontal="left" wrapText="1"/>
    </xf>
    <xf numFmtId="0" fontId="1" fillId="0" borderId="0" xfId="0" applyFont="1" applyAlignment="1">
      <alignment wrapText="1"/>
    </xf>
    <xf numFmtId="49" fontId="5" fillId="0" borderId="2" xfId="0" applyNumberFormat="1" applyFont="1" applyBorder="1" applyAlignment="1">
      <alignment wrapText="1"/>
    </xf>
    <xf numFmtId="164" fontId="5" fillId="0" borderId="1" xfId="1" quotePrefix="1" applyFont="1" applyFill="1" applyBorder="1" applyAlignment="1">
      <alignment horizontal="right"/>
    </xf>
    <xf numFmtId="49" fontId="5" fillId="0" borderId="1" xfId="0" applyNumberFormat="1" applyFont="1" applyBorder="1"/>
    <xf numFmtId="164" fontId="1" fillId="0" borderId="0" xfId="1" applyFont="1"/>
    <xf numFmtId="164" fontId="11" fillId="0" borderId="1" xfId="1" quotePrefix="1" applyFont="1" applyFill="1" applyBorder="1" applyAlignment="1">
      <alignment horizontal="right"/>
    </xf>
    <xf numFmtId="49" fontId="5" fillId="0" borderId="1" xfId="0" applyNumberFormat="1" applyFont="1" applyBorder="1" applyAlignment="1">
      <alignment horizontal="center"/>
    </xf>
    <xf numFmtId="164" fontId="11" fillId="0" borderId="1" xfId="0" applyNumberFormat="1" applyFont="1" applyBorder="1"/>
    <xf numFmtId="164" fontId="5" fillId="0" borderId="1" xfId="0" applyNumberFormat="1" applyFont="1" applyBorder="1"/>
    <xf numFmtId="164" fontId="11" fillId="0" borderId="1" xfId="1" applyFont="1" applyFill="1" applyBorder="1" applyAlignment="1">
      <alignment horizontal="right"/>
    </xf>
    <xf numFmtId="164" fontId="10" fillId="0" borderId="1" xfId="1" applyFont="1" applyFill="1" applyBorder="1"/>
    <xf numFmtId="49" fontId="1" fillId="0" borderId="1" xfId="0" applyNumberFormat="1" applyFont="1" applyBorder="1" applyAlignment="1">
      <alignment horizontal="left" wrapText="1"/>
    </xf>
    <xf numFmtId="164" fontId="12" fillId="0" borderId="0" xfId="1" applyFont="1"/>
    <xf numFmtId="49" fontId="7" fillId="0" borderId="1" xfId="0" applyNumberFormat="1" applyFont="1" applyBorder="1" applyAlignment="1">
      <alignment horizontal="center"/>
    </xf>
    <xf numFmtId="49" fontId="6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left"/>
    </xf>
    <xf numFmtId="3" fontId="5" fillId="0" borderId="1" xfId="0" applyNumberFormat="1" applyFont="1" applyBorder="1" applyAlignment="1">
      <alignment horizontal="center"/>
    </xf>
    <xf numFmtId="4" fontId="5" fillId="0" borderId="1" xfId="0" applyNumberFormat="1" applyFont="1" applyBorder="1" applyAlignment="1">
      <alignment horizontal="center"/>
    </xf>
    <xf numFmtId="164" fontId="2" fillId="0" borderId="1" xfId="1" applyFont="1" applyFill="1" applyBorder="1" applyAlignment="1">
      <alignment horizontal="right"/>
    </xf>
    <xf numFmtId="4" fontId="2" fillId="0" borderId="1" xfId="0" applyNumberFormat="1" applyFont="1" applyBorder="1" applyAlignment="1">
      <alignment horizontal="center"/>
    </xf>
    <xf numFmtId="4" fontId="2" fillId="0" borderId="1" xfId="0" applyNumberFormat="1" applyFont="1" applyBorder="1" applyAlignment="1">
      <alignment horizontal="right"/>
    </xf>
    <xf numFmtId="4" fontId="5" fillId="0" borderId="1" xfId="0" applyNumberFormat="1" applyFont="1" applyBorder="1" applyAlignment="1">
      <alignment horizontal="left"/>
    </xf>
    <xf numFmtId="4" fontId="5" fillId="0" borderId="1" xfId="0" applyNumberFormat="1" applyFont="1" applyBorder="1" applyAlignment="1">
      <alignment horizontal="center"/>
    </xf>
    <xf numFmtId="0" fontId="13" fillId="0" borderId="0" xfId="0" applyFont="1"/>
    <xf numFmtId="43" fontId="13" fillId="0" borderId="0" xfId="0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4" Type="http://schemas.openxmlformats.org/officeDocument/2006/relationships/externalLink" Target="externalLinks/externalLink3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hp/Desktop/Documents%20and%20Settings/Eddie/My%20Documents/2007%20PARP%20PAYROLL%20and%20PAYSLIP%20FROM%20MAY%202007%20(version%201)%20(version%201).xls" TargetMode="External"/><Relationship Id="rId1" Type="http://schemas.openxmlformats.org/officeDocument/2006/relationships/externalLinkPath" Target="/Users/hp/Desktop/Documents%20and%20Settings/Eddie/My%20Documents/2007%20PARP%20PAYROLL%20and%20PAYSLIP%20FROM%20MAY%202007%20(version%201)%20(version%201)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TONDO/Desktop/TONDO/NHF/NHF%20April%20%202022.xlsx" TargetMode="External"/><Relationship Id="rId1" Type="http://schemas.openxmlformats.org/officeDocument/2006/relationships/externalLinkPath" Target="/Users/TONDO/Desktop/TONDO/NHF/NHF%20April%20%20202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NILS-CAP%20FO/Desktop/TONDO/NHF/NHF%20February%202020.xlsx" TargetMode="External"/><Relationship Id="rId1" Type="http://schemas.openxmlformats.org/officeDocument/2006/relationships/externalLinkPath" Target="/Users/NILS-CAP%20FO/Desktop/TONDO/NHF/NHF%20February%202020.xlsx" TargetMode="External"/></Relationships>
</file>

<file path=xl/externalLinks/_rels/externalLink4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AllExcelFiles/7%20July%5eJ%20%202022%20Salary.xlsx" TargetMode="External"/><Relationship Id="rId2" Type="http://schemas.openxmlformats.org/officeDocument/2006/relationships/externalLinkPath" Target="https://d.docs.live.net/25c3a878cf0ca188/AllExcelFiles/7%20July%5eJ%20%202022%20Salary.xlsx" TargetMode="External"/><Relationship Id="rId1" Type="http://schemas.openxmlformats.org/officeDocument/2006/relationships/externalLinkPath" Target="/25c3a878cf0ca188/AllExcelFiles/7%20July%5eJ%20%202022%20Sal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TotalSalary"/>
      <sheetName val="Sheet3"/>
      <sheetName val="Payroll"/>
      <sheetName val="May 07"/>
      <sheetName val="June 07"/>
      <sheetName val="July o7"/>
      <sheetName val="Aug 07"/>
      <sheetName val="July CL"/>
      <sheetName val="Nov 07"/>
      <sheetName val="Dec 07"/>
      <sheetName val="JAN., 08"/>
      <sheetName val="FEB 08"/>
      <sheetName val="MAR 08 - 1"/>
      <sheetName val="New April 08 "/>
      <sheetName val="May 08"/>
      <sheetName val="June 08"/>
      <sheetName val="June 08 SR"/>
      <sheetName val="May 08 SR"/>
      <sheetName val="Sheet7"/>
      <sheetName val="Sheet1"/>
      <sheetName val="APRIL O8"/>
      <sheetName val="Sheet5"/>
      <sheetName val="Sheet6"/>
      <sheetName val="Sheet4"/>
      <sheetName val="mar 08 pl"/>
      <sheetName val="MAR 08 S2"/>
      <sheetName val="dec 07 pl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>
        <row r="8">
          <cell r="E8">
            <v>85800</v>
          </cell>
          <cell r="F8">
            <v>117000</v>
          </cell>
          <cell r="M8">
            <v>390000</v>
          </cell>
          <cell r="Q8">
            <v>390000</v>
          </cell>
        </row>
      </sheetData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April 2022"/>
      <sheetName val="Sheet2"/>
    </sheetNames>
    <sheetDataSet>
      <sheetData sheetId="0" refreshError="1">
        <row r="20">
          <cell r="H20">
            <v>837.6875</v>
          </cell>
        </row>
        <row r="21">
          <cell r="H21">
            <v>2043.5005000000001</v>
          </cell>
        </row>
        <row r="22">
          <cell r="H22">
            <v>837.6875</v>
          </cell>
        </row>
        <row r="23">
          <cell r="H23">
            <v>712.24525000000006</v>
          </cell>
        </row>
        <row r="24">
          <cell r="H24">
            <v>618.53150000000005</v>
          </cell>
        </row>
        <row r="25">
          <cell r="H25">
            <v>837.6875</v>
          </cell>
        </row>
        <row r="26">
          <cell r="H26">
            <v>1028.9422500000001</v>
          </cell>
        </row>
        <row r="27">
          <cell r="H27">
            <v>668.31625000000008</v>
          </cell>
        </row>
        <row r="28">
          <cell r="H28">
            <v>837.6875</v>
          </cell>
        </row>
        <row r="29">
          <cell r="H29">
            <v>2043.5005000000001</v>
          </cell>
        </row>
        <row r="30">
          <cell r="H30">
            <v>469.48250000000002</v>
          </cell>
        </row>
        <row r="32">
          <cell r="H32">
            <v>837.6875</v>
          </cell>
        </row>
        <row r="34">
          <cell r="H34">
            <v>2043.5005000000001</v>
          </cell>
        </row>
        <row r="35">
          <cell r="H35">
            <v>658.48250000000007</v>
          </cell>
        </row>
        <row r="36">
          <cell r="H36">
            <v>444.60249999999996</v>
          </cell>
        </row>
        <row r="37">
          <cell r="H37">
            <v>837.6875</v>
          </cell>
        </row>
        <row r="38">
          <cell r="H38">
            <v>618.53150000000005</v>
          </cell>
        </row>
        <row r="39">
          <cell r="H39">
            <v>226.2535</v>
          </cell>
        </row>
        <row r="40">
          <cell r="H40">
            <v>538.02200000000005</v>
          </cell>
        </row>
        <row r="41">
          <cell r="H41">
            <v>538.02200000000005</v>
          </cell>
        </row>
        <row r="43">
          <cell r="H43">
            <v>457.041</v>
          </cell>
        </row>
        <row r="44">
          <cell r="H44">
            <v>690.28075000000001</v>
          </cell>
        </row>
        <row r="45">
          <cell r="H45">
            <v>538.02200000000005</v>
          </cell>
        </row>
        <row r="46">
          <cell r="H46">
            <v>618.53150000000005</v>
          </cell>
        </row>
        <row r="47">
          <cell r="H47">
            <v>668.31625000000008</v>
          </cell>
        </row>
        <row r="48">
          <cell r="H48">
            <v>618.53150000000005</v>
          </cell>
        </row>
        <row r="49">
          <cell r="H49">
            <v>837.6875</v>
          </cell>
        </row>
        <row r="50">
          <cell r="H50">
            <v>668.31625000000008</v>
          </cell>
        </row>
        <row r="51">
          <cell r="H51">
            <v>226.2535</v>
          </cell>
        </row>
        <row r="52">
          <cell r="H52">
            <v>576.87475000000006</v>
          </cell>
        </row>
        <row r="53">
          <cell r="H53">
            <v>337.30525</v>
          </cell>
        </row>
        <row r="54">
          <cell r="H54">
            <v>668.31625000000008</v>
          </cell>
        </row>
      </sheetData>
      <sheetData sheetId="1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DECEMBER 2019"/>
      <sheetName val="Sheet2"/>
    </sheetNames>
    <sheetDataSet>
      <sheetData sheetId="0">
        <row r="22">
          <cell r="H22">
            <v>618.53150000000005</v>
          </cell>
        </row>
        <row r="35">
          <cell r="H35">
            <v>837.6875</v>
          </cell>
        </row>
        <row r="38">
          <cell r="H38">
            <v>837.6875</v>
          </cell>
        </row>
      </sheetData>
      <sheetData sheetId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July, 2022"/>
      <sheetName val="MEMO 1"/>
      <sheetName val="New staff"/>
      <sheetName val="Annual Increement"/>
      <sheetName val="Enhanced Welfare 2022"/>
      <sheetName val="13 month"/>
      <sheetName val="Salah Welfare"/>
      <sheetName val="Sheet3"/>
      <sheetName val="Promotion"/>
      <sheetName val="Library"/>
      <sheetName val="New staff (3)"/>
      <sheetName val="Welfare 2"/>
      <sheetName val="ADjustment"/>
      <sheetName val="Hardship 2"/>
      <sheetName val="ADDITIONAL STAFF"/>
      <sheetName val="ANNUAL INCREMENT"/>
      <sheetName val="ARREARS"/>
      <sheetName val="Housing 2021 4 to 10"/>
      <sheetName val="Housing 2021"/>
      <sheetName val="HARDSHIP"/>
      <sheetName val="Welfare"/>
      <sheetName val="Sheet2"/>
      <sheetName val="17.9"/>
      <sheetName val="16.7"/>
      <sheetName val="15.7.1"/>
      <sheetName val="13.7"/>
      <sheetName val="12.7"/>
      <sheetName val="10.7"/>
      <sheetName val="9.7"/>
      <sheetName val="8.7"/>
      <sheetName val="SUMMARY"/>
      <sheetName val="14.7"/>
      <sheetName val="15.7"/>
      <sheetName val="Basic Salary"/>
      <sheetName val="Noninal rol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4">
          <cell r="AB4">
            <v>41432.938524999998</v>
          </cell>
        </row>
        <row r="5">
          <cell r="AB5">
            <v>39820.116654999998</v>
          </cell>
        </row>
        <row r="6">
          <cell r="AB6">
            <v>25333.447479999999</v>
          </cell>
        </row>
        <row r="7">
          <cell r="AB7">
            <v>24949.771000000001</v>
          </cell>
        </row>
        <row r="8">
          <cell r="AB8">
            <v>24566.195445000001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84F62B-F4B1-43B3-B3A4-BD237A5C124E}">
  <dimension ref="A1:AE203"/>
  <sheetViews>
    <sheetView tabSelected="1" view="pageBreakPreview" zoomScaleNormal="100" zoomScaleSheetLayoutView="100" workbookViewId="0">
      <pane xSplit="3" ySplit="9" topLeftCell="V129" activePane="bottomRight" state="frozen"/>
      <selection pane="topRight" activeCell="E1" sqref="E1"/>
      <selection pane="bottomLeft" activeCell="A10" sqref="A10"/>
      <selection pane="bottomRight" activeCell="V129" sqref="V129"/>
    </sheetView>
  </sheetViews>
  <sheetFormatPr defaultColWidth="9.140625" defaultRowHeight="20.100000000000001" customHeight="1" x14ac:dyDescent="0.3"/>
  <cols>
    <col min="1" max="1" width="4.5703125" style="1" customWidth="1"/>
    <col min="2" max="2" width="40.42578125" style="1" customWidth="1"/>
    <col min="3" max="3" width="24.7109375" style="1" customWidth="1"/>
    <col min="4" max="4" width="7.5703125" style="1" customWidth="1"/>
    <col min="5" max="5" width="18" style="1" customWidth="1"/>
    <col min="6" max="6" width="18.7109375" style="1" customWidth="1"/>
    <col min="7" max="7" width="23" style="1" customWidth="1"/>
    <col min="8" max="8" width="16.42578125" style="1" customWidth="1"/>
    <col min="9" max="9" width="18.140625" style="1" customWidth="1"/>
    <col min="10" max="10" width="18" style="1" customWidth="1"/>
    <col min="11" max="11" width="19.140625" style="1" customWidth="1"/>
    <col min="12" max="12" width="20" style="1" customWidth="1"/>
    <col min="13" max="13" width="24.5703125" style="1" customWidth="1"/>
    <col min="14" max="14" width="19.42578125" style="1" customWidth="1"/>
    <col min="15" max="15" width="16" style="1" customWidth="1"/>
    <col min="16" max="16" width="18.28515625" style="1" customWidth="1"/>
    <col min="17" max="17" width="20" style="1" customWidth="1"/>
    <col min="18" max="18" width="19.7109375" style="1" customWidth="1"/>
    <col min="19" max="19" width="14.140625" style="1" customWidth="1"/>
    <col min="20" max="20" width="18.28515625" style="1" customWidth="1"/>
    <col min="21" max="21" width="18.7109375" style="1" customWidth="1"/>
    <col min="22" max="23" width="18.28515625" style="1" customWidth="1"/>
    <col min="24" max="26" width="19.7109375" style="1" customWidth="1"/>
    <col min="27" max="27" width="18.28515625" style="1" bestFit="1" customWidth="1"/>
    <col min="28" max="16384" width="9.140625" style="1"/>
  </cols>
  <sheetData>
    <row r="1" spans="1:31" ht="29.25" customHeight="1" x14ac:dyDescent="0.3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AE1" s="1" t="s">
        <v>0</v>
      </c>
    </row>
    <row r="2" spans="1:31" ht="5.25" customHeight="1" x14ac:dyDescent="0.3">
      <c r="R2" s="3"/>
      <c r="S2" s="3"/>
      <c r="T2" s="3"/>
      <c r="U2" s="3"/>
      <c r="V2" s="3"/>
      <c r="W2" s="3"/>
      <c r="X2" s="3"/>
      <c r="Y2" s="3"/>
      <c r="Z2" s="3"/>
    </row>
    <row r="3" spans="1:31" ht="20.100000000000001" customHeight="1" x14ac:dyDescent="0.3">
      <c r="B3" s="4" t="s">
        <v>1</v>
      </c>
      <c r="C3" s="4"/>
      <c r="D3" s="4"/>
      <c r="E3" s="5"/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7"/>
      <c r="S3" s="7"/>
      <c r="T3" s="7"/>
      <c r="U3" s="7"/>
      <c r="V3" s="7"/>
      <c r="W3" s="7"/>
      <c r="X3" s="7"/>
      <c r="Y3" s="7"/>
      <c r="Z3" s="7"/>
    </row>
    <row r="4" spans="1:31" ht="2.25" customHeight="1" x14ac:dyDescent="0.3">
      <c r="E4" s="8">
        <f>'[1]FEB 08'!E8/'[1]FEB 08'!M8</f>
        <v>0.22</v>
      </c>
      <c r="F4" s="8"/>
      <c r="G4" s="8"/>
      <c r="H4" s="8">
        <f>'[1]FEB 08'!F8/'[1]FEB 08'!Q8</f>
        <v>0.3</v>
      </c>
      <c r="I4" s="8"/>
      <c r="J4" s="8"/>
      <c r="K4" s="8"/>
      <c r="L4" s="8"/>
      <c r="M4" s="8"/>
      <c r="N4" s="8"/>
      <c r="O4" s="8"/>
      <c r="P4" s="8"/>
      <c r="Q4" s="8"/>
    </row>
    <row r="5" spans="1:31" ht="20.100000000000001" customHeight="1" x14ac:dyDescent="0.3">
      <c r="B5" s="5" t="s">
        <v>2</v>
      </c>
      <c r="C5" s="9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1" t="s">
        <v>3</v>
      </c>
      <c r="U5" s="11"/>
      <c r="V5" s="11"/>
      <c r="W5" s="11"/>
      <c r="X5" s="11"/>
      <c r="Y5" s="9"/>
      <c r="Z5" s="9" t="s">
        <v>4</v>
      </c>
    </row>
    <row r="6" spans="1:31" ht="35.450000000000003" customHeight="1" x14ac:dyDescent="0.3">
      <c r="A6" s="12"/>
      <c r="B6" s="13"/>
      <c r="C6" s="13" t="s">
        <v>5</v>
      </c>
      <c r="D6" s="13" t="s">
        <v>6</v>
      </c>
      <c r="E6" s="14" t="s">
        <v>7</v>
      </c>
      <c r="F6" s="12"/>
      <c r="G6" s="14"/>
      <c r="H6" s="14"/>
      <c r="I6" s="14"/>
      <c r="J6" s="14"/>
      <c r="K6" s="14"/>
      <c r="L6" s="14" t="s">
        <v>8</v>
      </c>
      <c r="M6" s="14" t="s">
        <v>9</v>
      </c>
      <c r="N6" s="14" t="s">
        <v>10</v>
      </c>
      <c r="O6" s="14" t="s">
        <v>11</v>
      </c>
      <c r="P6" s="14" t="s">
        <v>12</v>
      </c>
      <c r="Q6" s="14" t="s">
        <v>13</v>
      </c>
      <c r="R6" s="14" t="s">
        <v>14</v>
      </c>
      <c r="S6" s="14"/>
      <c r="T6" s="14"/>
      <c r="U6" s="14"/>
      <c r="V6" s="14"/>
      <c r="W6" s="15"/>
      <c r="X6" s="15"/>
      <c r="Y6" s="16" t="s">
        <v>15</v>
      </c>
      <c r="Z6" s="16" t="s">
        <v>16</v>
      </c>
    </row>
    <row r="7" spans="1:31" ht="48" customHeight="1" x14ac:dyDescent="0.3">
      <c r="A7" s="12"/>
      <c r="B7" s="17"/>
      <c r="C7" s="13"/>
      <c r="D7" s="13" t="s">
        <v>17</v>
      </c>
      <c r="E7" s="14" t="s">
        <v>18</v>
      </c>
      <c r="F7" s="18" t="s">
        <v>19</v>
      </c>
      <c r="G7" s="14" t="s">
        <v>20</v>
      </c>
      <c r="H7" s="14" t="s">
        <v>21</v>
      </c>
      <c r="I7" s="14" t="s">
        <v>22</v>
      </c>
      <c r="J7" s="14" t="s">
        <v>23</v>
      </c>
      <c r="K7" s="14" t="s">
        <v>24</v>
      </c>
      <c r="L7" s="14" t="s">
        <v>25</v>
      </c>
      <c r="M7" s="14" t="s">
        <v>26</v>
      </c>
      <c r="N7" s="14" t="s">
        <v>26</v>
      </c>
      <c r="O7" s="14" t="s">
        <v>27</v>
      </c>
      <c r="P7" s="14" t="s">
        <v>27</v>
      </c>
      <c r="Q7" s="14" t="s">
        <v>28</v>
      </c>
      <c r="R7" s="14" t="s">
        <v>18</v>
      </c>
      <c r="S7" s="18" t="s">
        <v>29</v>
      </c>
      <c r="T7" s="18" t="s">
        <v>30</v>
      </c>
      <c r="U7" s="18" t="s">
        <v>31</v>
      </c>
      <c r="V7" s="18" t="s">
        <v>32</v>
      </c>
      <c r="W7" s="14" t="s">
        <v>33</v>
      </c>
      <c r="X7" s="14" t="s">
        <v>34</v>
      </c>
      <c r="Y7" s="14"/>
      <c r="Z7" s="14"/>
    </row>
    <row r="8" spans="1:31" ht="20.100000000000001" customHeight="1" x14ac:dyDescent="0.3">
      <c r="A8" s="17" t="s">
        <v>35</v>
      </c>
      <c r="B8" s="19" t="s">
        <v>36</v>
      </c>
      <c r="C8" s="20"/>
      <c r="D8" s="20"/>
      <c r="E8" s="21" t="s">
        <v>37</v>
      </c>
      <c r="F8" s="15"/>
      <c r="G8" s="21"/>
      <c r="H8" s="21" t="s">
        <v>37</v>
      </c>
      <c r="I8" s="21"/>
      <c r="J8" s="21"/>
      <c r="K8" s="21"/>
      <c r="L8" s="21"/>
      <c r="M8" s="21"/>
      <c r="N8" s="21"/>
      <c r="O8" s="21"/>
      <c r="P8" s="21"/>
      <c r="Q8" s="21"/>
      <c r="R8" s="21" t="s">
        <v>37</v>
      </c>
      <c r="S8" s="21"/>
      <c r="T8" s="21"/>
      <c r="U8" s="21"/>
      <c r="V8" s="21"/>
      <c r="W8" s="21" t="s">
        <v>37</v>
      </c>
      <c r="X8" s="21"/>
      <c r="Y8" s="21"/>
      <c r="Z8" s="21"/>
    </row>
    <row r="9" spans="1:31" ht="20.100000000000001" customHeight="1" x14ac:dyDescent="0.3">
      <c r="A9" s="22">
        <v>1</v>
      </c>
      <c r="B9" s="23" t="s">
        <v>38</v>
      </c>
      <c r="C9" s="24" t="s">
        <v>39</v>
      </c>
      <c r="D9" s="24" t="s">
        <v>40</v>
      </c>
      <c r="E9" s="25">
        <v>160488.75</v>
      </c>
      <c r="F9" s="25"/>
      <c r="G9" s="25">
        <v>320977.5</v>
      </c>
      <c r="H9" s="25">
        <v>48146.63</v>
      </c>
      <c r="I9" s="25">
        <v>120366.57</v>
      </c>
      <c r="J9" s="25">
        <v>72219.94</v>
      </c>
      <c r="K9" s="25">
        <v>0</v>
      </c>
      <c r="L9" s="25">
        <v>120366.57</v>
      </c>
      <c r="M9" s="26">
        <f>250000</f>
        <v>250000</v>
      </c>
      <c r="N9" s="26"/>
      <c r="O9" s="25">
        <v>16048.88</v>
      </c>
      <c r="P9" s="25">
        <v>25000</v>
      </c>
      <c r="Q9" s="25">
        <v>25235</v>
      </c>
      <c r="R9" s="25">
        <f>Q9+P9+O9+N9+M9+L9+K9+J9+I9+H9+G9+F9+E9</f>
        <v>1158849.8399999999</v>
      </c>
      <c r="S9" s="25"/>
      <c r="T9" s="25"/>
      <c r="U9" s="25"/>
      <c r="V9" s="25"/>
      <c r="W9" s="25">
        <v>113176.97</v>
      </c>
      <c r="X9" s="25">
        <f>W9+V9+U9+T9+S9</f>
        <v>113176.97</v>
      </c>
      <c r="Y9" s="25">
        <v>1045672.8699999999</v>
      </c>
      <c r="Z9" s="25">
        <f t="shared" ref="Z9:Z32" si="0">R9-X9</f>
        <v>1045672.8699999999</v>
      </c>
      <c r="AA9" s="27"/>
    </row>
    <row r="10" spans="1:31" ht="20.100000000000001" customHeight="1" x14ac:dyDescent="0.3">
      <c r="A10" s="22">
        <v>2</v>
      </c>
      <c r="B10" s="23" t="s">
        <v>41</v>
      </c>
      <c r="C10" s="24" t="s">
        <v>42</v>
      </c>
      <c r="D10" s="28" t="s">
        <v>43</v>
      </c>
      <c r="E10" s="29">
        <v>81740.02</v>
      </c>
      <c r="F10" s="29"/>
      <c r="G10" s="29">
        <f>E10*300%</f>
        <v>245220.06</v>
      </c>
      <c r="H10" s="29">
        <f>E10*7.5%</f>
        <v>6130.5015000000003</v>
      </c>
      <c r="I10" s="29">
        <v>80244.38</v>
      </c>
      <c r="J10" s="29">
        <f>E10*50%</f>
        <v>40870.01</v>
      </c>
      <c r="K10" s="29">
        <f>E10*350%</f>
        <v>286090.07</v>
      </c>
      <c r="L10" s="29">
        <f>E10*100%</f>
        <v>81740.02</v>
      </c>
      <c r="M10" s="26">
        <f>200000</f>
        <v>200000</v>
      </c>
      <c r="N10" s="26"/>
      <c r="O10" s="29">
        <f>E10*10%</f>
        <v>8174.0020000000004</v>
      </c>
      <c r="P10" s="29">
        <v>20000</v>
      </c>
      <c r="Q10" s="29">
        <v>0</v>
      </c>
      <c r="R10" s="25">
        <f t="shared" ref="R10:R31" si="1">Q10+P10+O10+N10+M10+L10+K10+J10+I10+H10+G10+F10+E10</f>
        <v>1050209.0634999999</v>
      </c>
      <c r="S10" s="25"/>
      <c r="T10" s="25">
        <v>200000</v>
      </c>
      <c r="U10" s="25">
        <f>59722.22</f>
        <v>59722.22</v>
      </c>
      <c r="V10" s="25">
        <f>'[2]April 2022'!$H$34</f>
        <v>2043.5005000000001</v>
      </c>
      <c r="W10" s="29">
        <v>52776.63</v>
      </c>
      <c r="X10" s="25">
        <f t="shared" ref="X10:X36" si="2">W10+V10+U10+T10+S10</f>
        <v>314542.3505</v>
      </c>
      <c r="Y10" s="25">
        <v>735666.71299999999</v>
      </c>
      <c r="Z10" s="25">
        <f t="shared" si="0"/>
        <v>735666.71299999999</v>
      </c>
      <c r="AA10" s="27"/>
    </row>
    <row r="11" spans="1:31" ht="20.100000000000001" customHeight="1" x14ac:dyDescent="0.3">
      <c r="A11" s="22">
        <v>3</v>
      </c>
      <c r="B11" s="23" t="s">
        <v>44</v>
      </c>
      <c r="C11" s="12" t="s">
        <v>45</v>
      </c>
      <c r="D11" s="22" t="s">
        <v>46</v>
      </c>
      <c r="E11" s="29">
        <v>41157.69</v>
      </c>
      <c r="F11" s="29"/>
      <c r="G11" s="29">
        <f>E11*300%</f>
        <v>123473.07</v>
      </c>
      <c r="H11" s="29">
        <f>E11*7.5%</f>
        <v>3086.8267500000002</v>
      </c>
      <c r="I11" s="29">
        <v>40122.19</v>
      </c>
      <c r="J11" s="29">
        <f>E11*50%</f>
        <v>20578.845000000001</v>
      </c>
      <c r="K11" s="29">
        <f>E11*350%</f>
        <v>144051.91500000001</v>
      </c>
      <c r="L11" s="29">
        <f>E11*100%</f>
        <v>41157.69</v>
      </c>
      <c r="M11" s="26">
        <f>180000</f>
        <v>180000</v>
      </c>
      <c r="N11" s="26"/>
      <c r="O11" s="29">
        <f>E11*10%</f>
        <v>4115.7690000000002</v>
      </c>
      <c r="P11" s="29">
        <v>20000</v>
      </c>
      <c r="Q11" s="29">
        <v>150000</v>
      </c>
      <c r="R11" s="25">
        <f t="shared" si="1"/>
        <v>767743.99575</v>
      </c>
      <c r="S11" s="25"/>
      <c r="T11" s="25"/>
      <c r="U11" s="25"/>
      <c r="V11" s="25">
        <f>'[2]April 2022'!$H$26</f>
        <v>1028.9422500000001</v>
      </c>
      <c r="W11" s="29">
        <f>21618.09</f>
        <v>21618.09</v>
      </c>
      <c r="X11" s="25">
        <f t="shared" si="2"/>
        <v>22647.03225</v>
      </c>
      <c r="Y11" s="25">
        <v>745096.96349999995</v>
      </c>
      <c r="Z11" s="25">
        <f t="shared" si="0"/>
        <v>745096.96349999995</v>
      </c>
      <c r="AA11" s="27"/>
    </row>
    <row r="12" spans="1:31" ht="20.100000000000001" customHeight="1" x14ac:dyDescent="0.3">
      <c r="A12" s="22">
        <v>4</v>
      </c>
      <c r="B12" s="30" t="s">
        <v>47</v>
      </c>
      <c r="C12" s="31" t="s">
        <v>48</v>
      </c>
      <c r="D12" s="32" t="s">
        <v>46</v>
      </c>
      <c r="E12" s="33">
        <v>41157.69</v>
      </c>
      <c r="F12" s="34"/>
      <c r="G12" s="29">
        <f>E12*300%</f>
        <v>123473.07</v>
      </c>
      <c r="H12" s="29">
        <f>E12*7.5%</f>
        <v>3086.8267500000002</v>
      </c>
      <c r="I12" s="29">
        <v>40122.19</v>
      </c>
      <c r="J12" s="29">
        <f>E12*50%</f>
        <v>20578.845000000001</v>
      </c>
      <c r="K12" s="29">
        <f>E12*350%</f>
        <v>144051.91500000001</v>
      </c>
      <c r="L12" s="29">
        <f>E12*100%</f>
        <v>41157.69</v>
      </c>
      <c r="M12" s="26">
        <f>180000</f>
        <v>180000</v>
      </c>
      <c r="N12" s="26"/>
      <c r="O12" s="29">
        <f>E12*10%</f>
        <v>4115.7690000000002</v>
      </c>
      <c r="P12" s="29">
        <v>20000</v>
      </c>
      <c r="Q12" s="33">
        <f>100000</f>
        <v>100000</v>
      </c>
      <c r="R12" s="25">
        <f t="shared" si="1"/>
        <v>717743.99575</v>
      </c>
      <c r="S12" s="33"/>
      <c r="T12" s="33"/>
      <c r="U12" s="33"/>
      <c r="V12" s="33"/>
      <c r="W12" s="25">
        <f>21618.09</f>
        <v>21618.09</v>
      </c>
      <c r="X12" s="25">
        <f t="shared" si="2"/>
        <v>21618.09</v>
      </c>
      <c r="Y12" s="25">
        <v>696125.90575000003</v>
      </c>
      <c r="Z12" s="25">
        <f t="shared" si="0"/>
        <v>696125.90575000003</v>
      </c>
      <c r="AA12" s="27"/>
    </row>
    <row r="13" spans="1:31" ht="20.100000000000001" customHeight="1" x14ac:dyDescent="0.3">
      <c r="A13" s="22">
        <v>5</v>
      </c>
      <c r="B13" s="23" t="s">
        <v>49</v>
      </c>
      <c r="C13" s="24" t="s">
        <v>50</v>
      </c>
      <c r="D13" s="22" t="s">
        <v>51</v>
      </c>
      <c r="E13" s="33">
        <v>41157.69</v>
      </c>
      <c r="F13" s="34"/>
      <c r="G13" s="29">
        <f>E13*300%</f>
        <v>123473.07</v>
      </c>
      <c r="H13" s="29">
        <f>E13*7.5%</f>
        <v>3086.8267500000002</v>
      </c>
      <c r="I13" s="29">
        <v>40122.19</v>
      </c>
      <c r="J13" s="29">
        <f>E13*50%</f>
        <v>20578.845000000001</v>
      </c>
      <c r="K13" s="29">
        <f>E13*350%</f>
        <v>144051.91500000001</v>
      </c>
      <c r="L13" s="29">
        <f>E13*100%</f>
        <v>41157.69</v>
      </c>
      <c r="M13" s="26"/>
      <c r="N13" s="26">
        <f>90000</f>
        <v>90000</v>
      </c>
      <c r="O13" s="29">
        <f>E13*10%</f>
        <v>4115.7690000000002</v>
      </c>
      <c r="P13" s="29">
        <v>20000</v>
      </c>
      <c r="Q13" s="33">
        <v>0</v>
      </c>
      <c r="R13" s="25">
        <f t="shared" si="1"/>
        <v>527743.99575</v>
      </c>
      <c r="S13" s="33"/>
      <c r="T13" s="33">
        <f>100000</f>
        <v>100000</v>
      </c>
      <c r="U13" s="33"/>
      <c r="V13" s="33"/>
      <c r="W13" s="25">
        <f>21618.09</f>
        <v>21618.09</v>
      </c>
      <c r="X13" s="25">
        <f t="shared" si="2"/>
        <v>121618.09</v>
      </c>
      <c r="Y13" s="25">
        <v>406125.90575000003</v>
      </c>
      <c r="Z13" s="25">
        <f t="shared" si="0"/>
        <v>406125.90575000003</v>
      </c>
      <c r="AA13" s="27"/>
    </row>
    <row r="14" spans="1:31" ht="20.100000000000001" customHeight="1" x14ac:dyDescent="0.3">
      <c r="A14" s="22">
        <v>6</v>
      </c>
      <c r="B14" s="30" t="s">
        <v>52</v>
      </c>
      <c r="C14" s="12" t="s">
        <v>53</v>
      </c>
      <c r="D14" s="28" t="s">
        <v>54</v>
      </c>
      <c r="E14" s="29">
        <f>39662.25</f>
        <v>39662.25</v>
      </c>
      <c r="F14" s="29"/>
      <c r="G14" s="29">
        <f t="shared" ref="G14:G32" si="3">E14*300%</f>
        <v>118986.75</v>
      </c>
      <c r="H14" s="29">
        <f t="shared" ref="H14:H32" si="4">E14*7.5%</f>
        <v>2974.6687499999998</v>
      </c>
      <c r="I14" s="25">
        <v>0</v>
      </c>
      <c r="J14" s="29">
        <f>E14*50%</f>
        <v>19831.125</v>
      </c>
      <c r="K14" s="25">
        <f t="shared" ref="K14:K32" si="5">E14*350%</f>
        <v>138817.875</v>
      </c>
      <c r="L14" s="29">
        <f t="shared" ref="L14:L32" si="6">E14*100%</f>
        <v>39662.25</v>
      </c>
      <c r="M14" s="26"/>
      <c r="N14" s="26">
        <f>90000</f>
        <v>90000</v>
      </c>
      <c r="O14" s="29">
        <f t="shared" ref="O14:O32" si="7">E14*10%</f>
        <v>3966.2250000000004</v>
      </c>
      <c r="P14" s="29">
        <v>15000</v>
      </c>
      <c r="Q14" s="29">
        <f>100000+100000</f>
        <v>200000</v>
      </c>
      <c r="R14" s="25">
        <f>Q14+P14+O14+N14+M14+L14+K14+J14+I14+H14+G14+F14+E14</f>
        <v>668901.14375000005</v>
      </c>
      <c r="S14" s="25"/>
      <c r="T14" s="25"/>
      <c r="U14" s="25"/>
      <c r="V14" s="25"/>
      <c r="W14" s="29">
        <v>21618.09</v>
      </c>
      <c r="X14" s="25">
        <f>W14+V14+U14+T14+S14</f>
        <v>21618.09</v>
      </c>
      <c r="Y14" s="25">
        <v>647283.05375000008</v>
      </c>
      <c r="Z14" s="25">
        <f t="shared" si="0"/>
        <v>647283.05375000008</v>
      </c>
      <c r="AA14" s="27"/>
    </row>
    <row r="15" spans="1:31" ht="20.100000000000001" customHeight="1" x14ac:dyDescent="0.3">
      <c r="A15" s="22">
        <v>7</v>
      </c>
      <c r="B15" s="30" t="s">
        <v>55</v>
      </c>
      <c r="C15" s="12" t="s">
        <v>56</v>
      </c>
      <c r="D15" s="35" t="s">
        <v>57</v>
      </c>
      <c r="E15" s="29">
        <v>33507.5</v>
      </c>
      <c r="F15" s="29"/>
      <c r="G15" s="29">
        <f t="shared" si="3"/>
        <v>100522.5</v>
      </c>
      <c r="H15" s="29">
        <f t="shared" si="4"/>
        <v>2513.0625</v>
      </c>
      <c r="I15" s="29">
        <v>40122.19</v>
      </c>
      <c r="J15" s="29">
        <f t="shared" ref="J15:J25" si="8">E15*50%</f>
        <v>16753.75</v>
      </c>
      <c r="K15" s="29">
        <f t="shared" si="5"/>
        <v>117276.25</v>
      </c>
      <c r="L15" s="29">
        <f t="shared" si="6"/>
        <v>33507.5</v>
      </c>
      <c r="M15" s="26"/>
      <c r="N15" s="26">
        <f>80000</f>
        <v>80000</v>
      </c>
      <c r="O15" s="29">
        <f t="shared" si="7"/>
        <v>3350.75</v>
      </c>
      <c r="P15" s="29">
        <v>20000</v>
      </c>
      <c r="Q15" s="29">
        <f>100000</f>
        <v>100000</v>
      </c>
      <c r="R15" s="25">
        <f t="shared" si="1"/>
        <v>547553.50249999994</v>
      </c>
      <c r="S15" s="25"/>
      <c r="T15" s="25">
        <f>0</f>
        <v>0</v>
      </c>
      <c r="U15" s="25">
        <v>0</v>
      </c>
      <c r="V15" s="25">
        <f>'[2]April 2022'!$H$25</f>
        <v>837.6875</v>
      </c>
      <c r="W15" s="25">
        <v>15548.33</v>
      </c>
      <c r="X15" s="25">
        <f t="shared" si="2"/>
        <v>16386.017500000002</v>
      </c>
      <c r="Y15" s="25">
        <v>531167.48499999999</v>
      </c>
      <c r="Z15" s="25">
        <f t="shared" si="0"/>
        <v>531167.48499999999</v>
      </c>
      <c r="AA15" s="27"/>
    </row>
    <row r="16" spans="1:31" ht="20.100000000000001" customHeight="1" x14ac:dyDescent="0.3">
      <c r="A16" s="22">
        <v>8</v>
      </c>
      <c r="B16" s="36" t="s">
        <v>58</v>
      </c>
      <c r="C16" s="37" t="s">
        <v>59</v>
      </c>
      <c r="D16" s="38" t="s">
        <v>57</v>
      </c>
      <c r="E16" s="39">
        <v>33507.5</v>
      </c>
      <c r="F16" s="39"/>
      <c r="G16" s="39">
        <f>E16*300%</f>
        <v>100522.5</v>
      </c>
      <c r="H16" s="39">
        <f>E16*7.5%</f>
        <v>2513.0625</v>
      </c>
      <c r="I16" s="39">
        <v>40122.19</v>
      </c>
      <c r="J16" s="39">
        <f>E16*50%</f>
        <v>16753.75</v>
      </c>
      <c r="K16" s="39">
        <f>E16*350%</f>
        <v>117276.25</v>
      </c>
      <c r="L16" s="39">
        <f>E16*100%</f>
        <v>33507.5</v>
      </c>
      <c r="M16" s="26"/>
      <c r="N16" s="26">
        <f>80000</f>
        <v>80000</v>
      </c>
      <c r="O16" s="39">
        <f>E16*10%</f>
        <v>3350.75</v>
      </c>
      <c r="P16" s="39">
        <v>20000</v>
      </c>
      <c r="Q16" s="39">
        <v>0</v>
      </c>
      <c r="R16" s="25">
        <f t="shared" si="1"/>
        <v>447553.5025</v>
      </c>
      <c r="S16" s="25"/>
      <c r="T16" s="39">
        <f>50000</f>
        <v>50000</v>
      </c>
      <c r="U16" s="39">
        <f>160416.67</f>
        <v>160416.67000000001</v>
      </c>
      <c r="V16" s="39">
        <f>'[3]DECEMBER 2019'!$H$38</f>
        <v>837.6875</v>
      </c>
      <c r="W16" s="39">
        <v>15548.33</v>
      </c>
      <c r="X16" s="25">
        <f t="shared" si="2"/>
        <v>226802.6875</v>
      </c>
      <c r="Y16" s="39">
        <v>220750.815</v>
      </c>
      <c r="Z16" s="39">
        <f>R16-X16</f>
        <v>220750.815</v>
      </c>
      <c r="AA16" s="27"/>
    </row>
    <row r="17" spans="1:27" ht="20.100000000000001" customHeight="1" x14ac:dyDescent="0.3">
      <c r="A17" s="22">
        <v>9</v>
      </c>
      <c r="B17" s="30" t="s">
        <v>60</v>
      </c>
      <c r="C17" s="12" t="s">
        <v>61</v>
      </c>
      <c r="D17" s="22" t="s">
        <v>57</v>
      </c>
      <c r="E17" s="25">
        <v>33507.5</v>
      </c>
      <c r="F17" s="29"/>
      <c r="G17" s="29">
        <f t="shared" si="3"/>
        <v>100522.5</v>
      </c>
      <c r="H17" s="29">
        <f t="shared" si="4"/>
        <v>2513.0625</v>
      </c>
      <c r="I17" s="29">
        <v>40122.19</v>
      </c>
      <c r="J17" s="29">
        <f t="shared" si="8"/>
        <v>16753.75</v>
      </c>
      <c r="K17" s="29">
        <f t="shared" si="5"/>
        <v>117276.25</v>
      </c>
      <c r="L17" s="29">
        <f t="shared" si="6"/>
        <v>33507.5</v>
      </c>
      <c r="M17" s="26"/>
      <c r="N17" s="26">
        <f>80000</f>
        <v>80000</v>
      </c>
      <c r="O17" s="29">
        <f t="shared" si="7"/>
        <v>3350.75</v>
      </c>
      <c r="P17" s="29">
        <v>20000</v>
      </c>
      <c r="Q17" s="40">
        <v>0</v>
      </c>
      <c r="R17" s="25">
        <f t="shared" si="1"/>
        <v>447553.5025</v>
      </c>
      <c r="S17" s="25"/>
      <c r="T17" s="25">
        <f>20000</f>
        <v>20000</v>
      </c>
      <c r="U17" s="25">
        <f>179017.51</f>
        <v>179017.51</v>
      </c>
      <c r="V17" s="25">
        <f>'[3]DECEMBER 2019'!$H$35</f>
        <v>837.6875</v>
      </c>
      <c r="W17" s="25">
        <v>15548.33</v>
      </c>
      <c r="X17" s="25">
        <f t="shared" si="2"/>
        <v>215403.52750000003</v>
      </c>
      <c r="Y17" s="25">
        <v>232149.97499999998</v>
      </c>
      <c r="Z17" s="25">
        <f t="shared" si="0"/>
        <v>232149.97499999998</v>
      </c>
      <c r="AA17" s="27"/>
    </row>
    <row r="18" spans="1:27" ht="20.100000000000001" customHeight="1" x14ac:dyDescent="0.3">
      <c r="A18" s="22">
        <v>10</v>
      </c>
      <c r="B18" s="41" t="s">
        <v>62</v>
      </c>
      <c r="C18" s="24" t="s">
        <v>63</v>
      </c>
      <c r="D18" s="28" t="s">
        <v>57</v>
      </c>
      <c r="E18" s="29">
        <v>33507.5</v>
      </c>
      <c r="F18" s="29"/>
      <c r="G18" s="29">
        <f>E18*300%</f>
        <v>100522.5</v>
      </c>
      <c r="H18" s="29">
        <f>E18*7.5%</f>
        <v>2513.0625</v>
      </c>
      <c r="I18" s="29">
        <f>40122.19</f>
        <v>40122.19</v>
      </c>
      <c r="J18" s="29">
        <f>E18*50%</f>
        <v>16753.75</v>
      </c>
      <c r="K18" s="25">
        <f>E18*350%</f>
        <v>117276.25</v>
      </c>
      <c r="L18" s="29">
        <f>E18*100%</f>
        <v>33507.5</v>
      </c>
      <c r="M18" s="26"/>
      <c r="N18" s="26">
        <f t="shared" ref="N18:N127" si="9">80000</f>
        <v>80000</v>
      </c>
      <c r="O18" s="29">
        <f>E18*10%</f>
        <v>3350.75</v>
      </c>
      <c r="P18" s="29">
        <v>20000</v>
      </c>
      <c r="Q18" s="29">
        <v>0</v>
      </c>
      <c r="R18" s="25">
        <f>SUM(E18:Q18)</f>
        <v>447553.5025</v>
      </c>
      <c r="S18" s="25"/>
      <c r="T18" s="25">
        <f>50000</f>
        <v>50000</v>
      </c>
      <c r="U18" s="25">
        <f>90000</f>
        <v>90000</v>
      </c>
      <c r="V18" s="25">
        <f>'[2]April 2022'!$H$28</f>
        <v>837.6875</v>
      </c>
      <c r="W18" s="29">
        <f>15548.33</f>
        <v>15548.33</v>
      </c>
      <c r="X18" s="25">
        <f>W18+V18+U18+T18+S18</f>
        <v>156386.01750000002</v>
      </c>
      <c r="Y18" s="25">
        <v>291167.48499999999</v>
      </c>
      <c r="Z18" s="25">
        <f>R18-X18</f>
        <v>291167.48499999999</v>
      </c>
      <c r="AA18" s="27"/>
    </row>
    <row r="19" spans="1:27" ht="20.100000000000001" customHeight="1" x14ac:dyDescent="0.3">
      <c r="A19" s="22">
        <v>11</v>
      </c>
      <c r="B19" s="42" t="s">
        <v>64</v>
      </c>
      <c r="C19" s="24" t="s">
        <v>65</v>
      </c>
      <c r="D19" s="43" t="s">
        <v>54</v>
      </c>
      <c r="E19" s="25">
        <v>31018.84</v>
      </c>
      <c r="F19" s="29"/>
      <c r="G19" s="29">
        <f t="shared" ref="G19" si="10">E19*300%</f>
        <v>93056.52</v>
      </c>
      <c r="H19" s="29">
        <f t="shared" ref="H19" si="11">E19*7.5%</f>
        <v>2326.413</v>
      </c>
      <c r="I19" s="29">
        <v>40122.19</v>
      </c>
      <c r="J19" s="29">
        <f t="shared" ref="J19" si="12">E19*50%</f>
        <v>15509.42</v>
      </c>
      <c r="K19" s="29">
        <f t="shared" ref="K19" si="13">E19*350%</f>
        <v>108565.94</v>
      </c>
      <c r="L19" s="29">
        <f t="shared" ref="L19" si="14">E19*100%</f>
        <v>31018.84</v>
      </c>
      <c r="M19" s="26"/>
      <c r="N19" s="26">
        <f>80000</f>
        <v>80000</v>
      </c>
      <c r="O19" s="29">
        <f t="shared" ref="O19" si="15">E19*10%</f>
        <v>3101.884</v>
      </c>
      <c r="P19" s="29">
        <v>20000</v>
      </c>
      <c r="Q19" s="40">
        <v>0</v>
      </c>
      <c r="R19" s="25">
        <f t="shared" si="1"/>
        <v>424720.04700000002</v>
      </c>
      <c r="S19" s="25"/>
      <c r="T19" s="25">
        <f>50000</f>
        <v>50000</v>
      </c>
      <c r="U19" s="25">
        <f>59583.33</f>
        <v>59583.33</v>
      </c>
      <c r="V19" s="25"/>
      <c r="W19" s="25">
        <v>15548.33</v>
      </c>
      <c r="X19" s="25">
        <f t="shared" si="2"/>
        <v>125131.66</v>
      </c>
      <c r="Y19" s="25">
        <v>299588.38699999999</v>
      </c>
      <c r="Z19" s="25">
        <f t="shared" ref="Z19" si="16">R19-X19</f>
        <v>299588.38699999999</v>
      </c>
      <c r="AA19" s="27"/>
    </row>
    <row r="20" spans="1:27" ht="20.100000000000001" customHeight="1" x14ac:dyDescent="0.3">
      <c r="A20" s="22">
        <v>12</v>
      </c>
      <c r="B20" s="44" t="s">
        <v>66</v>
      </c>
      <c r="C20" s="31" t="s">
        <v>67</v>
      </c>
      <c r="D20" s="45" t="s">
        <v>68</v>
      </c>
      <c r="E20" s="34">
        <v>26732.65</v>
      </c>
      <c r="F20" s="34"/>
      <c r="G20" s="34">
        <f t="shared" si="3"/>
        <v>80197.950000000012</v>
      </c>
      <c r="H20" s="34">
        <f t="shared" si="4"/>
        <v>2004.94875</v>
      </c>
      <c r="I20" s="34"/>
      <c r="J20" s="34">
        <f t="shared" si="8"/>
        <v>13366.325000000001</v>
      </c>
      <c r="K20" s="34">
        <f t="shared" si="5"/>
        <v>93564.275000000009</v>
      </c>
      <c r="L20" s="34">
        <f t="shared" si="6"/>
        <v>26732.65</v>
      </c>
      <c r="M20" s="26"/>
      <c r="N20" s="26">
        <f t="shared" ref="N20:N23" si="17">70000</f>
        <v>70000</v>
      </c>
      <c r="O20" s="34">
        <f t="shared" si="7"/>
        <v>2673.2650000000003</v>
      </c>
      <c r="P20" s="34">
        <v>20000</v>
      </c>
      <c r="Q20" s="34">
        <v>50000</v>
      </c>
      <c r="R20" s="25">
        <f t="shared" si="1"/>
        <v>385272.06375000003</v>
      </c>
      <c r="S20" s="33"/>
      <c r="T20" s="33">
        <v>50000</v>
      </c>
      <c r="U20" s="33">
        <f>150000</f>
        <v>150000</v>
      </c>
      <c r="V20" s="33">
        <v>0</v>
      </c>
      <c r="W20" s="33">
        <v>7709.76</v>
      </c>
      <c r="X20" s="25">
        <f t="shared" si="2"/>
        <v>207709.76</v>
      </c>
      <c r="Y20" s="25">
        <v>177562.30375000002</v>
      </c>
      <c r="Z20" s="25">
        <f t="shared" si="0"/>
        <v>177562.30375000002</v>
      </c>
      <c r="AA20" s="27"/>
    </row>
    <row r="21" spans="1:27" ht="19.5" customHeight="1" x14ac:dyDescent="0.3">
      <c r="A21" s="22">
        <v>13</v>
      </c>
      <c r="B21" s="30" t="s">
        <v>69</v>
      </c>
      <c r="C21" s="31" t="s">
        <v>70</v>
      </c>
      <c r="D21" s="22" t="s">
        <v>68</v>
      </c>
      <c r="E21" s="34">
        <v>26732.65</v>
      </c>
      <c r="F21" s="29"/>
      <c r="G21" s="29">
        <f t="shared" si="3"/>
        <v>80197.950000000012</v>
      </c>
      <c r="H21" s="29">
        <f t="shared" si="4"/>
        <v>2004.94875</v>
      </c>
      <c r="I21" s="29"/>
      <c r="J21" s="29">
        <f t="shared" si="8"/>
        <v>13366.325000000001</v>
      </c>
      <c r="K21" s="25">
        <f t="shared" si="5"/>
        <v>93564.275000000009</v>
      </c>
      <c r="L21" s="29">
        <f t="shared" si="6"/>
        <v>26732.65</v>
      </c>
      <c r="M21" s="26"/>
      <c r="N21" s="26">
        <f t="shared" si="17"/>
        <v>70000</v>
      </c>
      <c r="O21" s="29">
        <f t="shared" si="7"/>
        <v>2673.2650000000003</v>
      </c>
      <c r="P21" s="29">
        <v>20000</v>
      </c>
      <c r="Q21" s="29">
        <v>0</v>
      </c>
      <c r="R21" s="25">
        <f t="shared" si="1"/>
        <v>335272.06375000009</v>
      </c>
      <c r="S21" s="25"/>
      <c r="T21" s="25"/>
      <c r="U21" s="25"/>
      <c r="V21" s="25">
        <f>'[2]April 2022'!$H$27</f>
        <v>668.31625000000008</v>
      </c>
      <c r="W21" s="25">
        <v>7709.76</v>
      </c>
      <c r="X21" s="25">
        <f t="shared" si="2"/>
        <v>8378.0762500000001</v>
      </c>
      <c r="Y21" s="25">
        <v>326893.9875000001</v>
      </c>
      <c r="Z21" s="25">
        <f t="shared" si="0"/>
        <v>326893.9875000001</v>
      </c>
      <c r="AA21" s="27"/>
    </row>
    <row r="22" spans="1:27" ht="19.5" customHeight="1" x14ac:dyDescent="0.3">
      <c r="A22" s="22">
        <v>14</v>
      </c>
      <c r="B22" s="30" t="s">
        <v>71</v>
      </c>
      <c r="C22" s="12" t="s">
        <v>72</v>
      </c>
      <c r="D22" s="22" t="s">
        <v>68</v>
      </c>
      <c r="E22" s="34">
        <v>26732.65</v>
      </c>
      <c r="F22" s="29"/>
      <c r="G22" s="29">
        <f>E22*300%</f>
        <v>80197.950000000012</v>
      </c>
      <c r="H22" s="29">
        <f>E22*7.5%</f>
        <v>2004.94875</v>
      </c>
      <c r="I22" s="29"/>
      <c r="J22" s="29">
        <f t="shared" si="8"/>
        <v>13366.325000000001</v>
      </c>
      <c r="K22" s="25">
        <f>E22*350%</f>
        <v>93564.275000000009</v>
      </c>
      <c r="L22" s="29">
        <f>E22*100%</f>
        <v>26732.65</v>
      </c>
      <c r="M22" s="26">
        <f>140000</f>
        <v>140000</v>
      </c>
      <c r="N22" s="26"/>
      <c r="O22" s="29">
        <f>E22*10%</f>
        <v>2673.2650000000003</v>
      </c>
      <c r="P22" s="29">
        <v>20000</v>
      </c>
      <c r="Q22" s="29">
        <f>50000+100000</f>
        <v>150000</v>
      </c>
      <c r="R22" s="25">
        <f t="shared" si="1"/>
        <v>555272.06375000009</v>
      </c>
      <c r="S22" s="25"/>
      <c r="T22" s="25"/>
      <c r="U22" s="25"/>
      <c r="V22" s="25"/>
      <c r="W22" s="25">
        <f t="shared" ref="W22:W108" si="18">7709.76</f>
        <v>7709.76</v>
      </c>
      <c r="X22" s="25">
        <f t="shared" si="2"/>
        <v>7709.76</v>
      </c>
      <c r="Y22" s="25">
        <v>547562.30375000008</v>
      </c>
      <c r="Z22" s="25">
        <f>R22-X22</f>
        <v>547562.30375000008</v>
      </c>
      <c r="AA22" s="27"/>
    </row>
    <row r="23" spans="1:27" ht="20.100000000000001" customHeight="1" x14ac:dyDescent="0.3">
      <c r="A23" s="22">
        <v>15</v>
      </c>
      <c r="B23" s="23" t="s">
        <v>73</v>
      </c>
      <c r="C23" s="31" t="s">
        <v>74</v>
      </c>
      <c r="D23" s="28" t="s">
        <v>75</v>
      </c>
      <c r="E23" s="29">
        <v>26339.3</v>
      </c>
      <c r="F23" s="29"/>
      <c r="G23" s="29">
        <f t="shared" si="3"/>
        <v>79017.899999999994</v>
      </c>
      <c r="H23" s="29">
        <f t="shared" si="4"/>
        <v>1975.4474999999998</v>
      </c>
      <c r="I23" s="25">
        <v>0</v>
      </c>
      <c r="J23" s="29">
        <f t="shared" si="8"/>
        <v>13169.65</v>
      </c>
      <c r="K23" s="25">
        <f t="shared" si="5"/>
        <v>92187.55</v>
      </c>
      <c r="L23" s="29">
        <f t="shared" si="6"/>
        <v>26339.3</v>
      </c>
      <c r="M23" s="26"/>
      <c r="N23" s="26">
        <f t="shared" si="17"/>
        <v>70000</v>
      </c>
      <c r="O23" s="29">
        <f t="shared" si="7"/>
        <v>2633.9300000000003</v>
      </c>
      <c r="P23" s="29">
        <v>15000</v>
      </c>
      <c r="Q23" s="29">
        <f>0</f>
        <v>0</v>
      </c>
      <c r="R23" s="25">
        <f t="shared" si="1"/>
        <v>326663.07749999996</v>
      </c>
      <c r="S23" s="25"/>
      <c r="T23" s="25"/>
      <c r="U23" s="25"/>
      <c r="V23" s="25"/>
      <c r="W23" s="29">
        <f>7709.76</f>
        <v>7709.76</v>
      </c>
      <c r="X23" s="25">
        <f t="shared" si="2"/>
        <v>7709.76</v>
      </c>
      <c r="Y23" s="25">
        <v>318953.31749999995</v>
      </c>
      <c r="Z23" s="25">
        <f t="shared" si="0"/>
        <v>318953.31749999995</v>
      </c>
      <c r="AA23" s="27"/>
    </row>
    <row r="24" spans="1:27" ht="20.100000000000001" customHeight="1" x14ac:dyDescent="0.3">
      <c r="A24" s="22">
        <v>16</v>
      </c>
      <c r="B24" s="41" t="s">
        <v>76</v>
      </c>
      <c r="C24" s="12" t="s">
        <v>77</v>
      </c>
      <c r="D24" s="28" t="s">
        <v>78</v>
      </c>
      <c r="E24" s="29">
        <v>24741.26</v>
      </c>
      <c r="F24" s="29"/>
      <c r="G24" s="29">
        <f t="shared" si="3"/>
        <v>74223.78</v>
      </c>
      <c r="H24" s="29">
        <f t="shared" si="4"/>
        <v>1855.5944999999997</v>
      </c>
      <c r="I24" s="29">
        <v>0</v>
      </c>
      <c r="J24" s="29">
        <f>E24*50%</f>
        <v>12370.63</v>
      </c>
      <c r="K24" s="25">
        <f t="shared" si="5"/>
        <v>86594.409999999989</v>
      </c>
      <c r="L24" s="29">
        <f t="shared" si="6"/>
        <v>24741.26</v>
      </c>
      <c r="M24" s="26"/>
      <c r="N24" s="26">
        <f>70000</f>
        <v>70000</v>
      </c>
      <c r="O24" s="29">
        <f t="shared" si="7"/>
        <v>2474.1260000000002</v>
      </c>
      <c r="P24" s="29">
        <v>15000</v>
      </c>
      <c r="Q24" s="29">
        <v>0</v>
      </c>
      <c r="R24" s="25">
        <f>Q24+P24+O24+N24+M24+L24+K24+J24+I24+H24+G24+F24+E24</f>
        <v>312001.06050000002</v>
      </c>
      <c r="S24" s="25"/>
      <c r="T24" s="25">
        <v>20000</v>
      </c>
      <c r="U24" s="25">
        <f>68750</f>
        <v>68750</v>
      </c>
      <c r="V24" s="25">
        <f>'[2]April 2022'!$H$38</f>
        <v>618.53150000000005</v>
      </c>
      <c r="W24" s="29">
        <f>7709.76</f>
        <v>7709.76</v>
      </c>
      <c r="X24" s="25">
        <f>W24+V24+U24+T24+S24</f>
        <v>97078.291499999992</v>
      </c>
      <c r="Y24" s="25">
        <v>214922.76900000003</v>
      </c>
      <c r="Z24" s="25">
        <f t="shared" si="0"/>
        <v>214922.76900000003</v>
      </c>
      <c r="AA24" s="27"/>
    </row>
    <row r="25" spans="1:27" ht="20.100000000000001" customHeight="1" x14ac:dyDescent="0.3">
      <c r="A25" s="22">
        <v>17</v>
      </c>
      <c r="B25" s="23" t="s">
        <v>79</v>
      </c>
      <c r="C25" s="24" t="s">
        <v>80</v>
      </c>
      <c r="D25" s="28" t="s">
        <v>81</v>
      </c>
      <c r="E25" s="29">
        <v>23891.119999999999</v>
      </c>
      <c r="F25" s="29"/>
      <c r="G25" s="29">
        <f t="shared" si="3"/>
        <v>71673.36</v>
      </c>
      <c r="H25" s="29">
        <f t="shared" si="4"/>
        <v>1791.8339999999998</v>
      </c>
      <c r="I25" s="29">
        <v>0</v>
      </c>
      <c r="J25" s="29">
        <f t="shared" si="8"/>
        <v>11945.56</v>
      </c>
      <c r="K25" s="25">
        <f t="shared" si="5"/>
        <v>83618.92</v>
      </c>
      <c r="L25" s="29">
        <f t="shared" si="6"/>
        <v>23891.119999999999</v>
      </c>
      <c r="M25" s="26">
        <f>120000</f>
        <v>120000</v>
      </c>
      <c r="N25" s="26"/>
      <c r="O25" s="29">
        <f t="shared" si="7"/>
        <v>2389.1120000000001</v>
      </c>
      <c r="P25" s="29">
        <v>15000</v>
      </c>
      <c r="Q25" s="29">
        <v>0</v>
      </c>
      <c r="R25" s="25">
        <f t="shared" si="1"/>
        <v>354201.02600000001</v>
      </c>
      <c r="S25" s="25"/>
      <c r="T25" s="25">
        <f>100000</f>
        <v>100000</v>
      </c>
      <c r="U25" s="25">
        <f>139363</f>
        <v>139363</v>
      </c>
      <c r="V25" s="25"/>
      <c r="W25" s="29">
        <f t="shared" ref="W25:W100" si="19">7709.76</f>
        <v>7709.76</v>
      </c>
      <c r="X25" s="25">
        <f t="shared" si="2"/>
        <v>247072.76</v>
      </c>
      <c r="Y25" s="25">
        <v>137128.266</v>
      </c>
      <c r="Z25" s="25">
        <f t="shared" si="0"/>
        <v>107128.266</v>
      </c>
      <c r="AA25" s="27"/>
    </row>
    <row r="26" spans="1:27" ht="20.100000000000001" customHeight="1" x14ac:dyDescent="0.3">
      <c r="A26" s="22">
        <v>18</v>
      </c>
      <c r="B26" s="42" t="s">
        <v>82</v>
      </c>
      <c r="C26" s="12" t="s">
        <v>83</v>
      </c>
      <c r="D26" s="28" t="s">
        <v>84</v>
      </c>
      <c r="E26" s="29">
        <v>23074.99</v>
      </c>
      <c r="F26" s="39"/>
      <c r="G26" s="39">
        <f t="shared" si="3"/>
        <v>69224.97</v>
      </c>
      <c r="H26" s="39">
        <f t="shared" si="4"/>
        <v>1730.6242500000001</v>
      </c>
      <c r="I26" s="39"/>
      <c r="J26" s="39">
        <f>E26*50%</f>
        <v>11537.495000000001</v>
      </c>
      <c r="K26" s="39">
        <f t="shared" si="5"/>
        <v>80762.465000000011</v>
      </c>
      <c r="L26" s="39">
        <f t="shared" si="6"/>
        <v>23074.99</v>
      </c>
      <c r="M26" s="26">
        <f>120000</f>
        <v>120000</v>
      </c>
      <c r="N26" s="26"/>
      <c r="O26" s="39">
        <f t="shared" si="7"/>
        <v>2307.4990000000003</v>
      </c>
      <c r="P26" s="39">
        <v>10000</v>
      </c>
      <c r="Q26" s="39">
        <f>100000</f>
        <v>100000</v>
      </c>
      <c r="R26" s="25">
        <f t="shared" si="1"/>
        <v>441713.03324999998</v>
      </c>
      <c r="S26" s="25"/>
      <c r="T26" s="39">
        <f>30000</f>
        <v>30000</v>
      </c>
      <c r="U26" s="39"/>
      <c r="V26" s="39">
        <f>'[2]April 2022'!$H$52</f>
        <v>576.87475000000006</v>
      </c>
      <c r="W26" s="29">
        <f t="shared" si="19"/>
        <v>7709.76</v>
      </c>
      <c r="X26" s="25">
        <f t="shared" si="2"/>
        <v>38286.634749999997</v>
      </c>
      <c r="Y26" s="39">
        <v>403426.39850000001</v>
      </c>
      <c r="Z26" s="39">
        <f t="shared" si="0"/>
        <v>403426.39850000001</v>
      </c>
      <c r="AA26" s="27"/>
    </row>
    <row r="27" spans="1:27" ht="20.100000000000001" customHeight="1" x14ac:dyDescent="0.3">
      <c r="A27" s="22">
        <v>19</v>
      </c>
      <c r="B27" s="23" t="s">
        <v>85</v>
      </c>
      <c r="C27" s="24" t="s">
        <v>86</v>
      </c>
      <c r="D27" s="28" t="s">
        <v>87</v>
      </c>
      <c r="E27" s="29">
        <f>21520.88</f>
        <v>21520.880000000001</v>
      </c>
      <c r="F27" s="29"/>
      <c r="G27" s="29">
        <f t="shared" si="3"/>
        <v>64562.64</v>
      </c>
      <c r="H27" s="29">
        <f t="shared" si="4"/>
        <v>1614.066</v>
      </c>
      <c r="I27" s="25"/>
      <c r="J27" s="29">
        <f>E27*50%</f>
        <v>10760.44</v>
      </c>
      <c r="K27" s="25">
        <f t="shared" si="5"/>
        <v>75323.08</v>
      </c>
      <c r="L27" s="29">
        <f t="shared" si="6"/>
        <v>21520.880000000001</v>
      </c>
      <c r="M27" s="26"/>
      <c r="N27" s="26">
        <f>60000</f>
        <v>60000</v>
      </c>
      <c r="O27" s="29">
        <f t="shared" si="7"/>
        <v>2152.0880000000002</v>
      </c>
      <c r="P27" s="29">
        <v>15000</v>
      </c>
      <c r="Q27" s="29"/>
      <c r="R27" s="25">
        <f t="shared" si="1"/>
        <v>272454.07400000002</v>
      </c>
      <c r="S27" s="25"/>
      <c r="T27" s="25">
        <f>20000</f>
        <v>20000</v>
      </c>
      <c r="U27" s="25">
        <f>82500</f>
        <v>82500</v>
      </c>
      <c r="V27" s="25">
        <f>'[2]April 2022'!$H$45</f>
        <v>538.02200000000005</v>
      </c>
      <c r="W27" s="29">
        <v>3369.51</v>
      </c>
      <c r="X27" s="25">
        <f t="shared" si="2"/>
        <v>106407.53200000001</v>
      </c>
      <c r="Y27" s="25">
        <v>166046.54200000002</v>
      </c>
      <c r="Z27" s="46">
        <f t="shared" si="0"/>
        <v>166046.54200000002</v>
      </c>
      <c r="AA27" s="27"/>
    </row>
    <row r="28" spans="1:27" ht="18.75" customHeight="1" x14ac:dyDescent="0.3">
      <c r="A28" s="22">
        <v>20</v>
      </c>
      <c r="B28" s="23" t="s">
        <v>88</v>
      </c>
      <c r="C28" s="24" t="s">
        <v>89</v>
      </c>
      <c r="D28" s="28" t="s">
        <v>90</v>
      </c>
      <c r="E28" s="29">
        <v>18779.3</v>
      </c>
      <c r="F28" s="29"/>
      <c r="G28" s="29">
        <f t="shared" si="3"/>
        <v>56337.899999999994</v>
      </c>
      <c r="H28" s="29">
        <f t="shared" si="4"/>
        <v>1408.4475</v>
      </c>
      <c r="I28" s="25"/>
      <c r="J28" s="29">
        <f>E28*50%</f>
        <v>9389.65</v>
      </c>
      <c r="K28" s="25">
        <f t="shared" si="5"/>
        <v>65727.55</v>
      </c>
      <c r="L28" s="29">
        <f t="shared" si="6"/>
        <v>18779.3</v>
      </c>
      <c r="M28" s="26"/>
      <c r="N28" s="26">
        <f>60000</f>
        <v>60000</v>
      </c>
      <c r="O28" s="29">
        <f t="shared" si="7"/>
        <v>1877.93</v>
      </c>
      <c r="P28" s="29">
        <v>10000</v>
      </c>
      <c r="Q28" s="29"/>
      <c r="R28" s="25">
        <f t="shared" si="1"/>
        <v>242300.07749999998</v>
      </c>
      <c r="S28" s="25"/>
      <c r="T28" s="25">
        <f>20000</f>
        <v>20000</v>
      </c>
      <c r="U28" s="25">
        <f>111833.33</f>
        <v>111833.33</v>
      </c>
      <c r="V28" s="25"/>
      <c r="W28" s="29">
        <v>3369.51</v>
      </c>
      <c r="X28" s="25">
        <f t="shared" si="2"/>
        <v>135202.84</v>
      </c>
      <c r="Y28" s="25">
        <v>107097.23749999999</v>
      </c>
      <c r="Z28" s="25">
        <f t="shared" si="0"/>
        <v>107097.23749999999</v>
      </c>
      <c r="AA28" s="27"/>
    </row>
    <row r="29" spans="1:27" ht="18.75" customHeight="1" x14ac:dyDescent="0.3">
      <c r="A29" s="22">
        <v>21</v>
      </c>
      <c r="B29" s="23" t="s">
        <v>91</v>
      </c>
      <c r="C29" s="12" t="s">
        <v>92</v>
      </c>
      <c r="D29" s="28" t="s">
        <v>90</v>
      </c>
      <c r="E29" s="29">
        <v>18779.3</v>
      </c>
      <c r="F29" s="29"/>
      <c r="G29" s="29">
        <f t="shared" si="3"/>
        <v>56337.899999999994</v>
      </c>
      <c r="H29" s="29">
        <f t="shared" si="4"/>
        <v>1408.4475</v>
      </c>
      <c r="I29" s="29"/>
      <c r="J29" s="29">
        <f>E29*50%</f>
        <v>9389.65</v>
      </c>
      <c r="K29" s="25">
        <f t="shared" si="5"/>
        <v>65727.55</v>
      </c>
      <c r="L29" s="29">
        <f t="shared" si="6"/>
        <v>18779.3</v>
      </c>
      <c r="M29" s="26"/>
      <c r="N29" s="26">
        <f>60000</f>
        <v>60000</v>
      </c>
      <c r="O29" s="29">
        <f t="shared" si="7"/>
        <v>1877.93</v>
      </c>
      <c r="P29" s="29">
        <v>10000</v>
      </c>
      <c r="Q29" s="29"/>
      <c r="R29" s="25">
        <f t="shared" si="1"/>
        <v>242300.07749999998</v>
      </c>
      <c r="S29" s="25"/>
      <c r="T29" s="25">
        <f>20000</f>
        <v>20000</v>
      </c>
      <c r="U29" s="25">
        <f>87500+43750</f>
        <v>131250</v>
      </c>
      <c r="V29" s="25"/>
      <c r="W29" s="29">
        <v>3369.51</v>
      </c>
      <c r="X29" s="25">
        <f t="shared" si="2"/>
        <v>154619.51</v>
      </c>
      <c r="Y29" s="25">
        <v>87680.567499999976</v>
      </c>
      <c r="Z29" s="25">
        <f t="shared" si="0"/>
        <v>87680.567499999976</v>
      </c>
      <c r="AA29" s="27"/>
    </row>
    <row r="30" spans="1:27" ht="18.75" customHeight="1" x14ac:dyDescent="0.3">
      <c r="A30" s="22">
        <v>22</v>
      </c>
      <c r="B30" s="42" t="s">
        <v>93</v>
      </c>
      <c r="C30" s="12" t="s">
        <v>94</v>
      </c>
      <c r="D30" s="28" t="s">
        <v>95</v>
      </c>
      <c r="E30" s="39">
        <v>18281.64</v>
      </c>
      <c r="F30" s="39"/>
      <c r="G30" s="39">
        <f t="shared" si="3"/>
        <v>54844.92</v>
      </c>
      <c r="H30" s="39">
        <f t="shared" si="4"/>
        <v>1371.1229999999998</v>
      </c>
      <c r="I30" s="39"/>
      <c r="J30" s="39">
        <f>E30*50%</f>
        <v>9140.82</v>
      </c>
      <c r="K30" s="39">
        <f t="shared" si="5"/>
        <v>63985.74</v>
      </c>
      <c r="L30" s="39">
        <f t="shared" si="6"/>
        <v>18281.64</v>
      </c>
      <c r="M30" s="26"/>
      <c r="N30" s="26">
        <v>60000</v>
      </c>
      <c r="O30" s="39">
        <f t="shared" si="7"/>
        <v>1828.164</v>
      </c>
      <c r="P30" s="39">
        <v>10000</v>
      </c>
      <c r="Q30" s="39"/>
      <c r="R30" s="25">
        <f t="shared" si="1"/>
        <v>237734.04700000002</v>
      </c>
      <c r="S30" s="25"/>
      <c r="T30" s="25">
        <f>30000</f>
        <v>30000</v>
      </c>
      <c r="U30" s="25">
        <f>52500</f>
        <v>52500</v>
      </c>
      <c r="V30" s="25">
        <f>0</f>
        <v>0</v>
      </c>
      <c r="W30" s="29">
        <v>3369.51</v>
      </c>
      <c r="X30" s="25">
        <f t="shared" si="2"/>
        <v>85869.510000000009</v>
      </c>
      <c r="Y30" s="25">
        <v>204364.53700000001</v>
      </c>
      <c r="Z30" s="25">
        <f t="shared" si="0"/>
        <v>151864.53700000001</v>
      </c>
      <c r="AA30" s="27"/>
    </row>
    <row r="31" spans="1:27" ht="18.75" customHeight="1" x14ac:dyDescent="0.3">
      <c r="A31" s="22">
        <v>23</v>
      </c>
      <c r="B31" s="42" t="s">
        <v>96</v>
      </c>
      <c r="C31" s="24" t="s">
        <v>97</v>
      </c>
      <c r="D31" s="28" t="s">
        <v>98</v>
      </c>
      <c r="E31" s="39">
        <v>17784.099999999999</v>
      </c>
      <c r="F31" s="39"/>
      <c r="G31" s="39">
        <f t="shared" si="3"/>
        <v>53352.299999999996</v>
      </c>
      <c r="H31" s="39">
        <f t="shared" si="4"/>
        <v>1333.8074999999999</v>
      </c>
      <c r="I31" s="39"/>
      <c r="J31" s="39">
        <f t="shared" ref="J31:J32" si="20">E31*50%</f>
        <v>8892.0499999999993</v>
      </c>
      <c r="K31" s="39">
        <f t="shared" si="5"/>
        <v>62244.349999999991</v>
      </c>
      <c r="L31" s="39">
        <f t="shared" si="6"/>
        <v>17784.099999999999</v>
      </c>
      <c r="M31" s="26"/>
      <c r="N31" s="26">
        <f>60000</f>
        <v>60000</v>
      </c>
      <c r="O31" s="39">
        <f t="shared" si="7"/>
        <v>1778.4099999999999</v>
      </c>
      <c r="P31" s="39">
        <v>10000</v>
      </c>
      <c r="Q31" s="39"/>
      <c r="R31" s="25">
        <f t="shared" si="1"/>
        <v>233169.11749999996</v>
      </c>
      <c r="S31" s="25"/>
      <c r="T31" s="39">
        <f>10000</f>
        <v>10000</v>
      </c>
      <c r="U31" s="39">
        <f>34333.33</f>
        <v>34333.33</v>
      </c>
      <c r="V31" s="39"/>
      <c r="W31" s="26">
        <f t="shared" ref="W31:W41" si="21">1484.37</f>
        <v>1484.37</v>
      </c>
      <c r="X31" s="25">
        <f t="shared" si="2"/>
        <v>45817.700000000004</v>
      </c>
      <c r="Y31" s="39">
        <v>187351.41749999995</v>
      </c>
      <c r="Z31" s="39">
        <f t="shared" si="0"/>
        <v>187351.41749999995</v>
      </c>
      <c r="AA31" s="27"/>
    </row>
    <row r="32" spans="1:27" ht="18.75" customHeight="1" x14ac:dyDescent="0.3">
      <c r="A32" s="22">
        <v>24</v>
      </c>
      <c r="B32" s="1" t="s">
        <v>99</v>
      </c>
      <c r="C32" s="1" t="s">
        <v>100</v>
      </c>
      <c r="D32" s="22" t="s">
        <v>101</v>
      </c>
      <c r="E32" s="29">
        <f>14736.14</f>
        <v>14736.14</v>
      </c>
      <c r="F32" s="29"/>
      <c r="G32" s="29">
        <f t="shared" si="3"/>
        <v>44208.42</v>
      </c>
      <c r="H32" s="29">
        <f t="shared" si="4"/>
        <v>1105.2104999999999</v>
      </c>
      <c r="I32" s="29"/>
      <c r="J32" s="29">
        <f t="shared" si="20"/>
        <v>7368.07</v>
      </c>
      <c r="K32" s="29">
        <f t="shared" si="5"/>
        <v>51576.49</v>
      </c>
      <c r="L32" s="29">
        <f t="shared" si="6"/>
        <v>14736.14</v>
      </c>
      <c r="M32" s="26"/>
      <c r="N32" s="26">
        <f>60000</f>
        <v>60000</v>
      </c>
      <c r="O32" s="29">
        <f t="shared" si="7"/>
        <v>1473.614</v>
      </c>
      <c r="P32" s="29">
        <v>10000</v>
      </c>
      <c r="Q32" s="29"/>
      <c r="R32" s="25">
        <f t="shared" ref="R32" si="22">SUM(E32:Q32)</f>
        <v>205204.0845</v>
      </c>
      <c r="S32" s="25"/>
      <c r="T32" s="25"/>
      <c r="U32" s="25"/>
      <c r="V32" s="25"/>
      <c r="W32" s="29">
        <v>3369.51</v>
      </c>
      <c r="X32" s="39">
        <f t="shared" si="2"/>
        <v>3369.51</v>
      </c>
      <c r="Y32" s="25">
        <v>201834.57449999999</v>
      </c>
      <c r="Z32" s="25">
        <f t="shared" si="0"/>
        <v>201834.57449999999</v>
      </c>
      <c r="AA32" s="27"/>
    </row>
    <row r="33" spans="1:27" ht="18.75" customHeight="1" x14ac:dyDescent="0.3">
      <c r="A33" s="22">
        <v>25</v>
      </c>
      <c r="B33" s="42" t="s">
        <v>102</v>
      </c>
      <c r="C33" s="24" t="s">
        <v>100</v>
      </c>
      <c r="D33" s="28" t="s">
        <v>103</v>
      </c>
      <c r="E33" s="47">
        <v>13492.21</v>
      </c>
      <c r="F33" s="29"/>
      <c r="G33" s="29">
        <f>E33*300%</f>
        <v>40476.629999999997</v>
      </c>
      <c r="H33" s="29">
        <f>E33*7.5%</f>
        <v>1011.9157499999999</v>
      </c>
      <c r="I33" s="29"/>
      <c r="J33" s="29">
        <f>E33*50%</f>
        <v>6746.1049999999996</v>
      </c>
      <c r="K33" s="25">
        <f>E33*350%</f>
        <v>47222.735000000001</v>
      </c>
      <c r="L33" s="29">
        <f>E33*100%</f>
        <v>13492.21</v>
      </c>
      <c r="M33" s="26"/>
      <c r="N33" s="26">
        <f>50000</f>
        <v>50000</v>
      </c>
      <c r="O33" s="29">
        <f>E33*10%</f>
        <v>1349.221</v>
      </c>
      <c r="P33" s="29">
        <v>10000</v>
      </c>
      <c r="Q33" s="29"/>
      <c r="R33" s="25">
        <f>Q33+P33+O33+N33+M33+L33+K33+J33+I33+H33+G33+F33+E33</f>
        <v>183791.02674999999</v>
      </c>
      <c r="S33" s="25"/>
      <c r="T33" s="25"/>
      <c r="U33" s="25"/>
      <c r="V33" s="25"/>
      <c r="W33" s="29">
        <v>1484.37</v>
      </c>
      <c r="X33" s="25">
        <f>W33+V33+U33+T33+S33</f>
        <v>1484.37</v>
      </c>
      <c r="Y33" s="25">
        <v>182306.65674999999</v>
      </c>
      <c r="Z33" s="25">
        <f>R33-X33</f>
        <v>182306.65674999999</v>
      </c>
      <c r="AA33" s="27"/>
    </row>
    <row r="34" spans="1:27" ht="18.75" customHeight="1" x14ac:dyDescent="0.3">
      <c r="A34" s="22">
        <v>26</v>
      </c>
      <c r="B34" s="23" t="s">
        <v>104</v>
      </c>
      <c r="C34" s="24" t="s">
        <v>105</v>
      </c>
      <c r="D34" s="28" t="s">
        <v>106</v>
      </c>
      <c r="E34" s="47">
        <v>13492.21</v>
      </c>
      <c r="F34" s="29"/>
      <c r="G34" s="29">
        <f t="shared" ref="G34:G41" si="23">E34*300%</f>
        <v>40476.629999999997</v>
      </c>
      <c r="H34" s="29">
        <f t="shared" ref="H34:H41" si="24">E34*7.5%</f>
        <v>1011.9157499999999</v>
      </c>
      <c r="I34" s="29"/>
      <c r="J34" s="29">
        <f t="shared" ref="J34:J35" si="25">E34*50%</f>
        <v>6746.1049999999996</v>
      </c>
      <c r="K34" s="25">
        <f t="shared" ref="K34:K41" si="26">E34*350%</f>
        <v>47222.735000000001</v>
      </c>
      <c r="L34" s="29">
        <f t="shared" ref="L34:L40" si="27">E34*100%</f>
        <v>13492.21</v>
      </c>
      <c r="M34" s="26"/>
      <c r="N34" s="26">
        <f>50000</f>
        <v>50000</v>
      </c>
      <c r="O34" s="29">
        <f t="shared" ref="O34:O40" si="28">E34*10%</f>
        <v>1349.221</v>
      </c>
      <c r="P34" s="29">
        <v>10000</v>
      </c>
      <c r="Q34" s="29"/>
      <c r="R34" s="25">
        <f t="shared" ref="R34:R36" si="29">SUM(E34:Q34)</f>
        <v>183791.02674999999</v>
      </c>
      <c r="S34" s="25"/>
      <c r="T34" s="25">
        <f>10000</f>
        <v>10000</v>
      </c>
      <c r="U34" s="25"/>
      <c r="V34" s="25"/>
      <c r="W34" s="29">
        <v>1484.37</v>
      </c>
      <c r="X34" s="25">
        <f t="shared" si="2"/>
        <v>11484.369999999999</v>
      </c>
      <c r="Y34" s="25">
        <v>172306.65674999999</v>
      </c>
      <c r="Z34" s="25">
        <f t="shared" ref="Z34:Z41" si="30">R34-X34</f>
        <v>172306.65674999999</v>
      </c>
      <c r="AA34" s="27"/>
    </row>
    <row r="35" spans="1:27" ht="18.75" customHeight="1" x14ac:dyDescent="0.3">
      <c r="A35" s="22">
        <v>27</v>
      </c>
      <c r="B35" s="42" t="s">
        <v>107</v>
      </c>
      <c r="C35" s="24" t="s">
        <v>105</v>
      </c>
      <c r="D35" s="28" t="s">
        <v>108</v>
      </c>
      <c r="E35" s="47">
        <v>13112.16</v>
      </c>
      <c r="F35" s="29"/>
      <c r="G35" s="29">
        <f t="shared" si="23"/>
        <v>39336.479999999996</v>
      </c>
      <c r="H35" s="29">
        <f t="shared" si="24"/>
        <v>983.41199999999992</v>
      </c>
      <c r="I35" s="29"/>
      <c r="J35" s="29">
        <f t="shared" si="25"/>
        <v>6556.08</v>
      </c>
      <c r="K35" s="25">
        <f t="shared" si="26"/>
        <v>45892.56</v>
      </c>
      <c r="L35" s="29">
        <f t="shared" si="27"/>
        <v>13112.16</v>
      </c>
      <c r="M35" s="26"/>
      <c r="N35" s="26">
        <f>50000</f>
        <v>50000</v>
      </c>
      <c r="O35" s="29">
        <f t="shared" si="28"/>
        <v>1311.2160000000001</v>
      </c>
      <c r="P35" s="29">
        <v>10000</v>
      </c>
      <c r="R35" s="29">
        <f t="shared" si="29"/>
        <v>180304.068</v>
      </c>
      <c r="S35" s="29"/>
      <c r="T35" s="25">
        <f>20000</f>
        <v>20000</v>
      </c>
      <c r="U35" s="25">
        <f>17500</f>
        <v>17500</v>
      </c>
      <c r="V35" s="25"/>
      <c r="W35" s="29">
        <f>(1484.37)</f>
        <v>1484.37</v>
      </c>
      <c r="X35" s="25">
        <f t="shared" si="2"/>
        <v>38984.369999999995</v>
      </c>
      <c r="Y35" s="25">
        <v>158819.698</v>
      </c>
      <c r="Z35" s="25">
        <f t="shared" si="30"/>
        <v>141319.698</v>
      </c>
      <c r="AA35" s="27"/>
    </row>
    <row r="36" spans="1:27" ht="18.75" customHeight="1" x14ac:dyDescent="0.3">
      <c r="A36" s="22">
        <v>28</v>
      </c>
      <c r="B36" s="36" t="s">
        <v>109</v>
      </c>
      <c r="C36" s="37" t="s">
        <v>110</v>
      </c>
      <c r="D36" s="28" t="s">
        <v>111</v>
      </c>
      <c r="E36" s="39">
        <v>13112.16</v>
      </c>
      <c r="F36" s="39"/>
      <c r="G36" s="39">
        <f t="shared" si="23"/>
        <v>39336.479999999996</v>
      </c>
      <c r="H36" s="39">
        <f t="shared" si="24"/>
        <v>983.41199999999992</v>
      </c>
      <c r="I36" s="39"/>
      <c r="J36" s="39">
        <f>E36*50%</f>
        <v>6556.08</v>
      </c>
      <c r="K36" s="39">
        <f t="shared" si="26"/>
        <v>45892.56</v>
      </c>
      <c r="L36" s="39">
        <f t="shared" si="27"/>
        <v>13112.16</v>
      </c>
      <c r="M36" s="26"/>
      <c r="N36" s="26">
        <f>50000</f>
        <v>50000</v>
      </c>
      <c r="O36" s="39">
        <f t="shared" si="28"/>
        <v>1311.2160000000001</v>
      </c>
      <c r="P36" s="39">
        <v>10000</v>
      </c>
      <c r="Q36" s="39"/>
      <c r="R36" s="29">
        <f t="shared" si="29"/>
        <v>180304.068</v>
      </c>
      <c r="S36" s="25"/>
      <c r="T36" s="25"/>
      <c r="U36" s="25"/>
      <c r="V36" s="25"/>
      <c r="W36" s="26">
        <f>1484.37</f>
        <v>1484.37</v>
      </c>
      <c r="X36" s="25">
        <f t="shared" si="2"/>
        <v>1484.37</v>
      </c>
      <c r="Y36" s="25">
        <v>0</v>
      </c>
      <c r="Z36" s="25">
        <f t="shared" si="30"/>
        <v>178819.698</v>
      </c>
      <c r="AA36" s="27"/>
    </row>
    <row r="37" spans="1:27" ht="18.75" customHeight="1" x14ac:dyDescent="0.3">
      <c r="A37" s="22">
        <v>29</v>
      </c>
      <c r="B37" s="42" t="s">
        <v>112</v>
      </c>
      <c r="C37" s="12" t="s">
        <v>113</v>
      </c>
      <c r="D37" s="22" t="s">
        <v>111</v>
      </c>
      <c r="E37" s="29">
        <v>13112.16</v>
      </c>
      <c r="F37" s="29"/>
      <c r="G37" s="29">
        <f t="shared" si="23"/>
        <v>39336.479999999996</v>
      </c>
      <c r="H37" s="29">
        <f t="shared" si="24"/>
        <v>983.41199999999992</v>
      </c>
      <c r="I37" s="29"/>
      <c r="J37" s="29">
        <f>E37*50%</f>
        <v>6556.08</v>
      </c>
      <c r="K37" s="29">
        <f t="shared" si="26"/>
        <v>45892.56</v>
      </c>
      <c r="L37" s="29">
        <f>E37*100%</f>
        <v>13112.16</v>
      </c>
      <c r="M37" s="26"/>
      <c r="N37" s="26">
        <f>50000</f>
        <v>50000</v>
      </c>
      <c r="O37" s="29">
        <f>E37*10%</f>
        <v>1311.2160000000001</v>
      </c>
      <c r="P37" s="29">
        <v>10000</v>
      </c>
      <c r="Q37" s="29"/>
      <c r="R37" s="25">
        <f>SUM(E37:Q37)</f>
        <v>180304.068</v>
      </c>
      <c r="S37" s="25"/>
      <c r="T37" s="25">
        <f>30000+20000</f>
        <v>50000</v>
      </c>
      <c r="U37" s="25">
        <v>0</v>
      </c>
      <c r="V37" s="25"/>
      <c r="W37" s="29">
        <v>1484.37</v>
      </c>
      <c r="X37" s="25">
        <f>W37+V37+U37+T37+S37</f>
        <v>51484.37</v>
      </c>
      <c r="Y37" s="25">
        <v>128819.698</v>
      </c>
      <c r="Z37" s="25">
        <f t="shared" si="30"/>
        <v>128819.698</v>
      </c>
      <c r="AA37" s="27"/>
    </row>
    <row r="38" spans="1:27" ht="18.75" customHeight="1" x14ac:dyDescent="0.3">
      <c r="A38" s="22">
        <v>30</v>
      </c>
      <c r="B38" s="48" t="s">
        <v>114</v>
      </c>
      <c r="C38" s="37" t="s">
        <v>115</v>
      </c>
      <c r="D38" s="28" t="s">
        <v>116</v>
      </c>
      <c r="E38" s="39">
        <v>12351.94</v>
      </c>
      <c r="F38" s="39"/>
      <c r="G38" s="39">
        <f t="shared" si="23"/>
        <v>37055.82</v>
      </c>
      <c r="H38" s="39">
        <f t="shared" si="24"/>
        <v>926.39549999999997</v>
      </c>
      <c r="I38" s="39"/>
      <c r="J38" s="39">
        <f>E38*50%</f>
        <v>6175.97</v>
      </c>
      <c r="K38" s="39">
        <f t="shared" si="26"/>
        <v>43231.79</v>
      </c>
      <c r="L38" s="39">
        <f t="shared" si="27"/>
        <v>12351.94</v>
      </c>
      <c r="M38" s="26"/>
      <c r="N38" s="26">
        <f>50000</f>
        <v>50000</v>
      </c>
      <c r="O38" s="39">
        <f t="shared" si="28"/>
        <v>1235.1940000000002</v>
      </c>
      <c r="P38" s="39">
        <v>10000</v>
      </c>
      <c r="Q38" s="39"/>
      <c r="R38" s="25">
        <f t="shared" ref="R38:R39" si="31">Q38+P38+O38+N38+M38+L38+K38+J38+I38+H38+G38+F38+E38</f>
        <v>173329.04949999999</v>
      </c>
      <c r="S38" s="25"/>
      <c r="T38" s="25">
        <f>50000</f>
        <v>50000</v>
      </c>
      <c r="U38" s="25"/>
      <c r="V38" s="25">
        <f>0</f>
        <v>0</v>
      </c>
      <c r="W38" s="26">
        <f t="shared" ref="W38:W39" si="32">1484.37</f>
        <v>1484.37</v>
      </c>
      <c r="X38" s="25">
        <f t="shared" ref="X38:X39" si="33">W38+V38+U38+T38+S38</f>
        <v>51484.37</v>
      </c>
      <c r="Y38" s="25">
        <v>121844.6795</v>
      </c>
      <c r="Z38" s="25">
        <f t="shared" si="30"/>
        <v>121844.6795</v>
      </c>
      <c r="AA38" s="27"/>
    </row>
    <row r="39" spans="1:27" ht="18.75" customHeight="1" x14ac:dyDescent="0.3">
      <c r="A39" s="22">
        <v>31</v>
      </c>
      <c r="B39" s="48" t="s">
        <v>117</v>
      </c>
      <c r="C39" s="37" t="s">
        <v>115</v>
      </c>
      <c r="D39" s="28" t="s">
        <v>116</v>
      </c>
      <c r="E39" s="39">
        <v>12351.94</v>
      </c>
      <c r="F39" s="39"/>
      <c r="G39" s="39">
        <f t="shared" si="23"/>
        <v>37055.82</v>
      </c>
      <c r="H39" s="39">
        <f t="shared" si="24"/>
        <v>926.39549999999997</v>
      </c>
      <c r="I39" s="39"/>
      <c r="J39" s="39">
        <f>E39*50%</f>
        <v>6175.97</v>
      </c>
      <c r="K39" s="39">
        <f t="shared" si="26"/>
        <v>43231.79</v>
      </c>
      <c r="L39" s="39">
        <f t="shared" si="27"/>
        <v>12351.94</v>
      </c>
      <c r="M39" s="26"/>
      <c r="N39" s="26">
        <f>50000</f>
        <v>50000</v>
      </c>
      <c r="O39" s="39">
        <f t="shared" si="28"/>
        <v>1235.1940000000002</v>
      </c>
      <c r="P39" s="39">
        <v>10000</v>
      </c>
      <c r="Q39" s="39"/>
      <c r="R39" s="25">
        <f t="shared" si="31"/>
        <v>173329.04949999999</v>
      </c>
      <c r="S39" s="25"/>
      <c r="T39" s="25"/>
      <c r="U39" s="25"/>
      <c r="V39" s="25">
        <f>0</f>
        <v>0</v>
      </c>
      <c r="W39" s="26">
        <f t="shared" si="32"/>
        <v>1484.37</v>
      </c>
      <c r="X39" s="25">
        <f t="shared" si="33"/>
        <v>1484.37</v>
      </c>
      <c r="Y39" s="25">
        <v>171844.6795</v>
      </c>
      <c r="Z39" s="25">
        <f t="shared" si="30"/>
        <v>171844.6795</v>
      </c>
      <c r="AA39" s="27"/>
    </row>
    <row r="40" spans="1:27" ht="18.75" customHeight="1" x14ac:dyDescent="0.3">
      <c r="A40" s="22">
        <v>32</v>
      </c>
      <c r="B40" s="42" t="s">
        <v>118</v>
      </c>
      <c r="C40" s="12" t="s">
        <v>119</v>
      </c>
      <c r="D40" s="22" t="s">
        <v>116</v>
      </c>
      <c r="E40" s="29">
        <v>12351.94</v>
      </c>
      <c r="F40" s="29"/>
      <c r="G40" s="29">
        <f t="shared" si="23"/>
        <v>37055.82</v>
      </c>
      <c r="H40" s="29">
        <f t="shared" si="24"/>
        <v>926.39549999999997</v>
      </c>
      <c r="I40" s="29"/>
      <c r="J40" s="29">
        <f>E40*50%</f>
        <v>6175.97</v>
      </c>
      <c r="K40" s="29">
        <f t="shared" si="26"/>
        <v>43231.79</v>
      </c>
      <c r="L40" s="29">
        <f t="shared" si="27"/>
        <v>12351.94</v>
      </c>
      <c r="M40" s="26"/>
      <c r="N40" s="26">
        <f>50000</f>
        <v>50000</v>
      </c>
      <c r="O40" s="29">
        <f t="shared" si="28"/>
        <v>1235.1940000000002</v>
      </c>
      <c r="P40" s="29">
        <v>10000</v>
      </c>
      <c r="Q40" s="29"/>
      <c r="R40" s="25">
        <f>SUM(E40:Q40)</f>
        <v>173329.04949999999</v>
      </c>
      <c r="S40" s="25"/>
      <c r="T40" s="25">
        <f>0</f>
        <v>0</v>
      </c>
      <c r="U40" s="25">
        <f>26666.67</f>
        <v>26666.67</v>
      </c>
      <c r="V40" s="25"/>
      <c r="W40" s="29">
        <v>1484.37</v>
      </c>
      <c r="X40" s="25">
        <f>W40+V40+U40+T40+S40</f>
        <v>28151.039999999997</v>
      </c>
      <c r="Y40" s="25">
        <v>145178.00949999999</v>
      </c>
      <c r="Z40" s="25">
        <f t="shared" si="30"/>
        <v>145178.00949999999</v>
      </c>
      <c r="AA40" s="27"/>
    </row>
    <row r="41" spans="1:27" ht="18.75" customHeight="1" x14ac:dyDescent="0.3">
      <c r="A41" s="22">
        <v>33</v>
      </c>
      <c r="B41" s="42" t="s">
        <v>120</v>
      </c>
      <c r="C41" s="24" t="s">
        <v>97</v>
      </c>
      <c r="D41" s="28" t="s">
        <v>116</v>
      </c>
      <c r="E41" s="39">
        <v>12351.94</v>
      </c>
      <c r="F41" s="39">
        <f>560000</f>
        <v>560000</v>
      </c>
      <c r="G41" s="39">
        <f t="shared" si="23"/>
        <v>37055.82</v>
      </c>
      <c r="H41" s="39">
        <f t="shared" si="24"/>
        <v>926.39549999999997</v>
      </c>
      <c r="I41" s="39"/>
      <c r="J41" s="39">
        <f t="shared" ref="J41" si="34">E41*50%</f>
        <v>6175.97</v>
      </c>
      <c r="K41" s="39">
        <f t="shared" si="26"/>
        <v>43231.79</v>
      </c>
      <c r="L41" s="39">
        <f>E41*100%</f>
        <v>12351.94</v>
      </c>
      <c r="M41" s="26"/>
      <c r="N41" s="26">
        <f>50000</f>
        <v>50000</v>
      </c>
      <c r="O41" s="39">
        <f>E41*10%</f>
        <v>1235.1940000000002</v>
      </c>
      <c r="P41" s="39">
        <v>10000</v>
      </c>
      <c r="Q41" s="39"/>
      <c r="R41" s="25">
        <f>Q41+P41+O41+N41+M41+L41+K41+J41+I41+H41+G41+F41+E41</f>
        <v>733329.04949999996</v>
      </c>
      <c r="S41" s="25"/>
      <c r="T41" s="39"/>
      <c r="U41" s="39"/>
      <c r="V41" s="39"/>
      <c r="W41" s="26">
        <f t="shared" si="21"/>
        <v>1484.37</v>
      </c>
      <c r="X41" s="25">
        <f>W41+V41+U41+T41+S41</f>
        <v>1484.37</v>
      </c>
      <c r="Y41" s="39">
        <v>171844.6795</v>
      </c>
      <c r="Z41" s="39">
        <f t="shared" si="30"/>
        <v>731844.67949999997</v>
      </c>
      <c r="AA41" s="27"/>
    </row>
    <row r="42" spans="1:27" ht="26.25" customHeight="1" x14ac:dyDescent="0.6">
      <c r="A42" s="22"/>
      <c r="B42" s="49" t="s">
        <v>34</v>
      </c>
      <c r="C42" s="15">
        <v>33</v>
      </c>
      <c r="D42" s="28"/>
      <c r="E42" s="50">
        <f>SUM(E9:E41)</f>
        <v>974267.57000000007</v>
      </c>
      <c r="F42" s="50">
        <f>SUM(F9:F41)</f>
        <v>560000</v>
      </c>
      <c r="G42" s="50">
        <f t="shared" ref="G42:R42" si="35">SUM(G9:G41)</f>
        <v>2762313.9599999986</v>
      </c>
      <c r="H42" s="50">
        <f t="shared" si="35"/>
        <v>109180.04149999996</v>
      </c>
      <c r="I42" s="50">
        <f t="shared" si="35"/>
        <v>521588.47000000003</v>
      </c>
      <c r="J42" s="50">
        <f t="shared" si="35"/>
        <v>479109.35000000003</v>
      </c>
      <c r="K42" s="50">
        <f t="shared" si="35"/>
        <v>2848225.8699999996</v>
      </c>
      <c r="L42" s="50">
        <f t="shared" si="35"/>
        <v>934145.39</v>
      </c>
      <c r="M42" s="51">
        <f t="shared" si="35"/>
        <v>1190000</v>
      </c>
      <c r="N42" s="51">
        <f t="shared" si="35"/>
        <v>1670000</v>
      </c>
      <c r="O42" s="50">
        <f t="shared" si="35"/>
        <v>97426.762000000002</v>
      </c>
      <c r="P42" s="50">
        <f t="shared" si="35"/>
        <v>490000</v>
      </c>
      <c r="Q42" s="50">
        <f t="shared" si="35"/>
        <v>875235</v>
      </c>
      <c r="R42" s="50">
        <f t="shared" si="35"/>
        <v>13511492.413500002</v>
      </c>
      <c r="S42" s="50"/>
      <c r="T42" s="50">
        <f t="shared" ref="T42:Z42" si="36">SUM(T9:T41)</f>
        <v>900000</v>
      </c>
      <c r="U42" s="50">
        <f t="shared" si="36"/>
        <v>1363436.06</v>
      </c>
      <c r="V42" s="50">
        <f t="shared" si="36"/>
        <v>8824.9372500000009</v>
      </c>
      <c r="W42" s="50">
        <f t="shared" si="36"/>
        <v>415827.18000000011</v>
      </c>
      <c r="X42" s="50">
        <f t="shared" si="36"/>
        <v>2688088.1772500006</v>
      </c>
      <c r="Y42" s="50">
        <v>10184584.538250003</v>
      </c>
      <c r="Z42" s="50">
        <f t="shared" si="36"/>
        <v>10823404.236250004</v>
      </c>
      <c r="AA42" s="27"/>
    </row>
    <row r="43" spans="1:27" ht="18.75" customHeight="1" x14ac:dyDescent="0.3">
      <c r="A43" s="22"/>
      <c r="B43" s="52"/>
      <c r="C43" s="12"/>
      <c r="D43" s="28"/>
      <c r="E43" s="50"/>
      <c r="F43" s="50"/>
      <c r="G43" s="50"/>
      <c r="H43" s="50"/>
      <c r="I43" s="50"/>
      <c r="J43" s="50"/>
      <c r="K43" s="50"/>
      <c r="L43" s="50"/>
      <c r="M43" s="26"/>
      <c r="N43" s="26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</row>
    <row r="44" spans="1:27" ht="18.75" customHeight="1" x14ac:dyDescent="0.3">
      <c r="A44" s="22"/>
      <c r="B44" s="49" t="s">
        <v>121</v>
      </c>
      <c r="C44" s="12"/>
      <c r="D44" s="28"/>
      <c r="E44" s="29"/>
      <c r="F44" s="29"/>
      <c r="G44" s="29"/>
      <c r="H44" s="29"/>
      <c r="I44" s="29"/>
      <c r="J44" s="29"/>
      <c r="K44" s="25"/>
      <c r="L44" s="29"/>
      <c r="M44" s="26"/>
      <c r="N44" s="26"/>
      <c r="O44" s="29"/>
      <c r="P44" s="29"/>
      <c r="Q44" s="29"/>
      <c r="R44" s="25"/>
      <c r="S44" s="25"/>
      <c r="T44" s="25"/>
      <c r="U44" s="25"/>
      <c r="V44" s="25"/>
      <c r="W44" s="29"/>
      <c r="X44" s="25"/>
      <c r="Y44" s="25"/>
      <c r="Z44" s="25"/>
    </row>
    <row r="45" spans="1:27" ht="18.75" customHeight="1" x14ac:dyDescent="0.3">
      <c r="A45" s="22">
        <v>1</v>
      </c>
      <c r="B45" s="42" t="s">
        <v>122</v>
      </c>
      <c r="C45" s="12" t="s">
        <v>123</v>
      </c>
      <c r="D45" s="22" t="s">
        <v>124</v>
      </c>
      <c r="E45" s="29">
        <v>79039.64</v>
      </c>
      <c r="F45" s="29"/>
      <c r="G45" s="29">
        <f>E45*300%</f>
        <v>237118.91999999998</v>
      </c>
      <c r="H45" s="29">
        <f>E45*7.5%</f>
        <v>5927.973</v>
      </c>
      <c r="I45" s="29">
        <v>80244.38</v>
      </c>
      <c r="J45" s="29">
        <f>E45*50%</f>
        <v>39519.82</v>
      </c>
      <c r="K45" s="29">
        <f>E45*350%</f>
        <v>276638.74</v>
      </c>
      <c r="L45" s="29">
        <f t="shared" ref="L45:L46" si="37">E45*100%</f>
        <v>79039.64</v>
      </c>
      <c r="M45" s="26"/>
      <c r="N45" s="26">
        <f>100000</f>
        <v>100000</v>
      </c>
      <c r="O45" s="29">
        <f t="shared" ref="O45:O46" si="38">E45*10%</f>
        <v>7903.9639999999999</v>
      </c>
      <c r="P45" s="29">
        <v>20000</v>
      </c>
      <c r="Q45" s="29"/>
      <c r="R45" s="25">
        <f>SUM(E45:Q45)</f>
        <v>925433.07700000005</v>
      </c>
      <c r="S45" s="25"/>
      <c r="T45" s="25">
        <f>100000</f>
        <v>100000</v>
      </c>
      <c r="U45" s="25"/>
      <c r="V45" s="25"/>
      <c r="W45" s="29">
        <f>(52776.63)</f>
        <v>52776.63</v>
      </c>
      <c r="X45" s="25">
        <f>W45+V45+U45+T45+S45</f>
        <v>152776.63</v>
      </c>
      <c r="Y45" s="25">
        <v>772656.44700000004</v>
      </c>
      <c r="Z45" s="25">
        <f t="shared" ref="Z45:Z46" si="39">R45-X45</f>
        <v>772656.44700000004</v>
      </c>
    </row>
    <row r="46" spans="1:27" ht="18.75" customHeight="1" x14ac:dyDescent="0.3">
      <c r="A46" s="22">
        <v>2</v>
      </c>
      <c r="B46" s="42" t="s">
        <v>125</v>
      </c>
      <c r="C46" s="12" t="s">
        <v>126</v>
      </c>
      <c r="D46" s="22" t="s">
        <v>116</v>
      </c>
      <c r="E46" s="39">
        <v>12351.94</v>
      </c>
      <c r="F46" s="39"/>
      <c r="G46" s="39">
        <f t="shared" ref="G46" si="40">E46*300%</f>
        <v>37055.82</v>
      </c>
      <c r="H46" s="39">
        <f t="shared" ref="H46" si="41">E46*7.5%</f>
        <v>926.39549999999997</v>
      </c>
      <c r="I46" s="39"/>
      <c r="J46" s="39">
        <f t="shared" ref="J46" si="42">E46*50%</f>
        <v>6175.97</v>
      </c>
      <c r="K46" s="39">
        <f t="shared" ref="K46" si="43">E46*350%</f>
        <v>43231.79</v>
      </c>
      <c r="L46" s="39">
        <f t="shared" si="37"/>
        <v>12351.94</v>
      </c>
      <c r="M46" s="26"/>
      <c r="N46" s="26">
        <f>50000</f>
        <v>50000</v>
      </c>
      <c r="O46" s="39">
        <f t="shared" si="38"/>
        <v>1235.1940000000002</v>
      </c>
      <c r="P46" s="39">
        <v>10000</v>
      </c>
      <c r="Q46" s="39"/>
      <c r="R46" s="25">
        <f>(Q46+P46+O46+N46+M46+L46+K46+J46+I46+H46+G46+F46+E46)</f>
        <v>173329.04949999999</v>
      </c>
      <c r="S46" s="25"/>
      <c r="T46" s="25">
        <f>20000</f>
        <v>20000</v>
      </c>
      <c r="U46" s="25"/>
      <c r="V46" s="25">
        <f>0</f>
        <v>0</v>
      </c>
      <c r="W46" s="29">
        <v>1484.37</v>
      </c>
      <c r="X46" s="25">
        <f t="shared" ref="X46" si="44">W46+V46+U46+T46+S46</f>
        <v>21484.37</v>
      </c>
      <c r="Y46" s="25">
        <v>149844.6795</v>
      </c>
      <c r="Z46" s="25">
        <f t="shared" si="39"/>
        <v>151844.6795</v>
      </c>
    </row>
    <row r="47" spans="1:27" ht="19.5" customHeight="1" x14ac:dyDescent="0.6">
      <c r="A47" s="22"/>
      <c r="B47" s="53"/>
      <c r="C47" s="15">
        <v>2</v>
      </c>
      <c r="D47" s="22"/>
      <c r="E47" s="50">
        <f>SUM(E45:E46)</f>
        <v>91391.58</v>
      </c>
      <c r="F47" s="50"/>
      <c r="G47" s="50">
        <f t="shared" ref="G47:L47" si="45">SUM(G45:G46)</f>
        <v>274174.74</v>
      </c>
      <c r="H47" s="50">
        <f t="shared" si="45"/>
        <v>6854.3684999999996</v>
      </c>
      <c r="I47" s="50">
        <f t="shared" si="45"/>
        <v>80244.38</v>
      </c>
      <c r="J47" s="50">
        <f t="shared" si="45"/>
        <v>45695.79</v>
      </c>
      <c r="K47" s="50">
        <f t="shared" si="45"/>
        <v>319870.52999999997</v>
      </c>
      <c r="L47" s="50">
        <f t="shared" si="45"/>
        <v>91391.58</v>
      </c>
      <c r="M47" s="51"/>
      <c r="N47" s="51">
        <f>SUM(N45:N46)</f>
        <v>150000</v>
      </c>
      <c r="O47" s="50">
        <f>SUM(O45:O46)</f>
        <v>9139.1579999999994</v>
      </c>
      <c r="P47" s="50">
        <f>SUM(P45:P46)</f>
        <v>30000</v>
      </c>
      <c r="Q47" s="50"/>
      <c r="R47" s="50">
        <f>SUM(R45:R46)</f>
        <v>1098762.1265</v>
      </c>
      <c r="S47" s="50"/>
      <c r="T47" s="50">
        <f>SUM(T45:T46)</f>
        <v>120000</v>
      </c>
      <c r="U47" s="50"/>
      <c r="V47" s="50">
        <f>SUM(V45:V46)</f>
        <v>0</v>
      </c>
      <c r="W47" s="50">
        <f>SUM(W45:W46)</f>
        <v>54261</v>
      </c>
      <c r="X47" s="50">
        <f>SUM(X45:X46)</f>
        <v>174261</v>
      </c>
      <c r="Y47" s="50">
        <v>922501.12650000001</v>
      </c>
      <c r="Z47" s="50">
        <f>SUM(Z45:Z46)</f>
        <v>924501.12650000001</v>
      </c>
      <c r="AA47" s="46"/>
    </row>
    <row r="48" spans="1:27" ht="20.100000000000001" customHeight="1" x14ac:dyDescent="0.3">
      <c r="A48" s="22"/>
      <c r="B48" s="30"/>
      <c r="C48" s="12"/>
      <c r="D48" s="22"/>
      <c r="E48" s="50"/>
      <c r="F48" s="50"/>
      <c r="G48" s="50"/>
      <c r="H48" s="50"/>
      <c r="I48" s="50"/>
      <c r="J48" s="50"/>
      <c r="K48" s="50"/>
      <c r="L48" s="50"/>
      <c r="M48" s="26"/>
      <c r="N48" s="26"/>
      <c r="O48" s="50"/>
      <c r="P48" s="50"/>
      <c r="Q48" s="50"/>
      <c r="R48" s="50"/>
      <c r="S48" s="50"/>
      <c r="T48" s="50"/>
      <c r="U48" s="50"/>
      <c r="V48" s="50"/>
      <c r="W48" s="50"/>
      <c r="X48" s="25"/>
      <c r="Y48" s="25"/>
      <c r="Z48" s="25"/>
    </row>
    <row r="49" spans="1:27" ht="20.100000000000001" customHeight="1" x14ac:dyDescent="0.3">
      <c r="A49" s="22"/>
      <c r="B49" s="54" t="s">
        <v>127</v>
      </c>
      <c r="C49" s="55"/>
      <c r="D49" s="14"/>
      <c r="E49" s="50"/>
      <c r="F49" s="50"/>
      <c r="G49" s="50"/>
      <c r="H49" s="25"/>
      <c r="I49" s="25"/>
      <c r="J49" s="25"/>
      <c r="K49" s="25"/>
      <c r="L49" s="25"/>
      <c r="M49" s="26"/>
      <c r="N49" s="26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7" ht="20.100000000000001" customHeight="1" x14ac:dyDescent="0.3">
      <c r="A50" s="22">
        <v>1</v>
      </c>
      <c r="B50" s="23" t="s">
        <v>128</v>
      </c>
      <c r="C50" s="12" t="s">
        <v>129</v>
      </c>
      <c r="D50" s="22" t="s">
        <v>43</v>
      </c>
      <c r="E50" s="29">
        <v>81740.02</v>
      </c>
      <c r="F50" s="29"/>
      <c r="G50" s="29">
        <f>E50*300%</f>
        <v>245220.06</v>
      </c>
      <c r="H50" s="29">
        <f>E50*7.5%</f>
        <v>6130.5015000000003</v>
      </c>
      <c r="I50" s="29">
        <v>80244.38</v>
      </c>
      <c r="J50" s="29">
        <f>E50*50%</f>
        <v>40870.01</v>
      </c>
      <c r="K50" s="29">
        <f>E50*350%</f>
        <v>286090.07</v>
      </c>
      <c r="L50" s="29">
        <f t="shared" ref="L50:L60" si="46">E50*100%</f>
        <v>81740.02</v>
      </c>
      <c r="M50" s="26">
        <f>200000</f>
        <v>200000</v>
      </c>
      <c r="N50" s="26"/>
      <c r="O50" s="29">
        <f t="shared" ref="O50:O60" si="47">E50*10%</f>
        <v>8174.0020000000004</v>
      </c>
      <c r="P50" s="29">
        <v>20000</v>
      </c>
      <c r="Q50" s="29"/>
      <c r="R50" s="25">
        <f t="shared" ref="R50:R58" si="48">SUM(E50:Q50)</f>
        <v>1050209.0635000002</v>
      </c>
      <c r="S50" s="25"/>
      <c r="T50" s="25">
        <f>200000</f>
        <v>200000</v>
      </c>
      <c r="U50" s="25">
        <f>52500*2</f>
        <v>105000</v>
      </c>
      <c r="V50" s="25"/>
      <c r="W50" s="29">
        <f>52776.63</f>
        <v>52776.63</v>
      </c>
      <c r="X50" s="25">
        <f>W50+V50+U50+T50+S50</f>
        <v>357776.63</v>
      </c>
      <c r="Y50" s="25">
        <v>692432.43350000016</v>
      </c>
      <c r="Z50" s="25">
        <f t="shared" ref="Z50:Z58" si="49">R50-X50</f>
        <v>692432.43350000016</v>
      </c>
    </row>
    <row r="51" spans="1:27" ht="20.100000000000001" customHeight="1" x14ac:dyDescent="0.3">
      <c r="A51" s="22">
        <v>2</v>
      </c>
      <c r="B51" s="23" t="s">
        <v>130</v>
      </c>
      <c r="C51" s="12" t="s">
        <v>131</v>
      </c>
      <c r="D51" s="22" t="s">
        <v>57</v>
      </c>
      <c r="E51" s="29">
        <v>33507.5</v>
      </c>
      <c r="F51" s="29"/>
      <c r="G51" s="29">
        <f>E51*300%</f>
        <v>100522.5</v>
      </c>
      <c r="H51" s="29">
        <f>E51*7.5%</f>
        <v>2513.0625</v>
      </c>
      <c r="I51" s="29">
        <v>40122.19</v>
      </c>
      <c r="J51" s="29">
        <f>E51*50%</f>
        <v>16753.75</v>
      </c>
      <c r="K51" s="29">
        <f>E51*350%</f>
        <v>117276.25</v>
      </c>
      <c r="L51" s="29">
        <f>E51*100%</f>
        <v>33507.5</v>
      </c>
      <c r="M51" s="26">
        <f>160000</f>
        <v>160000</v>
      </c>
      <c r="N51" s="26"/>
      <c r="O51" s="29">
        <f>E51*10%</f>
        <v>3350.75</v>
      </c>
      <c r="P51" s="29">
        <v>20000</v>
      </c>
      <c r="Q51" s="29">
        <v>0</v>
      </c>
      <c r="R51" s="25">
        <f>SUM(E51:Q51)</f>
        <v>527553.50249999994</v>
      </c>
      <c r="S51" s="25"/>
      <c r="T51" s="25">
        <v>50000</v>
      </c>
      <c r="U51" s="25">
        <f>0</f>
        <v>0</v>
      </c>
      <c r="V51" s="25"/>
      <c r="W51" s="29">
        <v>15548.33</v>
      </c>
      <c r="X51" s="25">
        <f t="shared" ref="X51:X58" si="50">W51+V51+U51+T51+S51</f>
        <v>65548.33</v>
      </c>
      <c r="Y51" s="25">
        <v>462005.17249999993</v>
      </c>
      <c r="Z51" s="25">
        <f>R51-X51</f>
        <v>462005.17249999993</v>
      </c>
    </row>
    <row r="52" spans="1:27" ht="20.100000000000001" customHeight="1" x14ac:dyDescent="0.3">
      <c r="A52" s="22">
        <v>3</v>
      </c>
      <c r="B52" s="23" t="s">
        <v>132</v>
      </c>
      <c r="C52" s="12" t="s">
        <v>133</v>
      </c>
      <c r="D52" s="22" t="s">
        <v>57</v>
      </c>
      <c r="E52" s="29">
        <v>33507.5</v>
      </c>
      <c r="F52" s="29"/>
      <c r="G52" s="29">
        <f>E52*300%</f>
        <v>100522.5</v>
      </c>
      <c r="H52" s="29">
        <f>E52*7.5%</f>
        <v>2513.0625</v>
      </c>
      <c r="I52" s="29">
        <v>40122.19</v>
      </c>
      <c r="J52" s="29">
        <f>E52*50%</f>
        <v>16753.75</v>
      </c>
      <c r="K52" s="29">
        <f>E52*350%</f>
        <v>117276.25</v>
      </c>
      <c r="L52" s="29">
        <f>E52*100%</f>
        <v>33507.5</v>
      </c>
      <c r="M52" s="26">
        <f>160000</f>
        <v>160000</v>
      </c>
      <c r="N52" s="26"/>
      <c r="O52" s="29">
        <f>E52*10%</f>
        <v>3350.75</v>
      </c>
      <c r="P52" s="29">
        <v>20000</v>
      </c>
      <c r="Q52" s="29"/>
      <c r="R52" s="25">
        <f>SUM(E52:Q52)</f>
        <v>527553.50249999994</v>
      </c>
      <c r="S52" s="25"/>
      <c r="T52" s="25">
        <f>80000+23000</f>
        <v>103000</v>
      </c>
      <c r="U52" s="25">
        <f>246905.96</f>
        <v>246905.96</v>
      </c>
      <c r="V52" s="25"/>
      <c r="W52" s="29">
        <v>15548.33</v>
      </c>
      <c r="X52" s="25">
        <f t="shared" si="50"/>
        <v>365454.29</v>
      </c>
      <c r="Y52" s="25">
        <v>162099.21249999997</v>
      </c>
      <c r="Z52" s="25">
        <f>R52-X52</f>
        <v>162099.21249999997</v>
      </c>
    </row>
    <row r="53" spans="1:27" ht="20.100000000000001" customHeight="1" x14ac:dyDescent="0.3">
      <c r="A53" s="22">
        <v>4</v>
      </c>
      <c r="B53" s="23" t="s">
        <v>134</v>
      </c>
      <c r="C53" s="12" t="s">
        <v>133</v>
      </c>
      <c r="D53" s="22" t="s">
        <v>135</v>
      </c>
      <c r="E53" s="29">
        <v>32263.200000000001</v>
      </c>
      <c r="F53" s="29"/>
      <c r="G53" s="29">
        <f>E53*300%</f>
        <v>96789.6</v>
      </c>
      <c r="H53" s="29">
        <f>E53*7.5%</f>
        <v>2419.7399999999998</v>
      </c>
      <c r="I53" s="29">
        <v>40122.19</v>
      </c>
      <c r="J53" s="29">
        <f>E53*50%</f>
        <v>16131.6</v>
      </c>
      <c r="K53" s="29">
        <f>E53*350%</f>
        <v>112921.2</v>
      </c>
      <c r="L53" s="29">
        <f>E53*100%</f>
        <v>32263.200000000001</v>
      </c>
      <c r="M53" s="26">
        <f>160000</f>
        <v>160000</v>
      </c>
      <c r="N53" s="26"/>
      <c r="O53" s="29">
        <f>E53*10%</f>
        <v>3226.32</v>
      </c>
      <c r="P53" s="29">
        <v>20000</v>
      </c>
      <c r="Q53" s="29"/>
      <c r="R53" s="25">
        <f>SUM(E53:Q53)</f>
        <v>516137.05000000005</v>
      </c>
      <c r="S53" s="25"/>
      <c r="T53" s="25">
        <f>30000</f>
        <v>30000</v>
      </c>
      <c r="U53" s="25">
        <f>176288.88</f>
        <v>176288.88</v>
      </c>
      <c r="V53" s="25"/>
      <c r="W53" s="29">
        <f>15548.33</f>
        <v>15548.33</v>
      </c>
      <c r="X53" s="25">
        <f t="shared" si="50"/>
        <v>221837.21</v>
      </c>
      <c r="Y53" s="25">
        <v>294299.84000000008</v>
      </c>
      <c r="Z53" s="25">
        <f>R53-X53</f>
        <v>294299.84000000008</v>
      </c>
    </row>
    <row r="54" spans="1:27" ht="20.100000000000001" customHeight="1" x14ac:dyDescent="0.3">
      <c r="A54" s="22">
        <v>5</v>
      </c>
      <c r="B54" s="23" t="s">
        <v>136</v>
      </c>
      <c r="C54" s="12" t="s">
        <v>137</v>
      </c>
      <c r="D54" s="22" t="s">
        <v>138</v>
      </c>
      <c r="E54" s="29">
        <v>28489.81</v>
      </c>
      <c r="F54" s="29"/>
      <c r="G54" s="29">
        <f t="shared" ref="G54:G60" si="51">E54*300%</f>
        <v>85469.430000000008</v>
      </c>
      <c r="H54" s="29">
        <f t="shared" ref="H54:H60" si="52">E54*7.5%</f>
        <v>2136.7357499999998</v>
      </c>
      <c r="I54" s="29">
        <v>0</v>
      </c>
      <c r="J54" s="29">
        <f t="shared" ref="J54:J60" si="53">E54*50%</f>
        <v>14244.905000000001</v>
      </c>
      <c r="K54" s="29">
        <f t="shared" ref="K54:K60" si="54">E54*350%</f>
        <v>99714.335000000006</v>
      </c>
      <c r="L54" s="29">
        <f t="shared" si="46"/>
        <v>28489.81</v>
      </c>
      <c r="M54" s="26">
        <f t="shared" ref="M54:M55" si="55">140000</f>
        <v>140000</v>
      </c>
      <c r="N54" s="26"/>
      <c r="O54" s="29">
        <f t="shared" si="47"/>
        <v>2848.9810000000002</v>
      </c>
      <c r="P54" s="29">
        <v>20000</v>
      </c>
      <c r="Q54" s="29">
        <v>0</v>
      </c>
      <c r="R54" s="25">
        <f t="shared" si="48"/>
        <v>421394.00675000006</v>
      </c>
      <c r="S54" s="25"/>
      <c r="T54" s="25"/>
      <c r="U54" s="25"/>
      <c r="V54" s="25">
        <f>'[2]April 2022'!$H$23</f>
        <v>712.24525000000006</v>
      </c>
      <c r="W54" s="29">
        <v>7709.76</v>
      </c>
      <c r="X54" s="25">
        <f t="shared" si="50"/>
        <v>8422.0052500000002</v>
      </c>
      <c r="Y54" s="25">
        <v>412972.00150000007</v>
      </c>
      <c r="Z54" s="25">
        <f t="shared" si="49"/>
        <v>412972.00150000007</v>
      </c>
    </row>
    <row r="55" spans="1:27" ht="20.100000000000001" customHeight="1" x14ac:dyDescent="0.3">
      <c r="A55" s="22">
        <v>6</v>
      </c>
      <c r="B55" s="23" t="s">
        <v>139</v>
      </c>
      <c r="C55" s="12" t="s">
        <v>137</v>
      </c>
      <c r="D55" s="22" t="s">
        <v>68</v>
      </c>
      <c r="E55" s="29">
        <v>26732.65</v>
      </c>
      <c r="F55" s="29"/>
      <c r="G55" s="29">
        <f t="shared" si="51"/>
        <v>80197.950000000012</v>
      </c>
      <c r="H55" s="29">
        <f t="shared" si="52"/>
        <v>2004.94875</v>
      </c>
      <c r="I55" s="29"/>
      <c r="J55" s="29">
        <f t="shared" si="53"/>
        <v>13366.325000000001</v>
      </c>
      <c r="K55" s="29">
        <f t="shared" si="54"/>
        <v>93564.275000000009</v>
      </c>
      <c r="L55" s="29">
        <f t="shared" si="46"/>
        <v>26732.65</v>
      </c>
      <c r="M55" s="26">
        <f t="shared" si="55"/>
        <v>140000</v>
      </c>
      <c r="N55" s="26"/>
      <c r="O55" s="29">
        <f t="shared" si="47"/>
        <v>2673.2650000000003</v>
      </c>
      <c r="P55" s="29">
        <v>20000</v>
      </c>
      <c r="Q55" s="29"/>
      <c r="R55" s="25">
        <f t="shared" si="48"/>
        <v>405272.06374999997</v>
      </c>
      <c r="S55" s="25"/>
      <c r="T55" s="25">
        <f>15000</f>
        <v>15000</v>
      </c>
      <c r="U55" s="25">
        <f>133333.34</f>
        <v>133333.34</v>
      </c>
      <c r="V55" s="25"/>
      <c r="W55" s="29">
        <v>7709.76</v>
      </c>
      <c r="X55" s="25">
        <f t="shared" si="50"/>
        <v>156043.1</v>
      </c>
      <c r="Y55" s="25">
        <v>249228.96374999997</v>
      </c>
      <c r="Z55" s="25">
        <f t="shared" si="49"/>
        <v>249228.96374999997</v>
      </c>
    </row>
    <row r="56" spans="1:27" ht="20.100000000000001" customHeight="1" x14ac:dyDescent="0.3">
      <c r="A56" s="22">
        <v>7</v>
      </c>
      <c r="B56" s="56" t="s">
        <v>140</v>
      </c>
      <c r="C56" s="12" t="s">
        <v>141</v>
      </c>
      <c r="D56" s="57" t="s">
        <v>68</v>
      </c>
      <c r="E56" s="39">
        <v>26732.65</v>
      </c>
      <c r="F56" s="39"/>
      <c r="G56" s="39">
        <f>E56*300%</f>
        <v>80197.950000000012</v>
      </c>
      <c r="H56" s="39">
        <f>E56*7.5%</f>
        <v>2004.94875</v>
      </c>
      <c r="I56" s="39"/>
      <c r="J56" s="39">
        <f>E56*50%</f>
        <v>13366.325000000001</v>
      </c>
      <c r="K56" s="39">
        <f>E56*350%</f>
        <v>93564.275000000009</v>
      </c>
      <c r="L56" s="39">
        <f>E56*100%</f>
        <v>26732.65</v>
      </c>
      <c r="M56" s="26">
        <f>140000</f>
        <v>140000</v>
      </c>
      <c r="N56" s="26"/>
      <c r="O56" s="39">
        <f>E56*10%</f>
        <v>2673.2650000000003</v>
      </c>
      <c r="P56" s="39">
        <v>20000</v>
      </c>
      <c r="Q56" s="39"/>
      <c r="R56" s="25">
        <f>SUM(E56:Q56)</f>
        <v>405272.06374999997</v>
      </c>
      <c r="S56" s="25"/>
      <c r="T56" s="58"/>
      <c r="U56" s="58"/>
      <c r="V56" s="58">
        <v>0</v>
      </c>
      <c r="W56" s="58">
        <v>7709.76</v>
      </c>
      <c r="X56" s="25">
        <f t="shared" si="50"/>
        <v>7709.76</v>
      </c>
      <c r="Y56" s="25">
        <v>397562.30374999996</v>
      </c>
      <c r="Z56" s="25">
        <f>R56-X56</f>
        <v>397562.30374999996</v>
      </c>
    </row>
    <row r="57" spans="1:27" ht="20.100000000000001" customHeight="1" x14ac:dyDescent="0.3">
      <c r="A57" s="22">
        <v>8</v>
      </c>
      <c r="B57" s="23" t="s">
        <v>142</v>
      </c>
      <c r="C57" s="12" t="s">
        <v>143</v>
      </c>
      <c r="D57" s="22" t="s">
        <v>144</v>
      </c>
      <c r="E57" s="29">
        <v>25523.45</v>
      </c>
      <c r="F57" s="29"/>
      <c r="G57" s="29">
        <f t="shared" si="51"/>
        <v>76570.350000000006</v>
      </c>
      <c r="H57" s="29">
        <f t="shared" si="52"/>
        <v>1914.25875</v>
      </c>
      <c r="I57" s="29">
        <v>0</v>
      </c>
      <c r="J57" s="29">
        <f t="shared" si="53"/>
        <v>12761.725</v>
      </c>
      <c r="K57" s="29">
        <f t="shared" si="54"/>
        <v>89332.074999999997</v>
      </c>
      <c r="L57" s="29">
        <f t="shared" si="46"/>
        <v>25523.45</v>
      </c>
      <c r="M57" s="26">
        <f>120000</f>
        <v>120000</v>
      </c>
      <c r="N57" s="26"/>
      <c r="O57" s="29">
        <f t="shared" si="47"/>
        <v>2552.3450000000003</v>
      </c>
      <c r="P57" s="29">
        <v>15000</v>
      </c>
      <c r="Q57" s="29">
        <v>0</v>
      </c>
      <c r="R57" s="25">
        <f t="shared" si="48"/>
        <v>369177.65375</v>
      </c>
      <c r="S57" s="25"/>
      <c r="T57" s="25"/>
      <c r="U57" s="25"/>
      <c r="V57" s="25"/>
      <c r="W57" s="29">
        <v>7709.76</v>
      </c>
      <c r="X57" s="25">
        <f t="shared" si="50"/>
        <v>7709.76</v>
      </c>
      <c r="Y57" s="25">
        <v>361467.89374999999</v>
      </c>
      <c r="Z57" s="25">
        <f t="shared" si="49"/>
        <v>361467.89374999999</v>
      </c>
    </row>
    <row r="58" spans="1:27" ht="20.100000000000001" customHeight="1" x14ac:dyDescent="0.3">
      <c r="A58" s="22">
        <v>9</v>
      </c>
      <c r="B58" s="36" t="s">
        <v>145</v>
      </c>
      <c r="C58" s="12" t="s">
        <v>146</v>
      </c>
      <c r="D58" s="38" t="s">
        <v>78</v>
      </c>
      <c r="E58" s="39">
        <v>24741.26</v>
      </c>
      <c r="F58" s="29"/>
      <c r="G58" s="39">
        <f t="shared" si="51"/>
        <v>74223.78</v>
      </c>
      <c r="H58" s="39">
        <f t="shared" si="52"/>
        <v>1855.5944999999997</v>
      </c>
      <c r="I58" s="39"/>
      <c r="J58" s="39">
        <f t="shared" si="53"/>
        <v>12370.63</v>
      </c>
      <c r="K58" s="39">
        <f t="shared" si="54"/>
        <v>86594.409999999989</v>
      </c>
      <c r="L58" s="39">
        <f t="shared" si="46"/>
        <v>24741.26</v>
      </c>
      <c r="M58" s="26">
        <f t="shared" ref="M58" si="56">120000</f>
        <v>120000</v>
      </c>
      <c r="N58" s="26"/>
      <c r="O58" s="39">
        <f t="shared" si="47"/>
        <v>2474.1260000000002</v>
      </c>
      <c r="P58" s="39">
        <v>15000</v>
      </c>
      <c r="Q58" s="39"/>
      <c r="R58" s="25">
        <f t="shared" si="48"/>
        <v>362001.06049999996</v>
      </c>
      <c r="S58" s="25"/>
      <c r="T58" s="58">
        <f>50000+10000</f>
        <v>60000</v>
      </c>
      <c r="U58" s="58">
        <f>91666.67</f>
        <v>91666.67</v>
      </c>
      <c r="V58" s="58">
        <f>'[2]April 2022'!$H$46</f>
        <v>618.53150000000005</v>
      </c>
      <c r="W58" s="39">
        <f>7709.76</f>
        <v>7709.76</v>
      </c>
      <c r="X58" s="25">
        <f t="shared" si="50"/>
        <v>159994.9615</v>
      </c>
      <c r="Y58" s="25">
        <v>202006.09899999996</v>
      </c>
      <c r="Z58" s="25">
        <f t="shared" si="49"/>
        <v>202006.09899999996</v>
      </c>
    </row>
    <row r="59" spans="1:27" ht="20.100000000000001" customHeight="1" x14ac:dyDescent="0.3">
      <c r="A59" s="22">
        <v>10</v>
      </c>
      <c r="B59" s="36" t="s">
        <v>147</v>
      </c>
      <c r="C59" s="12" t="s">
        <v>148</v>
      </c>
      <c r="D59" s="22" t="s">
        <v>101</v>
      </c>
      <c r="E59" s="39">
        <f>14736.14</f>
        <v>14736.14</v>
      </c>
      <c r="F59" s="39"/>
      <c r="G59" s="39">
        <f t="shared" si="51"/>
        <v>44208.42</v>
      </c>
      <c r="H59" s="39">
        <f t="shared" si="52"/>
        <v>1105.2104999999999</v>
      </c>
      <c r="I59" s="39"/>
      <c r="J59" s="39">
        <f t="shared" si="53"/>
        <v>7368.07</v>
      </c>
      <c r="K59" s="39">
        <f t="shared" si="54"/>
        <v>51576.49</v>
      </c>
      <c r="L59" s="39">
        <f t="shared" si="46"/>
        <v>14736.14</v>
      </c>
      <c r="M59" s="26">
        <f>100000</f>
        <v>100000</v>
      </c>
      <c r="N59" s="26"/>
      <c r="O59" s="39">
        <f t="shared" si="47"/>
        <v>1473.614</v>
      </c>
      <c r="P59" s="39">
        <v>10000</v>
      </c>
      <c r="Q59" s="39"/>
      <c r="R59" s="25">
        <f>SUM(E59:Q59)</f>
        <v>245204.0845</v>
      </c>
      <c r="S59" s="25"/>
      <c r="T59" s="58"/>
      <c r="U59" s="58"/>
      <c r="V59" s="58"/>
      <c r="W59" s="29">
        <v>3369.51</v>
      </c>
      <c r="X59" s="25">
        <f>W59+V59+U59+T59</f>
        <v>3369.51</v>
      </c>
      <c r="Y59" s="25">
        <v>241834.57449999999</v>
      </c>
      <c r="Z59" s="25">
        <f>R59-X59</f>
        <v>241834.57449999999</v>
      </c>
    </row>
    <row r="60" spans="1:27" ht="20.100000000000001" customHeight="1" x14ac:dyDescent="0.3">
      <c r="A60" s="22">
        <v>11</v>
      </c>
      <c r="B60" s="36" t="s">
        <v>149</v>
      </c>
      <c r="C60" s="12" t="s">
        <v>148</v>
      </c>
      <c r="D60" s="22" t="s">
        <v>101</v>
      </c>
      <c r="E60" s="39">
        <f>14736.14</f>
        <v>14736.14</v>
      </c>
      <c r="F60" s="39"/>
      <c r="G60" s="39">
        <f t="shared" si="51"/>
        <v>44208.42</v>
      </c>
      <c r="H60" s="39">
        <f t="shared" si="52"/>
        <v>1105.2104999999999</v>
      </c>
      <c r="I60" s="39"/>
      <c r="J60" s="39">
        <f t="shared" si="53"/>
        <v>7368.07</v>
      </c>
      <c r="K60" s="39">
        <f t="shared" si="54"/>
        <v>51576.49</v>
      </c>
      <c r="L60" s="39">
        <f t="shared" si="46"/>
        <v>14736.14</v>
      </c>
      <c r="M60" s="26">
        <f>100000</f>
        <v>100000</v>
      </c>
      <c r="N60" s="26"/>
      <c r="O60" s="39">
        <f t="shared" si="47"/>
        <v>1473.614</v>
      </c>
      <c r="P60" s="39">
        <v>10000</v>
      </c>
      <c r="Q60" s="39"/>
      <c r="R60" s="25">
        <f>SUM(E60:Q60)</f>
        <v>245204.0845</v>
      </c>
      <c r="S60" s="25"/>
      <c r="T60" s="58"/>
      <c r="U60" s="58"/>
      <c r="V60" s="58"/>
      <c r="W60" s="29">
        <v>3369.51</v>
      </c>
      <c r="X60" s="25">
        <f>W60+V60+U60+T60</f>
        <v>3369.51</v>
      </c>
      <c r="Y60" s="25">
        <v>241834.57449999999</v>
      </c>
      <c r="Z60" s="25">
        <f>R60-X60</f>
        <v>241834.57449999999</v>
      </c>
    </row>
    <row r="61" spans="1:27" ht="25.5" customHeight="1" x14ac:dyDescent="0.6">
      <c r="A61" s="22"/>
      <c r="B61" s="59" t="s">
        <v>34</v>
      </c>
      <c r="C61" s="60">
        <v>11</v>
      </c>
      <c r="D61" s="60"/>
      <c r="E61" s="61">
        <f>SUM(E50:E60)</f>
        <v>342710.32000000007</v>
      </c>
      <c r="F61" s="61"/>
      <c r="G61" s="61">
        <f t="shared" ref="G61:M61" si="57">SUM(G50:G60)</f>
        <v>1028130.9600000001</v>
      </c>
      <c r="H61" s="61">
        <f t="shared" si="57"/>
        <v>25703.274000000001</v>
      </c>
      <c r="I61" s="61">
        <f t="shared" si="57"/>
        <v>200610.95</v>
      </c>
      <c r="J61" s="61">
        <f t="shared" si="57"/>
        <v>171355.16000000003</v>
      </c>
      <c r="K61" s="61">
        <f t="shared" si="57"/>
        <v>1199486.1199999999</v>
      </c>
      <c r="L61" s="61">
        <f t="shared" si="57"/>
        <v>342710.32000000007</v>
      </c>
      <c r="M61" s="51">
        <f t="shared" si="57"/>
        <v>1540000</v>
      </c>
      <c r="N61" s="51"/>
      <c r="O61" s="61">
        <f>SUM(O50:O60)</f>
        <v>34271.031999999999</v>
      </c>
      <c r="P61" s="61">
        <f>SUM(P50:P60)</f>
        <v>190000</v>
      </c>
      <c r="Q61" s="61">
        <f>SUM(Q50:Q60)</f>
        <v>0</v>
      </c>
      <c r="R61" s="61">
        <f>SUM(R50:R60)</f>
        <v>5074978.135999999</v>
      </c>
      <c r="S61" s="61"/>
      <c r="T61" s="61">
        <f t="shared" ref="T61:Z61" si="58">SUM(T50:T60)</f>
        <v>458000</v>
      </c>
      <c r="U61" s="61">
        <f t="shared" si="58"/>
        <v>753194.85</v>
      </c>
      <c r="V61" s="61">
        <f t="shared" si="58"/>
        <v>1330.77675</v>
      </c>
      <c r="W61" s="61">
        <f t="shared" si="58"/>
        <v>144709.44</v>
      </c>
      <c r="X61" s="61">
        <f t="shared" si="58"/>
        <v>1357235.06675</v>
      </c>
      <c r="Y61" s="61">
        <v>3717743.0692500002</v>
      </c>
      <c r="Z61" s="61">
        <f t="shared" si="58"/>
        <v>3717743.0692500002</v>
      </c>
      <c r="AA61" s="46"/>
    </row>
    <row r="62" spans="1:27" ht="20.100000000000001" customHeight="1" x14ac:dyDescent="0.3">
      <c r="A62" s="22"/>
      <c r="B62" s="62"/>
      <c r="C62" s="60"/>
      <c r="D62" s="60"/>
      <c r="E62" s="63"/>
      <c r="F62" s="63"/>
      <c r="G62" s="63"/>
      <c r="H62" s="63"/>
      <c r="I62" s="63"/>
      <c r="J62" s="63"/>
      <c r="K62" s="63"/>
      <c r="L62" s="63"/>
      <c r="M62" s="26"/>
      <c r="N62" s="26"/>
      <c r="O62" s="63"/>
      <c r="P62" s="63"/>
      <c r="Q62" s="63"/>
      <c r="R62" s="63"/>
      <c r="S62" s="63"/>
      <c r="T62" s="63"/>
      <c r="U62" s="63"/>
      <c r="V62" s="63"/>
      <c r="W62" s="63"/>
      <c r="X62" s="63"/>
      <c r="Y62" s="63"/>
      <c r="Z62" s="63"/>
    </row>
    <row r="63" spans="1:27" ht="20.100000000000001" customHeight="1" x14ac:dyDescent="0.3">
      <c r="A63" s="22"/>
      <c r="B63" s="59" t="s">
        <v>150</v>
      </c>
      <c r="C63" s="60"/>
      <c r="D63" s="60"/>
      <c r="E63" s="63"/>
      <c r="F63" s="63"/>
      <c r="G63" s="63"/>
      <c r="H63" s="63"/>
      <c r="I63" s="63"/>
      <c r="J63" s="63"/>
      <c r="K63" s="63"/>
      <c r="L63" s="63"/>
      <c r="M63" s="26"/>
      <c r="N63" s="26"/>
      <c r="O63" s="63"/>
      <c r="P63" s="63"/>
      <c r="Q63" s="63"/>
      <c r="R63" s="63"/>
      <c r="S63" s="63"/>
      <c r="T63" s="63"/>
      <c r="U63" s="63"/>
      <c r="V63" s="63"/>
      <c r="W63" s="63"/>
      <c r="X63" s="63"/>
      <c r="Y63" s="63"/>
      <c r="Z63" s="63"/>
    </row>
    <row r="64" spans="1:27" ht="20.100000000000001" customHeight="1" x14ac:dyDescent="0.3">
      <c r="A64" s="22">
        <v>1</v>
      </c>
      <c r="B64" s="23" t="s">
        <v>151</v>
      </c>
      <c r="C64" s="24" t="s">
        <v>152</v>
      </c>
      <c r="D64" s="28" t="s">
        <v>43</v>
      </c>
      <c r="E64" s="29">
        <v>81740.02</v>
      </c>
      <c r="F64" s="29"/>
      <c r="G64" s="29">
        <f>E64*300%</f>
        <v>245220.06</v>
      </c>
      <c r="H64" s="29">
        <f>E64*7.5%</f>
        <v>6130.5015000000003</v>
      </c>
      <c r="I64" s="29">
        <v>80244.38</v>
      </c>
      <c r="J64" s="29">
        <f>E64*50%</f>
        <v>40870.01</v>
      </c>
      <c r="K64" s="29">
        <f>E64*350%</f>
        <v>286090.07</v>
      </c>
      <c r="L64" s="29">
        <f>E64*100%</f>
        <v>81740.02</v>
      </c>
      <c r="M64" s="26">
        <f>200000</f>
        <v>200000</v>
      </c>
      <c r="N64" s="26"/>
      <c r="O64" s="29">
        <f>E64*10%</f>
        <v>8174.0020000000004</v>
      </c>
      <c r="P64" s="29">
        <v>20000</v>
      </c>
      <c r="Q64" s="29">
        <v>0</v>
      </c>
      <c r="R64" s="25">
        <f>SUM(E64:Q64)</f>
        <v>1050209.0635000002</v>
      </c>
      <c r="S64" s="25"/>
      <c r="T64" s="25"/>
      <c r="U64" s="25"/>
      <c r="V64" s="25">
        <v>0</v>
      </c>
      <c r="W64" s="29">
        <v>52776.63</v>
      </c>
      <c r="X64" s="25">
        <f>W64+V64+U64+T64+S64</f>
        <v>52776.63</v>
      </c>
      <c r="Y64" s="25">
        <v>997432.43350000016</v>
      </c>
      <c r="Z64" s="25">
        <f>R64-X64</f>
        <v>997432.43350000016</v>
      </c>
    </row>
    <row r="65" spans="1:27" ht="20.100000000000001" customHeight="1" x14ac:dyDescent="0.3">
      <c r="A65" s="22">
        <v>2</v>
      </c>
      <c r="B65" s="42" t="s">
        <v>153</v>
      </c>
      <c r="C65" s="24" t="s">
        <v>154</v>
      </c>
      <c r="D65" s="28" t="s">
        <v>155</v>
      </c>
      <c r="E65" s="25">
        <v>32263.200000000001</v>
      </c>
      <c r="F65" s="29"/>
      <c r="G65" s="29">
        <f t="shared" ref="G65" si="59">E65*300%</f>
        <v>96789.6</v>
      </c>
      <c r="H65" s="29">
        <f t="shared" ref="H65" si="60">E65*7.5%</f>
        <v>2419.7399999999998</v>
      </c>
      <c r="I65" s="29">
        <v>40122.19</v>
      </c>
      <c r="J65" s="29">
        <f t="shared" ref="J65" si="61">E65*50%</f>
        <v>16131.6</v>
      </c>
      <c r="K65" s="29">
        <f t="shared" ref="K65" si="62">E65*350%</f>
        <v>112921.2</v>
      </c>
      <c r="L65" s="29">
        <f t="shared" ref="L65" si="63">E65*100%</f>
        <v>32263.200000000001</v>
      </c>
      <c r="M65" s="26"/>
      <c r="N65" s="26">
        <f>80000</f>
        <v>80000</v>
      </c>
      <c r="O65" s="29">
        <f t="shared" ref="O65" si="64">E65*10%</f>
        <v>3226.32</v>
      </c>
      <c r="P65" s="29">
        <v>20000</v>
      </c>
      <c r="Q65" s="40">
        <v>0</v>
      </c>
      <c r="R65" s="25">
        <f t="shared" ref="R65" si="65">SUM(E65:Q65)</f>
        <v>436137.05000000005</v>
      </c>
      <c r="S65" s="25"/>
      <c r="T65" s="25">
        <f>50000</f>
        <v>50000</v>
      </c>
      <c r="U65" s="25">
        <f>95000+50000</f>
        <v>145000</v>
      </c>
      <c r="V65" s="25">
        <v>0</v>
      </c>
      <c r="W65" s="29">
        <f>15548.33</f>
        <v>15548.33</v>
      </c>
      <c r="X65" s="25">
        <f>W65+V65+U65+T65+S65</f>
        <v>210548.33</v>
      </c>
      <c r="Y65" s="25">
        <v>225588.72000000006</v>
      </c>
      <c r="Z65" s="25">
        <f>R65-X65</f>
        <v>225588.72000000006</v>
      </c>
    </row>
    <row r="66" spans="1:27" ht="20.100000000000001" customHeight="1" x14ac:dyDescent="0.6">
      <c r="A66" s="22"/>
      <c r="B66" s="59" t="s">
        <v>34</v>
      </c>
      <c r="C66" s="60">
        <v>2</v>
      </c>
      <c r="D66" s="60"/>
      <c r="E66" s="61">
        <f>SUM(E64:E65)</f>
        <v>114003.22</v>
      </c>
      <c r="F66" s="61"/>
      <c r="G66" s="61">
        <f t="shared" ref="G66:R66" si="66">SUM(G64:G65)</f>
        <v>342009.66000000003</v>
      </c>
      <c r="H66" s="61">
        <f t="shared" si="66"/>
        <v>8550.2415000000001</v>
      </c>
      <c r="I66" s="61">
        <f t="shared" si="66"/>
        <v>120366.57</v>
      </c>
      <c r="J66" s="61">
        <f t="shared" si="66"/>
        <v>57001.61</v>
      </c>
      <c r="K66" s="61">
        <f t="shared" si="66"/>
        <v>399011.27</v>
      </c>
      <c r="L66" s="61">
        <f t="shared" si="66"/>
        <v>114003.22</v>
      </c>
      <c r="M66" s="51">
        <f t="shared" si="66"/>
        <v>200000</v>
      </c>
      <c r="N66" s="51">
        <f t="shared" si="66"/>
        <v>80000</v>
      </c>
      <c r="O66" s="61">
        <f t="shared" si="66"/>
        <v>11400.322</v>
      </c>
      <c r="P66" s="61">
        <f t="shared" si="66"/>
        <v>40000</v>
      </c>
      <c r="Q66" s="61">
        <f t="shared" si="66"/>
        <v>0</v>
      </c>
      <c r="R66" s="61">
        <f t="shared" si="66"/>
        <v>1486346.1135000002</v>
      </c>
      <c r="S66" s="61"/>
      <c r="T66" s="61">
        <f t="shared" ref="T66:Z66" si="67">SUM(T64:T65)</f>
        <v>50000</v>
      </c>
      <c r="U66" s="61">
        <f t="shared" si="67"/>
        <v>145000</v>
      </c>
      <c r="V66" s="61">
        <f t="shared" si="67"/>
        <v>0</v>
      </c>
      <c r="W66" s="61">
        <f t="shared" si="67"/>
        <v>68324.959999999992</v>
      </c>
      <c r="X66" s="61">
        <f t="shared" si="67"/>
        <v>263324.95999999996</v>
      </c>
      <c r="Y66" s="61">
        <v>1223021.1535000002</v>
      </c>
      <c r="Z66" s="61">
        <f t="shared" si="67"/>
        <v>1223021.1535000002</v>
      </c>
      <c r="AA66" s="46"/>
    </row>
    <row r="67" spans="1:27" ht="20.100000000000001" customHeight="1" x14ac:dyDescent="0.3">
      <c r="A67" s="22"/>
      <c r="B67" s="59"/>
      <c r="C67" s="60"/>
      <c r="D67" s="60"/>
      <c r="E67" s="63"/>
      <c r="F67" s="63"/>
      <c r="G67" s="63"/>
      <c r="H67" s="63"/>
      <c r="I67" s="63"/>
      <c r="J67" s="63"/>
      <c r="K67" s="63"/>
      <c r="L67" s="63"/>
      <c r="M67" s="26"/>
      <c r="N67" s="26"/>
      <c r="O67" s="63"/>
      <c r="P67" s="63"/>
      <c r="Q67" s="63"/>
      <c r="R67" s="63"/>
      <c r="S67" s="63"/>
      <c r="T67" s="63"/>
      <c r="U67" s="63"/>
      <c r="V67" s="63"/>
      <c r="W67" s="63"/>
      <c r="X67" s="63"/>
      <c r="Y67" s="63"/>
      <c r="Z67" s="63"/>
    </row>
    <row r="68" spans="1:27" ht="20.100000000000001" customHeight="1" x14ac:dyDescent="0.3">
      <c r="A68" s="22"/>
      <c r="B68" s="59" t="s">
        <v>156</v>
      </c>
      <c r="C68" s="60"/>
      <c r="D68" s="60"/>
      <c r="E68" s="63"/>
      <c r="F68" s="63"/>
      <c r="G68" s="63"/>
      <c r="H68" s="63"/>
      <c r="I68" s="63"/>
      <c r="J68" s="63"/>
      <c r="K68" s="63"/>
      <c r="L68" s="63"/>
      <c r="M68" s="26"/>
      <c r="N68" s="26"/>
      <c r="O68" s="63"/>
      <c r="P68" s="63"/>
      <c r="Q68" s="63"/>
      <c r="R68" s="63"/>
      <c r="S68" s="63"/>
      <c r="T68" s="63"/>
      <c r="U68" s="63"/>
      <c r="V68" s="63"/>
      <c r="W68" s="63"/>
      <c r="X68" s="63"/>
      <c r="Y68" s="63"/>
      <c r="Z68" s="63"/>
    </row>
    <row r="69" spans="1:27" ht="20.100000000000001" customHeight="1" x14ac:dyDescent="0.3">
      <c r="A69" s="22">
        <v>1</v>
      </c>
      <c r="B69" s="36" t="s">
        <v>157</v>
      </c>
      <c r="C69" s="37" t="s">
        <v>158</v>
      </c>
      <c r="D69" s="38" t="s">
        <v>43</v>
      </c>
      <c r="E69" s="39">
        <v>81740.02</v>
      </c>
      <c r="F69" s="39"/>
      <c r="G69" s="39">
        <f t="shared" ref="G69:G81" si="68">E69*300%</f>
        <v>245220.06</v>
      </c>
      <c r="H69" s="39">
        <f t="shared" ref="H69:H81" si="69">E69*7.5%</f>
        <v>6130.5015000000003</v>
      </c>
      <c r="I69" s="39">
        <f>80244.38</f>
        <v>80244.38</v>
      </c>
      <c r="J69" s="39">
        <f t="shared" ref="J69:J81" si="70">E69*50%</f>
        <v>40870.01</v>
      </c>
      <c r="K69" s="39">
        <f t="shared" ref="K69:K81" si="71">E69*350%</f>
        <v>286090.07</v>
      </c>
      <c r="L69" s="39">
        <f t="shared" ref="L69:L81" si="72">E69*100%</f>
        <v>81740.02</v>
      </c>
      <c r="M69" s="26">
        <f>200000</f>
        <v>200000</v>
      </c>
      <c r="N69" s="26"/>
      <c r="O69" s="39">
        <f t="shared" ref="O69:O81" si="73">E69*10%</f>
        <v>8174.0020000000004</v>
      </c>
      <c r="P69" s="39">
        <v>20000</v>
      </c>
      <c r="Q69" s="39">
        <v>0</v>
      </c>
      <c r="R69" s="39">
        <f t="shared" ref="R69:R81" si="74">SUM(E69:Q69)</f>
        <v>1050209.0635000002</v>
      </c>
      <c r="S69" s="39"/>
      <c r="T69" s="39">
        <f>100000+100000</f>
        <v>200000</v>
      </c>
      <c r="U69" s="39"/>
      <c r="V69" s="39"/>
      <c r="W69" s="39">
        <f>52776.63</f>
        <v>52776.63</v>
      </c>
      <c r="X69" s="39">
        <f>W69+V69+U69+T69+S69</f>
        <v>252776.63</v>
      </c>
      <c r="Y69" s="39">
        <v>797432.43350000016</v>
      </c>
      <c r="Z69" s="39">
        <f t="shared" ref="Z69:Z81" si="75">R69-X69</f>
        <v>797432.43350000016</v>
      </c>
    </row>
    <row r="70" spans="1:27" ht="20.100000000000001" customHeight="1" x14ac:dyDescent="0.3">
      <c r="A70" s="22">
        <v>2</v>
      </c>
      <c r="B70" s="48" t="s">
        <v>159</v>
      </c>
      <c r="C70" s="37" t="s">
        <v>59</v>
      </c>
      <c r="D70" s="28" t="s">
        <v>54</v>
      </c>
      <c r="E70" s="25">
        <v>31018.84</v>
      </c>
      <c r="F70" s="29"/>
      <c r="G70" s="29">
        <f t="shared" si="68"/>
        <v>93056.52</v>
      </c>
      <c r="H70" s="29">
        <f t="shared" si="69"/>
        <v>2326.413</v>
      </c>
      <c r="I70" s="29">
        <v>40122.19</v>
      </c>
      <c r="J70" s="29">
        <f t="shared" si="70"/>
        <v>15509.42</v>
      </c>
      <c r="K70" s="29">
        <f t="shared" si="71"/>
        <v>108565.94</v>
      </c>
      <c r="L70" s="29">
        <f t="shared" si="72"/>
        <v>31018.84</v>
      </c>
      <c r="M70" s="26">
        <f>160000</f>
        <v>160000</v>
      </c>
      <c r="N70" s="26"/>
      <c r="O70" s="29">
        <f t="shared" si="73"/>
        <v>3101.884</v>
      </c>
      <c r="P70" s="29">
        <v>20000</v>
      </c>
      <c r="Q70" s="40">
        <v>0</v>
      </c>
      <c r="R70" s="39">
        <f t="shared" si="74"/>
        <v>504720.04700000002</v>
      </c>
      <c r="S70" s="25"/>
      <c r="T70" s="25">
        <f>100000</f>
        <v>100000</v>
      </c>
      <c r="U70" s="25">
        <f>131250</f>
        <v>131250</v>
      </c>
      <c r="V70" s="25"/>
      <c r="W70" s="29">
        <f>15548.33</f>
        <v>15548.33</v>
      </c>
      <c r="X70" s="39">
        <f>W70+V70+U70+T70+S70</f>
        <v>246798.33</v>
      </c>
      <c r="Y70" s="25">
        <v>0</v>
      </c>
      <c r="Z70" s="25">
        <f>R70-X70</f>
        <v>257921.71700000003</v>
      </c>
    </row>
    <row r="71" spans="1:27" ht="20.100000000000001" customHeight="1" x14ac:dyDescent="0.3">
      <c r="A71" s="22">
        <v>3</v>
      </c>
      <c r="B71" s="36" t="s">
        <v>160</v>
      </c>
      <c r="C71" s="12" t="s">
        <v>143</v>
      </c>
      <c r="D71" s="38" t="s">
        <v>78</v>
      </c>
      <c r="E71" s="39">
        <v>24741.26</v>
      </c>
      <c r="F71" s="39"/>
      <c r="G71" s="39">
        <f t="shared" si="68"/>
        <v>74223.78</v>
      </c>
      <c r="H71" s="39">
        <f t="shared" si="69"/>
        <v>1855.5944999999997</v>
      </c>
      <c r="I71" s="39"/>
      <c r="J71" s="39">
        <f t="shared" si="70"/>
        <v>12370.63</v>
      </c>
      <c r="K71" s="39">
        <f t="shared" si="71"/>
        <v>86594.409999999989</v>
      </c>
      <c r="L71" s="39">
        <f t="shared" si="72"/>
        <v>24741.26</v>
      </c>
      <c r="M71" s="26">
        <f t="shared" ref="M71:M72" si="76">120000</f>
        <v>120000</v>
      </c>
      <c r="N71" s="26"/>
      <c r="O71" s="39">
        <f t="shared" si="73"/>
        <v>2474.1260000000002</v>
      </c>
      <c r="P71" s="39">
        <v>15000</v>
      </c>
      <c r="Q71" s="39"/>
      <c r="R71" s="39">
        <f t="shared" si="74"/>
        <v>362001.06049999996</v>
      </c>
      <c r="S71" s="39"/>
      <c r="T71" s="39">
        <f>110000</f>
        <v>110000</v>
      </c>
      <c r="U71" s="39"/>
      <c r="V71" s="39"/>
      <c r="W71" s="39">
        <f>7709.76</f>
        <v>7709.76</v>
      </c>
      <c r="X71" s="39">
        <f t="shared" ref="X71:X81" si="77">W71+V71+U71+T71+S71</f>
        <v>117709.75999999999</v>
      </c>
      <c r="Y71" s="39">
        <v>244291.30049999995</v>
      </c>
      <c r="Z71" s="39">
        <f t="shared" si="75"/>
        <v>244291.30049999995</v>
      </c>
    </row>
    <row r="72" spans="1:27" ht="20.100000000000001" customHeight="1" x14ac:dyDescent="0.3">
      <c r="A72" s="22">
        <v>4</v>
      </c>
      <c r="B72" s="48" t="s">
        <v>161</v>
      </c>
      <c r="C72" s="37" t="s">
        <v>143</v>
      </c>
      <c r="D72" s="28" t="s">
        <v>81</v>
      </c>
      <c r="E72" s="29">
        <v>23891.119999999999</v>
      </c>
      <c r="F72" s="29"/>
      <c r="G72" s="29">
        <f t="shared" si="68"/>
        <v>71673.36</v>
      </c>
      <c r="H72" s="29">
        <f t="shared" si="69"/>
        <v>1791.8339999999998</v>
      </c>
      <c r="I72" s="29">
        <v>0</v>
      </c>
      <c r="J72" s="29">
        <f t="shared" si="70"/>
        <v>11945.56</v>
      </c>
      <c r="K72" s="25">
        <f t="shared" si="71"/>
        <v>83618.92</v>
      </c>
      <c r="L72" s="29">
        <f t="shared" si="72"/>
        <v>23891.119999999999</v>
      </c>
      <c r="M72" s="26">
        <f t="shared" si="76"/>
        <v>120000</v>
      </c>
      <c r="N72" s="26"/>
      <c r="O72" s="29">
        <f t="shared" si="73"/>
        <v>2389.1120000000001</v>
      </c>
      <c r="P72" s="29">
        <v>15000</v>
      </c>
      <c r="Q72" s="29">
        <v>0</v>
      </c>
      <c r="R72" s="25">
        <f t="shared" si="74"/>
        <v>354201.02600000001</v>
      </c>
      <c r="S72" s="25"/>
      <c r="T72" s="25">
        <f>20000</f>
        <v>20000</v>
      </c>
      <c r="U72" s="25">
        <f>119444.44</f>
        <v>119444.44</v>
      </c>
      <c r="V72" s="25">
        <f>0</f>
        <v>0</v>
      </c>
      <c r="W72" s="29">
        <v>7709.76</v>
      </c>
      <c r="X72" s="39">
        <f t="shared" si="77"/>
        <v>147154.20000000001</v>
      </c>
      <c r="Y72" s="25">
        <v>207046.826</v>
      </c>
      <c r="Z72" s="25">
        <f t="shared" si="75"/>
        <v>207046.826</v>
      </c>
    </row>
    <row r="73" spans="1:27" ht="20.100000000000001" customHeight="1" x14ac:dyDescent="0.3">
      <c r="A73" s="22">
        <v>5</v>
      </c>
      <c r="B73" s="30" t="s">
        <v>162</v>
      </c>
      <c r="C73" s="37" t="s">
        <v>141</v>
      </c>
      <c r="D73" s="28" t="s">
        <v>68</v>
      </c>
      <c r="E73" s="29">
        <v>26732.65</v>
      </c>
      <c r="F73" s="29"/>
      <c r="G73" s="29">
        <f>E73*300%</f>
        <v>80197.950000000012</v>
      </c>
      <c r="H73" s="29">
        <f>E73*7.5%</f>
        <v>2004.94875</v>
      </c>
      <c r="I73" s="29"/>
      <c r="J73" s="29">
        <f>E73*50%</f>
        <v>13366.325000000001</v>
      </c>
      <c r="K73" s="25">
        <f>E73*350%</f>
        <v>93564.275000000009</v>
      </c>
      <c r="L73" s="29">
        <f>E73*100%</f>
        <v>26732.65</v>
      </c>
      <c r="M73" s="26">
        <f>140000</f>
        <v>140000</v>
      </c>
      <c r="N73" s="26"/>
      <c r="O73" s="29">
        <f>E73*10%</f>
        <v>2673.2650000000003</v>
      </c>
      <c r="P73" s="29">
        <v>20000</v>
      </c>
      <c r="Q73" s="29"/>
      <c r="R73" s="25">
        <f>SUM(E73:Q73)</f>
        <v>405272.06374999997</v>
      </c>
      <c r="S73" s="25"/>
      <c r="T73" s="25">
        <f>10000</f>
        <v>10000</v>
      </c>
      <c r="U73" s="25">
        <f>54585.66</f>
        <v>54585.66</v>
      </c>
      <c r="V73" s="25"/>
      <c r="W73" s="25">
        <f>7709.76</f>
        <v>7709.76</v>
      </c>
      <c r="X73" s="39">
        <f t="shared" si="77"/>
        <v>72295.420000000013</v>
      </c>
      <c r="Y73" s="25">
        <v>332976.64374999993</v>
      </c>
      <c r="Z73" s="25">
        <f>R73-X73</f>
        <v>332976.64374999993</v>
      </c>
    </row>
    <row r="74" spans="1:27" ht="20.100000000000001" customHeight="1" x14ac:dyDescent="0.3">
      <c r="A74" s="22">
        <v>6</v>
      </c>
      <c r="B74" s="36" t="s">
        <v>163</v>
      </c>
      <c r="C74" s="64" t="s">
        <v>148</v>
      </c>
      <c r="D74" s="38" t="s">
        <v>164</v>
      </c>
      <c r="E74" s="39">
        <v>19774.62</v>
      </c>
      <c r="F74" s="39"/>
      <c r="G74" s="39">
        <f t="shared" si="68"/>
        <v>59323.86</v>
      </c>
      <c r="H74" s="39">
        <f t="shared" si="69"/>
        <v>1483.0964999999999</v>
      </c>
      <c r="I74" s="39">
        <v>0</v>
      </c>
      <c r="J74" s="39">
        <f t="shared" si="70"/>
        <v>9887.31</v>
      </c>
      <c r="K74" s="39">
        <f t="shared" si="71"/>
        <v>69211.17</v>
      </c>
      <c r="L74" s="39">
        <f t="shared" si="72"/>
        <v>19774.62</v>
      </c>
      <c r="M74" s="26">
        <f>100000</f>
        <v>100000</v>
      </c>
      <c r="N74" s="26"/>
      <c r="O74" s="39">
        <f t="shared" si="73"/>
        <v>1977.462</v>
      </c>
      <c r="P74" s="39">
        <v>10000</v>
      </c>
      <c r="Q74" s="39">
        <v>0</v>
      </c>
      <c r="R74" s="25">
        <f t="shared" si="74"/>
        <v>291432.1385</v>
      </c>
      <c r="S74" s="25"/>
      <c r="T74" s="58">
        <f>10000</f>
        <v>10000</v>
      </c>
      <c r="U74" s="58">
        <f>131771.66</f>
        <v>131771.66</v>
      </c>
      <c r="V74" s="58"/>
      <c r="W74" s="39">
        <v>3369.51</v>
      </c>
      <c r="X74" s="39">
        <f t="shared" si="77"/>
        <v>145141.17000000001</v>
      </c>
      <c r="Y74" s="25">
        <v>146290.96849999999</v>
      </c>
      <c r="Z74" s="25">
        <f t="shared" si="75"/>
        <v>146290.96849999999</v>
      </c>
    </row>
    <row r="75" spans="1:27" ht="20.100000000000001" customHeight="1" x14ac:dyDescent="0.3">
      <c r="A75" s="22">
        <v>7</v>
      </c>
      <c r="B75" s="41" t="s">
        <v>165</v>
      </c>
      <c r="C75" s="37" t="s">
        <v>166</v>
      </c>
      <c r="D75" s="28" t="s">
        <v>87</v>
      </c>
      <c r="E75" s="29">
        <f>21520.88</f>
        <v>21520.880000000001</v>
      </c>
      <c r="F75" s="29"/>
      <c r="G75" s="29">
        <f t="shared" si="68"/>
        <v>64562.64</v>
      </c>
      <c r="H75" s="29">
        <f t="shared" si="69"/>
        <v>1614.066</v>
      </c>
      <c r="I75" s="29">
        <v>0</v>
      </c>
      <c r="J75" s="29">
        <f t="shared" si="70"/>
        <v>10760.44</v>
      </c>
      <c r="K75" s="25">
        <f t="shared" si="71"/>
        <v>75323.08</v>
      </c>
      <c r="L75" s="29">
        <f t="shared" si="72"/>
        <v>21520.880000000001</v>
      </c>
      <c r="M75" s="26">
        <f>110000</f>
        <v>110000</v>
      </c>
      <c r="N75" s="26"/>
      <c r="O75" s="29">
        <f t="shared" si="73"/>
        <v>2152.0880000000002</v>
      </c>
      <c r="P75" s="29">
        <v>15000</v>
      </c>
      <c r="Q75" s="29">
        <v>0</v>
      </c>
      <c r="R75" s="25">
        <f t="shared" si="74"/>
        <v>322454.07400000002</v>
      </c>
      <c r="S75" s="25"/>
      <c r="T75" s="25">
        <f>10000+20000</f>
        <v>30000</v>
      </c>
      <c r="U75" s="25">
        <f>130000+50000</f>
        <v>180000</v>
      </c>
      <c r="V75" s="25">
        <f>'[2]April 2022'!$H$41</f>
        <v>538.02200000000005</v>
      </c>
      <c r="W75" s="29">
        <f>3369.51</f>
        <v>3369.51</v>
      </c>
      <c r="X75" s="39">
        <f t="shared" si="77"/>
        <v>213907.53200000001</v>
      </c>
      <c r="Y75" s="25">
        <v>158546.54200000002</v>
      </c>
      <c r="Z75" s="25">
        <f t="shared" si="75"/>
        <v>108546.54200000002</v>
      </c>
    </row>
    <row r="76" spans="1:27" ht="20.100000000000001" customHeight="1" x14ac:dyDescent="0.3">
      <c r="A76" s="22">
        <v>8</v>
      </c>
      <c r="B76" s="23" t="s">
        <v>167</v>
      </c>
      <c r="C76" s="37" t="s">
        <v>166</v>
      </c>
      <c r="D76" s="28" t="s">
        <v>168</v>
      </c>
      <c r="E76" s="29">
        <f>20749</f>
        <v>20749</v>
      </c>
      <c r="F76" s="29"/>
      <c r="G76" s="29">
        <f t="shared" si="68"/>
        <v>62247</v>
      </c>
      <c r="H76" s="29">
        <f t="shared" si="69"/>
        <v>1556.175</v>
      </c>
      <c r="I76" s="29">
        <v>0</v>
      </c>
      <c r="J76" s="29">
        <f t="shared" si="70"/>
        <v>10374.5</v>
      </c>
      <c r="K76" s="25">
        <f t="shared" si="71"/>
        <v>72621.5</v>
      </c>
      <c r="L76" s="29">
        <f t="shared" si="72"/>
        <v>20749</v>
      </c>
      <c r="M76" s="26">
        <f t="shared" ref="M76:M77" si="78">110000</f>
        <v>110000</v>
      </c>
      <c r="N76" s="26"/>
      <c r="O76" s="29">
        <f t="shared" si="73"/>
        <v>2074.9</v>
      </c>
      <c r="P76" s="29">
        <v>15000</v>
      </c>
      <c r="Q76" s="29">
        <v>0</v>
      </c>
      <c r="R76" s="25">
        <f>SUM(E76:Q76)</f>
        <v>315372.07500000001</v>
      </c>
      <c r="S76" s="25"/>
      <c r="T76" s="25"/>
      <c r="U76" s="25"/>
      <c r="V76" s="25"/>
      <c r="W76" s="29">
        <f t="shared" ref="W76:W77" si="79">3369.51</f>
        <v>3369.51</v>
      </c>
      <c r="X76" s="39">
        <f t="shared" si="77"/>
        <v>3369.51</v>
      </c>
      <c r="Y76" s="25">
        <v>312002.565</v>
      </c>
      <c r="Z76" s="25">
        <f t="shared" si="75"/>
        <v>312002.565</v>
      </c>
    </row>
    <row r="77" spans="1:27" ht="20.100000000000001" customHeight="1" x14ac:dyDescent="0.3">
      <c r="A77" s="22">
        <v>9</v>
      </c>
      <c r="B77" s="23" t="s">
        <v>169</v>
      </c>
      <c r="C77" s="37" t="s">
        <v>166</v>
      </c>
      <c r="D77" s="28" t="s">
        <v>168</v>
      </c>
      <c r="E77" s="29">
        <f>20749</f>
        <v>20749</v>
      </c>
      <c r="F77" s="29"/>
      <c r="G77" s="29">
        <f t="shared" si="68"/>
        <v>62247</v>
      </c>
      <c r="H77" s="29">
        <f t="shared" si="69"/>
        <v>1556.175</v>
      </c>
      <c r="I77" s="29">
        <v>0</v>
      </c>
      <c r="J77" s="29">
        <f t="shared" si="70"/>
        <v>10374.5</v>
      </c>
      <c r="K77" s="25">
        <f t="shared" si="71"/>
        <v>72621.5</v>
      </c>
      <c r="L77" s="29">
        <f t="shared" si="72"/>
        <v>20749</v>
      </c>
      <c r="M77" s="26">
        <f t="shared" si="78"/>
        <v>110000</v>
      </c>
      <c r="N77" s="26"/>
      <c r="O77" s="29">
        <f t="shared" si="73"/>
        <v>2074.9</v>
      </c>
      <c r="P77" s="29">
        <v>15000</v>
      </c>
      <c r="Q77" s="29">
        <v>0</v>
      </c>
      <c r="R77" s="25">
        <f>SUM(E77:Q77)</f>
        <v>315372.07500000001</v>
      </c>
      <c r="S77" s="25"/>
      <c r="T77" s="25"/>
      <c r="U77" s="25"/>
      <c r="V77" s="25"/>
      <c r="W77" s="29">
        <f t="shared" si="79"/>
        <v>3369.51</v>
      </c>
      <c r="X77" s="39">
        <f t="shared" si="77"/>
        <v>3369.51</v>
      </c>
      <c r="Y77" s="25">
        <v>312002.565</v>
      </c>
      <c r="Z77" s="25">
        <f t="shared" si="75"/>
        <v>312002.565</v>
      </c>
    </row>
    <row r="78" spans="1:27" ht="20.100000000000001" customHeight="1" x14ac:dyDescent="0.3">
      <c r="A78" s="22">
        <v>10</v>
      </c>
      <c r="B78" s="23" t="s">
        <v>170</v>
      </c>
      <c r="C78" s="12" t="s">
        <v>171</v>
      </c>
      <c r="D78" s="22" t="s">
        <v>90</v>
      </c>
      <c r="E78" s="29">
        <v>18779.3</v>
      </c>
      <c r="F78" s="29"/>
      <c r="G78" s="29">
        <f t="shared" si="68"/>
        <v>56337.899999999994</v>
      </c>
      <c r="H78" s="29">
        <f t="shared" si="69"/>
        <v>1408.4475</v>
      </c>
      <c r="I78" s="29"/>
      <c r="J78" s="29">
        <f t="shared" si="70"/>
        <v>9389.65</v>
      </c>
      <c r="K78" s="29">
        <f t="shared" si="71"/>
        <v>65727.55</v>
      </c>
      <c r="L78" s="29">
        <f t="shared" si="72"/>
        <v>18779.3</v>
      </c>
      <c r="M78" s="26">
        <f t="shared" ref="M78:M81" si="80">100000</f>
        <v>100000</v>
      </c>
      <c r="N78" s="26"/>
      <c r="O78" s="29">
        <f t="shared" si="73"/>
        <v>1877.93</v>
      </c>
      <c r="P78" s="29">
        <v>10000</v>
      </c>
      <c r="Q78" s="29"/>
      <c r="R78" s="25">
        <f t="shared" si="74"/>
        <v>282300.07749999996</v>
      </c>
      <c r="S78" s="25"/>
      <c r="T78" s="25">
        <f>80000+20000</f>
        <v>100000</v>
      </c>
      <c r="U78" s="25"/>
      <c r="V78" s="25"/>
      <c r="W78" s="29">
        <v>3369.51</v>
      </c>
      <c r="X78" s="39">
        <f t="shared" si="77"/>
        <v>103369.51</v>
      </c>
      <c r="Y78" s="25">
        <v>178930.56749999995</v>
      </c>
      <c r="Z78" s="25">
        <f t="shared" si="75"/>
        <v>178930.56749999995</v>
      </c>
    </row>
    <row r="79" spans="1:27" ht="20.100000000000001" customHeight="1" x14ac:dyDescent="0.3">
      <c r="A79" s="22">
        <v>11</v>
      </c>
      <c r="B79" s="36" t="s">
        <v>172</v>
      </c>
      <c r="C79" s="37" t="s">
        <v>148</v>
      </c>
      <c r="D79" s="22" t="s">
        <v>173</v>
      </c>
      <c r="E79" s="29">
        <v>17286.330000000002</v>
      </c>
      <c r="F79" s="29"/>
      <c r="G79" s="29">
        <f t="shared" si="68"/>
        <v>51858.990000000005</v>
      </c>
      <c r="H79" s="29">
        <f t="shared" si="69"/>
        <v>1296.4747500000001</v>
      </c>
      <c r="I79" s="29"/>
      <c r="J79" s="29">
        <f t="shared" si="70"/>
        <v>8643.1650000000009</v>
      </c>
      <c r="K79" s="29">
        <f t="shared" si="71"/>
        <v>60502.155000000006</v>
      </c>
      <c r="L79" s="29">
        <f t="shared" si="72"/>
        <v>17286.330000000002</v>
      </c>
      <c r="M79" s="26">
        <f t="shared" si="80"/>
        <v>100000</v>
      </c>
      <c r="N79" s="26"/>
      <c r="O79" s="29">
        <f t="shared" si="73"/>
        <v>1728.6330000000003</v>
      </c>
      <c r="P79" s="29">
        <v>10000</v>
      </c>
      <c r="Q79" s="29"/>
      <c r="R79" s="25">
        <f t="shared" si="74"/>
        <v>268602.07775000005</v>
      </c>
      <c r="S79" s="25"/>
      <c r="T79" s="25">
        <f>50000</f>
        <v>50000</v>
      </c>
      <c r="U79" s="25">
        <v>0</v>
      </c>
      <c r="V79" s="25"/>
      <c r="W79" s="29">
        <v>3369.51</v>
      </c>
      <c r="X79" s="39">
        <f t="shared" si="77"/>
        <v>53369.51</v>
      </c>
      <c r="Y79" s="25">
        <v>215232.56775000005</v>
      </c>
      <c r="Z79" s="25">
        <f t="shared" si="75"/>
        <v>215232.56775000005</v>
      </c>
    </row>
    <row r="80" spans="1:27" ht="20.100000000000001" customHeight="1" x14ac:dyDescent="0.3">
      <c r="A80" s="22">
        <v>12</v>
      </c>
      <c r="B80" s="36" t="s">
        <v>174</v>
      </c>
      <c r="C80" s="37" t="s">
        <v>175</v>
      </c>
      <c r="D80" s="22" t="s">
        <v>101</v>
      </c>
      <c r="E80" s="29">
        <f>14736.14</f>
        <v>14736.14</v>
      </c>
      <c r="F80" s="29"/>
      <c r="G80" s="29">
        <f t="shared" si="68"/>
        <v>44208.42</v>
      </c>
      <c r="H80" s="29">
        <f t="shared" si="69"/>
        <v>1105.2104999999999</v>
      </c>
      <c r="I80" s="29"/>
      <c r="J80" s="29">
        <f t="shared" si="70"/>
        <v>7368.07</v>
      </c>
      <c r="K80" s="29">
        <f t="shared" si="71"/>
        <v>51576.49</v>
      </c>
      <c r="L80" s="29">
        <f t="shared" si="72"/>
        <v>14736.14</v>
      </c>
      <c r="M80" s="26">
        <f t="shared" si="80"/>
        <v>100000</v>
      </c>
      <c r="N80" s="26"/>
      <c r="O80" s="29">
        <f t="shared" si="73"/>
        <v>1473.614</v>
      </c>
      <c r="P80" s="29">
        <v>10000</v>
      </c>
      <c r="Q80" s="29"/>
      <c r="R80" s="25">
        <f t="shared" si="74"/>
        <v>245204.0845</v>
      </c>
      <c r="S80" s="25"/>
      <c r="T80" s="25">
        <f>10000</f>
        <v>10000</v>
      </c>
      <c r="U80" s="25">
        <f>95833.33</f>
        <v>95833.33</v>
      </c>
      <c r="V80" s="25"/>
      <c r="W80" s="29">
        <v>1484.37</v>
      </c>
      <c r="X80" s="39">
        <f t="shared" si="77"/>
        <v>107317.7</v>
      </c>
      <c r="Y80" s="25">
        <v>137886.38449999999</v>
      </c>
      <c r="Z80" s="25">
        <f t="shared" si="75"/>
        <v>137886.38449999999</v>
      </c>
    </row>
    <row r="81" spans="1:27" ht="20.100000000000001" customHeight="1" x14ac:dyDescent="0.3">
      <c r="A81" s="22">
        <v>13</v>
      </c>
      <c r="B81" s="30" t="s">
        <v>176</v>
      </c>
      <c r="C81" s="37" t="s">
        <v>175</v>
      </c>
      <c r="D81" s="22" t="s">
        <v>116</v>
      </c>
      <c r="E81" s="29">
        <v>12351.94</v>
      </c>
      <c r="F81" s="29"/>
      <c r="G81" s="29">
        <f t="shared" si="68"/>
        <v>37055.82</v>
      </c>
      <c r="H81" s="29">
        <f t="shared" si="69"/>
        <v>926.39549999999997</v>
      </c>
      <c r="I81" s="29"/>
      <c r="J81" s="29">
        <f t="shared" si="70"/>
        <v>6175.97</v>
      </c>
      <c r="K81" s="29">
        <f t="shared" si="71"/>
        <v>43231.79</v>
      </c>
      <c r="L81" s="29">
        <f t="shared" si="72"/>
        <v>12351.94</v>
      </c>
      <c r="M81" s="26">
        <f t="shared" si="80"/>
        <v>100000</v>
      </c>
      <c r="N81" s="26"/>
      <c r="O81" s="29">
        <f t="shared" si="73"/>
        <v>1235.1940000000002</v>
      </c>
      <c r="P81" s="29">
        <v>10000</v>
      </c>
      <c r="Q81" s="29"/>
      <c r="R81" s="25">
        <f t="shared" si="74"/>
        <v>223329.04949999999</v>
      </c>
      <c r="S81" s="25"/>
      <c r="T81" s="25"/>
      <c r="U81" s="25"/>
      <c r="V81" s="25"/>
      <c r="W81" s="29">
        <v>1484.37</v>
      </c>
      <c r="X81" s="39">
        <f t="shared" si="77"/>
        <v>1484.37</v>
      </c>
      <c r="Y81" s="25">
        <v>221844.6795</v>
      </c>
      <c r="Z81" s="25">
        <f t="shared" si="75"/>
        <v>221844.6795</v>
      </c>
    </row>
    <row r="82" spans="1:27" ht="20.100000000000001" customHeight="1" x14ac:dyDescent="0.6">
      <c r="A82" s="22"/>
      <c r="B82" s="59" t="s">
        <v>34</v>
      </c>
      <c r="C82" s="60">
        <v>13</v>
      </c>
      <c r="D82" s="60"/>
      <c r="E82" s="61">
        <f>SUM(E69:E81)</f>
        <v>334071.10000000003</v>
      </c>
      <c r="F82" s="61"/>
      <c r="G82" s="61">
        <f t="shared" ref="G82:M82" si="81">SUM(G69:G81)</f>
        <v>1002213.2999999999</v>
      </c>
      <c r="H82" s="61">
        <f t="shared" si="81"/>
        <v>25055.332499999997</v>
      </c>
      <c r="I82" s="61">
        <f t="shared" si="81"/>
        <v>120366.57</v>
      </c>
      <c r="J82" s="61">
        <f t="shared" si="81"/>
        <v>167035.55000000002</v>
      </c>
      <c r="K82" s="61">
        <f t="shared" si="81"/>
        <v>1169248.8500000001</v>
      </c>
      <c r="L82" s="61">
        <f t="shared" si="81"/>
        <v>334071.10000000003</v>
      </c>
      <c r="M82" s="51">
        <f t="shared" si="81"/>
        <v>1570000</v>
      </c>
      <c r="N82" s="51"/>
      <c r="O82" s="61">
        <f>SUM(O69:O81)</f>
        <v>33407.110000000008</v>
      </c>
      <c r="P82" s="61">
        <f>SUM(P69:P81)</f>
        <v>185000</v>
      </c>
      <c r="Q82" s="61">
        <f>SUM(Q69:Q81)</f>
        <v>0</v>
      </c>
      <c r="R82" s="61">
        <f>SUM(R69:R81)</f>
        <v>4940468.9125000006</v>
      </c>
      <c r="S82" s="61"/>
      <c r="T82" s="61">
        <f t="shared" ref="T82:Z82" si="82">SUM(T69:T81)</f>
        <v>640000</v>
      </c>
      <c r="U82" s="61">
        <f t="shared" si="82"/>
        <v>712885.09</v>
      </c>
      <c r="V82" s="61">
        <f t="shared" si="82"/>
        <v>538.02200000000005</v>
      </c>
      <c r="W82" s="61">
        <f t="shared" si="82"/>
        <v>114640.03999999994</v>
      </c>
      <c r="X82" s="61">
        <f t="shared" si="82"/>
        <v>1468063.152</v>
      </c>
      <c r="Y82" s="61">
        <v>3264484.0434999997</v>
      </c>
      <c r="Z82" s="61">
        <f t="shared" si="82"/>
        <v>3472405.7604999999</v>
      </c>
      <c r="AA82" s="46"/>
    </row>
    <row r="83" spans="1:27" ht="20.100000000000001" customHeight="1" x14ac:dyDescent="0.3">
      <c r="A83" s="22"/>
      <c r="B83" s="65"/>
      <c r="C83" s="60"/>
      <c r="D83" s="60"/>
      <c r="E83" s="63"/>
      <c r="F83" s="63"/>
      <c r="G83" s="63"/>
      <c r="H83" s="63"/>
      <c r="I83" s="63"/>
      <c r="J83" s="63"/>
      <c r="K83" s="63"/>
      <c r="L83" s="63"/>
      <c r="M83" s="26"/>
      <c r="N83" s="26"/>
      <c r="O83" s="63"/>
      <c r="P83" s="63"/>
      <c r="Q83" s="63"/>
      <c r="R83" s="63"/>
      <c r="S83" s="63"/>
      <c r="T83" s="63"/>
      <c r="U83" s="63"/>
      <c r="V83" s="63"/>
      <c r="W83" s="63"/>
      <c r="X83" s="63"/>
      <c r="Y83" s="63"/>
      <c r="Z83" s="63"/>
    </row>
    <row r="84" spans="1:27" ht="20.100000000000001" customHeight="1" x14ac:dyDescent="0.3">
      <c r="A84" s="22"/>
      <c r="B84" s="59" t="s">
        <v>177</v>
      </c>
      <c r="C84" s="60"/>
      <c r="D84" s="60"/>
      <c r="E84" s="63"/>
      <c r="F84" s="63"/>
      <c r="G84" s="63"/>
      <c r="H84" s="63"/>
      <c r="I84" s="63"/>
      <c r="J84" s="63"/>
      <c r="K84" s="63"/>
      <c r="L84" s="63"/>
      <c r="M84" s="26"/>
      <c r="N84" s="26"/>
      <c r="O84" s="63"/>
      <c r="P84" s="63"/>
      <c r="Q84" s="63"/>
      <c r="R84" s="63"/>
      <c r="S84" s="63"/>
      <c r="T84" s="63"/>
      <c r="U84" s="63"/>
      <c r="V84" s="63"/>
      <c r="W84" s="63"/>
      <c r="X84" s="63"/>
      <c r="Y84" s="63"/>
      <c r="Z84" s="63"/>
    </row>
    <row r="85" spans="1:27" ht="20.100000000000001" customHeight="1" x14ac:dyDescent="0.3">
      <c r="A85" s="22">
        <v>1</v>
      </c>
      <c r="B85" s="23" t="s">
        <v>178</v>
      </c>
      <c r="C85" s="12" t="s">
        <v>179</v>
      </c>
      <c r="D85" s="22" t="s">
        <v>43</v>
      </c>
      <c r="E85" s="29">
        <v>81740.02</v>
      </c>
      <c r="F85" s="29"/>
      <c r="G85" s="29">
        <f t="shared" ref="G85:G88" si="83">E85*300%</f>
        <v>245220.06</v>
      </c>
      <c r="H85" s="29">
        <f t="shared" ref="H85:H88" si="84">E85*7.5%</f>
        <v>6130.5015000000003</v>
      </c>
      <c r="I85" s="29">
        <v>80244.38</v>
      </c>
      <c r="J85" s="29">
        <f>E85*50%</f>
        <v>40870.01</v>
      </c>
      <c r="K85" s="29">
        <f t="shared" ref="K85:K88" si="85">E85*350%</f>
        <v>286090.07</v>
      </c>
      <c r="L85" s="29">
        <f>E85*100%</f>
        <v>81740.02</v>
      </c>
      <c r="M85" s="26">
        <f>200000</f>
        <v>200000</v>
      </c>
      <c r="N85" s="26"/>
      <c r="O85" s="29">
        <f>E85*10%</f>
        <v>8174.0020000000004</v>
      </c>
      <c r="P85" s="29">
        <v>20000</v>
      </c>
      <c r="Q85" s="29">
        <v>0</v>
      </c>
      <c r="R85" s="25">
        <f>SUM(E85:Q85)</f>
        <v>1050209.0635000002</v>
      </c>
      <c r="S85" s="25"/>
      <c r="T85" s="25">
        <v>250000</v>
      </c>
      <c r="U85" s="25">
        <f>0</f>
        <v>0</v>
      </c>
      <c r="V85" s="25">
        <v>0</v>
      </c>
      <c r="W85" s="29">
        <v>52776.63</v>
      </c>
      <c r="X85" s="25">
        <f>W85+V85+U85+T85+S85</f>
        <v>302776.63</v>
      </c>
      <c r="Y85" s="25">
        <v>747432.43350000016</v>
      </c>
      <c r="Z85" s="25">
        <f>R85-X85</f>
        <v>747432.43350000016</v>
      </c>
    </row>
    <row r="86" spans="1:27" ht="20.100000000000001" customHeight="1" x14ac:dyDescent="0.3">
      <c r="A86" s="22">
        <v>2</v>
      </c>
      <c r="B86" s="66" t="s">
        <v>180</v>
      </c>
      <c r="C86" s="1" t="s">
        <v>181</v>
      </c>
      <c r="D86" s="28" t="s">
        <v>54</v>
      </c>
      <c r="E86" s="25">
        <v>31018.84</v>
      </c>
      <c r="F86" s="29"/>
      <c r="G86" s="29">
        <f t="shared" si="83"/>
        <v>93056.52</v>
      </c>
      <c r="H86" s="29">
        <f t="shared" si="84"/>
        <v>2326.413</v>
      </c>
      <c r="I86" s="29">
        <v>40122.19</v>
      </c>
      <c r="J86" s="29">
        <f t="shared" ref="J86:J88" si="86">E86*50%</f>
        <v>15509.42</v>
      </c>
      <c r="K86" s="29">
        <f t="shared" si="85"/>
        <v>108565.94</v>
      </c>
      <c r="L86" s="29">
        <f t="shared" ref="L86:L88" si="87">E86*100%</f>
        <v>31018.84</v>
      </c>
      <c r="M86" s="26">
        <f>160000</f>
        <v>160000</v>
      </c>
      <c r="N86" s="26"/>
      <c r="O86" s="29">
        <f t="shared" ref="O86:O88" si="88">E86*10%</f>
        <v>3101.884</v>
      </c>
      <c r="P86" s="29">
        <v>20000</v>
      </c>
      <c r="Q86" s="40">
        <v>0</v>
      </c>
      <c r="R86" s="25">
        <f t="shared" ref="R86:R88" si="89">SUM(E86:Q86)</f>
        <v>504720.04700000002</v>
      </c>
      <c r="S86" s="25"/>
      <c r="T86" s="25"/>
      <c r="U86" s="25"/>
      <c r="V86" s="25">
        <v>0</v>
      </c>
      <c r="W86" s="29">
        <f t="shared" ref="W86:W87" si="90">15548.33</f>
        <v>15548.33</v>
      </c>
      <c r="X86" s="25">
        <f t="shared" ref="X86:X88" si="91">W86+V86+U86+T86+S86</f>
        <v>15548.33</v>
      </c>
      <c r="Y86" s="25">
        <v>489171.717</v>
      </c>
      <c r="Z86" s="25">
        <f t="shared" ref="Z86:Z88" si="92">R86-X86</f>
        <v>489171.717</v>
      </c>
    </row>
    <row r="87" spans="1:27" ht="20.100000000000001" customHeight="1" x14ac:dyDescent="0.3">
      <c r="A87" s="22">
        <v>3</v>
      </c>
      <c r="B87" s="66" t="s">
        <v>182</v>
      </c>
      <c r="C87" s="1" t="s">
        <v>183</v>
      </c>
      <c r="D87" s="28" t="s">
        <v>54</v>
      </c>
      <c r="E87" s="25">
        <v>31018.84</v>
      </c>
      <c r="F87" s="29"/>
      <c r="G87" s="29">
        <f t="shared" si="83"/>
        <v>93056.52</v>
      </c>
      <c r="H87" s="29">
        <f t="shared" si="84"/>
        <v>2326.413</v>
      </c>
      <c r="I87" s="29">
        <v>40122.19</v>
      </c>
      <c r="J87" s="29">
        <f t="shared" si="86"/>
        <v>15509.42</v>
      </c>
      <c r="K87" s="29">
        <f t="shared" si="85"/>
        <v>108565.94</v>
      </c>
      <c r="L87" s="29">
        <f t="shared" si="87"/>
        <v>31018.84</v>
      </c>
      <c r="M87" s="26">
        <f>160000</f>
        <v>160000</v>
      </c>
      <c r="N87" s="26"/>
      <c r="O87" s="29">
        <f t="shared" si="88"/>
        <v>3101.884</v>
      </c>
      <c r="P87" s="29">
        <v>20000</v>
      </c>
      <c r="Q87" s="40">
        <v>0</v>
      </c>
      <c r="R87" s="25">
        <f t="shared" si="89"/>
        <v>504720.04700000002</v>
      </c>
      <c r="S87" s="25"/>
      <c r="T87" s="25"/>
      <c r="U87" s="25"/>
      <c r="V87" s="25">
        <v>0</v>
      </c>
      <c r="W87" s="29">
        <f t="shared" si="90"/>
        <v>15548.33</v>
      </c>
      <c r="X87" s="25">
        <f t="shared" si="91"/>
        <v>15548.33</v>
      </c>
      <c r="Y87" s="25">
        <v>489171.717</v>
      </c>
      <c r="Z87" s="25">
        <f t="shared" si="92"/>
        <v>489171.717</v>
      </c>
    </row>
    <row r="88" spans="1:27" ht="20.100000000000001" customHeight="1" x14ac:dyDescent="0.3">
      <c r="A88" s="22">
        <v>4</v>
      </c>
      <c r="B88" s="23" t="s">
        <v>184</v>
      </c>
      <c r="C88" s="12" t="s">
        <v>171</v>
      </c>
      <c r="D88" s="22" t="s">
        <v>173</v>
      </c>
      <c r="E88" s="29">
        <v>17286.330000000002</v>
      </c>
      <c r="F88" s="29"/>
      <c r="G88" s="29">
        <f t="shared" si="83"/>
        <v>51858.990000000005</v>
      </c>
      <c r="H88" s="29">
        <f t="shared" si="84"/>
        <v>1296.4747500000001</v>
      </c>
      <c r="I88" s="29"/>
      <c r="J88" s="29">
        <f t="shared" si="86"/>
        <v>8643.1650000000009</v>
      </c>
      <c r="K88" s="29">
        <f t="shared" si="85"/>
        <v>60502.155000000006</v>
      </c>
      <c r="L88" s="29">
        <f t="shared" si="87"/>
        <v>17286.330000000002</v>
      </c>
      <c r="M88" s="26">
        <f>100000</f>
        <v>100000</v>
      </c>
      <c r="N88" s="26"/>
      <c r="O88" s="29">
        <f t="shared" si="88"/>
        <v>1728.6330000000003</v>
      </c>
      <c r="P88" s="29">
        <v>10000</v>
      </c>
      <c r="Q88" s="29"/>
      <c r="R88" s="25">
        <f t="shared" si="89"/>
        <v>268602.07775000005</v>
      </c>
      <c r="S88" s="25"/>
      <c r="T88" s="25">
        <f>50000</f>
        <v>50000</v>
      </c>
      <c r="U88" s="25">
        <f>50000</f>
        <v>50000</v>
      </c>
      <c r="V88" s="25"/>
      <c r="W88" s="29">
        <v>3369.51</v>
      </c>
      <c r="X88" s="25">
        <f t="shared" si="91"/>
        <v>103369.51000000001</v>
      </c>
      <c r="Y88" s="25">
        <v>165232.56775000005</v>
      </c>
      <c r="Z88" s="25">
        <f t="shared" si="92"/>
        <v>165232.56775000005</v>
      </c>
    </row>
    <row r="89" spans="1:27" ht="20.100000000000001" customHeight="1" x14ac:dyDescent="0.6">
      <c r="A89" s="22"/>
      <c r="B89" s="59" t="s">
        <v>34</v>
      </c>
      <c r="C89" s="60">
        <v>4</v>
      </c>
      <c r="D89" s="60"/>
      <c r="E89" s="61">
        <f>SUM(E85:E88)</f>
        <v>161064.03000000003</v>
      </c>
      <c r="F89" s="61"/>
      <c r="G89" s="61">
        <f t="shared" ref="G89:M89" si="93">SUM(G85:G88)</f>
        <v>483192.09</v>
      </c>
      <c r="H89" s="61">
        <f t="shared" si="93"/>
        <v>12079.802250000001</v>
      </c>
      <c r="I89" s="61">
        <f t="shared" si="93"/>
        <v>160488.76</v>
      </c>
      <c r="J89" s="61">
        <f t="shared" si="93"/>
        <v>80532.015000000014</v>
      </c>
      <c r="K89" s="61">
        <f t="shared" si="93"/>
        <v>563724.10499999998</v>
      </c>
      <c r="L89" s="61">
        <f t="shared" si="93"/>
        <v>161064.03000000003</v>
      </c>
      <c r="M89" s="51">
        <f t="shared" si="93"/>
        <v>620000</v>
      </c>
      <c r="N89" s="51"/>
      <c r="O89" s="61">
        <f>SUM(O85:O88)</f>
        <v>16106.403</v>
      </c>
      <c r="P89" s="61">
        <f>SUM(P85:P88)</f>
        <v>70000</v>
      </c>
      <c r="Q89" s="61">
        <f>SUM(Q85:Q88)</f>
        <v>0</v>
      </c>
      <c r="R89" s="61">
        <f>SUM(R85:R88)</f>
        <v>2328251.2352500004</v>
      </c>
      <c r="S89" s="61"/>
      <c r="T89" s="61">
        <f t="shared" ref="T89:Z89" si="94">SUM(T85:T88)</f>
        <v>300000</v>
      </c>
      <c r="U89" s="61">
        <f t="shared" si="94"/>
        <v>50000</v>
      </c>
      <c r="V89" s="61">
        <f t="shared" si="94"/>
        <v>0</v>
      </c>
      <c r="W89" s="61">
        <f t="shared" si="94"/>
        <v>87242.799999999988</v>
      </c>
      <c r="X89" s="61">
        <f t="shared" si="94"/>
        <v>437242.80000000005</v>
      </c>
      <c r="Y89" s="61">
        <v>1891008.4352500001</v>
      </c>
      <c r="Z89" s="61">
        <f t="shared" si="94"/>
        <v>1891008.4352500001</v>
      </c>
      <c r="AA89" s="46"/>
    </row>
    <row r="90" spans="1:27" ht="20.100000000000001" customHeight="1" x14ac:dyDescent="0.3">
      <c r="A90" s="22"/>
      <c r="B90" s="67"/>
      <c r="C90" s="15"/>
      <c r="D90" s="15"/>
      <c r="E90" s="68"/>
      <c r="F90" s="68"/>
      <c r="G90" s="68"/>
      <c r="H90" s="68"/>
      <c r="I90" s="68"/>
      <c r="J90" s="68"/>
      <c r="K90" s="68"/>
      <c r="L90" s="68"/>
      <c r="M90" s="26"/>
      <c r="N90" s="26"/>
      <c r="O90" s="68"/>
      <c r="P90" s="68"/>
      <c r="Q90" s="68"/>
      <c r="R90" s="40"/>
      <c r="S90" s="40"/>
      <c r="T90" s="40"/>
      <c r="U90" s="40"/>
      <c r="V90" s="40"/>
      <c r="W90" s="68"/>
      <c r="X90" s="25"/>
      <c r="Y90" s="25"/>
      <c r="Z90" s="25"/>
    </row>
    <row r="91" spans="1:27" ht="20.100000000000001" customHeight="1" x14ac:dyDescent="0.3">
      <c r="A91" s="22"/>
      <c r="B91" s="67" t="s">
        <v>185</v>
      </c>
      <c r="C91" s="69"/>
      <c r="D91" s="15"/>
      <c r="E91" s="68"/>
      <c r="F91" s="68"/>
      <c r="G91" s="68"/>
      <c r="H91" s="68"/>
      <c r="I91" s="68"/>
      <c r="J91" s="68"/>
      <c r="K91" s="68"/>
      <c r="L91" s="68"/>
      <c r="M91" s="26"/>
      <c r="N91" s="26"/>
      <c r="O91" s="68"/>
      <c r="P91" s="68"/>
      <c r="Q91" s="68"/>
      <c r="R91" s="40"/>
      <c r="S91" s="40"/>
      <c r="T91" s="40"/>
      <c r="U91" s="40"/>
      <c r="V91" s="40"/>
      <c r="W91" s="68"/>
      <c r="X91" s="25"/>
      <c r="Y91" s="25"/>
      <c r="Z91" s="25"/>
    </row>
    <row r="92" spans="1:27" ht="20.100000000000001" customHeight="1" x14ac:dyDescent="0.3">
      <c r="A92" s="22">
        <v>1</v>
      </c>
      <c r="B92" s="23" t="s">
        <v>186</v>
      </c>
      <c r="C92" s="12" t="s">
        <v>187</v>
      </c>
      <c r="D92" s="22" t="s">
        <v>46</v>
      </c>
      <c r="E92" s="29">
        <v>41157.69</v>
      </c>
      <c r="F92" s="29"/>
      <c r="G92" s="29">
        <f t="shared" ref="G92:G102" si="95">E92*300%</f>
        <v>123473.07</v>
      </c>
      <c r="H92" s="29">
        <f t="shared" ref="H92:H102" si="96">E92*7.5%</f>
        <v>3086.8267500000002</v>
      </c>
      <c r="I92" s="29">
        <v>40122.19</v>
      </c>
      <c r="J92" s="29">
        <f t="shared" ref="J92:J102" si="97">E92*50%</f>
        <v>20578.845000000001</v>
      </c>
      <c r="K92" s="29">
        <f t="shared" ref="K92:K102" si="98">E92*350%</f>
        <v>144051.91500000001</v>
      </c>
      <c r="L92" s="29">
        <f t="shared" ref="L92:L102" si="99">E92*100%</f>
        <v>41157.69</v>
      </c>
      <c r="M92" s="26">
        <f>180000</f>
        <v>180000</v>
      </c>
      <c r="N92" s="26"/>
      <c r="O92" s="29">
        <f t="shared" ref="O92:O102" si="100">E92*10%</f>
        <v>4115.7690000000002</v>
      </c>
      <c r="P92" s="29">
        <v>20000</v>
      </c>
      <c r="Q92" s="29"/>
      <c r="R92" s="25">
        <f t="shared" ref="R92:R100" si="101">SUM(E92:Q92)</f>
        <v>617743.99575</v>
      </c>
      <c r="S92" s="25"/>
      <c r="T92" s="25"/>
      <c r="U92" s="25"/>
      <c r="V92" s="25"/>
      <c r="W92" s="29">
        <f>21618.09</f>
        <v>21618.09</v>
      </c>
      <c r="X92" s="25">
        <f>W92+V92+U92+T92+S92</f>
        <v>21618.09</v>
      </c>
      <c r="Y92" s="25">
        <v>596125.90575000003</v>
      </c>
      <c r="Z92" s="25">
        <f t="shared" ref="Z92:Z101" si="102">R92-X92</f>
        <v>596125.90575000003</v>
      </c>
    </row>
    <row r="93" spans="1:27" ht="20.100000000000001" customHeight="1" x14ac:dyDescent="0.3">
      <c r="A93" s="22">
        <v>2</v>
      </c>
      <c r="B93" s="23" t="s">
        <v>188</v>
      </c>
      <c r="C93" s="12" t="s">
        <v>133</v>
      </c>
      <c r="D93" s="22" t="s">
        <v>57</v>
      </c>
      <c r="E93" s="29">
        <v>33507.5</v>
      </c>
      <c r="F93" s="29"/>
      <c r="G93" s="29">
        <f t="shared" si="95"/>
        <v>100522.5</v>
      </c>
      <c r="H93" s="29">
        <f t="shared" si="96"/>
        <v>2513.0625</v>
      </c>
      <c r="I93" s="29">
        <f>40122.19</f>
        <v>40122.19</v>
      </c>
      <c r="J93" s="29">
        <f t="shared" si="97"/>
        <v>16753.75</v>
      </c>
      <c r="K93" s="29">
        <f t="shared" si="98"/>
        <v>117276.25</v>
      </c>
      <c r="L93" s="29">
        <f t="shared" si="99"/>
        <v>33507.5</v>
      </c>
      <c r="M93" s="26">
        <f>160000</f>
        <v>160000</v>
      </c>
      <c r="N93" s="26"/>
      <c r="O93" s="29">
        <f t="shared" si="100"/>
        <v>3350.75</v>
      </c>
      <c r="P93" s="29">
        <v>20000</v>
      </c>
      <c r="Q93" s="29"/>
      <c r="R93" s="25">
        <f t="shared" si="101"/>
        <v>527553.50249999994</v>
      </c>
      <c r="S93" s="25"/>
      <c r="T93" s="25"/>
      <c r="U93" s="25"/>
      <c r="V93" s="25"/>
      <c r="W93" s="29">
        <f>15548.33</f>
        <v>15548.33</v>
      </c>
      <c r="X93" s="25">
        <f t="shared" ref="X93:X101" si="103">W93+V93+U93+T93+S93</f>
        <v>15548.33</v>
      </c>
      <c r="Y93" s="25">
        <v>512005.17249999993</v>
      </c>
      <c r="Z93" s="25">
        <f t="shared" si="102"/>
        <v>512005.17249999993</v>
      </c>
    </row>
    <row r="94" spans="1:27" ht="20.100000000000001" customHeight="1" x14ac:dyDescent="0.3">
      <c r="A94" s="22">
        <v>3</v>
      </c>
      <c r="B94" s="23" t="s">
        <v>189</v>
      </c>
      <c r="C94" s="12" t="s">
        <v>133</v>
      </c>
      <c r="D94" s="22" t="s">
        <v>57</v>
      </c>
      <c r="E94" s="29">
        <v>33507.5</v>
      </c>
      <c r="F94" s="29"/>
      <c r="G94" s="29">
        <f>E94*300%</f>
        <v>100522.5</v>
      </c>
      <c r="H94" s="29">
        <f>E94*7.5%</f>
        <v>2513.0625</v>
      </c>
      <c r="I94" s="29">
        <f>40122.19</f>
        <v>40122.19</v>
      </c>
      <c r="J94" s="29">
        <f>E94*50%</f>
        <v>16753.75</v>
      </c>
      <c r="K94" s="29">
        <f>E94*350%</f>
        <v>117276.25</v>
      </c>
      <c r="L94" s="29">
        <f>E94*100%</f>
        <v>33507.5</v>
      </c>
      <c r="M94" s="26">
        <f>160000</f>
        <v>160000</v>
      </c>
      <c r="N94" s="26"/>
      <c r="O94" s="29">
        <f>E94*10%</f>
        <v>3350.75</v>
      </c>
      <c r="P94" s="29">
        <v>20000</v>
      </c>
      <c r="Q94" s="29"/>
      <c r="R94" s="25">
        <f>SUM(E94:Q94)</f>
        <v>527553.50249999994</v>
      </c>
      <c r="S94" s="25"/>
      <c r="T94" s="25">
        <f>30000</f>
        <v>30000</v>
      </c>
      <c r="U94" s="25">
        <f>98750</f>
        <v>98750</v>
      </c>
      <c r="V94" s="25">
        <f>'[2]April 2022'!$H$37</f>
        <v>837.6875</v>
      </c>
      <c r="W94" s="29">
        <f>15548.33</f>
        <v>15548.33</v>
      </c>
      <c r="X94" s="25">
        <f t="shared" si="103"/>
        <v>145136.01750000002</v>
      </c>
      <c r="Y94" s="25">
        <v>382417.48499999993</v>
      </c>
      <c r="Z94" s="25">
        <f>R94-X94</f>
        <v>382417.48499999993</v>
      </c>
    </row>
    <row r="95" spans="1:27" ht="20.100000000000001" customHeight="1" x14ac:dyDescent="0.3">
      <c r="A95" s="22">
        <v>4</v>
      </c>
      <c r="B95" s="30" t="s">
        <v>190</v>
      </c>
      <c r="C95" s="12" t="s">
        <v>141</v>
      </c>
      <c r="D95" s="22" t="s">
        <v>191</v>
      </c>
      <c r="E95" s="29">
        <v>27611.23</v>
      </c>
      <c r="F95" s="29"/>
      <c r="G95" s="29">
        <f>E95*300%</f>
        <v>82833.69</v>
      </c>
      <c r="H95" s="29">
        <f>E95*7.5%</f>
        <v>2070.8422499999997</v>
      </c>
      <c r="I95" s="29"/>
      <c r="J95" s="29">
        <f>E95*50%</f>
        <v>13805.615</v>
      </c>
      <c r="K95" s="25">
        <f>E95*350%</f>
        <v>96639.304999999993</v>
      </c>
      <c r="L95" s="29">
        <f>E95*100%</f>
        <v>27611.23</v>
      </c>
      <c r="M95" s="26">
        <v>140000</v>
      </c>
      <c r="N95" s="26"/>
      <c r="O95" s="29">
        <f>E95*10%</f>
        <v>2761.123</v>
      </c>
      <c r="P95" s="29">
        <v>20000</v>
      </c>
      <c r="Q95" s="29">
        <v>0</v>
      </c>
      <c r="R95" s="39">
        <f>SUM(E95:Q95)</f>
        <v>413333.03525000007</v>
      </c>
      <c r="S95" s="39"/>
      <c r="T95" s="25">
        <f>20000</f>
        <v>20000</v>
      </c>
      <c r="U95" s="25">
        <f>163103.59</f>
        <v>163103.59</v>
      </c>
      <c r="V95" s="25">
        <f>'[2]April 2022'!$H$44</f>
        <v>690.28075000000001</v>
      </c>
      <c r="W95" s="25">
        <f>7709.76</f>
        <v>7709.76</v>
      </c>
      <c r="X95" s="25">
        <f t="shared" si="103"/>
        <v>191503.63075000001</v>
      </c>
      <c r="Y95" s="39">
        <v>221829.40450000006</v>
      </c>
      <c r="Z95" s="39">
        <f>R95-X95</f>
        <v>221829.40450000006</v>
      </c>
    </row>
    <row r="96" spans="1:27" ht="20.100000000000001" customHeight="1" x14ac:dyDescent="0.3">
      <c r="A96" s="22">
        <v>5</v>
      </c>
      <c r="B96" s="36" t="s">
        <v>192</v>
      </c>
      <c r="C96" s="12" t="s">
        <v>137</v>
      </c>
      <c r="D96" s="22" t="s">
        <v>68</v>
      </c>
      <c r="E96" s="39">
        <v>26732.65</v>
      </c>
      <c r="F96" s="29"/>
      <c r="G96" s="39">
        <f t="shared" si="95"/>
        <v>80197.950000000012</v>
      </c>
      <c r="H96" s="39">
        <f t="shared" si="96"/>
        <v>2004.94875</v>
      </c>
      <c r="I96" s="39"/>
      <c r="J96" s="39">
        <f t="shared" si="97"/>
        <v>13366.325000000001</v>
      </c>
      <c r="K96" s="39">
        <f t="shared" si="98"/>
        <v>93564.275000000009</v>
      </c>
      <c r="L96" s="39">
        <f t="shared" si="99"/>
        <v>26732.65</v>
      </c>
      <c r="M96" s="26">
        <v>140000</v>
      </c>
      <c r="N96" s="26"/>
      <c r="O96" s="39">
        <f t="shared" si="100"/>
        <v>2673.2650000000003</v>
      </c>
      <c r="P96" s="39">
        <v>20000</v>
      </c>
      <c r="Q96" s="39"/>
      <c r="R96" s="25">
        <f t="shared" si="101"/>
        <v>405272.06374999997</v>
      </c>
      <c r="S96" s="25"/>
      <c r="T96" s="58">
        <f>50000</f>
        <v>50000</v>
      </c>
      <c r="U96" s="70">
        <f>79861.11</f>
        <v>79861.11</v>
      </c>
      <c r="V96" s="58"/>
      <c r="W96" s="25">
        <f t="shared" si="18"/>
        <v>7709.76</v>
      </c>
      <c r="X96" s="25">
        <f t="shared" si="103"/>
        <v>137570.87</v>
      </c>
      <c r="Y96" s="25">
        <v>267701.19374999998</v>
      </c>
      <c r="Z96" s="25">
        <f t="shared" si="102"/>
        <v>267701.19374999998</v>
      </c>
    </row>
    <row r="97" spans="1:27" ht="20.100000000000001" customHeight="1" x14ac:dyDescent="0.3">
      <c r="A97" s="22">
        <v>6</v>
      </c>
      <c r="B97" s="36" t="s">
        <v>193</v>
      </c>
      <c r="C97" s="12" t="s">
        <v>137</v>
      </c>
      <c r="D97" s="22" t="s">
        <v>194</v>
      </c>
      <c r="E97" s="39">
        <f>24975.81</f>
        <v>24975.81</v>
      </c>
      <c r="F97" s="29"/>
      <c r="G97" s="39">
        <f t="shared" si="95"/>
        <v>74927.430000000008</v>
      </c>
      <c r="H97" s="39">
        <f t="shared" si="96"/>
        <v>1873.1857500000001</v>
      </c>
      <c r="I97" s="39"/>
      <c r="J97" s="39">
        <f t="shared" si="97"/>
        <v>12487.905000000001</v>
      </c>
      <c r="K97" s="39">
        <f t="shared" si="98"/>
        <v>87415.335000000006</v>
      </c>
      <c r="L97" s="39">
        <f t="shared" si="99"/>
        <v>24975.81</v>
      </c>
      <c r="M97" s="26">
        <v>140000</v>
      </c>
      <c r="N97" s="26"/>
      <c r="O97" s="39">
        <f t="shared" si="100"/>
        <v>2497.5810000000001</v>
      </c>
      <c r="P97" s="39">
        <v>20000</v>
      </c>
      <c r="Q97" s="39"/>
      <c r="R97" s="25">
        <f>SUM(E97:Q97)</f>
        <v>389153.05674999999</v>
      </c>
      <c r="S97" s="25"/>
      <c r="T97" s="58"/>
      <c r="U97" s="70"/>
      <c r="V97" s="58"/>
      <c r="W97" s="25">
        <f t="shared" si="18"/>
        <v>7709.76</v>
      </c>
      <c r="X97" s="25">
        <f t="shared" si="103"/>
        <v>7709.76</v>
      </c>
      <c r="Y97" s="25">
        <v>381443.29674999998</v>
      </c>
      <c r="Z97" s="25">
        <f t="shared" si="102"/>
        <v>381443.29674999998</v>
      </c>
    </row>
    <row r="98" spans="1:27" ht="21.6" customHeight="1" x14ac:dyDescent="0.3">
      <c r="A98" s="22">
        <v>7</v>
      </c>
      <c r="B98" s="41" t="s">
        <v>195</v>
      </c>
      <c r="C98" s="12" t="s">
        <v>146</v>
      </c>
      <c r="D98" s="28" t="s">
        <v>78</v>
      </c>
      <c r="E98" s="29">
        <v>24741.26</v>
      </c>
      <c r="F98" s="29"/>
      <c r="G98" s="29">
        <f t="shared" si="95"/>
        <v>74223.78</v>
      </c>
      <c r="H98" s="29">
        <f t="shared" si="96"/>
        <v>1855.5944999999997</v>
      </c>
      <c r="I98" s="29">
        <v>0</v>
      </c>
      <c r="J98" s="29">
        <f t="shared" si="97"/>
        <v>12370.63</v>
      </c>
      <c r="K98" s="25">
        <f t="shared" si="98"/>
        <v>86594.409999999989</v>
      </c>
      <c r="L98" s="29">
        <f t="shared" si="99"/>
        <v>24741.26</v>
      </c>
      <c r="M98" s="26">
        <f>120000</f>
        <v>120000</v>
      </c>
      <c r="N98" s="26"/>
      <c r="O98" s="29">
        <f t="shared" si="100"/>
        <v>2474.1260000000002</v>
      </c>
      <c r="P98" s="29">
        <v>15000</v>
      </c>
      <c r="Q98" s="29">
        <v>0</v>
      </c>
      <c r="R98" s="25">
        <f t="shared" si="101"/>
        <v>362001.06049999996</v>
      </c>
      <c r="S98" s="25"/>
      <c r="T98" s="25">
        <f>50000</f>
        <v>50000</v>
      </c>
      <c r="U98" s="25"/>
      <c r="V98" s="25"/>
      <c r="W98" s="29">
        <f>7709.76</f>
        <v>7709.76</v>
      </c>
      <c r="X98" s="25">
        <f t="shared" si="103"/>
        <v>57709.760000000002</v>
      </c>
      <c r="Y98" s="25">
        <v>304291.30049999995</v>
      </c>
      <c r="Z98" s="25">
        <f t="shared" si="102"/>
        <v>304291.30049999995</v>
      </c>
    </row>
    <row r="99" spans="1:27" ht="21.6" customHeight="1" x14ac:dyDescent="0.3">
      <c r="A99" s="22">
        <v>8</v>
      </c>
      <c r="B99" s="23" t="s">
        <v>196</v>
      </c>
      <c r="C99" s="24" t="s">
        <v>143</v>
      </c>
      <c r="D99" s="28" t="s">
        <v>81</v>
      </c>
      <c r="E99" s="29">
        <v>23891.119999999999</v>
      </c>
      <c r="F99" s="29"/>
      <c r="G99" s="29">
        <f t="shared" si="95"/>
        <v>71673.36</v>
      </c>
      <c r="H99" s="29">
        <f t="shared" si="96"/>
        <v>1791.8339999999998</v>
      </c>
      <c r="I99" s="29">
        <v>0</v>
      </c>
      <c r="J99" s="29">
        <f t="shared" si="97"/>
        <v>11945.56</v>
      </c>
      <c r="K99" s="25">
        <f t="shared" si="98"/>
        <v>83618.92</v>
      </c>
      <c r="L99" s="29">
        <f t="shared" si="99"/>
        <v>23891.119999999999</v>
      </c>
      <c r="M99" s="26">
        <f t="shared" ref="M99:M100" si="104">120000</f>
        <v>120000</v>
      </c>
      <c r="N99" s="26"/>
      <c r="O99" s="29">
        <f t="shared" si="100"/>
        <v>2389.1120000000001</v>
      </c>
      <c r="P99" s="29">
        <v>15000</v>
      </c>
      <c r="Q99" s="29">
        <v>0</v>
      </c>
      <c r="R99" s="25">
        <f t="shared" si="101"/>
        <v>354201.02600000001</v>
      </c>
      <c r="S99" s="25"/>
      <c r="T99" s="25"/>
      <c r="U99" s="25"/>
      <c r="V99" s="25"/>
      <c r="W99" s="29">
        <f t="shared" si="19"/>
        <v>7709.76</v>
      </c>
      <c r="X99" s="25">
        <f t="shared" si="103"/>
        <v>7709.76</v>
      </c>
      <c r="Y99" s="25">
        <v>346491.266</v>
      </c>
      <c r="Z99" s="25">
        <f t="shared" si="102"/>
        <v>346491.266</v>
      </c>
    </row>
    <row r="100" spans="1:27" ht="21.6" customHeight="1" x14ac:dyDescent="0.3">
      <c r="A100" s="22">
        <v>9</v>
      </c>
      <c r="B100" s="23" t="s">
        <v>197</v>
      </c>
      <c r="C100" s="24" t="s">
        <v>143</v>
      </c>
      <c r="D100" s="28" t="s">
        <v>81</v>
      </c>
      <c r="E100" s="29">
        <v>23891.119999999999</v>
      </c>
      <c r="F100" s="29"/>
      <c r="G100" s="29">
        <f t="shared" si="95"/>
        <v>71673.36</v>
      </c>
      <c r="H100" s="29">
        <f t="shared" si="96"/>
        <v>1791.8339999999998</v>
      </c>
      <c r="I100" s="29">
        <v>0</v>
      </c>
      <c r="J100" s="29">
        <f t="shared" si="97"/>
        <v>11945.56</v>
      </c>
      <c r="K100" s="25">
        <f t="shared" si="98"/>
        <v>83618.92</v>
      </c>
      <c r="L100" s="29">
        <f t="shared" si="99"/>
        <v>23891.119999999999</v>
      </c>
      <c r="M100" s="26">
        <f t="shared" si="104"/>
        <v>120000</v>
      </c>
      <c r="N100" s="26"/>
      <c r="O100" s="29">
        <f t="shared" si="100"/>
        <v>2389.1120000000001</v>
      </c>
      <c r="P100" s="29">
        <v>15000</v>
      </c>
      <c r="Q100" s="29">
        <v>0</v>
      </c>
      <c r="R100" s="25">
        <f t="shared" si="101"/>
        <v>354201.02600000001</v>
      </c>
      <c r="S100" s="25"/>
      <c r="T100" s="25">
        <f>100000</f>
        <v>100000</v>
      </c>
      <c r="U100" s="25"/>
      <c r="V100" s="25"/>
      <c r="W100" s="29">
        <f t="shared" si="19"/>
        <v>7709.76</v>
      </c>
      <c r="X100" s="25">
        <f t="shared" si="103"/>
        <v>107709.75999999999</v>
      </c>
      <c r="Y100" s="25">
        <v>246491.266</v>
      </c>
      <c r="Z100" s="25">
        <f t="shared" si="102"/>
        <v>246491.266</v>
      </c>
    </row>
    <row r="101" spans="1:27" ht="21.6" customHeight="1" x14ac:dyDescent="0.3">
      <c r="A101" s="22">
        <v>10</v>
      </c>
      <c r="B101" s="23" t="s">
        <v>198</v>
      </c>
      <c r="C101" s="37" t="s">
        <v>166</v>
      </c>
      <c r="D101" s="28" t="s">
        <v>168</v>
      </c>
      <c r="E101" s="29">
        <f>20749</f>
        <v>20749</v>
      </c>
      <c r="F101" s="29"/>
      <c r="G101" s="29">
        <f t="shared" si="95"/>
        <v>62247</v>
      </c>
      <c r="H101" s="29">
        <f t="shared" si="96"/>
        <v>1556.175</v>
      </c>
      <c r="I101" s="29">
        <v>0</v>
      </c>
      <c r="J101" s="29">
        <f t="shared" si="97"/>
        <v>10374.5</v>
      </c>
      <c r="K101" s="25">
        <f t="shared" si="98"/>
        <v>72621.5</v>
      </c>
      <c r="L101" s="29">
        <f t="shared" si="99"/>
        <v>20749</v>
      </c>
      <c r="M101" s="26">
        <f t="shared" ref="M101" si="105">110000</f>
        <v>110000</v>
      </c>
      <c r="N101" s="26"/>
      <c r="O101" s="29">
        <f t="shared" si="100"/>
        <v>2074.9</v>
      </c>
      <c r="P101" s="29">
        <v>15000</v>
      </c>
      <c r="Q101" s="29">
        <v>0</v>
      </c>
      <c r="R101" s="25">
        <f>SUM(E101:Q101)</f>
        <v>315372.07500000001</v>
      </c>
      <c r="S101" s="25"/>
      <c r="T101" s="25"/>
      <c r="U101" s="25"/>
      <c r="V101" s="25"/>
      <c r="W101" s="29">
        <f t="shared" ref="W101" si="106">3369.51</f>
        <v>3369.51</v>
      </c>
      <c r="X101" s="39">
        <f t="shared" si="103"/>
        <v>3369.51</v>
      </c>
      <c r="Y101" s="25">
        <v>312002.565</v>
      </c>
      <c r="Z101" s="25">
        <f t="shared" si="102"/>
        <v>312002.565</v>
      </c>
    </row>
    <row r="102" spans="1:27" ht="21.6" customHeight="1" x14ac:dyDescent="0.3">
      <c r="A102" s="22">
        <v>11</v>
      </c>
      <c r="B102" s="23" t="s">
        <v>199</v>
      </c>
      <c r="C102" s="12" t="s">
        <v>148</v>
      </c>
      <c r="D102" s="22" t="s">
        <v>101</v>
      </c>
      <c r="E102" s="39">
        <f>14736.14</f>
        <v>14736.14</v>
      </c>
      <c r="F102" s="39"/>
      <c r="G102" s="39">
        <f t="shared" si="95"/>
        <v>44208.42</v>
      </c>
      <c r="H102" s="39">
        <f t="shared" si="96"/>
        <v>1105.2104999999999</v>
      </c>
      <c r="I102" s="39"/>
      <c r="J102" s="39">
        <f t="shared" si="97"/>
        <v>7368.07</v>
      </c>
      <c r="K102" s="39">
        <f t="shared" si="98"/>
        <v>51576.49</v>
      </c>
      <c r="L102" s="39">
        <f t="shared" si="99"/>
        <v>14736.14</v>
      </c>
      <c r="M102" s="26">
        <f>100000</f>
        <v>100000</v>
      </c>
      <c r="N102" s="26"/>
      <c r="O102" s="39">
        <f t="shared" si="100"/>
        <v>1473.614</v>
      </c>
      <c r="P102" s="39">
        <v>10000</v>
      </c>
      <c r="Q102" s="39"/>
      <c r="R102" s="25">
        <f>SUM(E102:Q102)</f>
        <v>245204.0845</v>
      </c>
      <c r="S102" s="25"/>
      <c r="T102" s="58"/>
      <c r="U102" s="58"/>
      <c r="V102" s="58"/>
      <c r="W102" s="29">
        <v>3369.51</v>
      </c>
      <c r="X102" s="25">
        <f>W102+V102+U102+T102</f>
        <v>3369.51</v>
      </c>
      <c r="Y102" s="25">
        <v>241834.57449999999</v>
      </c>
      <c r="Z102" s="25">
        <f>R102-X102</f>
        <v>241834.57449999999</v>
      </c>
    </row>
    <row r="103" spans="1:27" ht="21.6" customHeight="1" x14ac:dyDescent="0.3">
      <c r="A103" s="22">
        <v>12</v>
      </c>
      <c r="B103" s="23" t="s">
        <v>200</v>
      </c>
      <c r="C103" s="37" t="s">
        <v>201</v>
      </c>
      <c r="D103" s="28" t="s">
        <v>116</v>
      </c>
      <c r="E103" s="29">
        <v>12351.94</v>
      </c>
      <c r="F103" s="29"/>
      <c r="G103" s="29">
        <v>37055.82</v>
      </c>
      <c r="H103" s="29">
        <v>926.39549999999997</v>
      </c>
      <c r="I103" s="29"/>
      <c r="J103" s="29">
        <v>6175.97</v>
      </c>
      <c r="K103" s="25">
        <v>43231.79</v>
      </c>
      <c r="L103" s="29">
        <v>12351.94</v>
      </c>
      <c r="M103" s="26">
        <f>100000</f>
        <v>100000</v>
      </c>
      <c r="N103" s="26"/>
      <c r="O103" s="29">
        <v>1235.1940000000002</v>
      </c>
      <c r="P103" s="29">
        <v>10000</v>
      </c>
      <c r="Q103" s="29"/>
      <c r="R103" s="25">
        <f>SUM(E103:Q103)</f>
        <v>223329.04949999999</v>
      </c>
      <c r="S103" s="25"/>
      <c r="T103" s="25">
        <v>50000</v>
      </c>
      <c r="U103" s="25"/>
      <c r="V103" s="25">
        <v>0</v>
      </c>
      <c r="W103" s="29">
        <v>1484.37</v>
      </c>
      <c r="X103" s="39">
        <f>SUM(S103:W103)</f>
        <v>51484.37</v>
      </c>
      <c r="Y103" s="25">
        <v>171844.6795</v>
      </c>
      <c r="Z103" s="25">
        <f>R103-X103</f>
        <v>171844.6795</v>
      </c>
    </row>
    <row r="104" spans="1:27" ht="20.100000000000001" customHeight="1" x14ac:dyDescent="0.6">
      <c r="A104" s="22"/>
      <c r="B104" s="49" t="s">
        <v>34</v>
      </c>
      <c r="C104" s="15">
        <v>12</v>
      </c>
      <c r="D104" s="15"/>
      <c r="E104" s="71">
        <f>SUM(E92:E103)</f>
        <v>307852.96000000002</v>
      </c>
      <c r="F104" s="71"/>
      <c r="G104" s="71">
        <f t="shared" ref="G104:M104" si="107">SUM(G92:G103)</f>
        <v>923558.88</v>
      </c>
      <c r="H104" s="71">
        <f t="shared" si="107"/>
        <v>23088.971999999998</v>
      </c>
      <c r="I104" s="71">
        <f t="shared" si="107"/>
        <v>120366.57</v>
      </c>
      <c r="J104" s="71">
        <f t="shared" si="107"/>
        <v>153926.48000000001</v>
      </c>
      <c r="K104" s="71">
        <f t="shared" si="107"/>
        <v>1077485.3600000001</v>
      </c>
      <c r="L104" s="71">
        <f t="shared" si="107"/>
        <v>307852.96000000002</v>
      </c>
      <c r="M104" s="51">
        <f t="shared" si="107"/>
        <v>1590000</v>
      </c>
      <c r="N104" s="51"/>
      <c r="O104" s="71">
        <f>SUM(O92:O103)</f>
        <v>30785.296000000002</v>
      </c>
      <c r="P104" s="71">
        <f>SUM(P92:P103)</f>
        <v>200000</v>
      </c>
      <c r="Q104" s="71">
        <f>SUM(Q92:Q103)</f>
        <v>0</v>
      </c>
      <c r="R104" s="71">
        <f>SUM(R92:R103)</f>
        <v>4734917.4780000001</v>
      </c>
      <c r="S104" s="71"/>
      <c r="T104" s="71">
        <f t="shared" ref="T104:Z104" si="108">SUM(T92:T103)</f>
        <v>300000</v>
      </c>
      <c r="U104" s="71">
        <f t="shared" si="108"/>
        <v>341714.7</v>
      </c>
      <c r="V104" s="71">
        <f t="shared" si="108"/>
        <v>1527.9682499999999</v>
      </c>
      <c r="W104" s="71">
        <f t="shared" si="108"/>
        <v>107196.69999999997</v>
      </c>
      <c r="X104" s="71">
        <f t="shared" si="108"/>
        <v>750439.36825000006</v>
      </c>
      <c r="Y104" s="71">
        <v>3984478.1097499998</v>
      </c>
      <c r="Z104" s="71">
        <f t="shared" si="108"/>
        <v>3984478.1097499998</v>
      </c>
      <c r="AA104" s="46"/>
    </row>
    <row r="105" spans="1:27" ht="20.100000000000001" customHeight="1" x14ac:dyDescent="0.3">
      <c r="A105" s="22"/>
      <c r="B105" s="52"/>
      <c r="C105" s="15"/>
      <c r="D105" s="15"/>
      <c r="E105" s="68"/>
      <c r="F105" s="68"/>
      <c r="G105" s="68"/>
      <c r="H105" s="68"/>
      <c r="I105" s="68"/>
      <c r="J105" s="68"/>
      <c r="K105" s="68"/>
      <c r="L105" s="68"/>
      <c r="M105" s="26"/>
      <c r="N105" s="26"/>
      <c r="O105" s="68"/>
      <c r="P105" s="68"/>
      <c r="Q105" s="68"/>
      <c r="R105" s="68"/>
      <c r="S105" s="68"/>
      <c r="T105" s="68"/>
      <c r="U105" s="68"/>
      <c r="V105" s="68"/>
      <c r="W105" s="68"/>
      <c r="X105" s="68"/>
      <c r="Y105" s="68"/>
      <c r="Z105" s="68"/>
    </row>
    <row r="106" spans="1:27" ht="20.100000000000001" customHeight="1" x14ac:dyDescent="0.3">
      <c r="A106" s="22"/>
      <c r="B106" s="49" t="s">
        <v>202</v>
      </c>
      <c r="C106" s="15"/>
      <c r="D106" s="15"/>
      <c r="E106" s="68"/>
      <c r="F106" s="68"/>
      <c r="G106" s="68"/>
      <c r="H106" s="68"/>
      <c r="I106" s="68"/>
      <c r="J106" s="68"/>
      <c r="K106" s="68"/>
      <c r="L106" s="68"/>
      <c r="M106" s="26"/>
      <c r="N106" s="26"/>
      <c r="O106" s="68"/>
      <c r="P106" s="68"/>
      <c r="Q106" s="68"/>
      <c r="R106" s="68"/>
      <c r="S106" s="68"/>
      <c r="T106" s="68"/>
      <c r="U106" s="68"/>
      <c r="V106" s="68"/>
      <c r="W106" s="68"/>
      <c r="X106" s="68"/>
      <c r="Y106" s="68"/>
      <c r="Z106" s="68"/>
    </row>
    <row r="107" spans="1:27" ht="20.100000000000001" customHeight="1" x14ac:dyDescent="0.3">
      <c r="A107" s="22">
        <v>1</v>
      </c>
      <c r="B107" s="42" t="s">
        <v>203</v>
      </c>
      <c r="C107" s="22" t="s">
        <v>204</v>
      </c>
      <c r="D107" s="28" t="s">
        <v>46</v>
      </c>
      <c r="E107" s="29">
        <v>41157.69</v>
      </c>
      <c r="F107" s="29"/>
      <c r="G107" s="29">
        <f t="shared" ref="G107" si="109">E107*300%</f>
        <v>123473.07</v>
      </c>
      <c r="H107" s="29">
        <f t="shared" ref="H107" si="110">E107*7.5%</f>
        <v>3086.8267500000002</v>
      </c>
      <c r="I107" s="29">
        <v>40122.19</v>
      </c>
      <c r="J107" s="29">
        <f t="shared" ref="J107" si="111">E107*50%</f>
        <v>20578.845000000001</v>
      </c>
      <c r="K107" s="29">
        <f t="shared" ref="K107" si="112">E107*350%</f>
        <v>144051.91500000001</v>
      </c>
      <c r="L107" s="29">
        <f t="shared" ref="L107" si="113">E107*100%</f>
        <v>41157.69</v>
      </c>
      <c r="M107" s="26"/>
      <c r="N107" s="26">
        <f>90000</f>
        <v>90000</v>
      </c>
      <c r="O107" s="29">
        <f t="shared" ref="O107" si="114">E107*10%</f>
        <v>4115.7690000000002</v>
      </c>
      <c r="P107" s="29">
        <v>20000</v>
      </c>
      <c r="Q107" s="29"/>
      <c r="R107" s="25">
        <f>SUM(E107:Q107)</f>
        <v>527743.99575</v>
      </c>
      <c r="S107" s="25"/>
      <c r="T107" s="25">
        <f>50000+2000</f>
        <v>52000</v>
      </c>
      <c r="U107" s="25">
        <f>0</f>
        <v>0</v>
      </c>
      <c r="V107" s="25"/>
      <c r="W107" s="29">
        <f>21618.09</f>
        <v>21618.09</v>
      </c>
      <c r="X107" s="25">
        <f t="shared" ref="X107" si="115">W107+V107+U107+T107+S107</f>
        <v>73618.09</v>
      </c>
      <c r="Y107" s="25">
        <v>506125.90574999998</v>
      </c>
      <c r="Z107" s="25">
        <f t="shared" ref="Z107" si="116">R107-X107</f>
        <v>454125.90575000003</v>
      </c>
    </row>
    <row r="108" spans="1:27" ht="20.100000000000001" customHeight="1" x14ac:dyDescent="0.3">
      <c r="A108" s="22">
        <v>2</v>
      </c>
      <c r="B108" s="36" t="s">
        <v>205</v>
      </c>
      <c r="C108" s="64" t="s">
        <v>206</v>
      </c>
      <c r="D108" s="38" t="s">
        <v>68</v>
      </c>
      <c r="E108" s="39">
        <v>26732.65</v>
      </c>
      <c r="F108" s="29"/>
      <c r="G108" s="39">
        <f>E108*300%</f>
        <v>80197.950000000012</v>
      </c>
      <c r="H108" s="39">
        <f>E108*7.5%</f>
        <v>2004.94875</v>
      </c>
      <c r="I108" s="39"/>
      <c r="J108" s="39">
        <f>E108*50%</f>
        <v>13366.325000000001</v>
      </c>
      <c r="K108" s="39">
        <f>E108*350%</f>
        <v>93564.275000000009</v>
      </c>
      <c r="L108" s="39">
        <f>E108*100%</f>
        <v>26732.65</v>
      </c>
      <c r="M108" s="26"/>
      <c r="N108" s="26">
        <f>70000</f>
        <v>70000</v>
      </c>
      <c r="O108" s="39">
        <f>E108*10%</f>
        <v>2673.2650000000003</v>
      </c>
      <c r="P108" s="39">
        <v>20000</v>
      </c>
      <c r="Q108" s="39"/>
      <c r="R108" s="25">
        <f>SUM(E108:Q108)</f>
        <v>335272.06374999997</v>
      </c>
      <c r="S108" s="25"/>
      <c r="T108" s="58"/>
      <c r="U108" s="58"/>
      <c r="V108" s="58">
        <f>'[2]April 2022'!$H$54</f>
        <v>668.31625000000008</v>
      </c>
      <c r="W108" s="25">
        <f t="shared" si="18"/>
        <v>7709.76</v>
      </c>
      <c r="X108" s="25">
        <f>W108+V108+U108+T108+S108</f>
        <v>8378.0762500000001</v>
      </c>
      <c r="Y108" s="25">
        <v>326893.98749999999</v>
      </c>
      <c r="Z108" s="25">
        <f>R108-X108</f>
        <v>326893.98749999999</v>
      </c>
      <c r="AA108" s="27"/>
    </row>
    <row r="109" spans="1:27" ht="20.100000000000001" customHeight="1" x14ac:dyDescent="0.3">
      <c r="A109" s="22">
        <v>3</v>
      </c>
      <c r="B109" s="48" t="s">
        <v>207</v>
      </c>
      <c r="C109" s="64" t="s">
        <v>208</v>
      </c>
      <c r="D109" s="28" t="s">
        <v>81</v>
      </c>
      <c r="E109" s="29">
        <v>23891.119999999999</v>
      </c>
      <c r="F109" s="29"/>
      <c r="G109" s="29">
        <f t="shared" ref="G109" si="117">E109*300%</f>
        <v>71673.36</v>
      </c>
      <c r="H109" s="29">
        <f t="shared" ref="H109" si="118">E109*7.5%</f>
        <v>1791.8339999999998</v>
      </c>
      <c r="I109" s="25">
        <v>0</v>
      </c>
      <c r="J109" s="29">
        <f t="shared" ref="J109" si="119">E109*50%</f>
        <v>11945.56</v>
      </c>
      <c r="K109" s="25">
        <f t="shared" ref="K109" si="120">E109*350%</f>
        <v>83618.92</v>
      </c>
      <c r="L109" s="29">
        <f t="shared" ref="L109" si="121">E109*100%</f>
        <v>23891.119999999999</v>
      </c>
      <c r="M109" s="26"/>
      <c r="N109" s="26">
        <v>70000</v>
      </c>
      <c r="O109" s="29">
        <f t="shared" ref="O109" si="122">E109*10%</f>
        <v>2389.1120000000001</v>
      </c>
      <c r="P109" s="29">
        <v>15000</v>
      </c>
      <c r="Q109" s="29">
        <v>0</v>
      </c>
      <c r="R109" s="25">
        <f t="shared" ref="R109" si="123">SUM(E109:Q109)</f>
        <v>304201.02600000001</v>
      </c>
      <c r="S109" s="25"/>
      <c r="T109" s="25"/>
      <c r="U109" s="25"/>
      <c r="V109" s="25"/>
      <c r="W109" s="29">
        <f>7709.76</f>
        <v>7709.76</v>
      </c>
      <c r="X109" s="25">
        <f t="shared" ref="X109" si="124">W109+V109+U109+T109+S109</f>
        <v>7709.76</v>
      </c>
      <c r="Y109" s="25">
        <v>296491.266</v>
      </c>
      <c r="Z109" s="25">
        <f t="shared" ref="Z109" si="125">R109-X109</f>
        <v>296491.266</v>
      </c>
      <c r="AA109" s="27"/>
    </row>
    <row r="110" spans="1:27" ht="20.100000000000001" customHeight="1" x14ac:dyDescent="0.3">
      <c r="A110" s="22">
        <v>4</v>
      </c>
      <c r="B110" s="23" t="s">
        <v>209</v>
      </c>
      <c r="C110" s="12" t="s">
        <v>210</v>
      </c>
      <c r="D110" s="28" t="s">
        <v>211</v>
      </c>
      <c r="E110" s="39">
        <v>19276.95</v>
      </c>
      <c r="F110" s="29"/>
      <c r="G110" s="29">
        <f>E110*300%</f>
        <v>57830.850000000006</v>
      </c>
      <c r="H110" s="29">
        <f>E110*7.5%</f>
        <v>1445.77125</v>
      </c>
      <c r="I110" s="29"/>
      <c r="J110" s="29">
        <f>E110*50%</f>
        <v>9638.4750000000004</v>
      </c>
      <c r="K110" s="25">
        <f>E110*350%</f>
        <v>67469.324999999997</v>
      </c>
      <c r="L110" s="39">
        <f>E110*100%</f>
        <v>19276.95</v>
      </c>
      <c r="M110" s="26"/>
      <c r="N110" s="26">
        <f>60000</f>
        <v>60000</v>
      </c>
      <c r="O110" s="29">
        <f>E110*10%</f>
        <v>1927.6950000000002</v>
      </c>
      <c r="P110" s="29">
        <v>10000</v>
      </c>
      <c r="Q110" s="29"/>
      <c r="R110" s="25">
        <f>SUM(E110:Q110)</f>
        <v>246866.01625000004</v>
      </c>
      <c r="S110" s="25"/>
      <c r="T110" s="25">
        <f>5000</f>
        <v>5000</v>
      </c>
      <c r="U110" s="25">
        <f>64806.29</f>
        <v>64806.29</v>
      </c>
      <c r="V110" s="25"/>
      <c r="W110" s="29">
        <v>3369.51</v>
      </c>
      <c r="X110" s="25">
        <f>W110+V110+U110+T110+S110</f>
        <v>73175.8</v>
      </c>
      <c r="Y110" s="25">
        <v>173690.21625000006</v>
      </c>
      <c r="Z110" s="25">
        <f>R110-X110</f>
        <v>173690.21625000006</v>
      </c>
      <c r="AA110" s="27"/>
    </row>
    <row r="111" spans="1:27" ht="20.100000000000001" customHeight="1" x14ac:dyDescent="0.6">
      <c r="A111" s="12"/>
      <c r="B111" s="49" t="s">
        <v>34</v>
      </c>
      <c r="C111" s="15">
        <v>4</v>
      </c>
      <c r="D111" s="72"/>
      <c r="E111" s="61">
        <f>SUM(E107:E110)</f>
        <v>111058.40999999999</v>
      </c>
      <c r="F111" s="61"/>
      <c r="G111" s="61">
        <f t="shared" ref="G111:L111" si="126">SUM(G107:G110)</f>
        <v>333175.23</v>
      </c>
      <c r="H111" s="61">
        <f t="shared" si="126"/>
        <v>8329.3807500000003</v>
      </c>
      <c r="I111" s="61">
        <f t="shared" si="126"/>
        <v>40122.19</v>
      </c>
      <c r="J111" s="61">
        <f t="shared" si="126"/>
        <v>55529.204999999994</v>
      </c>
      <c r="K111" s="61">
        <f t="shared" si="126"/>
        <v>388704.435</v>
      </c>
      <c r="L111" s="61">
        <f t="shared" si="126"/>
        <v>111058.40999999999</v>
      </c>
      <c r="M111" s="51"/>
      <c r="N111" s="51">
        <f>SUM(N107:N110)</f>
        <v>290000</v>
      </c>
      <c r="O111" s="61">
        <f>SUM(O107:O110)</f>
        <v>11105.841</v>
      </c>
      <c r="P111" s="61">
        <f>SUM(P107:P110)</f>
        <v>65000</v>
      </c>
      <c r="Q111" s="61">
        <f>SUM(Q107:Q110)</f>
        <v>0</v>
      </c>
      <c r="R111" s="61">
        <f>SUM(R107:R110)</f>
        <v>1414083.1017500001</v>
      </c>
      <c r="S111" s="61"/>
      <c r="T111" s="61">
        <f t="shared" ref="T111:Z111" si="127">SUM(T107:T110)</f>
        <v>57000</v>
      </c>
      <c r="U111" s="61">
        <f t="shared" si="127"/>
        <v>64806.29</v>
      </c>
      <c r="V111" s="61">
        <f t="shared" si="127"/>
        <v>668.31625000000008</v>
      </c>
      <c r="W111" s="61">
        <f t="shared" si="127"/>
        <v>40407.120000000003</v>
      </c>
      <c r="X111" s="61">
        <f t="shared" si="127"/>
        <v>162881.72625000001</v>
      </c>
      <c r="Y111" s="61">
        <v>1303201.3755000001</v>
      </c>
      <c r="Z111" s="61">
        <f t="shared" si="127"/>
        <v>1251201.3755000001</v>
      </c>
      <c r="AA111" s="27"/>
    </row>
    <row r="112" spans="1:27" ht="20.100000000000001" customHeight="1" x14ac:dyDescent="0.3">
      <c r="A112" s="12"/>
      <c r="B112" s="52"/>
      <c r="C112" s="15"/>
      <c r="D112" s="72"/>
      <c r="E112" s="63"/>
      <c r="F112" s="63"/>
      <c r="G112" s="63"/>
      <c r="H112" s="63"/>
      <c r="I112" s="63"/>
      <c r="J112" s="63"/>
      <c r="K112" s="63"/>
      <c r="L112" s="63"/>
      <c r="M112" s="26"/>
      <c r="N112" s="26"/>
      <c r="O112" s="63"/>
      <c r="P112" s="63"/>
      <c r="Q112" s="63"/>
      <c r="R112" s="63"/>
      <c r="S112" s="63"/>
      <c r="T112" s="63"/>
      <c r="U112" s="63"/>
      <c r="V112" s="63"/>
      <c r="W112" s="63"/>
      <c r="X112" s="63"/>
      <c r="Y112" s="63"/>
      <c r="Z112" s="63"/>
    </row>
    <row r="113" spans="1:27" ht="20.100000000000001" customHeight="1" x14ac:dyDescent="0.3">
      <c r="A113" s="12"/>
      <c r="B113" s="49" t="s">
        <v>212</v>
      </c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26"/>
      <c r="N113" s="26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spans="1:27" ht="20.100000000000001" customHeight="1" x14ac:dyDescent="0.3">
      <c r="A114" s="12">
        <v>1</v>
      </c>
      <c r="B114" s="23" t="s">
        <v>213</v>
      </c>
      <c r="C114" s="24" t="s">
        <v>214</v>
      </c>
      <c r="D114" s="28" t="s">
        <v>43</v>
      </c>
      <c r="E114" s="29">
        <v>81740.02</v>
      </c>
      <c r="F114" s="29"/>
      <c r="G114" s="29">
        <f>E114*300%</f>
        <v>245220.06</v>
      </c>
      <c r="H114" s="29">
        <f>E114*7.5%</f>
        <v>6130.5015000000003</v>
      </c>
      <c r="I114" s="29">
        <v>80244.38</v>
      </c>
      <c r="J114" s="29">
        <f>E114*50%</f>
        <v>40870.01</v>
      </c>
      <c r="K114" s="29">
        <f>E114*350%</f>
        <v>286090.07</v>
      </c>
      <c r="L114" s="29">
        <f>E114*100%</f>
        <v>81740.02</v>
      </c>
      <c r="M114" s="26">
        <f>200000</f>
        <v>200000</v>
      </c>
      <c r="N114" s="26"/>
      <c r="O114" s="29">
        <f>E114*10%</f>
        <v>8174.0020000000004</v>
      </c>
      <c r="P114" s="29">
        <v>20000</v>
      </c>
      <c r="Q114" s="29">
        <v>0</v>
      </c>
      <c r="R114" s="25">
        <f>SUM(E114:Q114)</f>
        <v>1050209.0635000002</v>
      </c>
      <c r="S114" s="25"/>
      <c r="T114" s="25">
        <f>100000</f>
        <v>100000</v>
      </c>
      <c r="U114" s="25">
        <v>0</v>
      </c>
      <c r="V114" s="25">
        <v>0</v>
      </c>
      <c r="W114" s="29">
        <f>52776.63</f>
        <v>52776.63</v>
      </c>
      <c r="X114" s="25">
        <f>W114+V114+U114+T114+S114</f>
        <v>152776.63</v>
      </c>
      <c r="Y114" s="25">
        <v>897432.43350000016</v>
      </c>
      <c r="Z114" s="25">
        <f>R114-X114</f>
        <v>897432.43350000016</v>
      </c>
    </row>
    <row r="115" spans="1:27" ht="20.100000000000001" customHeight="1" x14ac:dyDescent="0.3">
      <c r="A115" s="12">
        <v>2</v>
      </c>
      <c r="B115" s="23" t="s">
        <v>215</v>
      </c>
      <c r="C115" s="12" t="s">
        <v>216</v>
      </c>
      <c r="D115" s="22" t="s">
        <v>57</v>
      </c>
      <c r="E115" s="29">
        <v>33507.5</v>
      </c>
      <c r="F115" s="29"/>
      <c r="G115" s="29">
        <f>E115*300%</f>
        <v>100522.5</v>
      </c>
      <c r="H115" s="29">
        <f>E115*7.5%</f>
        <v>2513.0625</v>
      </c>
      <c r="I115" s="29">
        <v>40122.19</v>
      </c>
      <c r="J115" s="29">
        <f>E115*50%</f>
        <v>16753.75</v>
      </c>
      <c r="K115" s="29">
        <f>E115*350%</f>
        <v>117276.25</v>
      </c>
      <c r="L115" s="29">
        <f>E115*100%</f>
        <v>33507.5</v>
      </c>
      <c r="M115" s="26">
        <f>160000</f>
        <v>160000</v>
      </c>
      <c r="N115" s="26"/>
      <c r="O115" s="29">
        <f>E115*10%</f>
        <v>3350.75</v>
      </c>
      <c r="P115" s="29">
        <v>20000</v>
      </c>
      <c r="Q115" s="29">
        <v>0</v>
      </c>
      <c r="R115" s="25">
        <f>SUM(E115:Q115)</f>
        <v>527553.50249999994</v>
      </c>
      <c r="S115" s="25"/>
      <c r="T115" s="25">
        <v>40000</v>
      </c>
      <c r="U115" s="25">
        <f>238888.89</f>
        <v>238888.89</v>
      </c>
      <c r="V115" s="25">
        <f>'[2]April 2022'!$H$32</f>
        <v>837.6875</v>
      </c>
      <c r="W115" s="29">
        <v>15548.33</v>
      </c>
      <c r="X115" s="25">
        <f>SUM(S115:W115)</f>
        <v>295274.90750000003</v>
      </c>
      <c r="Y115" s="25">
        <v>232278.59499999991</v>
      </c>
      <c r="Z115" s="25">
        <f>R115-X115</f>
        <v>232278.59499999991</v>
      </c>
    </row>
    <row r="116" spans="1:27" ht="20.100000000000001" customHeight="1" x14ac:dyDescent="0.3">
      <c r="A116" s="12">
        <v>3</v>
      </c>
      <c r="B116" s="23" t="s">
        <v>217</v>
      </c>
      <c r="C116" s="12" t="s">
        <v>218</v>
      </c>
      <c r="D116" s="22" t="s">
        <v>75</v>
      </c>
      <c r="E116" s="29">
        <v>26339.3</v>
      </c>
      <c r="F116" s="29"/>
      <c r="G116" s="29">
        <f>E116*300%</f>
        <v>79017.899999999994</v>
      </c>
      <c r="H116" s="29">
        <f>E116*7.5%</f>
        <v>1975.4474999999998</v>
      </c>
      <c r="I116" s="29">
        <v>0</v>
      </c>
      <c r="J116" s="29">
        <f>E116*50%</f>
        <v>13169.65</v>
      </c>
      <c r="K116" s="29">
        <f>E116*350%</f>
        <v>92187.55</v>
      </c>
      <c r="L116" s="29">
        <f>E116*100%</f>
        <v>26339.3</v>
      </c>
      <c r="M116" s="26">
        <f>120000</f>
        <v>120000</v>
      </c>
      <c r="N116" s="26"/>
      <c r="O116" s="29">
        <f>E116*10%</f>
        <v>2633.9300000000003</v>
      </c>
      <c r="P116" s="29">
        <v>15000</v>
      </c>
      <c r="Q116" s="29">
        <f>[4]Library!AB4</f>
        <v>41432.938524999998</v>
      </c>
      <c r="R116" s="25">
        <f>SUM(E116:Q116)</f>
        <v>418096.01602499996</v>
      </c>
      <c r="S116" s="25"/>
      <c r="T116" s="25">
        <v>30000</v>
      </c>
      <c r="U116" s="25">
        <f>61111.11</f>
        <v>61111.11</v>
      </c>
      <c r="V116" s="25">
        <f>'[2]April 2022'!$H$35</f>
        <v>658.48250000000007</v>
      </c>
      <c r="W116" s="25">
        <f>7709.76</f>
        <v>7709.76</v>
      </c>
      <c r="X116" s="25">
        <f t="shared" ref="X116:X120" si="128">W116+V116+U116+T116+S116</f>
        <v>99479.352500000008</v>
      </c>
      <c r="Y116" s="25">
        <v>318616.66352499998</v>
      </c>
      <c r="Z116" s="25">
        <f>R116-X116</f>
        <v>318616.66352499998</v>
      </c>
    </row>
    <row r="117" spans="1:27" ht="20.100000000000001" customHeight="1" x14ac:dyDescent="0.3">
      <c r="A117" s="12">
        <v>4</v>
      </c>
      <c r="B117" s="36" t="s">
        <v>219</v>
      </c>
      <c r="C117" s="12" t="s">
        <v>218</v>
      </c>
      <c r="D117" s="38" t="s">
        <v>144</v>
      </c>
      <c r="E117" s="39">
        <v>25523.45</v>
      </c>
      <c r="F117" s="39"/>
      <c r="G117" s="39">
        <f>E117*300%</f>
        <v>76570.350000000006</v>
      </c>
      <c r="H117" s="39">
        <f>E117*7.5%</f>
        <v>1914.25875</v>
      </c>
      <c r="I117" s="39">
        <v>0</v>
      </c>
      <c r="J117" s="39">
        <f>E117*50%</f>
        <v>12761.725</v>
      </c>
      <c r="K117" s="39">
        <f>E117*350%</f>
        <v>89332.074999999997</v>
      </c>
      <c r="L117" s="39">
        <f>E117*100%</f>
        <v>25523.45</v>
      </c>
      <c r="M117" s="26">
        <f>120000</f>
        <v>120000</v>
      </c>
      <c r="N117" s="26"/>
      <c r="O117" s="39">
        <f>E117*10%</f>
        <v>2552.3450000000003</v>
      </c>
      <c r="P117" s="39">
        <v>15000</v>
      </c>
      <c r="Q117" s="39">
        <f>[4]Library!AB5</f>
        <v>39820.116654999998</v>
      </c>
      <c r="R117" s="25">
        <f>SUM(E117:Q117)</f>
        <v>408997.77040500002</v>
      </c>
      <c r="S117" s="25"/>
      <c r="T117" s="58">
        <f>50000</f>
        <v>50000</v>
      </c>
      <c r="U117" s="58">
        <f>68750+45833.33</f>
        <v>114583.33</v>
      </c>
      <c r="V117" s="58"/>
      <c r="W117" s="58">
        <f>7709.76</f>
        <v>7709.76</v>
      </c>
      <c r="X117" s="25">
        <f t="shared" si="128"/>
        <v>172293.09</v>
      </c>
      <c r="Y117" s="25">
        <v>236704.68040500002</v>
      </c>
      <c r="Z117" s="25">
        <f>R117-X117</f>
        <v>236704.68040500002</v>
      </c>
    </row>
    <row r="118" spans="1:27" ht="20.100000000000001" customHeight="1" x14ac:dyDescent="0.3">
      <c r="A118" s="12">
        <v>5</v>
      </c>
      <c r="B118" s="23" t="s">
        <v>220</v>
      </c>
      <c r="C118" s="1" t="s">
        <v>221</v>
      </c>
      <c r="D118" s="28" t="s">
        <v>106</v>
      </c>
      <c r="E118" s="47">
        <v>13492.21</v>
      </c>
      <c r="F118" s="29"/>
      <c r="G118" s="29">
        <f>E118*300%</f>
        <v>40476.629999999997</v>
      </c>
      <c r="H118" s="29">
        <f>E118*7.5%</f>
        <v>1011.9157499999999</v>
      </c>
      <c r="I118" s="29"/>
      <c r="J118" s="29">
        <f>E118*50%</f>
        <v>6746.1049999999996</v>
      </c>
      <c r="K118" s="25">
        <f>E118*350%</f>
        <v>47222.735000000001</v>
      </c>
      <c r="L118" s="29">
        <f>E118*100%</f>
        <v>13492.21</v>
      </c>
      <c r="M118" s="26">
        <f>100000</f>
        <v>100000</v>
      </c>
      <c r="N118" s="26"/>
      <c r="O118" s="29">
        <f>E118*10%</f>
        <v>1349.221</v>
      </c>
      <c r="P118" s="29">
        <v>10000</v>
      </c>
      <c r="Q118" s="29">
        <f>[4]Library!AB6</f>
        <v>25333.447479999999</v>
      </c>
      <c r="R118" s="25">
        <f>SUM(E118:Q118)</f>
        <v>259124.47422999999</v>
      </c>
      <c r="S118" s="25"/>
      <c r="T118" s="25">
        <v>20000</v>
      </c>
      <c r="U118" s="25">
        <f>50000</f>
        <v>50000</v>
      </c>
      <c r="V118" s="25"/>
      <c r="W118" s="29">
        <v>1484.37</v>
      </c>
      <c r="X118" s="25">
        <f>W118+V118+U118+T118+S118</f>
        <v>71484.37</v>
      </c>
      <c r="Y118" s="25">
        <v>187640.10423</v>
      </c>
      <c r="Z118" s="25">
        <f>R118-X118</f>
        <v>187640.10423</v>
      </c>
    </row>
    <row r="119" spans="1:27" ht="20.100000000000001" customHeight="1" x14ac:dyDescent="0.3">
      <c r="A119" s="12">
        <v>6</v>
      </c>
      <c r="B119" s="48" t="s">
        <v>222</v>
      </c>
      <c r="C119" s="1" t="s">
        <v>221</v>
      </c>
      <c r="D119" s="22" t="s">
        <v>111</v>
      </c>
      <c r="E119" s="29">
        <v>13112.16</v>
      </c>
      <c r="F119" s="29"/>
      <c r="G119" s="29">
        <f t="shared" ref="G119:G120" si="129">E119*300%</f>
        <v>39336.479999999996</v>
      </c>
      <c r="H119" s="29">
        <f t="shared" ref="H119:H120" si="130">E119*7.5%</f>
        <v>983.41199999999992</v>
      </c>
      <c r="I119" s="29"/>
      <c r="J119" s="29">
        <f t="shared" ref="J119:J120" si="131">E119*50%</f>
        <v>6556.08</v>
      </c>
      <c r="K119" s="29">
        <f t="shared" ref="K119:K120" si="132">E119*350%</f>
        <v>45892.56</v>
      </c>
      <c r="L119" s="29">
        <f t="shared" ref="L119:L120" si="133">E119*100%</f>
        <v>13112.16</v>
      </c>
      <c r="M119" s="26">
        <f>100000</f>
        <v>100000</v>
      </c>
      <c r="N119" s="26"/>
      <c r="O119" s="29">
        <f t="shared" ref="O119:O120" si="134">E119*10%</f>
        <v>1311.2160000000001</v>
      </c>
      <c r="P119" s="29">
        <v>10000</v>
      </c>
      <c r="Q119" s="29">
        <f>[4]Library!AB7</f>
        <v>24949.771000000001</v>
      </c>
      <c r="R119" s="25">
        <f t="shared" ref="R119:R120" si="135">SUM(E119:Q119)</f>
        <v>255253.83900000001</v>
      </c>
      <c r="S119" s="25"/>
      <c r="T119" s="25">
        <f>25000</f>
        <v>25000</v>
      </c>
      <c r="U119" s="25"/>
      <c r="V119" s="25"/>
      <c r="W119" s="29">
        <v>1484.37</v>
      </c>
      <c r="X119" s="25">
        <f t="shared" si="128"/>
        <v>26484.37</v>
      </c>
      <c r="Y119" s="25">
        <v>228769.46900000001</v>
      </c>
      <c r="Z119" s="25">
        <f t="shared" ref="Z119:Z120" si="136">R119-X119</f>
        <v>228769.46900000001</v>
      </c>
    </row>
    <row r="120" spans="1:27" ht="20.100000000000001" customHeight="1" x14ac:dyDescent="0.3">
      <c r="A120" s="12">
        <v>7</v>
      </c>
      <c r="B120" s="42" t="s">
        <v>223</v>
      </c>
      <c r="C120" s="1" t="s">
        <v>221</v>
      </c>
      <c r="D120" s="28" t="s">
        <v>116</v>
      </c>
      <c r="E120" s="47">
        <v>12351.94</v>
      </c>
      <c r="F120" s="29"/>
      <c r="G120" s="29">
        <f t="shared" si="129"/>
        <v>37055.82</v>
      </c>
      <c r="H120" s="29">
        <f t="shared" si="130"/>
        <v>926.39549999999997</v>
      </c>
      <c r="I120" s="29"/>
      <c r="J120" s="29">
        <f t="shared" si="131"/>
        <v>6175.97</v>
      </c>
      <c r="K120" s="25">
        <f t="shared" si="132"/>
        <v>43231.79</v>
      </c>
      <c r="L120" s="29">
        <f t="shared" si="133"/>
        <v>12351.94</v>
      </c>
      <c r="M120" s="26">
        <f t="shared" ref="M120" si="137">100000</f>
        <v>100000</v>
      </c>
      <c r="N120" s="26"/>
      <c r="O120" s="29">
        <f t="shared" si="134"/>
        <v>1235.1940000000002</v>
      </c>
      <c r="P120" s="29">
        <v>10000</v>
      </c>
      <c r="Q120" s="29">
        <f>[4]Library!AB8</f>
        <v>24566.195445000001</v>
      </c>
      <c r="R120" s="25">
        <f t="shared" si="135"/>
        <v>247895.24494499998</v>
      </c>
      <c r="S120" s="25"/>
      <c r="T120" s="25">
        <f>30000</f>
        <v>30000</v>
      </c>
      <c r="U120" s="25"/>
      <c r="V120" s="25"/>
      <c r="W120" s="29">
        <v>1484.37</v>
      </c>
      <c r="X120" s="25">
        <f t="shared" si="128"/>
        <v>31484.37</v>
      </c>
      <c r="Y120" s="25">
        <v>216410.87494499999</v>
      </c>
      <c r="Z120" s="25">
        <f t="shared" si="136"/>
        <v>216410.87494499999</v>
      </c>
    </row>
    <row r="121" spans="1:27" ht="20.100000000000001" customHeight="1" x14ac:dyDescent="0.6">
      <c r="A121" s="12"/>
      <c r="B121" s="49" t="s">
        <v>34</v>
      </c>
      <c r="C121" s="22">
        <v>7</v>
      </c>
      <c r="D121" s="12"/>
      <c r="E121" s="73">
        <f>SUM(E114:E120)</f>
        <v>206066.58000000002</v>
      </c>
      <c r="F121" s="73"/>
      <c r="G121" s="73">
        <f t="shared" ref="G121:M121" si="138">SUM(G114:G120)</f>
        <v>618199.73999999987</v>
      </c>
      <c r="H121" s="73">
        <f t="shared" si="138"/>
        <v>15454.993500000002</v>
      </c>
      <c r="I121" s="73">
        <f t="shared" si="138"/>
        <v>120366.57</v>
      </c>
      <c r="J121" s="73">
        <f t="shared" si="138"/>
        <v>103033.29000000001</v>
      </c>
      <c r="K121" s="73">
        <f t="shared" si="138"/>
        <v>721233.03</v>
      </c>
      <c r="L121" s="73">
        <f t="shared" si="138"/>
        <v>206066.58000000002</v>
      </c>
      <c r="M121" s="51">
        <f t="shared" si="138"/>
        <v>900000</v>
      </c>
      <c r="N121" s="51"/>
      <c r="O121" s="73">
        <f>SUM(O114:O120)</f>
        <v>20606.658000000003</v>
      </c>
      <c r="P121" s="73">
        <f>SUM(P114:P120)</f>
        <v>100000</v>
      </c>
      <c r="Q121" s="73">
        <f>SUM(Q114:Q120)</f>
        <v>156102.469105</v>
      </c>
      <c r="R121" s="73">
        <f>SUM(R114:R120)</f>
        <v>3167129.9106049999</v>
      </c>
      <c r="S121" s="73"/>
      <c r="T121" s="73">
        <f t="shared" ref="T121:Z121" si="139">SUM(T114:T120)</f>
        <v>295000</v>
      </c>
      <c r="U121" s="73">
        <f t="shared" si="139"/>
        <v>464583.33</v>
      </c>
      <c r="V121" s="73">
        <f t="shared" si="139"/>
        <v>1496.17</v>
      </c>
      <c r="W121" s="73">
        <f t="shared" si="139"/>
        <v>88197.589999999967</v>
      </c>
      <c r="X121" s="73">
        <f t="shared" si="139"/>
        <v>849277.09</v>
      </c>
      <c r="Y121" s="73">
        <f t="shared" si="139"/>
        <v>2317852.8206049995</v>
      </c>
      <c r="Z121" s="73">
        <f t="shared" si="139"/>
        <v>2317852.8206049995</v>
      </c>
      <c r="AA121" s="46"/>
    </row>
    <row r="122" spans="1:27" ht="20.100000000000001" customHeight="1" x14ac:dyDescent="0.3">
      <c r="A122" s="12"/>
      <c r="B122" s="52"/>
      <c r="C122" s="22"/>
      <c r="D122" s="12"/>
      <c r="E122" s="74"/>
      <c r="F122" s="17"/>
      <c r="G122" s="74"/>
      <c r="H122" s="74"/>
      <c r="I122" s="74"/>
      <c r="J122" s="74"/>
      <c r="K122" s="74"/>
      <c r="L122" s="74"/>
      <c r="M122" s="26"/>
      <c r="N122" s="26"/>
      <c r="O122" s="74"/>
      <c r="P122" s="74"/>
      <c r="Q122" s="74"/>
      <c r="R122" s="74"/>
      <c r="S122" s="74"/>
      <c r="T122" s="74"/>
      <c r="U122" s="74"/>
      <c r="V122" s="74"/>
      <c r="W122" s="74"/>
      <c r="X122" s="74"/>
      <c r="Y122" s="74"/>
      <c r="Z122" s="74"/>
    </row>
    <row r="123" spans="1:27" ht="20.100000000000001" customHeight="1" x14ac:dyDescent="0.3">
      <c r="A123" s="12"/>
      <c r="B123" s="49" t="s">
        <v>224</v>
      </c>
      <c r="C123" s="15"/>
      <c r="D123" s="15"/>
      <c r="E123" s="68"/>
      <c r="F123" s="68"/>
      <c r="G123" s="68"/>
      <c r="H123" s="68"/>
      <c r="I123" s="68"/>
      <c r="J123" s="68"/>
      <c r="K123" s="68"/>
      <c r="L123" s="68"/>
      <c r="M123" s="26"/>
      <c r="N123" s="26"/>
      <c r="O123" s="68"/>
      <c r="P123" s="68"/>
      <c r="Q123" s="68"/>
      <c r="R123" s="40"/>
      <c r="S123" s="40"/>
      <c r="T123" s="40"/>
      <c r="U123" s="40"/>
      <c r="V123" s="40"/>
      <c r="W123" s="68"/>
      <c r="X123" s="25"/>
      <c r="Y123" s="25"/>
      <c r="Z123" s="25"/>
    </row>
    <row r="124" spans="1:27" ht="20.100000000000001" customHeight="1" x14ac:dyDescent="0.3">
      <c r="A124" s="12">
        <v>1</v>
      </c>
      <c r="B124" s="41" t="s">
        <v>225</v>
      </c>
      <c r="C124" s="24" t="s">
        <v>226</v>
      </c>
      <c r="D124" s="28" t="s">
        <v>43</v>
      </c>
      <c r="E124" s="29">
        <v>81740.02</v>
      </c>
      <c r="F124" s="29"/>
      <c r="G124" s="29">
        <f t="shared" ref="G124:G134" si="140">E124*300%</f>
        <v>245220.06</v>
      </c>
      <c r="H124" s="29">
        <f t="shared" ref="H124:H134" si="141">E124*7.5%</f>
        <v>6130.5015000000003</v>
      </c>
      <c r="I124" s="29">
        <f>80244.38</f>
        <v>80244.38</v>
      </c>
      <c r="J124" s="29">
        <f t="shared" ref="J124:J134" si="142">E124*50%</f>
        <v>40870.01</v>
      </c>
      <c r="K124" s="29">
        <f t="shared" ref="K124:K134" si="143">E124*350%</f>
        <v>286090.07</v>
      </c>
      <c r="L124" s="29">
        <f t="shared" ref="L124:L134" si="144">E124*100%</f>
        <v>81740.02</v>
      </c>
      <c r="M124" s="26"/>
      <c r="N124" s="26">
        <f>100000</f>
        <v>100000</v>
      </c>
      <c r="O124" s="29">
        <f t="shared" ref="O124:O134" si="145">E124*10%</f>
        <v>8174.0020000000004</v>
      </c>
      <c r="P124" s="29">
        <v>20000</v>
      </c>
      <c r="Q124" s="29">
        <v>100000</v>
      </c>
      <c r="R124" s="25">
        <f t="shared" ref="R124:R132" si="146">SUM(E124:Q124)</f>
        <v>1050209.0635000002</v>
      </c>
      <c r="S124" s="25"/>
      <c r="T124" s="25">
        <f>300000</f>
        <v>300000</v>
      </c>
      <c r="U124" s="25">
        <f>227777.78</f>
        <v>227777.78</v>
      </c>
      <c r="V124" s="25">
        <f>'[2]April 2022'!$H$21</f>
        <v>2043.5005000000001</v>
      </c>
      <c r="W124" s="29">
        <f>52776.63</f>
        <v>52776.63</v>
      </c>
      <c r="X124" s="25">
        <f>W124+V124+U124+T124+S124</f>
        <v>582597.9105</v>
      </c>
      <c r="Y124" s="25">
        <v>467611.15300000017</v>
      </c>
      <c r="Z124" s="25">
        <f t="shared" ref="Z124:Z134" si="147">R124-X124</f>
        <v>467611.15300000017</v>
      </c>
    </row>
    <row r="125" spans="1:27" ht="20.100000000000001" customHeight="1" x14ac:dyDescent="0.3">
      <c r="A125" s="12">
        <v>2</v>
      </c>
      <c r="B125" s="41" t="s">
        <v>227</v>
      </c>
      <c r="C125" s="24" t="s">
        <v>228</v>
      </c>
      <c r="D125" s="28" t="s">
        <v>229</v>
      </c>
      <c r="E125" s="29">
        <v>42653.17</v>
      </c>
      <c r="F125" s="29"/>
      <c r="G125" s="29">
        <f t="shared" si="140"/>
        <v>127959.51</v>
      </c>
      <c r="H125" s="29">
        <f t="shared" si="141"/>
        <v>3198.9877499999998</v>
      </c>
      <c r="I125" s="29">
        <v>40122.19</v>
      </c>
      <c r="J125" s="29">
        <f t="shared" si="142"/>
        <v>21326.584999999999</v>
      </c>
      <c r="K125" s="29">
        <f t="shared" si="143"/>
        <v>149286.095</v>
      </c>
      <c r="L125" s="29">
        <f t="shared" si="144"/>
        <v>42653.17</v>
      </c>
      <c r="M125" s="26"/>
      <c r="N125" s="26">
        <f>90000</f>
        <v>90000</v>
      </c>
      <c r="O125" s="29">
        <f t="shared" si="145"/>
        <v>4265.317</v>
      </c>
      <c r="P125" s="29">
        <v>20000</v>
      </c>
      <c r="Q125" s="29">
        <f>100000</f>
        <v>100000</v>
      </c>
      <c r="R125" s="25">
        <f t="shared" si="146"/>
        <v>641465.02474999998</v>
      </c>
      <c r="S125" s="25"/>
      <c r="T125" s="25">
        <f>100000</f>
        <v>100000</v>
      </c>
      <c r="U125" s="25">
        <f>0</f>
        <v>0</v>
      </c>
      <c r="V125" s="25"/>
      <c r="W125" s="29">
        <f>21618.09</f>
        <v>21618.09</v>
      </c>
      <c r="X125" s="25">
        <f t="shared" ref="X125:X134" si="148">W125+V125+U125+T125+S125</f>
        <v>121618.09</v>
      </c>
      <c r="Y125" s="25">
        <v>519846.93475000001</v>
      </c>
      <c r="Z125" s="25">
        <f t="shared" si="147"/>
        <v>519846.93475000001</v>
      </c>
    </row>
    <row r="126" spans="1:27" ht="20.100000000000001" customHeight="1" x14ac:dyDescent="0.3">
      <c r="A126" s="12">
        <v>3</v>
      </c>
      <c r="B126" s="41" t="s">
        <v>230</v>
      </c>
      <c r="C126" s="24" t="s">
        <v>231</v>
      </c>
      <c r="D126" s="28" t="s">
        <v>57</v>
      </c>
      <c r="E126" s="39">
        <v>33507.5</v>
      </c>
      <c r="F126" s="29"/>
      <c r="G126" s="29">
        <f t="shared" si="140"/>
        <v>100522.5</v>
      </c>
      <c r="H126" s="29">
        <f t="shared" si="141"/>
        <v>2513.0625</v>
      </c>
      <c r="I126" s="29">
        <v>40122.19</v>
      </c>
      <c r="J126" s="29">
        <f t="shared" si="142"/>
        <v>16753.75</v>
      </c>
      <c r="K126" s="25">
        <f t="shared" si="143"/>
        <v>117276.25</v>
      </c>
      <c r="L126" s="29">
        <f t="shared" si="144"/>
        <v>33507.5</v>
      </c>
      <c r="M126" s="26"/>
      <c r="N126" s="26">
        <f>80000</f>
        <v>80000</v>
      </c>
      <c r="O126" s="29">
        <f t="shared" si="145"/>
        <v>3350.75</v>
      </c>
      <c r="P126" s="29">
        <v>20000</v>
      </c>
      <c r="Q126" s="29">
        <v>0</v>
      </c>
      <c r="R126" s="25">
        <f t="shared" si="146"/>
        <v>447553.5025</v>
      </c>
      <c r="S126" s="25"/>
      <c r="T126" s="25">
        <f>100000</f>
        <v>100000</v>
      </c>
      <c r="U126" s="25">
        <f>0</f>
        <v>0</v>
      </c>
      <c r="V126" s="25">
        <f>'[2]April 2022'!$H$20</f>
        <v>837.6875</v>
      </c>
      <c r="W126" s="29">
        <v>15548.33</v>
      </c>
      <c r="X126" s="25">
        <f t="shared" si="148"/>
        <v>116386.0175</v>
      </c>
      <c r="Y126" s="25">
        <v>331167.48499999999</v>
      </c>
      <c r="Z126" s="25">
        <f t="shared" si="147"/>
        <v>331167.48499999999</v>
      </c>
    </row>
    <row r="127" spans="1:27" ht="20.100000000000001" customHeight="1" x14ac:dyDescent="0.3">
      <c r="A127" s="12">
        <v>4</v>
      </c>
      <c r="B127" s="53" t="s">
        <v>232</v>
      </c>
      <c r="C127" s="24" t="s">
        <v>231</v>
      </c>
      <c r="D127" s="28" t="s">
        <v>57</v>
      </c>
      <c r="E127" s="29">
        <v>33507.5</v>
      </c>
      <c r="F127" s="29"/>
      <c r="G127" s="29">
        <f>E127*300%</f>
        <v>100522.5</v>
      </c>
      <c r="H127" s="29">
        <f>E127*7.5%</f>
        <v>2513.0625</v>
      </c>
      <c r="I127" s="29">
        <f>40122.19</f>
        <v>40122.19</v>
      </c>
      <c r="J127" s="29">
        <f>E127*50%</f>
        <v>16753.75</v>
      </c>
      <c r="K127" s="25">
        <f>E127*350%</f>
        <v>117276.25</v>
      </c>
      <c r="L127" s="29">
        <f>E127*100%</f>
        <v>33507.5</v>
      </c>
      <c r="M127" s="26"/>
      <c r="N127" s="26">
        <f t="shared" si="9"/>
        <v>80000</v>
      </c>
      <c r="O127" s="29">
        <f>E127*10%</f>
        <v>3350.75</v>
      </c>
      <c r="P127" s="29">
        <v>20000</v>
      </c>
      <c r="Q127" s="29">
        <f>100000</f>
        <v>100000</v>
      </c>
      <c r="R127" s="25">
        <f>SUM(E127:Q127)</f>
        <v>547553.50249999994</v>
      </c>
      <c r="S127" s="25"/>
      <c r="T127" s="25">
        <f>180000</f>
        <v>180000</v>
      </c>
      <c r="U127" s="25"/>
      <c r="V127" s="25">
        <f>'[2]April 2022'!$H$22</f>
        <v>837.6875</v>
      </c>
      <c r="W127" s="25">
        <f>15548.33</f>
        <v>15548.33</v>
      </c>
      <c r="X127" s="25">
        <f>W127+V127+U127+T127+S127</f>
        <v>196386.01750000002</v>
      </c>
      <c r="Y127" s="25">
        <v>351167.48499999993</v>
      </c>
      <c r="Z127" s="25">
        <f>R127-X127</f>
        <v>351167.48499999993</v>
      </c>
    </row>
    <row r="128" spans="1:27" ht="20.100000000000001" customHeight="1" x14ac:dyDescent="0.3">
      <c r="A128" s="12">
        <v>5</v>
      </c>
      <c r="B128" s="66" t="s">
        <v>233</v>
      </c>
      <c r="C128" s="24" t="s">
        <v>231</v>
      </c>
      <c r="D128" s="28" t="s">
        <v>234</v>
      </c>
      <c r="E128" s="39">
        <v>31018.84</v>
      </c>
      <c r="F128" s="29"/>
      <c r="G128" s="29">
        <f t="shared" ref="G128" si="149">E128*300%</f>
        <v>93056.52</v>
      </c>
      <c r="H128" s="29">
        <f t="shared" ref="H128" si="150">E128*7.5%</f>
        <v>2326.413</v>
      </c>
      <c r="I128" s="29">
        <v>40122.19</v>
      </c>
      <c r="J128" s="29">
        <f t="shared" ref="J128" si="151">E128*50%</f>
        <v>15509.42</v>
      </c>
      <c r="K128" s="25">
        <f t="shared" ref="K128" si="152">E128*350%</f>
        <v>108565.94</v>
      </c>
      <c r="L128" s="29">
        <f t="shared" ref="L128" si="153">E128*100%</f>
        <v>31018.84</v>
      </c>
      <c r="M128" s="26"/>
      <c r="N128" s="26">
        <f>80000</f>
        <v>80000</v>
      </c>
      <c r="O128" s="29">
        <f t="shared" ref="O128" si="154">E128*10%</f>
        <v>3101.884</v>
      </c>
      <c r="P128" s="29">
        <v>20000</v>
      </c>
      <c r="Q128" s="29">
        <v>0</v>
      </c>
      <c r="R128" s="25">
        <f>SUM(E128:Q128)</f>
        <v>424720.04700000002</v>
      </c>
      <c r="S128" s="25"/>
      <c r="T128" s="25">
        <f>100000</f>
        <v>100000</v>
      </c>
      <c r="U128" s="25"/>
      <c r="V128" s="25"/>
      <c r="W128" s="29">
        <f>(15548.33)</f>
        <v>15548.33</v>
      </c>
      <c r="X128" s="25">
        <f t="shared" ref="X128" si="155">W128+V128+U128+T128+S128</f>
        <v>115548.33</v>
      </c>
      <c r="Y128" s="25">
        <v>309171.717</v>
      </c>
      <c r="Z128" s="25">
        <f t="shared" ref="Z128" si="156">R128-X128</f>
        <v>309171.717</v>
      </c>
    </row>
    <row r="129" spans="1:27" ht="20.100000000000001" customHeight="1" x14ac:dyDescent="0.3">
      <c r="A129" s="12">
        <v>6</v>
      </c>
      <c r="B129" s="41" t="s">
        <v>235</v>
      </c>
      <c r="C129" s="24" t="s">
        <v>236</v>
      </c>
      <c r="D129" s="28" t="s">
        <v>144</v>
      </c>
      <c r="E129" s="29">
        <v>25523.45</v>
      </c>
      <c r="F129" s="29"/>
      <c r="G129" s="29">
        <f t="shared" si="140"/>
        <v>76570.350000000006</v>
      </c>
      <c r="H129" s="29">
        <f t="shared" si="141"/>
        <v>1914.25875</v>
      </c>
      <c r="I129" s="29">
        <v>0</v>
      </c>
      <c r="J129" s="29">
        <f t="shared" si="142"/>
        <v>12761.725</v>
      </c>
      <c r="K129" s="25">
        <f t="shared" si="143"/>
        <v>89332.074999999997</v>
      </c>
      <c r="L129" s="29">
        <f t="shared" si="144"/>
        <v>25523.45</v>
      </c>
      <c r="M129" s="26"/>
      <c r="N129" s="26">
        <f>70000</f>
        <v>70000</v>
      </c>
      <c r="O129" s="29">
        <f t="shared" si="145"/>
        <v>2552.3450000000003</v>
      </c>
      <c r="P129" s="29">
        <v>15000</v>
      </c>
      <c r="Q129" s="29">
        <v>0</v>
      </c>
      <c r="R129" s="25">
        <f t="shared" si="146"/>
        <v>319177.65375</v>
      </c>
      <c r="S129" s="25"/>
      <c r="T129" s="25">
        <f>35000</f>
        <v>35000</v>
      </c>
      <c r="U129" s="25">
        <f>50000</f>
        <v>50000</v>
      </c>
      <c r="V129" s="25"/>
      <c r="W129" s="29">
        <f>7709.76</f>
        <v>7709.76</v>
      </c>
      <c r="X129" s="25">
        <f t="shared" si="148"/>
        <v>92709.760000000009</v>
      </c>
      <c r="Y129" s="25">
        <v>226467.89374999999</v>
      </c>
      <c r="Z129" s="25">
        <f t="shared" si="147"/>
        <v>226467.89374999999</v>
      </c>
    </row>
    <row r="130" spans="1:27" ht="20.100000000000001" customHeight="1" x14ac:dyDescent="0.3">
      <c r="A130" s="12">
        <v>7</v>
      </c>
      <c r="B130" s="41" t="s">
        <v>237</v>
      </c>
      <c r="C130" s="24" t="s">
        <v>238</v>
      </c>
      <c r="D130" s="28" t="s">
        <v>78</v>
      </c>
      <c r="E130" s="29">
        <v>24741.26</v>
      </c>
      <c r="F130" s="29"/>
      <c r="G130" s="29">
        <f t="shared" si="140"/>
        <v>74223.78</v>
      </c>
      <c r="H130" s="29">
        <f t="shared" si="141"/>
        <v>1855.5944999999997</v>
      </c>
      <c r="I130" s="29"/>
      <c r="J130" s="29">
        <f t="shared" si="142"/>
        <v>12370.63</v>
      </c>
      <c r="K130" s="25">
        <f t="shared" si="143"/>
        <v>86594.409999999989</v>
      </c>
      <c r="L130" s="29">
        <f t="shared" si="144"/>
        <v>24741.26</v>
      </c>
      <c r="M130" s="26"/>
      <c r="N130" s="26">
        <f t="shared" ref="N130:N132" si="157">70000</f>
        <v>70000</v>
      </c>
      <c r="O130" s="29">
        <f t="shared" si="145"/>
        <v>2474.1260000000002</v>
      </c>
      <c r="P130" s="29">
        <v>15000</v>
      </c>
      <c r="Q130" s="29">
        <f>30000</f>
        <v>30000</v>
      </c>
      <c r="R130" s="25">
        <f t="shared" si="146"/>
        <v>342001.06049999996</v>
      </c>
      <c r="S130" s="25"/>
      <c r="T130" s="25">
        <f>50000</f>
        <v>50000</v>
      </c>
      <c r="U130" s="25">
        <f>51500</f>
        <v>51500</v>
      </c>
      <c r="V130" s="25">
        <f>'[2]April 2022'!$H$48</f>
        <v>618.53150000000005</v>
      </c>
      <c r="W130" s="29">
        <f>7709.76</f>
        <v>7709.76</v>
      </c>
      <c r="X130" s="25">
        <f t="shared" si="148"/>
        <v>109828.29149999999</v>
      </c>
      <c r="Y130" s="25">
        <v>283672.76899999997</v>
      </c>
      <c r="Z130" s="25">
        <f t="shared" si="147"/>
        <v>232172.76899999997</v>
      </c>
    </row>
    <row r="131" spans="1:27" ht="20.100000000000001" customHeight="1" x14ac:dyDescent="0.3">
      <c r="A131" s="12">
        <v>8</v>
      </c>
      <c r="B131" s="41" t="s">
        <v>239</v>
      </c>
      <c r="C131" s="24" t="s">
        <v>240</v>
      </c>
      <c r="D131" s="28" t="s">
        <v>78</v>
      </c>
      <c r="E131" s="29">
        <v>24741.26</v>
      </c>
      <c r="F131" s="29"/>
      <c r="G131" s="29">
        <f t="shared" si="140"/>
        <v>74223.78</v>
      </c>
      <c r="H131" s="29">
        <f t="shared" si="141"/>
        <v>1855.5944999999997</v>
      </c>
      <c r="I131" s="29"/>
      <c r="J131" s="29">
        <f t="shared" si="142"/>
        <v>12370.63</v>
      </c>
      <c r="K131" s="25">
        <f t="shared" si="143"/>
        <v>86594.409999999989</v>
      </c>
      <c r="L131" s="29">
        <f t="shared" si="144"/>
        <v>24741.26</v>
      </c>
      <c r="M131" s="26"/>
      <c r="N131" s="26">
        <f t="shared" si="157"/>
        <v>70000</v>
      </c>
      <c r="O131" s="29">
        <f t="shared" si="145"/>
        <v>2474.1260000000002</v>
      </c>
      <c r="P131" s="29">
        <v>15000</v>
      </c>
      <c r="Q131" s="29"/>
      <c r="R131" s="25">
        <f t="shared" si="146"/>
        <v>312001.06049999996</v>
      </c>
      <c r="S131" s="25"/>
      <c r="T131" s="25">
        <f>60000</f>
        <v>60000</v>
      </c>
      <c r="U131" s="25">
        <f>55000</f>
        <v>55000</v>
      </c>
      <c r="V131" s="25">
        <f>'[2]April 2022'!$H$24</f>
        <v>618.53150000000005</v>
      </c>
      <c r="W131" s="29">
        <f>7709.76</f>
        <v>7709.76</v>
      </c>
      <c r="X131" s="25">
        <f t="shared" si="148"/>
        <v>123328.29149999999</v>
      </c>
      <c r="Y131" s="25">
        <v>178117.20899999997</v>
      </c>
      <c r="Z131" s="25">
        <f t="shared" si="147"/>
        <v>188672.76899999997</v>
      </c>
    </row>
    <row r="132" spans="1:27" ht="20.100000000000001" customHeight="1" x14ac:dyDescent="0.3">
      <c r="A132" s="12">
        <v>9</v>
      </c>
      <c r="B132" s="42" t="s">
        <v>241</v>
      </c>
      <c r="C132" s="24" t="s">
        <v>236</v>
      </c>
      <c r="D132" s="28" t="s">
        <v>242</v>
      </c>
      <c r="E132" s="29">
        <v>23891.119999999999</v>
      </c>
      <c r="F132" s="29"/>
      <c r="G132" s="29">
        <f t="shared" si="140"/>
        <v>71673.36</v>
      </c>
      <c r="H132" s="29">
        <f t="shared" si="141"/>
        <v>1791.8339999999998</v>
      </c>
      <c r="I132" s="29"/>
      <c r="J132" s="29">
        <f t="shared" si="142"/>
        <v>11945.56</v>
      </c>
      <c r="K132" s="25">
        <f t="shared" si="143"/>
        <v>83618.92</v>
      </c>
      <c r="L132" s="29">
        <f t="shared" si="144"/>
        <v>23891.119999999999</v>
      </c>
      <c r="M132" s="26"/>
      <c r="N132" s="26">
        <f t="shared" si="157"/>
        <v>70000</v>
      </c>
      <c r="O132" s="29">
        <f t="shared" si="145"/>
        <v>2389.1120000000001</v>
      </c>
      <c r="P132" s="29">
        <v>15000</v>
      </c>
      <c r="Q132" s="29"/>
      <c r="R132" s="25">
        <f t="shared" si="146"/>
        <v>304201.02600000001</v>
      </c>
      <c r="S132" s="25"/>
      <c r="T132" s="25">
        <f>10000</f>
        <v>10000</v>
      </c>
      <c r="U132" s="25"/>
      <c r="V132" s="25"/>
      <c r="W132" s="29">
        <f>7709.76</f>
        <v>7709.76</v>
      </c>
      <c r="X132" s="25">
        <f t="shared" si="148"/>
        <v>17709.760000000002</v>
      </c>
      <c r="Y132" s="25">
        <v>76491.266000000003</v>
      </c>
      <c r="Z132" s="25">
        <f t="shared" si="147"/>
        <v>286491.266</v>
      </c>
    </row>
    <row r="133" spans="1:27" ht="20.100000000000001" customHeight="1" x14ac:dyDescent="0.3">
      <c r="A133" s="12">
        <v>10</v>
      </c>
      <c r="B133" s="23" t="s">
        <v>243</v>
      </c>
      <c r="C133" s="24" t="s">
        <v>244</v>
      </c>
      <c r="D133" s="22" t="s">
        <v>101</v>
      </c>
      <c r="E133" s="39">
        <f>14736.14</f>
        <v>14736.14</v>
      </c>
      <c r="F133" s="39"/>
      <c r="G133" s="39">
        <f t="shared" si="140"/>
        <v>44208.42</v>
      </c>
      <c r="H133" s="39">
        <f t="shared" si="141"/>
        <v>1105.2104999999999</v>
      </c>
      <c r="I133" s="39"/>
      <c r="J133" s="39">
        <f t="shared" si="142"/>
        <v>7368.07</v>
      </c>
      <c r="K133" s="39">
        <f t="shared" si="143"/>
        <v>51576.49</v>
      </c>
      <c r="L133" s="39">
        <f t="shared" si="144"/>
        <v>14736.14</v>
      </c>
      <c r="M133" s="26"/>
      <c r="N133" s="26">
        <f>60000</f>
        <v>60000</v>
      </c>
      <c r="O133" s="39">
        <f t="shared" si="145"/>
        <v>1473.614</v>
      </c>
      <c r="P133" s="39">
        <v>10000</v>
      </c>
      <c r="Q133" s="39"/>
      <c r="R133" s="25">
        <f>SUM(E133:Q133)</f>
        <v>205204.0845</v>
      </c>
      <c r="S133" s="25"/>
      <c r="T133" s="58">
        <v>15000</v>
      </c>
      <c r="U133" s="58">
        <f>25000+80000</f>
        <v>105000</v>
      </c>
      <c r="V133" s="58"/>
      <c r="W133" s="29">
        <v>3369.51</v>
      </c>
      <c r="X133" s="25">
        <f>W133+V133+U133+T133</f>
        <v>123369.51</v>
      </c>
      <c r="Y133" s="25"/>
      <c r="Z133" s="25">
        <f>R133-X133</f>
        <v>81834.574500000002</v>
      </c>
    </row>
    <row r="134" spans="1:27" ht="20.100000000000001" customHeight="1" x14ac:dyDescent="0.3">
      <c r="A134" s="12">
        <v>11</v>
      </c>
      <c r="B134" s="42" t="s">
        <v>245</v>
      </c>
      <c r="C134" s="24" t="s">
        <v>246</v>
      </c>
      <c r="D134" s="28" t="s">
        <v>116</v>
      </c>
      <c r="E134" s="39">
        <v>12351.94</v>
      </c>
      <c r="F134" s="39">
        <f>53329.05</f>
        <v>53329.05</v>
      </c>
      <c r="G134" s="39">
        <f t="shared" si="140"/>
        <v>37055.82</v>
      </c>
      <c r="H134" s="39">
        <f t="shared" si="141"/>
        <v>926.39549999999997</v>
      </c>
      <c r="I134" s="39"/>
      <c r="J134" s="39">
        <f t="shared" si="142"/>
        <v>6175.97</v>
      </c>
      <c r="K134" s="39">
        <f t="shared" si="143"/>
        <v>43231.79</v>
      </c>
      <c r="L134" s="39">
        <f t="shared" si="144"/>
        <v>12351.94</v>
      </c>
      <c r="M134" s="26"/>
      <c r="N134" s="26">
        <f>50000</f>
        <v>50000</v>
      </c>
      <c r="O134" s="39">
        <f t="shared" si="145"/>
        <v>1235.1940000000002</v>
      </c>
      <c r="P134" s="39">
        <v>10000</v>
      </c>
      <c r="Q134" s="39"/>
      <c r="R134" s="25">
        <f t="shared" ref="R134" si="158">Q134+P134+O134+N134+M134+L134+K134+J134+I134+H134+G134+F134+E134</f>
        <v>226658.09950000001</v>
      </c>
      <c r="S134" s="25"/>
      <c r="T134" s="25">
        <f>115000</f>
        <v>115000</v>
      </c>
      <c r="U134" s="25">
        <f>10000</f>
        <v>10000</v>
      </c>
      <c r="V134" s="25">
        <f>0</f>
        <v>0</v>
      </c>
      <c r="W134" s="29">
        <v>1484.37</v>
      </c>
      <c r="X134" s="25">
        <f t="shared" si="148"/>
        <v>126484.37</v>
      </c>
      <c r="Y134" s="25"/>
      <c r="Z134" s="25">
        <f t="shared" si="147"/>
        <v>100173.72950000002</v>
      </c>
    </row>
    <row r="135" spans="1:27" ht="20.100000000000001" customHeight="1" x14ac:dyDescent="0.6">
      <c r="A135" s="12"/>
      <c r="B135" s="49" t="s">
        <v>34</v>
      </c>
      <c r="C135" s="72" t="s">
        <v>247</v>
      </c>
      <c r="D135" s="28"/>
      <c r="E135" s="68">
        <f t="shared" ref="E135:L135" si="159">SUM(E124:E134)</f>
        <v>348412.2</v>
      </c>
      <c r="F135" s="68">
        <f t="shared" si="159"/>
        <v>53329.05</v>
      </c>
      <c r="G135" s="68">
        <f t="shared" si="159"/>
        <v>1045236.6000000001</v>
      </c>
      <c r="H135" s="68">
        <f t="shared" si="159"/>
        <v>26130.914999999997</v>
      </c>
      <c r="I135" s="68">
        <f t="shared" si="159"/>
        <v>240733.14</v>
      </c>
      <c r="J135" s="68">
        <f t="shared" si="159"/>
        <v>174206.1</v>
      </c>
      <c r="K135" s="40">
        <f t="shared" si="159"/>
        <v>1219442.7</v>
      </c>
      <c r="L135" s="68">
        <f t="shared" si="159"/>
        <v>348412.2</v>
      </c>
      <c r="M135" s="51"/>
      <c r="N135" s="51">
        <f>SUM(N124:N134)</f>
        <v>820000</v>
      </c>
      <c r="O135" s="68">
        <f>SUM(O124:O134)</f>
        <v>34841.220000000008</v>
      </c>
      <c r="P135" s="68">
        <f>SUM(P124:P134)</f>
        <v>180000</v>
      </c>
      <c r="Q135" s="68">
        <f>SUM(Q124:Q134)</f>
        <v>330000</v>
      </c>
      <c r="R135" s="75">
        <f>SUM(R124:R134)</f>
        <v>4820744.125</v>
      </c>
      <c r="S135" s="75"/>
      <c r="T135" s="75">
        <f t="shared" ref="T135:Z135" si="160">SUM(T124:T134)</f>
        <v>1065000</v>
      </c>
      <c r="U135" s="75">
        <f t="shared" si="160"/>
        <v>499277.78</v>
      </c>
      <c r="V135" s="75">
        <f t="shared" si="160"/>
        <v>4955.9385000000002</v>
      </c>
      <c r="W135" s="71">
        <f t="shared" si="160"/>
        <v>156732.63000000003</v>
      </c>
      <c r="X135" s="75">
        <f t="shared" si="160"/>
        <v>1725966.3485000003</v>
      </c>
      <c r="Y135" s="75">
        <f t="shared" si="160"/>
        <v>2743713.9124999996</v>
      </c>
      <c r="Z135" s="75">
        <f t="shared" si="160"/>
        <v>3094777.7764999997</v>
      </c>
      <c r="AA135" s="46"/>
    </row>
    <row r="136" spans="1:27" ht="20.100000000000001" customHeight="1" x14ac:dyDescent="0.3">
      <c r="A136" s="12"/>
      <c r="B136" s="52"/>
      <c r="C136" s="72"/>
      <c r="D136" s="28"/>
      <c r="E136" s="68"/>
      <c r="F136" s="68"/>
      <c r="G136" s="68"/>
      <c r="H136" s="68"/>
      <c r="I136" s="68"/>
      <c r="J136" s="68"/>
      <c r="K136" s="40"/>
      <c r="L136" s="68"/>
      <c r="M136" s="26"/>
      <c r="N136" s="26"/>
      <c r="O136" s="68"/>
      <c r="P136" s="68"/>
      <c r="Q136" s="68"/>
      <c r="R136" s="40"/>
      <c r="S136" s="40"/>
      <c r="T136" s="40"/>
      <c r="U136" s="40"/>
      <c r="V136" s="40"/>
      <c r="W136" s="68"/>
      <c r="X136" s="40"/>
      <c r="Y136" s="40"/>
      <c r="Z136" s="40"/>
    </row>
    <row r="137" spans="1:27" ht="20.100000000000001" customHeight="1" x14ac:dyDescent="0.3">
      <c r="A137" s="12"/>
      <c r="B137" s="49" t="s">
        <v>248</v>
      </c>
      <c r="C137" s="24"/>
      <c r="D137" s="28"/>
      <c r="E137" s="29"/>
      <c r="F137" s="29"/>
      <c r="G137" s="29"/>
      <c r="H137" s="29"/>
      <c r="I137" s="29"/>
      <c r="J137" s="29"/>
      <c r="K137" s="25"/>
      <c r="L137" s="29"/>
      <c r="M137" s="26"/>
      <c r="N137" s="26"/>
      <c r="O137" s="29"/>
      <c r="P137" s="29"/>
      <c r="Q137" s="29"/>
      <c r="R137" s="25"/>
      <c r="S137" s="25"/>
      <c r="T137" s="25"/>
      <c r="U137" s="25"/>
      <c r="V137" s="25"/>
      <c r="W137" s="29"/>
      <c r="X137" s="25"/>
      <c r="Y137" s="25"/>
      <c r="Z137" s="25"/>
    </row>
    <row r="138" spans="1:27" ht="20.100000000000001" customHeight="1" x14ac:dyDescent="0.3">
      <c r="A138" s="12">
        <v>1</v>
      </c>
      <c r="B138" s="41" t="s">
        <v>249</v>
      </c>
      <c r="C138" s="24" t="s">
        <v>250</v>
      </c>
      <c r="D138" s="28" t="s">
        <v>43</v>
      </c>
      <c r="E138" s="29">
        <v>81740.02</v>
      </c>
      <c r="F138" s="29"/>
      <c r="G138" s="29">
        <f>E138*300%</f>
        <v>245220.06</v>
      </c>
      <c r="H138" s="29">
        <f>E138*7.5%</f>
        <v>6130.5015000000003</v>
      </c>
      <c r="I138" s="29">
        <v>80244.38</v>
      </c>
      <c r="J138" s="29">
        <f>E138*50%</f>
        <v>40870.01</v>
      </c>
      <c r="K138" s="29">
        <f>E138*350%</f>
        <v>286090.07</v>
      </c>
      <c r="L138" s="29">
        <f>E138*100%</f>
        <v>81740.02</v>
      </c>
      <c r="M138" s="26"/>
      <c r="N138" s="26">
        <f>100000</f>
        <v>100000</v>
      </c>
      <c r="O138" s="29">
        <f>E138*10%</f>
        <v>8174.0020000000004</v>
      </c>
      <c r="P138" s="29">
        <v>20000</v>
      </c>
      <c r="Q138" s="29">
        <v>0</v>
      </c>
      <c r="R138" s="25">
        <f>SUM(E138:Q138)</f>
        <v>950209.06350000005</v>
      </c>
      <c r="S138" s="25"/>
      <c r="T138" s="25">
        <v>50000</v>
      </c>
      <c r="U138" s="25">
        <f>320000</f>
        <v>320000</v>
      </c>
      <c r="V138" s="25">
        <f>'[2]April 2022'!$H$29</f>
        <v>2043.5005000000001</v>
      </c>
      <c r="W138" s="29">
        <v>52776.63</v>
      </c>
      <c r="X138" s="25">
        <f>W138+V138+U138+T138+S138</f>
        <v>424820.13049999997</v>
      </c>
      <c r="Y138" s="25">
        <v>525388.93300000008</v>
      </c>
      <c r="Z138" s="25">
        <f t="shared" ref="Z138:Z194" si="161">R138-X138</f>
        <v>525388.93300000008</v>
      </c>
    </row>
    <row r="139" spans="1:27" ht="20.100000000000001" customHeight="1" x14ac:dyDescent="0.3">
      <c r="A139" s="12">
        <v>2</v>
      </c>
      <c r="B139" s="41" t="s">
        <v>251</v>
      </c>
      <c r="C139" s="24" t="s">
        <v>252</v>
      </c>
      <c r="D139" s="28" t="s">
        <v>43</v>
      </c>
      <c r="E139" s="29">
        <v>81740.02</v>
      </c>
      <c r="F139" s="29"/>
      <c r="G139" s="29">
        <f>E139*300%</f>
        <v>245220.06</v>
      </c>
      <c r="H139" s="29">
        <f>E139*7.5%</f>
        <v>6130.5015000000003</v>
      </c>
      <c r="I139" s="29">
        <f>80244.38</f>
        <v>80244.38</v>
      </c>
      <c r="J139" s="29">
        <f>E139*50%</f>
        <v>40870.01</v>
      </c>
      <c r="K139" s="29">
        <f>E139*350%</f>
        <v>286090.07</v>
      </c>
      <c r="L139" s="29">
        <f>E139*100%</f>
        <v>81740.02</v>
      </c>
      <c r="M139" s="26"/>
      <c r="N139" s="26">
        <f>100000</f>
        <v>100000</v>
      </c>
      <c r="O139" s="29">
        <f>E139*10%</f>
        <v>8174.0020000000004</v>
      </c>
      <c r="P139" s="29">
        <v>20000</v>
      </c>
      <c r="Q139" s="29">
        <v>0</v>
      </c>
      <c r="R139" s="25">
        <f>SUM(E139:Q139)</f>
        <v>950209.06350000005</v>
      </c>
      <c r="S139" s="25"/>
      <c r="T139" s="25">
        <f>100000</f>
        <v>100000</v>
      </c>
      <c r="U139" s="25">
        <f>208526.24</f>
        <v>208526.24</v>
      </c>
      <c r="V139" s="25"/>
      <c r="W139" s="29">
        <f>52776.63</f>
        <v>52776.63</v>
      </c>
      <c r="X139" s="25">
        <f t="shared" ref="X139:X195" si="162">W139+V139+U139+T139+S139</f>
        <v>361302.87</v>
      </c>
      <c r="Y139" s="25">
        <v>588906.19350000005</v>
      </c>
      <c r="Z139" s="25">
        <f t="shared" si="161"/>
        <v>588906.19350000005</v>
      </c>
    </row>
    <row r="140" spans="1:27" ht="20.100000000000001" customHeight="1" x14ac:dyDescent="0.3">
      <c r="A140" s="12">
        <v>3</v>
      </c>
      <c r="B140" s="41" t="s">
        <v>253</v>
      </c>
      <c r="C140" s="24" t="s">
        <v>254</v>
      </c>
      <c r="D140" s="28" t="s">
        <v>229</v>
      </c>
      <c r="E140" s="29">
        <v>42653.17</v>
      </c>
      <c r="F140" s="29"/>
      <c r="G140" s="29">
        <f t="shared" ref="G140:G195" si="163">E140*300%</f>
        <v>127959.51</v>
      </c>
      <c r="H140" s="29">
        <f t="shared" ref="H140:H195" si="164">E140*7.5%</f>
        <v>3198.9877499999998</v>
      </c>
      <c r="I140" s="29">
        <v>40122.19</v>
      </c>
      <c r="J140" s="29">
        <f t="shared" ref="J140:J195" si="165">E140*50%</f>
        <v>21326.584999999999</v>
      </c>
      <c r="K140" s="29">
        <f t="shared" ref="K140:K195" si="166">E140*350%</f>
        <v>149286.095</v>
      </c>
      <c r="L140" s="29">
        <f t="shared" ref="L140:L159" si="167">E140*100%</f>
        <v>42653.17</v>
      </c>
      <c r="M140" s="26"/>
      <c r="N140" s="26">
        <f>90000</f>
        <v>90000</v>
      </c>
      <c r="O140" s="29">
        <f t="shared" ref="O140:O159" si="168">E140*10%</f>
        <v>4265.317</v>
      </c>
      <c r="P140" s="29">
        <v>20000</v>
      </c>
      <c r="Q140" s="29">
        <v>0</v>
      </c>
      <c r="R140" s="25">
        <f t="shared" ref="R140:R161" si="169">SUM(E140:Q140)</f>
        <v>541465.02474999998</v>
      </c>
      <c r="S140" s="25"/>
      <c r="T140" s="25">
        <f>25000</f>
        <v>25000</v>
      </c>
      <c r="U140" s="25">
        <f>200000</f>
        <v>200000</v>
      </c>
      <c r="V140" s="25"/>
      <c r="W140" s="29">
        <f>21618.09</f>
        <v>21618.09</v>
      </c>
      <c r="X140" s="25">
        <f t="shared" si="162"/>
        <v>246618.09</v>
      </c>
      <c r="Y140" s="25">
        <v>294846.93475000001</v>
      </c>
      <c r="Z140" s="25">
        <f t="shared" si="161"/>
        <v>294846.93475000001</v>
      </c>
    </row>
    <row r="141" spans="1:27" ht="20.100000000000001" customHeight="1" x14ac:dyDescent="0.3">
      <c r="A141" s="12">
        <v>4</v>
      </c>
      <c r="B141" s="56" t="s">
        <v>255</v>
      </c>
      <c r="C141" s="64" t="s">
        <v>256</v>
      </c>
      <c r="D141" s="57" t="s">
        <v>57</v>
      </c>
      <c r="E141" s="29">
        <v>33507.5</v>
      </c>
      <c r="F141" s="39"/>
      <c r="G141" s="39">
        <f t="shared" si="163"/>
        <v>100522.5</v>
      </c>
      <c r="H141" s="39">
        <f t="shared" si="164"/>
        <v>2513.0625</v>
      </c>
      <c r="I141" s="39">
        <v>40122.19</v>
      </c>
      <c r="J141" s="39">
        <f t="shared" si="165"/>
        <v>16753.75</v>
      </c>
      <c r="K141" s="39">
        <f t="shared" si="166"/>
        <v>117276.25</v>
      </c>
      <c r="L141" s="39">
        <f t="shared" si="167"/>
        <v>33507.5</v>
      </c>
      <c r="M141" s="26"/>
      <c r="N141" s="26">
        <v>80000</v>
      </c>
      <c r="O141" s="39">
        <f t="shared" si="168"/>
        <v>3350.75</v>
      </c>
      <c r="P141" s="39">
        <v>20000</v>
      </c>
      <c r="Q141" s="39">
        <v>50000</v>
      </c>
      <c r="R141" s="25">
        <f t="shared" si="169"/>
        <v>497553.5025</v>
      </c>
      <c r="S141" s="25"/>
      <c r="T141" s="58">
        <f>37500</f>
        <v>37500</v>
      </c>
      <c r="U141" s="58"/>
      <c r="V141" s="58">
        <f>'[2]April 2022'!$H$49</f>
        <v>837.6875</v>
      </c>
      <c r="W141" s="58">
        <v>15548.33</v>
      </c>
      <c r="X141" s="25">
        <f t="shared" si="162"/>
        <v>53886.017500000002</v>
      </c>
      <c r="Y141" s="25">
        <v>443667.48499999999</v>
      </c>
      <c r="Z141" s="25">
        <f t="shared" si="161"/>
        <v>443667.48499999999</v>
      </c>
    </row>
    <row r="142" spans="1:27" ht="20.100000000000001" customHeight="1" x14ac:dyDescent="0.3">
      <c r="A142" s="12">
        <v>5</v>
      </c>
      <c r="B142" s="56" t="s">
        <v>257</v>
      </c>
      <c r="C142" s="64" t="s">
        <v>258</v>
      </c>
      <c r="D142" s="57" t="s">
        <v>57</v>
      </c>
      <c r="E142" s="29">
        <v>33507.5</v>
      </c>
      <c r="F142" s="39"/>
      <c r="G142" s="39">
        <f t="shared" si="163"/>
        <v>100522.5</v>
      </c>
      <c r="H142" s="39">
        <f t="shared" si="164"/>
        <v>2513.0625</v>
      </c>
      <c r="I142" s="39">
        <v>40122.19</v>
      </c>
      <c r="J142" s="39">
        <f t="shared" si="165"/>
        <v>16753.75</v>
      </c>
      <c r="K142" s="39">
        <f t="shared" si="166"/>
        <v>117276.25</v>
      </c>
      <c r="L142" s="39">
        <f t="shared" si="167"/>
        <v>33507.5</v>
      </c>
      <c r="M142" s="26"/>
      <c r="N142" s="26">
        <v>80000</v>
      </c>
      <c r="O142" s="39">
        <f t="shared" si="168"/>
        <v>3350.75</v>
      </c>
      <c r="P142" s="39">
        <v>20000</v>
      </c>
      <c r="Q142" s="39"/>
      <c r="R142" s="25">
        <f t="shared" si="169"/>
        <v>447553.5025</v>
      </c>
      <c r="S142" s="25"/>
      <c r="T142" s="58"/>
      <c r="U142" s="58"/>
      <c r="V142" s="58"/>
      <c r="W142" s="58">
        <v>15548.33</v>
      </c>
      <c r="X142" s="25">
        <f t="shared" si="162"/>
        <v>15548.33</v>
      </c>
      <c r="Y142" s="25">
        <v>432005.17249999999</v>
      </c>
      <c r="Z142" s="25">
        <f t="shared" si="161"/>
        <v>432005.17249999999</v>
      </c>
    </row>
    <row r="143" spans="1:27" ht="20.100000000000001" customHeight="1" x14ac:dyDescent="0.3">
      <c r="A143" s="12">
        <v>6</v>
      </c>
      <c r="B143" s="41" t="s">
        <v>259</v>
      </c>
      <c r="C143" s="24" t="s">
        <v>260</v>
      </c>
      <c r="D143" s="28" t="s">
        <v>68</v>
      </c>
      <c r="E143" s="29">
        <v>26732.65</v>
      </c>
      <c r="F143" s="29"/>
      <c r="G143" s="29">
        <f t="shared" si="163"/>
        <v>80197.950000000012</v>
      </c>
      <c r="H143" s="29">
        <f t="shared" si="164"/>
        <v>2004.94875</v>
      </c>
      <c r="I143" s="29">
        <v>0</v>
      </c>
      <c r="J143" s="29">
        <f t="shared" si="165"/>
        <v>13366.325000000001</v>
      </c>
      <c r="K143" s="25">
        <f t="shared" si="166"/>
        <v>93564.275000000009</v>
      </c>
      <c r="L143" s="29">
        <f t="shared" si="167"/>
        <v>26732.65</v>
      </c>
      <c r="M143" s="26"/>
      <c r="N143" s="26">
        <v>70000</v>
      </c>
      <c r="O143" s="29">
        <f t="shared" si="168"/>
        <v>2673.2650000000003</v>
      </c>
      <c r="P143" s="39">
        <v>20000</v>
      </c>
      <c r="Q143" s="29"/>
      <c r="R143" s="25">
        <f t="shared" si="169"/>
        <v>335272.06374999997</v>
      </c>
      <c r="S143" s="25"/>
      <c r="T143" s="25">
        <v>30000</v>
      </c>
      <c r="U143" s="25">
        <f>91666.67</f>
        <v>91666.67</v>
      </c>
      <c r="V143" s="25">
        <f>'[2]April 2022'!$H$47</f>
        <v>668.31625000000008</v>
      </c>
      <c r="W143" s="29">
        <v>7709.76</v>
      </c>
      <c r="X143" s="25">
        <f t="shared" si="162"/>
        <v>130044.74625</v>
      </c>
      <c r="Y143" s="25">
        <v>205227.31749999998</v>
      </c>
      <c r="Z143" s="25">
        <f t="shared" si="161"/>
        <v>205227.31749999998</v>
      </c>
    </row>
    <row r="144" spans="1:27" ht="20.100000000000001" customHeight="1" x14ac:dyDescent="0.3">
      <c r="A144" s="12">
        <v>7</v>
      </c>
      <c r="B144" s="41" t="s">
        <v>261</v>
      </c>
      <c r="C144" s="12" t="s">
        <v>262</v>
      </c>
      <c r="D144" s="28" t="s">
        <v>68</v>
      </c>
      <c r="E144" s="29">
        <v>26732.65</v>
      </c>
      <c r="F144" s="29"/>
      <c r="G144" s="29">
        <f t="shared" si="163"/>
        <v>80197.950000000012</v>
      </c>
      <c r="H144" s="29">
        <f t="shared" si="164"/>
        <v>2004.94875</v>
      </c>
      <c r="I144" s="29">
        <v>0</v>
      </c>
      <c r="J144" s="29">
        <f t="shared" si="165"/>
        <v>13366.325000000001</v>
      </c>
      <c r="K144" s="25">
        <f t="shared" si="166"/>
        <v>93564.275000000009</v>
      </c>
      <c r="L144" s="29">
        <f t="shared" si="167"/>
        <v>26732.65</v>
      </c>
      <c r="M144" s="26"/>
      <c r="N144" s="26">
        <v>70000</v>
      </c>
      <c r="O144" s="29">
        <f t="shared" si="168"/>
        <v>2673.2650000000003</v>
      </c>
      <c r="P144" s="39">
        <v>20000</v>
      </c>
      <c r="Q144" s="29">
        <v>0</v>
      </c>
      <c r="R144" s="25">
        <f t="shared" si="169"/>
        <v>335272.06374999997</v>
      </c>
      <c r="S144" s="25"/>
      <c r="T144" s="25">
        <f>0</f>
        <v>0</v>
      </c>
      <c r="U144" s="25">
        <f>133333.33</f>
        <v>133333.32999999999</v>
      </c>
      <c r="V144" s="25">
        <f>'[2]April 2022'!$H$50</f>
        <v>668.31625000000008</v>
      </c>
      <c r="W144" s="29">
        <v>7709.76</v>
      </c>
      <c r="X144" s="25">
        <f t="shared" si="162"/>
        <v>141711.40625</v>
      </c>
      <c r="Y144" s="25">
        <v>193560.65749999997</v>
      </c>
      <c r="Z144" s="25">
        <f t="shared" si="161"/>
        <v>193560.65749999997</v>
      </c>
    </row>
    <row r="145" spans="1:26" ht="20.100000000000001" customHeight="1" x14ac:dyDescent="0.3">
      <c r="A145" s="12">
        <v>8</v>
      </c>
      <c r="B145" s="41" t="s">
        <v>263</v>
      </c>
      <c r="C145" s="12" t="s">
        <v>264</v>
      </c>
      <c r="D145" s="28" t="s">
        <v>78</v>
      </c>
      <c r="E145" s="29">
        <v>24741.26</v>
      </c>
      <c r="F145" s="29"/>
      <c r="G145" s="29">
        <f t="shared" si="163"/>
        <v>74223.78</v>
      </c>
      <c r="H145" s="29">
        <f t="shared" si="164"/>
        <v>1855.5944999999997</v>
      </c>
      <c r="I145" s="25">
        <v>0</v>
      </c>
      <c r="J145" s="29">
        <f t="shared" si="165"/>
        <v>12370.63</v>
      </c>
      <c r="K145" s="25">
        <f t="shared" si="166"/>
        <v>86594.409999999989</v>
      </c>
      <c r="L145" s="29">
        <f t="shared" si="167"/>
        <v>24741.26</v>
      </c>
      <c r="M145" s="26"/>
      <c r="N145" s="26">
        <v>70000</v>
      </c>
      <c r="O145" s="29">
        <f t="shared" si="168"/>
        <v>2474.1260000000002</v>
      </c>
      <c r="P145" s="29">
        <v>15000</v>
      </c>
      <c r="Q145" s="29">
        <v>0</v>
      </c>
      <c r="R145" s="25">
        <f t="shared" si="169"/>
        <v>312001.06049999996</v>
      </c>
      <c r="S145" s="25"/>
      <c r="T145" s="25">
        <f>10000</f>
        <v>10000</v>
      </c>
      <c r="U145" s="25">
        <f>115000+50000</f>
        <v>165000</v>
      </c>
      <c r="V145" s="25"/>
      <c r="W145" s="29">
        <f>7709.76</f>
        <v>7709.76</v>
      </c>
      <c r="X145" s="25">
        <f t="shared" si="162"/>
        <v>182709.76000000001</v>
      </c>
      <c r="Y145" s="25">
        <v>179291.30049999995</v>
      </c>
      <c r="Z145" s="25">
        <f t="shared" si="161"/>
        <v>129291.30049999995</v>
      </c>
    </row>
    <row r="146" spans="1:26" ht="20.100000000000001" customHeight="1" x14ac:dyDescent="0.3">
      <c r="A146" s="12">
        <v>9</v>
      </c>
      <c r="B146" s="23" t="s">
        <v>265</v>
      </c>
      <c r="C146" s="24" t="s">
        <v>266</v>
      </c>
      <c r="D146" s="28" t="s">
        <v>87</v>
      </c>
      <c r="E146" s="29">
        <v>21520.880000000001</v>
      </c>
      <c r="F146" s="29"/>
      <c r="G146" s="29">
        <f>E146*300%</f>
        <v>64562.64</v>
      </c>
      <c r="H146" s="29">
        <f>E146*7.5%</f>
        <v>1614.066</v>
      </c>
      <c r="I146" s="29">
        <v>0</v>
      </c>
      <c r="J146" s="29">
        <f>E146*50%</f>
        <v>10760.44</v>
      </c>
      <c r="K146" s="25">
        <f>E146*350%</f>
        <v>75323.08</v>
      </c>
      <c r="L146" s="29">
        <f>E146*100%</f>
        <v>21520.880000000001</v>
      </c>
      <c r="M146" s="26"/>
      <c r="N146" s="26">
        <f>60000</f>
        <v>60000</v>
      </c>
      <c r="O146" s="29">
        <f>E146*10%</f>
        <v>2152.0880000000002</v>
      </c>
      <c r="P146" s="29">
        <v>15000</v>
      </c>
      <c r="Q146" s="29">
        <v>0</v>
      </c>
      <c r="R146" s="25">
        <f>SUM(E146:Q146)</f>
        <v>272454.07400000002</v>
      </c>
      <c r="S146" s="25"/>
      <c r="T146" s="25">
        <v>10000</v>
      </c>
      <c r="U146" s="25">
        <f>51500</f>
        <v>51500</v>
      </c>
      <c r="V146" s="25">
        <f>'[2]April 2022'!$H$40</f>
        <v>538.02200000000005</v>
      </c>
      <c r="W146" s="29">
        <f>3369.51</f>
        <v>3369.51</v>
      </c>
      <c r="X146" s="25">
        <f t="shared" si="162"/>
        <v>65407.531999999999</v>
      </c>
      <c r="Y146" s="25">
        <v>207046.54200000002</v>
      </c>
      <c r="Z146" s="25">
        <f>R146-X146</f>
        <v>207046.54200000002</v>
      </c>
    </row>
    <row r="147" spans="1:26" ht="20.100000000000001" customHeight="1" x14ac:dyDescent="0.3">
      <c r="A147" s="12">
        <v>10</v>
      </c>
      <c r="B147" s="41" t="s">
        <v>267</v>
      </c>
      <c r="C147" s="24" t="s">
        <v>266</v>
      </c>
      <c r="D147" s="28" t="s">
        <v>87</v>
      </c>
      <c r="E147" s="29">
        <v>21520.880000000001</v>
      </c>
      <c r="F147" s="29"/>
      <c r="G147" s="29">
        <f>E147*300%</f>
        <v>64562.64</v>
      </c>
      <c r="H147" s="29">
        <f>E147*7.5%</f>
        <v>1614.066</v>
      </c>
      <c r="I147" s="29">
        <v>0</v>
      </c>
      <c r="J147" s="29">
        <f>E147*50%</f>
        <v>10760.44</v>
      </c>
      <c r="K147" s="25">
        <f>E147*350%</f>
        <v>75323.08</v>
      </c>
      <c r="L147" s="39">
        <f t="shared" si="167"/>
        <v>21520.880000000001</v>
      </c>
      <c r="M147" s="26"/>
      <c r="N147" s="26">
        <f>60000</f>
        <v>60000</v>
      </c>
      <c r="O147" s="29">
        <f t="shared" si="168"/>
        <v>2152.0880000000002</v>
      </c>
      <c r="P147" s="29">
        <v>15000</v>
      </c>
      <c r="Q147" s="29">
        <v>0</v>
      </c>
      <c r="R147" s="25">
        <f t="shared" si="169"/>
        <v>272454.07400000002</v>
      </c>
      <c r="S147" s="25"/>
      <c r="T147" s="25"/>
      <c r="U147" s="25">
        <f>100000</f>
        <v>100000</v>
      </c>
      <c r="V147" s="25"/>
      <c r="W147" s="29">
        <v>3369.51</v>
      </c>
      <c r="X147" s="25">
        <f t="shared" si="162"/>
        <v>103369.51</v>
      </c>
      <c r="Y147" s="25">
        <v>169084.56400000001</v>
      </c>
      <c r="Z147" s="25">
        <f t="shared" si="161"/>
        <v>169084.56400000001</v>
      </c>
    </row>
    <row r="148" spans="1:26" ht="20.100000000000001" customHeight="1" x14ac:dyDescent="0.3">
      <c r="A148" s="12">
        <v>11</v>
      </c>
      <c r="B148" s="23" t="s">
        <v>268</v>
      </c>
      <c r="C148" s="12" t="s">
        <v>264</v>
      </c>
      <c r="D148" s="28" t="s">
        <v>87</v>
      </c>
      <c r="E148" s="29">
        <v>21520.880000000001</v>
      </c>
      <c r="F148" s="29"/>
      <c r="G148" s="29">
        <f>E148*300%</f>
        <v>64562.64</v>
      </c>
      <c r="H148" s="29">
        <f>E148*7.5%</f>
        <v>1614.066</v>
      </c>
      <c r="I148" s="25"/>
      <c r="J148" s="29">
        <f>E148*50%</f>
        <v>10760.44</v>
      </c>
      <c r="K148" s="25">
        <f>E148*350%</f>
        <v>75323.08</v>
      </c>
      <c r="L148" s="29">
        <f>E148*100%</f>
        <v>21520.880000000001</v>
      </c>
      <c r="M148" s="26"/>
      <c r="N148" s="26">
        <f>60000</f>
        <v>60000</v>
      </c>
      <c r="O148" s="29">
        <f>E148*10%</f>
        <v>2152.0880000000002</v>
      </c>
      <c r="P148" s="29">
        <v>15000</v>
      </c>
      <c r="Q148" s="29"/>
      <c r="R148" s="25">
        <f>SUM(E148:Q148)</f>
        <v>272454.07400000002</v>
      </c>
      <c r="S148" s="25"/>
      <c r="T148" s="25">
        <f>20000+40000</f>
        <v>60000</v>
      </c>
      <c r="U148" s="25">
        <f>45833.33</f>
        <v>45833.33</v>
      </c>
      <c r="V148" s="25"/>
      <c r="W148" s="29">
        <v>3369.51</v>
      </c>
      <c r="X148" s="25">
        <f>W148+V148+U148+T148+S148</f>
        <v>109202.84</v>
      </c>
      <c r="Y148" s="25">
        <v>163251.23400000003</v>
      </c>
      <c r="Z148" s="25">
        <f>R148-X148</f>
        <v>163251.23400000003</v>
      </c>
    </row>
    <row r="149" spans="1:26" ht="20.100000000000001" customHeight="1" x14ac:dyDescent="0.3">
      <c r="A149" s="12">
        <v>12</v>
      </c>
      <c r="B149" s="23" t="s">
        <v>269</v>
      </c>
      <c r="C149" s="12" t="s">
        <v>270</v>
      </c>
      <c r="D149" s="28" t="s">
        <v>90</v>
      </c>
      <c r="E149" s="39">
        <v>18779.3</v>
      </c>
      <c r="F149" s="29"/>
      <c r="G149" s="29">
        <f>E149*300%</f>
        <v>56337.899999999994</v>
      </c>
      <c r="H149" s="29">
        <f>E149*7.5%</f>
        <v>1408.4475</v>
      </c>
      <c r="I149" s="29"/>
      <c r="J149" s="29">
        <f>E149*50%</f>
        <v>9389.65</v>
      </c>
      <c r="K149" s="25">
        <f>E149*350%</f>
        <v>65727.55</v>
      </c>
      <c r="L149" s="39">
        <f t="shared" si="167"/>
        <v>18779.3</v>
      </c>
      <c r="M149" s="26"/>
      <c r="N149" s="26">
        <f>60000</f>
        <v>60000</v>
      </c>
      <c r="O149" s="29">
        <f t="shared" si="168"/>
        <v>1877.93</v>
      </c>
      <c r="P149" s="29">
        <v>10000</v>
      </c>
      <c r="Q149" s="29"/>
      <c r="R149" s="25">
        <f t="shared" si="169"/>
        <v>242300.07749999996</v>
      </c>
      <c r="S149" s="25"/>
      <c r="T149" s="25">
        <f>100000</f>
        <v>100000</v>
      </c>
      <c r="U149" s="25">
        <f>93721.55</f>
        <v>93721.55</v>
      </c>
      <c r="V149" s="25"/>
      <c r="W149" s="29">
        <v>3369.51</v>
      </c>
      <c r="X149" s="25">
        <f t="shared" si="162"/>
        <v>197091.06</v>
      </c>
      <c r="Y149" s="25">
        <v>45209.017499999958</v>
      </c>
      <c r="Z149" s="25">
        <f t="shared" si="161"/>
        <v>45209.017499999958</v>
      </c>
    </row>
    <row r="150" spans="1:26" ht="20.100000000000001" customHeight="1" x14ac:dyDescent="0.3">
      <c r="A150" s="12">
        <v>13</v>
      </c>
      <c r="B150" s="23" t="s">
        <v>271</v>
      </c>
      <c r="C150" s="24" t="s">
        <v>272</v>
      </c>
      <c r="D150" s="28" t="s">
        <v>95</v>
      </c>
      <c r="E150" s="47">
        <v>18281.64</v>
      </c>
      <c r="F150" s="29"/>
      <c r="G150" s="29">
        <f t="shared" si="163"/>
        <v>54844.92</v>
      </c>
      <c r="H150" s="29">
        <f t="shared" si="164"/>
        <v>1371.1229999999998</v>
      </c>
      <c r="I150" s="29"/>
      <c r="J150" s="29">
        <f t="shared" si="165"/>
        <v>9140.82</v>
      </c>
      <c r="K150" s="25">
        <f t="shared" si="166"/>
        <v>63985.74</v>
      </c>
      <c r="L150" s="29">
        <f t="shared" si="167"/>
        <v>18281.64</v>
      </c>
      <c r="M150" s="26"/>
      <c r="N150" s="26">
        <f>60000</f>
        <v>60000</v>
      </c>
      <c r="O150" s="29">
        <f t="shared" si="168"/>
        <v>1828.164</v>
      </c>
      <c r="P150" s="29">
        <v>10000</v>
      </c>
      <c r="Q150" s="29"/>
      <c r="R150" s="25">
        <f t="shared" si="169"/>
        <v>237734.04699999996</v>
      </c>
      <c r="S150" s="25"/>
      <c r="T150" s="25">
        <f>10000</f>
        <v>10000</v>
      </c>
      <c r="U150" s="25">
        <f>50000</f>
        <v>50000</v>
      </c>
      <c r="V150" s="25">
        <f>'[2]April 2022'!$H$43</f>
        <v>457.041</v>
      </c>
      <c r="W150" s="29">
        <f>3369.51</f>
        <v>3369.51</v>
      </c>
      <c r="X150" s="25">
        <f t="shared" si="162"/>
        <v>63826.550999999999</v>
      </c>
      <c r="Y150" s="25">
        <v>173907.49599999996</v>
      </c>
      <c r="Z150" s="25">
        <f t="shared" si="161"/>
        <v>173907.49599999996</v>
      </c>
    </row>
    <row r="151" spans="1:26" ht="20.100000000000001" customHeight="1" x14ac:dyDescent="0.3">
      <c r="A151" s="12">
        <v>14</v>
      </c>
      <c r="B151" s="23" t="s">
        <v>273</v>
      </c>
      <c r="C151" s="24" t="s">
        <v>274</v>
      </c>
      <c r="D151" s="28" t="s">
        <v>90</v>
      </c>
      <c r="E151" s="39">
        <v>18779.3</v>
      </c>
      <c r="F151" s="29"/>
      <c r="G151" s="29">
        <f>E151*300%</f>
        <v>56337.899999999994</v>
      </c>
      <c r="H151" s="29">
        <f>E151*7.5%</f>
        <v>1408.4475</v>
      </c>
      <c r="I151" s="25"/>
      <c r="J151" s="29">
        <f>E151*50%</f>
        <v>9389.65</v>
      </c>
      <c r="K151" s="25">
        <f>E151*350%</f>
        <v>65727.55</v>
      </c>
      <c r="L151" s="29">
        <f>E151*100%</f>
        <v>18779.3</v>
      </c>
      <c r="M151" s="26"/>
      <c r="N151" s="26">
        <f>60000</f>
        <v>60000</v>
      </c>
      <c r="O151" s="29">
        <f>E151*10%</f>
        <v>1877.93</v>
      </c>
      <c r="P151" s="29">
        <v>10000</v>
      </c>
      <c r="Q151" s="29"/>
      <c r="R151" s="25">
        <f>SUM(E151:Q151)</f>
        <v>242300.07749999996</v>
      </c>
      <c r="S151" s="25"/>
      <c r="T151" s="25">
        <v>20000</v>
      </c>
      <c r="U151" s="25">
        <f>68750</f>
        <v>68750</v>
      </c>
      <c r="V151" s="25">
        <f>'[2]April 2022'!$H$30</f>
        <v>469.48250000000002</v>
      </c>
      <c r="W151" s="29">
        <v>3369.51</v>
      </c>
      <c r="X151" s="25">
        <f t="shared" si="162"/>
        <v>92588.992499999993</v>
      </c>
      <c r="Y151" s="25">
        <v>149711.08499999996</v>
      </c>
      <c r="Z151" s="25">
        <f>R151-X151</f>
        <v>149711.08499999996</v>
      </c>
    </row>
    <row r="152" spans="1:26" ht="20.100000000000001" customHeight="1" x14ac:dyDescent="0.3">
      <c r="A152" s="12">
        <v>15</v>
      </c>
      <c r="B152" s="23" t="s">
        <v>275</v>
      </c>
      <c r="C152" s="12" t="s">
        <v>270</v>
      </c>
      <c r="D152" s="28" t="s">
        <v>98</v>
      </c>
      <c r="E152" s="47">
        <v>17784.099999999999</v>
      </c>
      <c r="F152" s="29"/>
      <c r="G152" s="29">
        <f t="shared" si="163"/>
        <v>53352.299999999996</v>
      </c>
      <c r="H152" s="29">
        <f t="shared" si="164"/>
        <v>1333.8074999999999</v>
      </c>
      <c r="I152" s="29"/>
      <c r="J152" s="29">
        <f t="shared" si="165"/>
        <v>8892.0499999999993</v>
      </c>
      <c r="K152" s="25">
        <f t="shared" si="166"/>
        <v>62244.349999999991</v>
      </c>
      <c r="L152" s="29">
        <f t="shared" si="167"/>
        <v>17784.099999999999</v>
      </c>
      <c r="M152" s="26"/>
      <c r="N152" s="26">
        <f>60000</f>
        <v>60000</v>
      </c>
      <c r="O152" s="29">
        <f t="shared" si="168"/>
        <v>1778.4099999999999</v>
      </c>
      <c r="P152" s="29">
        <v>10000</v>
      </c>
      <c r="Q152" s="29"/>
      <c r="R152" s="25">
        <f t="shared" si="169"/>
        <v>233169.11749999999</v>
      </c>
      <c r="S152" s="25"/>
      <c r="T152" s="25">
        <f>10000</f>
        <v>10000</v>
      </c>
      <c r="U152" s="25">
        <f>22916.67</f>
        <v>22916.67</v>
      </c>
      <c r="V152" s="25"/>
      <c r="W152" s="29">
        <v>1484.37</v>
      </c>
      <c r="X152" s="25">
        <f t="shared" si="162"/>
        <v>34401.039999999994</v>
      </c>
      <c r="Y152" s="25">
        <v>198768.07750000001</v>
      </c>
      <c r="Z152" s="25">
        <f t="shared" si="161"/>
        <v>198768.07750000001</v>
      </c>
    </row>
    <row r="153" spans="1:26" ht="20.100000000000001" customHeight="1" x14ac:dyDescent="0.3">
      <c r="A153" s="12">
        <v>16</v>
      </c>
      <c r="B153" s="23" t="s">
        <v>276</v>
      </c>
      <c r="C153" s="12" t="s">
        <v>270</v>
      </c>
      <c r="D153" s="28" t="s">
        <v>98</v>
      </c>
      <c r="E153" s="47">
        <v>17784.099999999999</v>
      </c>
      <c r="F153" s="29"/>
      <c r="G153" s="29">
        <f t="shared" si="163"/>
        <v>53352.299999999996</v>
      </c>
      <c r="H153" s="29">
        <f t="shared" si="164"/>
        <v>1333.8074999999999</v>
      </c>
      <c r="I153" s="29"/>
      <c r="J153" s="29">
        <f t="shared" si="165"/>
        <v>8892.0499999999993</v>
      </c>
      <c r="K153" s="25">
        <f t="shared" si="166"/>
        <v>62244.349999999991</v>
      </c>
      <c r="L153" s="29">
        <f t="shared" si="167"/>
        <v>17784.099999999999</v>
      </c>
      <c r="M153" s="26"/>
      <c r="N153" s="26">
        <f>60000</f>
        <v>60000</v>
      </c>
      <c r="O153" s="29">
        <f t="shared" si="168"/>
        <v>1778.4099999999999</v>
      </c>
      <c r="P153" s="29">
        <v>10000</v>
      </c>
      <c r="Q153" s="29"/>
      <c r="R153" s="25">
        <f t="shared" si="169"/>
        <v>233169.11749999999</v>
      </c>
      <c r="S153" s="25"/>
      <c r="T153" s="25">
        <f>10000</f>
        <v>10000</v>
      </c>
      <c r="U153" s="25">
        <f>0</f>
        <v>0</v>
      </c>
      <c r="V153" s="25">
        <f>'[2]April 2022'!$H$36</f>
        <v>444.60249999999996</v>
      </c>
      <c r="W153" s="29">
        <v>1484.37</v>
      </c>
      <c r="X153" s="25">
        <f t="shared" si="162"/>
        <v>11928.9725</v>
      </c>
      <c r="Y153" s="25">
        <v>163156.815</v>
      </c>
      <c r="Z153" s="25">
        <f t="shared" si="161"/>
        <v>221240.14499999999</v>
      </c>
    </row>
    <row r="154" spans="1:26" ht="20.100000000000001" customHeight="1" x14ac:dyDescent="0.3">
      <c r="A154" s="12">
        <v>17</v>
      </c>
      <c r="B154" s="23" t="s">
        <v>277</v>
      </c>
      <c r="C154" s="12" t="s">
        <v>270</v>
      </c>
      <c r="D154" s="28" t="s">
        <v>98</v>
      </c>
      <c r="E154" s="47">
        <v>17784.099999999999</v>
      </c>
      <c r="F154" s="29"/>
      <c r="G154" s="29">
        <f t="shared" si="163"/>
        <v>53352.299999999996</v>
      </c>
      <c r="H154" s="29">
        <f t="shared" si="164"/>
        <v>1333.8074999999999</v>
      </c>
      <c r="I154" s="29"/>
      <c r="J154" s="29">
        <f t="shared" si="165"/>
        <v>8892.0499999999993</v>
      </c>
      <c r="K154" s="25">
        <f t="shared" si="166"/>
        <v>62244.349999999991</v>
      </c>
      <c r="L154" s="29">
        <f t="shared" si="167"/>
        <v>17784.099999999999</v>
      </c>
      <c r="M154" s="26"/>
      <c r="N154" s="26">
        <f>60000</f>
        <v>60000</v>
      </c>
      <c r="O154" s="29">
        <f t="shared" si="168"/>
        <v>1778.4099999999999</v>
      </c>
      <c r="P154" s="29">
        <v>10000</v>
      </c>
      <c r="Q154" s="29"/>
      <c r="R154" s="25">
        <f t="shared" si="169"/>
        <v>233169.11749999999</v>
      </c>
      <c r="S154" s="25"/>
      <c r="T154" s="25"/>
      <c r="U154" s="25"/>
      <c r="V154" s="25"/>
      <c r="W154" s="29">
        <v>1484.37</v>
      </c>
      <c r="X154" s="25">
        <f t="shared" si="162"/>
        <v>1484.37</v>
      </c>
      <c r="Y154" s="25">
        <v>231684.7475</v>
      </c>
      <c r="Z154" s="25">
        <f t="shared" si="161"/>
        <v>231684.7475</v>
      </c>
    </row>
    <row r="155" spans="1:26" ht="20.100000000000001" customHeight="1" x14ac:dyDescent="0.3">
      <c r="A155" s="12">
        <v>18</v>
      </c>
      <c r="B155" s="23" t="s">
        <v>278</v>
      </c>
      <c r="C155" s="24" t="s">
        <v>279</v>
      </c>
      <c r="D155" s="28" t="s">
        <v>173</v>
      </c>
      <c r="E155" s="47">
        <f>17286.33</f>
        <v>17286.330000000002</v>
      </c>
      <c r="F155" s="29"/>
      <c r="G155" s="29">
        <f t="shared" si="163"/>
        <v>51858.990000000005</v>
      </c>
      <c r="H155" s="29">
        <f t="shared" si="164"/>
        <v>1296.4747500000001</v>
      </c>
      <c r="I155" s="29"/>
      <c r="J155" s="29">
        <f t="shared" si="165"/>
        <v>8643.1650000000009</v>
      </c>
      <c r="K155" s="25">
        <f t="shared" si="166"/>
        <v>60502.155000000006</v>
      </c>
      <c r="L155" s="29">
        <f t="shared" si="167"/>
        <v>17286.330000000002</v>
      </c>
      <c r="M155" s="26"/>
      <c r="N155" s="26">
        <f>60000</f>
        <v>60000</v>
      </c>
      <c r="O155" s="29">
        <f t="shared" si="168"/>
        <v>1728.6330000000003</v>
      </c>
      <c r="P155" s="29">
        <v>10000</v>
      </c>
      <c r="Q155" s="29"/>
      <c r="R155" s="25">
        <f>SUM(E155:Q155)</f>
        <v>228602.07775000003</v>
      </c>
      <c r="S155" s="25"/>
      <c r="T155" s="25"/>
      <c r="U155" s="25"/>
      <c r="V155" s="25"/>
      <c r="W155" s="29">
        <f>3369.51</f>
        <v>3369.51</v>
      </c>
      <c r="X155" s="25">
        <f t="shared" si="162"/>
        <v>3369.51</v>
      </c>
      <c r="Y155" s="25">
        <v>225232.56775000002</v>
      </c>
      <c r="Z155" s="25">
        <f t="shared" si="161"/>
        <v>225232.56775000002</v>
      </c>
    </row>
    <row r="156" spans="1:26" ht="20.100000000000001" customHeight="1" x14ac:dyDescent="0.3">
      <c r="A156" s="12">
        <v>19</v>
      </c>
      <c r="B156" s="23" t="s">
        <v>280</v>
      </c>
      <c r="C156" s="24" t="s">
        <v>281</v>
      </c>
      <c r="D156" s="22" t="s">
        <v>101</v>
      </c>
      <c r="E156" s="39">
        <f>14736.14</f>
        <v>14736.14</v>
      </c>
      <c r="F156" s="39"/>
      <c r="G156" s="39">
        <f t="shared" si="163"/>
        <v>44208.42</v>
      </c>
      <c r="H156" s="39">
        <f t="shared" si="164"/>
        <v>1105.2104999999999</v>
      </c>
      <c r="I156" s="39"/>
      <c r="J156" s="39">
        <f t="shared" si="165"/>
        <v>7368.07</v>
      </c>
      <c r="K156" s="39">
        <f t="shared" si="166"/>
        <v>51576.49</v>
      </c>
      <c r="L156" s="39">
        <f t="shared" si="167"/>
        <v>14736.14</v>
      </c>
      <c r="M156" s="26"/>
      <c r="N156" s="26">
        <f>60000</f>
        <v>60000</v>
      </c>
      <c r="O156" s="39">
        <f t="shared" si="168"/>
        <v>1473.614</v>
      </c>
      <c r="P156" s="39">
        <v>10000</v>
      </c>
      <c r="Q156" s="39"/>
      <c r="R156" s="25">
        <f>SUM(E156:Q156)</f>
        <v>205204.0845</v>
      </c>
      <c r="S156" s="25"/>
      <c r="T156" s="58"/>
      <c r="U156" s="58"/>
      <c r="V156" s="58"/>
      <c r="W156" s="29">
        <v>3369.51</v>
      </c>
      <c r="X156" s="25">
        <f>W156+V156+U156+T156</f>
        <v>3369.51</v>
      </c>
      <c r="Y156" s="25">
        <v>201834.57449999999</v>
      </c>
      <c r="Z156" s="25">
        <f>R156-X156</f>
        <v>201834.57449999999</v>
      </c>
    </row>
    <row r="157" spans="1:26" ht="20.100000000000001" customHeight="1" x14ac:dyDescent="0.3">
      <c r="A157" s="12">
        <v>20</v>
      </c>
      <c r="B157" s="23" t="s">
        <v>282</v>
      </c>
      <c r="C157" s="24" t="s">
        <v>274</v>
      </c>
      <c r="D157" s="28" t="s">
        <v>106</v>
      </c>
      <c r="E157" s="47">
        <v>13492.21</v>
      </c>
      <c r="F157" s="29"/>
      <c r="G157" s="29">
        <f t="shared" si="163"/>
        <v>40476.629999999997</v>
      </c>
      <c r="H157" s="29">
        <f t="shared" si="164"/>
        <v>1011.9157499999999</v>
      </c>
      <c r="I157" s="29"/>
      <c r="J157" s="29">
        <f t="shared" si="165"/>
        <v>6746.1049999999996</v>
      </c>
      <c r="K157" s="25">
        <f t="shared" si="166"/>
        <v>47222.735000000001</v>
      </c>
      <c r="L157" s="29">
        <f t="shared" si="167"/>
        <v>13492.21</v>
      </c>
      <c r="M157" s="26"/>
      <c r="N157" s="26">
        <f>50000</f>
        <v>50000</v>
      </c>
      <c r="O157" s="29">
        <f t="shared" si="168"/>
        <v>1349.221</v>
      </c>
      <c r="P157" s="29">
        <v>10000</v>
      </c>
      <c r="Q157" s="29"/>
      <c r="R157" s="25">
        <f t="shared" si="169"/>
        <v>183791.02674999999</v>
      </c>
      <c r="S157" s="25"/>
      <c r="T157" s="25"/>
      <c r="U157" s="25"/>
      <c r="V157" s="25"/>
      <c r="W157" s="29">
        <v>1484.37</v>
      </c>
      <c r="X157" s="25">
        <f t="shared" si="162"/>
        <v>1484.37</v>
      </c>
      <c r="Y157" s="25">
        <v>182306.65674999999</v>
      </c>
      <c r="Z157" s="25">
        <f t="shared" si="161"/>
        <v>182306.65674999999</v>
      </c>
    </row>
    <row r="158" spans="1:26" ht="20.100000000000001" customHeight="1" x14ac:dyDescent="0.3">
      <c r="A158" s="12">
        <v>21</v>
      </c>
      <c r="B158" s="23" t="s">
        <v>283</v>
      </c>
      <c r="C158" s="24" t="s">
        <v>284</v>
      </c>
      <c r="D158" s="28" t="s">
        <v>106</v>
      </c>
      <c r="E158" s="47">
        <v>13492.21</v>
      </c>
      <c r="F158" s="29"/>
      <c r="G158" s="29">
        <f t="shared" si="163"/>
        <v>40476.629999999997</v>
      </c>
      <c r="H158" s="29">
        <f t="shared" si="164"/>
        <v>1011.9157499999999</v>
      </c>
      <c r="I158" s="29"/>
      <c r="J158" s="29">
        <f t="shared" si="165"/>
        <v>6746.1049999999996</v>
      </c>
      <c r="K158" s="25">
        <f t="shared" si="166"/>
        <v>47222.735000000001</v>
      </c>
      <c r="L158" s="29">
        <f t="shared" si="167"/>
        <v>13492.21</v>
      </c>
      <c r="M158" s="26"/>
      <c r="N158" s="26">
        <f>50000</f>
        <v>50000</v>
      </c>
      <c r="O158" s="29">
        <f t="shared" si="168"/>
        <v>1349.221</v>
      </c>
      <c r="P158" s="29">
        <v>10000</v>
      </c>
      <c r="Q158" s="29"/>
      <c r="R158" s="25">
        <f t="shared" si="169"/>
        <v>183791.02674999999</v>
      </c>
      <c r="S158" s="25"/>
      <c r="T158" s="25">
        <f>30000+10000</f>
        <v>40000</v>
      </c>
      <c r="U158" s="25">
        <f>70000+40000</f>
        <v>110000</v>
      </c>
      <c r="V158" s="25"/>
      <c r="W158" s="29">
        <v>1484.37</v>
      </c>
      <c r="X158" s="25">
        <f t="shared" si="162"/>
        <v>151484.37</v>
      </c>
      <c r="Y158" s="25">
        <v>72306.656749999995</v>
      </c>
      <c r="Z158" s="25">
        <f t="shared" si="161"/>
        <v>32306.656749999995</v>
      </c>
    </row>
    <row r="159" spans="1:26" ht="20.100000000000001" customHeight="1" x14ac:dyDescent="0.3">
      <c r="A159" s="12">
        <v>22</v>
      </c>
      <c r="B159" s="23" t="s">
        <v>285</v>
      </c>
      <c r="C159" s="24" t="s">
        <v>274</v>
      </c>
      <c r="D159" s="28" t="s">
        <v>106</v>
      </c>
      <c r="E159" s="47">
        <v>13492.21</v>
      </c>
      <c r="F159" s="29"/>
      <c r="G159" s="29">
        <f t="shared" si="163"/>
        <v>40476.629999999997</v>
      </c>
      <c r="H159" s="29">
        <f t="shared" si="164"/>
        <v>1011.9157499999999</v>
      </c>
      <c r="I159" s="29"/>
      <c r="J159" s="29">
        <f t="shared" si="165"/>
        <v>6746.1049999999996</v>
      </c>
      <c r="K159" s="25">
        <f t="shared" si="166"/>
        <v>47222.735000000001</v>
      </c>
      <c r="L159" s="29">
        <f t="shared" si="167"/>
        <v>13492.21</v>
      </c>
      <c r="M159" s="26"/>
      <c r="N159" s="26">
        <f>50000</f>
        <v>50000</v>
      </c>
      <c r="O159" s="29">
        <f t="shared" si="168"/>
        <v>1349.221</v>
      </c>
      <c r="P159" s="29">
        <v>10000</v>
      </c>
      <c r="Q159" s="29"/>
      <c r="R159" s="25">
        <f t="shared" si="169"/>
        <v>183791.02674999999</v>
      </c>
      <c r="S159" s="25"/>
      <c r="T159" s="25">
        <f>10000</f>
        <v>10000</v>
      </c>
      <c r="U159" s="25">
        <f>90000</f>
        <v>90000</v>
      </c>
      <c r="V159" s="25">
        <f>'[2]April 2022'!$H$53</f>
        <v>337.30525</v>
      </c>
      <c r="W159" s="29">
        <v>1484.37</v>
      </c>
      <c r="X159" s="25">
        <f t="shared" si="162"/>
        <v>101821.67525</v>
      </c>
      <c r="Y159" s="25">
        <v>137484.07149999999</v>
      </c>
      <c r="Z159" s="25">
        <f t="shared" si="161"/>
        <v>81969.35149999999</v>
      </c>
    </row>
    <row r="160" spans="1:26" ht="20.100000000000001" customHeight="1" x14ac:dyDescent="0.3">
      <c r="A160" s="12">
        <v>23</v>
      </c>
      <c r="B160" s="23" t="s">
        <v>286</v>
      </c>
      <c r="C160" s="24" t="s">
        <v>287</v>
      </c>
      <c r="D160" s="28" t="s">
        <v>106</v>
      </c>
      <c r="E160" s="47">
        <v>13492.21</v>
      </c>
      <c r="F160" s="29"/>
      <c r="G160" s="29">
        <f>E160*300%</f>
        <v>40476.629999999997</v>
      </c>
      <c r="H160" s="29">
        <f>E160*7.5%</f>
        <v>1011.9157499999999</v>
      </c>
      <c r="I160" s="29"/>
      <c r="J160" s="29">
        <f>E160*50%</f>
        <v>6746.1049999999996</v>
      </c>
      <c r="K160" s="25">
        <f>E160*350%</f>
        <v>47222.735000000001</v>
      </c>
      <c r="L160" s="29">
        <f>E160*100%</f>
        <v>13492.21</v>
      </c>
      <c r="M160" s="26"/>
      <c r="N160" s="26">
        <f>50000</f>
        <v>50000</v>
      </c>
      <c r="O160" s="29">
        <f>E160*10%</f>
        <v>1349.221</v>
      </c>
      <c r="P160" s="29">
        <v>10000</v>
      </c>
      <c r="Q160" s="29"/>
      <c r="R160" s="25">
        <f>SUM(E160:Q160)</f>
        <v>183791.02674999999</v>
      </c>
      <c r="S160" s="25"/>
      <c r="T160" s="25"/>
      <c r="U160" s="25"/>
      <c r="V160" s="25"/>
      <c r="W160" s="29">
        <v>1484.37</v>
      </c>
      <c r="X160" s="25">
        <f t="shared" si="162"/>
        <v>1484.37</v>
      </c>
      <c r="Y160" s="25">
        <v>182306.65674999999</v>
      </c>
      <c r="Z160" s="25">
        <f>R160-X160</f>
        <v>182306.65674999999</v>
      </c>
    </row>
    <row r="161" spans="1:26" ht="20.100000000000001" customHeight="1" x14ac:dyDescent="0.3">
      <c r="A161" s="12">
        <v>24</v>
      </c>
      <c r="B161" s="42" t="s">
        <v>288</v>
      </c>
      <c r="C161" s="24" t="s">
        <v>289</v>
      </c>
      <c r="D161" s="28" t="s">
        <v>108</v>
      </c>
      <c r="E161" s="47">
        <v>13112.16</v>
      </c>
      <c r="F161" s="29"/>
      <c r="G161" s="29">
        <f t="shared" si="163"/>
        <v>39336.479999999996</v>
      </c>
      <c r="H161" s="29">
        <f t="shared" si="164"/>
        <v>983.41199999999992</v>
      </c>
      <c r="I161" s="29"/>
      <c r="J161" s="29">
        <f t="shared" si="165"/>
        <v>6556.08</v>
      </c>
      <c r="K161" s="25">
        <f t="shared" si="166"/>
        <v>45892.56</v>
      </c>
      <c r="L161" s="29">
        <f>E161*100%</f>
        <v>13112.16</v>
      </c>
      <c r="M161" s="26"/>
      <c r="N161" s="26">
        <f>50000</f>
        <v>50000</v>
      </c>
      <c r="O161" s="29">
        <f>E161*10%</f>
        <v>1311.2160000000001</v>
      </c>
      <c r="P161" s="29">
        <v>10000</v>
      </c>
      <c r="R161" s="29">
        <f t="shared" si="169"/>
        <v>180304.068</v>
      </c>
      <c r="S161" s="29"/>
      <c r="T161" s="25">
        <f>30000</f>
        <v>30000</v>
      </c>
      <c r="U161" s="25">
        <f>25750</f>
        <v>25750</v>
      </c>
      <c r="V161" s="25"/>
      <c r="W161" s="29">
        <f>3369.51</f>
        <v>3369.51</v>
      </c>
      <c r="X161" s="25">
        <f t="shared" si="162"/>
        <v>59119.51</v>
      </c>
      <c r="Y161" s="25">
        <v>121184.55799999999</v>
      </c>
      <c r="Z161" s="25">
        <f t="shared" si="161"/>
        <v>121184.55799999999</v>
      </c>
    </row>
    <row r="162" spans="1:26" ht="20.100000000000001" customHeight="1" x14ac:dyDescent="0.3">
      <c r="A162" s="12">
        <v>25</v>
      </c>
      <c r="B162" s="42" t="s">
        <v>290</v>
      </c>
      <c r="C162" s="24" t="s">
        <v>274</v>
      </c>
      <c r="D162" s="28" t="s">
        <v>116</v>
      </c>
      <c r="E162" s="39">
        <v>12351.94</v>
      </c>
      <c r="F162" s="39"/>
      <c r="G162" s="39">
        <f>E162*300%</f>
        <v>37055.82</v>
      </c>
      <c r="H162" s="39">
        <f>E162*7.5%</f>
        <v>926.39549999999997</v>
      </c>
      <c r="I162" s="39"/>
      <c r="J162" s="39">
        <f>E162*50%</f>
        <v>6175.97</v>
      </c>
      <c r="K162" s="39">
        <f>E162*350%</f>
        <v>43231.79</v>
      </c>
      <c r="L162" s="39">
        <f>E162*100%</f>
        <v>12351.94</v>
      </c>
      <c r="M162" s="26"/>
      <c r="N162" s="26">
        <f>50000</f>
        <v>50000</v>
      </c>
      <c r="O162" s="39">
        <f>E162*10%</f>
        <v>1235.1940000000002</v>
      </c>
      <c r="P162" s="39">
        <v>10000</v>
      </c>
      <c r="Q162" s="39"/>
      <c r="R162" s="25">
        <f t="shared" ref="R162:R163" si="170">Q162+P162+O162+N162+M162+L162+K162+J162+I162+H162+G162+F162+E162</f>
        <v>173329.04949999999</v>
      </c>
      <c r="S162" s="25"/>
      <c r="T162" s="25">
        <f>50000</f>
        <v>50000</v>
      </c>
      <c r="U162" s="25">
        <f>50000</f>
        <v>50000</v>
      </c>
      <c r="V162" s="25">
        <f>0</f>
        <v>0</v>
      </c>
      <c r="W162" s="29">
        <v>1484.37</v>
      </c>
      <c r="X162" s="25">
        <f t="shared" si="162"/>
        <v>101484.37</v>
      </c>
      <c r="Y162" s="25">
        <v>71844.679499999998</v>
      </c>
      <c r="Z162" s="25">
        <f>R162-X162</f>
        <v>71844.679499999998</v>
      </c>
    </row>
    <row r="163" spans="1:26" ht="20.100000000000001" customHeight="1" x14ac:dyDescent="0.3">
      <c r="A163" s="12">
        <v>26</v>
      </c>
      <c r="B163" s="42" t="s">
        <v>291</v>
      </c>
      <c r="C163" s="24" t="s">
        <v>274</v>
      </c>
      <c r="D163" s="28" t="s">
        <v>116</v>
      </c>
      <c r="E163" s="39">
        <v>12351.94</v>
      </c>
      <c r="F163" s="39"/>
      <c r="G163" s="39">
        <f t="shared" ref="G163:G166" si="171">E163*300%</f>
        <v>37055.82</v>
      </c>
      <c r="H163" s="39">
        <f t="shared" ref="H163:H166" si="172">E163*7.5%</f>
        <v>926.39549999999997</v>
      </c>
      <c r="I163" s="39"/>
      <c r="J163" s="39">
        <f t="shared" ref="J163:J166" si="173">E163*50%</f>
        <v>6175.97</v>
      </c>
      <c r="K163" s="39">
        <f t="shared" ref="K163:K166" si="174">E163*350%</f>
        <v>43231.79</v>
      </c>
      <c r="L163" s="39">
        <f t="shared" ref="L163:L176" si="175">E163*100%</f>
        <v>12351.94</v>
      </c>
      <c r="M163" s="26"/>
      <c r="N163" s="26">
        <f>50000</f>
        <v>50000</v>
      </c>
      <c r="O163" s="39">
        <f t="shared" ref="O163:O195" si="176">E163*10%</f>
        <v>1235.1940000000002</v>
      </c>
      <c r="P163" s="39">
        <v>10000</v>
      </c>
      <c r="Q163" s="39"/>
      <c r="R163" s="25">
        <f t="shared" si="170"/>
        <v>173329.04949999999</v>
      </c>
      <c r="S163" s="25"/>
      <c r="T163" s="25">
        <f>20000</f>
        <v>20000</v>
      </c>
      <c r="U163" s="25"/>
      <c r="V163" s="25">
        <f>0</f>
        <v>0</v>
      </c>
      <c r="W163" s="29">
        <v>1484.37</v>
      </c>
      <c r="X163" s="25">
        <f t="shared" si="162"/>
        <v>21484.37</v>
      </c>
      <c r="Y163" s="25">
        <v>151844.6795</v>
      </c>
      <c r="Z163" s="25">
        <f t="shared" ref="Z163:Z166" si="177">R163-X163</f>
        <v>151844.6795</v>
      </c>
    </row>
    <row r="164" spans="1:26" ht="20.100000000000001" customHeight="1" x14ac:dyDescent="0.3">
      <c r="A164" s="12">
        <v>27</v>
      </c>
      <c r="B164" s="42" t="s">
        <v>292</v>
      </c>
      <c r="C164" s="24" t="s">
        <v>289</v>
      </c>
      <c r="D164" s="28" t="s">
        <v>116</v>
      </c>
      <c r="E164" s="39">
        <v>12351.94</v>
      </c>
      <c r="F164" s="39"/>
      <c r="G164" s="39">
        <f t="shared" si="171"/>
        <v>37055.82</v>
      </c>
      <c r="H164" s="39">
        <f t="shared" si="172"/>
        <v>926.39549999999997</v>
      </c>
      <c r="I164" s="39"/>
      <c r="J164" s="39">
        <f t="shared" si="173"/>
        <v>6175.97</v>
      </c>
      <c r="K164" s="39">
        <f t="shared" si="174"/>
        <v>43231.79</v>
      </c>
      <c r="L164" s="39">
        <f t="shared" si="175"/>
        <v>12351.94</v>
      </c>
      <c r="M164" s="26"/>
      <c r="N164" s="26">
        <f>50000</f>
        <v>50000</v>
      </c>
      <c r="O164" s="39">
        <f t="shared" si="176"/>
        <v>1235.1940000000002</v>
      </c>
      <c r="P164" s="39">
        <v>10000</v>
      </c>
      <c r="Q164" s="39"/>
      <c r="R164" s="25">
        <f>(Q164+P164+O164+N164+M164+L164+K164+J164+I164+H164+G164+F164+E164)</f>
        <v>173329.04949999999</v>
      </c>
      <c r="S164" s="25"/>
      <c r="T164" s="25"/>
      <c r="U164" s="25"/>
      <c r="V164" s="25">
        <f>0</f>
        <v>0</v>
      </c>
      <c r="W164" s="29">
        <v>1484.37</v>
      </c>
      <c r="X164" s="25">
        <f t="shared" si="162"/>
        <v>1484.37</v>
      </c>
      <c r="Y164" s="25">
        <v>171844.6795</v>
      </c>
      <c r="Z164" s="25">
        <f t="shared" si="177"/>
        <v>171844.6795</v>
      </c>
    </row>
    <row r="165" spans="1:26" ht="20.100000000000001" customHeight="1" x14ac:dyDescent="0.3">
      <c r="A165" s="12">
        <v>28</v>
      </c>
      <c r="B165" s="42" t="s">
        <v>293</v>
      </c>
      <c r="C165" s="24" t="s">
        <v>294</v>
      </c>
      <c r="D165" s="28" t="s">
        <v>116</v>
      </c>
      <c r="E165" s="39">
        <v>12351.94</v>
      </c>
      <c r="F165" s="39"/>
      <c r="G165" s="39">
        <f t="shared" si="171"/>
        <v>37055.82</v>
      </c>
      <c r="H165" s="39">
        <f t="shared" si="172"/>
        <v>926.39549999999997</v>
      </c>
      <c r="I165" s="39"/>
      <c r="J165" s="39">
        <f t="shared" si="173"/>
        <v>6175.97</v>
      </c>
      <c r="K165" s="39">
        <f t="shared" si="174"/>
        <v>43231.79</v>
      </c>
      <c r="L165" s="39">
        <f t="shared" si="175"/>
        <v>12351.94</v>
      </c>
      <c r="M165" s="26"/>
      <c r="N165" s="26">
        <f>50000</f>
        <v>50000</v>
      </c>
      <c r="O165" s="39">
        <f t="shared" si="176"/>
        <v>1235.1940000000002</v>
      </c>
      <c r="P165" s="39">
        <v>10000</v>
      </c>
      <c r="Q165" s="39"/>
      <c r="R165" s="25">
        <f>(Q165+P165+O165+N165+M165+L165+K165+J165+I165+H165+G165+F165+E165)</f>
        <v>173329.04949999999</v>
      </c>
      <c r="S165" s="25"/>
      <c r="T165" s="25"/>
      <c r="U165" s="25"/>
      <c r="V165" s="25">
        <f>0</f>
        <v>0</v>
      </c>
      <c r="W165" s="29">
        <v>1484.37</v>
      </c>
      <c r="X165" s="25">
        <f t="shared" si="162"/>
        <v>1484.37</v>
      </c>
      <c r="Y165" s="25">
        <v>171844.6795</v>
      </c>
      <c r="Z165" s="25">
        <f t="shared" si="177"/>
        <v>171844.6795</v>
      </c>
    </row>
    <row r="166" spans="1:26" ht="20.100000000000001" customHeight="1" x14ac:dyDescent="0.3">
      <c r="A166" s="12">
        <v>29</v>
      </c>
      <c r="B166" s="42" t="s">
        <v>295</v>
      </c>
      <c r="C166" s="24" t="s">
        <v>296</v>
      </c>
      <c r="D166" s="28" t="s">
        <v>116</v>
      </c>
      <c r="E166" s="39">
        <v>12351.94</v>
      </c>
      <c r="F166" s="39">
        <f>560000</f>
        <v>560000</v>
      </c>
      <c r="G166" s="39">
        <f t="shared" si="171"/>
        <v>37055.82</v>
      </c>
      <c r="H166" s="39">
        <f t="shared" si="172"/>
        <v>926.39549999999997</v>
      </c>
      <c r="I166" s="39"/>
      <c r="J166" s="39">
        <f t="shared" si="173"/>
        <v>6175.97</v>
      </c>
      <c r="K166" s="39">
        <f t="shared" si="174"/>
        <v>43231.79</v>
      </c>
      <c r="L166" s="39">
        <f t="shared" si="175"/>
        <v>12351.94</v>
      </c>
      <c r="M166" s="26"/>
      <c r="N166" s="26">
        <f>50000</f>
        <v>50000</v>
      </c>
      <c r="O166" s="39">
        <f t="shared" si="176"/>
        <v>1235.1940000000002</v>
      </c>
      <c r="P166" s="39">
        <v>10000</v>
      </c>
      <c r="Q166" s="39"/>
      <c r="R166" s="25">
        <f>(Q166+P166+O166+N166+M166+L166+K166+J166+I166+H166+G166+F166+E166)</f>
        <v>733329.04949999996</v>
      </c>
      <c r="S166" s="25"/>
      <c r="T166" s="25">
        <f>10000+5000</f>
        <v>15000</v>
      </c>
      <c r="U166" s="25">
        <f>32000+10000</f>
        <v>42000</v>
      </c>
      <c r="V166" s="25">
        <f>0</f>
        <v>0</v>
      </c>
      <c r="W166" s="29">
        <v>1484.37</v>
      </c>
      <c r="X166" s="25">
        <f t="shared" si="162"/>
        <v>58484.37</v>
      </c>
      <c r="Y166" s="25"/>
      <c r="Z166" s="25">
        <f t="shared" si="177"/>
        <v>674844.67949999997</v>
      </c>
    </row>
    <row r="167" spans="1:26" ht="20.100000000000001" customHeight="1" x14ac:dyDescent="0.3">
      <c r="A167" s="12">
        <v>30</v>
      </c>
      <c r="B167" s="41" t="s">
        <v>297</v>
      </c>
      <c r="C167" s="24" t="s">
        <v>298</v>
      </c>
      <c r="D167" s="28" t="s">
        <v>299</v>
      </c>
      <c r="E167" s="76">
        <v>9050.14</v>
      </c>
      <c r="F167" s="26"/>
      <c r="G167" s="29">
        <f t="shared" si="163"/>
        <v>27150.42</v>
      </c>
      <c r="H167" s="29">
        <f t="shared" si="164"/>
        <v>678.76049999999998</v>
      </c>
      <c r="I167" s="47">
        <v>0</v>
      </c>
      <c r="J167" s="29">
        <f t="shared" si="165"/>
        <v>4525.07</v>
      </c>
      <c r="K167" s="25">
        <f t="shared" si="166"/>
        <v>31675.489999999998</v>
      </c>
      <c r="L167" s="29">
        <f t="shared" si="175"/>
        <v>9050.14</v>
      </c>
      <c r="M167" s="26"/>
      <c r="N167" s="26">
        <f>30000</f>
        <v>30000</v>
      </c>
      <c r="O167" s="29">
        <f t="shared" si="176"/>
        <v>905.01400000000001</v>
      </c>
      <c r="P167" s="47">
        <v>5000</v>
      </c>
      <c r="Q167" s="29">
        <f>4000</f>
        <v>4000</v>
      </c>
      <c r="R167" s="25">
        <f t="shared" ref="R167:R194" si="178">SUM(E167:Q167)</f>
        <v>122035.03449999999</v>
      </c>
      <c r="S167" s="25"/>
      <c r="T167" s="25">
        <f>20000+5000</f>
        <v>25000</v>
      </c>
      <c r="U167" s="25">
        <f>47916.66</f>
        <v>47916.66</v>
      </c>
      <c r="V167" s="25">
        <f>'[2]April 2022'!$H$39</f>
        <v>226.2535</v>
      </c>
      <c r="W167" s="25">
        <v>236.04</v>
      </c>
      <c r="X167" s="25">
        <f t="shared" si="162"/>
        <v>73378.953500000003</v>
      </c>
      <c r="Y167" s="25">
        <v>48656.080999999991</v>
      </c>
      <c r="Z167" s="25">
        <f t="shared" si="161"/>
        <v>48656.080999999991</v>
      </c>
    </row>
    <row r="168" spans="1:26" ht="20.100000000000001" customHeight="1" x14ac:dyDescent="0.3">
      <c r="A168" s="12">
        <v>31</v>
      </c>
      <c r="B168" s="41" t="s">
        <v>300</v>
      </c>
      <c r="C168" s="24" t="s">
        <v>298</v>
      </c>
      <c r="D168" s="28" t="s">
        <v>299</v>
      </c>
      <c r="E168" s="76">
        <v>9050.14</v>
      </c>
      <c r="F168" s="26"/>
      <c r="G168" s="29">
        <f t="shared" si="163"/>
        <v>27150.42</v>
      </c>
      <c r="H168" s="29">
        <f t="shared" si="164"/>
        <v>678.76049999999998</v>
      </c>
      <c r="I168" s="47">
        <v>0</v>
      </c>
      <c r="J168" s="29">
        <f t="shared" si="165"/>
        <v>4525.07</v>
      </c>
      <c r="K168" s="25">
        <f t="shared" si="166"/>
        <v>31675.489999999998</v>
      </c>
      <c r="L168" s="29">
        <f t="shared" si="175"/>
        <v>9050.14</v>
      </c>
      <c r="M168" s="26"/>
      <c r="N168" s="26">
        <f>30000</f>
        <v>30000</v>
      </c>
      <c r="O168" s="29">
        <f t="shared" si="176"/>
        <v>905.01400000000001</v>
      </c>
      <c r="P168" s="47">
        <v>5000</v>
      </c>
      <c r="Q168" s="29">
        <f>7000</f>
        <v>7000</v>
      </c>
      <c r="R168" s="25">
        <f t="shared" si="178"/>
        <v>125035.03449999999</v>
      </c>
      <c r="S168" s="25"/>
      <c r="T168" s="25">
        <f>5000+5000</f>
        <v>10000</v>
      </c>
      <c r="U168" s="25">
        <f>14524.11</f>
        <v>14524.11</v>
      </c>
      <c r="V168" s="25"/>
      <c r="W168" s="25">
        <v>236.04</v>
      </c>
      <c r="X168" s="25">
        <f t="shared" si="162"/>
        <v>24760.15</v>
      </c>
      <c r="Y168" s="25">
        <v>100274.88449999999</v>
      </c>
      <c r="Z168" s="25">
        <f t="shared" si="161"/>
        <v>100274.88449999999</v>
      </c>
    </row>
    <row r="169" spans="1:26" ht="20.100000000000001" customHeight="1" x14ac:dyDescent="0.3">
      <c r="A169" s="12">
        <v>32</v>
      </c>
      <c r="B169" s="41" t="s">
        <v>301</v>
      </c>
      <c r="C169" s="24" t="s">
        <v>298</v>
      </c>
      <c r="D169" s="28" t="s">
        <v>299</v>
      </c>
      <c r="E169" s="76">
        <v>9050.14</v>
      </c>
      <c r="F169" s="26"/>
      <c r="G169" s="29">
        <f t="shared" si="163"/>
        <v>27150.42</v>
      </c>
      <c r="H169" s="29">
        <f t="shared" si="164"/>
        <v>678.76049999999998</v>
      </c>
      <c r="I169" s="29">
        <v>0</v>
      </c>
      <c r="J169" s="29">
        <f t="shared" si="165"/>
        <v>4525.07</v>
      </c>
      <c r="K169" s="25">
        <f t="shared" si="166"/>
        <v>31675.489999999998</v>
      </c>
      <c r="L169" s="29">
        <f t="shared" si="175"/>
        <v>9050.14</v>
      </c>
      <c r="M169" s="26"/>
      <c r="N169" s="26">
        <f>30000</f>
        <v>30000</v>
      </c>
      <c r="O169" s="29">
        <f t="shared" si="176"/>
        <v>905.01400000000001</v>
      </c>
      <c r="P169" s="29">
        <v>5000</v>
      </c>
      <c r="Q169" s="29">
        <f>4000</f>
        <v>4000</v>
      </c>
      <c r="R169" s="25">
        <f t="shared" si="178"/>
        <v>122035.03449999999</v>
      </c>
      <c r="S169" s="25"/>
      <c r="T169" s="25">
        <f>10000+5000</f>
        <v>15000</v>
      </c>
      <c r="U169" s="25">
        <f>38541.67</f>
        <v>38541.67</v>
      </c>
      <c r="V169" s="25"/>
      <c r="W169" s="25">
        <v>236.04</v>
      </c>
      <c r="X169" s="25">
        <f t="shared" si="162"/>
        <v>53777.71</v>
      </c>
      <c r="Y169" s="25">
        <v>68257.324499999988</v>
      </c>
      <c r="Z169" s="25">
        <f t="shared" si="161"/>
        <v>68257.324499999988</v>
      </c>
    </row>
    <row r="170" spans="1:26" ht="20.100000000000001" customHeight="1" x14ac:dyDescent="0.3">
      <c r="A170" s="12">
        <v>33</v>
      </c>
      <c r="B170" s="41" t="s">
        <v>302</v>
      </c>
      <c r="C170" s="24" t="s">
        <v>298</v>
      </c>
      <c r="D170" s="28" t="s">
        <v>299</v>
      </c>
      <c r="E170" s="76">
        <v>9050.14</v>
      </c>
      <c r="F170" s="26"/>
      <c r="G170" s="29">
        <f t="shared" si="163"/>
        <v>27150.42</v>
      </c>
      <c r="H170" s="29">
        <f t="shared" si="164"/>
        <v>678.76049999999998</v>
      </c>
      <c r="I170" s="29">
        <v>0</v>
      </c>
      <c r="J170" s="29">
        <f t="shared" si="165"/>
        <v>4525.07</v>
      </c>
      <c r="K170" s="25">
        <f t="shared" si="166"/>
        <v>31675.489999999998</v>
      </c>
      <c r="L170" s="29">
        <f t="shared" si="175"/>
        <v>9050.14</v>
      </c>
      <c r="M170" s="26"/>
      <c r="N170" s="26">
        <f>30000</f>
        <v>30000</v>
      </c>
      <c r="O170" s="29">
        <f t="shared" si="176"/>
        <v>905.01400000000001</v>
      </c>
      <c r="P170" s="29">
        <v>5000</v>
      </c>
      <c r="Q170" s="29">
        <f>4000</f>
        <v>4000</v>
      </c>
      <c r="R170" s="25">
        <f t="shared" si="178"/>
        <v>122035.03449999999</v>
      </c>
      <c r="S170" s="25"/>
      <c r="T170" s="25">
        <f>5000+5000</f>
        <v>10000</v>
      </c>
      <c r="U170" s="25">
        <f>15972.22</f>
        <v>15972.22</v>
      </c>
      <c r="V170" s="25"/>
      <c r="W170" s="25">
        <v>236.04</v>
      </c>
      <c r="X170" s="25">
        <f t="shared" si="162"/>
        <v>26208.260000000002</v>
      </c>
      <c r="Y170" s="25">
        <v>95826.7745</v>
      </c>
      <c r="Z170" s="25">
        <f t="shared" si="161"/>
        <v>95826.7745</v>
      </c>
    </row>
    <row r="171" spans="1:26" ht="20.100000000000001" customHeight="1" x14ac:dyDescent="0.3">
      <c r="A171" s="12">
        <v>34</v>
      </c>
      <c r="B171" s="41" t="s">
        <v>303</v>
      </c>
      <c r="C171" s="24" t="s">
        <v>298</v>
      </c>
      <c r="D171" s="28" t="s">
        <v>299</v>
      </c>
      <c r="E171" s="76">
        <v>9050.14</v>
      </c>
      <c r="F171" s="26"/>
      <c r="G171" s="29">
        <f t="shared" si="163"/>
        <v>27150.42</v>
      </c>
      <c r="H171" s="29">
        <f t="shared" si="164"/>
        <v>678.76049999999998</v>
      </c>
      <c r="I171" s="29">
        <v>0</v>
      </c>
      <c r="J171" s="29">
        <f t="shared" si="165"/>
        <v>4525.07</v>
      </c>
      <c r="K171" s="25">
        <f t="shared" si="166"/>
        <v>31675.489999999998</v>
      </c>
      <c r="L171" s="29">
        <f t="shared" si="175"/>
        <v>9050.14</v>
      </c>
      <c r="M171" s="26"/>
      <c r="N171" s="26">
        <f>30000</f>
        <v>30000</v>
      </c>
      <c r="O171" s="29">
        <f t="shared" si="176"/>
        <v>905.01400000000001</v>
      </c>
      <c r="P171" s="29">
        <v>5000</v>
      </c>
      <c r="Q171" s="29">
        <f>4000</f>
        <v>4000</v>
      </c>
      <c r="R171" s="25">
        <f t="shared" si="178"/>
        <v>122035.03449999999</v>
      </c>
      <c r="S171" s="25"/>
      <c r="T171" s="25">
        <v>5000</v>
      </c>
      <c r="U171" s="25">
        <f>0</f>
        <v>0</v>
      </c>
      <c r="V171" s="25"/>
      <c r="W171" s="25">
        <v>236.04</v>
      </c>
      <c r="X171" s="25">
        <f t="shared" si="162"/>
        <v>5236.04</v>
      </c>
      <c r="Y171" s="25">
        <v>116798.9945</v>
      </c>
      <c r="Z171" s="25">
        <f t="shared" si="161"/>
        <v>116798.9945</v>
      </c>
    </row>
    <row r="172" spans="1:26" ht="20.100000000000001" customHeight="1" x14ac:dyDescent="0.3">
      <c r="A172" s="12">
        <v>35</v>
      </c>
      <c r="B172" s="41" t="s">
        <v>304</v>
      </c>
      <c r="C172" s="24" t="s">
        <v>298</v>
      </c>
      <c r="D172" s="28" t="s">
        <v>299</v>
      </c>
      <c r="E172" s="76">
        <v>9050.14</v>
      </c>
      <c r="F172" s="26"/>
      <c r="G172" s="29">
        <f t="shared" si="163"/>
        <v>27150.42</v>
      </c>
      <c r="H172" s="29">
        <f t="shared" si="164"/>
        <v>678.76049999999998</v>
      </c>
      <c r="I172" s="29">
        <v>0</v>
      </c>
      <c r="J172" s="29">
        <f t="shared" si="165"/>
        <v>4525.07</v>
      </c>
      <c r="K172" s="25">
        <f t="shared" si="166"/>
        <v>31675.489999999998</v>
      </c>
      <c r="L172" s="29">
        <f t="shared" si="175"/>
        <v>9050.14</v>
      </c>
      <c r="M172" s="26"/>
      <c r="N172" s="26">
        <f>30000</f>
        <v>30000</v>
      </c>
      <c r="O172" s="29">
        <f t="shared" si="176"/>
        <v>905.01400000000001</v>
      </c>
      <c r="P172" s="29">
        <v>5000</v>
      </c>
      <c r="Q172" s="29">
        <f>4000</f>
        <v>4000</v>
      </c>
      <c r="R172" s="25">
        <f t="shared" si="178"/>
        <v>122035.03449999999</v>
      </c>
      <c r="S172" s="25"/>
      <c r="T172" s="25">
        <f>5000+5000</f>
        <v>10000</v>
      </c>
      <c r="U172" s="25">
        <f>25704.84+20000</f>
        <v>45704.84</v>
      </c>
      <c r="V172" s="25">
        <f>'[2]April 2022'!$H$51</f>
        <v>226.2535</v>
      </c>
      <c r="W172" s="25">
        <v>236.04</v>
      </c>
      <c r="X172" s="25">
        <f t="shared" si="162"/>
        <v>56167.133499999996</v>
      </c>
      <c r="Y172" s="25">
        <v>85867.900999999998</v>
      </c>
      <c r="Z172" s="25">
        <f t="shared" si="161"/>
        <v>65867.900999999998</v>
      </c>
    </row>
    <row r="173" spans="1:26" ht="20.100000000000001" customHeight="1" x14ac:dyDescent="0.3">
      <c r="A173" s="12">
        <v>36</v>
      </c>
      <c r="B173" s="41" t="s">
        <v>305</v>
      </c>
      <c r="C173" s="24" t="s">
        <v>298</v>
      </c>
      <c r="D173" s="28" t="s">
        <v>299</v>
      </c>
      <c r="E173" s="76">
        <v>9050.14</v>
      </c>
      <c r="F173" s="26"/>
      <c r="G173" s="29">
        <f t="shared" si="163"/>
        <v>27150.42</v>
      </c>
      <c r="H173" s="29">
        <f t="shared" si="164"/>
        <v>678.76049999999998</v>
      </c>
      <c r="I173" s="29">
        <v>0</v>
      </c>
      <c r="J173" s="29">
        <f t="shared" si="165"/>
        <v>4525.07</v>
      </c>
      <c r="K173" s="25">
        <f t="shared" si="166"/>
        <v>31675.489999999998</v>
      </c>
      <c r="L173" s="29">
        <f t="shared" si="175"/>
        <v>9050.14</v>
      </c>
      <c r="M173" s="26"/>
      <c r="N173" s="26">
        <f>30000</f>
        <v>30000</v>
      </c>
      <c r="O173" s="29">
        <f t="shared" si="176"/>
        <v>905.01400000000001</v>
      </c>
      <c r="P173" s="29">
        <v>5000</v>
      </c>
      <c r="Q173" s="29">
        <f>4000</f>
        <v>4000</v>
      </c>
      <c r="R173" s="25">
        <f t="shared" si="178"/>
        <v>122035.03449999999</v>
      </c>
      <c r="S173" s="25"/>
      <c r="T173" s="25">
        <f>10000+5000</f>
        <v>15000</v>
      </c>
      <c r="U173" s="25">
        <f>15112.49+15000</f>
        <v>30112.489999999998</v>
      </c>
      <c r="V173" s="25"/>
      <c r="W173" s="25">
        <v>236.04</v>
      </c>
      <c r="X173" s="25">
        <f t="shared" si="162"/>
        <v>45348.53</v>
      </c>
      <c r="Y173" s="25">
        <v>91686.504499999995</v>
      </c>
      <c r="Z173" s="25">
        <f t="shared" si="161"/>
        <v>76686.504499999995</v>
      </c>
    </row>
    <row r="174" spans="1:26" ht="20.100000000000001" customHeight="1" x14ac:dyDescent="0.3">
      <c r="A174" s="12">
        <v>37</v>
      </c>
      <c r="B174" s="41" t="s">
        <v>306</v>
      </c>
      <c r="C174" s="24" t="s">
        <v>307</v>
      </c>
      <c r="D174" s="28" t="s">
        <v>308</v>
      </c>
      <c r="E174" s="29">
        <v>5769.6</v>
      </c>
      <c r="F174" s="26"/>
      <c r="G174" s="29">
        <f t="shared" si="163"/>
        <v>17308.800000000003</v>
      </c>
      <c r="H174" s="29">
        <f t="shared" si="164"/>
        <v>432.72</v>
      </c>
      <c r="I174" s="29">
        <v>0</v>
      </c>
      <c r="J174" s="29">
        <f t="shared" si="165"/>
        <v>2884.8</v>
      </c>
      <c r="K174" s="25">
        <f t="shared" si="166"/>
        <v>20193.600000000002</v>
      </c>
      <c r="L174" s="29">
        <f t="shared" si="175"/>
        <v>5769.6</v>
      </c>
      <c r="M174" s="26"/>
      <c r="N174" s="26">
        <f>20000</f>
        <v>20000</v>
      </c>
      <c r="O174" s="29">
        <f t="shared" si="176"/>
        <v>576.96</v>
      </c>
      <c r="P174" s="29">
        <v>5000</v>
      </c>
      <c r="Q174" s="29">
        <f>7000</f>
        <v>7000</v>
      </c>
      <c r="R174" s="25">
        <f t="shared" si="178"/>
        <v>84936.08</v>
      </c>
      <c r="S174" s="25"/>
      <c r="T174" s="25">
        <f>5000+5000</f>
        <v>10000</v>
      </c>
      <c r="U174" s="25">
        <f>26430.62+10000</f>
        <v>36430.619999999995</v>
      </c>
      <c r="V174" s="25"/>
      <c r="W174" s="25">
        <v>236.04</v>
      </c>
      <c r="X174" s="25">
        <f t="shared" si="162"/>
        <v>46666.659999999996</v>
      </c>
      <c r="Y174" s="25">
        <v>48269.42</v>
      </c>
      <c r="Z174" s="25">
        <f t="shared" si="161"/>
        <v>38269.420000000006</v>
      </c>
    </row>
    <row r="175" spans="1:26" ht="20.100000000000001" customHeight="1" x14ac:dyDescent="0.3">
      <c r="A175" s="12">
        <v>38</v>
      </c>
      <c r="B175" s="41" t="s">
        <v>309</v>
      </c>
      <c r="C175" s="24" t="s">
        <v>307</v>
      </c>
      <c r="D175" s="28" t="s">
        <v>308</v>
      </c>
      <c r="E175" s="29">
        <v>5769.6</v>
      </c>
      <c r="F175" s="26"/>
      <c r="G175" s="29">
        <f t="shared" si="163"/>
        <v>17308.800000000003</v>
      </c>
      <c r="H175" s="29">
        <f t="shared" si="164"/>
        <v>432.72</v>
      </c>
      <c r="I175" s="29">
        <v>0</v>
      </c>
      <c r="J175" s="29">
        <f t="shared" si="165"/>
        <v>2884.8</v>
      </c>
      <c r="K175" s="25">
        <f t="shared" si="166"/>
        <v>20193.600000000002</v>
      </c>
      <c r="L175" s="29">
        <f t="shared" si="175"/>
        <v>5769.6</v>
      </c>
      <c r="M175" s="26"/>
      <c r="N175" s="26">
        <f>20000</f>
        <v>20000</v>
      </c>
      <c r="O175" s="29">
        <f t="shared" si="176"/>
        <v>576.96</v>
      </c>
      <c r="P175" s="29">
        <v>5000</v>
      </c>
      <c r="Q175" s="29">
        <f>4000</f>
        <v>4000</v>
      </c>
      <c r="R175" s="25">
        <f t="shared" si="178"/>
        <v>81936.08</v>
      </c>
      <c r="S175" s="25"/>
      <c r="T175" s="25">
        <f>3000+5000</f>
        <v>8000</v>
      </c>
      <c r="U175" s="25">
        <f>16250</f>
        <v>16250</v>
      </c>
      <c r="V175" s="25"/>
      <c r="W175" s="25">
        <v>236.04</v>
      </c>
      <c r="X175" s="25">
        <f t="shared" si="162"/>
        <v>24486.04</v>
      </c>
      <c r="Y175" s="25">
        <v>57450.04</v>
      </c>
      <c r="Z175" s="25">
        <f t="shared" si="161"/>
        <v>57450.04</v>
      </c>
    </row>
    <row r="176" spans="1:26" ht="20.100000000000001" customHeight="1" x14ac:dyDescent="0.3">
      <c r="A176" s="12">
        <v>39</v>
      </c>
      <c r="B176" s="41" t="s">
        <v>310</v>
      </c>
      <c r="C176" s="24" t="s">
        <v>307</v>
      </c>
      <c r="D176" s="28" t="s">
        <v>308</v>
      </c>
      <c r="E176" s="29">
        <v>5769.6</v>
      </c>
      <c r="F176" s="26"/>
      <c r="G176" s="29">
        <f t="shared" si="163"/>
        <v>17308.800000000003</v>
      </c>
      <c r="H176" s="29">
        <f t="shared" si="164"/>
        <v>432.72</v>
      </c>
      <c r="I176" s="29">
        <v>0</v>
      </c>
      <c r="J176" s="29">
        <f t="shared" si="165"/>
        <v>2884.8</v>
      </c>
      <c r="K176" s="25">
        <f t="shared" si="166"/>
        <v>20193.600000000002</v>
      </c>
      <c r="L176" s="29">
        <f t="shared" si="175"/>
        <v>5769.6</v>
      </c>
      <c r="M176" s="26"/>
      <c r="N176" s="26">
        <f>20000</f>
        <v>20000</v>
      </c>
      <c r="O176" s="29">
        <f t="shared" si="176"/>
        <v>576.96</v>
      </c>
      <c r="P176" s="29">
        <v>5000</v>
      </c>
      <c r="Q176" s="29">
        <f>4000</f>
        <v>4000</v>
      </c>
      <c r="R176" s="25">
        <f t="shared" si="178"/>
        <v>81936.08</v>
      </c>
      <c r="S176" s="25"/>
      <c r="T176" s="25">
        <f>3000+5000</f>
        <v>8000</v>
      </c>
      <c r="U176" s="25">
        <f>16729.17</f>
        <v>16729.169999999998</v>
      </c>
      <c r="V176" s="25"/>
      <c r="W176" s="25">
        <v>236.04</v>
      </c>
      <c r="X176" s="25">
        <f t="shared" si="162"/>
        <v>24965.21</v>
      </c>
      <c r="Y176" s="25">
        <v>56970.87</v>
      </c>
      <c r="Z176" s="25">
        <f t="shared" si="161"/>
        <v>56970.87</v>
      </c>
    </row>
    <row r="177" spans="1:26" ht="20.100000000000001" customHeight="1" x14ac:dyDescent="0.3">
      <c r="A177" s="12">
        <v>40</v>
      </c>
      <c r="B177" s="53" t="s">
        <v>311</v>
      </c>
      <c r="C177" s="24" t="s">
        <v>307</v>
      </c>
      <c r="D177" s="28" t="s">
        <v>308</v>
      </c>
      <c r="E177" s="29">
        <v>5769.6</v>
      </c>
      <c r="F177" s="26"/>
      <c r="G177" s="29">
        <f t="shared" si="163"/>
        <v>17308.800000000003</v>
      </c>
      <c r="H177" s="29">
        <f t="shared" si="164"/>
        <v>432.72</v>
      </c>
      <c r="I177" s="29">
        <v>0</v>
      </c>
      <c r="J177" s="29">
        <f t="shared" si="165"/>
        <v>2884.8</v>
      </c>
      <c r="K177" s="25">
        <f t="shared" si="166"/>
        <v>20193.600000000002</v>
      </c>
      <c r="L177" s="29">
        <f>E176*100%</f>
        <v>5769.6</v>
      </c>
      <c r="M177" s="26"/>
      <c r="N177" s="26">
        <f>20000</f>
        <v>20000</v>
      </c>
      <c r="O177" s="29">
        <f t="shared" si="176"/>
        <v>576.96</v>
      </c>
      <c r="P177" s="29">
        <v>5000</v>
      </c>
      <c r="Q177" s="29">
        <f>7000</f>
        <v>7000</v>
      </c>
      <c r="R177" s="25">
        <f t="shared" si="178"/>
        <v>84936.08</v>
      </c>
      <c r="S177" s="25"/>
      <c r="T177" s="25">
        <f>5000+5000</f>
        <v>10000</v>
      </c>
      <c r="U177" s="25">
        <f>26000+10000</f>
        <v>36000</v>
      </c>
      <c r="V177" s="25"/>
      <c r="W177" s="25">
        <v>236.04</v>
      </c>
      <c r="X177" s="25">
        <f t="shared" si="162"/>
        <v>46236.04</v>
      </c>
      <c r="Y177" s="25">
        <v>48700.04</v>
      </c>
      <c r="Z177" s="25">
        <f t="shared" si="161"/>
        <v>38700.04</v>
      </c>
    </row>
    <row r="178" spans="1:26" ht="20.100000000000001" customHeight="1" x14ac:dyDescent="0.3">
      <c r="A178" s="12">
        <v>41</v>
      </c>
      <c r="B178" s="23" t="s">
        <v>312</v>
      </c>
      <c r="C178" s="24" t="s">
        <v>307</v>
      </c>
      <c r="D178" s="28" t="s">
        <v>308</v>
      </c>
      <c r="E178" s="29">
        <v>5769.6</v>
      </c>
      <c r="F178" s="26"/>
      <c r="G178" s="29">
        <f t="shared" si="163"/>
        <v>17308.800000000003</v>
      </c>
      <c r="H178" s="29">
        <f t="shared" si="164"/>
        <v>432.72</v>
      </c>
      <c r="I178" s="29"/>
      <c r="J178" s="29">
        <f t="shared" si="165"/>
        <v>2884.8</v>
      </c>
      <c r="K178" s="25">
        <f t="shared" si="166"/>
        <v>20193.600000000002</v>
      </c>
      <c r="L178" s="29">
        <f t="shared" ref="L178:L195" si="179">E178*100%</f>
        <v>5769.6</v>
      </c>
      <c r="M178" s="26"/>
      <c r="N178" s="26">
        <f>20000</f>
        <v>20000</v>
      </c>
      <c r="O178" s="29">
        <f t="shared" si="176"/>
        <v>576.96</v>
      </c>
      <c r="P178" s="29">
        <v>5000</v>
      </c>
      <c r="Q178" s="29">
        <f>4000</f>
        <v>4000</v>
      </c>
      <c r="R178" s="25">
        <f t="shared" si="178"/>
        <v>81936.08</v>
      </c>
      <c r="S178" s="25"/>
      <c r="T178" s="25">
        <f>10000+5000</f>
        <v>15000</v>
      </c>
      <c r="U178" s="25">
        <f>13750</f>
        <v>13750</v>
      </c>
      <c r="V178" s="25"/>
      <c r="W178" s="25">
        <v>236.04</v>
      </c>
      <c r="X178" s="25">
        <f t="shared" si="162"/>
        <v>28986.04</v>
      </c>
      <c r="Y178" s="25">
        <v>52950.04</v>
      </c>
      <c r="Z178" s="25">
        <f t="shared" si="161"/>
        <v>52950.04</v>
      </c>
    </row>
    <row r="179" spans="1:26" ht="20.100000000000001" customHeight="1" x14ac:dyDescent="0.3">
      <c r="A179" s="12">
        <v>42</v>
      </c>
      <c r="B179" s="77" t="s">
        <v>313</v>
      </c>
      <c r="C179" s="24" t="s">
        <v>307</v>
      </c>
      <c r="D179" s="28" t="s">
        <v>308</v>
      </c>
      <c r="E179" s="29">
        <v>5769.6</v>
      </c>
      <c r="F179" s="26"/>
      <c r="G179" s="29">
        <f t="shared" si="163"/>
        <v>17308.800000000003</v>
      </c>
      <c r="H179" s="29">
        <f t="shared" si="164"/>
        <v>432.72</v>
      </c>
      <c r="I179" s="29"/>
      <c r="J179" s="29">
        <f t="shared" si="165"/>
        <v>2884.8</v>
      </c>
      <c r="K179" s="25">
        <f t="shared" si="166"/>
        <v>20193.600000000002</v>
      </c>
      <c r="L179" s="29">
        <f t="shared" si="179"/>
        <v>5769.6</v>
      </c>
      <c r="M179" s="26"/>
      <c r="N179" s="26">
        <f>20000</f>
        <v>20000</v>
      </c>
      <c r="O179" s="29">
        <f t="shared" si="176"/>
        <v>576.96</v>
      </c>
      <c r="P179" s="29">
        <v>5000</v>
      </c>
      <c r="Q179" s="29">
        <f>4000</f>
        <v>4000</v>
      </c>
      <c r="R179" s="25">
        <f t="shared" si="178"/>
        <v>81936.08</v>
      </c>
      <c r="S179" s="25"/>
      <c r="T179" s="25">
        <f>3000+5000</f>
        <v>8000</v>
      </c>
      <c r="U179" s="25">
        <f>16958.34+10000</f>
        <v>26958.34</v>
      </c>
      <c r="V179" s="25"/>
      <c r="W179" s="25">
        <v>236.04</v>
      </c>
      <c r="X179" s="25">
        <f t="shared" si="162"/>
        <v>35194.380000000005</v>
      </c>
      <c r="Y179" s="25">
        <v>56741.7</v>
      </c>
      <c r="Z179" s="25">
        <f t="shared" si="161"/>
        <v>46741.7</v>
      </c>
    </row>
    <row r="180" spans="1:26" ht="20.100000000000001" customHeight="1" x14ac:dyDescent="0.3">
      <c r="A180" s="12">
        <v>43</v>
      </c>
      <c r="B180" s="77" t="s">
        <v>314</v>
      </c>
      <c r="C180" s="24" t="s">
        <v>307</v>
      </c>
      <c r="D180" s="28" t="s">
        <v>308</v>
      </c>
      <c r="E180" s="29">
        <v>5769.6</v>
      </c>
      <c r="F180" s="26"/>
      <c r="G180" s="29">
        <f t="shared" si="163"/>
        <v>17308.800000000003</v>
      </c>
      <c r="H180" s="29">
        <f t="shared" si="164"/>
        <v>432.72</v>
      </c>
      <c r="I180" s="29"/>
      <c r="J180" s="29">
        <f t="shared" si="165"/>
        <v>2884.8</v>
      </c>
      <c r="K180" s="25">
        <f t="shared" si="166"/>
        <v>20193.600000000002</v>
      </c>
      <c r="L180" s="29">
        <f t="shared" si="179"/>
        <v>5769.6</v>
      </c>
      <c r="M180" s="26"/>
      <c r="N180" s="26">
        <f>20000</f>
        <v>20000</v>
      </c>
      <c r="O180" s="29">
        <f t="shared" si="176"/>
        <v>576.96</v>
      </c>
      <c r="P180" s="29">
        <v>5000</v>
      </c>
      <c r="Q180" s="29">
        <f>7000</f>
        <v>7000</v>
      </c>
      <c r="R180" s="25">
        <f t="shared" si="178"/>
        <v>84936.08</v>
      </c>
      <c r="S180" s="25"/>
      <c r="T180" s="25">
        <f>10000+5000</f>
        <v>15000</v>
      </c>
      <c r="U180" s="25">
        <f>22361.11</f>
        <v>22361.11</v>
      </c>
      <c r="V180" s="25"/>
      <c r="W180" s="25">
        <v>236.04</v>
      </c>
      <c r="X180" s="25">
        <f t="shared" si="162"/>
        <v>37597.15</v>
      </c>
      <c r="Y180" s="25">
        <v>47338.93</v>
      </c>
      <c r="Z180" s="25">
        <f t="shared" si="161"/>
        <v>47338.93</v>
      </c>
    </row>
    <row r="181" spans="1:26" ht="20.100000000000001" customHeight="1" x14ac:dyDescent="0.3">
      <c r="A181" s="12">
        <v>44</v>
      </c>
      <c r="B181" s="23" t="s">
        <v>315</v>
      </c>
      <c r="C181" s="24" t="s">
        <v>307</v>
      </c>
      <c r="D181" s="28" t="s">
        <v>316</v>
      </c>
      <c r="E181" s="29">
        <v>5257.44</v>
      </c>
      <c r="F181" s="26"/>
      <c r="G181" s="29">
        <f t="shared" si="163"/>
        <v>15772.32</v>
      </c>
      <c r="H181" s="29">
        <f t="shared" si="164"/>
        <v>394.30799999999994</v>
      </c>
      <c r="I181" s="29"/>
      <c r="J181" s="29">
        <f t="shared" si="165"/>
        <v>2628.72</v>
      </c>
      <c r="K181" s="25">
        <f t="shared" si="166"/>
        <v>18401.039999999997</v>
      </c>
      <c r="L181" s="29">
        <f t="shared" si="179"/>
        <v>5257.44</v>
      </c>
      <c r="M181" s="26"/>
      <c r="N181" s="26">
        <f>20000</f>
        <v>20000</v>
      </c>
      <c r="O181" s="29">
        <f t="shared" si="176"/>
        <v>525.74400000000003</v>
      </c>
      <c r="P181" s="29">
        <v>5000</v>
      </c>
      <c r="Q181" s="29">
        <f>7000</f>
        <v>7000</v>
      </c>
      <c r="R181" s="25">
        <f t="shared" si="178"/>
        <v>80237.012000000002</v>
      </c>
      <c r="S181" s="25"/>
      <c r="T181" s="25">
        <f>10000+5000</f>
        <v>15000</v>
      </c>
      <c r="U181" s="25">
        <f>15625</f>
        <v>15625</v>
      </c>
      <c r="V181" s="25"/>
      <c r="W181" s="25">
        <v>236.04</v>
      </c>
      <c r="X181" s="25">
        <f t="shared" si="162"/>
        <v>30861.040000000001</v>
      </c>
      <c r="Y181" s="25">
        <v>49375.972000000002</v>
      </c>
      <c r="Z181" s="25">
        <f t="shared" si="161"/>
        <v>49375.972000000002</v>
      </c>
    </row>
    <row r="182" spans="1:26" ht="20.100000000000001" customHeight="1" x14ac:dyDescent="0.3">
      <c r="A182" s="12">
        <v>45</v>
      </c>
      <c r="B182" s="23" t="s">
        <v>317</v>
      </c>
      <c r="C182" s="24" t="s">
        <v>307</v>
      </c>
      <c r="D182" s="28" t="s">
        <v>316</v>
      </c>
      <c r="E182" s="29">
        <v>5257.44</v>
      </c>
      <c r="F182" s="26"/>
      <c r="G182" s="29">
        <f t="shared" si="163"/>
        <v>15772.32</v>
      </c>
      <c r="H182" s="29">
        <f t="shared" si="164"/>
        <v>394.30799999999994</v>
      </c>
      <c r="I182" s="29"/>
      <c r="J182" s="29">
        <f t="shared" si="165"/>
        <v>2628.72</v>
      </c>
      <c r="K182" s="25">
        <f t="shared" si="166"/>
        <v>18401.039999999997</v>
      </c>
      <c r="L182" s="29">
        <f t="shared" si="179"/>
        <v>5257.44</v>
      </c>
      <c r="M182" s="26"/>
      <c r="N182" s="26">
        <f>20000</f>
        <v>20000</v>
      </c>
      <c r="O182" s="29">
        <f t="shared" si="176"/>
        <v>525.74400000000003</v>
      </c>
      <c r="P182" s="29">
        <v>5000</v>
      </c>
      <c r="Q182" s="29">
        <f>7000</f>
        <v>7000</v>
      </c>
      <c r="R182" s="25">
        <f t="shared" si="178"/>
        <v>80237.012000000002</v>
      </c>
      <c r="S182" s="25"/>
      <c r="T182" s="25">
        <f>10000+5000</f>
        <v>15000</v>
      </c>
      <c r="U182" s="25">
        <f>18333.33</f>
        <v>18333.330000000002</v>
      </c>
      <c r="V182" s="25"/>
      <c r="W182" s="25">
        <v>236.04</v>
      </c>
      <c r="X182" s="25">
        <f t="shared" si="162"/>
        <v>33569.370000000003</v>
      </c>
      <c r="Y182" s="25">
        <v>46667.642</v>
      </c>
      <c r="Z182" s="25">
        <f t="shared" si="161"/>
        <v>46667.642</v>
      </c>
    </row>
    <row r="183" spans="1:26" ht="20.100000000000001" customHeight="1" x14ac:dyDescent="0.3">
      <c r="A183" s="12">
        <v>46</v>
      </c>
      <c r="B183" s="77" t="s">
        <v>318</v>
      </c>
      <c r="C183" s="24" t="s">
        <v>307</v>
      </c>
      <c r="D183" s="28" t="s">
        <v>319</v>
      </c>
      <c r="E183" s="29">
        <v>5428.12</v>
      </c>
      <c r="F183" s="26"/>
      <c r="G183" s="29">
        <f t="shared" si="163"/>
        <v>16284.36</v>
      </c>
      <c r="H183" s="29">
        <f t="shared" si="164"/>
        <v>407.10899999999998</v>
      </c>
      <c r="I183" s="29"/>
      <c r="J183" s="29">
        <f t="shared" si="165"/>
        <v>2714.06</v>
      </c>
      <c r="K183" s="25">
        <f t="shared" si="166"/>
        <v>18998.419999999998</v>
      </c>
      <c r="L183" s="29">
        <f t="shared" si="179"/>
        <v>5428.12</v>
      </c>
      <c r="M183" s="26"/>
      <c r="N183" s="26">
        <f>20000</f>
        <v>20000</v>
      </c>
      <c r="O183" s="29">
        <f t="shared" si="176"/>
        <v>542.81200000000001</v>
      </c>
      <c r="P183" s="29">
        <v>5000</v>
      </c>
      <c r="Q183" s="29">
        <f>7000</f>
        <v>7000</v>
      </c>
      <c r="R183" s="25">
        <f t="shared" si="178"/>
        <v>81803.001000000018</v>
      </c>
      <c r="S183" s="25"/>
      <c r="T183" s="25">
        <f>3000+5000</f>
        <v>8000</v>
      </c>
      <c r="U183" s="25">
        <f>44000</f>
        <v>44000</v>
      </c>
      <c r="V183" s="25"/>
      <c r="W183" s="25">
        <f>236.04</f>
        <v>236.04</v>
      </c>
      <c r="X183" s="25">
        <f t="shared" si="162"/>
        <v>52236.04</v>
      </c>
      <c r="Y183" s="25">
        <v>29566.961000000018</v>
      </c>
      <c r="Z183" s="25">
        <f t="shared" si="161"/>
        <v>29566.961000000018</v>
      </c>
    </row>
    <row r="184" spans="1:26" ht="20.100000000000001" customHeight="1" x14ac:dyDescent="0.3">
      <c r="A184" s="12">
        <v>47</v>
      </c>
      <c r="B184" s="23" t="s">
        <v>320</v>
      </c>
      <c r="C184" s="24" t="s">
        <v>307</v>
      </c>
      <c r="D184" s="28" t="s">
        <v>321</v>
      </c>
      <c r="E184" s="29">
        <v>5086.76</v>
      </c>
      <c r="F184" s="26"/>
      <c r="G184" s="29">
        <f t="shared" si="163"/>
        <v>15260.28</v>
      </c>
      <c r="H184" s="29">
        <f t="shared" si="164"/>
        <v>381.50700000000001</v>
      </c>
      <c r="I184" s="29"/>
      <c r="J184" s="29">
        <f t="shared" si="165"/>
        <v>2543.38</v>
      </c>
      <c r="K184" s="25">
        <f t="shared" si="166"/>
        <v>17803.66</v>
      </c>
      <c r="L184" s="29">
        <f t="shared" si="179"/>
        <v>5086.76</v>
      </c>
      <c r="M184" s="26"/>
      <c r="N184" s="26">
        <f>20000</f>
        <v>20000</v>
      </c>
      <c r="O184" s="29">
        <f t="shared" si="176"/>
        <v>508.67600000000004</v>
      </c>
      <c r="P184" s="29">
        <v>5000</v>
      </c>
      <c r="Q184" s="29">
        <f>7000</f>
        <v>7000</v>
      </c>
      <c r="R184" s="25">
        <f t="shared" si="178"/>
        <v>78671.023000000016</v>
      </c>
      <c r="S184" s="25"/>
      <c r="T184" s="25">
        <f>15000</f>
        <v>15000</v>
      </c>
      <c r="U184" s="25">
        <f>20000</f>
        <v>20000</v>
      </c>
      <c r="V184" s="25"/>
      <c r="W184" s="25">
        <v>236.04</v>
      </c>
      <c r="X184" s="25">
        <f t="shared" si="162"/>
        <v>35236.04</v>
      </c>
      <c r="Y184" s="25">
        <v>43434.983000000015</v>
      </c>
      <c r="Z184" s="25">
        <f t="shared" si="161"/>
        <v>43434.983000000015</v>
      </c>
    </row>
    <row r="185" spans="1:26" ht="20.100000000000001" customHeight="1" x14ac:dyDescent="0.3">
      <c r="A185" s="12">
        <v>48</v>
      </c>
      <c r="B185" s="23" t="s">
        <v>322</v>
      </c>
      <c r="C185" s="24" t="s">
        <v>323</v>
      </c>
      <c r="D185" s="28" t="s">
        <v>324</v>
      </c>
      <c r="E185" s="29">
        <v>4915.9399999999996</v>
      </c>
      <c r="F185" s="26"/>
      <c r="G185" s="29">
        <f t="shared" si="163"/>
        <v>14747.82</v>
      </c>
      <c r="H185" s="29">
        <f t="shared" si="164"/>
        <v>368.69549999999998</v>
      </c>
      <c r="I185" s="29"/>
      <c r="J185" s="29">
        <f t="shared" si="165"/>
        <v>2457.9699999999998</v>
      </c>
      <c r="K185" s="25">
        <f t="shared" si="166"/>
        <v>17205.789999999997</v>
      </c>
      <c r="L185" s="29">
        <f t="shared" si="179"/>
        <v>4915.9399999999996</v>
      </c>
      <c r="M185" s="26"/>
      <c r="N185" s="26">
        <f>20000</f>
        <v>20000</v>
      </c>
      <c r="O185" s="29">
        <f t="shared" si="176"/>
        <v>491.59399999999999</v>
      </c>
      <c r="P185" s="29">
        <v>5000</v>
      </c>
      <c r="Q185" s="29">
        <f>7000</f>
        <v>7000</v>
      </c>
      <c r="R185" s="25">
        <f t="shared" si="178"/>
        <v>77103.749500000005</v>
      </c>
      <c r="S185" s="25"/>
      <c r="T185" s="25">
        <f>5000+5000</f>
        <v>10000</v>
      </c>
      <c r="U185" s="25">
        <f>15000+30000</f>
        <v>45000</v>
      </c>
      <c r="V185" s="25"/>
      <c r="W185" s="25">
        <v>236.04</v>
      </c>
      <c r="X185" s="25">
        <f t="shared" si="162"/>
        <v>55236.04</v>
      </c>
      <c r="Y185" s="25">
        <v>51867.709500000004</v>
      </c>
      <c r="Z185" s="25">
        <f t="shared" si="161"/>
        <v>21867.709500000004</v>
      </c>
    </row>
    <row r="186" spans="1:26" ht="20.100000000000001" customHeight="1" x14ac:dyDescent="0.3">
      <c r="A186" s="12">
        <v>49</v>
      </c>
      <c r="B186" s="23" t="s">
        <v>325</v>
      </c>
      <c r="C186" s="24" t="s">
        <v>323</v>
      </c>
      <c r="D186" s="28" t="s">
        <v>324</v>
      </c>
      <c r="E186" s="29">
        <v>4915.9399999999996</v>
      </c>
      <c r="F186" s="26"/>
      <c r="G186" s="29">
        <f t="shared" si="163"/>
        <v>14747.82</v>
      </c>
      <c r="H186" s="29">
        <f t="shared" si="164"/>
        <v>368.69549999999998</v>
      </c>
      <c r="I186" s="29"/>
      <c r="J186" s="29">
        <f t="shared" si="165"/>
        <v>2457.9699999999998</v>
      </c>
      <c r="K186" s="25">
        <f t="shared" si="166"/>
        <v>17205.789999999997</v>
      </c>
      <c r="L186" s="29">
        <f t="shared" si="179"/>
        <v>4915.9399999999996</v>
      </c>
      <c r="M186" s="26"/>
      <c r="N186" s="26">
        <f>20000</f>
        <v>20000</v>
      </c>
      <c r="O186" s="29">
        <f t="shared" si="176"/>
        <v>491.59399999999999</v>
      </c>
      <c r="P186" s="29">
        <v>5000</v>
      </c>
      <c r="Q186" s="29">
        <f>4000</f>
        <v>4000</v>
      </c>
      <c r="R186" s="25">
        <f t="shared" si="178"/>
        <v>74103.749500000005</v>
      </c>
      <c r="S186" s="25"/>
      <c r="T186" s="25">
        <f>15000+5000+5000</f>
        <v>25000</v>
      </c>
      <c r="U186" s="25">
        <f>25555.56</f>
        <v>25555.56</v>
      </c>
      <c r="V186" s="25"/>
      <c r="W186" s="25">
        <v>236.04</v>
      </c>
      <c r="X186" s="25">
        <f t="shared" si="162"/>
        <v>50791.600000000006</v>
      </c>
      <c r="Y186" s="25">
        <v>23312.1495</v>
      </c>
      <c r="Z186" s="25">
        <f t="shared" si="161"/>
        <v>23312.1495</v>
      </c>
    </row>
    <row r="187" spans="1:26" ht="20.100000000000001" customHeight="1" x14ac:dyDescent="0.3">
      <c r="A187" s="12">
        <v>50</v>
      </c>
      <c r="B187" s="23" t="s">
        <v>326</v>
      </c>
      <c r="C187" s="24" t="s">
        <v>323</v>
      </c>
      <c r="D187" s="28" t="s">
        <v>324</v>
      </c>
      <c r="E187" s="29">
        <v>4915.9399999999996</v>
      </c>
      <c r="F187" s="26"/>
      <c r="G187" s="29">
        <f t="shared" si="163"/>
        <v>14747.82</v>
      </c>
      <c r="H187" s="29">
        <f t="shared" si="164"/>
        <v>368.69549999999998</v>
      </c>
      <c r="I187" s="29"/>
      <c r="J187" s="29">
        <f t="shared" si="165"/>
        <v>2457.9699999999998</v>
      </c>
      <c r="K187" s="25">
        <f t="shared" si="166"/>
        <v>17205.789999999997</v>
      </c>
      <c r="L187" s="29">
        <f t="shared" si="179"/>
        <v>4915.9399999999996</v>
      </c>
      <c r="M187" s="26"/>
      <c r="N187" s="26">
        <f>20000</f>
        <v>20000</v>
      </c>
      <c r="O187" s="29">
        <f t="shared" si="176"/>
        <v>491.59399999999999</v>
      </c>
      <c r="P187" s="29">
        <v>5000</v>
      </c>
      <c r="Q187" s="29">
        <f>7000</f>
        <v>7000</v>
      </c>
      <c r="R187" s="25">
        <f t="shared" si="178"/>
        <v>77103.749500000005</v>
      </c>
      <c r="S187" s="25"/>
      <c r="T187" s="25">
        <f>5000+5000</f>
        <v>10000</v>
      </c>
      <c r="U187" s="25">
        <f>15972.22+30000</f>
        <v>45972.22</v>
      </c>
      <c r="V187" s="25"/>
      <c r="W187" s="25">
        <v>236.04</v>
      </c>
      <c r="X187" s="25">
        <f t="shared" si="162"/>
        <v>56208.26</v>
      </c>
      <c r="Y187" s="25">
        <v>50895.489500000003</v>
      </c>
      <c r="Z187" s="25">
        <f t="shared" si="161"/>
        <v>20895.489500000003</v>
      </c>
    </row>
    <row r="188" spans="1:26" ht="20.100000000000001" customHeight="1" x14ac:dyDescent="0.3">
      <c r="A188" s="12">
        <v>51</v>
      </c>
      <c r="B188" s="23" t="s">
        <v>327</v>
      </c>
      <c r="C188" s="24" t="s">
        <v>323</v>
      </c>
      <c r="D188" s="28" t="s">
        <v>324</v>
      </c>
      <c r="E188" s="29">
        <v>4915.9399999999996</v>
      </c>
      <c r="F188" s="26"/>
      <c r="G188" s="29">
        <f t="shared" si="163"/>
        <v>14747.82</v>
      </c>
      <c r="H188" s="29">
        <f t="shared" si="164"/>
        <v>368.69549999999998</v>
      </c>
      <c r="I188" s="29"/>
      <c r="J188" s="29">
        <f t="shared" si="165"/>
        <v>2457.9699999999998</v>
      </c>
      <c r="K188" s="25">
        <f t="shared" si="166"/>
        <v>17205.789999999997</v>
      </c>
      <c r="L188" s="29">
        <f t="shared" si="179"/>
        <v>4915.9399999999996</v>
      </c>
      <c r="M188" s="26"/>
      <c r="N188" s="26">
        <f>20000</f>
        <v>20000</v>
      </c>
      <c r="O188" s="29">
        <f t="shared" si="176"/>
        <v>491.59399999999999</v>
      </c>
      <c r="P188" s="29">
        <v>5000</v>
      </c>
      <c r="Q188" s="29">
        <f>4000</f>
        <v>4000</v>
      </c>
      <c r="R188" s="25">
        <f t="shared" si="178"/>
        <v>74103.749500000005</v>
      </c>
      <c r="S188" s="25"/>
      <c r="T188" s="25">
        <f>10000+5000</f>
        <v>15000</v>
      </c>
      <c r="U188" s="25">
        <f>8416.67+30000</f>
        <v>38416.67</v>
      </c>
      <c r="V188" s="25"/>
      <c r="W188" s="25">
        <v>236.04</v>
      </c>
      <c r="X188" s="25">
        <f t="shared" si="162"/>
        <v>53652.71</v>
      </c>
      <c r="Y188" s="25">
        <v>50451.039500000006</v>
      </c>
      <c r="Z188" s="25">
        <f t="shared" si="161"/>
        <v>20451.039500000006</v>
      </c>
    </row>
    <row r="189" spans="1:26" ht="20.100000000000001" customHeight="1" x14ac:dyDescent="0.3">
      <c r="A189" s="12">
        <v>52</v>
      </c>
      <c r="B189" s="23" t="s">
        <v>328</v>
      </c>
      <c r="C189" s="24" t="s">
        <v>323</v>
      </c>
      <c r="D189" s="28" t="s">
        <v>324</v>
      </c>
      <c r="E189" s="29">
        <v>4915.9399999999996</v>
      </c>
      <c r="F189" s="26"/>
      <c r="G189" s="29">
        <f t="shared" si="163"/>
        <v>14747.82</v>
      </c>
      <c r="H189" s="29">
        <f t="shared" si="164"/>
        <v>368.69549999999998</v>
      </c>
      <c r="I189" s="29"/>
      <c r="J189" s="29">
        <f t="shared" si="165"/>
        <v>2457.9699999999998</v>
      </c>
      <c r="K189" s="25">
        <f t="shared" si="166"/>
        <v>17205.789999999997</v>
      </c>
      <c r="L189" s="29">
        <f t="shared" si="179"/>
        <v>4915.9399999999996</v>
      </c>
      <c r="M189" s="26"/>
      <c r="N189" s="26">
        <f>20000</f>
        <v>20000</v>
      </c>
      <c r="O189" s="29">
        <f t="shared" si="176"/>
        <v>491.59399999999999</v>
      </c>
      <c r="P189" s="29">
        <v>5000</v>
      </c>
      <c r="Q189" s="29">
        <f>7000</f>
        <v>7000</v>
      </c>
      <c r="R189" s="25">
        <f t="shared" si="178"/>
        <v>77103.749500000005</v>
      </c>
      <c r="S189" s="25"/>
      <c r="T189" s="25">
        <f>5000</f>
        <v>5000</v>
      </c>
      <c r="U189" s="25">
        <f>30000</f>
        <v>30000</v>
      </c>
      <c r="V189" s="25"/>
      <c r="W189" s="25">
        <v>236.04</v>
      </c>
      <c r="X189" s="25">
        <f t="shared" si="162"/>
        <v>35236.04</v>
      </c>
      <c r="Y189" s="25">
        <v>41867.709500000004</v>
      </c>
      <c r="Z189" s="25">
        <f t="shared" si="161"/>
        <v>41867.709500000004</v>
      </c>
    </row>
    <row r="190" spans="1:26" ht="20.100000000000001" customHeight="1" x14ac:dyDescent="0.3">
      <c r="A190" s="12">
        <v>53</v>
      </c>
      <c r="B190" s="77" t="s">
        <v>329</v>
      </c>
      <c r="C190" s="24" t="s">
        <v>323</v>
      </c>
      <c r="D190" s="28" t="s">
        <v>330</v>
      </c>
      <c r="E190" s="29">
        <v>4915.9399999999996</v>
      </c>
      <c r="F190" s="26"/>
      <c r="G190" s="29">
        <f t="shared" si="163"/>
        <v>14747.82</v>
      </c>
      <c r="H190" s="29">
        <f t="shared" si="164"/>
        <v>368.69549999999998</v>
      </c>
      <c r="I190" s="29"/>
      <c r="J190" s="29">
        <f t="shared" si="165"/>
        <v>2457.9699999999998</v>
      </c>
      <c r="K190" s="25">
        <f t="shared" si="166"/>
        <v>17205.789999999997</v>
      </c>
      <c r="L190" s="29">
        <f t="shared" si="179"/>
        <v>4915.9399999999996</v>
      </c>
      <c r="M190" s="26"/>
      <c r="N190" s="26">
        <f>20000</f>
        <v>20000</v>
      </c>
      <c r="O190" s="29">
        <f t="shared" si="176"/>
        <v>491.59399999999999</v>
      </c>
      <c r="P190" s="29">
        <v>5000</v>
      </c>
      <c r="Q190" s="29">
        <f>4000</f>
        <v>4000</v>
      </c>
      <c r="R190" s="25">
        <f t="shared" si="178"/>
        <v>74103.749500000005</v>
      </c>
      <c r="S190" s="25"/>
      <c r="T190" s="25">
        <f>0</f>
        <v>0</v>
      </c>
      <c r="U190" s="25"/>
      <c r="V190" s="25"/>
      <c r="W190" s="25">
        <v>236.04</v>
      </c>
      <c r="X190" s="25">
        <f>W190+V190+U190+T190+S190</f>
        <v>236.04</v>
      </c>
      <c r="Y190" s="25">
        <v>73867.709500000012</v>
      </c>
      <c r="Z190" s="25">
        <f>R190-X190</f>
        <v>73867.709500000012</v>
      </c>
    </row>
    <row r="191" spans="1:26" ht="20.100000000000001" customHeight="1" x14ac:dyDescent="0.3">
      <c r="A191" s="12">
        <v>54</v>
      </c>
      <c r="B191" s="77" t="s">
        <v>331</v>
      </c>
      <c r="C191" s="24" t="s">
        <v>323</v>
      </c>
      <c r="D191" s="28" t="s">
        <v>330</v>
      </c>
      <c r="E191" s="29">
        <v>4915.9399999999996</v>
      </c>
      <c r="F191" s="26"/>
      <c r="G191" s="29">
        <f>E191*300%</f>
        <v>14747.82</v>
      </c>
      <c r="H191" s="29">
        <f>E191*7.5%</f>
        <v>368.69549999999998</v>
      </c>
      <c r="I191" s="29"/>
      <c r="J191" s="29">
        <f>E191*50%</f>
        <v>2457.9699999999998</v>
      </c>
      <c r="K191" s="25">
        <f>E191*350%</f>
        <v>17205.789999999997</v>
      </c>
      <c r="L191" s="29">
        <f>E191*100%</f>
        <v>4915.9399999999996</v>
      </c>
      <c r="M191" s="26"/>
      <c r="N191" s="26">
        <f>20000</f>
        <v>20000</v>
      </c>
      <c r="O191" s="29">
        <f>E191*10%</f>
        <v>491.59399999999999</v>
      </c>
      <c r="P191" s="29">
        <v>5000</v>
      </c>
      <c r="Q191" s="29">
        <f>7000</f>
        <v>7000</v>
      </c>
      <c r="R191" s="25">
        <f t="shared" si="178"/>
        <v>77103.749500000005</v>
      </c>
      <c r="S191" s="25"/>
      <c r="T191" s="25">
        <f>10000+5000</f>
        <v>15000</v>
      </c>
      <c r="U191" s="25">
        <f>0</f>
        <v>0</v>
      </c>
      <c r="V191" s="25"/>
      <c r="W191" s="25">
        <v>236.04</v>
      </c>
      <c r="X191" s="25">
        <f>W191+V191+U191+T191+S191</f>
        <v>15236.04</v>
      </c>
      <c r="Y191" s="25">
        <v>61867.709500000004</v>
      </c>
      <c r="Z191" s="25">
        <f>R191-X191</f>
        <v>61867.709500000004</v>
      </c>
    </row>
    <row r="192" spans="1:26" ht="20.100000000000001" customHeight="1" x14ac:dyDescent="0.3">
      <c r="A192" s="12">
        <v>55</v>
      </c>
      <c r="B192" s="41" t="s">
        <v>332</v>
      </c>
      <c r="C192" s="24" t="s">
        <v>323</v>
      </c>
      <c r="D192" s="28" t="s">
        <v>333</v>
      </c>
      <c r="E192" s="29">
        <v>4836.5</v>
      </c>
      <c r="F192" s="26"/>
      <c r="G192" s="29">
        <f t="shared" si="163"/>
        <v>14509.5</v>
      </c>
      <c r="H192" s="29">
        <f t="shared" si="164"/>
        <v>362.73750000000001</v>
      </c>
      <c r="I192" s="29"/>
      <c r="J192" s="29">
        <f t="shared" si="165"/>
        <v>2418.25</v>
      </c>
      <c r="K192" s="25">
        <f t="shared" si="166"/>
        <v>16927.75</v>
      </c>
      <c r="L192" s="29">
        <f t="shared" si="179"/>
        <v>4836.5</v>
      </c>
      <c r="M192" s="26"/>
      <c r="N192" s="26">
        <f>15000</f>
        <v>15000</v>
      </c>
      <c r="O192" s="29">
        <f t="shared" si="176"/>
        <v>483.65000000000003</v>
      </c>
      <c r="P192" s="29">
        <v>5000</v>
      </c>
      <c r="Q192" s="29">
        <f>7000</f>
        <v>7000</v>
      </c>
      <c r="R192" s="25">
        <f t="shared" si="178"/>
        <v>71374.887500000012</v>
      </c>
      <c r="S192" s="25"/>
      <c r="T192" s="25">
        <f>10000+5000</f>
        <v>15000</v>
      </c>
      <c r="U192" s="25">
        <f>10000</f>
        <v>10000</v>
      </c>
      <c r="V192" s="25"/>
      <c r="W192" s="25">
        <v>236.04</v>
      </c>
      <c r="X192" s="25">
        <f t="shared" si="162"/>
        <v>25236.04</v>
      </c>
      <c r="Y192" s="25">
        <v>46138.847500000011</v>
      </c>
      <c r="Z192" s="25">
        <f t="shared" si="161"/>
        <v>46138.847500000011</v>
      </c>
    </row>
    <row r="193" spans="1:27" ht="20.100000000000001" customHeight="1" x14ac:dyDescent="0.3">
      <c r="A193" s="12">
        <v>56</v>
      </c>
      <c r="B193" s="41" t="s">
        <v>334</v>
      </c>
      <c r="C193" s="24" t="s">
        <v>323</v>
      </c>
      <c r="D193" s="28" t="s">
        <v>333</v>
      </c>
      <c r="E193" s="29">
        <v>4836.5</v>
      </c>
      <c r="F193" s="26"/>
      <c r="G193" s="29">
        <f t="shared" si="163"/>
        <v>14509.5</v>
      </c>
      <c r="H193" s="29">
        <f t="shared" si="164"/>
        <v>362.73750000000001</v>
      </c>
      <c r="I193" s="29"/>
      <c r="J193" s="29">
        <f t="shared" si="165"/>
        <v>2418.25</v>
      </c>
      <c r="K193" s="25">
        <f t="shared" si="166"/>
        <v>16927.75</v>
      </c>
      <c r="L193" s="29">
        <f t="shared" si="179"/>
        <v>4836.5</v>
      </c>
      <c r="M193" s="26"/>
      <c r="N193" s="26">
        <f>15000</f>
        <v>15000</v>
      </c>
      <c r="O193" s="29">
        <f t="shared" si="176"/>
        <v>483.65000000000003</v>
      </c>
      <c r="P193" s="29">
        <v>5000</v>
      </c>
      <c r="Q193" s="29">
        <f>7000</f>
        <v>7000</v>
      </c>
      <c r="R193" s="25">
        <f t="shared" si="178"/>
        <v>71374.887500000012</v>
      </c>
      <c r="S193" s="25"/>
      <c r="T193" s="25">
        <f>10000+5000</f>
        <v>15000</v>
      </c>
      <c r="U193" s="25">
        <f>26222.06</f>
        <v>26222.06</v>
      </c>
      <c r="V193" s="25"/>
      <c r="W193" s="25">
        <v>236.04</v>
      </c>
      <c r="X193" s="25">
        <f t="shared" si="162"/>
        <v>41458.100000000006</v>
      </c>
      <c r="Y193" s="25">
        <v>29916.787500000006</v>
      </c>
      <c r="Z193" s="25">
        <f t="shared" si="161"/>
        <v>29916.787500000006</v>
      </c>
    </row>
    <row r="194" spans="1:27" ht="20.100000000000001" customHeight="1" x14ac:dyDescent="0.3">
      <c r="A194" s="12">
        <v>57</v>
      </c>
      <c r="B194" s="77" t="s">
        <v>335</v>
      </c>
      <c r="C194" s="24" t="s">
        <v>323</v>
      </c>
      <c r="D194" s="28" t="s">
        <v>333</v>
      </c>
      <c r="E194" s="29">
        <v>4836.5</v>
      </c>
      <c r="F194" s="26"/>
      <c r="G194" s="29">
        <f t="shared" si="163"/>
        <v>14509.5</v>
      </c>
      <c r="H194" s="29">
        <f t="shared" si="164"/>
        <v>362.73750000000001</v>
      </c>
      <c r="I194" s="29"/>
      <c r="J194" s="29">
        <f t="shared" si="165"/>
        <v>2418.25</v>
      </c>
      <c r="K194" s="25">
        <f t="shared" si="166"/>
        <v>16927.75</v>
      </c>
      <c r="L194" s="29">
        <f t="shared" si="179"/>
        <v>4836.5</v>
      </c>
      <c r="M194" s="26"/>
      <c r="N194" s="26">
        <f>15000</f>
        <v>15000</v>
      </c>
      <c r="O194" s="29">
        <f t="shared" si="176"/>
        <v>483.65000000000003</v>
      </c>
      <c r="P194" s="29">
        <v>5000</v>
      </c>
      <c r="Q194" s="29">
        <f>4000</f>
        <v>4000</v>
      </c>
      <c r="R194" s="25">
        <f t="shared" si="178"/>
        <v>68374.887500000012</v>
      </c>
      <c r="S194" s="25"/>
      <c r="T194" s="25">
        <f>10000+5000</f>
        <v>15000</v>
      </c>
      <c r="U194" s="25">
        <f>32916.67</f>
        <v>32916.67</v>
      </c>
      <c r="V194" s="25"/>
      <c r="W194" s="25">
        <v>236.04</v>
      </c>
      <c r="X194" s="25">
        <f t="shared" si="162"/>
        <v>48152.71</v>
      </c>
      <c r="Y194" s="25">
        <v>20222.177500000013</v>
      </c>
      <c r="Z194" s="25">
        <f t="shared" si="161"/>
        <v>20222.177500000013</v>
      </c>
    </row>
    <row r="195" spans="1:27" ht="20.100000000000001" customHeight="1" x14ac:dyDescent="0.3">
      <c r="A195" s="12">
        <v>58</v>
      </c>
      <c r="B195" s="77" t="s">
        <v>336</v>
      </c>
      <c r="C195" s="24" t="s">
        <v>323</v>
      </c>
      <c r="D195" s="28" t="s">
        <v>337</v>
      </c>
      <c r="E195" s="78">
        <v>4248.5</v>
      </c>
      <c r="F195" s="26"/>
      <c r="G195" s="29">
        <f t="shared" si="163"/>
        <v>12745.5</v>
      </c>
      <c r="H195" s="29">
        <f t="shared" si="164"/>
        <v>318.63749999999999</v>
      </c>
      <c r="I195" s="29"/>
      <c r="J195" s="29">
        <f t="shared" si="165"/>
        <v>2124.25</v>
      </c>
      <c r="K195" s="25">
        <f t="shared" si="166"/>
        <v>14869.75</v>
      </c>
      <c r="L195" s="29">
        <f t="shared" si="179"/>
        <v>4248.5</v>
      </c>
      <c r="M195" s="26"/>
      <c r="N195" s="26">
        <f>15000</f>
        <v>15000</v>
      </c>
      <c r="O195" s="29">
        <f t="shared" si="176"/>
        <v>424.85</v>
      </c>
      <c r="P195" s="29">
        <v>5000</v>
      </c>
      <c r="Q195" s="29">
        <f>7000</f>
        <v>7000</v>
      </c>
      <c r="R195" s="25">
        <f>SUM(E195:Q195)</f>
        <v>65979.987499999988</v>
      </c>
      <c r="S195" s="25"/>
      <c r="T195" s="25">
        <f>5000</f>
        <v>5000</v>
      </c>
      <c r="U195" s="25"/>
      <c r="V195" s="25"/>
      <c r="W195" s="25">
        <v>236.04</v>
      </c>
      <c r="X195" s="25">
        <f t="shared" si="162"/>
        <v>5236.04</v>
      </c>
      <c r="Y195" s="25">
        <v>60743.947499999987</v>
      </c>
      <c r="Z195" s="25">
        <f>R195-X195</f>
        <v>60743.947499999987</v>
      </c>
    </row>
    <row r="196" spans="1:27" ht="20.100000000000001" customHeight="1" x14ac:dyDescent="0.6">
      <c r="A196" s="12"/>
      <c r="B196" s="20" t="s">
        <v>34</v>
      </c>
      <c r="C196" s="79" t="s">
        <v>338</v>
      </c>
      <c r="D196" s="80"/>
      <c r="E196" s="71">
        <f t="shared" ref="E196:L196" si="180">SUM(E138:E195)</f>
        <v>863910.63999999908</v>
      </c>
      <c r="F196" s="71">
        <f t="shared" si="180"/>
        <v>560000</v>
      </c>
      <c r="G196" s="71">
        <f t="shared" si="180"/>
        <v>2591731.9199999957</v>
      </c>
      <c r="H196" s="71">
        <f t="shared" si="180"/>
        <v>64793.297999999988</v>
      </c>
      <c r="I196" s="71">
        <f t="shared" si="180"/>
        <v>280855.33</v>
      </c>
      <c r="J196" s="71">
        <f t="shared" si="180"/>
        <v>431955.31999999954</v>
      </c>
      <c r="K196" s="71">
        <f t="shared" si="180"/>
        <v>3023687.2400000035</v>
      </c>
      <c r="L196" s="71">
        <f t="shared" si="180"/>
        <v>863910.63999999908</v>
      </c>
      <c r="M196" s="51"/>
      <c r="N196" s="51">
        <f>SUM(N138:N195)</f>
        <v>2450000</v>
      </c>
      <c r="O196" s="71">
        <f>SUM(O138:O195)</f>
        <v>86391.064000000028</v>
      </c>
      <c r="P196" s="71">
        <f>SUM(P138:P195)</f>
        <v>525000</v>
      </c>
      <c r="Q196" s="71">
        <f>SUM(Q138:Q195)</f>
        <v>211000</v>
      </c>
      <c r="R196" s="71">
        <f>SUM(R138:R195)</f>
        <v>11953235.451999998</v>
      </c>
      <c r="S196" s="71"/>
      <c r="T196" s="71">
        <f t="shared" ref="T196:Z196" si="181">SUM(T138:T195)</f>
        <v>984500</v>
      </c>
      <c r="U196" s="71">
        <f t="shared" si="181"/>
        <v>2582290.5299999998</v>
      </c>
      <c r="V196" s="71">
        <f t="shared" si="181"/>
        <v>6916.7807499999999</v>
      </c>
      <c r="W196" s="71">
        <f t="shared" si="181"/>
        <v>236380.48000000027</v>
      </c>
      <c r="X196" s="71">
        <f t="shared" si="181"/>
        <v>3810087.7907500002</v>
      </c>
      <c r="Y196" s="71">
        <f t="shared" si="181"/>
        <v>7710734.3717499981</v>
      </c>
      <c r="Z196" s="71">
        <f t="shared" si="181"/>
        <v>8143147.661249998</v>
      </c>
    </row>
    <row r="197" spans="1:27" ht="20.100000000000001" customHeight="1" x14ac:dyDescent="0.3">
      <c r="A197" s="12"/>
      <c r="B197" s="81" t="s">
        <v>339</v>
      </c>
      <c r="C197" s="82">
        <f>C42+C47+C61+C66+C82+C89+C104+C111+C121+C135+C196</f>
        <v>157</v>
      </c>
      <c r="D197" s="83"/>
      <c r="E197" s="84">
        <v>3773721.59</v>
      </c>
      <c r="F197" s="84">
        <f t="shared" ref="F197:R197" si="182">F42+F47+F61+F66+F82+F89+F104+F111+F121+F135+F196</f>
        <v>1173329.05</v>
      </c>
      <c r="G197" s="84">
        <f t="shared" si="182"/>
        <v>11403937.079999994</v>
      </c>
      <c r="H197" s="84">
        <f t="shared" si="182"/>
        <v>325220.61949999997</v>
      </c>
      <c r="I197" s="84">
        <f t="shared" si="182"/>
        <v>2006109.5000000005</v>
      </c>
      <c r="J197" s="84">
        <f t="shared" si="182"/>
        <v>1919379.8699999999</v>
      </c>
      <c r="K197" s="84">
        <f t="shared" si="182"/>
        <v>12930119.510000002</v>
      </c>
      <c r="L197" s="84">
        <f t="shared" si="182"/>
        <v>3814686.4299999997</v>
      </c>
      <c r="M197" s="84">
        <f t="shared" si="182"/>
        <v>7610000</v>
      </c>
      <c r="N197" s="84">
        <f t="shared" si="182"/>
        <v>5460000</v>
      </c>
      <c r="O197" s="84">
        <f t="shared" si="182"/>
        <v>385480.86600000004</v>
      </c>
      <c r="P197" s="84">
        <f t="shared" si="182"/>
        <v>2075000</v>
      </c>
      <c r="Q197" s="84">
        <f t="shared" si="182"/>
        <v>1572337.4691050001</v>
      </c>
      <c r="R197" s="84">
        <f t="shared" si="182"/>
        <v>54530409.004604995</v>
      </c>
      <c r="S197" s="84"/>
      <c r="T197" s="84">
        <f>T42+T47+T61+T66+T82+T89+T104+T111+T121+T135+T196</f>
        <v>5169500</v>
      </c>
      <c r="U197" s="84">
        <f>U42+U47+U61+U66+U82+U89+U104+U111+U121+U135+U196</f>
        <v>6977188.6300000008</v>
      </c>
      <c r="V197" s="84">
        <f>V42+V47+V61+V66+V82+V89+V104+V111+V121+V135+V196</f>
        <v>26258.909749999999</v>
      </c>
      <c r="W197" s="84">
        <f>W42+W47+W61+W66+W82+W89+W104+W111+W121+W135+W196</f>
        <v>1513919.9400000002</v>
      </c>
      <c r="X197" s="84">
        <f>X42+X47+X61+X66+X82+X89+X104+X111+X121+X135+X196</f>
        <v>13686867.479750002</v>
      </c>
      <c r="Y197" s="84">
        <v>39091478.276854999</v>
      </c>
      <c r="Z197" s="84">
        <f>Z42+Z47+Z61+Z66+Z82+Z89+Z104+Z111+Z121+Z135+Z196</f>
        <v>40843541.524854995</v>
      </c>
      <c r="AA197" s="46"/>
    </row>
    <row r="198" spans="1:27" ht="20.100000000000001" customHeight="1" x14ac:dyDescent="0.3">
      <c r="A198" s="12"/>
      <c r="B198" s="85"/>
      <c r="C198" s="81"/>
      <c r="D198" s="85"/>
      <c r="E198" s="86"/>
      <c r="F198" s="86"/>
      <c r="G198" s="86"/>
      <c r="H198" s="86"/>
      <c r="I198" s="86"/>
      <c r="J198" s="86"/>
      <c r="K198" s="86"/>
      <c r="L198" s="86"/>
      <c r="M198" s="86"/>
      <c r="N198" s="86"/>
      <c r="O198" s="86"/>
      <c r="P198" s="86"/>
      <c r="Q198" s="86"/>
      <c r="R198" s="86"/>
      <c r="S198" s="86"/>
      <c r="T198" s="86"/>
      <c r="U198" s="86"/>
      <c r="V198" s="86"/>
      <c r="W198" s="86"/>
      <c r="X198" s="86"/>
      <c r="Y198" s="86"/>
      <c r="Z198" s="86"/>
    </row>
    <row r="199" spans="1:27" ht="20.100000000000001" customHeight="1" x14ac:dyDescent="0.3">
      <c r="A199" s="12"/>
      <c r="B199" s="85"/>
      <c r="C199" s="87" t="s">
        <v>340</v>
      </c>
      <c r="D199" s="87"/>
      <c r="E199" s="87"/>
      <c r="F199" s="87"/>
      <c r="G199" s="87"/>
      <c r="H199" s="87"/>
      <c r="I199" s="87"/>
      <c r="J199" s="88" t="s">
        <v>341</v>
      </c>
      <c r="K199" s="88"/>
      <c r="L199" s="88"/>
      <c r="M199" s="83"/>
      <c r="N199" s="83"/>
      <c r="O199" s="88" t="s">
        <v>342</v>
      </c>
      <c r="P199" s="88"/>
      <c r="Q199" s="88"/>
      <c r="R199" s="88"/>
      <c r="S199" s="83"/>
      <c r="T199" s="83"/>
      <c r="U199" s="83"/>
      <c r="V199" s="83"/>
      <c r="W199" s="86"/>
      <c r="X199" s="86"/>
      <c r="Y199" s="86"/>
      <c r="Z199" s="86"/>
    </row>
    <row r="200" spans="1:27" ht="20.100000000000001" customHeight="1" x14ac:dyDescent="0.3">
      <c r="A200" s="12"/>
      <c r="B200" s="85"/>
      <c r="C200" s="87"/>
      <c r="D200" s="87"/>
      <c r="E200" s="87"/>
      <c r="F200" s="87"/>
      <c r="G200" s="87"/>
      <c r="H200" s="87"/>
      <c r="I200" s="87"/>
      <c r="J200" s="88"/>
      <c r="K200" s="88"/>
      <c r="L200" s="88"/>
      <c r="M200" s="83"/>
      <c r="N200" s="83"/>
      <c r="O200" s="88"/>
      <c r="P200" s="88"/>
      <c r="Q200" s="88"/>
      <c r="R200" s="88"/>
      <c r="S200" s="83"/>
      <c r="T200" s="83"/>
      <c r="U200" s="83"/>
      <c r="V200" s="83"/>
      <c r="W200" s="86"/>
      <c r="X200" s="86"/>
      <c r="Y200" s="86"/>
      <c r="Z200" s="86"/>
    </row>
    <row r="201" spans="1:27" ht="20.100000000000001" customHeight="1" x14ac:dyDescent="0.3">
      <c r="B201" s="89"/>
      <c r="C201" s="89"/>
      <c r="D201" s="89"/>
      <c r="E201" s="89"/>
      <c r="F201" s="89"/>
      <c r="G201" s="89"/>
      <c r="H201" s="89"/>
      <c r="I201" s="89"/>
      <c r="J201" s="89"/>
      <c r="K201" s="89"/>
      <c r="L201" s="89"/>
      <c r="M201" s="89"/>
      <c r="N201" s="89"/>
      <c r="O201" s="89"/>
      <c r="P201" s="89"/>
      <c r="Q201" s="89"/>
      <c r="R201" s="89"/>
      <c r="S201" s="89"/>
      <c r="T201" s="89"/>
      <c r="U201" s="89"/>
      <c r="V201" s="89"/>
      <c r="W201" s="89"/>
      <c r="X201" s="89"/>
      <c r="Y201" s="89"/>
      <c r="Z201" s="89"/>
    </row>
    <row r="202" spans="1:27" ht="20.100000000000001" customHeight="1" x14ac:dyDescent="0.3">
      <c r="B202" s="89"/>
      <c r="C202" s="89"/>
      <c r="D202" s="89"/>
      <c r="E202" s="89"/>
      <c r="F202" s="89"/>
      <c r="G202" s="89"/>
      <c r="H202" s="89"/>
      <c r="I202" s="89"/>
      <c r="J202" s="89"/>
      <c r="K202" s="89"/>
      <c r="L202" s="89"/>
      <c r="M202" s="89"/>
      <c r="N202" s="89"/>
      <c r="O202" s="89"/>
      <c r="P202" s="89"/>
      <c r="Q202" s="89"/>
      <c r="R202" s="89"/>
      <c r="S202" s="89"/>
      <c r="T202" s="89"/>
      <c r="U202" s="89"/>
      <c r="V202" s="89"/>
      <c r="W202" s="89"/>
      <c r="X202" s="89"/>
      <c r="Y202" s="89"/>
      <c r="Z202" s="89"/>
    </row>
    <row r="203" spans="1:27" ht="20.100000000000001" customHeight="1" x14ac:dyDescent="0.3">
      <c r="C203" s="89"/>
      <c r="D203" s="89"/>
      <c r="E203" s="89"/>
      <c r="F203" s="89"/>
      <c r="G203" s="89"/>
      <c r="H203" s="89"/>
      <c r="I203" s="89"/>
      <c r="J203" s="89"/>
      <c r="K203" s="89"/>
      <c r="L203" s="89"/>
      <c r="M203" s="89"/>
      <c r="N203" s="89"/>
      <c r="O203" s="89"/>
      <c r="P203" s="89"/>
      <c r="Q203" s="89"/>
      <c r="R203" s="90"/>
      <c r="S203" s="89"/>
      <c r="T203" s="89"/>
      <c r="U203" s="89"/>
      <c r="V203" s="89"/>
      <c r="W203" s="89"/>
      <c r="X203" s="89"/>
      <c r="Y203" s="89"/>
      <c r="Z203" s="89"/>
    </row>
  </sheetData>
  <mergeCells count="8">
    <mergeCell ref="B3:D3"/>
    <mergeCell ref="T5:X5"/>
    <mergeCell ref="C199:C200"/>
    <mergeCell ref="D199:I200"/>
    <mergeCell ref="J199:J200"/>
    <mergeCell ref="K199:L200"/>
    <mergeCell ref="O199:O200"/>
    <mergeCell ref="P199:R200"/>
  </mergeCells>
  <pageMargins left="0.98425196850393704" right="0.98425196850393704" top="0.98425196850393704" bottom="0.98425196850393704" header="0.51181102362204722" footer="0.51181102362204722"/>
  <pageSetup paperSize="9" scale="45" orientation="landscape" horizontalDpi="1200" verticalDpi="1200" r:id="rId1"/>
  <headerFooter alignWithMargins="0"/>
  <rowBreaks count="4" manualBreakCount="4">
    <brk id="42" max="26" man="1"/>
    <brk id="82" max="26" man="1"/>
    <brk id="121" max="26" man="1"/>
    <brk id="165" max="2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July, 2022</vt:lpstr>
      <vt:lpstr>'July, 2022'!Print_Area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Hazeemmh Muhammed</dc:creator>
  <cp:lastModifiedBy>Hazeemmh Muhammed</cp:lastModifiedBy>
  <dcterms:created xsi:type="dcterms:W3CDTF">2026-03-28T15:03:47Z</dcterms:created>
  <dcterms:modified xsi:type="dcterms:W3CDTF">2026-03-28T15:04:19Z</dcterms:modified>
</cp:coreProperties>
</file>