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wnloads\"/>
    </mc:Choice>
  </mc:AlternateContent>
  <bookViews>
    <workbookView xWindow="0" yWindow="0" windowWidth="28800" windowHeight="11235" tabRatio="599"/>
  </bookViews>
  <sheets>
    <sheet name="JUNE 2023" sheetId="1" r:id="rId1"/>
    <sheet name="MEMO 1" sheetId="68" r:id="rId2"/>
    <sheet name="Sallah Welfare April 2023" sheetId="119" r:id="rId3"/>
    <sheet name="Sallah Welfare June 2023" sheetId="120" r:id="rId4"/>
    <sheet name="Sallah Welfare June 2023 Latest" sheetId="121" r:id="rId5"/>
    <sheet name="Sheet1" sheetId="117" r:id="rId6"/>
    <sheet name="January 2023 PAYE" sheetId="115" r:id="rId7"/>
    <sheet name="January 2023 NHF)" sheetId="116" r:id="rId8"/>
    <sheet name="PAYE Computation" sheetId="114" r:id="rId9"/>
    <sheet name="Tax adj August, 2022" sheetId="87" r:id="rId10"/>
    <sheet name="Annual Increement" sheetId="78" r:id="rId11"/>
    <sheet name="Enhanced Welfare 2023 (2)" sheetId="110" r:id="rId12"/>
    <sheet name="Enhanced Welfare 2023 (3)" sheetId="113" r:id="rId13"/>
    <sheet name="17.9" sheetId="4" r:id="rId14"/>
    <sheet name="16.7" sheetId="5" r:id="rId15"/>
    <sheet name="15.7.1" sheetId="6" r:id="rId16"/>
    <sheet name="13.7" sheetId="7" r:id="rId17"/>
    <sheet name="12.7" sheetId="8" r:id="rId18"/>
    <sheet name="10.7" sheetId="9" r:id="rId19"/>
    <sheet name="9.7" sheetId="10" r:id="rId20"/>
    <sheet name="8.7" sheetId="11" r:id="rId21"/>
    <sheet name="SUMMARY" sheetId="12" r:id="rId22"/>
    <sheet name="14.7" sheetId="13" r:id="rId23"/>
    <sheet name="15.7" sheetId="23" r:id="rId24"/>
    <sheet name="Basic Salary" sheetId="61" r:id="rId25"/>
  </sheets>
  <externalReferences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0">'Annual Increement'!$A$1:$AB$191</definedName>
    <definedName name="_xlnm.Print_Area" localSheetId="11">'Enhanced Welfare 2023 (2)'!$A$1:$G$193</definedName>
    <definedName name="_xlnm.Print_Area" localSheetId="12">'Enhanced Welfare 2023 (3)'!$A$1:$G$193</definedName>
    <definedName name="_xlnm.Print_Area" localSheetId="7">'January 2023 NHF)'!$A$1:$H$191</definedName>
    <definedName name="_xlnm.Print_Area" localSheetId="6">'January 2023 PAYE'!$A$1:$H$191</definedName>
    <definedName name="_xlnm.Print_Area" localSheetId="0">'JUNE 2023'!$A$1:$Z$194</definedName>
    <definedName name="_xlnm.Print_Area" localSheetId="1">'MEMO 1'!$A$1:$H$60</definedName>
    <definedName name="_xlnm.Print_Area" localSheetId="2">'Sallah Welfare April 2023'!$A$1:$E$190</definedName>
    <definedName name="_xlnm.Print_Area" localSheetId="3">'Sallah Welfare June 2023'!$A$1:$E$192</definedName>
    <definedName name="_xlnm.Print_Area" localSheetId="4">'Sallah Welfare June 2023 Latest'!$A$1:$E$189</definedName>
    <definedName name="_xlnm.Print_Area" localSheetId="9">'Tax adj August, 2022'!$A$1:$G$202</definedName>
    <definedName name="_xlnm.Print_Titles" localSheetId="11">'Enhanced Welfare 2023 (2)'!$4:$5</definedName>
    <definedName name="_xlnm.Print_Titles" localSheetId="12">'Enhanced Welfare 2023 (3)'!$4:$5</definedName>
    <definedName name="_xlnm.Print_Titles" localSheetId="7">'January 2023 NHF)'!$4:$5</definedName>
    <definedName name="_xlnm.Print_Titles" localSheetId="6">'January 2023 PAYE'!$4:$5</definedName>
    <definedName name="_xlnm.Print_Titles" localSheetId="0">'JUNE 2023'!$4:$5</definedName>
    <definedName name="_xlnm.Print_Titles" localSheetId="2">'Sallah Welfare April 2023'!$4:$5</definedName>
    <definedName name="_xlnm.Print_Titles" localSheetId="3">'Sallah Welfare June 2023'!$4:$5</definedName>
    <definedName name="_xlnm.Print_Titles" localSheetId="4">'Sallah Welfare June 2023 Latest'!$4:$5</definedName>
  </definedNames>
  <calcPr calcId="152511"/>
  <fileRecoveryPr autoRecover="0"/>
</workbook>
</file>

<file path=xl/calcChain.xml><?xml version="1.0" encoding="utf-8"?>
<calcChain xmlns="http://schemas.openxmlformats.org/spreadsheetml/2006/main">
  <c r="F51" i="68" l="1"/>
  <c r="H33" i="68"/>
  <c r="U167" i="1"/>
  <c r="E189" i="121"/>
  <c r="E35" i="121"/>
  <c r="C189" i="121" l="1"/>
  <c r="F194" i="120" l="1"/>
  <c r="F194" i="121" l="1"/>
  <c r="F192" i="120"/>
  <c r="F195" i="120" l="1"/>
  <c r="H36" i="68" l="1"/>
  <c r="E133" i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W102" i="1"/>
  <c r="E190" i="120" l="1"/>
  <c r="Q102" i="1"/>
  <c r="H35" i="68"/>
  <c r="H34" i="68"/>
  <c r="G24" i="1" l="1"/>
  <c r="H24" i="1"/>
  <c r="J24" i="1"/>
  <c r="K24" i="1"/>
  <c r="L24" i="1"/>
  <c r="N24" i="1"/>
  <c r="O24" i="1"/>
  <c r="T24" i="1"/>
  <c r="U24" i="1"/>
  <c r="X24" i="1" s="1"/>
  <c r="U119" i="1"/>
  <c r="T119" i="1"/>
  <c r="O119" i="1"/>
  <c r="N119" i="1"/>
  <c r="N120" i="1" s="1"/>
  <c r="L119" i="1"/>
  <c r="K119" i="1"/>
  <c r="J119" i="1"/>
  <c r="H119" i="1"/>
  <c r="G119" i="1"/>
  <c r="T118" i="1"/>
  <c r="X118" i="1" s="1"/>
  <c r="M118" i="1"/>
  <c r="M120" i="1" s="1"/>
  <c r="E118" i="1"/>
  <c r="L118" i="1" s="1"/>
  <c r="W120" i="1"/>
  <c r="V120" i="1"/>
  <c r="S120" i="1"/>
  <c r="Q120" i="1"/>
  <c r="P120" i="1"/>
  <c r="I120" i="1"/>
  <c r="F120" i="1"/>
  <c r="R24" i="1" l="1"/>
  <c r="Z24" i="1" s="1"/>
  <c r="X119" i="1"/>
  <c r="X120" i="1" s="1"/>
  <c r="U120" i="1"/>
  <c r="E120" i="1"/>
  <c r="L120" i="1"/>
  <c r="O118" i="1"/>
  <c r="O120" i="1" s="1"/>
  <c r="R119" i="1"/>
  <c r="G118" i="1"/>
  <c r="G120" i="1" s="1"/>
  <c r="H118" i="1"/>
  <c r="H120" i="1" s="1"/>
  <c r="T120" i="1"/>
  <c r="K118" i="1"/>
  <c r="K120" i="1" s="1"/>
  <c r="J118" i="1"/>
  <c r="J120" i="1" s="1"/>
  <c r="W96" i="1"/>
  <c r="Q127" i="1"/>
  <c r="U130" i="1"/>
  <c r="U174" i="1"/>
  <c r="U169" i="1"/>
  <c r="U170" i="1"/>
  <c r="U168" i="1"/>
  <c r="T154" i="1"/>
  <c r="Z119" i="1" l="1"/>
  <c r="R118" i="1"/>
  <c r="F105" i="1"/>
  <c r="I105" i="1"/>
  <c r="M105" i="1"/>
  <c r="P105" i="1"/>
  <c r="Q105" i="1"/>
  <c r="S105" i="1"/>
  <c r="V105" i="1"/>
  <c r="W105" i="1"/>
  <c r="E105" i="1"/>
  <c r="Z118" i="1" l="1"/>
  <c r="Z120" i="1" s="1"/>
  <c r="H51" i="68" s="1"/>
  <c r="R120" i="1"/>
  <c r="U49" i="1"/>
  <c r="T21" i="1"/>
  <c r="T153" i="1"/>
  <c r="W177" i="1" l="1"/>
  <c r="W187" i="1" l="1"/>
  <c r="R187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35" i="1" l="1"/>
  <c r="Z35" i="1" s="1"/>
  <c r="F36" i="1" l="1"/>
  <c r="P36" i="1"/>
  <c r="S36" i="1"/>
  <c r="V36" i="1"/>
  <c r="W36" i="1"/>
  <c r="W69" i="1" l="1"/>
  <c r="P69" i="1" l="1"/>
  <c r="W129" i="1"/>
  <c r="P129" i="1"/>
  <c r="W134" i="1" l="1"/>
  <c r="Q177" i="1" l="1"/>
  <c r="N177" i="1"/>
  <c r="V115" i="1" l="1"/>
  <c r="V192" i="1" s="1"/>
  <c r="W115" i="1"/>
  <c r="V98" i="1"/>
  <c r="W98" i="1"/>
  <c r="V85" i="1"/>
  <c r="W85" i="1"/>
  <c r="V77" i="1"/>
  <c r="U61" i="1"/>
  <c r="V61" i="1"/>
  <c r="W61" i="1"/>
  <c r="V56" i="1"/>
  <c r="V41" i="1"/>
  <c r="W41" i="1"/>
  <c r="T159" i="1" l="1"/>
  <c r="C192" i="1" l="1"/>
  <c r="T94" i="1"/>
  <c r="U26" i="1"/>
  <c r="T161" i="1"/>
  <c r="T72" i="1"/>
  <c r="T71" i="1"/>
  <c r="X69" i="1"/>
  <c r="R69" i="1"/>
  <c r="Z69" i="1" l="1"/>
  <c r="W70" i="1"/>
  <c r="W77" i="1" s="1"/>
  <c r="M70" i="1"/>
  <c r="E70" i="1"/>
  <c r="I61" i="1" l="1"/>
  <c r="N61" i="1"/>
  <c r="P61" i="1"/>
  <c r="Q61" i="1"/>
  <c r="S61" i="1"/>
  <c r="T61" i="1"/>
  <c r="E61" i="1"/>
  <c r="W48" i="1" l="1"/>
  <c r="W56" i="1" s="1"/>
  <c r="I48" i="1"/>
  <c r="W191" i="1" l="1"/>
  <c r="W192" i="1" s="1"/>
  <c r="H38" i="68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M73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H122" i="116" s="1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E165" i="1"/>
  <c r="E166" i="1"/>
  <c r="E167" i="1"/>
  <c r="E168" i="1"/>
  <c r="E164" i="1"/>
  <c r="E190" i="1"/>
  <c r="E178" i="1"/>
  <c r="E114" i="1"/>
  <c r="E97" i="1"/>
  <c r="E76" i="1"/>
  <c r="E33" i="1"/>
  <c r="E34" i="1"/>
  <c r="E32" i="1"/>
  <c r="H90" i="116" l="1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H99" i="116" s="1"/>
  <c r="F116" i="116"/>
  <c r="E99" i="116"/>
  <c r="E188" i="116"/>
  <c r="E77" i="116"/>
  <c r="E42" i="115"/>
  <c r="E85" i="115"/>
  <c r="E99" i="115"/>
  <c r="E77" i="115"/>
  <c r="E116" i="115"/>
  <c r="E188" i="115"/>
  <c r="H188" i="116" l="1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89" i="1" l="1"/>
  <c r="E156" i="1"/>
  <c r="E144" i="1"/>
  <c r="E145" i="1"/>
  <c r="E143" i="1"/>
  <c r="E132" i="1"/>
  <c r="E112" i="1"/>
  <c r="E90" i="1"/>
  <c r="E23" i="1"/>
  <c r="E27" i="1"/>
  <c r="E28" i="1"/>
  <c r="E75" i="1"/>
  <c r="E149" i="1" l="1"/>
  <c r="E22" i="1" l="1"/>
  <c r="E9" i="1"/>
  <c r="E10" i="1"/>
  <c r="E14" i="1"/>
  <c r="E13" i="1"/>
  <c r="E12" i="1"/>
  <c r="U151" i="1" l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G161" i="1"/>
  <c r="H161" i="1"/>
  <c r="J161" i="1"/>
  <c r="K161" i="1"/>
  <c r="L161" i="1"/>
  <c r="N161" i="1"/>
  <c r="O161" i="1"/>
  <c r="G162" i="1"/>
  <c r="H162" i="1"/>
  <c r="J162" i="1"/>
  <c r="K162" i="1"/>
  <c r="L162" i="1"/>
  <c r="N162" i="1"/>
  <c r="O162" i="1"/>
  <c r="X162" i="1"/>
  <c r="X26" i="1"/>
  <c r="Z26" i="1" s="1"/>
  <c r="X138" i="1"/>
  <c r="R138" i="1"/>
  <c r="G33" i="1"/>
  <c r="H33" i="1"/>
  <c r="J33" i="1"/>
  <c r="K33" i="1"/>
  <c r="L33" i="1"/>
  <c r="N33" i="1"/>
  <c r="O33" i="1"/>
  <c r="T33" i="1"/>
  <c r="G34" i="1"/>
  <c r="H34" i="1"/>
  <c r="J34" i="1"/>
  <c r="K34" i="1"/>
  <c r="L34" i="1"/>
  <c r="N34" i="1"/>
  <c r="O34" i="1"/>
  <c r="E55" i="1"/>
  <c r="O55" i="1" s="1"/>
  <c r="M55" i="1"/>
  <c r="X55" i="1"/>
  <c r="K55" i="1" l="1"/>
  <c r="J55" i="1"/>
  <c r="H55" i="1"/>
  <c r="G55" i="1"/>
  <c r="G191" i="110"/>
  <c r="R161" i="1"/>
  <c r="X33" i="1"/>
  <c r="R33" i="1"/>
  <c r="X34" i="1"/>
  <c r="R34" i="1"/>
  <c r="L55" i="1"/>
  <c r="R162" i="1"/>
  <c r="Z162" i="1" s="1"/>
  <c r="X161" i="1"/>
  <c r="T180" i="1"/>
  <c r="T186" i="1"/>
  <c r="T189" i="1"/>
  <c r="T176" i="1"/>
  <c r="T188" i="1"/>
  <c r="T181" i="1"/>
  <c r="T183" i="1"/>
  <c r="T182" i="1"/>
  <c r="T174" i="1"/>
  <c r="T173" i="1"/>
  <c r="T165" i="1"/>
  <c r="T178" i="1"/>
  <c r="T170" i="1"/>
  <c r="T168" i="1"/>
  <c r="T169" i="1"/>
  <c r="T166" i="1"/>
  <c r="T163" i="1"/>
  <c r="T167" i="1"/>
  <c r="T175" i="1"/>
  <c r="T172" i="1"/>
  <c r="T164" i="1"/>
  <c r="R55" i="1" l="1"/>
  <c r="Z55" i="1" s="1"/>
  <c r="Z33" i="1"/>
  <c r="Z161" i="1"/>
  <c r="Z34" i="1"/>
  <c r="G53" i="68" l="1"/>
  <c r="G52" i="68"/>
  <c r="G50" i="68"/>
  <c r="G49" i="68"/>
  <c r="G48" i="68"/>
  <c r="G47" i="68"/>
  <c r="G46" i="68"/>
  <c r="G45" i="68"/>
  <c r="G44" i="68"/>
  <c r="G42" i="68"/>
  <c r="U172" i="1"/>
  <c r="U15" i="1"/>
  <c r="U166" i="1"/>
  <c r="T15" i="1"/>
  <c r="T127" i="1"/>
  <c r="N175" i="1" l="1"/>
  <c r="N174" i="1"/>
  <c r="N173" i="1"/>
  <c r="N172" i="1"/>
  <c r="N171" i="1"/>
  <c r="N170" i="1"/>
  <c r="N169" i="1"/>
  <c r="N28" i="1"/>
  <c r="N27" i="1"/>
  <c r="N156" i="1"/>
  <c r="N157" i="1"/>
  <c r="N155" i="1"/>
  <c r="N158" i="1" l="1"/>
  <c r="F98" i="1" l="1"/>
  <c r="F48" i="68" l="1"/>
  <c r="F53" i="68"/>
  <c r="F52" i="68"/>
  <c r="F50" i="68"/>
  <c r="F49" i="68"/>
  <c r="F47" i="68"/>
  <c r="F46" i="68"/>
  <c r="F45" i="68"/>
  <c r="F44" i="68"/>
  <c r="F43" i="68"/>
  <c r="F42" i="68"/>
  <c r="N139" i="1"/>
  <c r="M109" i="1"/>
  <c r="N13" i="1"/>
  <c r="N12" i="1"/>
  <c r="N14" i="1"/>
  <c r="M51" i="1"/>
  <c r="M48" i="1"/>
  <c r="E8" i="1" l="1"/>
  <c r="E36" i="1" s="1"/>
  <c r="T22" i="1"/>
  <c r="U158" i="1" l="1"/>
  <c r="U39" i="1"/>
  <c r="U41" i="1" s="1"/>
  <c r="T67" i="1"/>
  <c r="T152" i="1" l="1"/>
  <c r="H29" i="68"/>
  <c r="M83" i="1" l="1"/>
  <c r="N31" i="1"/>
  <c r="U70" i="1"/>
  <c r="U111" i="1"/>
  <c r="T131" i="1"/>
  <c r="U124" i="1"/>
  <c r="T124" i="1"/>
  <c r="T52" i="1"/>
  <c r="T95" i="1"/>
  <c r="X20" i="1" l="1"/>
  <c r="H3" i="1" l="1"/>
  <c r="E3" i="1"/>
  <c r="H1" i="1"/>
  <c r="F56" i="1" l="1"/>
  <c r="E43" i="87"/>
  <c r="F42" i="87"/>
  <c r="G42" i="87" s="1"/>
  <c r="E63" i="87"/>
  <c r="F62" i="87"/>
  <c r="G62" i="87" s="1"/>
  <c r="I56" i="1"/>
  <c r="N56" i="1"/>
  <c r="P56" i="1"/>
  <c r="Q56" i="1"/>
  <c r="S56" i="1"/>
  <c r="S192" i="1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80" i="1" l="1"/>
  <c r="U163" i="1"/>
  <c r="U156" i="1"/>
  <c r="U142" i="1"/>
  <c r="T133" i="1"/>
  <c r="T129" i="1"/>
  <c r="U128" i="1"/>
  <c r="U101" i="1"/>
  <c r="T101" i="1"/>
  <c r="U44" i="1"/>
  <c r="U22" i="1"/>
  <c r="X19" i="1" l="1"/>
  <c r="X11" i="1"/>
  <c r="X9" i="1"/>
  <c r="E115" i="1" l="1"/>
  <c r="I115" i="1"/>
  <c r="P115" i="1"/>
  <c r="U65" i="1" l="1"/>
  <c r="T65" i="1"/>
  <c r="X65" i="1" l="1"/>
  <c r="F191" i="1" l="1"/>
  <c r="P191" i="1"/>
  <c r="O163" i="1"/>
  <c r="N163" i="1"/>
  <c r="L163" i="1"/>
  <c r="K163" i="1"/>
  <c r="J163" i="1"/>
  <c r="H163" i="1"/>
  <c r="G163" i="1"/>
  <c r="X163" i="1" l="1"/>
  <c r="R163" i="1"/>
  <c r="Z163" i="1" l="1"/>
  <c r="P134" i="1" l="1"/>
  <c r="X132" i="1" l="1"/>
  <c r="N132" i="1"/>
  <c r="L132" i="1" l="1"/>
  <c r="E134" i="1"/>
  <c r="G132" i="1"/>
  <c r="O132" i="1"/>
  <c r="H132" i="1"/>
  <c r="J132" i="1"/>
  <c r="K132" i="1"/>
  <c r="R132" i="1" l="1"/>
  <c r="Z132" i="1" s="1"/>
  <c r="U157" i="1"/>
  <c r="U131" i="1"/>
  <c r="T40" i="1"/>
  <c r="U29" i="1"/>
  <c r="U149" i="1"/>
  <c r="F134" i="1" l="1"/>
  <c r="S39" i="1" l="1"/>
  <c r="X133" i="1"/>
  <c r="O133" i="1"/>
  <c r="N133" i="1"/>
  <c r="L133" i="1"/>
  <c r="K133" i="1"/>
  <c r="J133" i="1"/>
  <c r="H133" i="1"/>
  <c r="G133" i="1"/>
  <c r="R133" i="1" l="1"/>
  <c r="Z133" i="1" s="1"/>
  <c r="P98" i="1" l="1"/>
  <c r="Q98" i="1"/>
  <c r="E85" i="1"/>
  <c r="I85" i="1"/>
  <c r="P85" i="1"/>
  <c r="Q85" i="1"/>
  <c r="P77" i="1"/>
  <c r="Q77" i="1"/>
  <c r="E41" i="1"/>
  <c r="I41" i="1"/>
  <c r="P41" i="1"/>
  <c r="N154" i="1"/>
  <c r="X154" i="1"/>
  <c r="E154" i="1"/>
  <c r="K154" i="1" s="1"/>
  <c r="X96" i="1"/>
  <c r="J96" i="1"/>
  <c r="X54" i="1"/>
  <c r="M54" i="1"/>
  <c r="E54" i="1"/>
  <c r="J54" i="1" s="1"/>
  <c r="P192" i="1" l="1"/>
  <c r="J154" i="1"/>
  <c r="L154" i="1"/>
  <c r="G154" i="1"/>
  <c r="O154" i="1"/>
  <c r="H154" i="1"/>
  <c r="K96" i="1"/>
  <c r="L96" i="1"/>
  <c r="G96" i="1"/>
  <c r="O96" i="1"/>
  <c r="H96" i="1"/>
  <c r="G54" i="1"/>
  <c r="O54" i="1"/>
  <c r="H54" i="1"/>
  <c r="K54" i="1"/>
  <c r="L54" i="1"/>
  <c r="E54" i="68"/>
  <c r="U179" i="1"/>
  <c r="U164" i="1"/>
  <c r="X21" i="1"/>
  <c r="T73" i="1"/>
  <c r="R154" i="1" l="1"/>
  <c r="Z154" i="1" s="1"/>
  <c r="R96" i="1"/>
  <c r="Z96" i="1" s="1"/>
  <c r="R54" i="1"/>
  <c r="Z54" i="1" s="1"/>
  <c r="N30" i="1" l="1"/>
  <c r="N32" i="1"/>
  <c r="U126" i="1" l="1"/>
  <c r="T126" i="1"/>
  <c r="T10" i="1"/>
  <c r="X10" i="1" l="1"/>
  <c r="X97" i="1"/>
  <c r="M22" i="1"/>
  <c r="M97" i="1"/>
  <c r="R97" i="1" s="1"/>
  <c r="Z97" i="1" l="1"/>
  <c r="D39" i="61" l="1"/>
  <c r="D38" i="61"/>
  <c r="D37" i="61"/>
  <c r="E53" i="1"/>
  <c r="E56" i="1" s="1"/>
  <c r="X153" i="1"/>
  <c r="E153" i="1"/>
  <c r="E191" i="1" s="1"/>
  <c r="N153" i="1"/>
  <c r="X95" i="1"/>
  <c r="M95" i="1"/>
  <c r="E95" i="1"/>
  <c r="H95" i="1" s="1"/>
  <c r="J72" i="1"/>
  <c r="L71" i="1"/>
  <c r="X72" i="1"/>
  <c r="M72" i="1"/>
  <c r="X71" i="1"/>
  <c r="M71" i="1"/>
  <c r="M53" i="1"/>
  <c r="X53" i="1"/>
  <c r="O40" i="1"/>
  <c r="N40" i="1"/>
  <c r="L40" i="1"/>
  <c r="K40" i="1"/>
  <c r="J40" i="1"/>
  <c r="H40" i="1"/>
  <c r="G40" i="1"/>
  <c r="E98" i="1" l="1"/>
  <c r="X40" i="1"/>
  <c r="O53" i="1"/>
  <c r="G53" i="1"/>
  <c r="R40" i="1"/>
  <c r="H53" i="1"/>
  <c r="K53" i="1"/>
  <c r="L53" i="1"/>
  <c r="J53" i="1"/>
  <c r="K153" i="1"/>
  <c r="L153" i="1"/>
  <c r="G153" i="1"/>
  <c r="O153" i="1"/>
  <c r="H153" i="1"/>
  <c r="J153" i="1"/>
  <c r="L95" i="1"/>
  <c r="G95" i="1"/>
  <c r="O95" i="1"/>
  <c r="J95" i="1"/>
  <c r="K95" i="1"/>
  <c r="K72" i="1"/>
  <c r="L72" i="1"/>
  <c r="G71" i="1"/>
  <c r="O71" i="1"/>
  <c r="H71" i="1"/>
  <c r="J71" i="1"/>
  <c r="K71" i="1"/>
  <c r="G72" i="1"/>
  <c r="O72" i="1"/>
  <c r="H72" i="1"/>
  <c r="Z40" i="1" l="1"/>
  <c r="R53" i="1"/>
  <c r="Z53" i="1" s="1"/>
  <c r="R95" i="1"/>
  <c r="Z95" i="1" s="1"/>
  <c r="R71" i="1"/>
  <c r="Z71" i="1" s="1"/>
  <c r="R72" i="1"/>
  <c r="Z72" i="1" s="1"/>
  <c r="N11" i="1" l="1"/>
  <c r="T146" i="1" l="1"/>
  <c r="U145" i="1"/>
  <c r="U140" i="1"/>
  <c r="T92" i="1"/>
  <c r="X22" i="1" l="1"/>
  <c r="X23" i="1"/>
  <c r="X18" i="1"/>
  <c r="X15" i="1"/>
  <c r="X8" i="1"/>
  <c r="U109" i="1" l="1"/>
  <c r="U110" i="1"/>
  <c r="X109" i="1" l="1"/>
  <c r="U91" i="1"/>
  <c r="T89" i="1"/>
  <c r="U75" i="1"/>
  <c r="T75" i="1"/>
  <c r="U184" i="1" l="1"/>
  <c r="T156" i="1"/>
  <c r="U189" i="1"/>
  <c r="U16" i="1"/>
  <c r="T39" i="1"/>
  <c r="T41" i="1" s="1"/>
  <c r="U187" i="78" l="1"/>
  <c r="T188" i="78" l="1"/>
  <c r="U39" i="78"/>
  <c r="E77" i="1" l="1"/>
  <c r="E192" i="1" s="1"/>
  <c r="F27" i="78"/>
  <c r="F71" i="78"/>
  <c r="T30" i="1"/>
  <c r="T160" i="1"/>
  <c r="T145" i="1"/>
  <c r="T16" i="1"/>
  <c r="X16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T190" i="1"/>
  <c r="T179" i="1"/>
  <c r="U137" i="1"/>
  <c r="X160" i="1" l="1"/>
  <c r="N160" i="1"/>
  <c r="L160" i="1"/>
  <c r="J160" i="1"/>
  <c r="T31" i="1"/>
  <c r="U103" i="1"/>
  <c r="U105" i="1" s="1"/>
  <c r="U141" i="1"/>
  <c r="T128" i="1"/>
  <c r="T114" i="1"/>
  <c r="U83" i="1"/>
  <c r="U13" i="1"/>
  <c r="K160" i="1" l="1"/>
  <c r="G160" i="1"/>
  <c r="O160" i="1"/>
  <c r="H160" i="1"/>
  <c r="R160" i="1" l="1"/>
  <c r="Z160" i="1" s="1"/>
  <c r="U178" i="1" l="1"/>
  <c r="Q190" i="1"/>
  <c r="Q186" i="1"/>
  <c r="U186" i="1"/>
  <c r="X186" i="1" s="1"/>
  <c r="N186" i="1"/>
  <c r="L186" i="1"/>
  <c r="K186" i="1"/>
  <c r="J186" i="1"/>
  <c r="H186" i="1"/>
  <c r="G186" i="1" l="1"/>
  <c r="O186" i="1"/>
  <c r="R186" i="1" l="1"/>
  <c r="Z186" i="1" s="1"/>
  <c r="N185" i="1" l="1"/>
  <c r="X190" i="1"/>
  <c r="N190" i="1"/>
  <c r="L190" i="1"/>
  <c r="K190" i="1"/>
  <c r="J190" i="1"/>
  <c r="H190" i="1"/>
  <c r="O190" i="1"/>
  <c r="G190" i="1" l="1"/>
  <c r="R190" i="1" l="1"/>
  <c r="Z190" i="1" s="1"/>
  <c r="Q115" i="1" l="1"/>
  <c r="U84" i="1" l="1"/>
  <c r="U32" i="1"/>
  <c r="U188" i="1"/>
  <c r="U150" i="1"/>
  <c r="U144" i="1"/>
  <c r="U47" i="1"/>
  <c r="T151" i="1"/>
  <c r="N184" i="1" l="1"/>
  <c r="N183" i="1"/>
  <c r="N182" i="1"/>
  <c r="N181" i="1"/>
  <c r="N180" i="1"/>
  <c r="N152" i="1"/>
  <c r="N151" i="1"/>
  <c r="N150" i="1"/>
  <c r="M68" i="1"/>
  <c r="M50" i="1"/>
  <c r="M47" i="1"/>
  <c r="M19" i="1"/>
  <c r="X128" i="1" l="1"/>
  <c r="O128" i="1"/>
  <c r="N128" i="1"/>
  <c r="T29" i="1"/>
  <c r="N29" i="1"/>
  <c r="O29" i="1"/>
  <c r="T28" i="1"/>
  <c r="X28" i="1" s="1"/>
  <c r="O28" i="1"/>
  <c r="L114" i="1"/>
  <c r="X114" i="1"/>
  <c r="M114" i="1"/>
  <c r="K101" i="1"/>
  <c r="N101" i="1"/>
  <c r="N39" i="1"/>
  <c r="N41" i="1" s="1"/>
  <c r="O31" i="1"/>
  <c r="G101" i="1" l="1"/>
  <c r="H101" i="1"/>
  <c r="J101" i="1"/>
  <c r="L128" i="1"/>
  <c r="O39" i="1"/>
  <c r="O41" i="1" s="1"/>
  <c r="L29" i="1"/>
  <c r="H29" i="1"/>
  <c r="X29" i="1"/>
  <c r="X101" i="1"/>
  <c r="H28" i="1"/>
  <c r="J28" i="1"/>
  <c r="X31" i="1"/>
  <c r="L101" i="1"/>
  <c r="K28" i="1"/>
  <c r="J29" i="1"/>
  <c r="L28" i="1"/>
  <c r="K29" i="1"/>
  <c r="J128" i="1"/>
  <c r="H128" i="1"/>
  <c r="K128" i="1"/>
  <c r="G128" i="1"/>
  <c r="G28" i="1"/>
  <c r="G29" i="1"/>
  <c r="J39" i="1"/>
  <c r="J41" i="1" s="1"/>
  <c r="K114" i="1"/>
  <c r="K39" i="1"/>
  <c r="K41" i="1" s="1"/>
  <c r="X39" i="1"/>
  <c r="X41" i="1" s="1"/>
  <c r="O101" i="1"/>
  <c r="O114" i="1"/>
  <c r="G114" i="1"/>
  <c r="H39" i="1"/>
  <c r="H41" i="1" s="1"/>
  <c r="H114" i="1"/>
  <c r="J114" i="1"/>
  <c r="L39" i="1"/>
  <c r="L41" i="1" s="1"/>
  <c r="G39" i="1"/>
  <c r="G41" i="1" s="1"/>
  <c r="G31" i="1"/>
  <c r="H31" i="1"/>
  <c r="J31" i="1"/>
  <c r="K31" i="1"/>
  <c r="L31" i="1"/>
  <c r="R101" i="1" l="1"/>
  <c r="R128" i="1"/>
  <c r="Z128" i="1" s="1"/>
  <c r="R39" i="1"/>
  <c r="R41" i="1" s="1"/>
  <c r="R29" i="1"/>
  <c r="Z29" i="1" s="1"/>
  <c r="R28" i="1"/>
  <c r="Z28" i="1" s="1"/>
  <c r="R114" i="1"/>
  <c r="R31" i="1"/>
  <c r="Z31" i="1" s="1"/>
  <c r="Z101" i="1" l="1"/>
  <c r="Z114" i="1"/>
  <c r="Z39" i="1"/>
  <c r="Z41" i="1" s="1"/>
  <c r="N25" i="1" l="1"/>
  <c r="M21" i="1"/>
  <c r="Q11" i="1"/>
  <c r="C164" i="68"/>
  <c r="F54" i="68" l="1"/>
  <c r="X51" i="1" l="1"/>
  <c r="X152" i="1"/>
  <c r="X155" i="1"/>
  <c r="X59" i="1"/>
  <c r="X61" i="1" s="1"/>
  <c r="X50" i="1"/>
  <c r="X27" i="1"/>
  <c r="X7" i="1"/>
  <c r="U175" i="1" l="1"/>
  <c r="U173" i="1"/>
  <c r="X187" i="1" l="1"/>
  <c r="Z187" i="1" s="1"/>
  <c r="X156" i="1"/>
  <c r="T44" i="1"/>
  <c r="T13" i="1"/>
  <c r="X13" i="1" s="1"/>
  <c r="X45" i="1" l="1"/>
  <c r="Q185" i="1" l="1"/>
  <c r="N189" i="1"/>
  <c r="Q189" i="1"/>
  <c r="Q188" i="1"/>
  <c r="Q184" i="1"/>
  <c r="Q183" i="1"/>
  <c r="Q182" i="1"/>
  <c r="Q181" i="1"/>
  <c r="Q180" i="1"/>
  <c r="N179" i="1"/>
  <c r="Q179" i="1"/>
  <c r="N178" i="1"/>
  <c r="Q178" i="1"/>
  <c r="N176" i="1"/>
  <c r="Q176" i="1"/>
  <c r="Q175" i="1"/>
  <c r="Q174" i="1"/>
  <c r="Q173" i="1"/>
  <c r="Q172" i="1"/>
  <c r="Q171" i="1"/>
  <c r="Q170" i="1"/>
  <c r="Q169" i="1"/>
  <c r="N168" i="1"/>
  <c r="Q168" i="1"/>
  <c r="N167" i="1"/>
  <c r="Q167" i="1"/>
  <c r="N166" i="1"/>
  <c r="Q166" i="1"/>
  <c r="N165" i="1"/>
  <c r="Q165" i="1"/>
  <c r="N164" i="1"/>
  <c r="Q164" i="1"/>
  <c r="N159" i="1"/>
  <c r="N148" i="1"/>
  <c r="N145" i="1"/>
  <c r="N147" i="1"/>
  <c r="N146" i="1"/>
  <c r="N144" i="1"/>
  <c r="N143" i="1"/>
  <c r="N137" i="1"/>
  <c r="N131" i="1"/>
  <c r="N130" i="1"/>
  <c r="N129" i="1"/>
  <c r="N127" i="1"/>
  <c r="N15" i="1"/>
  <c r="N126" i="1"/>
  <c r="N124" i="1"/>
  <c r="N103" i="1"/>
  <c r="N102" i="1"/>
  <c r="N23" i="1"/>
  <c r="N20" i="1"/>
  <c r="N18" i="1"/>
  <c r="N17" i="1"/>
  <c r="N16" i="1"/>
  <c r="N10" i="1"/>
  <c r="N105" i="1" l="1"/>
  <c r="N36" i="1"/>
  <c r="N134" i="1"/>
  <c r="N191" i="1"/>
  <c r="N192" i="1" s="1"/>
  <c r="T14" i="1" l="1"/>
  <c r="U176" i="1" l="1"/>
  <c r="U148" i="1"/>
  <c r="T130" i="1"/>
  <c r="Q22" i="1"/>
  <c r="T64" i="1"/>
  <c r="T46" i="1"/>
  <c r="U17" i="1"/>
  <c r="X17" i="1" s="1"/>
  <c r="M112" i="1" l="1"/>
  <c r="M113" i="1"/>
  <c r="M111" i="1"/>
  <c r="M110" i="1"/>
  <c r="M108" i="1"/>
  <c r="M94" i="1"/>
  <c r="M93" i="1"/>
  <c r="M92" i="1"/>
  <c r="M89" i="1"/>
  <c r="M88" i="1"/>
  <c r="M84" i="1"/>
  <c r="M82" i="1"/>
  <c r="M81" i="1"/>
  <c r="M80" i="1"/>
  <c r="M76" i="1"/>
  <c r="M75" i="1"/>
  <c r="M74" i="1"/>
  <c r="M67" i="1"/>
  <c r="M66" i="1"/>
  <c r="M65" i="1"/>
  <c r="M64" i="1"/>
  <c r="M59" i="1"/>
  <c r="M61" i="1" s="1"/>
  <c r="M52" i="1"/>
  <c r="M49" i="1"/>
  <c r="M46" i="1"/>
  <c r="M45" i="1"/>
  <c r="M44" i="1"/>
  <c r="M9" i="1"/>
  <c r="M8" i="1"/>
  <c r="M7" i="1"/>
  <c r="M36" i="1" s="1"/>
  <c r="M85" i="1" l="1"/>
  <c r="M56" i="1"/>
  <c r="M98" i="1"/>
  <c r="M115" i="1"/>
  <c r="M77" i="1"/>
  <c r="R7" i="1"/>
  <c r="M192" i="1" l="1"/>
  <c r="U112" i="1"/>
  <c r="U115" i="1" s="1"/>
  <c r="U68" i="1"/>
  <c r="U77" i="1" s="1"/>
  <c r="T68" i="1"/>
  <c r="T149" i="1"/>
  <c r="X112" i="1" l="1"/>
  <c r="U181" i="1" l="1"/>
  <c r="U80" i="1"/>
  <c r="U85" i="1" s="1"/>
  <c r="X80" i="1" l="1"/>
  <c r="T142" i="1"/>
  <c r="U129" i="1" l="1"/>
  <c r="X177" i="1" l="1"/>
  <c r="X145" i="1" l="1"/>
  <c r="X182" i="1"/>
  <c r="X189" i="1"/>
  <c r="X180" i="1"/>
  <c r="X183" i="1"/>
  <c r="X168" i="1"/>
  <c r="X166" i="1"/>
  <c r="U165" i="1"/>
  <c r="T139" i="1"/>
  <c r="T113" i="1"/>
  <c r="T84" i="1"/>
  <c r="T85" i="1" s="1"/>
  <c r="X74" i="1"/>
  <c r="L185" i="1"/>
  <c r="X84" i="1" l="1"/>
  <c r="X185" i="1"/>
  <c r="H185" i="1"/>
  <c r="G185" i="1"/>
  <c r="O185" i="1"/>
  <c r="K185" i="1"/>
  <c r="J185" i="1"/>
  <c r="R185" i="1" l="1"/>
  <c r="Z185" i="1" l="1"/>
  <c r="X76" i="1"/>
  <c r="X75" i="1"/>
  <c r="X113" i="1" l="1"/>
  <c r="J113" i="1"/>
  <c r="L94" i="1"/>
  <c r="L93" i="1"/>
  <c r="O21" i="1"/>
  <c r="X94" i="1"/>
  <c r="X93" i="1"/>
  <c r="X30" i="1"/>
  <c r="L32" i="1"/>
  <c r="L30" i="1"/>
  <c r="T32" i="1"/>
  <c r="H84" i="1"/>
  <c r="X82" i="1"/>
  <c r="O82" i="1"/>
  <c r="L82" i="1"/>
  <c r="K82" i="1"/>
  <c r="J82" i="1"/>
  <c r="H82" i="1"/>
  <c r="G82" i="1"/>
  <c r="O81" i="1"/>
  <c r="L81" i="1"/>
  <c r="K81" i="1"/>
  <c r="J81" i="1"/>
  <c r="H81" i="1"/>
  <c r="G81" i="1"/>
  <c r="X81" i="1" l="1"/>
  <c r="X32" i="1"/>
  <c r="K113" i="1"/>
  <c r="L113" i="1"/>
  <c r="G113" i="1"/>
  <c r="O113" i="1"/>
  <c r="K32" i="1"/>
  <c r="H113" i="1"/>
  <c r="K94" i="1"/>
  <c r="H21" i="1"/>
  <c r="J21" i="1"/>
  <c r="L21" i="1"/>
  <c r="G93" i="1"/>
  <c r="O93" i="1"/>
  <c r="K21" i="1"/>
  <c r="H93" i="1"/>
  <c r="G94" i="1"/>
  <c r="O94" i="1"/>
  <c r="J93" i="1"/>
  <c r="K93" i="1"/>
  <c r="J94" i="1"/>
  <c r="H94" i="1"/>
  <c r="G21" i="1"/>
  <c r="J84" i="1"/>
  <c r="K84" i="1"/>
  <c r="R81" i="1"/>
  <c r="L84" i="1"/>
  <c r="R82" i="1"/>
  <c r="Z82" i="1" s="1"/>
  <c r="G84" i="1"/>
  <c r="O84" i="1"/>
  <c r="O30" i="1"/>
  <c r="H30" i="1"/>
  <c r="G32" i="1"/>
  <c r="O32" i="1"/>
  <c r="H32" i="1"/>
  <c r="K30" i="1"/>
  <c r="J32" i="1"/>
  <c r="G30" i="1"/>
  <c r="J30" i="1"/>
  <c r="Z81" i="1" l="1"/>
  <c r="R21" i="1"/>
  <c r="Z21" i="1" s="1"/>
  <c r="R113" i="1"/>
  <c r="Z113" i="1" s="1"/>
  <c r="R93" i="1"/>
  <c r="Z93" i="1" s="1"/>
  <c r="R94" i="1"/>
  <c r="Z94" i="1" s="1"/>
  <c r="R84" i="1"/>
  <c r="Z84" i="1" s="1"/>
  <c r="R32" i="1"/>
  <c r="Z32" i="1" s="1"/>
  <c r="R30" i="1"/>
  <c r="Z30" i="1" s="1"/>
  <c r="O76" i="1"/>
  <c r="K76" i="1"/>
  <c r="G76" i="1"/>
  <c r="L76" i="1"/>
  <c r="L75" i="1"/>
  <c r="H75" i="1"/>
  <c r="G75" i="1"/>
  <c r="O75" i="1"/>
  <c r="J67" i="1"/>
  <c r="O65" i="1"/>
  <c r="L65" i="1"/>
  <c r="K65" i="1"/>
  <c r="J65" i="1"/>
  <c r="H65" i="1"/>
  <c r="G65" i="1"/>
  <c r="O10" i="1"/>
  <c r="L16" i="1"/>
  <c r="K16" i="1"/>
  <c r="J16" i="1"/>
  <c r="O16" i="1"/>
  <c r="J11" i="1"/>
  <c r="R65" i="1" l="1"/>
  <c r="X67" i="1"/>
  <c r="O11" i="1"/>
  <c r="K10" i="1"/>
  <c r="J10" i="1"/>
  <c r="K11" i="1"/>
  <c r="K67" i="1"/>
  <c r="H10" i="1"/>
  <c r="L10" i="1"/>
  <c r="G11" i="1"/>
  <c r="J74" i="1"/>
  <c r="K74" i="1"/>
  <c r="J75" i="1"/>
  <c r="H76" i="1"/>
  <c r="L74" i="1"/>
  <c r="K75" i="1"/>
  <c r="J76" i="1"/>
  <c r="G74" i="1"/>
  <c r="O74" i="1"/>
  <c r="H74" i="1"/>
  <c r="L67" i="1"/>
  <c r="O67" i="1"/>
  <c r="G67" i="1"/>
  <c r="H67" i="1"/>
  <c r="Z65" i="1"/>
  <c r="G10" i="1"/>
  <c r="H16" i="1"/>
  <c r="G16" i="1"/>
  <c r="L11" i="1"/>
  <c r="H11" i="1"/>
  <c r="R10" i="1" l="1"/>
  <c r="Z10" i="1" s="1"/>
  <c r="R11" i="1"/>
  <c r="Z11" i="1" s="1"/>
  <c r="R16" i="1"/>
  <c r="Z16" i="1" s="1"/>
  <c r="R67" i="1"/>
  <c r="Z67" i="1" s="1"/>
  <c r="R76" i="1"/>
  <c r="Z76" i="1" s="1"/>
  <c r="R75" i="1"/>
  <c r="R74" i="1"/>
  <c r="Z74" i="1" s="1"/>
  <c r="Z75" i="1" l="1"/>
  <c r="X142" i="1" l="1"/>
  <c r="X88" i="1" l="1"/>
  <c r="X167" i="1" l="1"/>
  <c r="X148" i="1"/>
  <c r="X140" i="1"/>
  <c r="X131" i="1"/>
  <c r="X130" i="1"/>
  <c r="X127" i="1"/>
  <c r="X52" i="1"/>
  <c r="X83" i="1"/>
  <c r="X85" i="1" s="1"/>
  <c r="X48" i="1" l="1"/>
  <c r="X139" i="1"/>
  <c r="D50" i="61"/>
  <c r="B8" i="61"/>
  <c r="D7" i="61"/>
  <c r="D6" i="61"/>
  <c r="D5" i="61"/>
  <c r="X165" i="1" l="1"/>
  <c r="X169" i="1"/>
  <c r="X170" i="1"/>
  <c r="X173" i="1"/>
  <c r="X174" i="1"/>
  <c r="X175" i="1"/>
  <c r="X176" i="1"/>
  <c r="X178" i="1"/>
  <c r="X181" i="1"/>
  <c r="X188" i="1"/>
  <c r="X179" i="1"/>
  <c r="X164" i="1"/>
  <c r="X158" i="1"/>
  <c r="X129" i="1"/>
  <c r="X92" i="1"/>
  <c r="X172" i="1" l="1"/>
  <c r="I127" i="1"/>
  <c r="I15" i="1"/>
  <c r="I36" i="1" s="1"/>
  <c r="I88" i="1"/>
  <c r="I89" i="1"/>
  <c r="I98" i="1" l="1"/>
  <c r="K149" i="1" l="1"/>
  <c r="O149" i="1" l="1"/>
  <c r="J149" i="1"/>
  <c r="H149" i="1"/>
  <c r="L149" i="1"/>
  <c r="G149" i="1"/>
  <c r="R149" i="1" l="1"/>
  <c r="U125" i="1" l="1"/>
  <c r="X73" i="1"/>
  <c r="X25" i="1"/>
  <c r="U146" i="1" l="1"/>
  <c r="T49" i="1"/>
  <c r="X49" i="1" s="1"/>
  <c r="U14" i="1"/>
  <c r="X14" i="1" l="1"/>
  <c r="U36" i="1"/>
  <c r="X149" i="1"/>
  <c r="Z149" i="1" s="1"/>
  <c r="T157" i="1" l="1"/>
  <c r="X157" i="1" s="1"/>
  <c r="X151" i="1"/>
  <c r="T134" i="1"/>
  <c r="T66" i="1" l="1"/>
  <c r="U90" i="1"/>
  <c r="U98" i="1" s="1"/>
  <c r="X66" i="1" l="1"/>
  <c r="X159" i="1"/>
  <c r="T137" i="1" l="1"/>
  <c r="T12" i="1"/>
  <c r="X12" i="1" l="1"/>
  <c r="O159" i="1"/>
  <c r="L159" i="1"/>
  <c r="K159" i="1"/>
  <c r="J159" i="1"/>
  <c r="H159" i="1"/>
  <c r="G159" i="1"/>
  <c r="R159" i="1" l="1"/>
  <c r="Z159" i="1" s="1"/>
  <c r="Q19" i="1" l="1"/>
  <c r="Q9" i="1"/>
  <c r="U46" i="1" l="1"/>
  <c r="U56" i="1" s="1"/>
  <c r="X46" i="1" l="1"/>
  <c r="T141" i="1"/>
  <c r="T111" i="1"/>
  <c r="X111" i="1" s="1"/>
  <c r="X141" i="1" l="1"/>
  <c r="X126" i="1" l="1"/>
  <c r="Q12" i="1" l="1"/>
  <c r="O189" i="1" l="1"/>
  <c r="J189" i="1"/>
  <c r="H189" i="1"/>
  <c r="L189" i="1"/>
  <c r="K189" i="1" l="1"/>
  <c r="G189" i="1"/>
  <c r="R189" i="1" l="1"/>
  <c r="I64" i="1"/>
  <c r="I77" i="1" s="1"/>
  <c r="X64" i="1" l="1"/>
  <c r="L64" i="1"/>
  <c r="O64" i="1"/>
  <c r="K64" i="1"/>
  <c r="G64" i="1"/>
  <c r="H64" i="1"/>
  <c r="J64" i="1"/>
  <c r="Q134" i="1"/>
  <c r="R64" i="1" l="1"/>
  <c r="Z64" i="1" l="1"/>
  <c r="U134" i="1" l="1"/>
  <c r="L108" i="1" l="1"/>
  <c r="G108" i="1" l="1"/>
  <c r="O108" i="1"/>
  <c r="H108" i="1"/>
  <c r="K108" i="1"/>
  <c r="J108" i="1"/>
  <c r="O25" i="1"/>
  <c r="L22" i="1"/>
  <c r="R108" i="1" l="1"/>
  <c r="H22" i="1"/>
  <c r="O22" i="1"/>
  <c r="J25" i="1"/>
  <c r="K25" i="1"/>
  <c r="G25" i="1"/>
  <c r="L25" i="1"/>
  <c r="H25" i="1"/>
  <c r="J22" i="1"/>
  <c r="K22" i="1"/>
  <c r="G22" i="1"/>
  <c r="R22" i="1" l="1"/>
  <c r="Z22" i="1" s="1"/>
  <c r="R25" i="1"/>
  <c r="Z25" i="1" s="1"/>
  <c r="U191" i="1" l="1"/>
  <c r="U192" i="1" s="1"/>
  <c r="X171" i="1" l="1"/>
  <c r="Q20" i="1"/>
  <c r="Q36" i="1" s="1"/>
  <c r="X125" i="1" l="1"/>
  <c r="I137" i="1"/>
  <c r="I191" i="1" s="1"/>
  <c r="I192" i="1" s="1"/>
  <c r="I124" i="1"/>
  <c r="I134" i="1" s="1"/>
  <c r="X137" i="1" l="1"/>
  <c r="X124" i="1"/>
  <c r="X134" i="1" s="1"/>
  <c r="X44" i="1" l="1"/>
  <c r="Z189" i="1"/>
  <c r="T36" i="1" l="1"/>
  <c r="X36" i="1" l="1"/>
  <c r="X144" i="1"/>
  <c r="G44" i="1"/>
  <c r="H44" i="1"/>
  <c r="J44" i="1"/>
  <c r="K44" i="1"/>
  <c r="L44" i="1"/>
  <c r="O44" i="1"/>
  <c r="R44" i="1" l="1"/>
  <c r="Z44" i="1" l="1"/>
  <c r="X68" i="1" l="1"/>
  <c r="X143" i="1"/>
  <c r="O27" i="1" l="1"/>
  <c r="L27" i="1"/>
  <c r="K27" i="1"/>
  <c r="J27" i="1"/>
  <c r="H27" i="1"/>
  <c r="G27" i="1"/>
  <c r="R27" i="1" l="1"/>
  <c r="Z27" i="1" s="1"/>
  <c r="T103" i="1" l="1"/>
  <c r="T105" i="1" s="1"/>
  <c r="X89" i="1" l="1"/>
  <c r="X103" i="1"/>
  <c r="X110" i="1"/>
  <c r="X102" i="1"/>
  <c r="X105" i="1" s="1"/>
  <c r="L182" i="1"/>
  <c r="X146" i="1" l="1"/>
  <c r="G157" i="1" l="1"/>
  <c r="H157" i="1"/>
  <c r="J157" i="1"/>
  <c r="K157" i="1"/>
  <c r="L157" i="1"/>
  <c r="O157" i="1"/>
  <c r="R157" i="1" l="1"/>
  <c r="G177" i="1" l="1"/>
  <c r="H177" i="1"/>
  <c r="J177" i="1"/>
  <c r="K177" i="1"/>
  <c r="L177" i="1"/>
  <c r="O177" i="1"/>
  <c r="R177" i="1" l="1"/>
  <c r="Z177" i="1" s="1"/>
  <c r="Z157" i="1"/>
  <c r="O73" i="1"/>
  <c r="L73" i="1"/>
  <c r="K73" i="1"/>
  <c r="J73" i="1"/>
  <c r="H73" i="1"/>
  <c r="G73" i="1"/>
  <c r="G158" i="1"/>
  <c r="H158" i="1"/>
  <c r="J158" i="1"/>
  <c r="K158" i="1"/>
  <c r="L158" i="1"/>
  <c r="O158" i="1"/>
  <c r="G148" i="1"/>
  <c r="H148" i="1"/>
  <c r="J148" i="1"/>
  <c r="K148" i="1"/>
  <c r="L148" i="1"/>
  <c r="O148" i="1"/>
  <c r="R158" i="1" l="1"/>
  <c r="R148" i="1"/>
  <c r="R73" i="1"/>
  <c r="O112" i="1"/>
  <c r="L112" i="1"/>
  <c r="K112" i="1"/>
  <c r="J112" i="1"/>
  <c r="H112" i="1"/>
  <c r="G112" i="1"/>
  <c r="O146" i="1"/>
  <c r="L146" i="1"/>
  <c r="K146" i="1"/>
  <c r="J146" i="1"/>
  <c r="H146" i="1"/>
  <c r="G146" i="1"/>
  <c r="Z158" i="1" l="1"/>
  <c r="Z73" i="1"/>
  <c r="R112" i="1"/>
  <c r="Z112" i="1" s="1"/>
  <c r="R146" i="1"/>
  <c r="Z146" i="1" s="1"/>
  <c r="G156" i="1"/>
  <c r="H156" i="1"/>
  <c r="J156" i="1"/>
  <c r="K156" i="1"/>
  <c r="L156" i="1"/>
  <c r="O156" i="1"/>
  <c r="R156" i="1" l="1"/>
  <c r="Z156" i="1" s="1"/>
  <c r="G188" i="1" l="1"/>
  <c r="H188" i="1"/>
  <c r="J188" i="1"/>
  <c r="K188" i="1"/>
  <c r="L188" i="1"/>
  <c r="O188" i="1"/>
  <c r="R188" i="1" l="1"/>
  <c r="Z188" i="1" s="1"/>
  <c r="G176" i="1"/>
  <c r="H176" i="1"/>
  <c r="J176" i="1"/>
  <c r="K176" i="1"/>
  <c r="L176" i="1"/>
  <c r="O176" i="1"/>
  <c r="R176" i="1" l="1"/>
  <c r="G155" i="1"/>
  <c r="H155" i="1"/>
  <c r="J155" i="1"/>
  <c r="K155" i="1"/>
  <c r="L155" i="1"/>
  <c r="O155" i="1"/>
  <c r="R155" i="1" l="1"/>
  <c r="Z155" i="1" s="1"/>
  <c r="G68" i="1"/>
  <c r="H68" i="1"/>
  <c r="J68" i="1"/>
  <c r="K68" i="1"/>
  <c r="L68" i="1"/>
  <c r="O68" i="1"/>
  <c r="R68" i="1" l="1"/>
  <c r="Z68" i="1" l="1"/>
  <c r="O9" i="1"/>
  <c r="L9" i="1"/>
  <c r="K9" i="1"/>
  <c r="J9" i="1"/>
  <c r="H9" i="1"/>
  <c r="G9" i="1"/>
  <c r="Z9" i="1" l="1"/>
  <c r="Z7" i="1" l="1"/>
  <c r="Z176" i="1" l="1"/>
  <c r="T108" i="1" l="1"/>
  <c r="T115" i="1" s="1"/>
  <c r="X108" i="1" l="1"/>
  <c r="X115" i="1" s="1"/>
  <c r="T150" i="1" l="1"/>
  <c r="X150" i="1" s="1"/>
  <c r="T184" i="1" l="1"/>
  <c r="X184" i="1" l="1"/>
  <c r="G19" i="1" l="1"/>
  <c r="H19" i="1"/>
  <c r="J19" i="1"/>
  <c r="K19" i="1"/>
  <c r="L19" i="1"/>
  <c r="O19" i="1"/>
  <c r="O17" i="1"/>
  <c r="L17" i="1"/>
  <c r="K17" i="1"/>
  <c r="J17" i="1"/>
  <c r="H17" i="1"/>
  <c r="G17" i="1"/>
  <c r="R19" i="1" l="1"/>
  <c r="Z19" i="1" s="1"/>
  <c r="R17" i="1"/>
  <c r="Z17" i="1" s="1"/>
  <c r="O182" i="1" l="1"/>
  <c r="K182" i="1"/>
  <c r="J182" i="1"/>
  <c r="H182" i="1"/>
  <c r="G182" i="1"/>
  <c r="R182" i="1" l="1"/>
  <c r="Z182" i="1" s="1"/>
  <c r="L183" i="1" l="1"/>
  <c r="O181" i="1"/>
  <c r="L181" i="1"/>
  <c r="K181" i="1"/>
  <c r="J181" i="1"/>
  <c r="H181" i="1"/>
  <c r="G181" i="1"/>
  <c r="R181" i="1" l="1"/>
  <c r="Z181" i="1" s="1"/>
  <c r="Z108" i="1"/>
  <c r="T91" i="1" l="1"/>
  <c r="X91" i="1" s="1"/>
  <c r="G184" i="1" l="1"/>
  <c r="H184" i="1"/>
  <c r="J184" i="1"/>
  <c r="K184" i="1"/>
  <c r="L184" i="1"/>
  <c r="O184" i="1"/>
  <c r="G152" i="1"/>
  <c r="H152" i="1"/>
  <c r="J152" i="1"/>
  <c r="K152" i="1"/>
  <c r="L152" i="1"/>
  <c r="O152" i="1"/>
  <c r="R152" i="1" l="1"/>
  <c r="Z152" i="1" s="1"/>
  <c r="R184" i="1"/>
  <c r="Z184" i="1" s="1"/>
  <c r="O14" i="1" l="1"/>
  <c r="L14" i="1"/>
  <c r="K14" i="1"/>
  <c r="J14" i="1"/>
  <c r="H14" i="1"/>
  <c r="G14" i="1"/>
  <c r="R14" i="1" l="1"/>
  <c r="G183" i="1"/>
  <c r="H183" i="1"/>
  <c r="J183" i="1"/>
  <c r="K183" i="1"/>
  <c r="O183" i="1"/>
  <c r="G151" i="1"/>
  <c r="H151" i="1"/>
  <c r="J151" i="1"/>
  <c r="K151" i="1"/>
  <c r="L151" i="1"/>
  <c r="O151" i="1"/>
  <c r="Z14" i="1" l="1"/>
  <c r="R183" i="1"/>
  <c r="Z183" i="1" s="1"/>
  <c r="R151" i="1"/>
  <c r="Z151" i="1" s="1"/>
  <c r="G180" i="1" l="1"/>
  <c r="H180" i="1"/>
  <c r="J180" i="1"/>
  <c r="K180" i="1"/>
  <c r="L180" i="1"/>
  <c r="O180" i="1"/>
  <c r="G150" i="1"/>
  <c r="H150" i="1"/>
  <c r="J150" i="1"/>
  <c r="K150" i="1"/>
  <c r="L150" i="1"/>
  <c r="O150" i="1"/>
  <c r="R150" i="1" l="1"/>
  <c r="R180" i="1"/>
  <c r="Z180" i="1" l="1"/>
  <c r="G179" i="1"/>
  <c r="H179" i="1"/>
  <c r="J179" i="1"/>
  <c r="K179" i="1"/>
  <c r="L179" i="1"/>
  <c r="O179" i="1"/>
  <c r="R179" i="1" l="1"/>
  <c r="Z179" i="1" s="1"/>
  <c r="O49" i="1" l="1"/>
  <c r="L49" i="1"/>
  <c r="K49" i="1"/>
  <c r="J49" i="1"/>
  <c r="H49" i="1"/>
  <c r="G49" i="1"/>
  <c r="R49" i="1" l="1"/>
  <c r="Z49" i="1" s="1"/>
  <c r="T70" i="1"/>
  <c r="T77" i="1" s="1"/>
  <c r="T47" i="1"/>
  <c r="T56" i="1" s="1"/>
  <c r="X47" i="1" l="1"/>
  <c r="X56" i="1" s="1"/>
  <c r="X70" i="1"/>
  <c r="X77" i="1" s="1"/>
  <c r="Z148" i="1"/>
  <c r="G139" i="1" l="1"/>
  <c r="H139" i="1"/>
  <c r="J139" i="1"/>
  <c r="K139" i="1"/>
  <c r="L139" i="1"/>
  <c r="O139" i="1"/>
  <c r="R139" i="1" l="1"/>
  <c r="Z139" i="1" l="1"/>
  <c r="L144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8" i="1"/>
  <c r="L178" i="1"/>
  <c r="K178" i="1"/>
  <c r="J178" i="1"/>
  <c r="H178" i="1"/>
  <c r="G178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45" i="1"/>
  <c r="L145" i="1"/>
  <c r="K145" i="1"/>
  <c r="J145" i="1"/>
  <c r="H145" i="1"/>
  <c r="G145" i="1"/>
  <c r="T147" i="1"/>
  <c r="T191" i="1" s="1"/>
  <c r="O147" i="1"/>
  <c r="L147" i="1"/>
  <c r="K147" i="1"/>
  <c r="J147" i="1"/>
  <c r="H147" i="1"/>
  <c r="G147" i="1"/>
  <c r="O142" i="1"/>
  <c r="L142" i="1"/>
  <c r="K142" i="1"/>
  <c r="J142" i="1"/>
  <c r="H142" i="1"/>
  <c r="G142" i="1"/>
  <c r="O141" i="1"/>
  <c r="L141" i="1"/>
  <c r="K141" i="1"/>
  <c r="J141" i="1"/>
  <c r="H141" i="1"/>
  <c r="G141" i="1"/>
  <c r="O140" i="1"/>
  <c r="L140" i="1"/>
  <c r="K140" i="1"/>
  <c r="J140" i="1"/>
  <c r="H140" i="1"/>
  <c r="G140" i="1"/>
  <c r="O131" i="1"/>
  <c r="L131" i="1"/>
  <c r="K131" i="1"/>
  <c r="J131" i="1"/>
  <c r="H131" i="1"/>
  <c r="G131" i="1"/>
  <c r="O130" i="1"/>
  <c r="L130" i="1"/>
  <c r="K130" i="1"/>
  <c r="J130" i="1"/>
  <c r="H130" i="1"/>
  <c r="G130" i="1"/>
  <c r="O129" i="1"/>
  <c r="L129" i="1"/>
  <c r="E9" i="11" s="1"/>
  <c r="D9" i="11" s="1"/>
  <c r="K129" i="1"/>
  <c r="J129" i="1"/>
  <c r="E7" i="11" s="1"/>
  <c r="D7" i="11" s="1"/>
  <c r="H129" i="1"/>
  <c r="G129" i="1"/>
  <c r="O143" i="1"/>
  <c r="L143" i="1"/>
  <c r="K143" i="1"/>
  <c r="J143" i="1"/>
  <c r="H143" i="1"/>
  <c r="G143" i="1"/>
  <c r="O126" i="1"/>
  <c r="L126" i="1"/>
  <c r="K126" i="1"/>
  <c r="J126" i="1"/>
  <c r="H126" i="1"/>
  <c r="G126" i="1"/>
  <c r="O125" i="1"/>
  <c r="L125" i="1"/>
  <c r="K125" i="1"/>
  <c r="J125" i="1"/>
  <c r="H125" i="1"/>
  <c r="G125" i="1"/>
  <c r="O137" i="1"/>
  <c r="L137" i="1"/>
  <c r="K137" i="1"/>
  <c r="J137" i="1"/>
  <c r="H137" i="1"/>
  <c r="G137" i="1"/>
  <c r="O124" i="1"/>
  <c r="L124" i="1"/>
  <c r="K124" i="1"/>
  <c r="J124" i="1"/>
  <c r="H124" i="1"/>
  <c r="G124" i="1"/>
  <c r="O83" i="1"/>
  <c r="L83" i="1"/>
  <c r="K83" i="1"/>
  <c r="J83" i="1"/>
  <c r="H83" i="1"/>
  <c r="G83" i="1"/>
  <c r="O92" i="1"/>
  <c r="L92" i="1"/>
  <c r="K92" i="1"/>
  <c r="J92" i="1"/>
  <c r="H92" i="1"/>
  <c r="G92" i="1"/>
  <c r="O144" i="1"/>
  <c r="K144" i="1"/>
  <c r="J144" i="1"/>
  <c r="H144" i="1"/>
  <c r="G144" i="1"/>
  <c r="O70" i="1"/>
  <c r="L70" i="1"/>
  <c r="K70" i="1"/>
  <c r="J70" i="1"/>
  <c r="H70" i="1"/>
  <c r="G70" i="1"/>
  <c r="O111" i="1"/>
  <c r="L111" i="1"/>
  <c r="K111" i="1"/>
  <c r="J111" i="1"/>
  <c r="H111" i="1"/>
  <c r="G111" i="1"/>
  <c r="O91" i="1"/>
  <c r="L91" i="1"/>
  <c r="K91" i="1"/>
  <c r="J91" i="1"/>
  <c r="H91" i="1"/>
  <c r="G91" i="1"/>
  <c r="O102" i="1"/>
  <c r="L102" i="1"/>
  <c r="K102" i="1"/>
  <c r="J102" i="1"/>
  <c r="H102" i="1"/>
  <c r="G102" i="1"/>
  <c r="T90" i="1"/>
  <c r="T98" i="1" s="1"/>
  <c r="O90" i="1"/>
  <c r="L90" i="1"/>
  <c r="K90" i="1"/>
  <c r="J90" i="1"/>
  <c r="H90" i="1"/>
  <c r="G90" i="1"/>
  <c r="O110" i="1"/>
  <c r="L110" i="1"/>
  <c r="K110" i="1"/>
  <c r="J110" i="1"/>
  <c r="H110" i="1"/>
  <c r="G110" i="1"/>
  <c r="O88" i="1"/>
  <c r="L88" i="1"/>
  <c r="K88" i="1"/>
  <c r="J88" i="1"/>
  <c r="H88" i="1"/>
  <c r="G88" i="1"/>
  <c r="O8" i="1"/>
  <c r="L8" i="1"/>
  <c r="K8" i="1"/>
  <c r="J8" i="1"/>
  <c r="H8" i="1"/>
  <c r="G8" i="1"/>
  <c r="O47" i="1"/>
  <c r="L47" i="1"/>
  <c r="K47" i="1"/>
  <c r="J47" i="1"/>
  <c r="H47" i="1"/>
  <c r="G47" i="1"/>
  <c r="O89" i="1"/>
  <c r="L89" i="1"/>
  <c r="K89" i="1"/>
  <c r="J89" i="1"/>
  <c r="H89" i="1"/>
  <c r="G89" i="1"/>
  <c r="O45" i="1"/>
  <c r="L45" i="1"/>
  <c r="K45" i="1"/>
  <c r="J45" i="1"/>
  <c r="H45" i="1"/>
  <c r="G45" i="1"/>
  <c r="O109" i="1"/>
  <c r="L109" i="1"/>
  <c r="K109" i="1"/>
  <c r="J109" i="1"/>
  <c r="H109" i="1"/>
  <c r="G109" i="1"/>
  <c r="E8" i="7"/>
  <c r="D8" i="7" s="1"/>
  <c r="O80" i="1"/>
  <c r="O85" i="1" s="1"/>
  <c r="L80" i="1"/>
  <c r="K80" i="1"/>
  <c r="J80" i="1"/>
  <c r="H80" i="1"/>
  <c r="G80" i="1"/>
  <c r="O66" i="1"/>
  <c r="L66" i="1"/>
  <c r="K66" i="1"/>
  <c r="J66" i="1"/>
  <c r="H66" i="1"/>
  <c r="G66" i="1"/>
  <c r="O13" i="1"/>
  <c r="L13" i="1"/>
  <c r="K13" i="1"/>
  <c r="J13" i="1"/>
  <c r="H13" i="1"/>
  <c r="G13" i="1"/>
  <c r="O50" i="1"/>
  <c r="L50" i="1"/>
  <c r="K50" i="1"/>
  <c r="J50" i="1"/>
  <c r="H50" i="1"/>
  <c r="G50" i="1"/>
  <c r="O59" i="1"/>
  <c r="O61" i="1" s="1"/>
  <c r="L59" i="1"/>
  <c r="L61" i="1" s="1"/>
  <c r="K59" i="1"/>
  <c r="K61" i="1" s="1"/>
  <c r="J59" i="1"/>
  <c r="J61" i="1" s="1"/>
  <c r="H59" i="1"/>
  <c r="H61" i="1" s="1"/>
  <c r="G59" i="1"/>
  <c r="G61" i="1" s="1"/>
  <c r="O52" i="1"/>
  <c r="L52" i="1"/>
  <c r="K52" i="1"/>
  <c r="J52" i="1"/>
  <c r="H52" i="1"/>
  <c r="G52" i="1"/>
  <c r="O51" i="1"/>
  <c r="L51" i="1"/>
  <c r="K51" i="1"/>
  <c r="J51" i="1"/>
  <c r="H51" i="1"/>
  <c r="G51" i="1"/>
  <c r="O48" i="1"/>
  <c r="L48" i="1"/>
  <c r="K48" i="1"/>
  <c r="J48" i="1"/>
  <c r="H48" i="1"/>
  <c r="G48" i="1"/>
  <c r="O46" i="1"/>
  <c r="L46" i="1"/>
  <c r="K46" i="1"/>
  <c r="J46" i="1"/>
  <c r="H46" i="1"/>
  <c r="G46" i="1"/>
  <c r="O23" i="1"/>
  <c r="L23" i="1"/>
  <c r="K23" i="1"/>
  <c r="J23" i="1"/>
  <c r="H23" i="1"/>
  <c r="G23" i="1"/>
  <c r="O20" i="1"/>
  <c r="L20" i="1"/>
  <c r="K20" i="1"/>
  <c r="J20" i="1"/>
  <c r="H20" i="1"/>
  <c r="G20" i="1"/>
  <c r="O18" i="1"/>
  <c r="L18" i="1"/>
  <c r="K18" i="1"/>
  <c r="J18" i="1"/>
  <c r="H18" i="1"/>
  <c r="G18" i="1"/>
  <c r="O12" i="1"/>
  <c r="L12" i="1"/>
  <c r="K12" i="1"/>
  <c r="J12" i="1"/>
  <c r="H12" i="1"/>
  <c r="G12" i="1"/>
  <c r="E12" i="5"/>
  <c r="D12" i="5" s="1"/>
  <c r="E10" i="5"/>
  <c r="D10" i="5" s="1"/>
  <c r="E9" i="5"/>
  <c r="D9" i="5" s="1"/>
  <c r="E8" i="5"/>
  <c r="D8" i="5" s="1"/>
  <c r="E6" i="5"/>
  <c r="D6" i="5" s="1"/>
  <c r="T192" i="1" l="1"/>
  <c r="K85" i="1"/>
  <c r="H85" i="1"/>
  <c r="R125" i="1"/>
  <c r="L85" i="1"/>
  <c r="L115" i="1"/>
  <c r="R12" i="1"/>
  <c r="Z12" i="1" s="1"/>
  <c r="R13" i="1"/>
  <c r="Z13" i="1" s="1"/>
  <c r="G77" i="1"/>
  <c r="J85" i="1"/>
  <c r="G85" i="1"/>
  <c r="H115" i="1"/>
  <c r="J115" i="1"/>
  <c r="J191" i="1"/>
  <c r="O115" i="1"/>
  <c r="G56" i="1"/>
  <c r="H56" i="1"/>
  <c r="G115" i="1"/>
  <c r="J56" i="1"/>
  <c r="K56" i="1"/>
  <c r="L56" i="1"/>
  <c r="O56" i="1"/>
  <c r="G191" i="1"/>
  <c r="L191" i="1"/>
  <c r="K115" i="1"/>
  <c r="G98" i="1"/>
  <c r="H191" i="1"/>
  <c r="K77" i="1"/>
  <c r="J98" i="1"/>
  <c r="K191" i="1"/>
  <c r="O191" i="1"/>
  <c r="K98" i="1"/>
  <c r="H77" i="1"/>
  <c r="J77" i="1"/>
  <c r="L77" i="1"/>
  <c r="L98" i="1"/>
  <c r="H98" i="1"/>
  <c r="O77" i="1"/>
  <c r="O98" i="1"/>
  <c r="R178" i="1"/>
  <c r="Z178" i="1" s="1"/>
  <c r="X90" i="1"/>
  <c r="X98" i="1" s="1"/>
  <c r="X147" i="1"/>
  <c r="X191" i="1" s="1"/>
  <c r="R23" i="1"/>
  <c r="Z23" i="1" s="1"/>
  <c r="R18" i="1"/>
  <c r="Z18" i="1" s="1"/>
  <c r="R20" i="1"/>
  <c r="Z20" i="1" s="1"/>
  <c r="R8" i="1"/>
  <c r="R83" i="1"/>
  <c r="Z83" i="1" s="1"/>
  <c r="E12" i="7"/>
  <c r="D12" i="7" s="1"/>
  <c r="E9" i="7"/>
  <c r="D9" i="7" s="1"/>
  <c r="E10" i="7"/>
  <c r="D10" i="7" s="1"/>
  <c r="E6" i="7"/>
  <c r="D6" i="7" s="1"/>
  <c r="Z150" i="1"/>
  <c r="E8" i="6"/>
  <c r="D8" i="6" s="1"/>
  <c r="E12" i="6"/>
  <c r="D12" i="6" s="1"/>
  <c r="E9" i="6"/>
  <c r="D9" i="6" s="1"/>
  <c r="E6" i="6"/>
  <c r="D6" i="6" s="1"/>
  <c r="R89" i="1"/>
  <c r="R4" i="12"/>
  <c r="R7" i="12"/>
  <c r="R8" i="12"/>
  <c r="R145" i="1"/>
  <c r="Z145" i="1" s="1"/>
  <c r="R165" i="1"/>
  <c r="Z165" i="1" s="1"/>
  <c r="R91" i="1"/>
  <c r="Z91" i="1" s="1"/>
  <c r="R50" i="1"/>
  <c r="Z50" i="1" s="1"/>
  <c r="R109" i="1"/>
  <c r="R169" i="1"/>
  <c r="Z169" i="1" s="1"/>
  <c r="Z171" i="1"/>
  <c r="R66" i="1"/>
  <c r="R51" i="1"/>
  <c r="Z51" i="1" s="1"/>
  <c r="R70" i="1"/>
  <c r="Z70" i="1" s="1"/>
  <c r="R124" i="1"/>
  <c r="R144" i="1"/>
  <c r="Z144" i="1" s="1"/>
  <c r="R48" i="1"/>
  <c r="R110" i="1"/>
  <c r="R90" i="1"/>
  <c r="R92" i="1"/>
  <c r="Z92" i="1" s="1"/>
  <c r="Z125" i="1"/>
  <c r="R126" i="1"/>
  <c r="R130" i="1"/>
  <c r="Z130" i="1" s="1"/>
  <c r="R140" i="1"/>
  <c r="R141" i="1"/>
  <c r="Z141" i="1" s="1"/>
  <c r="R147" i="1"/>
  <c r="R173" i="1"/>
  <c r="Z173" i="1" s="1"/>
  <c r="R175" i="1"/>
  <c r="Z175" i="1" s="1"/>
  <c r="R45" i="1"/>
  <c r="R102" i="1"/>
  <c r="R111" i="1"/>
  <c r="Z111" i="1" s="1"/>
  <c r="R164" i="1"/>
  <c r="Z164" i="1" s="1"/>
  <c r="R168" i="1"/>
  <c r="R170" i="1"/>
  <c r="Z170" i="1" s="1"/>
  <c r="R143" i="1"/>
  <c r="Z143" i="1" s="1"/>
  <c r="R52" i="1"/>
  <c r="Z52" i="1" s="1"/>
  <c r="R47" i="1"/>
  <c r="R88" i="1"/>
  <c r="R137" i="1"/>
  <c r="R129" i="1"/>
  <c r="Z129" i="1" s="1"/>
  <c r="R131" i="1"/>
  <c r="Z131" i="1" s="1"/>
  <c r="R142" i="1"/>
  <c r="Z142" i="1" s="1"/>
  <c r="R166" i="1"/>
  <c r="Z166" i="1" s="1"/>
  <c r="R167" i="1"/>
  <c r="R172" i="1"/>
  <c r="R174" i="1"/>
  <c r="Z174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46" i="1"/>
  <c r="R80" i="1"/>
  <c r="R59" i="1"/>
  <c r="R61" i="1" s="1"/>
  <c r="C14" i="23"/>
  <c r="E10" i="6"/>
  <c r="D10" i="6" s="1"/>
  <c r="E12" i="11"/>
  <c r="D12" i="11" s="1"/>
  <c r="D4" i="5"/>
  <c r="X192" i="1" l="1"/>
  <c r="Z8" i="1"/>
  <c r="R85" i="1"/>
  <c r="R56" i="1"/>
  <c r="R115" i="1"/>
  <c r="R98" i="1"/>
  <c r="Z138" i="1"/>
  <c r="Z47" i="1"/>
  <c r="Z140" i="1"/>
  <c r="Z168" i="1"/>
  <c r="Z102" i="1"/>
  <c r="Z45" i="1"/>
  <c r="E14" i="7"/>
  <c r="D14" i="7" s="1"/>
  <c r="Z66" i="1"/>
  <c r="Z137" i="1"/>
  <c r="Z110" i="1"/>
  <c r="Z88" i="1"/>
  <c r="Z89" i="1"/>
  <c r="Z109" i="1"/>
  <c r="Z124" i="1"/>
  <c r="Z147" i="1"/>
  <c r="Z167" i="1"/>
  <c r="Z48" i="1"/>
  <c r="Z172" i="1"/>
  <c r="Z126" i="1"/>
  <c r="Z90" i="1"/>
  <c r="E14" i="4"/>
  <c r="D14" i="4" s="1"/>
  <c r="D5" i="7"/>
  <c r="D14" i="5"/>
  <c r="E14" i="5"/>
  <c r="Z46" i="1"/>
  <c r="L15" i="1"/>
  <c r="L36" i="1" s="1"/>
  <c r="E14" i="13"/>
  <c r="D14" i="13" s="1"/>
  <c r="K15" i="1"/>
  <c r="K36" i="1" s="1"/>
  <c r="E13" i="8"/>
  <c r="D13" i="8" s="1"/>
  <c r="G15" i="1"/>
  <c r="G36" i="1" s="1"/>
  <c r="O15" i="1"/>
  <c r="O36" i="1" s="1"/>
  <c r="J15" i="1"/>
  <c r="J36" i="1" s="1"/>
  <c r="H15" i="1"/>
  <c r="H36" i="1" s="1"/>
  <c r="L127" i="1"/>
  <c r="L134" i="1" s="1"/>
  <c r="Z80" i="1"/>
  <c r="Z85" i="1" s="1"/>
  <c r="Z59" i="1"/>
  <c r="Z61" i="1" s="1"/>
  <c r="E14" i="6"/>
  <c r="D14" i="6" s="1"/>
  <c r="Z56" i="1" l="1"/>
  <c r="Z115" i="1"/>
  <c r="Z98" i="1"/>
  <c r="H45" i="68"/>
  <c r="H43" i="68"/>
  <c r="R15" i="1"/>
  <c r="R36" i="1" s="1"/>
  <c r="J127" i="1"/>
  <c r="J134" i="1" s="1"/>
  <c r="O127" i="1"/>
  <c r="O134" i="1" s="1"/>
  <c r="K127" i="1"/>
  <c r="K134" i="1" s="1"/>
  <c r="G127" i="1"/>
  <c r="G134" i="1" s="1"/>
  <c r="H127" i="1"/>
  <c r="H134" i="1" s="1"/>
  <c r="Z15" i="1" l="1"/>
  <c r="Z36" i="1" s="1"/>
  <c r="H50" i="68"/>
  <c r="H47" i="68"/>
  <c r="H44" i="68"/>
  <c r="H48" i="68"/>
  <c r="R127" i="1"/>
  <c r="R134" i="1" s="1"/>
  <c r="Z127" i="1" l="1"/>
  <c r="Z134" i="1" l="1"/>
  <c r="H42" i="68"/>
  <c r="H52" i="68" l="1"/>
  <c r="G24" i="68" l="1"/>
  <c r="G26" i="68"/>
  <c r="G25" i="68"/>
  <c r="G23" i="68"/>
  <c r="H27" i="68" l="1"/>
  <c r="J103" i="1"/>
  <c r="L103" i="1"/>
  <c r="K103" i="1"/>
  <c r="O103" i="1"/>
  <c r="G103" i="1"/>
  <c r="G105" i="1" s="1"/>
  <c r="G192" i="1" s="1"/>
  <c r="H103" i="1"/>
  <c r="H105" i="1" l="1"/>
  <c r="H192" i="1" s="1"/>
  <c r="O105" i="1"/>
  <c r="O192" i="1" s="1"/>
  <c r="K105" i="1"/>
  <c r="K192" i="1" s="1"/>
  <c r="L105" i="1"/>
  <c r="L192" i="1" s="1"/>
  <c r="J105" i="1"/>
  <c r="J192" i="1" s="1"/>
  <c r="R103" i="1"/>
  <c r="Z103" i="1" l="1"/>
  <c r="Z105" i="1" s="1"/>
  <c r="H49" i="68" s="1"/>
  <c r="R105" i="1"/>
  <c r="Q191" i="1"/>
  <c r="Q192" i="1" s="1"/>
  <c r="R153" i="1"/>
  <c r="R191" i="1" s="1"/>
  <c r="Z153" i="1" l="1"/>
  <c r="Z191" i="1" s="1"/>
  <c r="H53" i="68" l="1"/>
  <c r="F77" i="1"/>
  <c r="F192" i="1" s="1"/>
  <c r="R77" i="1"/>
  <c r="R192" i="1" s="1"/>
  <c r="H20" i="68" l="1"/>
  <c r="Z77" i="1" l="1"/>
  <c r="Z192" i="1" s="1"/>
  <c r="H28" i="68"/>
  <c r="H46" i="68"/>
  <c r="H54" i="68" s="1"/>
  <c r="H30" i="68" l="1"/>
</calcChain>
</file>

<file path=xl/sharedStrings.xml><?xml version="1.0" encoding="utf-8"?>
<sst xmlns="http://schemas.openxmlformats.org/spreadsheetml/2006/main" count="5403" uniqueCount="571">
  <si>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</si>
  <si>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</si>
  <si>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</si>
  <si>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</si>
  <si>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</si>
  <si>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</si>
  <si>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</si>
  <si>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</si>
  <si>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</si>
  <si>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</si>
  <si>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</si>
  <si>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</si>
  <si>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</si>
  <si>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</si>
  <si>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</si>
  <si>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</si>
  <si>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</si>
  <si>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</si>
  <si>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</si>
  <si>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</si>
  <si>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</si>
  <si>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</si>
  <si>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</si>
  <si>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</si>
  <si>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</si>
  <si>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</si>
  <si>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</si>
  <si>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</si>
  <si>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</si>
  <si>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</si>
  <si>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</si>
  <si>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</si>
  <si>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</si>
  <si>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</si>
  <si>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</si>
  <si>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</si>
  <si>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</si>
  <si>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</si>
  <si>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</si>
  <si>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</si>
  <si>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</si>
  <si>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</si>
  <si>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</si>
  <si>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</si>
  <si>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</si>
  <si>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</si>
  <si>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</si>
  <si>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</si>
  <si>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</si>
  <si>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</si>
  <si>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</si>
  <si>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</si>
  <si>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</si>
  <si>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</si>
  <si>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</si>
  <si>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</si>
  <si>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</si>
  <si>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</si>
  <si>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</si>
  <si>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</si>
  <si>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</si>
  <si>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</si>
  <si>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</si>
  <si>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</si>
  <si>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</si>
  <si>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</si>
  <si>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</si>
  <si>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</si>
  <si>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</si>
  <si>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</si>
  <si>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</si>
  <si>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</si>
  <si>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</si>
  <si>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</si>
  <si>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</si>
  <si>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</si>
  <si>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</si>
  <si>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</si>
  <si>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</si>
  <si>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</si>
  <si>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</si>
  <si>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</si>
  <si>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</si>
  <si>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</si>
  <si>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</si>
  <si>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</si>
  <si>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</si>
  <si>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</si>
  <si>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</si>
  <si>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</si>
  <si>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</si>
  <si>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</si>
  <si>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</si>
  <si>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</si>
  <si>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</si>
  <si>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</si>
  <si>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</si>
  <si>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</si>
  <si>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</si>
  <si>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</si>
  <si>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</si>
  <si>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</si>
  <si>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</si>
  <si>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</si>
  <si>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</si>
  <si>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</si>
  <si>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</si>
  <si>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</si>
  <si>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</si>
  <si>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</si>
  <si>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</si>
  <si>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</si>
  <si>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</si>
  <si>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</si>
  <si>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</si>
  <si>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</si>
  <si>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</si>
  <si>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</si>
  <si>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</si>
  <si>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</si>
  <si>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</si>
  <si>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</si>
  <si>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</si>
  <si>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</si>
  <si>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</si>
  <si>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</si>
  <si>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</si>
  <si>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</si>
  <si>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</si>
  <si>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</si>
  <si>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</si>
  <si>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</si>
  <si>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</si>
  <si>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</si>
  <si>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</si>
  <si>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</si>
  <si>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</si>
  <si>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</si>
  <si>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</si>
  <si>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</si>
  <si>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</si>
  <si>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</si>
  <si>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</si>
  <si>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</si>
  <si>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</si>
  <si>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</si>
  <si>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</si>
  <si>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</si>
  <si>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</si>
  <si>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</si>
  <si>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</si>
  <si>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</si>
  <si>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</si>
  <si>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</si>
  <si>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</si>
  <si>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</si>
  <si>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</si>
  <si>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</si>
  <si>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</si>
  <si>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</si>
  <si>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</si>
  <si>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</si>
  <si>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</si>
  <si>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</si>
  <si>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</si>
  <si>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</si>
  <si>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</si>
  <si>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</si>
  <si>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</si>
  <si>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</si>
  <si>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</si>
  <si>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</si>
  <si>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</si>
  <si>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</si>
  <si>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</si>
  <si>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</si>
  <si>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</si>
  <si>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</si>
  <si>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</si>
  <si>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</si>
  <si>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</si>
  <si>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</si>
  <si>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</si>
  <si>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</si>
  <si>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</si>
  <si>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</si>
  <si>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</si>
  <si>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</si>
  <si>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</si>
  <si>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</si>
  <si>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</si>
  <si>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</si>
  <si>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</si>
  <si>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</si>
  <si>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</si>
  <si>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</si>
  <si>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</si>
  <si>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</si>
  <si>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</si>
  <si>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</si>
  <si>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</si>
  <si>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</si>
  <si>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</si>
  <si>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</si>
  <si>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</si>
  <si>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</si>
  <si>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</si>
  <si>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</si>
  <si>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</si>
  <si>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</si>
  <si>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</si>
  <si>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</si>
  <si>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</si>
  <si>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</si>
  <si>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</si>
  <si>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</si>
  <si>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</si>
  <si>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</si>
  <si>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</si>
  <si>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</si>
  <si>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</si>
  <si>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</si>
  <si>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</si>
  <si>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</si>
  <si>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</si>
  <si>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</si>
  <si>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</si>
  <si>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</si>
  <si>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</si>
  <si>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</si>
  <si>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</si>
  <si>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</si>
  <si>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</si>
  <si>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</si>
  <si>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</si>
  <si>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</si>
  <si>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</si>
  <si>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</si>
  <si>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</si>
  <si>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</si>
  <si>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</si>
  <si>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</si>
  <si>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</si>
  <si>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</si>
  <si>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</si>
  <si>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</si>
  <si>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</si>
  <si>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</si>
  <si>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</si>
  <si>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</si>
  <si>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</si>
  <si>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</si>
  <si>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</si>
  <si>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</si>
  <si>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</si>
  <si>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</si>
  <si>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</si>
  <si>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</si>
  <si>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</si>
  <si>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</si>
  <si>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</si>
  <si>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</si>
  <si>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</si>
  <si>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</si>
  <si>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</si>
  <si>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</si>
  <si>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</si>
  <si>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</si>
  <si>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</si>
  <si>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</si>
  <si>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</si>
  <si>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</si>
  <si>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</si>
  <si>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</si>
  <si>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</si>
  <si>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</si>
  <si>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</si>
  <si>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</si>
  <si>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</si>
  <si>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</si>
  <si>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</si>
  <si>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</si>
  <si>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</si>
  <si>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</si>
  <si>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</si>
  <si>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</si>
  <si>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</si>
  <si>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</si>
  <si>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</si>
  <si>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</si>
  <si>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</si>
  <si>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</si>
  <si>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</si>
  <si>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</si>
  <si>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</si>
  <si>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</si>
  <si>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</si>
  <si>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</si>
  <si>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</si>
  <si>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</si>
  <si>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</si>
  <si>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</si>
  <si>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</si>
  <si>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</si>
  <si>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</si>
  <si>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</si>
  <si>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</si>
  <si>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</si>
  <si>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</si>
  <si>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</si>
  <si>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</si>
  <si>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</si>
  <si>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</si>
  <si>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</si>
  <si>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</si>
  <si>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</si>
  <si>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</si>
  <si>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</si>
  <si>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</si>
  <si>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</si>
  <si>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</si>
  <si>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</si>
  <si>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</si>
  <si>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</si>
  <si>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</si>
  <si>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</si>
  <si>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</si>
  <si>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</si>
  <si>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</si>
  <si>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</si>
  <si>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</si>
  <si>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</si>
  <si>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</si>
  <si>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</si>
  <si>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</si>
  <si>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</si>
  <si>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</si>
  <si>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</si>
  <si>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</si>
  <si>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</si>
  <si>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</si>
  <si>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</si>
  <si>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</si>
  <si>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</si>
  <si>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</si>
  <si>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</si>
  <si>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</si>
  <si>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</si>
  <si>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</si>
  <si>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</si>
  <si>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</si>
  <si>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</si>
  <si>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</si>
  <si>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</si>
  <si>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</si>
  <si>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</si>
  <si>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</si>
  <si>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</si>
  <si>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</si>
  <si>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</si>
  <si>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</si>
  <si>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</si>
  <si>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</si>
  <si>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</si>
  <si>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</si>
  <si>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</si>
  <si>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</si>
  <si>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</si>
  <si>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</si>
  <si>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</si>
  <si>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</si>
  <si>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</si>
  <si>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</si>
  <si>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</si>
  <si>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</si>
  <si>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</si>
  <si>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</si>
  <si>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</si>
  <si>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</si>
  <si>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</si>
  <si>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</si>
  <si>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</si>
  <si>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</si>
  <si>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</si>
  <si>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</si>
  <si>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</si>
  <si>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</si>
  <si>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</si>
  <si>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</si>
  <si>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</si>
  <si>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</si>
  <si>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</si>
  <si>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</si>
  <si>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</si>
  <si>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</si>
  <si>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</si>
  <si>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</si>
  <si>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</si>
  <si>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</si>
  <si>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</si>
  <si>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</si>
  <si>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</si>
  <si>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</si>
  <si>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</si>
  <si>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</si>
  <si>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</si>
  <si>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</si>
  <si>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</si>
  <si>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</si>
  <si>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</si>
  <si>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</si>
  <si>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</si>
  <si>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</si>
  <si>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</si>
  <si>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</si>
  <si>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</si>
  <si>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</si>
  <si>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</si>
  <si>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</si>
  <si>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</si>
  <si>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</si>
  <si>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</si>
  <si>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</si>
  <si>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</si>
  <si>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</si>
  <si>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</si>
  <si>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</si>
  <si>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</si>
  <si>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</si>
  <si>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</si>
  <si>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</si>
  <si>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</si>
  <si>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Asst. Director, Finance and Accounts</t>
  </si>
  <si>
    <t>ASST. DIRECTOR, FINANCE AND ACCOUNTS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</si>
  <si>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</si>
  <si>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</si>
  <si>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</si>
  <si>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</si>
  <si>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</si>
  <si>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</si>
  <si>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</si>
  <si>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</si>
  <si>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</si>
  <si>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</si>
  <si>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</si>
  <si>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</si>
  <si>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</si>
  <si>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</si>
  <si>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</si>
  <si>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</si>
  <si>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</si>
  <si>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</si>
  <si>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</si>
  <si>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</si>
  <si>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</si>
  <si>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</si>
  <si>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</si>
  <si>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</si>
  <si>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</si>
  <si>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</si>
  <si>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</si>
  <si>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</si>
  <si>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</si>
  <si>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</si>
  <si>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</si>
  <si>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</si>
  <si>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</si>
  <si>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</si>
  <si>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</si>
  <si>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</si>
  <si>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</si>
  <si>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</si>
  <si>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</si>
  <si>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</si>
  <si>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</si>
  <si>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</si>
  <si>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</si>
  <si>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</si>
  <si>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</si>
  <si>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</si>
  <si>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</si>
  <si>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</si>
  <si>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</si>
  <si>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</si>
  <si>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</si>
  <si>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</si>
  <si>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</si>
  <si>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</si>
  <si>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</si>
  <si>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</si>
  <si>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</si>
  <si>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</si>
  <si>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</si>
  <si>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</si>
  <si>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</si>
  <si>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</si>
  <si>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</si>
  <si>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</si>
  <si>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</si>
  <si>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</si>
  <si>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</si>
  <si>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</si>
  <si>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</si>
  <si>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</si>
  <si>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</si>
  <si>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</si>
  <si>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</si>
  <si>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</si>
  <si>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</si>
  <si>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</si>
  <si>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</si>
  <si>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</si>
  <si>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</si>
  <si>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</si>
  <si>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</si>
  <si>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</si>
  <si>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</si>
  <si>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</si>
  <si>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</si>
  <si>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</si>
  <si>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</si>
  <si>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</si>
  <si>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</si>
  <si>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</si>
  <si>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</si>
  <si>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</si>
  <si>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</si>
  <si>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</si>
  <si>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</si>
  <si>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</si>
  <si>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</si>
  <si>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</si>
  <si>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</si>
  <si>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</si>
  <si>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</si>
  <si>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</si>
  <si>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</si>
  <si>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</si>
  <si>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</si>
  <si>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</si>
  <si>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</si>
  <si>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</si>
  <si>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</si>
  <si>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</si>
  <si>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STAFF PAYROLL FOR THE MONTH OF MAY 2023</t>
  </si>
  <si>
    <t>NET PAY AS PER  MAY, 2023 PAYROLL</t>
  </si>
  <si>
    <t>MAY, 2023</t>
  </si>
  <si>
    <t>26TH JUNE, 2023</t>
  </si>
  <si>
    <t>SUBJECT: PAYROLL FOR THE MONTH OF JUNE, 2023</t>
  </si>
  <si>
    <t>Find below the details of NILDS Staff Payroll for the Month of  June 2023:</t>
  </si>
  <si>
    <t>GROSS SALARY FOR  JUNE, 2023</t>
  </si>
  <si>
    <t>TOTAL DEDUCTIONS FOR  JUNE, 2023</t>
  </si>
  <si>
    <t>NET PAY AS PER  JUNE, 2023 PAYROLL</t>
  </si>
  <si>
    <t>NET INCREASE/ (DECREASE)  IN PAY FOR  JUNE, 2023</t>
  </si>
  <si>
    <t>Effect of Cooperative adjustment for June 2023</t>
  </si>
  <si>
    <t>JUNE, 2023</t>
  </si>
  <si>
    <t>LEG, CTRE FOR SEC. ANALYSIS</t>
  </si>
  <si>
    <t>10</t>
  </si>
  <si>
    <t>Effect of Removal of 1st 28 days Allowance of Maryam Musa Sada</t>
  </si>
  <si>
    <t>Net Effect of Stoppage of payment  to Murtala Lawal due to transfer of Service</t>
  </si>
  <si>
    <t>Net effect of Legislative Allowance to Terfa Abraham &amp; one other</t>
  </si>
  <si>
    <t>54</t>
  </si>
  <si>
    <t>LEG, CTRE FOR SECURITY ANALYSIS</t>
  </si>
  <si>
    <t>Net effect of Conversion to Permanent Staff of Munirat Jimoh</t>
  </si>
  <si>
    <t>PRINC.LIAISON OFFICER</t>
  </si>
  <si>
    <t>JUNE,  2023</t>
  </si>
  <si>
    <t>PREPARED BY:  Rahila N. Habu                                        SIGNATURE………………..                                  DATE:  26TH JUNE, 2023</t>
  </si>
  <si>
    <t>LEG, CENTRE FOR SECURITY ANALYSIS</t>
  </si>
  <si>
    <t>Net Effect of Stoppage of Payment to Nasiru Naeem Abdulsalam</t>
  </si>
  <si>
    <t>Leg. Center for Security Analysis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</si>
  <si>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N32,191,812.89 </t>
    </r>
    <r>
      <rPr>
        <sz val="14"/>
        <rFont val="Times New Roman"/>
        <family val="1"/>
      </rPr>
      <t xml:space="preserve">to Guaranty Trust Bank  being June 2023 Salary, </t>
    </r>
    <r>
      <rPr>
        <b/>
        <sz val="14"/>
        <rFont val="Times New Roman"/>
        <family val="1"/>
      </rPr>
      <t xml:space="preserve">N11,843,974.53  </t>
    </r>
    <r>
      <rPr>
        <sz val="14"/>
        <rFont val="Times New Roman"/>
        <family val="1"/>
      </rPr>
      <t>being NILDS Coop Society deductions for June 2023,</t>
    </r>
    <r>
      <rPr>
        <b/>
        <sz val="14"/>
        <rFont val="Times New Roman"/>
        <family val="1"/>
      </rPr>
      <t xml:space="preserve"> N6,946,057.67   </t>
    </r>
    <r>
      <rPr>
        <sz val="14"/>
        <rFont val="Times New Roman"/>
        <family val="1"/>
      </rPr>
      <t xml:space="preserve">being PAYE Tax Deductions from Staff Salary for the month  of June 2023 and </t>
    </r>
    <r>
      <rPr>
        <b/>
        <sz val="14"/>
        <rFont val="Times New Roman"/>
        <family val="1"/>
      </rPr>
      <t xml:space="preserve">N23,887.07 </t>
    </r>
    <r>
      <rPr>
        <sz val="14"/>
        <rFont val="Times New Roman"/>
        <family val="1"/>
      </rPr>
      <t xml:space="preserve"> being NHF deductions from staff for June 2023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</si>
</sst>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40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43" fontId="4" fillId="0" borderId="1" xfId="0" applyNumberFormat="1" applyFont="1" applyFill="1" applyBorder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Fill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43" fontId="25" fillId="0" borderId="0" xfId="0" applyNumberFormat="1" applyFont="1"/>
    <xf numFmtId="43" fontId="2" fillId="0" borderId="0" xfId="0" applyNumberFormat="1" applyFont="1" applyAlignment="1">
      <alignment horizontal="right"/>
    </xf>
    <xf numFmtId="0" fontId="4" fillId="0" borderId="0" xfId="0" applyFont="1" applyAlignment="1"/>
    <xf numFmtId="43" fontId="2" fillId="0" borderId="0" xfId="1" applyFont="1" applyFill="1" applyBorder="1" applyAlignment="1"/>
    <xf numFmtId="43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6" fillId="0" borderId="0" xfId="0" applyNumberFormat="1" applyFont="1" applyBorder="1" applyAlignment="1"/>
    <xf numFmtId="0" fontId="27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3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43" fontId="28" fillId="0" borderId="0" xfId="1" applyFont="1"/>
    <xf numFmtId="49" fontId="9" fillId="0" borderId="1" xfId="0" applyNumberFormat="1" applyFont="1" applyFill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 applyBorder="1" applyAlignment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17" fillId="7" borderId="1" xfId="1" quotePrefix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17" fillId="6" borderId="1" xfId="1" applyFont="1" applyFill="1" applyBorder="1" applyAlignment="1">
      <alignment horizontal="right"/>
    </xf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3" fillId="8" borderId="1" xfId="1" applyFont="1" applyFill="1" applyBorder="1" applyAlignment="1">
      <alignment horizontal="right"/>
    </xf>
    <xf numFmtId="43" fontId="17" fillId="8" borderId="1" xfId="1" quotePrefix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43" fontId="4" fillId="8" borderId="1" xfId="0" applyNumberFormat="1" applyFont="1" applyFill="1" applyBorder="1"/>
    <xf numFmtId="43" fontId="17" fillId="8" borderId="1" xfId="1" applyFont="1" applyFill="1" applyBorder="1" applyAlignment="1">
      <alignment horizontal="right"/>
    </xf>
    <xf numFmtId="43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 applyBorder="1" applyAlignment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3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9" fillId="4" borderId="0" xfId="0" applyFont="1" applyFill="1" applyBorder="1"/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31" fillId="4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sultants,%20Deployed%20Staff%20June%20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August%202022%20Payroll/NILDS%20Tax%20Schedule%202022%20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Sallah Welfare June 2023 Latest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15000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7"/>
  <sheetViews>
    <sheetView tabSelected="1" view="pageBreakPreview" zoomScaleNormal="69" zoomScaleSheetLayoutView="100" workbookViewId="0">
      <pane xSplit="3" ySplit="7" topLeftCell="G35" activePane="bottomRight" state="frozen"/>
      <selection pane="topRight" activeCell="E1" sqref="E1"/>
      <selection pane="bottomLeft" activeCell="A10" sqref="A10"/>
      <selection pane="bottomRight" activeCell="Z7" sqref="Z7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8.42578125" style="197" customWidth="1"/>
    <col min="4" max="4" width="11.5703125" style="197" customWidth="1"/>
    <col min="5" max="5" width="17.85546875" style="197" customWidth="1"/>
    <col min="6" max="6" width="15.5703125" style="197" customWidth="1"/>
    <col min="7" max="7" width="19.42578125" style="197" customWidth="1"/>
    <col min="8" max="9" width="16" style="197" customWidth="1"/>
    <col min="10" max="10" width="18" style="197" customWidth="1"/>
    <col min="11" max="11" width="20" style="197" customWidth="1"/>
    <col min="12" max="12" width="15.5703125" style="197" customWidth="1"/>
    <col min="13" max="13" width="16.42578125" style="197" customWidth="1"/>
    <col min="14" max="14" width="18.140625" style="197" hidden="1" customWidth="1"/>
    <col min="15" max="15" width="15.7109375" style="197" hidden="1" customWidth="1"/>
    <col min="16" max="16" width="18.28515625" style="197" hidden="1" customWidth="1"/>
    <col min="17" max="17" width="17.85546875" style="197" hidden="1" customWidth="1"/>
    <col min="18" max="18" width="0.140625" style="197" hidden="1" customWidth="1"/>
    <col min="19" max="19" width="9.140625" style="197" hidden="1" customWidth="1"/>
    <col min="20" max="20" width="18.42578125" style="197" hidden="1" customWidth="1"/>
    <col min="21" max="21" width="17.85546875" style="197" hidden="1" customWidth="1"/>
    <col min="22" max="22" width="14.85546875" style="197" hidden="1" customWidth="1"/>
    <col min="23" max="23" width="17.7109375" style="197" hidden="1" customWidth="1"/>
    <col min="24" max="24" width="21" style="197" customWidth="1"/>
    <col min="25" max="25" width="17.85546875" style="197" customWidth="1"/>
    <col min="26" max="26" width="21.85546875" style="197" customWidth="1"/>
    <col min="27" max="27" width="21.7109375" style="197" customWidth="1"/>
    <col min="28" max="16384" width="9.140625" style="197"/>
  </cols>
  <sheetData>
    <row r="1" spans="1:27" ht="27" customHeight="1">
      <c r="A1" s="340" t="s">
        <v>234</v>
      </c>
      <c r="B1" s="340"/>
      <c r="C1" s="340"/>
      <c r="D1" s="340"/>
      <c r="E1" s="340"/>
      <c r="F1" s="340"/>
      <c r="G1" s="340"/>
      <c r="H1" s="196">
        <f>'[1]FEB 08'!F8/'[1]FEB 08'!Q8</f>
        <v>0.3</v>
      </c>
      <c r="I1" s="196"/>
      <c r="J1" s="196"/>
      <c r="K1" s="196"/>
      <c r="L1" s="196"/>
      <c r="M1" s="196"/>
      <c r="N1" s="196"/>
      <c r="O1" s="196"/>
      <c r="P1" s="196"/>
      <c r="Q1" s="196"/>
    </row>
    <row r="2" spans="1:27" ht="33.75" customHeight="1">
      <c r="A2" s="198" t="s">
        <v>544</v>
      </c>
      <c r="B2" s="199"/>
      <c r="C2" s="198"/>
      <c r="D2" s="198"/>
      <c r="E2" s="200"/>
      <c r="F2" s="200"/>
      <c r="G2" s="200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2"/>
      <c r="S2" s="202"/>
      <c r="T2" s="202"/>
      <c r="U2" s="202"/>
      <c r="V2" s="202"/>
      <c r="W2" s="202"/>
      <c r="X2" s="202"/>
      <c r="Y2" s="202"/>
      <c r="Z2" s="202"/>
    </row>
    <row r="3" spans="1:27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 t="e">
        <f>'[1]FEB 08'!F11/'[1]FEB 08'!Q11</f>
        <v>#REF!</v>
      </c>
      <c r="I3" s="196"/>
      <c r="J3" s="196"/>
      <c r="K3" s="196"/>
      <c r="L3" s="196"/>
      <c r="M3" s="196"/>
      <c r="N3" s="196"/>
      <c r="O3" s="196"/>
      <c r="P3" s="196"/>
      <c r="Q3" s="196"/>
    </row>
    <row r="4" spans="1:27" ht="49.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462</v>
      </c>
      <c r="G4" s="208" t="s">
        <v>2</v>
      </c>
      <c r="H4" s="208" t="s">
        <v>3</v>
      </c>
      <c r="I4" s="207" t="s">
        <v>32</v>
      </c>
      <c r="J4" s="208" t="s">
        <v>42</v>
      </c>
      <c r="K4" s="208" t="s">
        <v>43</v>
      </c>
      <c r="L4" s="208" t="s">
        <v>46</v>
      </c>
      <c r="M4" s="207" t="s">
        <v>93</v>
      </c>
      <c r="N4" s="207" t="s">
        <v>93</v>
      </c>
      <c r="O4" s="208" t="s">
        <v>33</v>
      </c>
      <c r="P4" s="208" t="s">
        <v>33</v>
      </c>
      <c r="Q4" s="207" t="s">
        <v>49</v>
      </c>
      <c r="R4" s="237" t="s">
        <v>74</v>
      </c>
      <c r="S4" s="207" t="s">
        <v>352</v>
      </c>
      <c r="T4" s="207" t="s">
        <v>459</v>
      </c>
      <c r="U4" s="207" t="s">
        <v>180</v>
      </c>
      <c r="V4" s="207" t="s">
        <v>460</v>
      </c>
      <c r="W4" s="208" t="s">
        <v>38</v>
      </c>
      <c r="X4" s="301" t="s">
        <v>461</v>
      </c>
      <c r="Y4" s="209" t="s">
        <v>546</v>
      </c>
      <c r="Z4" s="259" t="s">
        <v>565</v>
      </c>
    </row>
    <row r="5" spans="1:27" ht="17.25" customHeight="1">
      <c r="C5" s="211"/>
      <c r="D5" s="211"/>
      <c r="E5" s="212" t="s">
        <v>5</v>
      </c>
      <c r="F5" s="30"/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12" t="s">
        <v>5</v>
      </c>
      <c r="R5" s="244" t="s">
        <v>5</v>
      </c>
      <c r="S5" s="212" t="s">
        <v>5</v>
      </c>
      <c r="T5" s="212" t="s">
        <v>5</v>
      </c>
      <c r="U5" s="212" t="s">
        <v>5</v>
      </c>
      <c r="V5" s="212" t="s">
        <v>5</v>
      </c>
      <c r="W5" s="212" t="s">
        <v>5</v>
      </c>
      <c r="X5" s="302" t="s">
        <v>5</v>
      </c>
      <c r="Y5" s="212" t="s">
        <v>5</v>
      </c>
      <c r="Z5" s="252" t="s">
        <v>5</v>
      </c>
    </row>
    <row r="6" spans="1:27" ht="20.100000000000001" customHeight="1">
      <c r="A6" s="210" t="s">
        <v>143</v>
      </c>
      <c r="B6" s="211" t="s">
        <v>435</v>
      </c>
      <c r="C6" s="211"/>
      <c r="D6" s="211"/>
      <c r="E6" s="212"/>
      <c r="F6" s="30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44"/>
      <c r="S6" s="212"/>
      <c r="T6" s="212"/>
      <c r="U6" s="212"/>
      <c r="V6" s="212"/>
      <c r="W6" s="212"/>
      <c r="X6" s="302"/>
      <c r="Y6" s="212"/>
      <c r="Z6" s="252"/>
    </row>
    <row r="7" spans="1:27" ht="20.100000000000001" customHeight="1">
      <c r="A7" s="29">
        <v>1</v>
      </c>
      <c r="B7" s="189" t="s">
        <v>224</v>
      </c>
      <c r="C7" s="194" t="s">
        <v>119</v>
      </c>
      <c r="D7" s="194" t="s">
        <v>34</v>
      </c>
      <c r="E7" s="24">
        <v>160488.75</v>
      </c>
      <c r="F7" s="24"/>
      <c r="G7" s="24">
        <v>320977.5</v>
      </c>
      <c r="H7" s="24">
        <v>48146.63</v>
      </c>
      <c r="I7" s="24">
        <v>120366.57</v>
      </c>
      <c r="J7" s="24">
        <v>72219.94</v>
      </c>
      <c r="K7" s="24">
        <v>0</v>
      </c>
      <c r="L7" s="24">
        <v>120366.57</v>
      </c>
      <c r="M7" s="213">
        <f>250000</f>
        <v>250000</v>
      </c>
      <c r="N7" s="213"/>
      <c r="O7" s="24">
        <v>16048.88</v>
      </c>
      <c r="P7" s="24">
        <v>25000</v>
      </c>
      <c r="Q7" s="24">
        <v>25235</v>
      </c>
      <c r="R7" s="238">
        <f>Q7+P7+O7+N7+M7+L7+K7+J7+I7+H7+G7+F7+E7</f>
        <v>1158849.8399999999</v>
      </c>
      <c r="S7" s="24"/>
      <c r="T7" s="24"/>
      <c r="U7" s="24"/>
      <c r="V7" s="24"/>
      <c r="W7" s="24">
        <v>201165.83594666663</v>
      </c>
      <c r="X7" s="303">
        <f t="shared" ref="X7:X32" si="0">W7+V7+U7+T7+S7</f>
        <v>201165.83594666663</v>
      </c>
      <c r="Y7" s="24">
        <v>957684.00405333319</v>
      </c>
      <c r="Z7" s="241">
        <f t="shared" ref="Z7:Z32" si="1">R7-X7</f>
        <v>957684.00405333319</v>
      </c>
      <c r="AA7" s="214"/>
    </row>
    <row r="8" spans="1:27" ht="20.100000000000001" customHeight="1">
      <c r="A8" s="29">
        <v>2</v>
      </c>
      <c r="B8" s="189" t="s">
        <v>137</v>
      </c>
      <c r="C8" s="21" t="s">
        <v>542</v>
      </c>
      <c r="D8" s="29" t="s">
        <v>160</v>
      </c>
      <c r="E8" s="26">
        <f>42653.17</f>
        <v>42653.17</v>
      </c>
      <c r="F8" s="26"/>
      <c r="G8" s="26">
        <f>E8*300%</f>
        <v>127959.51</v>
      </c>
      <c r="H8" s="26">
        <f>E8*7.5%</f>
        <v>3198.9877499999998</v>
      </c>
      <c r="I8" s="26">
        <v>40122.19</v>
      </c>
      <c r="J8" s="26">
        <f>E8*50%</f>
        <v>21326.584999999999</v>
      </c>
      <c r="K8" s="26">
        <f>E8*350%</f>
        <v>149286.095</v>
      </c>
      <c r="L8" s="26">
        <f>E8*100%</f>
        <v>42653.17</v>
      </c>
      <c r="M8" s="213">
        <f>180000</f>
        <v>180000</v>
      </c>
      <c r="N8" s="213"/>
      <c r="O8" s="26">
        <f>E8*10%</f>
        <v>4265.317</v>
      </c>
      <c r="P8" s="26">
        <v>20000</v>
      </c>
      <c r="Q8" s="26">
        <v>150000</v>
      </c>
      <c r="R8" s="238">
        <f t="shared" ref="R8:R21" si="2">Q8+P8+O8+N8+M8+L8+K8+J8+I8+H8+G8+F8+E8</f>
        <v>781465.0247500001</v>
      </c>
      <c r="S8" s="24"/>
      <c r="T8" s="24"/>
      <c r="U8" s="24"/>
      <c r="V8" s="24">
        <v>1066.32925</v>
      </c>
      <c r="W8" s="26">
        <v>128510.39445866668</v>
      </c>
      <c r="X8" s="303">
        <f t="shared" si="0"/>
        <v>129576.72370866667</v>
      </c>
      <c r="Y8" s="24">
        <v>651888.30104133347</v>
      </c>
      <c r="Z8" s="241">
        <f t="shared" si="1"/>
        <v>651888.30104133347</v>
      </c>
      <c r="AA8" s="214"/>
    </row>
    <row r="9" spans="1:27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24">
        <f>42653.17</f>
        <v>42653.17</v>
      </c>
      <c r="F9" s="26"/>
      <c r="G9" s="26">
        <f>E9*300%</f>
        <v>127959.51</v>
      </c>
      <c r="H9" s="26">
        <f>E9*7.5%</f>
        <v>3198.9877499999998</v>
      </c>
      <c r="I9" s="26">
        <v>40122.19</v>
      </c>
      <c r="J9" s="26">
        <f>E9*50%</f>
        <v>21326.584999999999</v>
      </c>
      <c r="K9" s="26">
        <f>E9*350%</f>
        <v>149286.095</v>
      </c>
      <c r="L9" s="26">
        <f>E9*100%</f>
        <v>42653.17</v>
      </c>
      <c r="M9" s="213">
        <f>180000</f>
        <v>180000</v>
      </c>
      <c r="N9" s="213"/>
      <c r="O9" s="26">
        <f>E9*10%</f>
        <v>4265.317</v>
      </c>
      <c r="P9" s="26">
        <v>20000</v>
      </c>
      <c r="Q9" s="24">
        <f>100000</f>
        <v>100000</v>
      </c>
      <c r="R9" s="238">
        <v>0</v>
      </c>
      <c r="S9" s="24"/>
      <c r="T9" s="24"/>
      <c r="U9" s="24"/>
      <c r="V9" s="24"/>
      <c r="W9" s="24">
        <v>0</v>
      </c>
      <c r="X9" s="303">
        <f t="shared" si="0"/>
        <v>0</v>
      </c>
      <c r="Y9" s="24">
        <v>612357.07333133335</v>
      </c>
      <c r="Z9" s="241">
        <f t="shared" si="1"/>
        <v>0</v>
      </c>
      <c r="AA9" s="214"/>
    </row>
    <row r="10" spans="1:27" ht="20.100000000000001" customHeight="1">
      <c r="A10" s="29">
        <v>4</v>
      </c>
      <c r="B10" s="189" t="s">
        <v>315</v>
      </c>
      <c r="C10" s="194" t="s">
        <v>316</v>
      </c>
      <c r="D10" s="29" t="s">
        <v>498</v>
      </c>
      <c r="E10" s="24">
        <f>42653.17</f>
        <v>42653.17</v>
      </c>
      <c r="F10" s="26"/>
      <c r="G10" s="26">
        <f>E10*300%</f>
        <v>127959.51</v>
      </c>
      <c r="H10" s="26">
        <f>E10*7.5%</f>
        <v>3198.9877499999998</v>
      </c>
      <c r="I10" s="26">
        <v>40122.19</v>
      </c>
      <c r="J10" s="26">
        <f>E10*50%</f>
        <v>21326.584999999999</v>
      </c>
      <c r="K10" s="26">
        <f>E10*350%</f>
        <v>149286.095</v>
      </c>
      <c r="L10" s="26">
        <f>E10*100%</f>
        <v>42653.17</v>
      </c>
      <c r="M10" s="213"/>
      <c r="N10" s="213">
        <f>90000</f>
        <v>90000</v>
      </c>
      <c r="O10" s="26">
        <f>E10*10%</f>
        <v>4265.317</v>
      </c>
      <c r="P10" s="26">
        <v>20000</v>
      </c>
      <c r="Q10" s="24">
        <v>0</v>
      </c>
      <c r="R10" s="238">
        <f t="shared" si="2"/>
        <v>541465.02474999998</v>
      </c>
      <c r="S10" s="24"/>
      <c r="T10" s="24">
        <f>100000</f>
        <v>100000</v>
      </c>
      <c r="U10" s="24"/>
      <c r="V10" s="24"/>
      <c r="W10" s="24">
        <v>82627.951418666678</v>
      </c>
      <c r="X10" s="303">
        <f t="shared" si="0"/>
        <v>182627.95141866669</v>
      </c>
      <c r="Y10" s="24">
        <v>358837.07333133329</v>
      </c>
      <c r="Z10" s="241">
        <f t="shared" si="1"/>
        <v>358837.07333133329</v>
      </c>
      <c r="AA10" s="214"/>
    </row>
    <row r="11" spans="1:27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26">
        <v>41157.69</v>
      </c>
      <c r="F11" s="26"/>
      <c r="G11" s="26">
        <f t="shared" ref="G11" si="3">E11*300%</f>
        <v>123473.07</v>
      </c>
      <c r="H11" s="26">
        <f t="shared" ref="H11" si="4">E11*7.5%</f>
        <v>3086.8267500000002</v>
      </c>
      <c r="I11" s="26">
        <v>40122.19</v>
      </c>
      <c r="J11" s="26">
        <f>E11*50%</f>
        <v>20578.845000000001</v>
      </c>
      <c r="K11" s="24">
        <f t="shared" ref="K11" si="5">E11*350%</f>
        <v>144051.91500000001</v>
      </c>
      <c r="L11" s="26">
        <f t="shared" ref="L11" si="6">E11*100%</f>
        <v>41157.69</v>
      </c>
      <c r="M11" s="213"/>
      <c r="N11" s="213">
        <f>90000</f>
        <v>90000</v>
      </c>
      <c r="O11" s="26">
        <f t="shared" ref="O11" si="7">E11*10%</f>
        <v>4115.7690000000002</v>
      </c>
      <c r="P11" s="26">
        <v>15000</v>
      </c>
      <c r="Q11" s="26">
        <f>100000+100000</f>
        <v>200000</v>
      </c>
      <c r="R11" s="238">
        <f>Q11+P11+O11+N11+M11+L11+K11+J11+I11+H11+G11+F11+E11</f>
        <v>722743.99575</v>
      </c>
      <c r="S11" s="24"/>
      <c r="T11" s="24"/>
      <c r="U11" s="24"/>
      <c r="V11" s="24"/>
      <c r="W11" s="26">
        <v>117433.51</v>
      </c>
      <c r="X11" s="303">
        <f t="shared" si="0"/>
        <v>117433.51</v>
      </c>
      <c r="Y11" s="24">
        <v>605310.48574999999</v>
      </c>
      <c r="Z11" s="241">
        <f t="shared" si="1"/>
        <v>605310.48574999999</v>
      </c>
      <c r="AA11" s="214"/>
    </row>
    <row r="12" spans="1:27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26">
        <f>41157.69</f>
        <v>41157.69</v>
      </c>
      <c r="F12" s="26"/>
      <c r="G12" s="26">
        <f t="shared" ref="G12:G20" si="8">E12*300%</f>
        <v>123473.07</v>
      </c>
      <c r="H12" s="26">
        <f t="shared" ref="H12:H20" si="9">E12*7.5%</f>
        <v>3086.8267500000002</v>
      </c>
      <c r="I12" s="26">
        <v>40122.19</v>
      </c>
      <c r="J12" s="26">
        <f t="shared" ref="J12:J18" si="10">E12*50%</f>
        <v>20578.845000000001</v>
      </c>
      <c r="K12" s="26">
        <f t="shared" ref="K12:K20" si="11">E12*350%</f>
        <v>144051.91500000001</v>
      </c>
      <c r="L12" s="26">
        <f t="shared" ref="L12:L20" si="12">E12*100%</f>
        <v>41157.69</v>
      </c>
      <c r="M12" s="213"/>
      <c r="N12" s="213">
        <f>80000+10000</f>
        <v>90000</v>
      </c>
      <c r="O12" s="26">
        <f t="shared" ref="O12:O20" si="13">E12*10%</f>
        <v>4115.7690000000002</v>
      </c>
      <c r="P12" s="26">
        <v>20000</v>
      </c>
      <c r="Q12" s="26">
        <f>100000</f>
        <v>100000</v>
      </c>
      <c r="R12" s="238">
        <f>Q12+P12+O12+N12+M12+L12+K12+J12+I12+H12+G12+F12+E12</f>
        <v>627743.99575</v>
      </c>
      <c r="S12" s="24"/>
      <c r="T12" s="24">
        <f>0</f>
        <v>0</v>
      </c>
      <c r="U12" s="24">
        <v>0</v>
      </c>
      <c r="V12" s="24">
        <v>1028.9422500000001</v>
      </c>
      <c r="W12" s="24">
        <v>99032.677850666674</v>
      </c>
      <c r="X12" s="303">
        <f t="shared" si="0"/>
        <v>100061.62010066668</v>
      </c>
      <c r="Y12" s="24">
        <v>527682.37564933335</v>
      </c>
      <c r="Z12" s="241">
        <f t="shared" si="1"/>
        <v>527682.37564933335</v>
      </c>
      <c r="AA12" s="214"/>
    </row>
    <row r="13" spans="1:27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26">
        <f t="shared" ref="E13:E14" si="14">41157.69</f>
        <v>41157.69</v>
      </c>
      <c r="F13" s="26"/>
      <c r="G13" s="26">
        <f>E13*300%</f>
        <v>123473.07</v>
      </c>
      <c r="H13" s="26">
        <f>E13*7.5%</f>
        <v>3086.8267500000002</v>
      </c>
      <c r="I13" s="26">
        <v>40122.19</v>
      </c>
      <c r="J13" s="26">
        <f>E13*50%</f>
        <v>20578.845000000001</v>
      </c>
      <c r="K13" s="26">
        <f>E13*350%</f>
        <v>144051.91500000001</v>
      </c>
      <c r="L13" s="26">
        <f>E13*100%</f>
        <v>41157.69</v>
      </c>
      <c r="M13" s="213"/>
      <c r="N13" s="213">
        <f>80000+10000</f>
        <v>90000</v>
      </c>
      <c r="O13" s="26">
        <f>E13*10%</f>
        <v>4115.7690000000002</v>
      </c>
      <c r="P13" s="26">
        <v>20000</v>
      </c>
      <c r="Q13" s="26">
        <v>0</v>
      </c>
      <c r="R13" s="238">
        <f>Q13+P13+O13+N13+M13+L13+K13+J13+I13+H13+G13+F13+E13</f>
        <v>527743.99575</v>
      </c>
      <c r="S13" s="24"/>
      <c r="T13" s="26">
        <f>50000</f>
        <v>50000</v>
      </c>
      <c r="U13" s="26">
        <f>160416.67</f>
        <v>160416.67000000001</v>
      </c>
      <c r="V13" s="26">
        <v>1028.9422500000001</v>
      </c>
      <c r="W13" s="26">
        <v>79832.677850666674</v>
      </c>
      <c r="X13" s="303">
        <f t="shared" si="0"/>
        <v>291278.29010066669</v>
      </c>
      <c r="Y13" s="26">
        <v>236465.70564933331</v>
      </c>
      <c r="Z13" s="241">
        <f t="shared" si="1"/>
        <v>236465.70564933331</v>
      </c>
      <c r="AA13" s="214"/>
    </row>
    <row r="14" spans="1:27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26">
        <f t="shared" si="14"/>
        <v>41157.69</v>
      </c>
      <c r="F14" s="26"/>
      <c r="G14" s="26">
        <f t="shared" si="8"/>
        <v>123473.07</v>
      </c>
      <c r="H14" s="26">
        <f t="shared" si="9"/>
        <v>3086.8267500000002</v>
      </c>
      <c r="I14" s="26">
        <v>40122.19</v>
      </c>
      <c r="J14" s="26">
        <f t="shared" si="10"/>
        <v>20578.845000000001</v>
      </c>
      <c r="K14" s="26">
        <f t="shared" si="11"/>
        <v>144051.91500000001</v>
      </c>
      <c r="L14" s="26">
        <f t="shared" si="12"/>
        <v>41157.69</v>
      </c>
      <c r="M14" s="213"/>
      <c r="N14" s="213">
        <f>80000+10000</f>
        <v>90000</v>
      </c>
      <c r="O14" s="26">
        <f t="shared" si="13"/>
        <v>4115.7690000000002</v>
      </c>
      <c r="P14" s="26">
        <v>20000</v>
      </c>
      <c r="Q14" s="216">
        <v>0</v>
      </c>
      <c r="R14" s="238">
        <f>Q14+P14+O14+N14+M14+L14+K14+J14+I14+H14+G14+F14+E14</f>
        <v>527743.99575</v>
      </c>
      <c r="S14" s="24"/>
      <c r="T14" s="24">
        <f>20000</f>
        <v>20000</v>
      </c>
      <c r="U14" s="24">
        <f>179017.51</f>
        <v>179017.51</v>
      </c>
      <c r="V14" s="24">
        <v>1028.9422500000001</v>
      </c>
      <c r="W14" s="24">
        <v>79832.677850666674</v>
      </c>
      <c r="X14" s="303">
        <f t="shared" si="0"/>
        <v>279879.13010066666</v>
      </c>
      <c r="Y14" s="24">
        <v>247864.86564933334</v>
      </c>
      <c r="Z14" s="241">
        <f t="shared" si="1"/>
        <v>247864.86564933334</v>
      </c>
      <c r="AA14" s="214"/>
    </row>
    <row r="15" spans="1:27" ht="20.100000000000001" customHeight="1">
      <c r="A15" s="29">
        <v>9</v>
      </c>
      <c r="B15" s="189" t="s">
        <v>111</v>
      </c>
      <c r="C15" s="194" t="s">
        <v>470</v>
      </c>
      <c r="D15" s="215" t="s">
        <v>75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f>40122.19</f>
        <v>40122.19</v>
      </c>
      <c r="J15" s="26">
        <f>E15*50%</f>
        <v>16753.75</v>
      </c>
      <c r="K15" s="24">
        <f>E15*350%</f>
        <v>117276.25</v>
      </c>
      <c r="L15" s="26">
        <f>E15*100%</f>
        <v>33507.5</v>
      </c>
      <c r="M15" s="213"/>
      <c r="N15" s="213">
        <f t="shared" ref="N15:N127" si="15">80000</f>
        <v>80000</v>
      </c>
      <c r="O15" s="26">
        <f>E15*10%</f>
        <v>3350.75</v>
      </c>
      <c r="P15" s="26">
        <v>20000</v>
      </c>
      <c r="Q15" s="26">
        <v>0</v>
      </c>
      <c r="R15" s="238">
        <f>SUM(E15:Q15)</f>
        <v>447553.5025</v>
      </c>
      <c r="S15" s="24"/>
      <c r="T15" s="24">
        <f>50000-40000</f>
        <v>10000</v>
      </c>
      <c r="U15" s="24">
        <f>90000+110000</f>
        <v>200000</v>
      </c>
      <c r="V15" s="24">
        <v>837.6875</v>
      </c>
      <c r="W15" s="26">
        <v>64436.103146666661</v>
      </c>
      <c r="X15" s="303">
        <f t="shared" si="0"/>
        <v>275273.79064666666</v>
      </c>
      <c r="Y15" s="24">
        <v>172279.71185333334</v>
      </c>
      <c r="Z15" s="241">
        <f t="shared" si="1"/>
        <v>172279.71185333334</v>
      </c>
      <c r="AA15" s="214"/>
    </row>
    <row r="16" spans="1:27" ht="20.100000000000001" customHeight="1">
      <c r="A16" s="29">
        <v>10</v>
      </c>
      <c r="B16" s="190" t="s">
        <v>333</v>
      </c>
      <c r="C16" s="194" t="s">
        <v>387</v>
      </c>
      <c r="D16" s="29" t="s">
        <v>412</v>
      </c>
      <c r="E16" s="24">
        <v>32263.200000000001</v>
      </c>
      <c r="F16" s="26"/>
      <c r="G16" s="26">
        <f t="shared" ref="G16" si="16">E16*300%</f>
        <v>96789.6</v>
      </c>
      <c r="H16" s="26">
        <f t="shared" ref="H16" si="17">E16*7.5%</f>
        <v>2419.7399999999998</v>
      </c>
      <c r="I16" s="26">
        <v>40122.19</v>
      </c>
      <c r="J16" s="26">
        <f t="shared" ref="J16" si="18">E16*50%</f>
        <v>16131.6</v>
      </c>
      <c r="K16" s="26">
        <f t="shared" ref="K16" si="19">E16*350%</f>
        <v>112921.2</v>
      </c>
      <c r="L16" s="26">
        <f t="shared" ref="L16" si="20">E16*100%</f>
        <v>32263.200000000001</v>
      </c>
      <c r="M16" s="213"/>
      <c r="N16" s="213">
        <f>80000</f>
        <v>80000</v>
      </c>
      <c r="O16" s="26">
        <f t="shared" ref="O16" si="21">E16*10%</f>
        <v>3226.32</v>
      </c>
      <c r="P16" s="26">
        <v>20000</v>
      </c>
      <c r="Q16" s="216">
        <v>0</v>
      </c>
      <c r="R16" s="238">
        <f t="shared" si="2"/>
        <v>436137.05</v>
      </c>
      <c r="S16" s="24"/>
      <c r="T16" s="24">
        <f>50000</f>
        <v>50000</v>
      </c>
      <c r="U16" s="24">
        <f>59583.33</f>
        <v>59583.33</v>
      </c>
      <c r="V16" s="24"/>
      <c r="W16" s="24">
        <v>62404.980266666658</v>
      </c>
      <c r="X16" s="303">
        <f t="shared" si="0"/>
        <v>171988.31026666667</v>
      </c>
      <c r="Y16" s="24">
        <v>264148.73973333335</v>
      </c>
      <c r="Z16" s="241">
        <f t="shared" si="1"/>
        <v>264148.73973333335</v>
      </c>
      <c r="AA16" s="214"/>
    </row>
    <row r="17" spans="1:27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26">
        <v>27611.23</v>
      </c>
      <c r="F17" s="26"/>
      <c r="G17" s="26">
        <f t="shared" si="8"/>
        <v>82833.69</v>
      </c>
      <c r="H17" s="26">
        <f t="shared" si="9"/>
        <v>2070.8422499999997</v>
      </c>
      <c r="I17" s="26"/>
      <c r="J17" s="26">
        <f t="shared" si="10"/>
        <v>13805.615</v>
      </c>
      <c r="K17" s="26">
        <f t="shared" si="11"/>
        <v>96639.304999999993</v>
      </c>
      <c r="L17" s="26">
        <f t="shared" si="12"/>
        <v>27611.23</v>
      </c>
      <c r="M17" s="213"/>
      <c r="N17" s="213">
        <f t="shared" ref="N17:N20" si="22">70000</f>
        <v>70000</v>
      </c>
      <c r="O17" s="26">
        <f t="shared" si="13"/>
        <v>2761.123</v>
      </c>
      <c r="P17" s="26">
        <v>20000</v>
      </c>
      <c r="Q17" s="26">
        <v>50000</v>
      </c>
      <c r="R17" s="238">
        <f t="shared" si="2"/>
        <v>393333.03525000002</v>
      </c>
      <c r="S17" s="24"/>
      <c r="T17" s="24">
        <v>50000</v>
      </c>
      <c r="U17" s="24">
        <f>150000</f>
        <v>150000</v>
      </c>
      <c r="V17" s="24">
        <v>0</v>
      </c>
      <c r="W17" s="24">
        <v>54186.609434666672</v>
      </c>
      <c r="X17" s="303">
        <f t="shared" si="0"/>
        <v>254186.60943466667</v>
      </c>
      <c r="Y17" s="24">
        <v>139146.42581533335</v>
      </c>
      <c r="Z17" s="241">
        <f t="shared" si="1"/>
        <v>139146.42581533335</v>
      </c>
      <c r="AA17" s="214"/>
    </row>
    <row r="18" spans="1:27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26">
        <v>27611.23</v>
      </c>
      <c r="F18" s="26"/>
      <c r="G18" s="26">
        <f t="shared" si="8"/>
        <v>82833.69</v>
      </c>
      <c r="H18" s="26">
        <f t="shared" si="9"/>
        <v>2070.8422499999997</v>
      </c>
      <c r="I18" s="26"/>
      <c r="J18" s="26">
        <f t="shared" si="10"/>
        <v>13805.615</v>
      </c>
      <c r="K18" s="24">
        <f t="shared" si="11"/>
        <v>96639.304999999993</v>
      </c>
      <c r="L18" s="26">
        <f t="shared" si="12"/>
        <v>27611.23</v>
      </c>
      <c r="M18" s="213"/>
      <c r="N18" s="213">
        <f t="shared" si="22"/>
        <v>70000</v>
      </c>
      <c r="O18" s="26">
        <f t="shared" si="13"/>
        <v>2761.123</v>
      </c>
      <c r="P18" s="26">
        <v>20000</v>
      </c>
      <c r="Q18" s="26">
        <v>0</v>
      </c>
      <c r="R18" s="238">
        <f t="shared" si="2"/>
        <v>343333.03524999996</v>
      </c>
      <c r="S18" s="24"/>
      <c r="T18" s="24"/>
      <c r="U18" s="24"/>
      <c r="V18" s="24">
        <v>690.28075000000001</v>
      </c>
      <c r="W18" s="24">
        <v>44734.339388666653</v>
      </c>
      <c r="X18" s="303">
        <f t="shared" si="0"/>
        <v>45424.620138666651</v>
      </c>
      <c r="Y18" s="24">
        <v>297908.41511133331</v>
      </c>
      <c r="Z18" s="241">
        <f t="shared" si="1"/>
        <v>297908.41511133331</v>
      </c>
      <c r="AA18" s="214"/>
    </row>
    <row r="19" spans="1:27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26">
        <v>27611.23</v>
      </c>
      <c r="F19" s="26"/>
      <c r="G19" s="26">
        <f>E19*300%</f>
        <v>82833.69</v>
      </c>
      <c r="H19" s="26">
        <f>E19*7.5%</f>
        <v>2070.8422499999997</v>
      </c>
      <c r="I19" s="26"/>
      <c r="J19" s="26">
        <f t="shared" ref="J19:J21" si="23">E19*50%</f>
        <v>13805.615</v>
      </c>
      <c r="K19" s="24">
        <f>E19*350%</f>
        <v>96639.304999999993</v>
      </c>
      <c r="L19" s="26">
        <f>E19*100%</f>
        <v>27611.23</v>
      </c>
      <c r="M19" s="213">
        <f>140000</f>
        <v>140000</v>
      </c>
      <c r="N19" s="213"/>
      <c r="O19" s="26">
        <f>E19*10%</f>
        <v>2761.123</v>
      </c>
      <c r="P19" s="26">
        <v>20000</v>
      </c>
      <c r="Q19" s="26">
        <f>50000+100000</f>
        <v>150000</v>
      </c>
      <c r="R19" s="238">
        <f t="shared" si="2"/>
        <v>563333.03524999996</v>
      </c>
      <c r="S19" s="24"/>
      <c r="T19" s="24"/>
      <c r="U19" s="24"/>
      <c r="V19" s="24"/>
      <c r="W19" s="24">
        <v>86826.60943466665</v>
      </c>
      <c r="X19" s="303">
        <f t="shared" si="0"/>
        <v>86826.60943466665</v>
      </c>
      <c r="Y19" s="24">
        <v>476506.42581533332</v>
      </c>
      <c r="Z19" s="241">
        <f t="shared" si="1"/>
        <v>476506.42581533332</v>
      </c>
      <c r="AA19" s="214"/>
    </row>
    <row r="20" spans="1:27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26">
        <v>27611.23</v>
      </c>
      <c r="F20" s="26"/>
      <c r="G20" s="26">
        <f t="shared" si="8"/>
        <v>82833.69</v>
      </c>
      <c r="H20" s="26">
        <f t="shared" si="9"/>
        <v>2070.8422499999997</v>
      </c>
      <c r="I20" s="24">
        <v>0</v>
      </c>
      <c r="J20" s="26">
        <f t="shared" si="23"/>
        <v>13805.615</v>
      </c>
      <c r="K20" s="24">
        <f t="shared" si="11"/>
        <v>96639.304999999993</v>
      </c>
      <c r="L20" s="26">
        <f t="shared" si="12"/>
        <v>27611.23</v>
      </c>
      <c r="M20" s="213"/>
      <c r="N20" s="213">
        <f t="shared" si="22"/>
        <v>70000</v>
      </c>
      <c r="O20" s="26">
        <f t="shared" si="13"/>
        <v>2761.123</v>
      </c>
      <c r="P20" s="26">
        <v>15000</v>
      </c>
      <c r="Q20" s="26">
        <f>0</f>
        <v>0</v>
      </c>
      <c r="R20" s="238">
        <f t="shared" si="2"/>
        <v>338333.03524999996</v>
      </c>
      <c r="S20" s="24"/>
      <c r="T20" s="24"/>
      <c r="U20" s="24"/>
      <c r="V20" s="24"/>
      <c r="W20" s="26">
        <v>44006.616588666657</v>
      </c>
      <c r="X20" s="303">
        <f t="shared" si="0"/>
        <v>44006.616588666657</v>
      </c>
      <c r="Y20" s="24">
        <v>294326.41866133327</v>
      </c>
      <c r="Z20" s="241">
        <f t="shared" si="1"/>
        <v>294326.41866133327</v>
      </c>
      <c r="AA20" s="214"/>
    </row>
    <row r="21" spans="1:27" ht="20.100000000000001" customHeight="1">
      <c r="A21" s="29">
        <v>15</v>
      </c>
      <c r="B21" s="189" t="s">
        <v>334</v>
      </c>
      <c r="C21" s="194" t="s">
        <v>351</v>
      </c>
      <c r="D21" s="215" t="s">
        <v>163</v>
      </c>
      <c r="E21" s="26">
        <v>24741.26</v>
      </c>
      <c r="F21" s="26"/>
      <c r="G21" s="26">
        <f t="shared" ref="G21:G24" si="24">E21*300%</f>
        <v>74223.78</v>
      </c>
      <c r="H21" s="26">
        <f t="shared" ref="H21:H24" si="25">E21*7.5%</f>
        <v>1855.5944999999997</v>
      </c>
      <c r="I21" s="26">
        <v>0</v>
      </c>
      <c r="J21" s="26">
        <f t="shared" si="23"/>
        <v>12370.63</v>
      </c>
      <c r="K21" s="24">
        <f t="shared" ref="K21:K24" si="26">E21*350%</f>
        <v>86594.409999999989</v>
      </c>
      <c r="L21" s="26">
        <f t="shared" ref="L21:L24" si="27">E21*100%</f>
        <v>24741.26</v>
      </c>
      <c r="M21" s="213">
        <f>120000</f>
        <v>120000</v>
      </c>
      <c r="N21" s="213"/>
      <c r="O21" s="26">
        <f t="shared" ref="O21:O24" si="28">E21*10%</f>
        <v>2474.1260000000002</v>
      </c>
      <c r="P21" s="26">
        <v>15000</v>
      </c>
      <c r="Q21" s="26">
        <v>0</v>
      </c>
      <c r="R21" s="238">
        <f t="shared" si="2"/>
        <v>362001.06050000002</v>
      </c>
      <c r="S21" s="24"/>
      <c r="T21" s="24">
        <f>50000</f>
        <v>50000</v>
      </c>
      <c r="U21" s="24">
        <v>52500</v>
      </c>
      <c r="V21" s="24"/>
      <c r="W21" s="26">
        <v>46666.666666666664</v>
      </c>
      <c r="X21" s="303">
        <f t="shared" si="0"/>
        <v>149166.66666666666</v>
      </c>
      <c r="Y21" s="24">
        <v>212834.39383333336</v>
      </c>
      <c r="Z21" s="241">
        <f t="shared" si="1"/>
        <v>212834.39383333336</v>
      </c>
      <c r="AA21" s="214"/>
    </row>
    <row r="22" spans="1:27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26">
        <f>23891.12</f>
        <v>23891.119999999999</v>
      </c>
      <c r="F22" s="26"/>
      <c r="G22" s="26">
        <f t="shared" si="24"/>
        <v>71673.36</v>
      </c>
      <c r="H22" s="26">
        <f t="shared" si="25"/>
        <v>1791.8339999999998</v>
      </c>
      <c r="I22" s="26"/>
      <c r="J22" s="26">
        <f>E22*50%</f>
        <v>11945.56</v>
      </c>
      <c r="K22" s="26">
        <f t="shared" si="26"/>
        <v>83618.92</v>
      </c>
      <c r="L22" s="26">
        <f t="shared" si="27"/>
        <v>23891.119999999999</v>
      </c>
      <c r="M22" s="213">
        <f>120000</f>
        <v>120000</v>
      </c>
      <c r="N22" s="213"/>
      <c r="O22" s="26">
        <f t="shared" si="28"/>
        <v>2389.1120000000001</v>
      </c>
      <c r="P22" s="26">
        <v>10000</v>
      </c>
      <c r="Q22" s="26">
        <f>100000</f>
        <v>100000</v>
      </c>
      <c r="R22" s="238">
        <f t="shared" ref="R22:R25" si="29">Q22+P22+O22+N22+M22+L22+K22+J22+I22+H22+G22+F22+E22</f>
        <v>449201.02599999995</v>
      </c>
      <c r="S22" s="24"/>
      <c r="T22" s="26">
        <f>30000-20000</f>
        <v>10000</v>
      </c>
      <c r="U22" s="26">
        <f>95833.33</f>
        <v>95833.33</v>
      </c>
      <c r="V22" s="26">
        <v>597.27800000000002</v>
      </c>
      <c r="W22" s="26">
        <v>64913.263658666656</v>
      </c>
      <c r="X22" s="303">
        <f t="shared" si="0"/>
        <v>171343.87165866664</v>
      </c>
      <c r="Y22" s="26">
        <v>277857.15434133331</v>
      </c>
      <c r="Z22" s="241">
        <f t="shared" si="1"/>
        <v>277857.15434133331</v>
      </c>
      <c r="AA22" s="214"/>
    </row>
    <row r="23" spans="1:27" ht="20.100000000000001" customHeight="1">
      <c r="A23" s="29">
        <v>17</v>
      </c>
      <c r="B23" s="189" t="s">
        <v>141</v>
      </c>
      <c r="C23" s="194" t="s">
        <v>391</v>
      </c>
      <c r="D23" s="215" t="s">
        <v>499</v>
      </c>
      <c r="E23" s="26">
        <f>22837.82</f>
        <v>22837.82</v>
      </c>
      <c r="F23" s="26"/>
      <c r="G23" s="26">
        <f t="shared" si="24"/>
        <v>68513.459999999992</v>
      </c>
      <c r="H23" s="26">
        <f t="shared" si="25"/>
        <v>1712.8364999999999</v>
      </c>
      <c r="I23" s="24"/>
      <c r="J23" s="26">
        <f>E23*50%</f>
        <v>11418.91</v>
      </c>
      <c r="K23" s="24">
        <f t="shared" si="26"/>
        <v>79932.37</v>
      </c>
      <c r="L23" s="26">
        <f t="shared" si="27"/>
        <v>22837.82</v>
      </c>
      <c r="M23" s="213"/>
      <c r="N23" s="213">
        <f>60000</f>
        <v>60000</v>
      </c>
      <c r="O23" s="26">
        <f t="shared" si="28"/>
        <v>2283.7820000000002</v>
      </c>
      <c r="P23" s="26">
        <v>15000</v>
      </c>
      <c r="Q23" s="26"/>
      <c r="R23" s="238">
        <f t="shared" si="29"/>
        <v>284536.99849999999</v>
      </c>
      <c r="S23" s="24"/>
      <c r="T23" s="24"/>
      <c r="U23" s="24"/>
      <c r="V23" s="24">
        <v>570.94550000000004</v>
      </c>
      <c r="W23" s="26">
        <v>34871.967414666666</v>
      </c>
      <c r="X23" s="303">
        <f t="shared" si="0"/>
        <v>35442.912914666667</v>
      </c>
      <c r="Y23" s="24">
        <v>249094.08558533332</v>
      </c>
      <c r="Z23" s="241">
        <f t="shared" si="1"/>
        <v>249094.08558533332</v>
      </c>
      <c r="AA23" s="214"/>
    </row>
    <row r="24" spans="1:27" ht="18.75" customHeight="1">
      <c r="A24" s="29">
        <v>18</v>
      </c>
      <c r="B24" s="189" t="s">
        <v>253</v>
      </c>
      <c r="C24" s="194" t="s">
        <v>480</v>
      </c>
      <c r="D24" s="215" t="s">
        <v>415</v>
      </c>
      <c r="E24" s="26">
        <v>21520.880000000001</v>
      </c>
      <c r="F24" s="26"/>
      <c r="G24" s="26">
        <f t="shared" si="24"/>
        <v>64562.64</v>
      </c>
      <c r="H24" s="26">
        <f t="shared" si="25"/>
        <v>1614.066</v>
      </c>
      <c r="I24" s="24"/>
      <c r="J24" s="26">
        <f>E24*50%</f>
        <v>10760.44</v>
      </c>
      <c r="K24" s="24">
        <f t="shared" si="26"/>
        <v>75323.08</v>
      </c>
      <c r="L24" s="26">
        <f t="shared" si="27"/>
        <v>21520.880000000001</v>
      </c>
      <c r="M24" s="213"/>
      <c r="N24" s="213">
        <f>60000</f>
        <v>60000</v>
      </c>
      <c r="O24" s="26">
        <f t="shared" si="28"/>
        <v>2152.0880000000002</v>
      </c>
      <c r="P24" s="26">
        <v>10000</v>
      </c>
      <c r="Q24" s="26"/>
      <c r="R24" s="238">
        <f t="shared" si="29"/>
        <v>267454.07400000002</v>
      </c>
      <c r="S24" s="24"/>
      <c r="T24" s="24">
        <f>20000</f>
        <v>20000</v>
      </c>
      <c r="U24" s="24">
        <f>111833.33</f>
        <v>111833.33</v>
      </c>
      <c r="V24" s="24"/>
      <c r="W24" s="26">
        <v>32008.563458666671</v>
      </c>
      <c r="X24" s="303">
        <f t="shared" si="0"/>
        <v>163841.89345866669</v>
      </c>
      <c r="Y24" s="24">
        <v>103612.18054133333</v>
      </c>
      <c r="Z24" s="241">
        <f t="shared" si="1"/>
        <v>103612.18054133333</v>
      </c>
      <c r="AA24" s="214"/>
    </row>
    <row r="25" spans="1:27" ht="18.75" customHeight="1">
      <c r="A25" s="29">
        <v>19</v>
      </c>
      <c r="B25" s="190" t="s">
        <v>275</v>
      </c>
      <c r="C25" s="194" t="s">
        <v>314</v>
      </c>
      <c r="D25" s="215" t="s">
        <v>164</v>
      </c>
      <c r="E25" s="26">
        <v>18281.64</v>
      </c>
      <c r="F25" s="26"/>
      <c r="G25" s="26">
        <f t="shared" ref="G25" si="30">E25*300%</f>
        <v>54844.92</v>
      </c>
      <c r="H25" s="26">
        <f t="shared" ref="H25" si="31">E25*7.5%</f>
        <v>1371.1229999999998</v>
      </c>
      <c r="I25" s="26"/>
      <c r="J25" s="26">
        <f t="shared" ref="J25" si="32">E25*50%</f>
        <v>9140.82</v>
      </c>
      <c r="K25" s="26">
        <f t="shared" ref="K25" si="33">E25*350%</f>
        <v>63985.74</v>
      </c>
      <c r="L25" s="26">
        <f t="shared" ref="L25" si="34">E25*100%</f>
        <v>18281.64</v>
      </c>
      <c r="M25" s="213"/>
      <c r="N25" s="213">
        <f>60000</f>
        <v>60000</v>
      </c>
      <c r="O25" s="26">
        <f t="shared" ref="O25" si="35">E25*10%</f>
        <v>1828.164</v>
      </c>
      <c r="P25" s="26">
        <v>10000</v>
      </c>
      <c r="Q25" s="26"/>
      <c r="R25" s="238">
        <f t="shared" si="29"/>
        <v>237734.04700000002</v>
      </c>
      <c r="S25" s="24"/>
      <c r="T25" s="26">
        <v>0</v>
      </c>
      <c r="U25" s="26">
        <v>0</v>
      </c>
      <c r="V25" s="26"/>
      <c r="W25" s="213">
        <v>27105.986562666669</v>
      </c>
      <c r="X25" s="303">
        <f t="shared" si="0"/>
        <v>27105.986562666669</v>
      </c>
      <c r="Y25" s="26">
        <v>210628.06043733336</v>
      </c>
      <c r="Z25" s="241">
        <f t="shared" si="1"/>
        <v>210628.06043733336</v>
      </c>
      <c r="AA25" s="214"/>
    </row>
    <row r="26" spans="1:27" ht="18.75" customHeight="1">
      <c r="A26" s="29">
        <v>20</v>
      </c>
      <c r="B26" s="21" t="s">
        <v>436</v>
      </c>
      <c r="C26" s="21" t="s">
        <v>17</v>
      </c>
      <c r="D26" s="29" t="s">
        <v>500</v>
      </c>
      <c r="E26" s="26">
        <v>14736.14</v>
      </c>
      <c r="F26" s="26"/>
      <c r="G26" s="26">
        <v>44208.42</v>
      </c>
      <c r="H26" s="26">
        <v>1105.2104999999999</v>
      </c>
      <c r="I26" s="26"/>
      <c r="J26" s="26">
        <v>7368.07</v>
      </c>
      <c r="K26" s="26">
        <v>51576.49</v>
      </c>
      <c r="L26" s="26">
        <v>14736.14</v>
      </c>
      <c r="M26" s="213"/>
      <c r="N26" s="213">
        <v>60000</v>
      </c>
      <c r="O26" s="26">
        <v>1473.614</v>
      </c>
      <c r="P26" s="26">
        <v>10000</v>
      </c>
      <c r="Q26" s="26"/>
      <c r="R26" s="238">
        <v>205204.0845</v>
      </c>
      <c r="S26" s="24"/>
      <c r="T26" s="24">
        <v>10000</v>
      </c>
      <c r="U26" s="24">
        <f>20000</f>
        <v>20000</v>
      </c>
      <c r="V26" s="24"/>
      <c r="W26" s="26">
        <v>21640.952862666669</v>
      </c>
      <c r="X26" s="303">
        <f t="shared" si="0"/>
        <v>51640.952862666672</v>
      </c>
      <c r="Y26" s="24">
        <v>153563.13163733331</v>
      </c>
      <c r="Z26" s="241">
        <f t="shared" si="1"/>
        <v>153563.13163733331</v>
      </c>
      <c r="AA26" s="214"/>
    </row>
    <row r="27" spans="1:27" ht="18.75" customHeight="1">
      <c r="A27" s="29">
        <v>21</v>
      </c>
      <c r="B27" s="190" t="s">
        <v>254</v>
      </c>
      <c r="C27" s="194" t="s">
        <v>17</v>
      </c>
      <c r="D27" s="215" t="s">
        <v>500</v>
      </c>
      <c r="E27" s="26">
        <f t="shared" ref="E27:E28" si="36">15188.67</f>
        <v>15188.67</v>
      </c>
      <c r="F27" s="26"/>
      <c r="G27" s="26">
        <f>E27*300%</f>
        <v>45566.01</v>
      </c>
      <c r="H27" s="26">
        <f>E27*7.5%</f>
        <v>1139.1502499999999</v>
      </c>
      <c r="I27" s="26"/>
      <c r="J27" s="26">
        <f>E27*50%</f>
        <v>7594.335</v>
      </c>
      <c r="K27" s="24">
        <f>E27*350%</f>
        <v>53160.345000000001</v>
      </c>
      <c r="L27" s="26">
        <f>E27*100%</f>
        <v>15188.67</v>
      </c>
      <c r="M27" s="213"/>
      <c r="N27" s="213">
        <f>50000+10000</f>
        <v>60000</v>
      </c>
      <c r="O27" s="26">
        <f>E27*10%</f>
        <v>1518.8670000000002</v>
      </c>
      <c r="P27" s="26">
        <v>10000</v>
      </c>
      <c r="Q27" s="26"/>
      <c r="R27" s="238">
        <f>Q27+P27+O27+N27+M27+L27+K27+J27+I27+H27+G27+F27+E27</f>
        <v>209356.04725</v>
      </c>
      <c r="S27" s="24"/>
      <c r="T27" s="24"/>
      <c r="U27" s="24"/>
      <c r="V27" s="24"/>
      <c r="W27" s="26">
        <v>22338.48260466666</v>
      </c>
      <c r="X27" s="303">
        <f t="shared" si="0"/>
        <v>22338.48260466666</v>
      </c>
      <c r="Y27" s="24">
        <v>187017.56464533333</v>
      </c>
      <c r="Z27" s="241">
        <f t="shared" si="1"/>
        <v>187017.56464533333</v>
      </c>
      <c r="AA27" s="214"/>
    </row>
    <row r="28" spans="1:27" ht="18.75" customHeight="1">
      <c r="A28" s="29">
        <v>22</v>
      </c>
      <c r="B28" s="189" t="s">
        <v>248</v>
      </c>
      <c r="C28" s="194" t="s">
        <v>482</v>
      </c>
      <c r="D28" s="215" t="s">
        <v>500</v>
      </c>
      <c r="E28" s="26">
        <f t="shared" si="36"/>
        <v>15188.67</v>
      </c>
      <c r="F28" s="26"/>
      <c r="G28" s="26">
        <f t="shared" ref="G28:G29" si="37">E28*300%</f>
        <v>45566.01</v>
      </c>
      <c r="H28" s="26">
        <f t="shared" ref="H28:H29" si="38">E28*7.5%</f>
        <v>1139.1502499999999</v>
      </c>
      <c r="I28" s="26"/>
      <c r="J28" s="26">
        <f t="shared" ref="J28:J29" si="39">E28*50%</f>
        <v>7594.335</v>
      </c>
      <c r="K28" s="24">
        <f t="shared" ref="K28:K29" si="40">E28*350%</f>
        <v>53160.345000000001</v>
      </c>
      <c r="L28" s="26">
        <f t="shared" ref="L28" si="41">E28*100%</f>
        <v>15188.67</v>
      </c>
      <c r="M28" s="213"/>
      <c r="N28" s="213">
        <f>50000+10000</f>
        <v>60000</v>
      </c>
      <c r="O28" s="26">
        <f t="shared" ref="O28" si="42">E28*10%</f>
        <v>1518.8670000000002</v>
      </c>
      <c r="P28" s="26">
        <v>10000</v>
      </c>
      <c r="Q28" s="26"/>
      <c r="R28" s="238">
        <f t="shared" ref="R28:R29" si="43">SUM(E28:Q28)</f>
        <v>209356.04725</v>
      </c>
      <c r="S28" s="24"/>
      <c r="T28" s="24">
        <f>10000</f>
        <v>10000</v>
      </c>
      <c r="U28" s="24"/>
      <c r="V28" s="24"/>
      <c r="W28" s="26">
        <v>22338.48260466666</v>
      </c>
      <c r="X28" s="303">
        <f t="shared" si="0"/>
        <v>32338.48260466666</v>
      </c>
      <c r="Y28" s="24">
        <v>177017.56464533333</v>
      </c>
      <c r="Z28" s="241">
        <f t="shared" si="1"/>
        <v>177017.56464533333</v>
      </c>
      <c r="AA28" s="214"/>
    </row>
    <row r="29" spans="1:27" ht="18.75" customHeight="1">
      <c r="A29" s="29">
        <v>23</v>
      </c>
      <c r="B29" s="190" t="s">
        <v>288</v>
      </c>
      <c r="C29" s="194" t="s">
        <v>249</v>
      </c>
      <c r="D29" s="215" t="s">
        <v>267</v>
      </c>
      <c r="E29" s="213">
        <v>13492.21</v>
      </c>
      <c r="F29" s="26"/>
      <c r="G29" s="26">
        <f t="shared" si="37"/>
        <v>40476.629999999997</v>
      </c>
      <c r="H29" s="26">
        <f t="shared" si="38"/>
        <v>1011.9157499999999</v>
      </c>
      <c r="I29" s="26"/>
      <c r="J29" s="26">
        <f t="shared" si="39"/>
        <v>6746.1049999999996</v>
      </c>
      <c r="K29" s="24">
        <f t="shared" si="40"/>
        <v>47222.735000000001</v>
      </c>
      <c r="L29" s="26">
        <f t="shared" ref="L29:L32" si="44">E29*100%</f>
        <v>13492.21</v>
      </c>
      <c r="M29" s="213"/>
      <c r="N29" s="213">
        <f>50000</f>
        <v>50000</v>
      </c>
      <c r="O29" s="26">
        <f t="shared" ref="O29:O32" si="45">E29*10%</f>
        <v>1349.221</v>
      </c>
      <c r="P29" s="26">
        <v>10000</v>
      </c>
      <c r="Q29" s="21"/>
      <c r="R29" s="239">
        <f t="shared" si="43"/>
        <v>183791.02674999999</v>
      </c>
      <c r="S29" s="26"/>
      <c r="T29" s="24">
        <f>20000</f>
        <v>20000</v>
      </c>
      <c r="U29" s="24">
        <f>17500</f>
        <v>17500</v>
      </c>
      <c r="V29" s="24"/>
      <c r="W29" s="26">
        <v>18102.902732666666</v>
      </c>
      <c r="X29" s="303">
        <f t="shared" si="0"/>
        <v>55602.902732666669</v>
      </c>
      <c r="Y29" s="24">
        <v>128188.12401733332</v>
      </c>
      <c r="Z29" s="241">
        <f t="shared" si="1"/>
        <v>128188.12401733332</v>
      </c>
      <c r="AA29" s="214"/>
    </row>
    <row r="30" spans="1:27" ht="18.75" customHeight="1">
      <c r="A30" s="29">
        <v>24</v>
      </c>
      <c r="B30" s="190" t="s">
        <v>328</v>
      </c>
      <c r="C30" s="21" t="s">
        <v>329</v>
      </c>
      <c r="D30" s="29" t="s">
        <v>267</v>
      </c>
      <c r="E30" s="26">
        <v>13492.21</v>
      </c>
      <c r="F30" s="26"/>
      <c r="G30" s="26">
        <f t="shared" ref="G30:G32" si="46">E30*300%</f>
        <v>40476.629999999997</v>
      </c>
      <c r="H30" s="26">
        <f t="shared" ref="H30:H32" si="47">E30*7.5%</f>
        <v>1011.9157499999999</v>
      </c>
      <c r="I30" s="26"/>
      <c r="J30" s="26">
        <f>E30*50%</f>
        <v>6746.1049999999996</v>
      </c>
      <c r="K30" s="26">
        <f t="shared" ref="K30:K32" si="48">E30*350%</f>
        <v>47222.735000000001</v>
      </c>
      <c r="L30" s="26">
        <f>E30*100%</f>
        <v>13492.21</v>
      </c>
      <c r="M30" s="213"/>
      <c r="N30" s="213">
        <f>50000</f>
        <v>50000</v>
      </c>
      <c r="O30" s="26">
        <f>E30*10%</f>
        <v>1349.221</v>
      </c>
      <c r="P30" s="26">
        <v>10000</v>
      </c>
      <c r="Q30" s="26"/>
      <c r="R30" s="238">
        <f>SUM(E30:Q30)</f>
        <v>183791.02674999999</v>
      </c>
      <c r="S30" s="24"/>
      <c r="T30" s="24">
        <f>30000+20000</f>
        <v>50000</v>
      </c>
      <c r="U30" s="24">
        <v>0</v>
      </c>
      <c r="V30" s="24"/>
      <c r="W30" s="26">
        <v>18102.902732666666</v>
      </c>
      <c r="X30" s="303">
        <f t="shared" si="0"/>
        <v>68102.902732666669</v>
      </c>
      <c r="Y30" s="24">
        <v>115688.12401733332</v>
      </c>
      <c r="Z30" s="241">
        <f t="shared" si="1"/>
        <v>115688.12401733332</v>
      </c>
      <c r="AA30" s="214"/>
    </row>
    <row r="31" spans="1:27" ht="18.75" customHeight="1">
      <c r="A31" s="29">
        <v>25</v>
      </c>
      <c r="B31" s="190" t="s">
        <v>360</v>
      </c>
      <c r="C31" s="156" t="s">
        <v>372</v>
      </c>
      <c r="D31" s="215" t="s">
        <v>500</v>
      </c>
      <c r="E31" s="26">
        <v>15188.67</v>
      </c>
      <c r="F31" s="26"/>
      <c r="G31" s="26">
        <f t="shared" si="46"/>
        <v>45566.01</v>
      </c>
      <c r="H31" s="26">
        <f t="shared" si="47"/>
        <v>1139.1502499999999</v>
      </c>
      <c r="I31" s="26"/>
      <c r="J31" s="26">
        <f>E31*50%</f>
        <v>7594.335</v>
      </c>
      <c r="K31" s="26">
        <f t="shared" si="48"/>
        <v>53160.345000000001</v>
      </c>
      <c r="L31" s="26">
        <f t="shared" si="44"/>
        <v>15188.67</v>
      </c>
      <c r="M31" s="213"/>
      <c r="N31" s="213">
        <f>60000</f>
        <v>60000</v>
      </c>
      <c r="O31" s="26">
        <f t="shared" si="45"/>
        <v>1518.8670000000002</v>
      </c>
      <c r="P31" s="26">
        <v>10000</v>
      </c>
      <c r="Q31" s="26"/>
      <c r="R31" s="238">
        <f t="shared" ref="R31" si="49">Q31+P31+O31+N31+M31+L31+K31+J31+I31+H31+G31+F31+E31</f>
        <v>209356.04725</v>
      </c>
      <c r="S31" s="24"/>
      <c r="T31" s="24">
        <f>50000</f>
        <v>50000</v>
      </c>
      <c r="U31" s="24">
        <v>50000</v>
      </c>
      <c r="V31" s="24">
        <v>0</v>
      </c>
      <c r="W31" s="213">
        <v>22338.48260466666</v>
      </c>
      <c r="X31" s="303">
        <f t="shared" si="0"/>
        <v>122338.48260466666</v>
      </c>
      <c r="Y31" s="24">
        <v>87017.564645333347</v>
      </c>
      <c r="Z31" s="241">
        <f t="shared" si="1"/>
        <v>87017.564645333347</v>
      </c>
      <c r="AA31" s="214"/>
    </row>
    <row r="32" spans="1:27" ht="18.75" customHeight="1">
      <c r="A32" s="29">
        <v>26</v>
      </c>
      <c r="B32" s="190" t="s">
        <v>330</v>
      </c>
      <c r="C32" s="21" t="s">
        <v>535</v>
      </c>
      <c r="D32" s="29" t="s">
        <v>176</v>
      </c>
      <c r="E32" s="26">
        <f>12732</f>
        <v>12732</v>
      </c>
      <c r="F32" s="26"/>
      <c r="G32" s="26">
        <f t="shared" si="46"/>
        <v>38196</v>
      </c>
      <c r="H32" s="26">
        <f t="shared" si="47"/>
        <v>954.9</v>
      </c>
      <c r="I32" s="26"/>
      <c r="J32" s="26">
        <f>E32*50%</f>
        <v>6366</v>
      </c>
      <c r="K32" s="26">
        <f t="shared" si="48"/>
        <v>44562</v>
      </c>
      <c r="L32" s="26">
        <f t="shared" si="44"/>
        <v>12732</v>
      </c>
      <c r="M32" s="213"/>
      <c r="N32" s="213">
        <f>50000</f>
        <v>50000</v>
      </c>
      <c r="O32" s="26">
        <f t="shared" si="45"/>
        <v>1273.2</v>
      </c>
      <c r="P32" s="26">
        <v>10000</v>
      </c>
      <c r="Q32" s="26"/>
      <c r="R32" s="238">
        <f>SUM(E32:Q32)</f>
        <v>176816.1</v>
      </c>
      <c r="S32" s="24"/>
      <c r="T32" s="24">
        <f>0</f>
        <v>0</v>
      </c>
      <c r="U32" s="24">
        <f>26666.67</f>
        <v>26666.67</v>
      </c>
      <c r="V32" s="24"/>
      <c r="W32" s="26">
        <v>17042.713866666669</v>
      </c>
      <c r="X32" s="303">
        <f t="shared" si="0"/>
        <v>43709.383866666671</v>
      </c>
      <c r="Y32" s="24">
        <v>133106.71613333334</v>
      </c>
      <c r="Z32" s="241">
        <f t="shared" si="1"/>
        <v>133106.71613333334</v>
      </c>
      <c r="AA32" s="214"/>
    </row>
    <row r="33" spans="1:27" ht="18.75" customHeight="1">
      <c r="A33" s="29">
        <v>27</v>
      </c>
      <c r="B33" s="190" t="s">
        <v>274</v>
      </c>
      <c r="C33" s="194" t="s">
        <v>314</v>
      </c>
      <c r="D33" s="215" t="s">
        <v>176</v>
      </c>
      <c r="E33" s="26">
        <f>12732</f>
        <v>12732</v>
      </c>
      <c r="F33" s="26"/>
      <c r="G33" s="26">
        <f t="shared" ref="G33:G34" si="50">E33*300%</f>
        <v>38196</v>
      </c>
      <c r="H33" s="26">
        <f t="shared" ref="H33:H34" si="51">E33*7.5%</f>
        <v>954.9</v>
      </c>
      <c r="I33" s="26"/>
      <c r="J33" s="26">
        <f t="shared" ref="J33:J34" si="52">E33*50%</f>
        <v>6366</v>
      </c>
      <c r="K33" s="26">
        <f t="shared" ref="K33:K34" si="53">E33*350%</f>
        <v>44562</v>
      </c>
      <c r="L33" s="26">
        <f t="shared" ref="L33:L34" si="54">E33*100%</f>
        <v>12732</v>
      </c>
      <c r="M33" s="213"/>
      <c r="N33" s="213">
        <f>50000</f>
        <v>50000</v>
      </c>
      <c r="O33" s="26">
        <f t="shared" ref="O33:O34" si="55">E33*10%</f>
        <v>1273.2</v>
      </c>
      <c r="P33" s="26">
        <v>10001</v>
      </c>
      <c r="Q33" s="26"/>
      <c r="R33" s="238">
        <f t="shared" ref="R33:R34" si="56">SUM(E33:Q33)</f>
        <v>176817.1</v>
      </c>
      <c r="S33" s="24"/>
      <c r="T33" s="24">
        <f>0</f>
        <v>0</v>
      </c>
      <c r="U33" s="24"/>
      <c r="V33" s="24"/>
      <c r="W33" s="26">
        <v>17042.865866666671</v>
      </c>
      <c r="X33" s="303">
        <f t="shared" ref="X33:X35" si="57">W33+V33+U33+T33+S33</f>
        <v>17042.865866666671</v>
      </c>
      <c r="Y33" s="24">
        <v>159774.23413333335</v>
      </c>
      <c r="Z33" s="241">
        <f t="shared" ref="Z33" si="58">R33-X33</f>
        <v>159774.23413333335</v>
      </c>
      <c r="AA33" s="214"/>
    </row>
    <row r="34" spans="1:27" ht="18.75" customHeight="1">
      <c r="A34" s="29">
        <v>28</v>
      </c>
      <c r="B34" s="190" t="s">
        <v>455</v>
      </c>
      <c r="C34" s="194" t="s">
        <v>314</v>
      </c>
      <c r="D34" s="215" t="s">
        <v>176</v>
      </c>
      <c r="E34" s="26">
        <f>12732</f>
        <v>12732</v>
      </c>
      <c r="F34" s="26"/>
      <c r="G34" s="26">
        <f t="shared" si="50"/>
        <v>38196</v>
      </c>
      <c r="H34" s="26">
        <f t="shared" si="51"/>
        <v>954.9</v>
      </c>
      <c r="I34" s="26"/>
      <c r="J34" s="26">
        <f t="shared" si="52"/>
        <v>6366</v>
      </c>
      <c r="K34" s="26">
        <f t="shared" si="53"/>
        <v>44562</v>
      </c>
      <c r="L34" s="26">
        <f t="shared" si="54"/>
        <v>12732</v>
      </c>
      <c r="M34" s="213"/>
      <c r="N34" s="213">
        <f>50000</f>
        <v>50000</v>
      </c>
      <c r="O34" s="26">
        <f t="shared" si="55"/>
        <v>1273.2</v>
      </c>
      <c r="P34" s="26">
        <v>10002</v>
      </c>
      <c r="Q34" s="26"/>
      <c r="R34" s="238">
        <f t="shared" si="56"/>
        <v>176818.1</v>
      </c>
      <c r="S34" s="24"/>
      <c r="T34" s="24">
        <v>20000</v>
      </c>
      <c r="U34" s="24"/>
      <c r="V34" s="24"/>
      <c r="W34" s="26">
        <v>17043.017866666672</v>
      </c>
      <c r="X34" s="303">
        <f t="shared" si="57"/>
        <v>37043.017866666676</v>
      </c>
      <c r="Y34" s="24">
        <v>139775.08213333332</v>
      </c>
      <c r="Z34" s="241">
        <f>R34-X34</f>
        <v>139775.08213333332</v>
      </c>
      <c r="AA34" s="214"/>
    </row>
    <row r="35" spans="1:27" ht="18.75" customHeight="1">
      <c r="A35" s="29">
        <v>29</v>
      </c>
      <c r="B35" s="190" t="s">
        <v>537</v>
      </c>
      <c r="C35" s="293" t="s">
        <v>538</v>
      </c>
      <c r="D35" s="215" t="s">
        <v>105</v>
      </c>
      <c r="E35" s="26">
        <v>12351.94</v>
      </c>
      <c r="F35" s="26"/>
      <c r="G35" s="26">
        <v>37055.82</v>
      </c>
      <c r="H35" s="26">
        <v>926.39549999999997</v>
      </c>
      <c r="I35" s="26"/>
      <c r="J35" s="26">
        <v>6175.97</v>
      </c>
      <c r="K35" s="26">
        <v>43231.79</v>
      </c>
      <c r="L35" s="26">
        <v>12351.94</v>
      </c>
      <c r="M35" s="213"/>
      <c r="N35" s="213">
        <v>50000</v>
      </c>
      <c r="O35" s="26">
        <v>1235.1940000000002</v>
      </c>
      <c r="P35" s="26">
        <v>10000</v>
      </c>
      <c r="Q35" s="26"/>
      <c r="R35" s="238">
        <v>173329.04949999999</v>
      </c>
      <c r="S35" s="24"/>
      <c r="T35" s="24">
        <v>10000</v>
      </c>
      <c r="U35" s="24">
        <v>63888.89</v>
      </c>
      <c r="V35" s="24">
        <v>0</v>
      </c>
      <c r="W35" s="26">
        <v>16512.68219066667</v>
      </c>
      <c r="X35" s="303">
        <f t="shared" si="57"/>
        <v>90401.572190666673</v>
      </c>
      <c r="Y35" s="24">
        <v>82927.477309333321</v>
      </c>
      <c r="Z35" s="241">
        <f>R35-X35</f>
        <v>82927.477309333321</v>
      </c>
      <c r="AA35" s="214"/>
    </row>
    <row r="36" spans="1:27" ht="26.25" customHeight="1">
      <c r="A36" s="29"/>
      <c r="B36" s="192" t="s">
        <v>15</v>
      </c>
      <c r="C36" s="30">
        <v>29</v>
      </c>
      <c r="D36" s="215"/>
      <c r="E36" s="217">
        <f t="shared" ref="E36:X36" si="59">SUM(E7:E35)</f>
        <v>878401.86999999988</v>
      </c>
      <c r="F36" s="217">
        <f t="shared" si="59"/>
        <v>0</v>
      </c>
      <c r="G36" s="217">
        <f t="shared" si="59"/>
        <v>2474716.8599999989</v>
      </c>
      <c r="H36" s="217">
        <f t="shared" si="59"/>
        <v>101990.11400000005</v>
      </c>
      <c r="I36" s="217">
        <f t="shared" si="59"/>
        <v>481466.28</v>
      </c>
      <c r="J36" s="217">
        <f t="shared" si="59"/>
        <v>431176.49999999994</v>
      </c>
      <c r="K36" s="217">
        <f t="shared" si="59"/>
        <v>2512695.9200000004</v>
      </c>
      <c r="L36" s="217">
        <f t="shared" si="59"/>
        <v>838279.69</v>
      </c>
      <c r="M36" s="217">
        <f t="shared" si="59"/>
        <v>990000</v>
      </c>
      <c r="N36" s="217">
        <f t="shared" si="59"/>
        <v>1540000</v>
      </c>
      <c r="O36" s="217">
        <f t="shared" si="59"/>
        <v>87840.19200000001</v>
      </c>
      <c r="P36" s="217">
        <f t="shared" si="59"/>
        <v>435003</v>
      </c>
      <c r="Q36" s="217">
        <f t="shared" si="59"/>
        <v>875235</v>
      </c>
      <c r="R36" s="217">
        <f t="shared" si="59"/>
        <v>10915340.401249999</v>
      </c>
      <c r="S36" s="217">
        <f t="shared" si="59"/>
        <v>0</v>
      </c>
      <c r="T36" s="217">
        <f t="shared" si="59"/>
        <v>530000</v>
      </c>
      <c r="U36" s="217">
        <f t="shared" si="59"/>
        <v>1187239.7299999997</v>
      </c>
      <c r="V36" s="217">
        <f t="shared" si="59"/>
        <v>6849.3477499999999</v>
      </c>
      <c r="W36" s="217">
        <f t="shared" si="59"/>
        <v>1543100.9173299999</v>
      </c>
      <c r="X36" s="217">
        <f t="shared" si="59"/>
        <v>3267189.9950799989</v>
      </c>
      <c r="Y36" s="217">
        <v>8260507.4795013359</v>
      </c>
      <c r="Z36" s="217">
        <f>SUM(Z7:Z35)</f>
        <v>7648150.4061700013</v>
      </c>
      <c r="AA36" s="214"/>
    </row>
    <row r="37" spans="1:27" ht="18.75" customHeight="1">
      <c r="A37" s="29"/>
      <c r="B37" s="142"/>
      <c r="C37" s="21"/>
      <c r="D37" s="215"/>
      <c r="E37" s="217"/>
      <c r="F37" s="217"/>
      <c r="G37" s="217"/>
      <c r="H37" s="217"/>
      <c r="I37" s="217"/>
      <c r="J37" s="217"/>
      <c r="K37" s="217"/>
      <c r="L37" s="217"/>
      <c r="M37" s="213"/>
      <c r="N37" s="213"/>
      <c r="O37" s="217"/>
      <c r="P37" s="217"/>
      <c r="Q37" s="217"/>
      <c r="R37" s="245"/>
      <c r="S37" s="217"/>
      <c r="T37" s="217"/>
      <c r="U37" s="217"/>
      <c r="V37" s="217"/>
      <c r="W37" s="217"/>
      <c r="X37" s="304"/>
      <c r="Y37" s="217"/>
      <c r="Z37" s="253"/>
      <c r="AA37" s="214"/>
    </row>
    <row r="38" spans="1:27" ht="18.75" customHeight="1">
      <c r="A38" s="29"/>
      <c r="B38" s="192" t="s">
        <v>284</v>
      </c>
      <c r="C38" s="21"/>
      <c r="D38" s="215"/>
      <c r="E38" s="26"/>
      <c r="F38" s="26"/>
      <c r="G38" s="26"/>
      <c r="H38" s="26"/>
      <c r="I38" s="26"/>
      <c r="J38" s="26"/>
      <c r="K38" s="24"/>
      <c r="L38" s="26"/>
      <c r="M38" s="213"/>
      <c r="N38" s="213"/>
      <c r="O38" s="26"/>
      <c r="P38" s="26"/>
      <c r="Q38" s="26"/>
      <c r="R38" s="238"/>
      <c r="S38" s="24"/>
      <c r="T38" s="24"/>
      <c r="U38" s="24"/>
      <c r="V38" s="24"/>
      <c r="W38" s="26"/>
      <c r="X38" s="303"/>
      <c r="Y38" s="24"/>
      <c r="Z38" s="241"/>
      <c r="AA38" s="214"/>
    </row>
    <row r="39" spans="1:27" ht="18.75" customHeight="1">
      <c r="A39" s="29">
        <v>1</v>
      </c>
      <c r="B39" s="190" t="s">
        <v>361</v>
      </c>
      <c r="C39" s="21" t="s">
        <v>362</v>
      </c>
      <c r="D39" s="29" t="s">
        <v>161</v>
      </c>
      <c r="E39" s="26">
        <v>81740.02</v>
      </c>
      <c r="F39" s="26"/>
      <c r="G39" s="26">
        <f>E39*300%</f>
        <v>245220.06</v>
      </c>
      <c r="H39" s="26">
        <f>E39*7.5%</f>
        <v>6130.5015000000003</v>
      </c>
      <c r="I39" s="26">
        <v>80244.38</v>
      </c>
      <c r="J39" s="26">
        <f>E39*50%</f>
        <v>40870.01</v>
      </c>
      <c r="K39" s="26">
        <f>E39*350%</f>
        <v>286090.07</v>
      </c>
      <c r="L39" s="26">
        <f t="shared" ref="L39:L40" si="60">E39*100%</f>
        <v>81740.02</v>
      </c>
      <c r="M39" s="213"/>
      <c r="N39" s="213">
        <f>100000</f>
        <v>100000</v>
      </c>
      <c r="O39" s="26">
        <f t="shared" ref="O39:O40" si="61">E39*10%</f>
        <v>8174.0020000000004</v>
      </c>
      <c r="P39" s="26">
        <v>20000</v>
      </c>
      <c r="Q39" s="26"/>
      <c r="R39" s="238">
        <f>SUM(E39:Q39)</f>
        <v>950209.06350000005</v>
      </c>
      <c r="S39" s="24">
        <f>'JUNE 2023'!F194</f>
        <v>0</v>
      </c>
      <c r="T39" s="24">
        <f>100000</f>
        <v>100000</v>
      </c>
      <c r="U39" s="24">
        <f>'[2]OCT 2022 '!$D$182</f>
        <v>175000</v>
      </c>
      <c r="V39" s="24"/>
      <c r="W39" s="26">
        <v>161106.80685866668</v>
      </c>
      <c r="X39" s="303">
        <f>W39+V39+U39+T39+S39</f>
        <v>436106.80685866671</v>
      </c>
      <c r="Y39" s="24">
        <v>514102.25664133334</v>
      </c>
      <c r="Z39" s="241">
        <f>R39-X39</f>
        <v>514102.25664133334</v>
      </c>
      <c r="AA39" s="214"/>
    </row>
    <row r="40" spans="1:27" ht="18.75" customHeight="1">
      <c r="A40" s="29">
        <v>2</v>
      </c>
      <c r="B40" s="190" t="s">
        <v>419</v>
      </c>
      <c r="C40" s="21" t="s">
        <v>427</v>
      </c>
      <c r="D40" s="29" t="s">
        <v>105</v>
      </c>
      <c r="E40" s="26">
        <v>12351.94</v>
      </c>
      <c r="F40" s="26"/>
      <c r="G40" s="26">
        <f t="shared" ref="G40" si="62">E40*300%</f>
        <v>37055.82</v>
      </c>
      <c r="H40" s="26">
        <f t="shared" ref="H40" si="63">E40*7.5%</f>
        <v>926.39549999999997</v>
      </c>
      <c r="I40" s="26"/>
      <c r="J40" s="26">
        <f t="shared" ref="J40" si="64">E40*50%</f>
        <v>6175.97</v>
      </c>
      <c r="K40" s="26">
        <f t="shared" ref="K40" si="65">E40*350%</f>
        <v>43231.79</v>
      </c>
      <c r="L40" s="26">
        <f t="shared" si="60"/>
        <v>12351.94</v>
      </c>
      <c r="M40" s="213"/>
      <c r="N40" s="213">
        <f>50000</f>
        <v>50000</v>
      </c>
      <c r="O40" s="26">
        <f t="shared" si="61"/>
        <v>1235.1940000000002</v>
      </c>
      <c r="P40" s="26">
        <v>10000</v>
      </c>
      <c r="Q40" s="26"/>
      <c r="R40" s="238">
        <f>(Q40+P40+O40+N40+M40+L40+K40+J40+I40+H40+G40+F40+E40)</f>
        <v>173329.04949999999</v>
      </c>
      <c r="S40" s="24"/>
      <c r="T40" s="24">
        <f>20000</f>
        <v>20000</v>
      </c>
      <c r="U40" s="24"/>
      <c r="V40" s="24">
        <v>0</v>
      </c>
      <c r="W40" s="26">
        <v>16512.68219066667</v>
      </c>
      <c r="X40" s="303">
        <f>W40+V40+U40+T40+S40</f>
        <v>36512.682190666674</v>
      </c>
      <c r="Y40" s="24">
        <v>136816.36730933332</v>
      </c>
      <c r="Z40" s="241">
        <f>R40-X40</f>
        <v>136816.36730933332</v>
      </c>
      <c r="AA40" s="214"/>
    </row>
    <row r="41" spans="1:27" ht="19.5" customHeight="1">
      <c r="A41" s="29"/>
      <c r="B41" s="191"/>
      <c r="C41" s="30">
        <v>2</v>
      </c>
      <c r="D41" s="29"/>
      <c r="E41" s="217">
        <f>SUM(E39:E40)</f>
        <v>94091.96</v>
      </c>
      <c r="F41" s="217"/>
      <c r="G41" s="217">
        <f t="shared" ref="G41:L41" si="66">SUM(G39:G40)</f>
        <v>282275.88</v>
      </c>
      <c r="H41" s="217">
        <f t="shared" si="66"/>
        <v>7056.8969999999999</v>
      </c>
      <c r="I41" s="217">
        <f t="shared" si="66"/>
        <v>80244.38</v>
      </c>
      <c r="J41" s="217">
        <f t="shared" si="66"/>
        <v>47045.98</v>
      </c>
      <c r="K41" s="217">
        <f t="shared" si="66"/>
        <v>329321.86</v>
      </c>
      <c r="L41" s="217">
        <f t="shared" si="66"/>
        <v>94091.96</v>
      </c>
      <c r="M41" s="218"/>
      <c r="N41" s="218">
        <f>SUM(N39:N40)</f>
        <v>150000</v>
      </c>
      <c r="O41" s="217">
        <f>SUM(O39:O40)</f>
        <v>9409.1959999999999</v>
      </c>
      <c r="P41" s="217">
        <f>SUM(P39:P40)</f>
        <v>30000</v>
      </c>
      <c r="Q41" s="217"/>
      <c r="R41" s="245">
        <f>SUM(R39:R40)</f>
        <v>1123538.1130000001</v>
      </c>
      <c r="S41" s="217"/>
      <c r="T41" s="217">
        <f>SUM(T39:T40)</f>
        <v>120000</v>
      </c>
      <c r="U41" s="217">
        <f t="shared" ref="U41:Z41" si="67">SUM(U39:U40)</f>
        <v>175000</v>
      </c>
      <c r="V41" s="217">
        <f t="shared" si="67"/>
        <v>0</v>
      </c>
      <c r="W41" s="217">
        <f t="shared" si="67"/>
        <v>177619.48904933335</v>
      </c>
      <c r="X41" s="217">
        <f t="shared" si="67"/>
        <v>472619.48904933338</v>
      </c>
      <c r="Y41" s="217">
        <v>650918.62395066663</v>
      </c>
      <c r="Z41" s="217">
        <f t="shared" si="67"/>
        <v>650918.62395066663</v>
      </c>
      <c r="AA41" s="214"/>
    </row>
    <row r="42" spans="1:27" ht="20.100000000000001" customHeight="1">
      <c r="A42" s="29"/>
      <c r="B42" s="191"/>
      <c r="C42" s="21"/>
      <c r="D42" s="29"/>
      <c r="E42" s="217"/>
      <c r="F42" s="217"/>
      <c r="G42" s="217"/>
      <c r="H42" s="217"/>
      <c r="I42" s="217"/>
      <c r="J42" s="217"/>
      <c r="K42" s="217"/>
      <c r="L42" s="217"/>
      <c r="M42" s="213"/>
      <c r="N42" s="213"/>
      <c r="O42" s="217"/>
      <c r="P42" s="217"/>
      <c r="Q42" s="217"/>
      <c r="R42" s="245"/>
      <c r="S42" s="217"/>
      <c r="T42" s="217"/>
      <c r="U42" s="217"/>
      <c r="V42" s="217"/>
      <c r="W42" s="217"/>
      <c r="X42" s="303"/>
      <c r="Y42" s="24"/>
      <c r="Z42" s="241"/>
      <c r="AA42" s="214"/>
    </row>
    <row r="43" spans="1:27" ht="20.100000000000001" customHeight="1">
      <c r="A43" s="29"/>
      <c r="B43" s="219" t="s">
        <v>56</v>
      </c>
      <c r="C43" s="204"/>
      <c r="D43" s="208"/>
      <c r="E43" s="217"/>
      <c r="F43" s="217"/>
      <c r="G43" s="217"/>
      <c r="H43" s="24"/>
      <c r="I43" s="24"/>
      <c r="J43" s="24"/>
      <c r="K43" s="24"/>
      <c r="L43" s="24"/>
      <c r="M43" s="213"/>
      <c r="N43" s="213"/>
      <c r="O43" s="24"/>
      <c r="P43" s="24"/>
      <c r="Q43" s="24"/>
      <c r="R43" s="238"/>
      <c r="S43" s="24"/>
      <c r="T43" s="24"/>
      <c r="U43" s="24"/>
      <c r="V43" s="24"/>
      <c r="W43" s="24"/>
      <c r="X43" s="303"/>
      <c r="Y43" s="24"/>
      <c r="Z43" s="241"/>
      <c r="AA43" s="214"/>
    </row>
    <row r="44" spans="1:27" ht="20.100000000000001" customHeight="1">
      <c r="A44" s="29">
        <v>1</v>
      </c>
      <c r="B44" s="189" t="s">
        <v>255</v>
      </c>
      <c r="C44" s="21" t="s">
        <v>256</v>
      </c>
      <c r="D44" s="29" t="s">
        <v>161</v>
      </c>
      <c r="E44" s="26">
        <v>81740.02</v>
      </c>
      <c r="F44" s="26"/>
      <c r="G44" s="26">
        <f>E44*300%</f>
        <v>245220.06</v>
      </c>
      <c r="H44" s="26">
        <f>E44*7.5%</f>
        <v>6130.5015000000003</v>
      </c>
      <c r="I44" s="26">
        <v>80244.38</v>
      </c>
      <c r="J44" s="26">
        <f>E44*50%</f>
        <v>40870.01</v>
      </c>
      <c r="K44" s="26">
        <f>E44*350%</f>
        <v>286090.07</v>
      </c>
      <c r="L44" s="26">
        <f t="shared" ref="L44:L53" si="68">E44*100%</f>
        <v>81740.02</v>
      </c>
      <c r="M44" s="213">
        <f>200000</f>
        <v>200000</v>
      </c>
      <c r="N44" s="213"/>
      <c r="O44" s="26">
        <f t="shared" ref="O44:O53" si="69">E44*10%</f>
        <v>8174.0020000000004</v>
      </c>
      <c r="P44" s="26">
        <v>20000</v>
      </c>
      <c r="Q44" s="26"/>
      <c r="R44" s="238">
        <f t="shared" ref="R44:R52" si="70">SUM(E44:Q44)</f>
        <v>1050209.0635000002</v>
      </c>
      <c r="S44" s="24"/>
      <c r="T44" s="24">
        <f>200000</f>
        <v>200000</v>
      </c>
      <c r="U44" s="24">
        <f>380000</f>
        <v>380000</v>
      </c>
      <c r="V44" s="24"/>
      <c r="W44" s="26">
        <v>180306.80685866671</v>
      </c>
      <c r="X44" s="303">
        <f t="shared" ref="X44:X52" si="71">W44+V44+U44+T44+S44</f>
        <v>760306.80685866671</v>
      </c>
      <c r="Y44" s="24">
        <v>289902.25664133346</v>
      </c>
      <c r="Z44" s="241">
        <f t="shared" ref="Z44:Z54" si="72">R44-X44</f>
        <v>289902.25664133346</v>
      </c>
      <c r="AA44" s="214"/>
    </row>
    <row r="45" spans="1:27" ht="20.100000000000001" customHeight="1">
      <c r="A45" s="29">
        <v>2</v>
      </c>
      <c r="B45" s="189" t="s">
        <v>158</v>
      </c>
      <c r="C45" s="21" t="s">
        <v>199</v>
      </c>
      <c r="D45" s="29" t="s">
        <v>75</v>
      </c>
      <c r="E45" s="26">
        <v>33507.5</v>
      </c>
      <c r="F45" s="26"/>
      <c r="G45" s="26">
        <f>E45*300%</f>
        <v>100522.5</v>
      </c>
      <c r="H45" s="26">
        <f>E45*7.5%</f>
        <v>2513.0625</v>
      </c>
      <c r="I45" s="26">
        <v>40122.19</v>
      </c>
      <c r="J45" s="26">
        <f>E45*50%</f>
        <v>16753.75</v>
      </c>
      <c r="K45" s="26">
        <f>E45*350%</f>
        <v>117276.25</v>
      </c>
      <c r="L45" s="26">
        <f>E45*100%</f>
        <v>33507.5</v>
      </c>
      <c r="M45" s="213">
        <f>160000</f>
        <v>160000</v>
      </c>
      <c r="N45" s="213"/>
      <c r="O45" s="26">
        <f>E45*10%</f>
        <v>3350.75</v>
      </c>
      <c r="P45" s="26">
        <v>20000</v>
      </c>
      <c r="Q45" s="26">
        <v>0</v>
      </c>
      <c r="R45" s="238">
        <f>SUM(E45:Q45)</f>
        <v>527553.50249999994</v>
      </c>
      <c r="S45" s="24"/>
      <c r="T45" s="24">
        <v>50000</v>
      </c>
      <c r="U45" s="24">
        <v>385000</v>
      </c>
      <c r="V45" s="24"/>
      <c r="W45" s="26">
        <v>79956.939146666657</v>
      </c>
      <c r="X45" s="303">
        <f t="shared" si="71"/>
        <v>514956.93914666667</v>
      </c>
      <c r="Y45" s="24">
        <v>12596.563353333273</v>
      </c>
      <c r="Z45" s="241">
        <f t="shared" si="72"/>
        <v>12596.563353333273</v>
      </c>
      <c r="AA45" s="214"/>
    </row>
    <row r="46" spans="1:27" ht="20.100000000000001" customHeight="1">
      <c r="A46" s="29">
        <v>3</v>
      </c>
      <c r="B46" s="189" t="s">
        <v>165</v>
      </c>
      <c r="C46" s="21" t="s">
        <v>258</v>
      </c>
      <c r="D46" s="29" t="s">
        <v>75</v>
      </c>
      <c r="E46" s="26">
        <v>33507.5</v>
      </c>
      <c r="F46" s="26"/>
      <c r="G46" s="26">
        <f>E46*300%</f>
        <v>100522.5</v>
      </c>
      <c r="H46" s="26">
        <f>E46*7.5%</f>
        <v>2513.0625</v>
      </c>
      <c r="I46" s="26">
        <v>40122.19</v>
      </c>
      <c r="J46" s="26">
        <f>E46*50%</f>
        <v>16753.75</v>
      </c>
      <c r="K46" s="26">
        <f>E46*350%</f>
        <v>117276.25</v>
      </c>
      <c r="L46" s="26">
        <f>E46*100%</f>
        <v>33507.5</v>
      </c>
      <c r="M46" s="213">
        <f>160000</f>
        <v>160000</v>
      </c>
      <c r="N46" s="213"/>
      <c r="O46" s="26">
        <f>E46*10%</f>
        <v>3350.75</v>
      </c>
      <c r="P46" s="26">
        <v>20000</v>
      </c>
      <c r="Q46" s="26"/>
      <c r="R46" s="238">
        <f>SUM(E46:Q46)</f>
        <v>527553.50249999994</v>
      </c>
      <c r="S46" s="24"/>
      <c r="T46" s="24">
        <f>80000+23000</f>
        <v>103000</v>
      </c>
      <c r="U46" s="24">
        <f>246905.96</f>
        <v>246905.96</v>
      </c>
      <c r="V46" s="24"/>
      <c r="W46" s="26">
        <v>79956.939146666657</v>
      </c>
      <c r="X46" s="303">
        <f t="shared" si="71"/>
        <v>429862.89914666663</v>
      </c>
      <c r="Y46" s="24">
        <v>97690.60335333331</v>
      </c>
      <c r="Z46" s="241">
        <f t="shared" si="72"/>
        <v>97690.60335333331</v>
      </c>
      <c r="AA46" s="214"/>
    </row>
    <row r="47" spans="1:27" ht="20.100000000000001" customHeight="1">
      <c r="A47" s="29">
        <v>4</v>
      </c>
      <c r="B47" s="189" t="s">
        <v>159</v>
      </c>
      <c r="C47" s="21" t="s">
        <v>258</v>
      </c>
      <c r="D47" s="29" t="s">
        <v>75</v>
      </c>
      <c r="E47" s="26">
        <v>33507.5</v>
      </c>
      <c r="F47" s="26"/>
      <c r="G47" s="26">
        <f>E47*300%</f>
        <v>100522.5</v>
      </c>
      <c r="H47" s="26">
        <f>E47*7.5%</f>
        <v>2513.0625</v>
      </c>
      <c r="I47" s="26">
        <v>40122.19</v>
      </c>
      <c r="J47" s="26">
        <f>E47*50%</f>
        <v>16753.75</v>
      </c>
      <c r="K47" s="26">
        <f>E47*350%</f>
        <v>117276.25</v>
      </c>
      <c r="L47" s="26">
        <f>E47*100%</f>
        <v>33507.5</v>
      </c>
      <c r="M47" s="213">
        <f>160000</f>
        <v>160000</v>
      </c>
      <c r="N47" s="213"/>
      <c r="O47" s="26">
        <f>E47*10%</f>
        <v>3350.75</v>
      </c>
      <c r="P47" s="26">
        <v>20000</v>
      </c>
      <c r="Q47" s="26"/>
      <c r="R47" s="238">
        <f>SUM(E47:Q47)</f>
        <v>527553.50249999994</v>
      </c>
      <c r="S47" s="24"/>
      <c r="T47" s="24">
        <f>30000</f>
        <v>30000</v>
      </c>
      <c r="U47" s="24">
        <f>176288.88</f>
        <v>176288.88</v>
      </c>
      <c r="V47" s="24"/>
      <c r="W47" s="26">
        <v>79956.939146666657</v>
      </c>
      <c r="X47" s="303">
        <f t="shared" si="71"/>
        <v>286245.81914666668</v>
      </c>
      <c r="Y47" s="24">
        <v>241307.68335333327</v>
      </c>
      <c r="Z47" s="241">
        <f t="shared" si="72"/>
        <v>241307.68335333327</v>
      </c>
      <c r="AA47" s="214"/>
    </row>
    <row r="48" spans="1:27" ht="20.100000000000001" customHeight="1">
      <c r="A48" s="29">
        <v>5</v>
      </c>
      <c r="B48" s="189" t="s">
        <v>118</v>
      </c>
      <c r="C48" s="21" t="s">
        <v>258</v>
      </c>
      <c r="D48" s="29" t="s">
        <v>148</v>
      </c>
      <c r="E48" s="26">
        <v>32263.200000000001</v>
      </c>
      <c r="F48" s="26"/>
      <c r="G48" s="26">
        <f t="shared" ref="G48:G53" si="73">E48*300%</f>
        <v>96789.6</v>
      </c>
      <c r="H48" s="26">
        <f t="shared" ref="H48:H53" si="74">E48*7.5%</f>
        <v>2419.7399999999998</v>
      </c>
      <c r="I48" s="26">
        <f>40122.19</f>
        <v>40122.19</v>
      </c>
      <c r="J48" s="26">
        <f t="shared" ref="J48:J53" si="75">E48*50%</f>
        <v>16131.6</v>
      </c>
      <c r="K48" s="26">
        <f t="shared" ref="K48:K53" si="76">E48*350%</f>
        <v>112921.2</v>
      </c>
      <c r="L48" s="26">
        <f t="shared" si="68"/>
        <v>32263.200000000001</v>
      </c>
      <c r="M48" s="213">
        <f>140000+20000</f>
        <v>160000</v>
      </c>
      <c r="N48" s="213"/>
      <c r="O48" s="26">
        <f t="shared" si="69"/>
        <v>3226.32</v>
      </c>
      <c r="P48" s="26">
        <v>20000</v>
      </c>
      <c r="Q48" s="26">
        <v>0</v>
      </c>
      <c r="R48" s="238">
        <f t="shared" si="70"/>
        <v>516137.05000000005</v>
      </c>
      <c r="S48" s="24"/>
      <c r="T48" s="24"/>
      <c r="U48" s="24"/>
      <c r="V48" s="24">
        <v>806.58</v>
      </c>
      <c r="W48" s="26">
        <f>77764.98</f>
        <v>77764.98</v>
      </c>
      <c r="X48" s="303">
        <f t="shared" si="71"/>
        <v>78571.56</v>
      </c>
      <c r="Y48" s="24">
        <v>437565.49000000005</v>
      </c>
      <c r="Z48" s="241">
        <f t="shared" si="72"/>
        <v>437565.49000000005</v>
      </c>
      <c r="AA48" s="214"/>
    </row>
    <row r="49" spans="1:27" ht="20.100000000000001" customHeight="1">
      <c r="A49" s="29">
        <v>6</v>
      </c>
      <c r="B49" s="189" t="s">
        <v>205</v>
      </c>
      <c r="C49" s="21" t="s">
        <v>78</v>
      </c>
      <c r="D49" s="29" t="s">
        <v>181</v>
      </c>
      <c r="E49" s="26">
        <v>27611.23</v>
      </c>
      <c r="F49" s="26"/>
      <c r="G49" s="26">
        <f t="shared" si="73"/>
        <v>82833.69</v>
      </c>
      <c r="H49" s="26">
        <f t="shared" si="74"/>
        <v>2070.8422499999997</v>
      </c>
      <c r="I49" s="26"/>
      <c r="J49" s="26">
        <f t="shared" si="75"/>
        <v>13805.615</v>
      </c>
      <c r="K49" s="26">
        <f t="shared" si="76"/>
        <v>96639.304999999993</v>
      </c>
      <c r="L49" s="26">
        <f t="shared" si="68"/>
        <v>27611.23</v>
      </c>
      <c r="M49" s="213">
        <f t="shared" ref="M49" si="77">140000</f>
        <v>140000</v>
      </c>
      <c r="N49" s="213"/>
      <c r="O49" s="26">
        <f t="shared" si="69"/>
        <v>2761.123</v>
      </c>
      <c r="P49" s="26">
        <v>20000</v>
      </c>
      <c r="Q49" s="26"/>
      <c r="R49" s="238">
        <f t="shared" si="70"/>
        <v>413333.03525000007</v>
      </c>
      <c r="S49" s="24"/>
      <c r="T49" s="24">
        <f>15000</f>
        <v>15000</v>
      </c>
      <c r="U49" s="24">
        <f>216666.67</f>
        <v>216666.67</v>
      </c>
      <c r="V49" s="24"/>
      <c r="W49" s="26">
        <v>57889.864794666668</v>
      </c>
      <c r="X49" s="303">
        <f t="shared" si="71"/>
        <v>289556.53479466669</v>
      </c>
      <c r="Y49" s="24">
        <v>123776.50045533339</v>
      </c>
      <c r="Z49" s="241">
        <f t="shared" si="72"/>
        <v>123776.50045533339</v>
      </c>
      <c r="AA49" s="214"/>
    </row>
    <row r="50" spans="1:27" ht="20.100000000000001" customHeight="1">
      <c r="A50" s="29">
        <v>7</v>
      </c>
      <c r="B50" s="191" t="s">
        <v>173</v>
      </c>
      <c r="C50" s="21" t="s">
        <v>297</v>
      </c>
      <c r="D50" s="25" t="s">
        <v>181</v>
      </c>
      <c r="E50" s="26">
        <v>27611.23</v>
      </c>
      <c r="F50" s="26"/>
      <c r="G50" s="26">
        <f>E50*300%</f>
        <v>82833.69</v>
      </c>
      <c r="H50" s="26">
        <f>E50*7.5%</f>
        <v>2070.8422499999997</v>
      </c>
      <c r="I50" s="26"/>
      <c r="J50" s="26">
        <f>E50*50%</f>
        <v>13805.615</v>
      </c>
      <c r="K50" s="26">
        <f>E50*350%</f>
        <v>96639.304999999993</v>
      </c>
      <c r="L50" s="26">
        <f>E50*100%</f>
        <v>27611.23</v>
      </c>
      <c r="M50" s="213">
        <f>140000</f>
        <v>140000</v>
      </c>
      <c r="N50" s="213"/>
      <c r="O50" s="26">
        <f>E50*10%</f>
        <v>2761.123</v>
      </c>
      <c r="P50" s="26">
        <v>20000</v>
      </c>
      <c r="Q50" s="26"/>
      <c r="R50" s="238">
        <f>SUM(E50:Q50)</f>
        <v>413333.03525000007</v>
      </c>
      <c r="S50" s="24"/>
      <c r="T50" s="24"/>
      <c r="U50" s="24"/>
      <c r="V50" s="24">
        <v>0</v>
      </c>
      <c r="W50" s="24">
        <v>58026.609434666672</v>
      </c>
      <c r="X50" s="303">
        <f t="shared" si="71"/>
        <v>58026.609434666672</v>
      </c>
      <c r="Y50" s="24">
        <v>355306.42581533338</v>
      </c>
      <c r="Z50" s="241">
        <f t="shared" si="72"/>
        <v>355306.42581533338</v>
      </c>
      <c r="AA50" s="214"/>
    </row>
    <row r="51" spans="1:27" ht="20.100000000000001" customHeight="1">
      <c r="A51" s="29">
        <v>8</v>
      </c>
      <c r="B51" s="189" t="s">
        <v>116</v>
      </c>
      <c r="C51" s="21" t="s">
        <v>297</v>
      </c>
      <c r="D51" s="29" t="s">
        <v>162</v>
      </c>
      <c r="E51" s="26">
        <v>26732.65</v>
      </c>
      <c r="F51" s="26"/>
      <c r="G51" s="26">
        <f t="shared" si="73"/>
        <v>80197.950000000012</v>
      </c>
      <c r="H51" s="26">
        <f t="shared" si="74"/>
        <v>2004.94875</v>
      </c>
      <c r="I51" s="26">
        <v>0</v>
      </c>
      <c r="J51" s="26">
        <f t="shared" si="75"/>
        <v>13366.325000000001</v>
      </c>
      <c r="K51" s="26">
        <f t="shared" si="76"/>
        <v>93564.275000000009</v>
      </c>
      <c r="L51" s="26">
        <f t="shared" si="68"/>
        <v>26732.65</v>
      </c>
      <c r="M51" s="213">
        <f>120000+20000</f>
        <v>140000</v>
      </c>
      <c r="N51" s="213"/>
      <c r="O51" s="26">
        <f t="shared" si="69"/>
        <v>2673.2650000000003</v>
      </c>
      <c r="P51" s="26">
        <v>15000</v>
      </c>
      <c r="Q51" s="26">
        <v>0</v>
      </c>
      <c r="R51" s="238">
        <f t="shared" si="70"/>
        <v>400272.06374999997</v>
      </c>
      <c r="S51" s="24"/>
      <c r="T51" s="24"/>
      <c r="U51" s="24"/>
      <c r="V51" s="24"/>
      <c r="W51" s="26">
        <v>55518.902906666663</v>
      </c>
      <c r="X51" s="303">
        <f t="shared" si="71"/>
        <v>55518.902906666663</v>
      </c>
      <c r="Y51" s="24">
        <v>344753.16084333329</v>
      </c>
      <c r="Z51" s="241">
        <f t="shared" si="72"/>
        <v>344753.16084333329</v>
      </c>
      <c r="AA51" s="214"/>
    </row>
    <row r="52" spans="1:27" ht="20.100000000000001" customHeight="1">
      <c r="A52" s="29">
        <v>9</v>
      </c>
      <c r="B52" s="189" t="s">
        <v>184</v>
      </c>
      <c r="C52" s="21" t="s">
        <v>80</v>
      </c>
      <c r="D52" s="29" t="s">
        <v>170</v>
      </c>
      <c r="E52" s="26">
        <v>25523.45</v>
      </c>
      <c r="F52" s="26"/>
      <c r="G52" s="26">
        <f t="shared" si="73"/>
        <v>76570.350000000006</v>
      </c>
      <c r="H52" s="26">
        <f t="shared" si="74"/>
        <v>1914.25875</v>
      </c>
      <c r="I52" s="26"/>
      <c r="J52" s="26">
        <f t="shared" si="75"/>
        <v>12761.725</v>
      </c>
      <c r="K52" s="26">
        <f t="shared" si="76"/>
        <v>89332.074999999997</v>
      </c>
      <c r="L52" s="26">
        <f t="shared" si="68"/>
        <v>25523.45</v>
      </c>
      <c r="M52" s="213">
        <f t="shared" ref="M52" si="78">120000</f>
        <v>120000</v>
      </c>
      <c r="N52" s="213"/>
      <c r="O52" s="26">
        <f t="shared" si="69"/>
        <v>2552.3450000000003</v>
      </c>
      <c r="P52" s="26">
        <v>15000</v>
      </c>
      <c r="Q52" s="26"/>
      <c r="R52" s="238">
        <f t="shared" si="70"/>
        <v>369177.65375</v>
      </c>
      <c r="S52" s="24"/>
      <c r="T52" s="24">
        <f>10000+10000</f>
        <v>20000</v>
      </c>
      <c r="U52" s="24"/>
      <c r="V52" s="24">
        <v>638.08625000000006</v>
      </c>
      <c r="W52" s="26">
        <v>49548.776186666662</v>
      </c>
      <c r="X52" s="303">
        <f t="shared" si="71"/>
        <v>70186.862436666663</v>
      </c>
      <c r="Y52" s="24">
        <v>298990.79131333332</v>
      </c>
      <c r="Z52" s="241">
        <f t="shared" si="72"/>
        <v>298990.79131333332</v>
      </c>
      <c r="AA52" s="214"/>
    </row>
    <row r="53" spans="1:27" ht="20.100000000000001" customHeight="1">
      <c r="A53" s="29">
        <v>10</v>
      </c>
      <c r="B53" s="189" t="s">
        <v>420</v>
      </c>
      <c r="C53" s="21" t="s">
        <v>84</v>
      </c>
      <c r="D53" s="29" t="s">
        <v>428</v>
      </c>
      <c r="E53" s="26">
        <f>14736.14</f>
        <v>14736.14</v>
      </c>
      <c r="F53" s="26"/>
      <c r="G53" s="26">
        <f t="shared" si="73"/>
        <v>44208.42</v>
      </c>
      <c r="H53" s="26">
        <f t="shared" si="74"/>
        <v>1105.2104999999999</v>
      </c>
      <c r="I53" s="26"/>
      <c r="J53" s="26">
        <f t="shared" si="75"/>
        <v>7368.07</v>
      </c>
      <c r="K53" s="26">
        <f t="shared" si="76"/>
        <v>51576.49</v>
      </c>
      <c r="L53" s="26">
        <f t="shared" si="68"/>
        <v>14736.14</v>
      </c>
      <c r="M53" s="213">
        <f>100000</f>
        <v>100000</v>
      </c>
      <c r="N53" s="213"/>
      <c r="O53" s="26">
        <f t="shared" si="69"/>
        <v>1473.614</v>
      </c>
      <c r="P53" s="26">
        <v>10000</v>
      </c>
      <c r="Q53" s="26"/>
      <c r="R53" s="238">
        <f>SUM(E53:Q53)</f>
        <v>245204.0845</v>
      </c>
      <c r="S53" s="24"/>
      <c r="T53" s="24"/>
      <c r="U53" s="24"/>
      <c r="V53" s="24"/>
      <c r="W53" s="26">
        <v>28360.952862666662</v>
      </c>
      <c r="X53" s="303">
        <f>W53+V53+U53+T53</f>
        <v>28360.952862666662</v>
      </c>
      <c r="Y53" s="24">
        <v>216843.13163733334</v>
      </c>
      <c r="Z53" s="241">
        <f t="shared" si="72"/>
        <v>216843.13163733334</v>
      </c>
      <c r="AA53" s="214"/>
    </row>
    <row r="54" spans="1:27" ht="20.100000000000001" customHeight="1">
      <c r="A54" s="29">
        <v>11</v>
      </c>
      <c r="B54" s="189" t="s">
        <v>437</v>
      </c>
      <c r="C54" s="21" t="s">
        <v>84</v>
      </c>
      <c r="D54" s="29" t="s">
        <v>428</v>
      </c>
      <c r="E54" s="26">
        <f>14736.14</f>
        <v>14736.14</v>
      </c>
      <c r="F54" s="26"/>
      <c r="G54" s="26">
        <f t="shared" ref="G54" si="79">E54*300%</f>
        <v>44208.42</v>
      </c>
      <c r="H54" s="26">
        <f t="shared" ref="H54" si="80">E54*7.5%</f>
        <v>1105.2104999999999</v>
      </c>
      <c r="I54" s="26"/>
      <c r="J54" s="26">
        <f t="shared" ref="J54" si="81">E54*50%</f>
        <v>7368.07</v>
      </c>
      <c r="K54" s="26">
        <f t="shared" ref="K54" si="82">E54*350%</f>
        <v>51576.49</v>
      </c>
      <c r="L54" s="26">
        <f t="shared" ref="L54" si="83">E54*100%</f>
        <v>14736.14</v>
      </c>
      <c r="M54" s="213">
        <f>100000</f>
        <v>100000</v>
      </c>
      <c r="N54" s="213"/>
      <c r="O54" s="26">
        <f t="shared" ref="O54" si="84">E54*10%</f>
        <v>1473.614</v>
      </c>
      <c r="P54" s="26">
        <v>10000</v>
      </c>
      <c r="Q54" s="26"/>
      <c r="R54" s="238">
        <f>SUM(E54:Q54)</f>
        <v>245204.0845</v>
      </c>
      <c r="S54" s="24"/>
      <c r="T54" s="24"/>
      <c r="U54" s="24"/>
      <c r="V54" s="24"/>
      <c r="W54" s="26">
        <v>28360.952862666662</v>
      </c>
      <c r="X54" s="303">
        <f>W54+V54+U54+T54</f>
        <v>28360.952862666662</v>
      </c>
      <c r="Y54" s="24">
        <v>216843.13163733334</v>
      </c>
      <c r="Z54" s="241">
        <f t="shared" si="72"/>
        <v>216843.13163733334</v>
      </c>
      <c r="AA54" s="214"/>
    </row>
    <row r="55" spans="1:27" ht="20.100000000000001" customHeight="1">
      <c r="A55" s="29">
        <v>12</v>
      </c>
      <c r="B55" s="189" t="s">
        <v>454</v>
      </c>
      <c r="C55" s="21" t="s">
        <v>84</v>
      </c>
      <c r="D55" s="29" t="s">
        <v>428</v>
      </c>
      <c r="E55" s="26">
        <f>14736.14</f>
        <v>14736.14</v>
      </c>
      <c r="F55" s="26"/>
      <c r="G55" s="26">
        <f t="shared" ref="G55" si="85">E55*300%</f>
        <v>44208.42</v>
      </c>
      <c r="H55" s="26">
        <f t="shared" ref="H55" si="86">E55*7.5%</f>
        <v>1105.2104999999999</v>
      </c>
      <c r="I55" s="26"/>
      <c r="J55" s="26">
        <f t="shared" ref="J55" si="87">E55*50%</f>
        <v>7368.07</v>
      </c>
      <c r="K55" s="26">
        <f t="shared" ref="K55" si="88">E55*350%</f>
        <v>51576.49</v>
      </c>
      <c r="L55" s="26">
        <f t="shared" ref="L55" si="89">E55*100%</f>
        <v>14736.14</v>
      </c>
      <c r="M55" s="213">
        <f>100000</f>
        <v>100000</v>
      </c>
      <c r="N55" s="213"/>
      <c r="O55" s="26">
        <f t="shared" ref="O55" si="90">E55*10%</f>
        <v>1473.614</v>
      </c>
      <c r="P55" s="26">
        <v>10001</v>
      </c>
      <c r="Q55" s="26"/>
      <c r="R55" s="238">
        <f>SUM(E55:Q55)</f>
        <v>245205.0845</v>
      </c>
      <c r="S55" s="24"/>
      <c r="T55" s="24"/>
      <c r="U55" s="24"/>
      <c r="V55" s="24"/>
      <c r="W55" s="26">
        <v>28360.952862666662</v>
      </c>
      <c r="X55" s="303">
        <f>W55+V55+U55+T55</f>
        <v>28360.952862666662</v>
      </c>
      <c r="Y55" s="24">
        <v>216844.13163733334</v>
      </c>
      <c r="Z55" s="241">
        <f t="shared" ref="Z55" si="91">R55-X55</f>
        <v>216844.13163733334</v>
      </c>
      <c r="AA55" s="214"/>
    </row>
    <row r="56" spans="1:27" ht="25.5" customHeight="1">
      <c r="A56" s="29"/>
      <c r="B56" s="192" t="s">
        <v>15</v>
      </c>
      <c r="C56" s="30">
        <v>12</v>
      </c>
      <c r="D56" s="30"/>
      <c r="E56" s="78">
        <f>SUM(E44:E55)</f>
        <v>366212.70000000013</v>
      </c>
      <c r="F56" s="78">
        <f t="shared" ref="F56:S56" si="92">SUM(F44:F55)</f>
        <v>0</v>
      </c>
      <c r="G56" s="78">
        <f t="shared" si="92"/>
        <v>1098638.0999999999</v>
      </c>
      <c r="H56" s="78">
        <f t="shared" si="92"/>
        <v>27465.952500000003</v>
      </c>
      <c r="I56" s="78">
        <f t="shared" si="92"/>
        <v>240733.14</v>
      </c>
      <c r="J56" s="78">
        <f t="shared" si="92"/>
        <v>183106.35000000006</v>
      </c>
      <c r="K56" s="78">
        <f t="shared" si="92"/>
        <v>1281744.45</v>
      </c>
      <c r="L56" s="78">
        <f t="shared" si="92"/>
        <v>366212.70000000013</v>
      </c>
      <c r="M56" s="78">
        <f t="shared" si="92"/>
        <v>1680000</v>
      </c>
      <c r="N56" s="78">
        <f t="shared" si="92"/>
        <v>0</v>
      </c>
      <c r="O56" s="78">
        <f t="shared" si="92"/>
        <v>36621.270000000004</v>
      </c>
      <c r="P56" s="78">
        <f t="shared" si="92"/>
        <v>200001</v>
      </c>
      <c r="Q56" s="78">
        <f t="shared" si="92"/>
        <v>0</v>
      </c>
      <c r="R56" s="246">
        <f t="shared" si="92"/>
        <v>5480735.6624999996</v>
      </c>
      <c r="S56" s="78">
        <f t="shared" si="92"/>
        <v>0</v>
      </c>
      <c r="T56" s="78">
        <f>SUM(T44:T55)</f>
        <v>418000</v>
      </c>
      <c r="U56" s="78">
        <f t="shared" ref="U56:Z56" si="93">SUM(U44:U55)</f>
        <v>1404861.5099999998</v>
      </c>
      <c r="V56" s="78">
        <f t="shared" si="93"/>
        <v>1444.6662500000002</v>
      </c>
      <c r="W56" s="78">
        <f t="shared" si="93"/>
        <v>804009.61620933341</v>
      </c>
      <c r="X56" s="78">
        <f t="shared" si="93"/>
        <v>2628315.7924593328</v>
      </c>
      <c r="Y56" s="78">
        <v>2852419.8700406668</v>
      </c>
      <c r="Z56" s="78">
        <f t="shared" si="93"/>
        <v>2852419.8700406668</v>
      </c>
      <c r="AA56" s="214"/>
    </row>
    <row r="57" spans="1:27" ht="20.100000000000001" customHeight="1">
      <c r="A57" s="29"/>
      <c r="B57" s="142"/>
      <c r="C57" s="30"/>
      <c r="D57" s="30"/>
      <c r="E57" s="31"/>
      <c r="F57" s="31"/>
      <c r="G57" s="31"/>
      <c r="H57" s="31"/>
      <c r="I57" s="31"/>
      <c r="J57" s="31"/>
      <c r="K57" s="31"/>
      <c r="L57" s="31"/>
      <c r="M57" s="213"/>
      <c r="N57" s="213"/>
      <c r="O57" s="31"/>
      <c r="P57" s="31"/>
      <c r="Q57" s="31"/>
      <c r="R57" s="247"/>
      <c r="S57" s="31"/>
      <c r="T57" s="31"/>
      <c r="U57" s="31"/>
      <c r="V57" s="31"/>
      <c r="W57" s="31"/>
      <c r="X57" s="306"/>
      <c r="Y57" s="31"/>
      <c r="Z57" s="255"/>
      <c r="AA57" s="214"/>
    </row>
    <row r="58" spans="1:27" ht="20.100000000000001" customHeight="1">
      <c r="A58" s="29"/>
      <c r="B58" s="192" t="s">
        <v>195</v>
      </c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13"/>
      <c r="N58" s="213"/>
      <c r="O58" s="31"/>
      <c r="P58" s="31"/>
      <c r="Q58" s="31"/>
      <c r="R58" s="247"/>
      <c r="S58" s="31"/>
      <c r="T58" s="31"/>
      <c r="U58" s="31"/>
      <c r="V58" s="31"/>
      <c r="W58" s="31"/>
      <c r="X58" s="306"/>
      <c r="Y58" s="31"/>
      <c r="Z58" s="255"/>
      <c r="AA58" s="214"/>
    </row>
    <row r="59" spans="1:27" ht="20.100000000000001" customHeight="1">
      <c r="A59" s="29">
        <v>1</v>
      </c>
      <c r="B59" s="189" t="s">
        <v>11</v>
      </c>
      <c r="C59" s="194" t="s">
        <v>200</v>
      </c>
      <c r="D59" s="215" t="s">
        <v>161</v>
      </c>
      <c r="E59" s="26">
        <v>81740.02</v>
      </c>
      <c r="F59" s="26"/>
      <c r="G59" s="26">
        <f>E59*300%</f>
        <v>245220.06</v>
      </c>
      <c r="H59" s="26">
        <f>E59*7.5%</f>
        <v>6130.5015000000003</v>
      </c>
      <c r="I59" s="26">
        <v>80244.38</v>
      </c>
      <c r="J59" s="26">
        <f>E59*50%</f>
        <v>40870.01</v>
      </c>
      <c r="K59" s="26">
        <f>E59*350%</f>
        <v>286090.07</v>
      </c>
      <c r="L59" s="26">
        <f>E59*100%</f>
        <v>81740.02</v>
      </c>
      <c r="M59" s="213">
        <f>200000</f>
        <v>200000</v>
      </c>
      <c r="N59" s="213"/>
      <c r="O59" s="26">
        <f>E59*10%</f>
        <v>8174.0020000000004</v>
      </c>
      <c r="P59" s="26">
        <v>20000</v>
      </c>
      <c r="Q59" s="26">
        <v>0</v>
      </c>
      <c r="R59" s="238">
        <f>SUM(E59:Q59)</f>
        <v>1050209.0635000002</v>
      </c>
      <c r="S59" s="24"/>
      <c r="T59" s="24">
        <v>120000</v>
      </c>
      <c r="U59" s="24"/>
      <c r="V59" s="24">
        <v>0</v>
      </c>
      <c r="W59" s="26">
        <v>180306.80685866671</v>
      </c>
      <c r="X59" s="303">
        <f>W59+V59+U59+T59+S59</f>
        <v>300306.80685866671</v>
      </c>
      <c r="Y59" s="24">
        <v>749902.25664133346</v>
      </c>
      <c r="Z59" s="241">
        <f>R59-X59</f>
        <v>749902.25664133346</v>
      </c>
      <c r="AA59" s="214"/>
    </row>
    <row r="60" spans="1:27" ht="20.100000000000001" customHeight="1">
      <c r="A60" s="29">
        <v>2</v>
      </c>
      <c r="B60" s="189" t="s">
        <v>276</v>
      </c>
      <c r="C60" s="293" t="s">
        <v>340</v>
      </c>
      <c r="D60" s="215" t="s">
        <v>412</v>
      </c>
      <c r="E60" s="26">
        <v>32263.200000000001</v>
      </c>
      <c r="F60" s="26"/>
      <c r="G60" s="26">
        <v>96789.6</v>
      </c>
      <c r="H60" s="26">
        <v>2419.7399999999998</v>
      </c>
      <c r="I60" s="26">
        <v>40122.19</v>
      </c>
      <c r="J60" s="26">
        <v>16131.6</v>
      </c>
      <c r="K60" s="26">
        <v>112921.2</v>
      </c>
      <c r="L60" s="26">
        <v>32263.200000000001</v>
      </c>
      <c r="M60" s="213"/>
      <c r="N60" s="213">
        <v>80000</v>
      </c>
      <c r="O60" s="26">
        <v>3226.32</v>
      </c>
      <c r="P60" s="26">
        <v>20000</v>
      </c>
      <c r="Q60" s="26">
        <v>0</v>
      </c>
      <c r="R60" s="238">
        <v>436137.05000000005</v>
      </c>
      <c r="S60" s="24"/>
      <c r="T60" s="24">
        <v>50000</v>
      </c>
      <c r="U60" s="24">
        <v>145000</v>
      </c>
      <c r="V60" s="24">
        <v>0</v>
      </c>
      <c r="W60" s="26">
        <v>62404.98</v>
      </c>
      <c r="X60" s="303">
        <v>257404.98</v>
      </c>
      <c r="Y60" s="24">
        <v>178732.07000000004</v>
      </c>
      <c r="Z60" s="241">
        <v>178732.07000000004</v>
      </c>
      <c r="AA60" s="214"/>
    </row>
    <row r="61" spans="1:27" ht="20.100000000000001" customHeight="1">
      <c r="A61" s="29"/>
      <c r="B61" s="192" t="s">
        <v>15</v>
      </c>
      <c r="C61" s="30">
        <v>2</v>
      </c>
      <c r="D61" s="30"/>
      <c r="E61" s="78">
        <f>SUM(E59:E60)</f>
        <v>114003.22</v>
      </c>
      <c r="F61" s="78"/>
      <c r="G61" s="78">
        <f>SUM(G59:G60)</f>
        <v>342009.66000000003</v>
      </c>
      <c r="H61" s="78">
        <f t="shared" ref="H61:Z61" si="94">SUM(H59:H60)</f>
        <v>8550.2415000000001</v>
      </c>
      <c r="I61" s="78">
        <f t="shared" si="94"/>
        <v>120366.57</v>
      </c>
      <c r="J61" s="78">
        <f t="shared" si="94"/>
        <v>57001.61</v>
      </c>
      <c r="K61" s="78">
        <f t="shared" si="94"/>
        <v>399011.27</v>
      </c>
      <c r="L61" s="78">
        <f t="shared" si="94"/>
        <v>114003.22</v>
      </c>
      <c r="M61" s="78">
        <f t="shared" si="94"/>
        <v>200000</v>
      </c>
      <c r="N61" s="78">
        <f t="shared" si="94"/>
        <v>80000</v>
      </c>
      <c r="O61" s="78">
        <f t="shared" si="94"/>
        <v>11400.322</v>
      </c>
      <c r="P61" s="78">
        <f t="shared" si="94"/>
        <v>40000</v>
      </c>
      <c r="Q61" s="78">
        <f t="shared" si="94"/>
        <v>0</v>
      </c>
      <c r="R61" s="78">
        <f t="shared" si="94"/>
        <v>1486346.1135000002</v>
      </c>
      <c r="S61" s="78">
        <f t="shared" si="94"/>
        <v>0</v>
      </c>
      <c r="T61" s="78">
        <f t="shared" si="94"/>
        <v>170000</v>
      </c>
      <c r="U61" s="78">
        <f t="shared" si="94"/>
        <v>145000</v>
      </c>
      <c r="V61" s="78">
        <f t="shared" si="94"/>
        <v>0</v>
      </c>
      <c r="W61" s="78">
        <f t="shared" si="94"/>
        <v>242711.78685866672</v>
      </c>
      <c r="X61" s="78">
        <f t="shared" si="94"/>
        <v>557711.78685866669</v>
      </c>
      <c r="Y61" s="78">
        <v>928634.32664133352</v>
      </c>
      <c r="Z61" s="78">
        <f t="shared" si="94"/>
        <v>928634.32664133352</v>
      </c>
      <c r="AA61" s="214"/>
    </row>
    <row r="62" spans="1:27" ht="20.100000000000001" customHeight="1">
      <c r="A62" s="29"/>
      <c r="B62" s="192"/>
      <c r="C62" s="30"/>
      <c r="D62" s="30"/>
      <c r="E62" s="31"/>
      <c r="F62" s="31"/>
      <c r="G62" s="31"/>
      <c r="H62" s="31"/>
      <c r="I62" s="31"/>
      <c r="J62" s="31"/>
      <c r="K62" s="31"/>
      <c r="L62" s="31"/>
      <c r="M62" s="213"/>
      <c r="N62" s="213"/>
      <c r="O62" s="31"/>
      <c r="P62" s="31"/>
      <c r="Q62" s="31"/>
      <c r="R62" s="247"/>
      <c r="S62" s="31"/>
      <c r="T62" s="31"/>
      <c r="U62" s="31"/>
      <c r="V62" s="31"/>
      <c r="W62" s="31"/>
      <c r="X62" s="306"/>
      <c r="Y62" s="31"/>
      <c r="Z62" s="255"/>
      <c r="AA62" s="214"/>
    </row>
    <row r="63" spans="1:27" ht="20.100000000000001" customHeight="1">
      <c r="A63" s="29"/>
      <c r="B63" s="192" t="s">
        <v>463</v>
      </c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13"/>
      <c r="N63" s="213"/>
      <c r="O63" s="31"/>
      <c r="P63" s="31"/>
      <c r="Q63" s="31"/>
      <c r="R63" s="247"/>
      <c r="S63" s="31"/>
      <c r="T63" s="31"/>
      <c r="U63" s="31"/>
      <c r="V63" s="31"/>
      <c r="W63" s="31"/>
      <c r="X63" s="306"/>
      <c r="Y63" s="31"/>
      <c r="Z63" s="255"/>
      <c r="AA63" s="214"/>
    </row>
    <row r="64" spans="1:27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v>81740.02</v>
      </c>
      <c r="F64" s="26"/>
      <c r="G64" s="26">
        <f t="shared" ref="G64:G73" si="95">E64*300%</f>
        <v>245220.06</v>
      </c>
      <c r="H64" s="26">
        <f t="shared" ref="H64:H73" si="96">E64*7.5%</f>
        <v>6130.5015000000003</v>
      </c>
      <c r="I64" s="26">
        <f>80244.38</f>
        <v>80244.38</v>
      </c>
      <c r="J64" s="26">
        <f t="shared" ref="J64:J73" si="97">E64*50%</f>
        <v>40870.01</v>
      </c>
      <c r="K64" s="26">
        <f t="shared" ref="K64:K73" si="98">E64*350%</f>
        <v>286090.07</v>
      </c>
      <c r="L64" s="26">
        <f t="shared" ref="L64:L73" si="99">E64*100%</f>
        <v>81740.02</v>
      </c>
      <c r="M64" s="213">
        <f>200000</f>
        <v>200000</v>
      </c>
      <c r="N64" s="213"/>
      <c r="O64" s="26">
        <f t="shared" ref="O64:O73" si="100">E64*10%</f>
        <v>8174.0020000000004</v>
      </c>
      <c r="P64" s="26">
        <v>20000</v>
      </c>
      <c r="Q64" s="26">
        <v>0</v>
      </c>
      <c r="R64" s="239">
        <f t="shared" ref="R64:R73" si="101">SUM(E64:Q64)</f>
        <v>1050209.0635000002</v>
      </c>
      <c r="S64" s="26"/>
      <c r="T64" s="26">
        <f>100000+100000</f>
        <v>200000</v>
      </c>
      <c r="U64" s="26"/>
      <c r="V64" s="26"/>
      <c r="W64" s="26">
        <v>180306.80685866671</v>
      </c>
      <c r="X64" s="307">
        <f t="shared" ref="X64:X76" si="102">W64+V64+U64+T64+S64</f>
        <v>380306.80685866671</v>
      </c>
      <c r="Y64" s="26">
        <v>669902.25664133346</v>
      </c>
      <c r="Z64" s="242">
        <f t="shared" ref="Z64:Z76" si="103">R64-X64</f>
        <v>669902.25664133346</v>
      </c>
      <c r="AA64" s="214"/>
    </row>
    <row r="65" spans="1:27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38">
        <v>31018.84</v>
      </c>
      <c r="F65" s="26"/>
      <c r="G65" s="26">
        <f t="shared" si="95"/>
        <v>93056.52</v>
      </c>
      <c r="H65" s="26">
        <f t="shared" si="96"/>
        <v>2326.413</v>
      </c>
      <c r="I65" s="26">
        <v>40122.19</v>
      </c>
      <c r="J65" s="26">
        <f t="shared" si="97"/>
        <v>15509.42</v>
      </c>
      <c r="K65" s="26">
        <f t="shared" si="98"/>
        <v>108565.94</v>
      </c>
      <c r="L65" s="26">
        <f t="shared" si="99"/>
        <v>31018.84</v>
      </c>
      <c r="M65" s="213">
        <f>160000</f>
        <v>160000</v>
      </c>
      <c r="N65" s="213"/>
      <c r="O65" s="26">
        <f t="shared" si="100"/>
        <v>3101.884</v>
      </c>
      <c r="P65" s="26">
        <v>20000</v>
      </c>
      <c r="Q65" s="216">
        <v>0</v>
      </c>
      <c r="R65" s="239">
        <f t="shared" si="101"/>
        <v>504720.04700000002</v>
      </c>
      <c r="S65" s="24"/>
      <c r="T65" s="24">
        <f>100000</f>
        <v>100000</v>
      </c>
      <c r="U65" s="24">
        <f>131250</f>
        <v>131250</v>
      </c>
      <c r="V65" s="24"/>
      <c r="W65" s="26">
        <v>75572.915690666661</v>
      </c>
      <c r="X65" s="307">
        <f t="shared" si="102"/>
        <v>306822.91569066665</v>
      </c>
      <c r="Y65" s="24">
        <v>197897.13130933337</v>
      </c>
      <c r="Z65" s="241">
        <f t="shared" si="103"/>
        <v>197897.13130933337</v>
      </c>
      <c r="AA65" s="214"/>
    </row>
    <row r="66" spans="1:27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v>25523.45</v>
      </c>
      <c r="F66" s="26"/>
      <c r="G66" s="26">
        <f t="shared" si="95"/>
        <v>76570.350000000006</v>
      </c>
      <c r="H66" s="26">
        <f t="shared" si="96"/>
        <v>1914.25875</v>
      </c>
      <c r="I66" s="26"/>
      <c r="J66" s="26">
        <f t="shared" si="97"/>
        <v>12761.725</v>
      </c>
      <c r="K66" s="26">
        <f t="shared" si="98"/>
        <v>89332.074999999997</v>
      </c>
      <c r="L66" s="26">
        <f t="shared" si="99"/>
        <v>25523.45</v>
      </c>
      <c r="M66" s="213">
        <f t="shared" ref="M66:M67" si="104">120000</f>
        <v>120000</v>
      </c>
      <c r="N66" s="213"/>
      <c r="O66" s="26">
        <f t="shared" si="100"/>
        <v>2552.3450000000003</v>
      </c>
      <c r="P66" s="26">
        <v>15000</v>
      </c>
      <c r="Q66" s="26"/>
      <c r="R66" s="239">
        <f t="shared" si="101"/>
        <v>369177.65375</v>
      </c>
      <c r="S66" s="26"/>
      <c r="T66" s="26">
        <f>110000</f>
        <v>110000</v>
      </c>
      <c r="U66" s="26"/>
      <c r="V66" s="26"/>
      <c r="W66" s="26">
        <v>49548.776186666662</v>
      </c>
      <c r="X66" s="307">
        <f t="shared" si="102"/>
        <v>159548.77618666666</v>
      </c>
      <c r="Y66" s="26">
        <v>209628.87756333334</v>
      </c>
      <c r="Z66" s="242">
        <f t="shared" si="103"/>
        <v>209628.87756333334</v>
      </c>
      <c r="AA66" s="214"/>
    </row>
    <row r="67" spans="1:27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v>24741.26</v>
      </c>
      <c r="F67" s="26"/>
      <c r="G67" s="26">
        <f t="shared" si="95"/>
        <v>74223.78</v>
      </c>
      <c r="H67" s="26">
        <f t="shared" si="96"/>
        <v>1855.5944999999997</v>
      </c>
      <c r="I67" s="26">
        <v>0</v>
      </c>
      <c r="J67" s="26">
        <f t="shared" si="97"/>
        <v>12370.63</v>
      </c>
      <c r="K67" s="24">
        <f t="shared" si="98"/>
        <v>86594.409999999989</v>
      </c>
      <c r="L67" s="26">
        <f t="shared" si="99"/>
        <v>24741.26</v>
      </c>
      <c r="M67" s="213">
        <f t="shared" si="104"/>
        <v>120000</v>
      </c>
      <c r="N67" s="213"/>
      <c r="O67" s="26">
        <f t="shared" si="100"/>
        <v>2474.1260000000002</v>
      </c>
      <c r="P67" s="26">
        <v>15000</v>
      </c>
      <c r="Q67" s="26">
        <v>0</v>
      </c>
      <c r="R67" s="238">
        <f t="shared" si="101"/>
        <v>362001.06049999996</v>
      </c>
      <c r="S67" s="24"/>
      <c r="T67" s="24">
        <f>20000+65000</f>
        <v>85000</v>
      </c>
      <c r="U67" s="24">
        <v>0</v>
      </c>
      <c r="V67" s="24">
        <v>0</v>
      </c>
      <c r="W67" s="26">
        <v>48170.870282666663</v>
      </c>
      <c r="X67" s="307">
        <f t="shared" si="102"/>
        <v>133170.87028266667</v>
      </c>
      <c r="Y67" s="24">
        <v>228830.19021733329</v>
      </c>
      <c r="Z67" s="241">
        <f t="shared" si="103"/>
        <v>228830.19021733329</v>
      </c>
      <c r="AA67" s="214"/>
    </row>
    <row r="68" spans="1:27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6">
        <v>27611.23</v>
      </c>
      <c r="F68" s="26"/>
      <c r="G68" s="26">
        <f>E68*300%</f>
        <v>82833.69</v>
      </c>
      <c r="H68" s="26">
        <f>E68*7.5%</f>
        <v>2070.8422499999997</v>
      </c>
      <c r="I68" s="26"/>
      <c r="J68" s="26">
        <f>E68*50%</f>
        <v>13805.615</v>
      </c>
      <c r="K68" s="24">
        <f>E68*350%</f>
        <v>96639.304999999993</v>
      </c>
      <c r="L68" s="26">
        <f>E68*100%</f>
        <v>27611.23</v>
      </c>
      <c r="M68" s="213">
        <f>140000</f>
        <v>140000</v>
      </c>
      <c r="N68" s="213"/>
      <c r="O68" s="26">
        <f>E68*10%</f>
        <v>2761.123</v>
      </c>
      <c r="P68" s="26">
        <v>20000</v>
      </c>
      <c r="Q68" s="26"/>
      <c r="R68" s="238">
        <f>SUM(E68:Q68)</f>
        <v>413333.03525000007</v>
      </c>
      <c r="S68" s="24"/>
      <c r="T68" s="24">
        <f>10000</f>
        <v>10000</v>
      </c>
      <c r="U68" s="24">
        <f>54585.66</f>
        <v>54585.66</v>
      </c>
      <c r="V68" s="24"/>
      <c r="W68" s="24">
        <v>58026.609434666672</v>
      </c>
      <c r="X68" s="307">
        <f t="shared" si="102"/>
        <v>122612.26943466667</v>
      </c>
      <c r="Y68" s="24">
        <v>290720.76581533341</v>
      </c>
      <c r="Z68" s="241">
        <f t="shared" si="103"/>
        <v>290720.76581533341</v>
      </c>
      <c r="AA68" s="214"/>
    </row>
    <row r="69" spans="1:27" ht="20.100000000000001" customHeight="1">
      <c r="A69" s="29">
        <v>6</v>
      </c>
      <c r="B69" s="191" t="s">
        <v>536</v>
      </c>
      <c r="C69" s="156" t="s">
        <v>297</v>
      </c>
      <c r="D69" s="215" t="s">
        <v>162</v>
      </c>
      <c r="E69" s="26">
        <v>26732.65</v>
      </c>
      <c r="F69" s="26"/>
      <c r="G69" s="26">
        <v>80197.950000000012</v>
      </c>
      <c r="H69" s="26">
        <v>2004.94875</v>
      </c>
      <c r="I69" s="26">
        <v>0</v>
      </c>
      <c r="J69" s="26">
        <v>13366.325000000001</v>
      </c>
      <c r="K69" s="24">
        <v>93564.275000000009</v>
      </c>
      <c r="L69" s="26">
        <v>26732.65</v>
      </c>
      <c r="M69" s="213">
        <v>140000</v>
      </c>
      <c r="N69" s="213"/>
      <c r="O69" s="26">
        <v>2673.2650000000003</v>
      </c>
      <c r="P69" s="26">
        <f>15000+5000</f>
        <v>20000</v>
      </c>
      <c r="Q69" s="26">
        <v>0</v>
      </c>
      <c r="R69" s="238">
        <f>SUM(E69:Q69)</f>
        <v>405272.06374999997</v>
      </c>
      <c r="S69" s="24"/>
      <c r="T69" s="24"/>
      <c r="U69" s="24"/>
      <c r="V69" s="24"/>
      <c r="W69" s="24">
        <f>56318.07+1598.34</f>
        <v>57916.409999999996</v>
      </c>
      <c r="X69" s="307">
        <f t="shared" si="102"/>
        <v>57916.409999999996</v>
      </c>
      <c r="Y69" s="24">
        <v>347355.65375</v>
      </c>
      <c r="Z69" s="241">
        <f t="shared" si="103"/>
        <v>347355.65375</v>
      </c>
      <c r="AA69" s="214"/>
    </row>
    <row r="70" spans="1:27" ht="20.100000000000001" customHeight="1">
      <c r="A70" s="29">
        <v>7</v>
      </c>
      <c r="B70" s="189" t="s">
        <v>117</v>
      </c>
      <c r="C70" s="21" t="s">
        <v>84</v>
      </c>
      <c r="D70" s="29" t="s">
        <v>369</v>
      </c>
      <c r="E70" s="26">
        <f>20749</f>
        <v>20749</v>
      </c>
      <c r="F70" s="26"/>
      <c r="G70" s="26">
        <f t="shared" si="95"/>
        <v>62247</v>
      </c>
      <c r="H70" s="26">
        <f t="shared" si="96"/>
        <v>1556.175</v>
      </c>
      <c r="I70" s="26">
        <v>0</v>
      </c>
      <c r="J70" s="26">
        <f t="shared" si="97"/>
        <v>10374.5</v>
      </c>
      <c r="K70" s="26">
        <f t="shared" si="98"/>
        <v>72621.5</v>
      </c>
      <c r="L70" s="26">
        <f t="shared" si="99"/>
        <v>20749</v>
      </c>
      <c r="M70" s="213">
        <f>110000</f>
        <v>110000</v>
      </c>
      <c r="N70" s="213"/>
      <c r="O70" s="26">
        <f t="shared" si="100"/>
        <v>2074.9</v>
      </c>
      <c r="P70" s="26">
        <v>15000</v>
      </c>
      <c r="Q70" s="26">
        <v>0</v>
      </c>
      <c r="R70" s="238">
        <f t="shared" si="101"/>
        <v>315372.07500000001</v>
      </c>
      <c r="S70" s="24"/>
      <c r="T70" s="24">
        <f>10000</f>
        <v>10000</v>
      </c>
      <c r="U70" s="24">
        <f>65885.83</f>
        <v>65885.83</v>
      </c>
      <c r="V70" s="24"/>
      <c r="W70" s="26">
        <f>40149.18</f>
        <v>40149.18</v>
      </c>
      <c r="X70" s="307">
        <f t="shared" si="102"/>
        <v>116035.01000000001</v>
      </c>
      <c r="Y70" s="24">
        <v>199337.065</v>
      </c>
      <c r="Z70" s="241">
        <f t="shared" si="103"/>
        <v>199337.065</v>
      </c>
      <c r="AA70" s="214"/>
    </row>
    <row r="71" spans="1:27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6">
        <v>20749</v>
      </c>
      <c r="F71" s="26"/>
      <c r="G71" s="26">
        <f t="shared" ref="G71:G72" si="105">E71*300%</f>
        <v>62247</v>
      </c>
      <c r="H71" s="26">
        <f t="shared" ref="H71:H72" si="106">E71*7.5%</f>
        <v>1556.175</v>
      </c>
      <c r="I71" s="26">
        <v>0</v>
      </c>
      <c r="J71" s="26">
        <f t="shared" ref="J71:J72" si="107">E71*50%</f>
        <v>10374.5</v>
      </c>
      <c r="K71" s="24">
        <f t="shared" ref="K71:K72" si="108">E71*350%</f>
        <v>72621.5</v>
      </c>
      <c r="L71" s="26">
        <f t="shared" ref="L71:L72" si="109">E71*100%</f>
        <v>20749</v>
      </c>
      <c r="M71" s="213">
        <f t="shared" ref="M71:M72" si="110">110000</f>
        <v>110000</v>
      </c>
      <c r="N71" s="213"/>
      <c r="O71" s="26">
        <f t="shared" ref="O71:O72" si="111">E71*10%</f>
        <v>2074.9</v>
      </c>
      <c r="P71" s="26">
        <v>15000</v>
      </c>
      <c r="Q71" s="26">
        <v>0</v>
      </c>
      <c r="R71" s="238">
        <f>SUM(E71:Q71)</f>
        <v>315372.07500000001</v>
      </c>
      <c r="S71" s="24"/>
      <c r="T71" s="24">
        <f>52000-2000</f>
        <v>50000</v>
      </c>
      <c r="U71" s="24"/>
      <c r="V71" s="24"/>
      <c r="W71" s="26">
        <v>40149.175266666673</v>
      </c>
      <c r="X71" s="307">
        <f t="shared" si="102"/>
        <v>90149.175266666673</v>
      </c>
      <c r="Y71" s="24">
        <v>225222.89973333332</v>
      </c>
      <c r="Z71" s="241">
        <f t="shared" si="103"/>
        <v>225222.89973333332</v>
      </c>
      <c r="AA71" s="214"/>
    </row>
    <row r="72" spans="1:27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6">
        <v>20749</v>
      </c>
      <c r="F72" s="26"/>
      <c r="G72" s="26">
        <f t="shared" si="105"/>
        <v>62247</v>
      </c>
      <c r="H72" s="26">
        <f t="shared" si="106"/>
        <v>1556.175</v>
      </c>
      <c r="I72" s="26">
        <v>0</v>
      </c>
      <c r="J72" s="26">
        <f t="shared" si="107"/>
        <v>10374.5</v>
      </c>
      <c r="K72" s="24">
        <f t="shared" si="108"/>
        <v>72621.5</v>
      </c>
      <c r="L72" s="26">
        <f t="shared" si="109"/>
        <v>20749</v>
      </c>
      <c r="M72" s="213">
        <f t="shared" si="110"/>
        <v>110000</v>
      </c>
      <c r="N72" s="213"/>
      <c r="O72" s="26">
        <f t="shared" si="111"/>
        <v>2074.9</v>
      </c>
      <c r="P72" s="26">
        <v>15000</v>
      </c>
      <c r="Q72" s="26">
        <v>0</v>
      </c>
      <c r="R72" s="238">
        <f>SUM(E72:Q72)</f>
        <v>315372.07500000001</v>
      </c>
      <c r="S72" s="24"/>
      <c r="T72" s="24">
        <f>67000-2000</f>
        <v>65000</v>
      </c>
      <c r="U72" s="24"/>
      <c r="V72" s="24"/>
      <c r="W72" s="26">
        <v>40149.175266666673</v>
      </c>
      <c r="X72" s="307">
        <f t="shared" si="102"/>
        <v>105149.17526666667</v>
      </c>
      <c r="Y72" s="24">
        <v>210222.89973333332</v>
      </c>
      <c r="Z72" s="241">
        <f t="shared" si="103"/>
        <v>210222.89973333332</v>
      </c>
      <c r="AA72" s="214"/>
    </row>
    <row r="73" spans="1:27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>
        <v>21520.880000000001</v>
      </c>
      <c r="F73" s="26"/>
      <c r="G73" s="26">
        <f t="shared" si="95"/>
        <v>64562.64</v>
      </c>
      <c r="H73" s="26">
        <f t="shared" si="96"/>
        <v>1614.066</v>
      </c>
      <c r="I73" s="26"/>
      <c r="J73" s="26">
        <f t="shared" si="97"/>
        <v>10760.44</v>
      </c>
      <c r="K73" s="26">
        <f t="shared" si="98"/>
        <v>75323.08</v>
      </c>
      <c r="L73" s="26">
        <f t="shared" si="99"/>
        <v>21520.880000000001</v>
      </c>
      <c r="M73" s="213">
        <f>110000</f>
        <v>110000</v>
      </c>
      <c r="N73" s="213"/>
      <c r="O73" s="26">
        <f t="shared" si="100"/>
        <v>2152.0880000000002</v>
      </c>
      <c r="P73" s="26">
        <v>15000</v>
      </c>
      <c r="Q73" s="26"/>
      <c r="R73" s="238">
        <f t="shared" si="101"/>
        <v>322454.07400000002</v>
      </c>
      <c r="S73" s="24"/>
      <c r="T73" s="24">
        <f>80000+20000</f>
        <v>100000</v>
      </c>
      <c r="U73" s="24"/>
      <c r="V73" s="24"/>
      <c r="W73" s="26">
        <v>41338.951098666665</v>
      </c>
      <c r="X73" s="307">
        <f t="shared" si="102"/>
        <v>141338.95109866667</v>
      </c>
      <c r="Y73" s="24">
        <v>181115.12290133335</v>
      </c>
      <c r="Z73" s="241">
        <f t="shared" si="103"/>
        <v>181115.12290133335</v>
      </c>
      <c r="AA73" s="214"/>
    </row>
    <row r="74" spans="1:27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v>17784.099999999999</v>
      </c>
      <c r="F74" s="26"/>
      <c r="G74" s="26">
        <f t="shared" ref="G74:G76" si="112">E74*300%</f>
        <v>53352.299999999996</v>
      </c>
      <c r="H74" s="26">
        <f t="shared" ref="H74:H76" si="113">E74*7.5%</f>
        <v>1333.8074999999999</v>
      </c>
      <c r="I74" s="26"/>
      <c r="J74" s="26">
        <f t="shared" ref="J74:J76" si="114">E74*50%</f>
        <v>8892.0499999999993</v>
      </c>
      <c r="K74" s="26">
        <f t="shared" ref="K74:K76" si="115">E74*350%</f>
        <v>62244.349999999991</v>
      </c>
      <c r="L74" s="26">
        <f t="shared" ref="L74:L76" si="116">E74*100%</f>
        <v>17784.099999999999</v>
      </c>
      <c r="M74" s="213">
        <f t="shared" ref="M74:M76" si="117">100000</f>
        <v>100000</v>
      </c>
      <c r="N74" s="213"/>
      <c r="O74" s="26">
        <f t="shared" ref="O74:O76" si="118">E74*10%</f>
        <v>1778.4099999999999</v>
      </c>
      <c r="P74" s="26">
        <v>10000</v>
      </c>
      <c r="Q74" s="26"/>
      <c r="R74" s="238">
        <f t="shared" ref="R74:R76" si="119">SUM(E74:Q74)</f>
        <v>273169.11749999999</v>
      </c>
      <c r="S74" s="24"/>
      <c r="T74" s="24">
        <v>0</v>
      </c>
      <c r="U74" s="24">
        <v>0</v>
      </c>
      <c r="V74" s="24"/>
      <c r="W74" s="26">
        <v>33059.078406666667</v>
      </c>
      <c r="X74" s="307">
        <f t="shared" si="102"/>
        <v>33059.078406666667</v>
      </c>
      <c r="Y74" s="24">
        <v>240110.03909333333</v>
      </c>
      <c r="Z74" s="241">
        <f t="shared" si="103"/>
        <v>240110.03909333333</v>
      </c>
      <c r="AA74" s="214"/>
    </row>
    <row r="75" spans="1:27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15188.67</f>
        <v>15188.67</v>
      </c>
      <c r="F75" s="26"/>
      <c r="G75" s="26">
        <f t="shared" si="112"/>
        <v>45566.01</v>
      </c>
      <c r="H75" s="26">
        <f t="shared" si="113"/>
        <v>1139.1502499999999</v>
      </c>
      <c r="I75" s="26"/>
      <c r="J75" s="26">
        <f t="shared" si="114"/>
        <v>7594.335</v>
      </c>
      <c r="K75" s="26">
        <f t="shared" si="115"/>
        <v>53160.345000000001</v>
      </c>
      <c r="L75" s="26">
        <f t="shared" si="116"/>
        <v>15188.67</v>
      </c>
      <c r="M75" s="213">
        <f t="shared" si="117"/>
        <v>100000</v>
      </c>
      <c r="N75" s="213"/>
      <c r="O75" s="26">
        <f t="shared" si="118"/>
        <v>1518.8670000000002</v>
      </c>
      <c r="P75" s="26">
        <v>10000</v>
      </c>
      <c r="Q75" s="26"/>
      <c r="R75" s="238">
        <f t="shared" si="119"/>
        <v>249356.04725</v>
      </c>
      <c r="S75" s="24"/>
      <c r="T75" s="24">
        <f>10000</f>
        <v>10000</v>
      </c>
      <c r="U75" s="24">
        <f>95833.33</f>
        <v>95833.33</v>
      </c>
      <c r="V75" s="24"/>
      <c r="W75" s="26">
        <v>29058.48260466666</v>
      </c>
      <c r="X75" s="307">
        <f t="shared" si="102"/>
        <v>134891.81260466666</v>
      </c>
      <c r="Y75" s="24">
        <v>114464.23464533334</v>
      </c>
      <c r="Z75" s="241">
        <f t="shared" si="103"/>
        <v>114464.23464533334</v>
      </c>
      <c r="AA75" s="214"/>
    </row>
    <row r="76" spans="1:27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12732</f>
        <v>12732</v>
      </c>
      <c r="F76" s="26"/>
      <c r="G76" s="26">
        <f t="shared" si="112"/>
        <v>38196</v>
      </c>
      <c r="H76" s="26">
        <f t="shared" si="113"/>
        <v>954.9</v>
      </c>
      <c r="I76" s="26"/>
      <c r="J76" s="26">
        <f t="shared" si="114"/>
        <v>6366</v>
      </c>
      <c r="K76" s="26">
        <f t="shared" si="115"/>
        <v>44562</v>
      </c>
      <c r="L76" s="26">
        <f t="shared" si="116"/>
        <v>12732</v>
      </c>
      <c r="M76" s="213">
        <f t="shared" si="117"/>
        <v>100000</v>
      </c>
      <c r="N76" s="213"/>
      <c r="O76" s="26">
        <f t="shared" si="118"/>
        <v>1273.2</v>
      </c>
      <c r="P76" s="26">
        <v>10000</v>
      </c>
      <c r="Q76" s="26"/>
      <c r="R76" s="238">
        <f t="shared" si="119"/>
        <v>226816.1</v>
      </c>
      <c r="S76" s="24"/>
      <c r="T76" s="24"/>
      <c r="U76" s="24"/>
      <c r="V76" s="24"/>
      <c r="W76" s="26">
        <v>25271.771466666669</v>
      </c>
      <c r="X76" s="307">
        <f t="shared" si="102"/>
        <v>25271.771466666669</v>
      </c>
      <c r="Y76" s="24">
        <v>201544.32853333335</v>
      </c>
      <c r="Z76" s="241">
        <f t="shared" si="103"/>
        <v>201544.32853333335</v>
      </c>
      <c r="AA76" s="214"/>
    </row>
    <row r="77" spans="1:27" ht="20.100000000000001" customHeight="1">
      <c r="A77" s="29"/>
      <c r="B77" s="192" t="s">
        <v>15</v>
      </c>
      <c r="C77" s="30">
        <v>13</v>
      </c>
      <c r="D77" s="30"/>
      <c r="E77" s="78">
        <f t="shared" ref="E77:M77" si="120">SUM(E64:E76)</f>
        <v>346840.1</v>
      </c>
      <c r="F77" s="78">
        <f t="shared" si="120"/>
        <v>0</v>
      </c>
      <c r="G77" s="78">
        <f t="shared" si="120"/>
        <v>1040520.3000000002</v>
      </c>
      <c r="H77" s="78">
        <f t="shared" si="120"/>
        <v>26013.007499999996</v>
      </c>
      <c r="I77" s="78">
        <f t="shared" si="120"/>
        <v>120366.57</v>
      </c>
      <c r="J77" s="78">
        <f t="shared" si="120"/>
        <v>173420.05</v>
      </c>
      <c r="K77" s="78">
        <f t="shared" si="120"/>
        <v>1213940.3500000001</v>
      </c>
      <c r="L77" s="78">
        <f t="shared" si="120"/>
        <v>346840.1</v>
      </c>
      <c r="M77" s="218">
        <f t="shared" si="120"/>
        <v>1620000</v>
      </c>
      <c r="N77" s="218"/>
      <c r="O77" s="78">
        <f>SUM(O64:O76)</f>
        <v>34684.01</v>
      </c>
      <c r="P77" s="78">
        <f>SUM(P64:P76)</f>
        <v>200000</v>
      </c>
      <c r="Q77" s="78">
        <f>SUM(Q64:Q76)</f>
        <v>0</v>
      </c>
      <c r="R77" s="246">
        <f>SUM(R64:R76)</f>
        <v>5122624.4874999998</v>
      </c>
      <c r="S77" s="78"/>
      <c r="T77" s="78">
        <f>SUM(T64:T76)</f>
        <v>740000</v>
      </c>
      <c r="U77" s="78">
        <f>SUM(U64:U76)</f>
        <v>347554.82</v>
      </c>
      <c r="V77" s="78">
        <f>SUM(V64:V76)</f>
        <v>0</v>
      </c>
      <c r="W77" s="78">
        <f>SUM(W64:W76)</f>
        <v>718718.20256333333</v>
      </c>
      <c r="X77" s="78">
        <f>SUM(X64:X76)</f>
        <v>1806273.0225633332</v>
      </c>
      <c r="Y77" s="78">
        <v>3316351.4649366671</v>
      </c>
      <c r="Z77" s="78">
        <f>SUM(Z64:Z76)</f>
        <v>3316351.4649366671</v>
      </c>
      <c r="AA77" s="214"/>
    </row>
    <row r="78" spans="1:27" ht="20.100000000000001" customHeight="1">
      <c r="A78" s="29"/>
      <c r="B78" s="142"/>
      <c r="C78" s="30"/>
      <c r="D78" s="30"/>
      <c r="E78" s="31"/>
      <c r="F78" s="31"/>
      <c r="G78" s="31"/>
      <c r="H78" s="31"/>
      <c r="I78" s="31"/>
      <c r="J78" s="31"/>
      <c r="K78" s="31"/>
      <c r="L78" s="31"/>
      <c r="M78" s="213"/>
      <c r="N78" s="213"/>
      <c r="O78" s="31"/>
      <c r="P78" s="31"/>
      <c r="Q78" s="31"/>
      <c r="R78" s="247"/>
      <c r="S78" s="31"/>
      <c r="T78" s="31"/>
      <c r="U78" s="31"/>
      <c r="V78" s="31"/>
      <c r="W78" s="31"/>
      <c r="X78" s="306"/>
      <c r="Y78" s="31"/>
      <c r="Z78" s="255"/>
      <c r="AA78" s="214"/>
    </row>
    <row r="79" spans="1:27" ht="20.100000000000001" customHeight="1">
      <c r="A79" s="29"/>
      <c r="B79" s="192" t="s">
        <v>464</v>
      </c>
      <c r="C79" s="30"/>
      <c r="D79" s="30"/>
      <c r="E79" s="31"/>
      <c r="F79" s="31"/>
      <c r="G79" s="31"/>
      <c r="H79" s="31"/>
      <c r="I79" s="31"/>
      <c r="J79" s="31"/>
      <c r="K79" s="31"/>
      <c r="L79" s="31"/>
      <c r="M79" s="213"/>
      <c r="N79" s="213"/>
      <c r="O79" s="31"/>
      <c r="P79" s="31"/>
      <c r="Q79" s="31"/>
      <c r="R79" s="247"/>
      <c r="S79" s="31"/>
      <c r="T79" s="31"/>
      <c r="U79" s="31"/>
      <c r="V79" s="31"/>
      <c r="W79" s="31"/>
      <c r="X79" s="306"/>
      <c r="Y79" s="31"/>
      <c r="Z79" s="255"/>
      <c r="AA79" s="214"/>
    </row>
    <row r="80" spans="1:27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v>81740.02</v>
      </c>
      <c r="F80" s="26"/>
      <c r="G80" s="26">
        <f t="shared" ref="G80:G84" si="121">E80*300%</f>
        <v>245220.06</v>
      </c>
      <c r="H80" s="26">
        <f t="shared" ref="H80:H84" si="122">E80*7.5%</f>
        <v>6130.5015000000003</v>
      </c>
      <c r="I80" s="26">
        <v>80244.38</v>
      </c>
      <c r="J80" s="26">
        <f>E80*50%</f>
        <v>40870.01</v>
      </c>
      <c r="K80" s="26">
        <f t="shared" ref="K80:K84" si="123">E80*350%</f>
        <v>286090.07</v>
      </c>
      <c r="L80" s="26">
        <f>E80*100%</f>
        <v>81740.02</v>
      </c>
      <c r="M80" s="213">
        <f>200000</f>
        <v>200000</v>
      </c>
      <c r="N80" s="213"/>
      <c r="O80" s="26">
        <f>E80*10%</f>
        <v>8174.0020000000004</v>
      </c>
      <c r="P80" s="26">
        <v>20000</v>
      </c>
      <c r="Q80" s="26">
        <v>0</v>
      </c>
      <c r="R80" s="238">
        <f>SUM(E80:Q80)</f>
        <v>1050209.0635000002</v>
      </c>
      <c r="S80" s="24"/>
      <c r="T80" s="24">
        <v>250000</v>
      </c>
      <c r="U80" s="24">
        <f>0</f>
        <v>0</v>
      </c>
      <c r="V80" s="24">
        <v>0</v>
      </c>
      <c r="W80" s="26">
        <v>180306.80685866671</v>
      </c>
      <c r="X80" s="303">
        <f>W80+V80+U80+T80+S80</f>
        <v>430306.80685866671</v>
      </c>
      <c r="Y80" s="24">
        <v>619902.25664133346</v>
      </c>
      <c r="Z80" s="241">
        <f>R80-X80</f>
        <v>619902.25664133346</v>
      </c>
      <c r="AA80" s="214"/>
    </row>
    <row r="81" spans="1:27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4">
        <v>31018.84</v>
      </c>
      <c r="F81" s="26"/>
      <c r="G81" s="26">
        <f t="shared" si="121"/>
        <v>93056.52</v>
      </c>
      <c r="H81" s="26">
        <f t="shared" si="122"/>
        <v>2326.413</v>
      </c>
      <c r="I81" s="26">
        <v>40122.19</v>
      </c>
      <c r="J81" s="26">
        <f t="shared" ref="J81:J82" si="124">E81*50%</f>
        <v>15509.42</v>
      </c>
      <c r="K81" s="26">
        <f t="shared" si="123"/>
        <v>108565.94</v>
      </c>
      <c r="L81" s="26">
        <f t="shared" ref="L81:L82" si="125">E81*100%</f>
        <v>31018.84</v>
      </c>
      <c r="M81" s="213">
        <f>160000</f>
        <v>160000</v>
      </c>
      <c r="N81" s="213"/>
      <c r="O81" s="26">
        <f t="shared" ref="O81:O82" si="126">E81*10%</f>
        <v>3101.884</v>
      </c>
      <c r="P81" s="26">
        <v>20000</v>
      </c>
      <c r="Q81" s="216">
        <v>0</v>
      </c>
      <c r="R81" s="238">
        <f t="shared" ref="R81:R82" si="127">SUM(E81:Q81)</f>
        <v>504720.04700000002</v>
      </c>
      <c r="S81" s="24"/>
      <c r="T81" s="24"/>
      <c r="U81" s="24"/>
      <c r="V81" s="24">
        <v>0</v>
      </c>
      <c r="W81" s="26">
        <v>75572.915690666661</v>
      </c>
      <c r="X81" s="303">
        <f>W81+V81+U81+T81+S81</f>
        <v>75572.915690666661</v>
      </c>
      <c r="Y81" s="24">
        <v>429147.13130933337</v>
      </c>
      <c r="Z81" s="241">
        <f>R81-X81</f>
        <v>429147.13130933337</v>
      </c>
      <c r="AA81" s="214"/>
    </row>
    <row r="82" spans="1:27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4">
        <v>31018.84</v>
      </c>
      <c r="F82" s="26"/>
      <c r="G82" s="26">
        <f t="shared" si="121"/>
        <v>93056.52</v>
      </c>
      <c r="H82" s="26">
        <f t="shared" si="122"/>
        <v>2326.413</v>
      </c>
      <c r="I82" s="26">
        <v>40122.19</v>
      </c>
      <c r="J82" s="26">
        <f t="shared" si="124"/>
        <v>15509.42</v>
      </c>
      <c r="K82" s="26">
        <f t="shared" si="123"/>
        <v>108565.94</v>
      </c>
      <c r="L82" s="26">
        <f t="shared" si="125"/>
        <v>31018.84</v>
      </c>
      <c r="M82" s="213">
        <f>160000</f>
        <v>160000</v>
      </c>
      <c r="N82" s="213"/>
      <c r="O82" s="26">
        <f t="shared" si="126"/>
        <v>3101.884</v>
      </c>
      <c r="P82" s="26">
        <v>20000</v>
      </c>
      <c r="Q82" s="216">
        <v>0</v>
      </c>
      <c r="R82" s="238">
        <f t="shared" si="127"/>
        <v>504720.04700000002</v>
      </c>
      <c r="S82" s="24"/>
      <c r="T82" s="24"/>
      <c r="U82" s="24"/>
      <c r="V82" s="24">
        <v>0</v>
      </c>
      <c r="W82" s="26">
        <v>75572.915690666661</v>
      </c>
      <c r="X82" s="303">
        <f>W82+V82+U82+T82+S82</f>
        <v>75572.915690666661</v>
      </c>
      <c r="Y82" s="24">
        <v>429147.13130933337</v>
      </c>
      <c r="Z82" s="241">
        <f>R82-X82</f>
        <v>429147.13130933337</v>
      </c>
      <c r="AA82" s="214"/>
    </row>
    <row r="83" spans="1:27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25523.45</v>
      </c>
      <c r="F83" s="26"/>
      <c r="G83" s="26">
        <f>E83*300%</f>
        <v>76570.350000000006</v>
      </c>
      <c r="H83" s="26">
        <f>E83*7.5%</f>
        <v>1914.25875</v>
      </c>
      <c r="I83" s="26">
        <v>0</v>
      </c>
      <c r="J83" s="26">
        <f>E83*50%</f>
        <v>12761.725</v>
      </c>
      <c r="K83" s="24">
        <f>E83*350%</f>
        <v>89332.074999999997</v>
      </c>
      <c r="L83" s="26">
        <f>E83*100%</f>
        <v>25523.45</v>
      </c>
      <c r="M83" s="213">
        <f>120000</f>
        <v>120000</v>
      </c>
      <c r="N83" s="213"/>
      <c r="O83" s="26">
        <f>E83*10%</f>
        <v>2552.3450000000003</v>
      </c>
      <c r="P83" s="26">
        <v>15000</v>
      </c>
      <c r="Q83" s="26">
        <v>0</v>
      </c>
      <c r="R83" s="238">
        <f>Q83+P83+O83+N83+M83+L83+K83+J83+I83+H83+G83+F83+E83</f>
        <v>369177.65375</v>
      </c>
      <c r="S83" s="24"/>
      <c r="T83" s="24">
        <v>20000</v>
      </c>
      <c r="U83" s="24">
        <f>68750</f>
        <v>68750</v>
      </c>
      <c r="V83" s="24">
        <v>638.08625000000006</v>
      </c>
      <c r="W83" s="26">
        <v>49548.776186666662</v>
      </c>
      <c r="X83" s="303">
        <f>W83+V83+U83+T83+S83</f>
        <v>138936.86243666668</v>
      </c>
      <c r="Y83" s="24">
        <v>230240.79131333332</v>
      </c>
      <c r="Z83" s="241">
        <f>R83-X83</f>
        <v>230240.79131333332</v>
      </c>
      <c r="AA83" s="214"/>
    </row>
    <row r="84" spans="1:27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v>17784.099999999999</v>
      </c>
      <c r="F84" s="26"/>
      <c r="G84" s="26">
        <f t="shared" si="121"/>
        <v>53352.299999999996</v>
      </c>
      <c r="H84" s="26">
        <f t="shared" si="122"/>
        <v>1333.8074999999999</v>
      </c>
      <c r="I84" s="26"/>
      <c r="J84" s="26">
        <f t="shared" ref="J84" si="128">E84*50%</f>
        <v>8892.0499999999993</v>
      </c>
      <c r="K84" s="26">
        <f t="shared" si="123"/>
        <v>62244.349999999991</v>
      </c>
      <c r="L84" s="26">
        <f t="shared" ref="L84" si="129">E84*100%</f>
        <v>17784.099999999999</v>
      </c>
      <c r="M84" s="213">
        <f>100000</f>
        <v>100000</v>
      </c>
      <c r="N84" s="213"/>
      <c r="O84" s="26">
        <f t="shared" ref="O84" si="130">E84*10%</f>
        <v>1778.4099999999999</v>
      </c>
      <c r="P84" s="26">
        <v>10000</v>
      </c>
      <c r="Q84" s="26"/>
      <c r="R84" s="238">
        <f t="shared" ref="R84" si="131">SUM(E84:Q84)</f>
        <v>273169.11749999999</v>
      </c>
      <c r="S84" s="24"/>
      <c r="T84" s="24">
        <f>50000</f>
        <v>50000</v>
      </c>
      <c r="U84" s="24">
        <f>50000</f>
        <v>50000</v>
      </c>
      <c r="V84" s="24"/>
      <c r="W84" s="26">
        <v>33059.078406666667</v>
      </c>
      <c r="X84" s="303">
        <f>W84+V84+U84+T84+S84</f>
        <v>133059.07840666667</v>
      </c>
      <c r="Y84" s="24">
        <v>140110.03909333333</v>
      </c>
      <c r="Z84" s="241">
        <f>R84-X84</f>
        <v>140110.03909333333</v>
      </c>
      <c r="AA84" s="214"/>
    </row>
    <row r="85" spans="1:27" ht="20.100000000000001" customHeight="1">
      <c r="A85" s="29"/>
      <c r="B85" s="192" t="s">
        <v>15</v>
      </c>
      <c r="C85" s="30">
        <v>5</v>
      </c>
      <c r="D85" s="30"/>
      <c r="E85" s="78">
        <f>SUM(E80:E84)</f>
        <v>187085.25000000003</v>
      </c>
      <c r="F85" s="78"/>
      <c r="G85" s="78">
        <f t="shared" ref="G85:M85" si="132">SUM(G80:G84)</f>
        <v>561255.75000000012</v>
      </c>
      <c r="H85" s="78">
        <f t="shared" si="132"/>
        <v>14031.393749999999</v>
      </c>
      <c r="I85" s="78">
        <f t="shared" si="132"/>
        <v>160488.76</v>
      </c>
      <c r="J85" s="78">
        <f t="shared" si="132"/>
        <v>93542.625000000015</v>
      </c>
      <c r="K85" s="78">
        <f t="shared" si="132"/>
        <v>654798.375</v>
      </c>
      <c r="L85" s="78">
        <f t="shared" si="132"/>
        <v>187085.25000000003</v>
      </c>
      <c r="M85" s="218">
        <f t="shared" si="132"/>
        <v>740000</v>
      </c>
      <c r="N85" s="218"/>
      <c r="O85" s="78">
        <f>SUM(O80:O84)</f>
        <v>18708.525000000001</v>
      </c>
      <c r="P85" s="78">
        <f>SUM(P80:P84)</f>
        <v>85000</v>
      </c>
      <c r="Q85" s="78">
        <f>SUM(Q80:Q84)</f>
        <v>0</v>
      </c>
      <c r="R85" s="246">
        <f>SUM(R80:R84)</f>
        <v>2701995.9287500004</v>
      </c>
      <c r="S85" s="78"/>
      <c r="T85" s="78">
        <f>SUM(T80:T84)</f>
        <v>320000</v>
      </c>
      <c r="U85" s="78">
        <f t="shared" ref="U85:Z85" si="133">SUM(U80:U84)</f>
        <v>118750</v>
      </c>
      <c r="V85" s="78">
        <f t="shared" si="133"/>
        <v>638.08625000000006</v>
      </c>
      <c r="W85" s="78">
        <f t="shared" si="133"/>
        <v>414060.49283333332</v>
      </c>
      <c r="X85" s="78">
        <f t="shared" si="133"/>
        <v>853448.57908333326</v>
      </c>
      <c r="Y85" s="78">
        <v>1848547.3496666667</v>
      </c>
      <c r="Z85" s="78">
        <f t="shared" si="133"/>
        <v>1848547.3496666667</v>
      </c>
      <c r="AA85" s="214"/>
    </row>
    <row r="86" spans="1:27" ht="20.100000000000001" customHeight="1">
      <c r="A86" s="29"/>
      <c r="B86" s="192"/>
      <c r="C86" s="30"/>
      <c r="D86" s="30"/>
      <c r="E86" s="31"/>
      <c r="F86" s="31"/>
      <c r="G86" s="31"/>
      <c r="H86" s="31"/>
      <c r="I86" s="31"/>
      <c r="J86" s="31"/>
      <c r="K86" s="31"/>
      <c r="L86" s="31"/>
      <c r="M86" s="213"/>
      <c r="N86" s="213"/>
      <c r="O86" s="31"/>
      <c r="P86" s="31"/>
      <c r="Q86" s="31"/>
      <c r="R86" s="248"/>
      <c r="S86" s="216"/>
      <c r="T86" s="216"/>
      <c r="U86" s="216"/>
      <c r="V86" s="216"/>
      <c r="W86" s="31"/>
      <c r="X86" s="303"/>
      <c r="Y86" s="24"/>
      <c r="Z86" s="241"/>
      <c r="AA86" s="214"/>
    </row>
    <row r="87" spans="1:27" ht="20.100000000000001" customHeight="1">
      <c r="A87" s="29"/>
      <c r="B87" s="192" t="s">
        <v>465</v>
      </c>
      <c r="C87" s="220"/>
      <c r="D87" s="30"/>
      <c r="E87" s="31"/>
      <c r="F87" s="31"/>
      <c r="G87" s="31"/>
      <c r="H87" s="31"/>
      <c r="I87" s="31"/>
      <c r="J87" s="31"/>
      <c r="K87" s="31"/>
      <c r="L87" s="31"/>
      <c r="M87" s="213"/>
      <c r="N87" s="213"/>
      <c r="O87" s="31"/>
      <c r="P87" s="31"/>
      <c r="Q87" s="31"/>
      <c r="R87" s="248"/>
      <c r="S87" s="216"/>
      <c r="T87" s="216"/>
      <c r="U87" s="216"/>
      <c r="V87" s="216"/>
      <c r="W87" s="31"/>
      <c r="X87" s="303"/>
      <c r="Y87" s="24"/>
      <c r="Z87" s="241"/>
      <c r="AA87" s="214"/>
    </row>
    <row r="88" spans="1:27" ht="20.100000000000001" customHeight="1">
      <c r="A88" s="29">
        <v>1</v>
      </c>
      <c r="B88" s="189" t="s">
        <v>169</v>
      </c>
      <c r="C88" s="21" t="s">
        <v>258</v>
      </c>
      <c r="D88" s="29" t="s">
        <v>75</v>
      </c>
      <c r="E88" s="26">
        <v>33507.5</v>
      </c>
      <c r="F88" s="26"/>
      <c r="G88" s="26">
        <f t="shared" ref="G88:G92" si="134">E88*300%</f>
        <v>100522.5</v>
      </c>
      <c r="H88" s="26">
        <f t="shared" ref="H88:H92" si="135">E88*7.5%</f>
        <v>2513.0625</v>
      </c>
      <c r="I88" s="26">
        <f>40122.19</f>
        <v>40122.19</v>
      </c>
      <c r="J88" s="26">
        <f t="shared" ref="J88:J92" si="136">E88*50%</f>
        <v>16753.75</v>
      </c>
      <c r="K88" s="26">
        <f t="shared" ref="K88:K92" si="137">E88*350%</f>
        <v>117276.25</v>
      </c>
      <c r="L88" s="26">
        <f t="shared" ref="L88:L92" si="138">E88*100%</f>
        <v>33507.5</v>
      </c>
      <c r="M88" s="213">
        <f>160000</f>
        <v>160000</v>
      </c>
      <c r="N88" s="213"/>
      <c r="O88" s="26">
        <f t="shared" ref="O88:O92" si="139">E88*10%</f>
        <v>3350.75</v>
      </c>
      <c r="P88" s="26">
        <v>20000</v>
      </c>
      <c r="Q88" s="26">
        <v>100000</v>
      </c>
      <c r="R88" s="238">
        <f t="shared" ref="R88:R92" si="140">SUM(E88:Q88)</f>
        <v>627553.50249999994</v>
      </c>
      <c r="S88" s="24"/>
      <c r="T88" s="24"/>
      <c r="U88" s="24"/>
      <c r="V88" s="24"/>
      <c r="W88" s="26">
        <v>99156.94</v>
      </c>
      <c r="X88" s="303">
        <f t="shared" ref="X88:X95" si="141">W88+V88+U88+T88+S88</f>
        <v>99156.94</v>
      </c>
      <c r="Y88" s="24">
        <v>447596.56335333327</v>
      </c>
      <c r="Z88" s="241">
        <f t="shared" ref="Z88:Z97" si="142">R88-X88</f>
        <v>528396.5625</v>
      </c>
      <c r="AA88" s="214"/>
    </row>
    <row r="89" spans="1:27" ht="20.100000000000001" customHeight="1">
      <c r="A89" s="29">
        <v>2</v>
      </c>
      <c r="B89" s="189" t="s">
        <v>192</v>
      </c>
      <c r="C89" s="21" t="s">
        <v>258</v>
      </c>
      <c r="D89" s="29" t="s">
        <v>75</v>
      </c>
      <c r="E89" s="26">
        <v>33507.5</v>
      </c>
      <c r="F89" s="26"/>
      <c r="G89" s="26">
        <f>E89*300%</f>
        <v>100522.5</v>
      </c>
      <c r="H89" s="26">
        <f>E89*7.5%</f>
        <v>2513.0625</v>
      </c>
      <c r="I89" s="26">
        <f>40122.19</f>
        <v>40122.19</v>
      </c>
      <c r="J89" s="26">
        <f>E89*50%</f>
        <v>16753.75</v>
      </c>
      <c r="K89" s="26">
        <f>E89*350%</f>
        <v>117276.25</v>
      </c>
      <c r="L89" s="26">
        <f>E89*100%</f>
        <v>33507.5</v>
      </c>
      <c r="M89" s="213">
        <f>160000</f>
        <v>160000</v>
      </c>
      <c r="N89" s="213"/>
      <c r="O89" s="26">
        <f>E89*10%</f>
        <v>3350.75</v>
      </c>
      <c r="P89" s="26">
        <v>20000</v>
      </c>
      <c r="Q89" s="26"/>
      <c r="R89" s="238">
        <f>SUM(E89:Q89)</f>
        <v>527553.50249999994</v>
      </c>
      <c r="S89" s="24"/>
      <c r="T89" s="24">
        <f>30000</f>
        <v>30000</v>
      </c>
      <c r="U89" s="24">
        <v>98750</v>
      </c>
      <c r="V89" s="24">
        <v>837.6875</v>
      </c>
      <c r="W89" s="26">
        <v>79796.103146666646</v>
      </c>
      <c r="X89" s="303">
        <f t="shared" si="141"/>
        <v>209383.79064666666</v>
      </c>
      <c r="Y89" s="24">
        <v>318169.71185333328</v>
      </c>
      <c r="Z89" s="241">
        <f t="shared" si="142"/>
        <v>318169.71185333328</v>
      </c>
      <c r="AA89" s="214"/>
    </row>
    <row r="90" spans="1:27" ht="20.100000000000001" customHeight="1">
      <c r="A90" s="29">
        <v>3</v>
      </c>
      <c r="B90" s="191" t="s">
        <v>138</v>
      </c>
      <c r="C90" s="21" t="s">
        <v>297</v>
      </c>
      <c r="D90" s="29" t="s">
        <v>174</v>
      </c>
      <c r="E90" s="26">
        <f>28489.81</f>
        <v>28489.81</v>
      </c>
      <c r="F90" s="26"/>
      <c r="G90" s="26">
        <f>E90*300%</f>
        <v>85469.430000000008</v>
      </c>
      <c r="H90" s="26">
        <f>E90*7.5%</f>
        <v>2136.7357499999998</v>
      </c>
      <c r="I90" s="26"/>
      <c r="J90" s="26">
        <f>E90*50%</f>
        <v>14244.905000000001</v>
      </c>
      <c r="K90" s="24">
        <f>E90*350%</f>
        <v>99714.335000000006</v>
      </c>
      <c r="L90" s="26">
        <f>E90*100%</f>
        <v>28489.81</v>
      </c>
      <c r="M90" s="213">
        <v>140000</v>
      </c>
      <c r="N90" s="213"/>
      <c r="O90" s="26">
        <f>E90*10%</f>
        <v>2848.9810000000002</v>
      </c>
      <c r="P90" s="26">
        <v>20000</v>
      </c>
      <c r="Q90" s="26">
        <v>0</v>
      </c>
      <c r="R90" s="239">
        <f>SUM(E90:Q90)</f>
        <v>421394.00675000006</v>
      </c>
      <c r="S90" s="26"/>
      <c r="T90" s="24">
        <f>20000</f>
        <v>20000</v>
      </c>
      <c r="U90" s="24">
        <f>163103.59</f>
        <v>163103.59</v>
      </c>
      <c r="V90" s="24">
        <v>712.24525000000006</v>
      </c>
      <c r="W90" s="24">
        <v>59441.782042666666</v>
      </c>
      <c r="X90" s="303">
        <f t="shared" si="141"/>
        <v>243257.61729266666</v>
      </c>
      <c r="Y90" s="26">
        <v>178136.3894573334</v>
      </c>
      <c r="Z90" s="242">
        <f t="shared" si="142"/>
        <v>178136.3894573334</v>
      </c>
      <c r="AA90" s="214"/>
    </row>
    <row r="91" spans="1:27" ht="20.100000000000001" customHeight="1">
      <c r="A91" s="29">
        <v>4</v>
      </c>
      <c r="B91" s="189" t="s">
        <v>202</v>
      </c>
      <c r="C91" s="21" t="s">
        <v>78</v>
      </c>
      <c r="D91" s="29" t="s">
        <v>181</v>
      </c>
      <c r="E91" s="26">
        <v>27611.23</v>
      </c>
      <c r="F91" s="26"/>
      <c r="G91" s="26">
        <f t="shared" si="134"/>
        <v>82833.69</v>
      </c>
      <c r="H91" s="26">
        <f t="shared" si="135"/>
        <v>2070.8422499999997</v>
      </c>
      <c r="I91" s="26"/>
      <c r="J91" s="26">
        <f t="shared" si="136"/>
        <v>13805.615</v>
      </c>
      <c r="K91" s="26">
        <f t="shared" si="137"/>
        <v>96639.304999999993</v>
      </c>
      <c r="L91" s="26">
        <f t="shared" si="138"/>
        <v>27611.23</v>
      </c>
      <c r="M91" s="213">
        <v>140000</v>
      </c>
      <c r="N91" s="213"/>
      <c r="O91" s="26">
        <f t="shared" si="139"/>
        <v>2761.123</v>
      </c>
      <c r="P91" s="26">
        <v>20000</v>
      </c>
      <c r="Q91" s="26"/>
      <c r="R91" s="238">
        <f t="shared" si="140"/>
        <v>413333.03525000007</v>
      </c>
      <c r="S91" s="24"/>
      <c r="T91" s="24">
        <f>50000</f>
        <v>50000</v>
      </c>
      <c r="U91" s="213">
        <f>79861.11</f>
        <v>79861.11</v>
      </c>
      <c r="V91" s="24"/>
      <c r="W91" s="24">
        <v>58026.609434666672</v>
      </c>
      <c r="X91" s="303">
        <f t="shared" si="141"/>
        <v>187887.71943466668</v>
      </c>
      <c r="Y91" s="24">
        <v>225445.31581533339</v>
      </c>
      <c r="Z91" s="241">
        <f t="shared" si="142"/>
        <v>225445.31581533339</v>
      </c>
      <c r="AA91" s="214"/>
    </row>
    <row r="92" spans="1:27" ht="21.6" customHeight="1">
      <c r="A92" s="29">
        <v>5</v>
      </c>
      <c r="B92" s="189" t="s">
        <v>101</v>
      </c>
      <c r="C92" s="21" t="s">
        <v>80</v>
      </c>
      <c r="D92" s="215" t="s">
        <v>170</v>
      </c>
      <c r="E92" s="26">
        <v>25523.45</v>
      </c>
      <c r="F92" s="26"/>
      <c r="G92" s="26">
        <f t="shared" si="134"/>
        <v>76570.350000000006</v>
      </c>
      <c r="H92" s="26">
        <f t="shared" si="135"/>
        <v>1914.25875</v>
      </c>
      <c r="I92" s="26">
        <v>0</v>
      </c>
      <c r="J92" s="26">
        <f t="shared" si="136"/>
        <v>12761.725</v>
      </c>
      <c r="K92" s="24">
        <f t="shared" si="137"/>
        <v>89332.074999999997</v>
      </c>
      <c r="L92" s="26">
        <f t="shared" si="138"/>
        <v>25523.45</v>
      </c>
      <c r="M92" s="213">
        <f>120000</f>
        <v>120000</v>
      </c>
      <c r="N92" s="213"/>
      <c r="O92" s="26">
        <f t="shared" si="139"/>
        <v>2552.3450000000003</v>
      </c>
      <c r="P92" s="26">
        <v>15000</v>
      </c>
      <c r="Q92" s="26">
        <v>0</v>
      </c>
      <c r="R92" s="238">
        <f t="shared" si="140"/>
        <v>369177.65375</v>
      </c>
      <c r="S92" s="24"/>
      <c r="T92" s="24">
        <f>50000</f>
        <v>50000</v>
      </c>
      <c r="U92" s="24">
        <v>25250</v>
      </c>
      <c r="V92" s="24"/>
      <c r="W92" s="26">
        <v>49548.776186666662</v>
      </c>
      <c r="X92" s="303">
        <f t="shared" si="141"/>
        <v>124798.77618666666</v>
      </c>
      <c r="Y92" s="24">
        <v>244378.87756333334</v>
      </c>
      <c r="Z92" s="241">
        <f t="shared" si="142"/>
        <v>244378.87756333334</v>
      </c>
      <c r="AA92" s="214"/>
    </row>
    <row r="93" spans="1:27" ht="21.6" customHeight="1">
      <c r="A93" s="29">
        <v>6</v>
      </c>
      <c r="B93" s="189" t="s">
        <v>336</v>
      </c>
      <c r="C93" s="194" t="s">
        <v>257</v>
      </c>
      <c r="D93" s="215" t="s">
        <v>163</v>
      </c>
      <c r="E93" s="26">
        <v>24741.26</v>
      </c>
      <c r="F93" s="26"/>
      <c r="G93" s="26">
        <f t="shared" ref="G93:G96" si="143">E93*300%</f>
        <v>74223.78</v>
      </c>
      <c r="H93" s="26">
        <f t="shared" ref="H93:H96" si="144">E93*7.5%</f>
        <v>1855.5944999999997</v>
      </c>
      <c r="I93" s="26">
        <v>0</v>
      </c>
      <c r="J93" s="26">
        <f t="shared" ref="J93:J96" si="145">E93*50%</f>
        <v>12370.63</v>
      </c>
      <c r="K93" s="24">
        <f t="shared" ref="K93:K96" si="146">E93*350%</f>
        <v>86594.409999999989</v>
      </c>
      <c r="L93" s="26">
        <f t="shared" ref="L93:L96" si="147">E93*100%</f>
        <v>24741.26</v>
      </c>
      <c r="M93" s="213">
        <f t="shared" ref="M93:M94" si="148">120000</f>
        <v>120000</v>
      </c>
      <c r="N93" s="213"/>
      <c r="O93" s="26">
        <f t="shared" ref="O93:O96" si="149">E93*10%</f>
        <v>2474.1260000000002</v>
      </c>
      <c r="P93" s="26">
        <v>15000</v>
      </c>
      <c r="Q93" s="26">
        <v>0</v>
      </c>
      <c r="R93" s="238">
        <f t="shared" ref="R93:R94" si="150">SUM(E93:Q93)</f>
        <v>362001.06049999996</v>
      </c>
      <c r="S93" s="24"/>
      <c r="T93" s="24"/>
      <c r="U93" s="24"/>
      <c r="V93" s="24"/>
      <c r="W93" s="26">
        <v>48170.870282666663</v>
      </c>
      <c r="X93" s="303">
        <f t="shared" si="141"/>
        <v>48170.870282666663</v>
      </c>
      <c r="Y93" s="24">
        <v>313830.19021733332</v>
      </c>
      <c r="Z93" s="241">
        <f t="shared" si="142"/>
        <v>313830.19021733332</v>
      </c>
      <c r="AA93" s="214"/>
    </row>
    <row r="94" spans="1:27" ht="21.6" customHeight="1">
      <c r="A94" s="29">
        <v>7</v>
      </c>
      <c r="B94" s="189" t="s">
        <v>337</v>
      </c>
      <c r="C94" s="194" t="s">
        <v>257</v>
      </c>
      <c r="D94" s="215" t="s">
        <v>163</v>
      </c>
      <c r="E94" s="26">
        <v>24741.26</v>
      </c>
      <c r="F94" s="26"/>
      <c r="G94" s="26">
        <f t="shared" si="143"/>
        <v>74223.78</v>
      </c>
      <c r="H94" s="26">
        <f t="shared" si="144"/>
        <v>1855.5944999999997</v>
      </c>
      <c r="I94" s="26">
        <v>0</v>
      </c>
      <c r="J94" s="26">
        <f t="shared" si="145"/>
        <v>12370.63</v>
      </c>
      <c r="K94" s="24">
        <f t="shared" si="146"/>
        <v>86594.409999999989</v>
      </c>
      <c r="L94" s="26">
        <f t="shared" si="147"/>
        <v>24741.26</v>
      </c>
      <c r="M94" s="213">
        <f t="shared" si="148"/>
        <v>120000</v>
      </c>
      <c r="N94" s="213"/>
      <c r="O94" s="26">
        <f t="shared" si="149"/>
        <v>2474.1260000000002</v>
      </c>
      <c r="P94" s="26">
        <v>15000</v>
      </c>
      <c r="Q94" s="26">
        <v>0</v>
      </c>
      <c r="R94" s="238">
        <f t="shared" si="150"/>
        <v>362001.06049999996</v>
      </c>
      <c r="S94" s="24"/>
      <c r="T94" s="24">
        <f>100000-100000</f>
        <v>0</v>
      </c>
      <c r="U94" s="24"/>
      <c r="V94" s="24"/>
      <c r="W94" s="26">
        <v>48170.870282666663</v>
      </c>
      <c r="X94" s="303">
        <f t="shared" si="141"/>
        <v>48170.870282666663</v>
      </c>
      <c r="Y94" s="24">
        <v>313830.19021733332</v>
      </c>
      <c r="Z94" s="241">
        <f t="shared" si="142"/>
        <v>313830.19021733332</v>
      </c>
      <c r="AA94" s="214"/>
    </row>
    <row r="95" spans="1:27" ht="21.6" customHeight="1">
      <c r="A95" s="29">
        <v>8</v>
      </c>
      <c r="B95" s="189" t="s">
        <v>421</v>
      </c>
      <c r="C95" s="156" t="s">
        <v>422</v>
      </c>
      <c r="D95" s="215" t="s">
        <v>369</v>
      </c>
      <c r="E95" s="26">
        <f>20749</f>
        <v>20749</v>
      </c>
      <c r="F95" s="26"/>
      <c r="G95" s="26">
        <f t="shared" si="143"/>
        <v>62247</v>
      </c>
      <c r="H95" s="26">
        <f t="shared" si="144"/>
        <v>1556.175</v>
      </c>
      <c r="I95" s="26">
        <v>0</v>
      </c>
      <c r="J95" s="26">
        <f t="shared" si="145"/>
        <v>10374.5</v>
      </c>
      <c r="K95" s="24">
        <f t="shared" si="146"/>
        <v>72621.5</v>
      </c>
      <c r="L95" s="26">
        <f t="shared" si="147"/>
        <v>20749</v>
      </c>
      <c r="M95" s="213">
        <f t="shared" ref="M95" si="151">110000</f>
        <v>110000</v>
      </c>
      <c r="N95" s="213"/>
      <c r="O95" s="26">
        <f t="shared" si="149"/>
        <v>2074.9</v>
      </c>
      <c r="P95" s="26">
        <v>15000</v>
      </c>
      <c r="Q95" s="26">
        <v>0</v>
      </c>
      <c r="R95" s="238">
        <f>SUM(E95:Q95)</f>
        <v>315372.07500000001</v>
      </c>
      <c r="S95" s="24"/>
      <c r="T95" s="24">
        <f>20000</f>
        <v>20000</v>
      </c>
      <c r="U95" s="24"/>
      <c r="V95" s="24"/>
      <c r="W95" s="26">
        <v>40149.175266666673</v>
      </c>
      <c r="X95" s="307">
        <f t="shared" si="141"/>
        <v>60149.175266666673</v>
      </c>
      <c r="Y95" s="24">
        <v>255222.89973333332</v>
      </c>
      <c r="Z95" s="241">
        <f t="shared" si="142"/>
        <v>255222.89973333332</v>
      </c>
      <c r="AA95" s="214"/>
    </row>
    <row r="96" spans="1:27" ht="21.6" customHeight="1">
      <c r="A96" s="29">
        <v>9</v>
      </c>
      <c r="B96" s="189" t="s">
        <v>438</v>
      </c>
      <c r="C96" s="21" t="s">
        <v>472</v>
      </c>
      <c r="D96" s="29" t="s">
        <v>104</v>
      </c>
      <c r="E96" s="26">
        <v>17286.330000000002</v>
      </c>
      <c r="F96" s="26"/>
      <c r="G96" s="26">
        <f t="shared" si="143"/>
        <v>51858.990000000005</v>
      </c>
      <c r="H96" s="26">
        <f t="shared" si="144"/>
        <v>1296.4747500000001</v>
      </c>
      <c r="I96" s="26"/>
      <c r="J96" s="26">
        <f t="shared" si="145"/>
        <v>8643.1650000000009</v>
      </c>
      <c r="K96" s="26">
        <f t="shared" si="146"/>
        <v>60502.155000000006</v>
      </c>
      <c r="L96" s="26">
        <f t="shared" si="147"/>
        <v>17286.330000000002</v>
      </c>
      <c r="M96" s="213">
        <v>100000</v>
      </c>
      <c r="N96" s="213"/>
      <c r="O96" s="26">
        <f t="shared" si="149"/>
        <v>1728.6330000000003</v>
      </c>
      <c r="P96" s="26">
        <v>10000</v>
      </c>
      <c r="Q96" s="26"/>
      <c r="R96" s="238">
        <f>SUM(E96:Q96)</f>
        <v>268602.07775000005</v>
      </c>
      <c r="S96" s="24"/>
      <c r="T96" s="24"/>
      <c r="U96" s="24"/>
      <c r="V96" s="24"/>
      <c r="W96" s="26">
        <f>32291.82</f>
        <v>32291.82</v>
      </c>
      <c r="X96" s="303">
        <f>W96+V96+U96+T96</f>
        <v>32291.82</v>
      </c>
      <c r="Y96" s="24">
        <v>796310.25775000011</v>
      </c>
      <c r="Z96" s="241">
        <f t="shared" si="142"/>
        <v>236310.25775000005</v>
      </c>
      <c r="AA96" s="214"/>
    </row>
    <row r="97" spans="1:27" ht="21.6" customHeight="1">
      <c r="A97" s="29">
        <v>10</v>
      </c>
      <c r="B97" s="189" t="s">
        <v>406</v>
      </c>
      <c r="C97" s="156" t="s">
        <v>434</v>
      </c>
      <c r="D97" s="215" t="s">
        <v>176</v>
      </c>
      <c r="E97" s="26">
        <f>12732</f>
        <v>12732</v>
      </c>
      <c r="F97" s="26"/>
      <c r="G97" s="26">
        <v>37055.82</v>
      </c>
      <c r="H97" s="26">
        <v>926.39549999999997</v>
      </c>
      <c r="I97" s="26"/>
      <c r="J97" s="26">
        <v>6175.97</v>
      </c>
      <c r="K97" s="24">
        <v>43231.79</v>
      </c>
      <c r="L97" s="26">
        <v>12351.94</v>
      </c>
      <c r="M97" s="213">
        <f>100000</f>
        <v>100000</v>
      </c>
      <c r="N97" s="213"/>
      <c r="O97" s="26">
        <v>1235.1940000000002</v>
      </c>
      <c r="P97" s="26">
        <v>10000</v>
      </c>
      <c r="Q97" s="26"/>
      <c r="R97" s="238">
        <f>SUM(E97:Q97)</f>
        <v>223709.10949999999</v>
      </c>
      <c r="S97" s="24"/>
      <c r="T97" s="24">
        <v>50000</v>
      </c>
      <c r="U97" s="24"/>
      <c r="V97" s="24">
        <v>0</v>
      </c>
      <c r="W97" s="26">
        <v>24749.797062666661</v>
      </c>
      <c r="X97" s="307">
        <f>SUM(S97:W97)</f>
        <v>74749.797062666665</v>
      </c>
      <c r="Y97" s="24">
        <v>148959.31243733334</v>
      </c>
      <c r="Z97" s="241">
        <f t="shared" si="142"/>
        <v>148959.31243733334</v>
      </c>
      <c r="AA97" s="214"/>
    </row>
    <row r="98" spans="1:27" ht="20.100000000000001" customHeight="1">
      <c r="A98" s="29"/>
      <c r="B98" s="192" t="s">
        <v>15</v>
      </c>
      <c r="C98" s="30">
        <v>10</v>
      </c>
      <c r="D98" s="30"/>
      <c r="E98" s="78">
        <f t="shared" ref="E98:M98" si="152">SUM(E88:E97)</f>
        <v>248889.34000000003</v>
      </c>
      <c r="F98" s="78">
        <f t="shared" si="152"/>
        <v>0</v>
      </c>
      <c r="G98" s="78">
        <f t="shared" si="152"/>
        <v>745527.84</v>
      </c>
      <c r="H98" s="78">
        <f t="shared" si="152"/>
        <v>18638.195999999996</v>
      </c>
      <c r="I98" s="78">
        <f t="shared" si="152"/>
        <v>80244.38</v>
      </c>
      <c r="J98" s="78">
        <f t="shared" si="152"/>
        <v>124254.64000000001</v>
      </c>
      <c r="K98" s="78">
        <f t="shared" si="152"/>
        <v>869782.4800000001</v>
      </c>
      <c r="L98" s="78">
        <f t="shared" si="152"/>
        <v>248509.28000000003</v>
      </c>
      <c r="M98" s="218">
        <f t="shared" si="152"/>
        <v>1270000</v>
      </c>
      <c r="N98" s="218"/>
      <c r="O98" s="78">
        <f>SUM(O88:O97)</f>
        <v>24850.928000000004</v>
      </c>
      <c r="P98" s="78">
        <f>SUM(P88:P97)</f>
        <v>160000</v>
      </c>
      <c r="Q98" s="78">
        <f>SUM(Q88:Q97)</f>
        <v>100000</v>
      </c>
      <c r="R98" s="246">
        <f>SUM(R88:R97)</f>
        <v>3890697.0840000007</v>
      </c>
      <c r="S98" s="78"/>
      <c r="T98" s="78">
        <f t="shared" ref="T98:Z98" si="153">SUM(T88:T97)</f>
        <v>220000</v>
      </c>
      <c r="U98" s="78">
        <f t="shared" si="153"/>
        <v>366964.7</v>
      </c>
      <c r="V98" s="78">
        <f t="shared" si="153"/>
        <v>1549.9327499999999</v>
      </c>
      <c r="W98" s="78">
        <f t="shared" si="153"/>
        <v>539502.74370533333</v>
      </c>
      <c r="X98" s="78">
        <f t="shared" si="153"/>
        <v>1128017.3764553333</v>
      </c>
      <c r="Y98" s="78">
        <v>3241879.7083980003</v>
      </c>
      <c r="Z98" s="78">
        <f t="shared" si="153"/>
        <v>2762679.7075446662</v>
      </c>
      <c r="AA98" s="214"/>
    </row>
    <row r="99" spans="1:27" ht="20.100000000000001" customHeight="1">
      <c r="A99" s="29"/>
      <c r="B99" s="142"/>
      <c r="C99" s="30"/>
      <c r="D99" s="30"/>
      <c r="E99" s="31"/>
      <c r="F99" s="31"/>
      <c r="G99" s="31"/>
      <c r="H99" s="31"/>
      <c r="I99" s="31"/>
      <c r="J99" s="31"/>
      <c r="K99" s="31"/>
      <c r="L99" s="31"/>
      <c r="M99" s="213"/>
      <c r="N99" s="213"/>
      <c r="O99" s="31"/>
      <c r="P99" s="31"/>
      <c r="Q99" s="31"/>
      <c r="R99" s="247"/>
      <c r="S99" s="31"/>
      <c r="T99" s="31"/>
      <c r="U99" s="31"/>
      <c r="V99" s="31"/>
      <c r="W99" s="31"/>
      <c r="X99" s="306"/>
      <c r="Y99" s="31"/>
      <c r="Z99" s="255"/>
      <c r="AA99" s="214"/>
    </row>
    <row r="100" spans="1:27" ht="20.100000000000001" customHeight="1">
      <c r="A100" s="29"/>
      <c r="B100" s="192" t="s">
        <v>466</v>
      </c>
      <c r="C100" s="30"/>
      <c r="D100" s="30"/>
      <c r="E100" s="31"/>
      <c r="F100" s="31"/>
      <c r="G100" s="31"/>
      <c r="H100" s="31"/>
      <c r="I100" s="31"/>
      <c r="J100" s="31"/>
      <c r="K100" s="31"/>
      <c r="L100" s="31"/>
      <c r="M100" s="213"/>
      <c r="N100" s="213"/>
      <c r="O100" s="31"/>
      <c r="P100" s="31"/>
      <c r="Q100" s="31"/>
      <c r="R100" s="247"/>
      <c r="S100" s="31"/>
      <c r="T100" s="31"/>
      <c r="U100" s="31"/>
      <c r="V100" s="31"/>
      <c r="W100" s="31"/>
      <c r="X100" s="306"/>
      <c r="Y100" s="31"/>
      <c r="Z100" s="255"/>
      <c r="AA100" s="214"/>
    </row>
    <row r="101" spans="1:27" ht="20.100000000000001" customHeight="1">
      <c r="A101" s="29">
        <v>1</v>
      </c>
      <c r="B101" s="190" t="s">
        <v>364</v>
      </c>
      <c r="C101" s="29" t="s">
        <v>343</v>
      </c>
      <c r="D101" s="215" t="s">
        <v>221</v>
      </c>
      <c r="E101" s="26">
        <v>41157.69</v>
      </c>
      <c r="F101" s="26"/>
      <c r="G101" s="26">
        <f t="shared" ref="G101" si="154">E101*300%</f>
        <v>123473.07</v>
      </c>
      <c r="H101" s="26">
        <f t="shared" ref="H101" si="155">E101*7.5%</f>
        <v>3086.8267500000002</v>
      </c>
      <c r="I101" s="26">
        <v>40122.19</v>
      </c>
      <c r="J101" s="26">
        <f t="shared" ref="J101" si="156">E101*50%</f>
        <v>20578.845000000001</v>
      </c>
      <c r="K101" s="26">
        <f t="shared" ref="K101" si="157">E101*350%</f>
        <v>144051.91500000001</v>
      </c>
      <c r="L101" s="26">
        <f t="shared" ref="L101" si="158">E101*100%</f>
        <v>41157.69</v>
      </c>
      <c r="M101" s="213"/>
      <c r="N101" s="213">
        <f>90000</f>
        <v>90000</v>
      </c>
      <c r="O101" s="26">
        <f t="shared" ref="O101" si="159">E101*10%</f>
        <v>4115.7690000000002</v>
      </c>
      <c r="P101" s="26">
        <v>20000</v>
      </c>
      <c r="Q101" s="26"/>
      <c r="R101" s="238">
        <f>SUM(E101:Q101)</f>
        <v>527743.99575</v>
      </c>
      <c r="S101" s="24"/>
      <c r="T101" s="24">
        <f>50000</f>
        <v>50000</v>
      </c>
      <c r="U101" s="24">
        <f>91666.67</f>
        <v>91666.67</v>
      </c>
      <c r="V101" s="24"/>
      <c r="W101" s="26">
        <v>79993.513850666655</v>
      </c>
      <c r="X101" s="303">
        <f>W101+V101+U101+T101+S101</f>
        <v>221660.18385066665</v>
      </c>
      <c r="Y101" s="24">
        <v>306083.81189933338</v>
      </c>
      <c r="Z101" s="241">
        <f>R101-X101</f>
        <v>306083.81189933338</v>
      </c>
      <c r="AA101" s="214"/>
    </row>
    <row r="102" spans="1:27" ht="20.100000000000001" customHeight="1">
      <c r="A102" s="29">
        <v>2</v>
      </c>
      <c r="B102" s="189" t="s">
        <v>185</v>
      </c>
      <c r="C102" s="21" t="s">
        <v>373</v>
      </c>
      <c r="D102" s="29" t="s">
        <v>181</v>
      </c>
      <c r="E102" s="26">
        <v>27611.23</v>
      </c>
      <c r="F102" s="26"/>
      <c r="G102" s="26">
        <f>E102*300%</f>
        <v>82833.69</v>
      </c>
      <c r="H102" s="26">
        <f>E102*7.5%</f>
        <v>2070.8422499999997</v>
      </c>
      <c r="I102" s="26"/>
      <c r="J102" s="26">
        <f>E102*50%</f>
        <v>13805.615</v>
      </c>
      <c r="K102" s="26">
        <f>E102*350%</f>
        <v>96639.304999999993</v>
      </c>
      <c r="L102" s="26">
        <f>E102*100%</f>
        <v>27611.23</v>
      </c>
      <c r="M102" s="213"/>
      <c r="N102" s="213">
        <f>70000</f>
        <v>70000</v>
      </c>
      <c r="O102" s="26">
        <f>E102*10%</f>
        <v>2761.123</v>
      </c>
      <c r="P102" s="26">
        <v>20000</v>
      </c>
      <c r="Q102" s="26">
        <f>100000</f>
        <v>100000</v>
      </c>
      <c r="R102" s="238">
        <f>SUM(E102:Q102)</f>
        <v>443333.03525000007</v>
      </c>
      <c r="S102" s="24"/>
      <c r="T102" s="24"/>
      <c r="U102" s="24"/>
      <c r="V102" s="24">
        <v>690.28075000000001</v>
      </c>
      <c r="W102" s="24">
        <f>63658.29</f>
        <v>63658.29</v>
      </c>
      <c r="X102" s="303">
        <f>W102+V102+U102+T102+S102</f>
        <v>64348.570749999999</v>
      </c>
      <c r="Y102" s="24">
        <v>297908.41511133342</v>
      </c>
      <c r="Z102" s="241">
        <f>R102-X102</f>
        <v>378984.46450000006</v>
      </c>
      <c r="AA102" s="214"/>
    </row>
    <row r="103" spans="1:27" ht="20.100000000000001" customHeight="1">
      <c r="A103" s="29">
        <v>3</v>
      </c>
      <c r="B103" s="189" t="s">
        <v>237</v>
      </c>
      <c r="C103" s="21" t="s">
        <v>485</v>
      </c>
      <c r="D103" s="215" t="s">
        <v>415</v>
      </c>
      <c r="E103" s="26">
        <v>21520.880000000001</v>
      </c>
      <c r="F103" s="26"/>
      <c r="G103" s="26">
        <f>E103*300%</f>
        <v>64562.64</v>
      </c>
      <c r="H103" s="26">
        <f>E103*7.5%</f>
        <v>1614.066</v>
      </c>
      <c r="I103" s="26"/>
      <c r="J103" s="26">
        <f>E103*50%</f>
        <v>10760.44</v>
      </c>
      <c r="K103" s="24">
        <f>E103*350%</f>
        <v>75323.08</v>
      </c>
      <c r="L103" s="26">
        <f>E103*100%</f>
        <v>21520.880000000001</v>
      </c>
      <c r="M103" s="213"/>
      <c r="N103" s="213">
        <f>60000</f>
        <v>60000</v>
      </c>
      <c r="O103" s="26">
        <f>E103*10%</f>
        <v>2152.0880000000002</v>
      </c>
      <c r="P103" s="26">
        <v>10000</v>
      </c>
      <c r="Q103" s="26"/>
      <c r="R103" s="238">
        <f>SUM(E103:Q103)</f>
        <v>267454.07400000002</v>
      </c>
      <c r="S103" s="24"/>
      <c r="T103" s="24">
        <f>5000</f>
        <v>5000</v>
      </c>
      <c r="U103" s="24">
        <f>64806.29</f>
        <v>64806.29</v>
      </c>
      <c r="V103" s="24"/>
      <c r="W103" s="26">
        <v>32098.951098666672</v>
      </c>
      <c r="X103" s="303">
        <f>W103+V103+U103+T103+S103</f>
        <v>101905.24109866668</v>
      </c>
      <c r="Y103" s="24">
        <v>165548.83290133334</v>
      </c>
      <c r="Z103" s="241">
        <f>R103-X103</f>
        <v>165548.83290133334</v>
      </c>
      <c r="AA103" s="214"/>
    </row>
    <row r="104" spans="1:27" ht="20.100000000000001" customHeight="1">
      <c r="A104" s="29">
        <v>4</v>
      </c>
      <c r="B104" s="189" t="s">
        <v>345</v>
      </c>
      <c r="C104" s="21" t="s">
        <v>543</v>
      </c>
      <c r="D104" s="215" t="s">
        <v>267</v>
      </c>
      <c r="E104" s="26">
        <v>13492.21</v>
      </c>
      <c r="F104" s="26"/>
      <c r="G104" s="26">
        <v>40476.629999999997</v>
      </c>
      <c r="H104" s="26">
        <v>1011.9157499999999</v>
      </c>
      <c r="I104" s="26"/>
      <c r="J104" s="26">
        <v>6746.1049999999996</v>
      </c>
      <c r="K104" s="24">
        <v>47222.735000000001</v>
      </c>
      <c r="L104" s="26">
        <v>13492.21</v>
      </c>
      <c r="M104" s="213"/>
      <c r="N104" s="213">
        <v>50000</v>
      </c>
      <c r="O104" s="26">
        <v>1349.221</v>
      </c>
      <c r="P104" s="26">
        <v>10000</v>
      </c>
      <c r="Q104" s="26"/>
      <c r="R104" s="238">
        <v>183791.02674999999</v>
      </c>
      <c r="S104" s="24"/>
      <c r="T104" s="24"/>
      <c r="U104" s="24"/>
      <c r="V104" s="24"/>
      <c r="W104" s="26">
        <v>18102.902732666666</v>
      </c>
      <c r="X104" s="303">
        <v>18102.902732666666</v>
      </c>
      <c r="Y104" s="24">
        <v>165688.12401733332</v>
      </c>
      <c r="Z104" s="241">
        <v>165688.12401733332</v>
      </c>
      <c r="AA104" s="214"/>
    </row>
    <row r="105" spans="1:27" ht="20.100000000000001" customHeight="1">
      <c r="A105" s="21"/>
      <c r="B105" s="192" t="s">
        <v>15</v>
      </c>
      <c r="C105" s="30">
        <v>4</v>
      </c>
      <c r="D105" s="221"/>
      <c r="E105" s="78">
        <f>SUM(E101:E104)</f>
        <v>103782.01000000001</v>
      </c>
      <c r="F105" s="78">
        <f t="shared" ref="F105:Z105" si="160">SUM(F101:F104)</f>
        <v>0</v>
      </c>
      <c r="G105" s="78">
        <f t="shared" si="160"/>
        <v>311346.03000000003</v>
      </c>
      <c r="H105" s="78">
        <f t="shared" si="160"/>
        <v>7783.6507499999998</v>
      </c>
      <c r="I105" s="78">
        <f t="shared" si="160"/>
        <v>40122.19</v>
      </c>
      <c r="J105" s="78">
        <f t="shared" si="160"/>
        <v>51891.005000000005</v>
      </c>
      <c r="K105" s="78">
        <f t="shared" si="160"/>
        <v>363237.03499999997</v>
      </c>
      <c r="L105" s="78">
        <f t="shared" si="160"/>
        <v>103782.01000000001</v>
      </c>
      <c r="M105" s="78">
        <f t="shared" si="160"/>
        <v>0</v>
      </c>
      <c r="N105" s="78">
        <f t="shared" si="160"/>
        <v>270000</v>
      </c>
      <c r="O105" s="78">
        <f t="shared" si="160"/>
        <v>10378.200999999999</v>
      </c>
      <c r="P105" s="78">
        <f t="shared" si="160"/>
        <v>60000</v>
      </c>
      <c r="Q105" s="78">
        <f t="shared" si="160"/>
        <v>100000</v>
      </c>
      <c r="R105" s="78">
        <f t="shared" si="160"/>
        <v>1422322.1317499999</v>
      </c>
      <c r="S105" s="78">
        <f t="shared" si="160"/>
        <v>0</v>
      </c>
      <c r="T105" s="78">
        <f t="shared" si="160"/>
        <v>55000</v>
      </c>
      <c r="U105" s="78">
        <f t="shared" si="160"/>
        <v>156472.95999999999</v>
      </c>
      <c r="V105" s="78">
        <f t="shared" si="160"/>
        <v>690.28075000000001</v>
      </c>
      <c r="W105" s="78">
        <f t="shared" si="160"/>
        <v>193853.65768199999</v>
      </c>
      <c r="X105" s="78">
        <f t="shared" si="160"/>
        <v>406016.89843199996</v>
      </c>
      <c r="Y105" s="78">
        <v>935229.18392933346</v>
      </c>
      <c r="Z105" s="78">
        <f t="shared" si="160"/>
        <v>1016305.2333180001</v>
      </c>
      <c r="AA105" s="214"/>
    </row>
    <row r="106" spans="1:27" ht="20.100000000000001" customHeight="1">
      <c r="A106" s="21"/>
      <c r="B106" s="142"/>
      <c r="C106" s="30"/>
      <c r="D106" s="221"/>
      <c r="E106" s="31"/>
      <c r="F106" s="31"/>
      <c r="G106" s="31"/>
      <c r="H106" s="31"/>
      <c r="I106" s="31"/>
      <c r="J106" s="31"/>
      <c r="K106" s="31"/>
      <c r="L106" s="31"/>
      <c r="M106" s="213"/>
      <c r="N106" s="213"/>
      <c r="O106" s="31"/>
      <c r="P106" s="31"/>
      <c r="Q106" s="31"/>
      <c r="R106" s="247"/>
      <c r="S106" s="31"/>
      <c r="T106" s="31"/>
      <c r="U106" s="31"/>
      <c r="V106" s="31"/>
      <c r="W106" s="31"/>
      <c r="X106" s="306"/>
      <c r="Y106" s="31"/>
      <c r="Z106" s="255"/>
      <c r="AA106" s="214"/>
    </row>
    <row r="107" spans="1:27" ht="20.100000000000001" customHeight="1">
      <c r="A107" s="21"/>
      <c r="B107" s="192" t="s">
        <v>467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3"/>
      <c r="N107" s="213"/>
      <c r="O107" s="21"/>
      <c r="P107" s="21"/>
      <c r="Q107" s="21"/>
      <c r="R107" s="249"/>
      <c r="S107" s="21"/>
      <c r="T107" s="21"/>
      <c r="U107" s="21"/>
      <c r="V107" s="21"/>
      <c r="W107" s="21"/>
      <c r="X107" s="308"/>
      <c r="Y107" s="21"/>
      <c r="Z107" s="256"/>
      <c r="AA107" s="214"/>
    </row>
    <row r="108" spans="1:27" ht="20.100000000000001" customHeight="1">
      <c r="A108" s="21">
        <v>1</v>
      </c>
      <c r="B108" s="189" t="s">
        <v>216</v>
      </c>
      <c r="C108" s="194" t="s">
        <v>217</v>
      </c>
      <c r="D108" s="215" t="s">
        <v>161</v>
      </c>
      <c r="E108" s="26">
        <v>81740.02</v>
      </c>
      <c r="F108" s="26"/>
      <c r="G108" s="26">
        <f>E108*300%</f>
        <v>245220.06</v>
      </c>
      <c r="H108" s="26">
        <f>E108*7.5%</f>
        <v>6130.5015000000003</v>
      </c>
      <c r="I108" s="26">
        <v>80244.38</v>
      </c>
      <c r="J108" s="26">
        <f>E108*50%</f>
        <v>40870.01</v>
      </c>
      <c r="K108" s="26">
        <f>E108*350%</f>
        <v>286090.07</v>
      </c>
      <c r="L108" s="26">
        <f>E108*100%</f>
        <v>81740.02</v>
      </c>
      <c r="M108" s="213">
        <f>200000</f>
        <v>200000</v>
      </c>
      <c r="N108" s="213"/>
      <c r="O108" s="26">
        <f>E108*10%</f>
        <v>8174.0020000000004</v>
      </c>
      <c r="P108" s="26">
        <v>20000</v>
      </c>
      <c r="Q108" s="26">
        <v>0</v>
      </c>
      <c r="R108" s="238">
        <f>SUM(E108:Q108)</f>
        <v>1050209.0635000002</v>
      </c>
      <c r="S108" s="24"/>
      <c r="T108" s="24">
        <f>100000</f>
        <v>100000</v>
      </c>
      <c r="U108" s="24">
        <v>0</v>
      </c>
      <c r="V108" s="24">
        <v>0</v>
      </c>
      <c r="W108" s="26">
        <v>180145.9708586667</v>
      </c>
      <c r="X108" s="303">
        <f>W108+V108+U108+T108+S108</f>
        <v>280145.9708586667</v>
      </c>
      <c r="Y108" s="24">
        <v>770063.09264133347</v>
      </c>
      <c r="Z108" s="241">
        <f t="shared" ref="Z108:Z114" si="161">R108-X108</f>
        <v>770063.09264133347</v>
      </c>
      <c r="AA108" s="214"/>
    </row>
    <row r="109" spans="1:27" ht="20.100000000000001" customHeight="1">
      <c r="A109" s="21">
        <v>2</v>
      </c>
      <c r="B109" s="189" t="s">
        <v>110</v>
      </c>
      <c r="C109" s="21" t="s">
        <v>259</v>
      </c>
      <c r="D109" s="25" t="s">
        <v>221</v>
      </c>
      <c r="E109" s="26">
        <v>41157.69</v>
      </c>
      <c r="F109" s="26"/>
      <c r="G109" s="26">
        <f>E109*300%</f>
        <v>123473.07</v>
      </c>
      <c r="H109" s="26">
        <f>E109*7.5%</f>
        <v>3086.8267500000002</v>
      </c>
      <c r="I109" s="26">
        <v>40122.19</v>
      </c>
      <c r="J109" s="26">
        <f>E109*50%</f>
        <v>20578.845000000001</v>
      </c>
      <c r="K109" s="26">
        <f>E109*350%</f>
        <v>144051.91500000001</v>
      </c>
      <c r="L109" s="26">
        <f>E109*100%</f>
        <v>41157.69</v>
      </c>
      <c r="M109" s="213">
        <f>160000+20000</f>
        <v>180000</v>
      </c>
      <c r="N109" s="213"/>
      <c r="O109" s="26">
        <f>E109*10%</f>
        <v>4115.7690000000002</v>
      </c>
      <c r="P109" s="26">
        <v>20000</v>
      </c>
      <c r="Q109" s="26">
        <v>0</v>
      </c>
      <c r="R109" s="238">
        <f>SUM(E109:Q109)</f>
        <v>617743.99575</v>
      </c>
      <c r="S109" s="24"/>
      <c r="T109" s="24">
        <v>40000</v>
      </c>
      <c r="U109" s="24">
        <f>238888.89</f>
        <v>238888.89</v>
      </c>
      <c r="V109" s="24">
        <v>1028.9422500000001</v>
      </c>
      <c r="W109" s="26">
        <v>97147.085210666657</v>
      </c>
      <c r="X109" s="303">
        <f>SUM(S109:W109)</f>
        <v>377064.91746066668</v>
      </c>
      <c r="Y109" s="24">
        <v>240679.07828933332</v>
      </c>
      <c r="Z109" s="241">
        <f t="shared" si="161"/>
        <v>240679.07828933332</v>
      </c>
      <c r="AA109" s="214"/>
    </row>
    <row r="110" spans="1:27" ht="20.100000000000001" customHeight="1">
      <c r="A110" s="21">
        <v>3</v>
      </c>
      <c r="B110" s="189" t="s">
        <v>109</v>
      </c>
      <c r="C110" s="21" t="s">
        <v>311</v>
      </c>
      <c r="D110" s="29" t="s">
        <v>175</v>
      </c>
      <c r="E110" s="26">
        <v>26339.3</v>
      </c>
      <c r="F110" s="26"/>
      <c r="G110" s="26">
        <f>E110*300%</f>
        <v>79017.899999999994</v>
      </c>
      <c r="H110" s="26">
        <f>E110*7.5%</f>
        <v>1975.4474999999998</v>
      </c>
      <c r="I110" s="26">
        <v>0</v>
      </c>
      <c r="J110" s="26">
        <f>E110*50%</f>
        <v>13169.65</v>
      </c>
      <c r="K110" s="26">
        <f>E110*350%</f>
        <v>92187.55</v>
      </c>
      <c r="L110" s="26">
        <f>E110*100%</f>
        <v>26339.3</v>
      </c>
      <c r="M110" s="213">
        <f>120000</f>
        <v>120000</v>
      </c>
      <c r="N110" s="213"/>
      <c r="O110" s="26">
        <f>E110*10%</f>
        <v>2633.9300000000003</v>
      </c>
      <c r="P110" s="26">
        <v>15000</v>
      </c>
      <c r="Q110" s="26">
        <v>41432.938524999998</v>
      </c>
      <c r="R110" s="238">
        <f>SUM(E110:Q110)</f>
        <v>418096.01602499996</v>
      </c>
      <c r="S110" s="24"/>
      <c r="T110" s="24">
        <v>30000</v>
      </c>
      <c r="U110" s="24">
        <f>61111.11</f>
        <v>61111.11</v>
      </c>
      <c r="V110" s="24">
        <v>658.48250000000007</v>
      </c>
      <c r="W110" s="24">
        <v>58941.101743466657</v>
      </c>
      <c r="X110" s="303">
        <f>W110+V110+U110+T110+S110</f>
        <v>150710.69424346666</v>
      </c>
      <c r="Y110" s="24">
        <v>267385.3217815333</v>
      </c>
      <c r="Z110" s="241">
        <f t="shared" si="161"/>
        <v>267385.3217815333</v>
      </c>
      <c r="AA110" s="214"/>
    </row>
    <row r="111" spans="1:27" ht="20.100000000000001" customHeight="1">
      <c r="A111" s="21">
        <v>4</v>
      </c>
      <c r="B111" s="189" t="s">
        <v>135</v>
      </c>
      <c r="C111" s="21" t="s">
        <v>311</v>
      </c>
      <c r="D111" s="29" t="s">
        <v>175</v>
      </c>
      <c r="E111" s="26">
        <v>26339.3</v>
      </c>
      <c r="F111" s="26"/>
      <c r="G111" s="26">
        <f>E111*300%</f>
        <v>79017.899999999994</v>
      </c>
      <c r="H111" s="26">
        <f>E111*7.5%</f>
        <v>1975.4474999999998</v>
      </c>
      <c r="I111" s="26">
        <v>0</v>
      </c>
      <c r="J111" s="26">
        <f>E111*50%</f>
        <v>13169.65</v>
      </c>
      <c r="K111" s="26">
        <f>E111*350%</f>
        <v>92187.55</v>
      </c>
      <c r="L111" s="26">
        <f>E111*100%</f>
        <v>26339.3</v>
      </c>
      <c r="M111" s="213">
        <f>120000</f>
        <v>120000</v>
      </c>
      <c r="N111" s="213"/>
      <c r="O111" s="26">
        <f>E111*10%</f>
        <v>2633.9300000000003</v>
      </c>
      <c r="P111" s="26">
        <v>15000</v>
      </c>
      <c r="Q111" s="26">
        <v>39820.116654999998</v>
      </c>
      <c r="R111" s="238">
        <f>SUM(E111:Q111)</f>
        <v>416483.19415499998</v>
      </c>
      <c r="S111" s="24"/>
      <c r="T111" s="24">
        <f>50000</f>
        <v>50000</v>
      </c>
      <c r="U111" s="24">
        <f>0</f>
        <v>0</v>
      </c>
      <c r="V111" s="24"/>
      <c r="W111" s="24">
        <v>58941.101743466657</v>
      </c>
      <c r="X111" s="303">
        <f>W111+V111+U111+T111+S111</f>
        <v>108941.10174346666</v>
      </c>
      <c r="Y111" s="24">
        <v>307542.09241153335</v>
      </c>
      <c r="Z111" s="241">
        <f t="shared" si="161"/>
        <v>307542.09241153335</v>
      </c>
      <c r="AA111" s="214"/>
    </row>
    <row r="112" spans="1:27" ht="20.100000000000001" customHeight="1">
      <c r="A112" s="21">
        <v>5</v>
      </c>
      <c r="B112" s="189" t="s">
        <v>240</v>
      </c>
      <c r="C112" s="21" t="s">
        <v>338</v>
      </c>
      <c r="D112" s="215" t="s">
        <v>501</v>
      </c>
      <c r="E112" s="213">
        <f>13872.4</f>
        <v>13872.4</v>
      </c>
      <c r="F112" s="26"/>
      <c r="G112" s="26">
        <f>E112*300%</f>
        <v>41617.199999999997</v>
      </c>
      <c r="H112" s="26">
        <f>E112*7.5%</f>
        <v>1040.4299999999998</v>
      </c>
      <c r="I112" s="26"/>
      <c r="J112" s="26">
        <f>E112*50%</f>
        <v>6936.2</v>
      </c>
      <c r="K112" s="24">
        <f>E112*350%</f>
        <v>48553.4</v>
      </c>
      <c r="L112" s="26">
        <f>E112*100%</f>
        <v>13872.4</v>
      </c>
      <c r="M112" s="213">
        <f>100000</f>
        <v>100000</v>
      </c>
      <c r="N112" s="213"/>
      <c r="O112" s="26">
        <f>E112*10%</f>
        <v>1387.24</v>
      </c>
      <c r="P112" s="26">
        <v>10000</v>
      </c>
      <c r="Q112" s="26">
        <v>25333.447479999999</v>
      </c>
      <c r="R112" s="238">
        <f>SUM(E112:Q112)</f>
        <v>262612.71747999999</v>
      </c>
      <c r="S112" s="24"/>
      <c r="T112" s="24">
        <v>20000</v>
      </c>
      <c r="U112" s="24">
        <f>50000</f>
        <v>50000</v>
      </c>
      <c r="V112" s="24"/>
      <c r="W112" s="26">
        <v>31285.603203306662</v>
      </c>
      <c r="X112" s="303">
        <f>W112+V112+U112+T112+S112</f>
        <v>101285.60320330666</v>
      </c>
      <c r="Y112" s="24">
        <v>161327.11427669332</v>
      </c>
      <c r="Z112" s="241">
        <f t="shared" si="161"/>
        <v>161327.11427669332</v>
      </c>
      <c r="AA112" s="214"/>
    </row>
    <row r="113" spans="1:27" ht="20.100000000000001" customHeight="1">
      <c r="A113" s="21">
        <v>6</v>
      </c>
      <c r="B113" s="190" t="s">
        <v>341</v>
      </c>
      <c r="C113" s="21" t="s">
        <v>338</v>
      </c>
      <c r="D113" s="29" t="s">
        <v>267</v>
      </c>
      <c r="E113" s="26">
        <v>13492.21</v>
      </c>
      <c r="F113" s="26"/>
      <c r="G113" s="26">
        <f t="shared" ref="G113" si="162">E113*300%</f>
        <v>40476.629999999997</v>
      </c>
      <c r="H113" s="26">
        <f t="shared" ref="H113" si="163">E113*7.5%</f>
        <v>1011.9157499999999</v>
      </c>
      <c r="I113" s="26"/>
      <c r="J113" s="26">
        <f t="shared" ref="J113" si="164">E113*50%</f>
        <v>6746.1049999999996</v>
      </c>
      <c r="K113" s="26">
        <f t="shared" ref="K113" si="165">E113*350%</f>
        <v>47222.735000000001</v>
      </c>
      <c r="L113" s="26">
        <f t="shared" ref="L113" si="166">E113*100%</f>
        <v>13492.21</v>
      </c>
      <c r="M113" s="213">
        <f>100000</f>
        <v>100000</v>
      </c>
      <c r="N113" s="213"/>
      <c r="O113" s="26">
        <f t="shared" ref="O113" si="167">E113*10%</f>
        <v>1349.221</v>
      </c>
      <c r="P113" s="26">
        <v>10000</v>
      </c>
      <c r="Q113" s="26">
        <v>24949.771000000001</v>
      </c>
      <c r="R113" s="238">
        <f t="shared" ref="R113" si="168">SUM(E113:Q113)</f>
        <v>258740.79775</v>
      </c>
      <c r="S113" s="24"/>
      <c r="T113" s="24">
        <f>25000</f>
        <v>25000</v>
      </c>
      <c r="U113" s="24">
        <v>0</v>
      </c>
      <c r="V113" s="24"/>
      <c r="W113" s="26">
        <v>30635.120688666666</v>
      </c>
      <c r="X113" s="303">
        <f>W113+V113+U113+T113+S113</f>
        <v>55635.120688666662</v>
      </c>
      <c r="Y113" s="24">
        <v>203105.67706133332</v>
      </c>
      <c r="Z113" s="241">
        <f t="shared" si="161"/>
        <v>203105.67706133332</v>
      </c>
      <c r="AA113" s="214"/>
    </row>
    <row r="114" spans="1:27" ht="20.100000000000001" customHeight="1">
      <c r="A114" s="21">
        <v>7</v>
      </c>
      <c r="B114" s="190" t="s">
        <v>374</v>
      </c>
      <c r="C114" s="21" t="s">
        <v>338</v>
      </c>
      <c r="D114" s="215" t="s">
        <v>176</v>
      </c>
      <c r="E114" s="213">
        <f>12732</f>
        <v>12732</v>
      </c>
      <c r="F114" s="26"/>
      <c r="G114" s="26">
        <f t="shared" ref="G114" si="169">E114*300%</f>
        <v>38196</v>
      </c>
      <c r="H114" s="26">
        <f t="shared" ref="H114" si="170">E114*7.5%</f>
        <v>954.9</v>
      </c>
      <c r="I114" s="26"/>
      <c r="J114" s="26">
        <f t="shared" ref="J114" si="171">E114*50%</f>
        <v>6366</v>
      </c>
      <c r="K114" s="24">
        <f t="shared" ref="K114" si="172">E114*350%</f>
        <v>44562</v>
      </c>
      <c r="L114" s="26">
        <f t="shared" ref="L114" si="173">E114*100%</f>
        <v>12732</v>
      </c>
      <c r="M114" s="213">
        <f t="shared" ref="M114" si="174">100000</f>
        <v>100000</v>
      </c>
      <c r="N114" s="213"/>
      <c r="O114" s="26">
        <f t="shared" ref="O114" si="175">E114*10%</f>
        <v>1273.2</v>
      </c>
      <c r="P114" s="26">
        <v>10000</v>
      </c>
      <c r="Q114" s="26">
        <v>24566.195445000001</v>
      </c>
      <c r="R114" s="238">
        <f t="shared" ref="R114" si="176">SUM(E114:Q114)</f>
        <v>251382.295445</v>
      </c>
      <c r="S114" s="24"/>
      <c r="T114" s="24">
        <f>30000</f>
        <v>30000</v>
      </c>
      <c r="U114" s="24"/>
      <c r="V114" s="24"/>
      <c r="W114" s="26">
        <v>29055.584161426657</v>
      </c>
      <c r="X114" s="303">
        <f>W114+V114+U114+T114+S114</f>
        <v>59055.584161426654</v>
      </c>
      <c r="Y114" s="24">
        <v>192326.71128357336</v>
      </c>
      <c r="Z114" s="241">
        <f t="shared" si="161"/>
        <v>192326.71128357336</v>
      </c>
      <c r="AA114" s="214"/>
    </row>
    <row r="115" spans="1:27" ht="25.5" customHeight="1">
      <c r="A115" s="21"/>
      <c r="B115" s="192" t="s">
        <v>15</v>
      </c>
      <c r="C115" s="30">
        <v>7</v>
      </c>
      <c r="D115" s="21"/>
      <c r="E115" s="222">
        <f>SUM(E108:E114)</f>
        <v>215672.91999999998</v>
      </c>
      <c r="F115" s="222"/>
      <c r="G115" s="222">
        <f t="shared" ref="G115:M115" si="177">SUM(G108:G114)</f>
        <v>647018.76</v>
      </c>
      <c r="H115" s="222">
        <f t="shared" si="177"/>
        <v>16175.469000000001</v>
      </c>
      <c r="I115" s="222">
        <f t="shared" si="177"/>
        <v>120366.57</v>
      </c>
      <c r="J115" s="222">
        <f t="shared" si="177"/>
        <v>107836.45999999999</v>
      </c>
      <c r="K115" s="222">
        <f t="shared" si="177"/>
        <v>754855.22</v>
      </c>
      <c r="L115" s="222">
        <f t="shared" si="177"/>
        <v>215672.91999999998</v>
      </c>
      <c r="M115" s="218">
        <f t="shared" si="177"/>
        <v>920000</v>
      </c>
      <c r="N115" s="218"/>
      <c r="O115" s="222">
        <f>SUM(O108:O114)</f>
        <v>21567.292000000005</v>
      </c>
      <c r="P115" s="222">
        <f>SUM(P108:P114)</f>
        <v>100000</v>
      </c>
      <c r="Q115" s="222">
        <f>SUM(Q108:Q114)</f>
        <v>156102.469105</v>
      </c>
      <c r="R115" s="250">
        <f>SUM(R108:R114)</f>
        <v>3275268.0801050002</v>
      </c>
      <c r="S115" s="222"/>
      <c r="T115" s="222">
        <f>SUM(T108:T114)</f>
        <v>295000</v>
      </c>
      <c r="U115" s="222">
        <f t="shared" ref="U115:Z115" si="178">SUM(U108:U114)</f>
        <v>350000</v>
      </c>
      <c r="V115" s="222">
        <f t="shared" si="178"/>
        <v>1687.4247500000001</v>
      </c>
      <c r="W115" s="222">
        <f t="shared" si="178"/>
        <v>486151.56760966667</v>
      </c>
      <c r="X115" s="222">
        <f t="shared" si="178"/>
        <v>1132838.9923596666</v>
      </c>
      <c r="Y115" s="222">
        <v>2142429.0877453336</v>
      </c>
      <c r="Z115" s="222">
        <f t="shared" si="178"/>
        <v>2142429.0877453336</v>
      </c>
      <c r="AA115" s="214"/>
    </row>
    <row r="116" spans="1:27" ht="20.100000000000001" customHeight="1">
      <c r="A116" s="21"/>
      <c r="B116" s="192"/>
      <c r="C116" s="30"/>
      <c r="D116" s="21"/>
      <c r="E116" s="222"/>
      <c r="F116" s="222"/>
      <c r="G116" s="222"/>
      <c r="H116" s="222"/>
      <c r="I116" s="222"/>
      <c r="J116" s="222"/>
      <c r="K116" s="222"/>
      <c r="L116" s="222"/>
      <c r="M116" s="218"/>
      <c r="N116" s="218"/>
      <c r="O116" s="222"/>
      <c r="P116" s="222"/>
      <c r="Q116" s="222"/>
      <c r="R116" s="250"/>
      <c r="S116" s="222"/>
      <c r="T116" s="222"/>
      <c r="U116" s="222"/>
      <c r="V116" s="222"/>
      <c r="W116" s="222"/>
      <c r="X116" s="222"/>
      <c r="Y116" s="222"/>
      <c r="Z116" s="222"/>
      <c r="AA116" s="214"/>
    </row>
    <row r="117" spans="1:27" ht="20.100000000000001" customHeight="1">
      <c r="A117" s="29"/>
      <c r="B117" s="192" t="s">
        <v>556</v>
      </c>
      <c r="C117" s="30"/>
      <c r="D117" s="30"/>
      <c r="E117" s="31"/>
      <c r="F117" s="31"/>
      <c r="G117" s="31"/>
      <c r="H117" s="31"/>
      <c r="I117" s="31"/>
      <c r="J117" s="31"/>
      <c r="K117" s="31"/>
      <c r="L117" s="31"/>
      <c r="M117" s="213"/>
      <c r="N117" s="213"/>
      <c r="O117" s="31"/>
      <c r="P117" s="31"/>
      <c r="Q117" s="31"/>
      <c r="R117" s="247"/>
      <c r="S117" s="31"/>
      <c r="T117" s="31"/>
      <c r="U117" s="31"/>
      <c r="V117" s="31"/>
      <c r="W117" s="31"/>
      <c r="X117" s="306"/>
      <c r="Y117" s="31"/>
      <c r="Z117" s="255"/>
      <c r="AA117" s="214"/>
    </row>
    <row r="118" spans="1:27" ht="20.100000000000001" customHeight="1">
      <c r="A118" s="29">
        <v>1</v>
      </c>
      <c r="B118" s="189" t="s">
        <v>182</v>
      </c>
      <c r="C118" s="156" t="s">
        <v>422</v>
      </c>
      <c r="D118" s="215" t="s">
        <v>499</v>
      </c>
      <c r="E118" s="26">
        <f>22837.82</f>
        <v>22837.82</v>
      </c>
      <c r="F118" s="26"/>
      <c r="G118" s="26">
        <f t="shared" ref="G118:G119" si="179">E118*300%</f>
        <v>68513.459999999992</v>
      </c>
      <c r="H118" s="26">
        <f t="shared" ref="H118:H119" si="180">E118*7.5%</f>
        <v>1712.8364999999999</v>
      </c>
      <c r="I118" s="26">
        <v>0</v>
      </c>
      <c r="J118" s="26">
        <f t="shared" ref="J118" si="181">E118*50%</f>
        <v>11418.91</v>
      </c>
      <c r="K118" s="24">
        <f t="shared" ref="K118:K119" si="182">E118*350%</f>
        <v>79932.37</v>
      </c>
      <c r="L118" s="26">
        <f t="shared" ref="L118:L119" si="183">E118*100%</f>
        <v>22837.82</v>
      </c>
      <c r="M118" s="213">
        <f>110000</f>
        <v>110000</v>
      </c>
      <c r="N118" s="213"/>
      <c r="O118" s="26">
        <f t="shared" ref="O118:O119" si="184">E118*10%</f>
        <v>2283.7820000000002</v>
      </c>
      <c r="P118" s="26">
        <v>15000</v>
      </c>
      <c r="Q118" s="26">
        <v>0</v>
      </c>
      <c r="R118" s="238">
        <f t="shared" ref="R118" si="185">SUM(E118:Q118)</f>
        <v>334536.99849999999</v>
      </c>
      <c r="S118" s="24"/>
      <c r="T118" s="24">
        <f>10000</f>
        <v>10000</v>
      </c>
      <c r="U118" s="24">
        <v>110000</v>
      </c>
      <c r="V118" s="24">
        <v>570.94550000000004</v>
      </c>
      <c r="W118" s="26">
        <v>43278.494774666666</v>
      </c>
      <c r="X118" s="307">
        <f t="shared" ref="X118:X119" si="186">W118+V118+U118+T118+S118</f>
        <v>163849.44027466667</v>
      </c>
      <c r="Y118" s="24">
        <v>170687.55822533331</v>
      </c>
      <c r="Z118" s="241">
        <f t="shared" ref="Z118:Z119" si="187">R118-X118</f>
        <v>170687.55822533331</v>
      </c>
      <c r="AA118" s="214"/>
    </row>
    <row r="119" spans="1:27" ht="18.75" customHeight="1">
      <c r="A119" s="29">
        <v>2</v>
      </c>
      <c r="B119" s="189" t="s">
        <v>247</v>
      </c>
      <c r="C119" s="21" t="s">
        <v>479</v>
      </c>
      <c r="D119" s="215" t="s">
        <v>415</v>
      </c>
      <c r="E119" s="26">
        <v>21520.880000000001</v>
      </c>
      <c r="F119" s="26"/>
      <c r="G119" s="26">
        <f t="shared" si="179"/>
        <v>64562.64</v>
      </c>
      <c r="H119" s="26">
        <f t="shared" si="180"/>
        <v>1614.066</v>
      </c>
      <c r="I119" s="26"/>
      <c r="J119" s="26">
        <f>E119*50%</f>
        <v>10760.44</v>
      </c>
      <c r="K119" s="24">
        <f t="shared" si="182"/>
        <v>75323.08</v>
      </c>
      <c r="L119" s="26">
        <f t="shared" si="183"/>
        <v>21520.880000000001</v>
      </c>
      <c r="M119" s="213"/>
      <c r="N119" s="213">
        <f>60000</f>
        <v>60000</v>
      </c>
      <c r="O119" s="26">
        <f t="shared" si="184"/>
        <v>2152.0880000000002</v>
      </c>
      <c r="P119" s="26">
        <v>10000</v>
      </c>
      <c r="Q119" s="26"/>
      <c r="R119" s="238">
        <f t="shared" ref="R119" si="188">Q119+P119+O119+N119+M119+L119+K119+J119+I119+H119+G119+F119+E119</f>
        <v>267454.07400000002</v>
      </c>
      <c r="S119" s="24"/>
      <c r="T119" s="24">
        <f>20000</f>
        <v>20000</v>
      </c>
      <c r="U119" s="24">
        <f>'[2]OCT 2022 '!$D$184</f>
        <v>43750</v>
      </c>
      <c r="V119" s="24"/>
      <c r="W119" s="26">
        <v>32098.951098666672</v>
      </c>
      <c r="X119" s="303">
        <f t="shared" si="186"/>
        <v>95848.951098666672</v>
      </c>
      <c r="Y119" s="24">
        <v>171605.12290133335</v>
      </c>
      <c r="Z119" s="241">
        <f t="shared" si="187"/>
        <v>171605.12290133335</v>
      </c>
      <c r="AA119" s="214"/>
    </row>
    <row r="120" spans="1:27" ht="24.75" customHeight="1">
      <c r="A120" s="21"/>
      <c r="B120" s="192" t="s">
        <v>15</v>
      </c>
      <c r="C120" s="30">
        <v>2</v>
      </c>
      <c r="D120" s="221"/>
      <c r="E120" s="78">
        <f t="shared" ref="E120:Z120" si="189">SUM(E118:E119)</f>
        <v>44358.7</v>
      </c>
      <c r="F120" s="78">
        <f t="shared" si="189"/>
        <v>0</v>
      </c>
      <c r="G120" s="78">
        <f t="shared" si="189"/>
        <v>133076.09999999998</v>
      </c>
      <c r="H120" s="78">
        <f t="shared" si="189"/>
        <v>3326.9025000000001</v>
      </c>
      <c r="I120" s="78">
        <f t="shared" si="189"/>
        <v>0</v>
      </c>
      <c r="J120" s="78">
        <f t="shared" si="189"/>
        <v>22179.35</v>
      </c>
      <c r="K120" s="78">
        <f t="shared" si="189"/>
        <v>155255.45000000001</v>
      </c>
      <c r="L120" s="78">
        <f t="shared" si="189"/>
        <v>44358.7</v>
      </c>
      <c r="M120" s="78">
        <f t="shared" si="189"/>
        <v>110000</v>
      </c>
      <c r="N120" s="78">
        <f t="shared" si="189"/>
        <v>60000</v>
      </c>
      <c r="O120" s="78">
        <f t="shared" si="189"/>
        <v>4435.8700000000008</v>
      </c>
      <c r="P120" s="78">
        <f t="shared" si="189"/>
        <v>25000</v>
      </c>
      <c r="Q120" s="78">
        <f t="shared" si="189"/>
        <v>0</v>
      </c>
      <c r="R120" s="78">
        <f t="shared" si="189"/>
        <v>601991.07250000001</v>
      </c>
      <c r="S120" s="78">
        <f t="shared" si="189"/>
        <v>0</v>
      </c>
      <c r="T120" s="78">
        <f t="shared" si="189"/>
        <v>30000</v>
      </c>
      <c r="U120" s="78">
        <f t="shared" si="189"/>
        <v>153750</v>
      </c>
      <c r="V120" s="78">
        <f t="shared" si="189"/>
        <v>570.94550000000004</v>
      </c>
      <c r="W120" s="78">
        <f t="shared" si="189"/>
        <v>75377.445873333345</v>
      </c>
      <c r="X120" s="78">
        <f t="shared" si="189"/>
        <v>259698.39137333335</v>
      </c>
      <c r="Y120" s="78">
        <v>342292.68112666666</v>
      </c>
      <c r="Z120" s="78">
        <f t="shared" si="189"/>
        <v>342292.68112666666</v>
      </c>
      <c r="AA120" s="214"/>
    </row>
    <row r="121" spans="1:27" ht="20.100000000000001" customHeight="1">
      <c r="A121" s="21"/>
      <c r="B121" s="192"/>
      <c r="C121" s="30"/>
      <c r="D121" s="21"/>
      <c r="E121" s="222"/>
      <c r="F121" s="222"/>
      <c r="G121" s="222"/>
      <c r="H121" s="222"/>
      <c r="I121" s="222"/>
      <c r="J121" s="222"/>
      <c r="K121" s="222"/>
      <c r="L121" s="222"/>
      <c r="M121" s="218"/>
      <c r="N121" s="218"/>
      <c r="O121" s="222"/>
      <c r="P121" s="222"/>
      <c r="Q121" s="222"/>
      <c r="R121" s="250"/>
      <c r="S121" s="222"/>
      <c r="T121" s="222"/>
      <c r="U121" s="222"/>
      <c r="V121" s="222"/>
      <c r="W121" s="222"/>
      <c r="X121" s="222"/>
      <c r="Y121" s="222"/>
      <c r="Z121" s="222"/>
      <c r="AA121" s="214"/>
    </row>
    <row r="122" spans="1:27" ht="20.100000000000001" customHeight="1">
      <c r="A122" s="21"/>
      <c r="B122" s="142"/>
      <c r="C122" s="29"/>
      <c r="D122" s="21"/>
      <c r="E122" s="223"/>
      <c r="F122" s="210"/>
      <c r="G122" s="223"/>
      <c r="H122" s="223"/>
      <c r="I122" s="223"/>
      <c r="J122" s="223"/>
      <c r="K122" s="223"/>
      <c r="L122" s="223"/>
      <c r="M122" s="213"/>
      <c r="N122" s="213"/>
      <c r="O122" s="223"/>
      <c r="P122" s="223"/>
      <c r="Q122" s="223"/>
      <c r="R122" s="240"/>
      <c r="S122" s="223"/>
      <c r="T122" s="223"/>
      <c r="U122" s="223"/>
      <c r="V122" s="223"/>
      <c r="W122" s="223"/>
      <c r="X122" s="309"/>
      <c r="Y122" s="223"/>
      <c r="Z122" s="243"/>
      <c r="AA122" s="214"/>
    </row>
    <row r="123" spans="1:27" ht="20.100000000000001" customHeight="1">
      <c r="A123" s="21"/>
      <c r="B123" s="192" t="s">
        <v>468</v>
      </c>
      <c r="C123" s="30"/>
      <c r="D123" s="30"/>
      <c r="E123" s="31"/>
      <c r="F123" s="31"/>
      <c r="G123" s="31"/>
      <c r="H123" s="31"/>
      <c r="I123" s="31"/>
      <c r="J123" s="31"/>
      <c r="K123" s="31"/>
      <c r="L123" s="31"/>
      <c r="M123" s="213"/>
      <c r="N123" s="213"/>
      <c r="O123" s="31"/>
      <c r="P123" s="31"/>
      <c r="Q123" s="31"/>
      <c r="R123" s="248"/>
      <c r="S123" s="216"/>
      <c r="T123" s="216"/>
      <c r="U123" s="216"/>
      <c r="V123" s="216"/>
      <c r="W123" s="31"/>
      <c r="X123" s="303"/>
      <c r="Y123" s="24"/>
      <c r="Z123" s="241"/>
      <c r="AA123" s="214"/>
    </row>
    <row r="124" spans="1:27" ht="20.100000000000001" customHeight="1">
      <c r="A124" s="21">
        <v>1</v>
      </c>
      <c r="B124" s="189" t="s">
        <v>20</v>
      </c>
      <c r="C124" s="194" t="s">
        <v>250</v>
      </c>
      <c r="D124" s="215" t="s">
        <v>161</v>
      </c>
      <c r="E124" s="26">
        <v>81740.02</v>
      </c>
      <c r="F124" s="26"/>
      <c r="G124" s="26">
        <f t="shared" ref="G124:G131" si="190">E124*300%</f>
        <v>245220.06</v>
      </c>
      <c r="H124" s="26">
        <f t="shared" ref="H124:H131" si="191">E124*7.5%</f>
        <v>6130.5015000000003</v>
      </c>
      <c r="I124" s="26">
        <f>80244.38</f>
        <v>80244.38</v>
      </c>
      <c r="J124" s="26">
        <f t="shared" ref="J124:J131" si="192">E124*50%</f>
        <v>40870.01</v>
      </c>
      <c r="K124" s="26">
        <f t="shared" ref="K124:K131" si="193">E124*350%</f>
        <v>286090.07</v>
      </c>
      <c r="L124" s="26">
        <f t="shared" ref="L124:L131" si="194">E124*100%</f>
        <v>81740.02</v>
      </c>
      <c r="M124" s="213"/>
      <c r="N124" s="213">
        <f>100000</f>
        <v>100000</v>
      </c>
      <c r="O124" s="26">
        <f t="shared" ref="O124:O131" si="195">E124*10%</f>
        <v>8174.0020000000004</v>
      </c>
      <c r="P124" s="26">
        <v>20000</v>
      </c>
      <c r="Q124" s="26">
        <v>100000</v>
      </c>
      <c r="R124" s="238">
        <f t="shared" ref="R124:R131" si="196">SUM(E124:Q124)</f>
        <v>1050209.0635000002</v>
      </c>
      <c r="S124" s="24"/>
      <c r="T124" s="24">
        <f>200000</f>
        <v>200000</v>
      </c>
      <c r="U124" s="24">
        <f>327777.78</f>
        <v>327777.78000000003</v>
      </c>
      <c r="V124" s="24">
        <v>2043.5005000000001</v>
      </c>
      <c r="W124" s="26">
        <v>179914.4546986667</v>
      </c>
      <c r="X124" s="303">
        <f t="shared" ref="X124:X131" si="197">W124+V124+U124+T124+S124</f>
        <v>709735.73519866669</v>
      </c>
      <c r="Y124" s="24">
        <v>340473.32830133347</v>
      </c>
      <c r="Z124" s="241">
        <f t="shared" ref="Z124:Z133" si="198">R124-X124</f>
        <v>340473.32830133347</v>
      </c>
      <c r="AA124" s="214"/>
    </row>
    <row r="125" spans="1:27" ht="20.100000000000001" customHeight="1">
      <c r="A125" s="21">
        <v>2</v>
      </c>
      <c r="B125" s="189" t="s">
        <v>100</v>
      </c>
      <c r="C125" s="194" t="s">
        <v>268</v>
      </c>
      <c r="D125" s="215" t="s">
        <v>160</v>
      </c>
      <c r="E125" s="26">
        <v>0</v>
      </c>
      <c r="F125" s="26"/>
      <c r="G125" s="26">
        <f t="shared" si="190"/>
        <v>0</v>
      </c>
      <c r="H125" s="26">
        <f t="shared" si="191"/>
        <v>0</v>
      </c>
      <c r="I125" s="26">
        <v>0</v>
      </c>
      <c r="J125" s="26">
        <f t="shared" si="192"/>
        <v>0</v>
      </c>
      <c r="K125" s="26">
        <f t="shared" si="193"/>
        <v>0</v>
      </c>
      <c r="L125" s="26">
        <f t="shared" si="194"/>
        <v>0</v>
      </c>
      <c r="M125" s="213"/>
      <c r="N125" s="213">
        <v>0</v>
      </c>
      <c r="O125" s="26">
        <f t="shared" si="195"/>
        <v>0</v>
      </c>
      <c r="P125" s="26">
        <v>0</v>
      </c>
      <c r="Q125" s="26">
        <v>0</v>
      </c>
      <c r="R125" s="238">
        <f>SUM(E125:Q125)*(8/30)</f>
        <v>0</v>
      </c>
      <c r="S125" s="24"/>
      <c r="T125" s="24">
        <v>0</v>
      </c>
      <c r="U125" s="24">
        <f>0</f>
        <v>0</v>
      </c>
      <c r="V125" s="24"/>
      <c r="W125" s="26">
        <v>0</v>
      </c>
      <c r="X125" s="303">
        <f t="shared" si="197"/>
        <v>0</v>
      </c>
      <c r="Y125" s="24">
        <v>0</v>
      </c>
      <c r="Z125" s="241">
        <f t="shared" si="198"/>
        <v>0</v>
      </c>
      <c r="AA125" s="214"/>
    </row>
    <row r="126" spans="1:27" ht="20.100000000000001" customHeight="1">
      <c r="A126" s="21">
        <v>3</v>
      </c>
      <c r="B126" s="189" t="s">
        <v>153</v>
      </c>
      <c r="C126" s="194" t="s">
        <v>376</v>
      </c>
      <c r="D126" s="215" t="s">
        <v>75</v>
      </c>
      <c r="E126" s="26">
        <v>33507.5</v>
      </c>
      <c r="F126" s="26"/>
      <c r="G126" s="26">
        <f t="shared" si="190"/>
        <v>100522.5</v>
      </c>
      <c r="H126" s="26">
        <f t="shared" si="191"/>
        <v>2513.0625</v>
      </c>
      <c r="I126" s="26">
        <v>40122.19</v>
      </c>
      <c r="J126" s="26">
        <f t="shared" si="192"/>
        <v>16753.75</v>
      </c>
      <c r="K126" s="24">
        <f t="shared" si="193"/>
        <v>117276.25</v>
      </c>
      <c r="L126" s="26">
        <f t="shared" si="194"/>
        <v>33507.5</v>
      </c>
      <c r="M126" s="213"/>
      <c r="N126" s="213">
        <f>80000</f>
        <v>80000</v>
      </c>
      <c r="O126" s="26">
        <f t="shared" si="195"/>
        <v>3350.75</v>
      </c>
      <c r="P126" s="26">
        <v>20000</v>
      </c>
      <c r="Q126" s="26">
        <v>100000</v>
      </c>
      <c r="R126" s="238">
        <f t="shared" si="196"/>
        <v>547553.50249999994</v>
      </c>
      <c r="S126" s="24"/>
      <c r="T126" s="24">
        <f>100000</f>
        <v>100000</v>
      </c>
      <c r="U126" s="24">
        <f>0</f>
        <v>0</v>
      </c>
      <c r="V126" s="24">
        <v>837.6875</v>
      </c>
      <c r="W126" s="26">
        <v>83636.103146666646</v>
      </c>
      <c r="X126" s="303">
        <f t="shared" si="197"/>
        <v>184473.79064666666</v>
      </c>
      <c r="Y126" s="24">
        <v>363079.71185333328</v>
      </c>
      <c r="Z126" s="241">
        <f t="shared" si="198"/>
        <v>363079.71185333328</v>
      </c>
      <c r="AA126" s="214"/>
    </row>
    <row r="127" spans="1:27" ht="20.100000000000001" customHeight="1">
      <c r="A127" s="21">
        <v>4</v>
      </c>
      <c r="B127" s="191" t="s">
        <v>142</v>
      </c>
      <c r="C127" s="194" t="s">
        <v>376</v>
      </c>
      <c r="D127" s="215" t="s">
        <v>75</v>
      </c>
      <c r="E127" s="26">
        <v>33507.5</v>
      </c>
      <c r="F127" s="26"/>
      <c r="G127" s="26">
        <f>E127*300%</f>
        <v>100522.5</v>
      </c>
      <c r="H127" s="26">
        <f>E127*7.5%</f>
        <v>2513.0625</v>
      </c>
      <c r="I127" s="26">
        <f>40122.19</f>
        <v>40122.19</v>
      </c>
      <c r="J127" s="26">
        <f>E127*50%</f>
        <v>16753.75</v>
      </c>
      <c r="K127" s="24">
        <f>E127*350%</f>
        <v>117276.25</v>
      </c>
      <c r="L127" s="26">
        <f>E127*100%</f>
        <v>33507.5</v>
      </c>
      <c r="M127" s="213"/>
      <c r="N127" s="213">
        <f t="shared" si="15"/>
        <v>80000</v>
      </c>
      <c r="O127" s="26">
        <f>E127*10%</f>
        <v>3350.75</v>
      </c>
      <c r="P127" s="26">
        <v>20000</v>
      </c>
      <c r="Q127" s="26">
        <f>100000+30000</f>
        <v>130000</v>
      </c>
      <c r="R127" s="238">
        <f>SUM(E127:Q127)</f>
        <v>577553.50249999994</v>
      </c>
      <c r="S127" s="24"/>
      <c r="T127" s="24">
        <f>80000+40000-20000</f>
        <v>100000</v>
      </c>
      <c r="U127" s="24"/>
      <c r="V127" s="24">
        <v>837.6875</v>
      </c>
      <c r="W127" s="26">
        <v>89396.1</v>
      </c>
      <c r="X127" s="303">
        <f t="shared" si="197"/>
        <v>190233.78750000001</v>
      </c>
      <c r="Y127" s="24">
        <v>387319.71499999997</v>
      </c>
      <c r="Z127" s="241">
        <f t="shared" si="198"/>
        <v>387319.71499999997</v>
      </c>
      <c r="AA127" s="214"/>
    </row>
    <row r="128" spans="1:27" ht="20.100000000000001" customHeight="1">
      <c r="A128" s="21">
        <v>5</v>
      </c>
      <c r="B128" s="191" t="s">
        <v>363</v>
      </c>
      <c r="C128" s="194" t="s">
        <v>376</v>
      </c>
      <c r="D128" s="215" t="s">
        <v>30</v>
      </c>
      <c r="E128" s="26">
        <v>31018.84</v>
      </c>
      <c r="F128" s="26"/>
      <c r="G128" s="26">
        <f t="shared" ref="G128" si="199">E128*300%</f>
        <v>93056.52</v>
      </c>
      <c r="H128" s="26">
        <f t="shared" ref="H128" si="200">E128*7.5%</f>
        <v>2326.413</v>
      </c>
      <c r="I128" s="26">
        <v>40122.19</v>
      </c>
      <c r="J128" s="26">
        <f t="shared" ref="J128" si="201">E128*50%</f>
        <v>15509.42</v>
      </c>
      <c r="K128" s="24">
        <f t="shared" ref="K128" si="202">E128*350%</f>
        <v>108565.94</v>
      </c>
      <c r="L128" s="26">
        <f t="shared" ref="L128" si="203">E128*100%</f>
        <v>31018.84</v>
      </c>
      <c r="M128" s="213"/>
      <c r="N128" s="213">
        <f>80000</f>
        <v>80000</v>
      </c>
      <c r="O128" s="26">
        <f t="shared" ref="O128" si="204">E128*10%</f>
        <v>3101.884</v>
      </c>
      <c r="P128" s="26">
        <v>20000</v>
      </c>
      <c r="Q128" s="26">
        <v>0</v>
      </c>
      <c r="R128" s="238">
        <f>SUM(E128:Q128)</f>
        <v>424720.04700000002</v>
      </c>
      <c r="S128" s="24"/>
      <c r="T128" s="24">
        <f>100000</f>
        <v>100000</v>
      </c>
      <c r="U128" s="24">
        <f>51500</f>
        <v>51500</v>
      </c>
      <c r="V128" s="24"/>
      <c r="W128" s="26">
        <v>60212.915690666669</v>
      </c>
      <c r="X128" s="303">
        <f t="shared" si="197"/>
        <v>211712.91569066668</v>
      </c>
      <c r="Y128" s="24">
        <v>213007.13130933334</v>
      </c>
      <c r="Z128" s="241">
        <f t="shared" si="198"/>
        <v>213007.13130933334</v>
      </c>
      <c r="AA128" s="214"/>
    </row>
    <row r="129" spans="1:27" ht="20.100000000000001" customHeight="1">
      <c r="A129" s="21">
        <v>6</v>
      </c>
      <c r="B129" s="189" t="s">
        <v>108</v>
      </c>
      <c r="C129" s="194" t="s">
        <v>478</v>
      </c>
      <c r="D129" s="215" t="s">
        <v>162</v>
      </c>
      <c r="E129" s="26">
        <v>26732.65</v>
      </c>
      <c r="F129" s="26"/>
      <c r="G129" s="26">
        <f t="shared" si="190"/>
        <v>80197.950000000012</v>
      </c>
      <c r="H129" s="26">
        <f t="shared" si="191"/>
        <v>2004.94875</v>
      </c>
      <c r="I129" s="26">
        <v>0</v>
      </c>
      <c r="J129" s="26">
        <f t="shared" si="192"/>
        <v>13366.325000000001</v>
      </c>
      <c r="K129" s="24">
        <f t="shared" si="193"/>
        <v>93564.275000000009</v>
      </c>
      <c r="L129" s="26">
        <f t="shared" si="194"/>
        <v>26732.65</v>
      </c>
      <c r="M129" s="213"/>
      <c r="N129" s="213">
        <f>70000</f>
        <v>70000</v>
      </c>
      <c r="O129" s="26">
        <f t="shared" si="195"/>
        <v>2673.2650000000003</v>
      </c>
      <c r="P129" s="26">
        <f>15000+5000</f>
        <v>20000</v>
      </c>
      <c r="Q129" s="26">
        <v>0</v>
      </c>
      <c r="R129" s="238">
        <f t="shared" si="196"/>
        <v>335272.06374999997</v>
      </c>
      <c r="S129" s="24"/>
      <c r="T129" s="24">
        <f>70000</f>
        <v>70000</v>
      </c>
      <c r="U129" s="24">
        <f>50000</f>
        <v>50000</v>
      </c>
      <c r="V129" s="24"/>
      <c r="W129" s="26">
        <f>43492.37+1680</f>
        <v>45172.37</v>
      </c>
      <c r="X129" s="303">
        <f t="shared" si="197"/>
        <v>165172.37</v>
      </c>
      <c r="Y129" s="24">
        <v>170099.69374999998</v>
      </c>
      <c r="Z129" s="241">
        <f t="shared" si="198"/>
        <v>170099.69374999998</v>
      </c>
      <c r="AA129" s="214"/>
    </row>
    <row r="130" spans="1:27" ht="20.100000000000001" customHeight="1">
      <c r="A130" s="21">
        <v>7</v>
      </c>
      <c r="B130" s="189" t="s">
        <v>178</v>
      </c>
      <c r="C130" s="194" t="s">
        <v>382</v>
      </c>
      <c r="D130" s="215" t="s">
        <v>170</v>
      </c>
      <c r="E130" s="26">
        <v>25523.45</v>
      </c>
      <c r="F130" s="26"/>
      <c r="G130" s="26">
        <f t="shared" si="190"/>
        <v>76570.350000000006</v>
      </c>
      <c r="H130" s="26">
        <f t="shared" si="191"/>
        <v>1914.25875</v>
      </c>
      <c r="I130" s="26"/>
      <c r="J130" s="26">
        <f t="shared" si="192"/>
        <v>12761.725</v>
      </c>
      <c r="K130" s="24">
        <f t="shared" si="193"/>
        <v>89332.074999999997</v>
      </c>
      <c r="L130" s="26">
        <f t="shared" si="194"/>
        <v>25523.45</v>
      </c>
      <c r="M130" s="213"/>
      <c r="N130" s="213">
        <f t="shared" ref="N130:N131" si="205">70000</f>
        <v>70000</v>
      </c>
      <c r="O130" s="26">
        <f t="shared" si="195"/>
        <v>2552.3450000000003</v>
      </c>
      <c r="P130" s="26">
        <v>15000</v>
      </c>
      <c r="Q130" s="26">
        <v>0</v>
      </c>
      <c r="R130" s="238">
        <f t="shared" si="196"/>
        <v>319177.65375</v>
      </c>
      <c r="S130" s="24"/>
      <c r="T130" s="24">
        <f>50000</f>
        <v>50000</v>
      </c>
      <c r="U130" s="24">
        <f>68333.33</f>
        <v>68333.33</v>
      </c>
      <c r="V130" s="24">
        <v>638.08625000000006</v>
      </c>
      <c r="W130" s="26">
        <v>40684.6</v>
      </c>
      <c r="X130" s="303">
        <f t="shared" si="197"/>
        <v>159656.01624999999</v>
      </c>
      <c r="Y130" s="24">
        <v>159521.63750000001</v>
      </c>
      <c r="Z130" s="241">
        <f t="shared" si="198"/>
        <v>159521.63750000001</v>
      </c>
      <c r="AA130" s="214"/>
    </row>
    <row r="131" spans="1:27" ht="20.100000000000001" customHeight="1">
      <c r="A131" s="21">
        <v>8</v>
      </c>
      <c r="B131" s="189" t="s">
        <v>134</v>
      </c>
      <c r="C131" s="194" t="s">
        <v>384</v>
      </c>
      <c r="D131" s="215" t="s">
        <v>170</v>
      </c>
      <c r="E131" s="26">
        <v>25523.45</v>
      </c>
      <c r="F131" s="26"/>
      <c r="G131" s="26">
        <f t="shared" si="190"/>
        <v>76570.350000000006</v>
      </c>
      <c r="H131" s="26">
        <f t="shared" si="191"/>
        <v>1914.25875</v>
      </c>
      <c r="I131" s="26"/>
      <c r="J131" s="26">
        <f t="shared" si="192"/>
        <v>12761.725</v>
      </c>
      <c r="K131" s="24">
        <f t="shared" si="193"/>
        <v>89332.074999999997</v>
      </c>
      <c r="L131" s="26">
        <f t="shared" si="194"/>
        <v>25523.45</v>
      </c>
      <c r="M131" s="213"/>
      <c r="N131" s="213">
        <f t="shared" si="205"/>
        <v>70000</v>
      </c>
      <c r="O131" s="26">
        <f t="shared" si="195"/>
        <v>2552.3450000000003</v>
      </c>
      <c r="P131" s="26">
        <v>15000</v>
      </c>
      <c r="Q131" s="26"/>
      <c r="R131" s="238">
        <f t="shared" si="196"/>
        <v>319177.65375</v>
      </c>
      <c r="S131" s="24"/>
      <c r="T131" s="24">
        <f>35000+25000</f>
        <v>60000</v>
      </c>
      <c r="U131" s="24">
        <f>55000</f>
        <v>55000</v>
      </c>
      <c r="V131" s="24">
        <v>638.08625000000006</v>
      </c>
      <c r="W131" s="26">
        <v>40684.599176666663</v>
      </c>
      <c r="X131" s="303">
        <f t="shared" si="197"/>
        <v>156322.68542666666</v>
      </c>
      <c r="Y131" s="24">
        <v>162854.96832333333</v>
      </c>
      <c r="Z131" s="241">
        <f t="shared" si="198"/>
        <v>162854.96832333333</v>
      </c>
      <c r="AA131" s="214"/>
    </row>
    <row r="132" spans="1:27" ht="20.100000000000001" customHeight="1">
      <c r="A132" s="21">
        <v>9</v>
      </c>
      <c r="B132" s="189" t="s">
        <v>445</v>
      </c>
      <c r="C132" s="194" t="s">
        <v>449</v>
      </c>
      <c r="D132" s="29" t="s">
        <v>500</v>
      </c>
      <c r="E132" s="26">
        <f>15188.67</f>
        <v>15188.67</v>
      </c>
      <c r="F132" s="26"/>
      <c r="G132" s="26">
        <f t="shared" ref="G132:G133" si="206">E132*300%</f>
        <v>45566.01</v>
      </c>
      <c r="H132" s="26">
        <f t="shared" ref="H132:H133" si="207">E132*7.5%</f>
        <v>1139.1502499999999</v>
      </c>
      <c r="I132" s="26"/>
      <c r="J132" s="26">
        <f t="shared" ref="J132:J133" si="208">E132*50%</f>
        <v>7594.335</v>
      </c>
      <c r="K132" s="26">
        <f t="shared" ref="K132:K133" si="209">E132*350%</f>
        <v>53160.345000000001</v>
      </c>
      <c r="L132" s="26">
        <f t="shared" ref="L132:L133" si="210">E132*100%</f>
        <v>15188.67</v>
      </c>
      <c r="M132" s="213"/>
      <c r="N132" s="213">
        <f>60000</f>
        <v>60000</v>
      </c>
      <c r="O132" s="26">
        <f t="shared" ref="O132:O133" si="211">E132*10%</f>
        <v>1518.8670000000002</v>
      </c>
      <c r="P132" s="26">
        <v>10000</v>
      </c>
      <c r="Q132" s="26"/>
      <c r="R132" s="238">
        <f>SUM(E132:Q132)</f>
        <v>209356.04725</v>
      </c>
      <c r="S132" s="24"/>
      <c r="T132" s="24">
        <v>15000</v>
      </c>
      <c r="U132" s="24">
        <v>25000</v>
      </c>
      <c r="V132" s="24"/>
      <c r="W132" s="26">
        <v>22338.48260466666</v>
      </c>
      <c r="X132" s="303">
        <f>W132+V132+U132+T132</f>
        <v>62338.482604666657</v>
      </c>
      <c r="Y132" s="24">
        <v>147017.56464533333</v>
      </c>
      <c r="Z132" s="241">
        <f t="shared" si="198"/>
        <v>147017.56464533333</v>
      </c>
      <c r="AA132" s="214"/>
    </row>
    <row r="133" spans="1:27" ht="20.100000000000001" customHeight="1">
      <c r="A133" s="21">
        <v>10</v>
      </c>
      <c r="B133" s="190" t="s">
        <v>441</v>
      </c>
      <c r="C133" s="194" t="s">
        <v>442</v>
      </c>
      <c r="D133" s="215" t="s">
        <v>105</v>
      </c>
      <c r="E133" s="26">
        <f>12352.94</f>
        <v>12352.94</v>
      </c>
      <c r="F133" s="26">
        <v>560000</v>
      </c>
      <c r="G133" s="26">
        <f t="shared" si="206"/>
        <v>37058.82</v>
      </c>
      <c r="H133" s="26">
        <f t="shared" si="207"/>
        <v>926.47050000000002</v>
      </c>
      <c r="I133" s="26"/>
      <c r="J133" s="26">
        <f t="shared" si="208"/>
        <v>6176.47</v>
      </c>
      <c r="K133" s="26">
        <f t="shared" si="209"/>
        <v>43235.29</v>
      </c>
      <c r="L133" s="26">
        <f t="shared" si="210"/>
        <v>12352.94</v>
      </c>
      <c r="M133" s="213"/>
      <c r="N133" s="213">
        <f>50000</f>
        <v>50000</v>
      </c>
      <c r="O133" s="26">
        <f t="shared" si="211"/>
        <v>1235.2940000000001</v>
      </c>
      <c r="P133" s="26">
        <v>10000</v>
      </c>
      <c r="Q133" s="26"/>
      <c r="R133" s="238">
        <f t="shared" ref="R133" si="212">Q133+P133+O133+N133+M133+L133+K133+J133+I133+H133+G133+F133+E133</f>
        <v>733338.22450000001</v>
      </c>
      <c r="S133" s="24"/>
      <c r="T133" s="24">
        <f>10000</f>
        <v>10000</v>
      </c>
      <c r="U133" s="24">
        <v>60000</v>
      </c>
      <c r="V133" s="24">
        <v>0</v>
      </c>
      <c r="W133" s="26">
        <v>16514.228790666668</v>
      </c>
      <c r="X133" s="303">
        <f>W133+V133+U133+T133+S133</f>
        <v>86514.228790666675</v>
      </c>
      <c r="Y133" s="24">
        <v>89773.386133333319</v>
      </c>
      <c r="Z133" s="241">
        <f t="shared" si="198"/>
        <v>646823.99570933334</v>
      </c>
      <c r="AA133" s="214"/>
    </row>
    <row r="134" spans="1:27" ht="20.100000000000001" customHeight="1">
      <c r="A134" s="21"/>
      <c r="B134" s="192" t="s">
        <v>15</v>
      </c>
      <c r="C134" s="221" t="s">
        <v>557</v>
      </c>
      <c r="D134" s="215"/>
      <c r="E134" s="31">
        <f t="shared" ref="E134:L134" si="213">SUM(E124:E133)</f>
        <v>285095.02</v>
      </c>
      <c r="F134" s="31">
        <f t="shared" si="213"/>
        <v>560000</v>
      </c>
      <c r="G134" s="31">
        <f t="shared" si="213"/>
        <v>855285.05999999994</v>
      </c>
      <c r="H134" s="31">
        <f t="shared" si="213"/>
        <v>21382.126499999998</v>
      </c>
      <c r="I134" s="31">
        <f t="shared" si="213"/>
        <v>200610.95</v>
      </c>
      <c r="J134" s="31">
        <f t="shared" si="213"/>
        <v>142547.51</v>
      </c>
      <c r="K134" s="216">
        <f t="shared" si="213"/>
        <v>997832.57</v>
      </c>
      <c r="L134" s="31">
        <f t="shared" si="213"/>
        <v>285095.02</v>
      </c>
      <c r="M134" s="218"/>
      <c r="N134" s="218">
        <f>SUM(N124:N133)</f>
        <v>660000</v>
      </c>
      <c r="O134" s="31">
        <f>SUM(O124:O133)</f>
        <v>28509.502</v>
      </c>
      <c r="P134" s="31">
        <f>SUM(P124:P133)</f>
        <v>150000</v>
      </c>
      <c r="Q134" s="31">
        <f>SUM(Q124:Q133)</f>
        <v>330000</v>
      </c>
      <c r="R134" s="251">
        <f>SUM(R124:R133)</f>
        <v>4516357.7585000005</v>
      </c>
      <c r="S134" s="224"/>
      <c r="T134" s="224">
        <f>SUM(T124:T133)</f>
        <v>705000</v>
      </c>
      <c r="U134" s="224">
        <f>SUM(U124:U133)</f>
        <v>637611.1100000001</v>
      </c>
      <c r="V134" s="224">
        <v>4995.0480000000007</v>
      </c>
      <c r="W134" s="78">
        <f>SUM(W124:W133)</f>
        <v>578553.85410799994</v>
      </c>
      <c r="X134" s="310">
        <f>SUM(X124:X133)</f>
        <v>1926160.012108</v>
      </c>
      <c r="Y134" s="224">
        <v>2033147.1368159996</v>
      </c>
      <c r="Z134" s="257">
        <f>SUM(Z124:Z133)</f>
        <v>2590197.7463919995</v>
      </c>
      <c r="AA134" s="214"/>
    </row>
    <row r="135" spans="1:27" ht="20.100000000000001" customHeight="1">
      <c r="A135" s="21"/>
      <c r="B135" s="142"/>
      <c r="C135" s="221"/>
      <c r="D135" s="215"/>
      <c r="E135" s="31"/>
      <c r="F135" s="31"/>
      <c r="G135" s="31"/>
      <c r="H135" s="31"/>
      <c r="I135" s="31"/>
      <c r="J135" s="31"/>
      <c r="K135" s="216"/>
      <c r="L135" s="31"/>
      <c r="M135" s="213"/>
      <c r="N135" s="213"/>
      <c r="O135" s="31"/>
      <c r="P135" s="31"/>
      <c r="Q135" s="31"/>
      <c r="R135" s="248"/>
      <c r="S135" s="216"/>
      <c r="T135" s="216"/>
      <c r="U135" s="216"/>
      <c r="V135" s="216"/>
      <c r="W135" s="31"/>
      <c r="X135" s="311"/>
      <c r="Y135" s="216"/>
      <c r="Z135" s="258"/>
      <c r="AA135" s="214"/>
    </row>
    <row r="136" spans="1:27" ht="20.100000000000001" customHeight="1">
      <c r="A136" s="21"/>
      <c r="B136" s="192" t="s">
        <v>469</v>
      </c>
      <c r="C136" s="194"/>
      <c r="D136" s="215"/>
      <c r="E136" s="26"/>
      <c r="F136" s="26"/>
      <c r="G136" s="26"/>
      <c r="H136" s="26"/>
      <c r="I136" s="26"/>
      <c r="J136" s="26"/>
      <c r="K136" s="24"/>
      <c r="L136" s="26"/>
      <c r="M136" s="213"/>
      <c r="N136" s="213"/>
      <c r="O136" s="26"/>
      <c r="P136" s="26"/>
      <c r="Q136" s="26"/>
      <c r="R136" s="238"/>
      <c r="S136" s="24"/>
      <c r="T136" s="24"/>
      <c r="U136" s="24"/>
      <c r="V136" s="24"/>
      <c r="W136" s="26"/>
      <c r="X136" s="303"/>
      <c r="Y136" s="24"/>
      <c r="Z136" s="241"/>
      <c r="AA136" s="214"/>
    </row>
    <row r="137" spans="1:27" ht="20.100000000000001" customHeight="1">
      <c r="A137" s="225">
        <v>1</v>
      </c>
      <c r="B137" s="189" t="s">
        <v>21</v>
      </c>
      <c r="C137" s="194" t="s">
        <v>393</v>
      </c>
      <c r="D137" s="215" t="s">
        <v>161</v>
      </c>
      <c r="E137" s="26">
        <v>81740.02</v>
      </c>
      <c r="F137" s="26"/>
      <c r="G137" s="26">
        <f>E137*300%</f>
        <v>245220.06</v>
      </c>
      <c r="H137" s="26">
        <f>E137*7.5%</f>
        <v>6130.5015000000003</v>
      </c>
      <c r="I137" s="26">
        <f>80244.38</f>
        <v>80244.38</v>
      </c>
      <c r="J137" s="26">
        <f>E137*50%</f>
        <v>40870.01</v>
      </c>
      <c r="K137" s="26">
        <f>E137*350%</f>
        <v>286090.07</v>
      </c>
      <c r="L137" s="26">
        <f>E137*100%</f>
        <v>81740.02</v>
      </c>
      <c r="M137" s="213"/>
      <c r="N137" s="213">
        <f>100000</f>
        <v>100000</v>
      </c>
      <c r="O137" s="26">
        <f>E137*10%</f>
        <v>8174.0020000000004</v>
      </c>
      <c r="P137" s="26">
        <v>20000</v>
      </c>
      <c r="Q137" s="26">
        <v>0</v>
      </c>
      <c r="R137" s="238">
        <f>SUM(E137:Q137)</f>
        <v>950209.06350000005</v>
      </c>
      <c r="S137" s="24"/>
      <c r="T137" s="24">
        <f>100000</f>
        <v>100000</v>
      </c>
      <c r="U137" s="24">
        <f>208526.24</f>
        <v>208526.24</v>
      </c>
      <c r="V137" s="24"/>
      <c r="W137" s="26">
        <v>161106.80685866668</v>
      </c>
      <c r="X137" s="303">
        <f t="shared" ref="X137:X153" si="214">W137+V137+U137+T137+S137</f>
        <v>469633.0468586667</v>
      </c>
      <c r="Y137" s="24">
        <v>480576.01664133335</v>
      </c>
      <c r="Z137" s="241">
        <f t="shared" ref="Z137:Z166" si="215">R137-X137</f>
        <v>480576.01664133335</v>
      </c>
      <c r="AA137" s="214"/>
    </row>
    <row r="138" spans="1:27" ht="20.100000000000001" customHeight="1">
      <c r="A138" s="225">
        <v>2</v>
      </c>
      <c r="B138" s="189" t="s">
        <v>107</v>
      </c>
      <c r="C138" s="194" t="s">
        <v>394</v>
      </c>
      <c r="D138" s="215" t="s">
        <v>160</v>
      </c>
      <c r="E138" s="26">
        <v>42653.17</v>
      </c>
      <c r="F138" s="26"/>
      <c r="G138" s="26">
        <v>127959.51</v>
      </c>
      <c r="H138" s="26">
        <v>3198.9877499999998</v>
      </c>
      <c r="I138" s="26">
        <v>40122.19</v>
      </c>
      <c r="J138" s="26">
        <v>21326.584999999999</v>
      </c>
      <c r="K138" s="26">
        <v>149286.095</v>
      </c>
      <c r="L138" s="26">
        <v>42653.17</v>
      </c>
      <c r="M138" s="213"/>
      <c r="N138" s="213">
        <v>90000</v>
      </c>
      <c r="O138" s="26">
        <v>4265.317</v>
      </c>
      <c r="P138" s="26">
        <v>20000</v>
      </c>
      <c r="Q138" s="26"/>
      <c r="R138" s="238">
        <f>SUM(E138:Q138)</f>
        <v>541465.02474999998</v>
      </c>
      <c r="S138" s="24"/>
      <c r="T138" s="38">
        <v>50000</v>
      </c>
      <c r="U138" s="38">
        <v>200000</v>
      </c>
      <c r="W138" s="24">
        <v>82467.115418666668</v>
      </c>
      <c r="X138" s="303">
        <f t="shared" si="214"/>
        <v>332467.11541866668</v>
      </c>
      <c r="Y138" s="24">
        <v>208997.9093313333</v>
      </c>
      <c r="Z138" s="241">
        <f t="shared" si="215"/>
        <v>208997.9093313333</v>
      </c>
      <c r="AA138" s="214"/>
    </row>
    <row r="139" spans="1:27" ht="20.100000000000001" customHeight="1">
      <c r="A139" s="225">
        <v>3</v>
      </c>
      <c r="B139" s="191" t="s">
        <v>183</v>
      </c>
      <c r="C139" s="21" t="s">
        <v>488</v>
      </c>
      <c r="D139" s="25" t="s">
        <v>221</v>
      </c>
      <c r="E139" s="26">
        <v>41157.69</v>
      </c>
      <c r="F139" s="26"/>
      <c r="G139" s="26">
        <f t="shared" ref="G139:G188" si="216">E139*300%</f>
        <v>123473.07</v>
      </c>
      <c r="H139" s="26">
        <f t="shared" ref="H139:H188" si="217">E139*7.5%</f>
        <v>3086.8267500000002</v>
      </c>
      <c r="I139" s="26">
        <v>40122.19</v>
      </c>
      <c r="J139" s="26">
        <f t="shared" ref="J139:J188" si="218">E139*50%</f>
        <v>20578.845000000001</v>
      </c>
      <c r="K139" s="26">
        <f t="shared" ref="K139:K188" si="219">E139*350%</f>
        <v>144051.91500000001</v>
      </c>
      <c r="L139" s="26">
        <f t="shared" ref="L139:L157" si="220">E139*100%</f>
        <v>41157.69</v>
      </c>
      <c r="M139" s="213"/>
      <c r="N139" s="213">
        <f>80000+10000</f>
        <v>90000</v>
      </c>
      <c r="O139" s="26">
        <f t="shared" ref="O139:O157" si="221">E139*10%</f>
        <v>4115.7690000000002</v>
      </c>
      <c r="P139" s="26">
        <v>20000</v>
      </c>
      <c r="Q139" s="26">
        <v>50000</v>
      </c>
      <c r="R139" s="238">
        <f t="shared" ref="R139:R159" si="222">SUM(E139:Q139)</f>
        <v>577743.99575</v>
      </c>
      <c r="S139" s="24"/>
      <c r="T139" s="24">
        <f>37500</f>
        <v>37500</v>
      </c>
      <c r="U139" s="24"/>
      <c r="V139" s="24">
        <v>1028.9422500000001</v>
      </c>
      <c r="W139" s="24">
        <v>89465.197050666669</v>
      </c>
      <c r="X139" s="303">
        <f t="shared" si="214"/>
        <v>127994.13930066666</v>
      </c>
      <c r="Y139" s="24">
        <v>449749.85644933337</v>
      </c>
      <c r="Z139" s="241">
        <f t="shared" si="215"/>
        <v>449749.85644933337</v>
      </c>
      <c r="AA139" s="214"/>
    </row>
    <row r="140" spans="1:27" ht="20.100000000000001" customHeight="1">
      <c r="A140" s="225">
        <v>4</v>
      </c>
      <c r="B140" s="189" t="s">
        <v>106</v>
      </c>
      <c r="C140" s="194" t="s">
        <v>381</v>
      </c>
      <c r="D140" s="215" t="s">
        <v>181</v>
      </c>
      <c r="E140" s="26">
        <v>27611.23</v>
      </c>
      <c r="F140" s="26"/>
      <c r="G140" s="26">
        <f t="shared" si="216"/>
        <v>82833.69</v>
      </c>
      <c r="H140" s="26">
        <f t="shared" si="217"/>
        <v>2070.8422499999997</v>
      </c>
      <c r="I140" s="26">
        <v>0</v>
      </c>
      <c r="J140" s="26">
        <f t="shared" si="218"/>
        <v>13805.615</v>
      </c>
      <c r="K140" s="24">
        <f t="shared" si="219"/>
        <v>96639.304999999993</v>
      </c>
      <c r="L140" s="26">
        <f t="shared" si="220"/>
        <v>27611.23</v>
      </c>
      <c r="M140" s="213"/>
      <c r="N140" s="213">
        <v>70000</v>
      </c>
      <c r="O140" s="26">
        <f t="shared" si="221"/>
        <v>2761.123</v>
      </c>
      <c r="P140" s="26">
        <v>20000</v>
      </c>
      <c r="Q140" s="26"/>
      <c r="R140" s="238">
        <f t="shared" si="222"/>
        <v>343333.03525000007</v>
      </c>
      <c r="S140" s="24"/>
      <c r="T140" s="24">
        <v>30000</v>
      </c>
      <c r="U140" s="24">
        <f>91666.67</f>
        <v>91666.67</v>
      </c>
      <c r="V140" s="24">
        <v>690.28075000000001</v>
      </c>
      <c r="W140" s="26">
        <v>44734.339388666674</v>
      </c>
      <c r="X140" s="303">
        <f t="shared" si="214"/>
        <v>167091.29013866666</v>
      </c>
      <c r="Y140" s="24">
        <v>176241.74511133341</v>
      </c>
      <c r="Z140" s="241">
        <f t="shared" si="215"/>
        <v>176241.74511133341</v>
      </c>
      <c r="AA140" s="214"/>
    </row>
    <row r="141" spans="1:27" ht="20.100000000000001" customHeight="1">
      <c r="A141" s="225">
        <v>5</v>
      </c>
      <c r="B141" s="189" t="s">
        <v>7</v>
      </c>
      <c r="C141" s="21" t="s">
        <v>385</v>
      </c>
      <c r="D141" s="215" t="s">
        <v>181</v>
      </c>
      <c r="E141" s="26">
        <v>27611.23</v>
      </c>
      <c r="F141" s="26"/>
      <c r="G141" s="26">
        <f t="shared" si="216"/>
        <v>82833.69</v>
      </c>
      <c r="H141" s="26">
        <f t="shared" si="217"/>
        <v>2070.8422499999997</v>
      </c>
      <c r="I141" s="26">
        <v>0</v>
      </c>
      <c r="J141" s="26">
        <f t="shared" si="218"/>
        <v>13805.615</v>
      </c>
      <c r="K141" s="24">
        <f t="shared" si="219"/>
        <v>96639.304999999993</v>
      </c>
      <c r="L141" s="26">
        <f t="shared" si="220"/>
        <v>27611.23</v>
      </c>
      <c r="M141" s="213"/>
      <c r="N141" s="213">
        <v>70000</v>
      </c>
      <c r="O141" s="26">
        <f t="shared" si="221"/>
        <v>2761.123</v>
      </c>
      <c r="P141" s="26">
        <v>20000</v>
      </c>
      <c r="Q141" s="26">
        <v>0</v>
      </c>
      <c r="R141" s="238">
        <f t="shared" si="222"/>
        <v>343333.03525000007</v>
      </c>
      <c r="S141" s="24"/>
      <c r="T141" s="24">
        <f>0</f>
        <v>0</v>
      </c>
      <c r="U141" s="24">
        <f>133333.33</f>
        <v>133333.32999999999</v>
      </c>
      <c r="V141" s="24">
        <v>690.28075000000001</v>
      </c>
      <c r="W141" s="26">
        <v>44846.616588666679</v>
      </c>
      <c r="X141" s="303">
        <f t="shared" si="214"/>
        <v>178870.22733866668</v>
      </c>
      <c r="Y141" s="24">
        <v>164462.8079113334</v>
      </c>
      <c r="Z141" s="241">
        <f t="shared" si="215"/>
        <v>164462.8079113334</v>
      </c>
      <c r="AA141" s="214"/>
    </row>
    <row r="142" spans="1:27" ht="20.100000000000001" customHeight="1">
      <c r="A142" s="225">
        <v>6</v>
      </c>
      <c r="B142" s="189" t="s">
        <v>124</v>
      </c>
      <c r="C142" s="21" t="s">
        <v>235</v>
      </c>
      <c r="D142" s="215" t="s">
        <v>170</v>
      </c>
      <c r="E142" s="26">
        <v>25523.45</v>
      </c>
      <c r="F142" s="26"/>
      <c r="G142" s="26">
        <f t="shared" si="216"/>
        <v>76570.350000000006</v>
      </c>
      <c r="H142" s="26">
        <f t="shared" si="217"/>
        <v>1914.25875</v>
      </c>
      <c r="I142" s="24">
        <v>0</v>
      </c>
      <c r="J142" s="26">
        <f t="shared" si="218"/>
        <v>12761.725</v>
      </c>
      <c r="K142" s="24">
        <f t="shared" si="219"/>
        <v>89332.074999999997</v>
      </c>
      <c r="L142" s="26">
        <f t="shared" si="220"/>
        <v>25523.45</v>
      </c>
      <c r="M142" s="213"/>
      <c r="N142" s="213">
        <v>70000</v>
      </c>
      <c r="O142" s="26">
        <f t="shared" si="221"/>
        <v>2552.3450000000003</v>
      </c>
      <c r="P142" s="26">
        <v>15000</v>
      </c>
      <c r="Q142" s="26">
        <v>0</v>
      </c>
      <c r="R142" s="238">
        <f t="shared" si="222"/>
        <v>319177.65375</v>
      </c>
      <c r="S142" s="24"/>
      <c r="T142" s="24">
        <f>10000</f>
        <v>10000</v>
      </c>
      <c r="U142" s="24">
        <f>115000</f>
        <v>115000</v>
      </c>
      <c r="V142" s="24"/>
      <c r="W142" s="26">
        <v>40698.124856666655</v>
      </c>
      <c r="X142" s="303">
        <f t="shared" si="214"/>
        <v>165698.12485666666</v>
      </c>
      <c r="Y142" s="24">
        <v>153479.52889333334</v>
      </c>
      <c r="Z142" s="241">
        <f t="shared" si="215"/>
        <v>153479.52889333334</v>
      </c>
      <c r="AA142" s="214"/>
    </row>
    <row r="143" spans="1:27" ht="20.100000000000001" customHeight="1">
      <c r="A143" s="225">
        <v>7</v>
      </c>
      <c r="B143" s="189" t="s">
        <v>102</v>
      </c>
      <c r="C143" s="194" t="s">
        <v>395</v>
      </c>
      <c r="D143" s="215" t="s">
        <v>499</v>
      </c>
      <c r="E143" s="26">
        <f>22837.82</f>
        <v>22837.82</v>
      </c>
      <c r="F143" s="26"/>
      <c r="G143" s="26">
        <f>E143*300%</f>
        <v>68513.459999999992</v>
      </c>
      <c r="H143" s="26">
        <f>E143*7.5%</f>
        <v>1712.8364999999999</v>
      </c>
      <c r="I143" s="26">
        <v>0</v>
      </c>
      <c r="J143" s="26">
        <f>E143*50%</f>
        <v>11418.91</v>
      </c>
      <c r="K143" s="24">
        <f>E143*350%</f>
        <v>79932.37</v>
      </c>
      <c r="L143" s="26">
        <f>E143*100%</f>
        <v>22837.82</v>
      </c>
      <c r="M143" s="213"/>
      <c r="N143" s="213">
        <f>60000</f>
        <v>60000</v>
      </c>
      <c r="O143" s="26">
        <f>E143*10%</f>
        <v>2283.7820000000002</v>
      </c>
      <c r="P143" s="26">
        <v>15000</v>
      </c>
      <c r="Q143" s="26">
        <v>0</v>
      </c>
      <c r="R143" s="238">
        <f>SUM(E143:Q143)</f>
        <v>284536.99849999999</v>
      </c>
      <c r="S143" s="24"/>
      <c r="T143" s="24">
        <v>10000</v>
      </c>
      <c r="U143" s="24">
        <v>0</v>
      </c>
      <c r="V143" s="24">
        <v>570.94550000000004</v>
      </c>
      <c r="W143" s="26">
        <v>34968.882414666667</v>
      </c>
      <c r="X143" s="303">
        <f t="shared" si="214"/>
        <v>45539.827914666668</v>
      </c>
      <c r="Y143" s="24">
        <v>238997.17058533331</v>
      </c>
      <c r="Z143" s="241">
        <f t="shared" si="215"/>
        <v>238997.17058533331</v>
      </c>
      <c r="AA143" s="214"/>
    </row>
    <row r="144" spans="1:27" ht="20.100000000000001" customHeight="1">
      <c r="A144" s="225">
        <v>8</v>
      </c>
      <c r="B144" s="189" t="s">
        <v>103</v>
      </c>
      <c r="C144" s="194" t="s">
        <v>395</v>
      </c>
      <c r="D144" s="215" t="s">
        <v>499</v>
      </c>
      <c r="E144" s="26">
        <f t="shared" ref="E144:E145" si="223">22837.82</f>
        <v>22837.82</v>
      </c>
      <c r="F144" s="26"/>
      <c r="G144" s="26">
        <f>E144*300%</f>
        <v>68513.459999999992</v>
      </c>
      <c r="H144" s="26">
        <f>E144*7.5%</f>
        <v>1712.8364999999999</v>
      </c>
      <c r="I144" s="26">
        <v>0</v>
      </c>
      <c r="J144" s="26">
        <f>E144*50%</f>
        <v>11418.91</v>
      </c>
      <c r="K144" s="24">
        <f>E144*350%</f>
        <v>79932.37</v>
      </c>
      <c r="L144" s="26">
        <f t="shared" si="220"/>
        <v>22837.82</v>
      </c>
      <c r="M144" s="213"/>
      <c r="N144" s="213">
        <f>60000</f>
        <v>60000</v>
      </c>
      <c r="O144" s="26">
        <f t="shared" si="221"/>
        <v>2283.7820000000002</v>
      </c>
      <c r="P144" s="26">
        <v>15000</v>
      </c>
      <c r="Q144" s="26">
        <v>0</v>
      </c>
      <c r="R144" s="238">
        <f t="shared" si="222"/>
        <v>284536.99849999999</v>
      </c>
      <c r="S144" s="24"/>
      <c r="T144" s="24"/>
      <c r="U144" s="24">
        <f>100000</f>
        <v>100000</v>
      </c>
      <c r="V144" s="24"/>
      <c r="W144" s="26">
        <v>34968.882414666667</v>
      </c>
      <c r="X144" s="303">
        <f t="shared" si="214"/>
        <v>134968.88241466667</v>
      </c>
      <c r="Y144" s="24">
        <v>149568.11608533331</v>
      </c>
      <c r="Z144" s="241">
        <f t="shared" si="215"/>
        <v>149568.11608533331</v>
      </c>
      <c r="AA144" s="214"/>
    </row>
    <row r="145" spans="1:27" ht="20.100000000000001" customHeight="1">
      <c r="A145" s="225">
        <v>9</v>
      </c>
      <c r="B145" s="189" t="s">
        <v>151</v>
      </c>
      <c r="C145" s="21" t="s">
        <v>235</v>
      </c>
      <c r="D145" s="215" t="s">
        <v>499</v>
      </c>
      <c r="E145" s="26">
        <f t="shared" si="223"/>
        <v>22837.82</v>
      </c>
      <c r="F145" s="26"/>
      <c r="G145" s="26">
        <f>E145*300%</f>
        <v>68513.459999999992</v>
      </c>
      <c r="H145" s="26">
        <f>E145*7.5%</f>
        <v>1712.8364999999999</v>
      </c>
      <c r="I145" s="24"/>
      <c r="J145" s="26">
        <f>E145*50%</f>
        <v>11418.91</v>
      </c>
      <c r="K145" s="24">
        <f>E145*350%</f>
        <v>79932.37</v>
      </c>
      <c r="L145" s="26">
        <f>E145*100%</f>
        <v>22837.82</v>
      </c>
      <c r="M145" s="213"/>
      <c r="N145" s="213">
        <f>60000</f>
        <v>60000</v>
      </c>
      <c r="O145" s="26">
        <f>E145*10%</f>
        <v>2283.7820000000002</v>
      </c>
      <c r="P145" s="26">
        <v>15000</v>
      </c>
      <c r="Q145" s="26"/>
      <c r="R145" s="238">
        <f>SUM(E145:Q145)</f>
        <v>284536.99849999999</v>
      </c>
      <c r="S145" s="24"/>
      <c r="T145" s="24">
        <f>20000+40000</f>
        <v>60000</v>
      </c>
      <c r="U145" s="24">
        <f>45833.33</f>
        <v>45833.33</v>
      </c>
      <c r="V145" s="24"/>
      <c r="W145" s="26">
        <v>34968.882414666667</v>
      </c>
      <c r="X145" s="303">
        <f t="shared" si="214"/>
        <v>140802.21241466666</v>
      </c>
      <c r="Y145" s="24">
        <v>143734.78608533333</v>
      </c>
      <c r="Z145" s="241">
        <f t="shared" si="215"/>
        <v>143734.78608533333</v>
      </c>
      <c r="AA145" s="214"/>
    </row>
    <row r="146" spans="1:27" ht="20.100000000000001" customHeight="1">
      <c r="A146" s="225">
        <v>10</v>
      </c>
      <c r="B146" s="189" t="s">
        <v>238</v>
      </c>
      <c r="C146" s="194" t="s">
        <v>564</v>
      </c>
      <c r="D146" s="215" t="s">
        <v>415</v>
      </c>
      <c r="E146" s="26">
        <v>21520.880000000001</v>
      </c>
      <c r="F146" s="26"/>
      <c r="G146" s="26">
        <f>E146*300%</f>
        <v>64562.64</v>
      </c>
      <c r="H146" s="26">
        <f>E146*7.5%</f>
        <v>1614.066</v>
      </c>
      <c r="I146" s="26"/>
      <c r="J146" s="26">
        <f>E146*50%</f>
        <v>10760.44</v>
      </c>
      <c r="K146" s="24">
        <f>E146*350%</f>
        <v>75323.08</v>
      </c>
      <c r="L146" s="26">
        <f t="shared" si="220"/>
        <v>21520.880000000001</v>
      </c>
      <c r="M146" s="213"/>
      <c r="N146" s="213">
        <f>60000</f>
        <v>60000</v>
      </c>
      <c r="O146" s="26">
        <f t="shared" si="221"/>
        <v>2152.0880000000002</v>
      </c>
      <c r="P146" s="26">
        <v>10000</v>
      </c>
      <c r="Q146" s="26"/>
      <c r="R146" s="238">
        <f t="shared" si="222"/>
        <v>267454.07400000002</v>
      </c>
      <c r="S146" s="24"/>
      <c r="T146" s="24">
        <f>100000</f>
        <v>100000</v>
      </c>
      <c r="U146" s="24">
        <f>93721.55</f>
        <v>93721.55</v>
      </c>
      <c r="V146" s="24"/>
      <c r="W146" s="26">
        <v>32022.168238666676</v>
      </c>
      <c r="X146" s="303">
        <f t="shared" si="214"/>
        <v>225743.71823866668</v>
      </c>
      <c r="Y146" s="24">
        <v>41710.35576133334</v>
      </c>
      <c r="Z146" s="241">
        <f t="shared" si="215"/>
        <v>41710.35576133334</v>
      </c>
      <c r="AA146" s="214"/>
    </row>
    <row r="147" spans="1:27" ht="20.100000000000001" customHeight="1">
      <c r="A147" s="225">
        <v>11</v>
      </c>
      <c r="B147" s="189" t="s">
        <v>53</v>
      </c>
      <c r="C147" s="194" t="s">
        <v>300</v>
      </c>
      <c r="D147" s="215" t="s">
        <v>27</v>
      </c>
      <c r="E147" s="213">
        <v>18779.3</v>
      </c>
      <c r="F147" s="26"/>
      <c r="G147" s="26">
        <f t="shared" si="216"/>
        <v>56337.899999999994</v>
      </c>
      <c r="H147" s="26">
        <f t="shared" si="217"/>
        <v>1408.4475</v>
      </c>
      <c r="I147" s="26"/>
      <c r="J147" s="26">
        <f t="shared" si="218"/>
        <v>9389.65</v>
      </c>
      <c r="K147" s="24">
        <f t="shared" si="219"/>
        <v>65727.55</v>
      </c>
      <c r="L147" s="26">
        <f t="shared" si="220"/>
        <v>18779.3</v>
      </c>
      <c r="M147" s="213"/>
      <c r="N147" s="213">
        <f>60000</f>
        <v>60000</v>
      </c>
      <c r="O147" s="26">
        <f t="shared" si="221"/>
        <v>1877.93</v>
      </c>
      <c r="P147" s="26">
        <v>10000</v>
      </c>
      <c r="Q147" s="26"/>
      <c r="R147" s="238">
        <f t="shared" si="222"/>
        <v>242300.07749999996</v>
      </c>
      <c r="S147" s="24"/>
      <c r="T147" s="24">
        <f>10000</f>
        <v>10000</v>
      </c>
      <c r="U147" s="24">
        <v>80000</v>
      </c>
      <c r="V147" s="24">
        <v>469.48250000000002</v>
      </c>
      <c r="W147" s="26">
        <v>27794.206626666662</v>
      </c>
      <c r="X147" s="303">
        <f t="shared" si="214"/>
        <v>118263.68912666666</v>
      </c>
      <c r="Y147" s="24">
        <v>154036.38837333329</v>
      </c>
      <c r="Z147" s="241">
        <f t="shared" si="215"/>
        <v>124036.38837333329</v>
      </c>
      <c r="AA147" s="214"/>
    </row>
    <row r="148" spans="1:27" ht="20.100000000000001" customHeight="1">
      <c r="A148" s="225">
        <v>12</v>
      </c>
      <c r="B148" s="189" t="s">
        <v>179</v>
      </c>
      <c r="C148" s="194" t="s">
        <v>481</v>
      </c>
      <c r="D148" s="215" t="s">
        <v>499</v>
      </c>
      <c r="E148" s="26">
        <v>22837.82</v>
      </c>
      <c r="F148" s="26"/>
      <c r="G148" s="26">
        <f>E148*300%</f>
        <v>68513.459999999992</v>
      </c>
      <c r="H148" s="26">
        <f>E148*7.5%</f>
        <v>1712.8364999999999</v>
      </c>
      <c r="I148" s="24"/>
      <c r="J148" s="26">
        <f>E148*50%</f>
        <v>11418.91</v>
      </c>
      <c r="K148" s="24">
        <f>E148*350%</f>
        <v>79932.37</v>
      </c>
      <c r="L148" s="26">
        <f>E148*100%</f>
        <v>22837.82</v>
      </c>
      <c r="M148" s="213"/>
      <c r="N148" s="213">
        <f>60000</f>
        <v>60000</v>
      </c>
      <c r="O148" s="26">
        <f>E148*10%</f>
        <v>2283.7820000000002</v>
      </c>
      <c r="P148" s="26">
        <v>10000</v>
      </c>
      <c r="Q148" s="26"/>
      <c r="R148" s="238">
        <f>SUM(E148:Q148)</f>
        <v>279536.99849999999</v>
      </c>
      <c r="S148" s="24"/>
      <c r="T148" s="24">
        <v>20000</v>
      </c>
      <c r="U148" s="24">
        <f>68750</f>
        <v>68750</v>
      </c>
      <c r="V148" s="24">
        <v>570.94550000000004</v>
      </c>
      <c r="W148" s="26">
        <v>34128.882414666667</v>
      </c>
      <c r="X148" s="303">
        <f t="shared" si="214"/>
        <v>123449.82791466668</v>
      </c>
      <c r="Y148" s="24">
        <v>156087.17058533331</v>
      </c>
      <c r="Z148" s="241">
        <f t="shared" si="215"/>
        <v>156087.17058533331</v>
      </c>
      <c r="AA148" s="214"/>
    </row>
    <row r="149" spans="1:27" ht="20.100000000000001" customHeight="1">
      <c r="A149" s="225">
        <v>13</v>
      </c>
      <c r="B149" s="190" t="s">
        <v>293</v>
      </c>
      <c r="C149" s="21" t="s">
        <v>440</v>
      </c>
      <c r="D149" s="215" t="s">
        <v>27</v>
      </c>
      <c r="E149" s="26">
        <f>18779.3</f>
        <v>18779.3</v>
      </c>
      <c r="F149" s="26"/>
      <c r="G149" s="26">
        <f>E149*300%</f>
        <v>56337.899999999994</v>
      </c>
      <c r="H149" s="26">
        <f>E149*7.5%</f>
        <v>1408.4475</v>
      </c>
      <c r="I149" s="26"/>
      <c r="J149" s="26">
        <f>E149*50%</f>
        <v>9389.65</v>
      </c>
      <c r="K149" s="26">
        <f>E149*350%</f>
        <v>65727.55</v>
      </c>
      <c r="L149" s="26">
        <f>E149*100%</f>
        <v>18779.3</v>
      </c>
      <c r="M149" s="213"/>
      <c r="N149" s="213">
        <v>60000</v>
      </c>
      <c r="O149" s="26">
        <f>E149*10%</f>
        <v>1877.93</v>
      </c>
      <c r="P149" s="26">
        <v>10000</v>
      </c>
      <c r="Q149" s="26"/>
      <c r="R149" s="238">
        <f>Q149+P149+O149+N149+M149+L149+K149+J149+I149+H149+G149+F149+E149</f>
        <v>242300.07749999998</v>
      </c>
      <c r="S149" s="24"/>
      <c r="T149" s="24">
        <f>30000</f>
        <v>30000</v>
      </c>
      <c r="U149" s="24">
        <f>52500</f>
        <v>52500</v>
      </c>
      <c r="V149" s="24">
        <v>0</v>
      </c>
      <c r="W149" s="26">
        <v>27873.079686666664</v>
      </c>
      <c r="X149" s="303">
        <f>W149+V149+U149+T149+S149</f>
        <v>110373.07968666666</v>
      </c>
      <c r="Y149" s="24">
        <v>131926.99781333332</v>
      </c>
      <c r="Z149" s="241">
        <f>R149-X149</f>
        <v>131926.99781333332</v>
      </c>
      <c r="AA149" s="214"/>
    </row>
    <row r="150" spans="1:27" ht="20.100000000000001" customHeight="1">
      <c r="A150" s="225">
        <v>14</v>
      </c>
      <c r="B150" s="189" t="s">
        <v>490</v>
      </c>
      <c r="C150" s="21" t="s">
        <v>239</v>
      </c>
      <c r="D150" s="215" t="s">
        <v>207</v>
      </c>
      <c r="E150" s="213">
        <v>18281.64</v>
      </c>
      <c r="F150" s="26"/>
      <c r="G150" s="26">
        <f t="shared" si="216"/>
        <v>54844.92</v>
      </c>
      <c r="H150" s="26">
        <f t="shared" si="217"/>
        <v>1371.1229999999998</v>
      </c>
      <c r="I150" s="26"/>
      <c r="J150" s="26">
        <f t="shared" si="218"/>
        <v>9140.82</v>
      </c>
      <c r="K150" s="24">
        <f t="shared" si="219"/>
        <v>63985.74</v>
      </c>
      <c r="L150" s="26">
        <f t="shared" si="220"/>
        <v>18281.64</v>
      </c>
      <c r="M150" s="213"/>
      <c r="N150" s="213">
        <f>60000</f>
        <v>60000</v>
      </c>
      <c r="O150" s="26">
        <f t="shared" si="221"/>
        <v>1828.164</v>
      </c>
      <c r="P150" s="26">
        <v>10000</v>
      </c>
      <c r="Q150" s="26"/>
      <c r="R150" s="238">
        <f t="shared" si="222"/>
        <v>237734.04699999996</v>
      </c>
      <c r="S150" s="24"/>
      <c r="T150" s="24">
        <f>10000</f>
        <v>10000</v>
      </c>
      <c r="U150" s="24">
        <f>22916.67</f>
        <v>22916.67</v>
      </c>
      <c r="V150" s="24"/>
      <c r="W150" s="26">
        <v>27031.29334266666</v>
      </c>
      <c r="X150" s="303">
        <f t="shared" si="214"/>
        <v>59947.963342666655</v>
      </c>
      <c r="Y150" s="24">
        <v>177786.08365733331</v>
      </c>
      <c r="Z150" s="241">
        <f t="shared" si="215"/>
        <v>177786.08365733331</v>
      </c>
      <c r="AA150" s="214"/>
    </row>
    <row r="151" spans="1:27" ht="20.100000000000001" customHeight="1">
      <c r="A151" s="225">
        <v>15</v>
      </c>
      <c r="B151" s="189" t="s">
        <v>491</v>
      </c>
      <c r="C151" s="21" t="s">
        <v>239</v>
      </c>
      <c r="D151" s="215" t="s">
        <v>164</v>
      </c>
      <c r="E151" s="213">
        <v>18281.64</v>
      </c>
      <c r="F151" s="26"/>
      <c r="G151" s="26">
        <f t="shared" si="216"/>
        <v>54844.92</v>
      </c>
      <c r="H151" s="26">
        <f t="shared" si="217"/>
        <v>1371.1229999999998</v>
      </c>
      <c r="I151" s="26"/>
      <c r="J151" s="26">
        <f t="shared" si="218"/>
        <v>9140.82</v>
      </c>
      <c r="K151" s="24">
        <f t="shared" si="219"/>
        <v>63985.74</v>
      </c>
      <c r="L151" s="26">
        <f t="shared" si="220"/>
        <v>18281.64</v>
      </c>
      <c r="M151" s="213"/>
      <c r="N151" s="213">
        <f>60000</f>
        <v>60000</v>
      </c>
      <c r="O151" s="26">
        <f t="shared" si="221"/>
        <v>1828.164</v>
      </c>
      <c r="P151" s="26">
        <v>10000</v>
      </c>
      <c r="Q151" s="26"/>
      <c r="R151" s="238">
        <f t="shared" si="222"/>
        <v>237734.04699999996</v>
      </c>
      <c r="S151" s="24"/>
      <c r="T151" s="24">
        <f>10000</f>
        <v>10000</v>
      </c>
      <c r="U151" s="24">
        <f>25750</f>
        <v>25750</v>
      </c>
      <c r="V151" s="24">
        <v>457.041</v>
      </c>
      <c r="W151" s="26">
        <v>27105.986562666658</v>
      </c>
      <c r="X151" s="303">
        <f t="shared" si="214"/>
        <v>63313.027562666655</v>
      </c>
      <c r="Y151" s="24">
        <v>174421.01943733331</v>
      </c>
      <c r="Z151" s="241">
        <f t="shared" si="215"/>
        <v>174421.01943733331</v>
      </c>
      <c r="AA151" s="214"/>
    </row>
    <row r="152" spans="1:27" ht="20.100000000000001" customHeight="1">
      <c r="A152" s="225">
        <v>16</v>
      </c>
      <c r="B152" s="189" t="s">
        <v>212</v>
      </c>
      <c r="C152" s="21" t="s">
        <v>239</v>
      </c>
      <c r="D152" s="215" t="s">
        <v>164</v>
      </c>
      <c r="E152" s="213">
        <v>18281.64</v>
      </c>
      <c r="F152" s="26"/>
      <c r="G152" s="26">
        <f t="shared" si="216"/>
        <v>54844.92</v>
      </c>
      <c r="H152" s="26">
        <f t="shared" si="217"/>
        <v>1371.1229999999998</v>
      </c>
      <c r="I152" s="26"/>
      <c r="J152" s="26">
        <f t="shared" si="218"/>
        <v>9140.82</v>
      </c>
      <c r="K152" s="24">
        <f t="shared" si="219"/>
        <v>63985.74</v>
      </c>
      <c r="L152" s="26">
        <f t="shared" si="220"/>
        <v>18281.64</v>
      </c>
      <c r="M152" s="213"/>
      <c r="N152" s="213">
        <f>60000</f>
        <v>60000</v>
      </c>
      <c r="O152" s="26">
        <f t="shared" si="221"/>
        <v>1828.164</v>
      </c>
      <c r="P152" s="26">
        <v>10000</v>
      </c>
      <c r="Q152" s="26"/>
      <c r="R152" s="238">
        <f t="shared" si="222"/>
        <v>237734.04699999996</v>
      </c>
      <c r="S152" s="24"/>
      <c r="T152" s="24">
        <f>10000</f>
        <v>10000</v>
      </c>
      <c r="U152" s="24"/>
      <c r="V152" s="24"/>
      <c r="W152" s="26">
        <v>27105.986562666658</v>
      </c>
      <c r="X152" s="303">
        <f t="shared" si="214"/>
        <v>37105.986562666658</v>
      </c>
      <c r="Y152" s="24">
        <v>200628.0604373333</v>
      </c>
      <c r="Z152" s="241">
        <f t="shared" si="215"/>
        <v>200628.0604373333</v>
      </c>
      <c r="AA152" s="214"/>
    </row>
    <row r="153" spans="1:27" ht="20.100000000000001" customHeight="1">
      <c r="A153" s="225">
        <v>17</v>
      </c>
      <c r="B153" s="189" t="s">
        <v>425</v>
      </c>
      <c r="C153" s="194" t="s">
        <v>430</v>
      </c>
      <c r="D153" s="215" t="s">
        <v>104</v>
      </c>
      <c r="E153" s="296">
        <f>17286.33</f>
        <v>17286.330000000002</v>
      </c>
      <c r="F153" s="26"/>
      <c r="G153" s="26">
        <f t="shared" ref="G153:G154" si="224">E153*300%</f>
        <v>51858.990000000005</v>
      </c>
      <c r="H153" s="26">
        <f t="shared" ref="H153:H154" si="225">E153*7.5%</f>
        <v>1296.4747500000001</v>
      </c>
      <c r="I153" s="26"/>
      <c r="J153" s="26">
        <f t="shared" ref="J153:J154" si="226">E153*50%</f>
        <v>8643.1650000000009</v>
      </c>
      <c r="K153" s="24">
        <f t="shared" ref="K153:K154" si="227">E153*350%</f>
        <v>60502.155000000006</v>
      </c>
      <c r="L153" s="26">
        <f t="shared" ref="L153:L154" si="228">E153*100%</f>
        <v>17286.330000000002</v>
      </c>
      <c r="M153" s="213"/>
      <c r="N153" s="213">
        <f>60000</f>
        <v>60000</v>
      </c>
      <c r="O153" s="26">
        <f t="shared" ref="O153:O154" si="229">E153*10%</f>
        <v>1728.6330000000003</v>
      </c>
      <c r="P153" s="26">
        <v>10000</v>
      </c>
      <c r="Q153" s="26"/>
      <c r="R153" s="238">
        <f>SUM(E153:Q153)</f>
        <v>228602.07775000003</v>
      </c>
      <c r="S153" s="24"/>
      <c r="T153" s="24">
        <f>30000</f>
        <v>30000</v>
      </c>
      <c r="U153" s="24"/>
      <c r="V153" s="24"/>
      <c r="W153" s="26">
        <v>25571.815728666668</v>
      </c>
      <c r="X153" s="303">
        <f t="shared" si="214"/>
        <v>55571.815728666668</v>
      </c>
      <c r="Y153" s="24">
        <v>173030.26202133336</v>
      </c>
      <c r="Z153" s="241">
        <f t="shared" si="215"/>
        <v>173030.26202133336</v>
      </c>
      <c r="AA153" s="214"/>
    </row>
    <row r="154" spans="1:27" ht="20.100000000000001" customHeight="1">
      <c r="A154" s="225">
        <v>18</v>
      </c>
      <c r="B154" s="189" t="s">
        <v>439</v>
      </c>
      <c r="C154" s="194" t="s">
        <v>440</v>
      </c>
      <c r="D154" s="29" t="s">
        <v>428</v>
      </c>
      <c r="E154" s="294">
        <f>14736.14</f>
        <v>14736.14</v>
      </c>
      <c r="F154" s="26"/>
      <c r="G154" s="26">
        <f t="shared" si="224"/>
        <v>44208.42</v>
      </c>
      <c r="H154" s="26">
        <f t="shared" si="225"/>
        <v>1105.2104999999999</v>
      </c>
      <c r="I154" s="26"/>
      <c r="J154" s="26">
        <f t="shared" si="226"/>
        <v>7368.07</v>
      </c>
      <c r="K154" s="26">
        <f t="shared" si="227"/>
        <v>51576.49</v>
      </c>
      <c r="L154" s="26">
        <f t="shared" si="228"/>
        <v>14736.14</v>
      </c>
      <c r="M154" s="213"/>
      <c r="N154" s="213">
        <f>60000</f>
        <v>60000</v>
      </c>
      <c r="O154" s="26">
        <f t="shared" si="229"/>
        <v>1473.614</v>
      </c>
      <c r="P154" s="26">
        <v>10000</v>
      </c>
      <c r="Q154" s="26"/>
      <c r="R154" s="238">
        <f>SUM(E154:Q154)</f>
        <v>205204.0845</v>
      </c>
      <c r="S154" s="24"/>
      <c r="T154" s="24">
        <f>32000</f>
        <v>32000</v>
      </c>
      <c r="U154" s="24"/>
      <c r="V154" s="24"/>
      <c r="W154" s="26">
        <v>21640.952862666669</v>
      </c>
      <c r="X154" s="303">
        <f>W154+V154+U154+T154</f>
        <v>53640.952862666672</v>
      </c>
      <c r="Y154" s="24">
        <v>151563.13163733331</v>
      </c>
      <c r="Z154" s="241">
        <f t="shared" si="215"/>
        <v>151563.13163733331</v>
      </c>
      <c r="AA154" s="214"/>
    </row>
    <row r="155" spans="1:27" ht="20.100000000000001" customHeight="1">
      <c r="A155" s="225">
        <v>19</v>
      </c>
      <c r="B155" s="189" t="s">
        <v>230</v>
      </c>
      <c r="C155" s="194" t="s">
        <v>487</v>
      </c>
      <c r="D155" s="215" t="s">
        <v>207</v>
      </c>
      <c r="E155" s="213">
        <v>18281.64</v>
      </c>
      <c r="F155" s="26"/>
      <c r="G155" s="26">
        <f t="shared" si="216"/>
        <v>54844.92</v>
      </c>
      <c r="H155" s="26">
        <f t="shared" si="217"/>
        <v>1371.1229999999998</v>
      </c>
      <c r="I155" s="26"/>
      <c r="J155" s="26">
        <f t="shared" si="218"/>
        <v>9140.82</v>
      </c>
      <c r="K155" s="24">
        <f t="shared" si="219"/>
        <v>63985.74</v>
      </c>
      <c r="L155" s="26">
        <f t="shared" si="220"/>
        <v>18281.64</v>
      </c>
      <c r="M155" s="213"/>
      <c r="N155" s="213">
        <f>50000+10000</f>
        <v>60000</v>
      </c>
      <c r="O155" s="26">
        <f t="shared" si="221"/>
        <v>1828.164</v>
      </c>
      <c r="P155" s="26">
        <v>10000</v>
      </c>
      <c r="Q155" s="26"/>
      <c r="R155" s="238">
        <f t="shared" si="222"/>
        <v>237734.04699999996</v>
      </c>
      <c r="S155" s="24"/>
      <c r="T155" s="24">
        <v>10000</v>
      </c>
      <c r="U155" s="24"/>
      <c r="V155" s="24"/>
      <c r="W155" s="26">
        <v>27105.986562666658</v>
      </c>
      <c r="X155" s="303">
        <f t="shared" ref="X155:X190" si="230">W155+V155+U155+T155+S155</f>
        <v>37105.986562666658</v>
      </c>
      <c r="Y155" s="24">
        <v>200628.0604373333</v>
      </c>
      <c r="Z155" s="241">
        <f t="shared" si="215"/>
        <v>200628.0604373333</v>
      </c>
      <c r="AA155" s="214"/>
    </row>
    <row r="156" spans="1:27" ht="20.100000000000001" customHeight="1">
      <c r="A156" s="225">
        <v>20</v>
      </c>
      <c r="B156" s="189" t="s">
        <v>57</v>
      </c>
      <c r="C156" s="194" t="s">
        <v>483</v>
      </c>
      <c r="D156" s="215" t="s">
        <v>500</v>
      </c>
      <c r="E156" s="213">
        <f>15188.67</f>
        <v>15188.67</v>
      </c>
      <c r="F156" s="26"/>
      <c r="G156" s="26">
        <f t="shared" si="216"/>
        <v>45566.01</v>
      </c>
      <c r="H156" s="26">
        <f t="shared" si="217"/>
        <v>1139.1502499999999</v>
      </c>
      <c r="I156" s="26"/>
      <c r="J156" s="26">
        <f t="shared" si="218"/>
        <v>7594.335</v>
      </c>
      <c r="K156" s="24">
        <f t="shared" si="219"/>
        <v>53160.345000000001</v>
      </c>
      <c r="L156" s="26">
        <f t="shared" si="220"/>
        <v>15188.67</v>
      </c>
      <c r="M156" s="213"/>
      <c r="N156" s="213">
        <f>50000+10000</f>
        <v>60000</v>
      </c>
      <c r="O156" s="26">
        <f t="shared" si="221"/>
        <v>1518.8670000000002</v>
      </c>
      <c r="P156" s="26">
        <v>10000</v>
      </c>
      <c r="Q156" s="26"/>
      <c r="R156" s="238">
        <f t="shared" si="222"/>
        <v>209356.04725</v>
      </c>
      <c r="S156" s="24"/>
      <c r="T156" s="24">
        <f>30000+10000</f>
        <v>40000</v>
      </c>
      <c r="U156" s="24">
        <f>70000</f>
        <v>70000</v>
      </c>
      <c r="V156" s="24"/>
      <c r="W156" s="26">
        <v>22281.815364666661</v>
      </c>
      <c r="X156" s="303">
        <f t="shared" si="230"/>
        <v>132281.81536466666</v>
      </c>
      <c r="Y156" s="24">
        <v>77074.231885333342</v>
      </c>
      <c r="Z156" s="241">
        <f t="shared" si="215"/>
        <v>77074.231885333342</v>
      </c>
      <c r="AA156" s="214"/>
    </row>
    <row r="157" spans="1:27" ht="20.100000000000001" customHeight="1">
      <c r="A157" s="225">
        <v>21</v>
      </c>
      <c r="B157" s="189" t="s">
        <v>251</v>
      </c>
      <c r="C157" s="194" t="s">
        <v>484</v>
      </c>
      <c r="D157" s="215" t="s">
        <v>207</v>
      </c>
      <c r="E157" s="213">
        <v>18281.64</v>
      </c>
      <c r="F157" s="26"/>
      <c r="G157" s="26">
        <f t="shared" si="216"/>
        <v>54844.92</v>
      </c>
      <c r="H157" s="26">
        <f t="shared" si="217"/>
        <v>1371.1229999999998</v>
      </c>
      <c r="I157" s="26"/>
      <c r="J157" s="26">
        <f t="shared" si="218"/>
        <v>9140.82</v>
      </c>
      <c r="K157" s="24">
        <f t="shared" si="219"/>
        <v>63985.74</v>
      </c>
      <c r="L157" s="26">
        <f t="shared" si="220"/>
        <v>18281.64</v>
      </c>
      <c r="M157" s="213"/>
      <c r="N157" s="213">
        <f>50000+10000</f>
        <v>60000</v>
      </c>
      <c r="O157" s="26">
        <f t="shared" si="221"/>
        <v>1828.164</v>
      </c>
      <c r="P157" s="26">
        <v>10000</v>
      </c>
      <c r="Q157" s="26"/>
      <c r="R157" s="238">
        <f t="shared" si="222"/>
        <v>237734.04699999996</v>
      </c>
      <c r="S157" s="24"/>
      <c r="T157" s="24">
        <f>10000</f>
        <v>10000</v>
      </c>
      <c r="U157" s="24">
        <f>90000</f>
        <v>90000</v>
      </c>
      <c r="V157" s="24">
        <v>457.041</v>
      </c>
      <c r="W157" s="26">
        <v>27105.986562666658</v>
      </c>
      <c r="X157" s="303">
        <f t="shared" si="230"/>
        <v>127563.02756266666</v>
      </c>
      <c r="Y157" s="24">
        <v>110171.01943733331</v>
      </c>
      <c r="Z157" s="241">
        <f t="shared" si="215"/>
        <v>110171.01943733331</v>
      </c>
      <c r="AA157" s="214"/>
    </row>
    <row r="158" spans="1:27" ht="20.100000000000001" customHeight="1">
      <c r="A158" s="225">
        <v>22</v>
      </c>
      <c r="B158" s="189" t="s">
        <v>241</v>
      </c>
      <c r="C158" s="194" t="s">
        <v>348</v>
      </c>
      <c r="D158" s="215" t="s">
        <v>500</v>
      </c>
      <c r="E158" s="213">
        <v>15188.67</v>
      </c>
      <c r="F158" s="26"/>
      <c r="G158" s="26">
        <f>E158*300%</f>
        <v>45566.01</v>
      </c>
      <c r="H158" s="26">
        <f>E158*7.5%</f>
        <v>1139.1502499999999</v>
      </c>
      <c r="I158" s="26"/>
      <c r="J158" s="26">
        <f>E158*50%</f>
        <v>7594.335</v>
      </c>
      <c r="K158" s="24">
        <f>E158*350%</f>
        <v>53160.345000000001</v>
      </c>
      <c r="L158" s="26">
        <f>E158*100%</f>
        <v>15188.67</v>
      </c>
      <c r="M158" s="213"/>
      <c r="N158" s="213">
        <f>50000+10000</f>
        <v>60000</v>
      </c>
      <c r="O158" s="26">
        <f>E158*10%</f>
        <v>1518.8670000000002</v>
      </c>
      <c r="P158" s="26">
        <v>10000</v>
      </c>
      <c r="Q158" s="26"/>
      <c r="R158" s="238">
        <f>SUM(E158:Q158)</f>
        <v>209356.04725</v>
      </c>
      <c r="S158" s="24"/>
      <c r="T158" s="24"/>
      <c r="U158" s="24">
        <f>'[2]OCT 2022 '!$D$183</f>
        <v>16666.669999999998</v>
      </c>
      <c r="V158" s="24"/>
      <c r="W158" s="26">
        <v>22338.48260466666</v>
      </c>
      <c r="X158" s="303">
        <f t="shared" si="230"/>
        <v>39005.152604666655</v>
      </c>
      <c r="Y158" s="24">
        <v>170350.89464533335</v>
      </c>
      <c r="Z158" s="241">
        <f t="shared" si="215"/>
        <v>170350.89464533335</v>
      </c>
      <c r="AA158" s="214"/>
    </row>
    <row r="159" spans="1:27" ht="20.100000000000001" customHeight="1">
      <c r="A159" s="225">
        <v>23</v>
      </c>
      <c r="B159" s="190" t="s">
        <v>289</v>
      </c>
      <c r="C159" s="194" t="s">
        <v>290</v>
      </c>
      <c r="D159" s="215" t="s">
        <v>267</v>
      </c>
      <c r="E159" s="213">
        <v>13492.21</v>
      </c>
      <c r="F159" s="26"/>
      <c r="G159" s="26">
        <f t="shared" si="216"/>
        <v>40476.629999999997</v>
      </c>
      <c r="H159" s="26">
        <f t="shared" si="217"/>
        <v>1011.9157499999999</v>
      </c>
      <c r="I159" s="26"/>
      <c r="J159" s="26">
        <f t="shared" si="218"/>
        <v>6746.1049999999996</v>
      </c>
      <c r="K159" s="24">
        <f t="shared" si="219"/>
        <v>47222.735000000001</v>
      </c>
      <c r="L159" s="26">
        <f>E159*100%</f>
        <v>13492.21</v>
      </c>
      <c r="M159" s="213"/>
      <c r="N159" s="213">
        <f>50000</f>
        <v>50000</v>
      </c>
      <c r="O159" s="26">
        <f>E159*10%</f>
        <v>1349.221</v>
      </c>
      <c r="P159" s="26">
        <v>10000</v>
      </c>
      <c r="Q159" s="21"/>
      <c r="R159" s="239">
        <f t="shared" si="222"/>
        <v>183791.02674999999</v>
      </c>
      <c r="S159" s="26"/>
      <c r="T159" s="24">
        <f>30000+25000</f>
        <v>55000</v>
      </c>
      <c r="U159" s="24">
        <v>0</v>
      </c>
      <c r="V159" s="24"/>
      <c r="W159" s="26">
        <v>18102.902732666666</v>
      </c>
      <c r="X159" s="303">
        <f t="shared" si="230"/>
        <v>73102.902732666669</v>
      </c>
      <c r="Y159" s="24">
        <v>110688.12401733332</v>
      </c>
      <c r="Z159" s="241">
        <f t="shared" si="215"/>
        <v>110688.12401733332</v>
      </c>
      <c r="AA159" s="214"/>
    </row>
    <row r="160" spans="1:27" ht="20.100000000000001" customHeight="1">
      <c r="A160" s="225">
        <v>24</v>
      </c>
      <c r="B160" s="190" t="s">
        <v>407</v>
      </c>
      <c r="C160" s="194" t="s">
        <v>131</v>
      </c>
      <c r="D160" s="215" t="s">
        <v>105</v>
      </c>
      <c r="E160" s="26">
        <v>12351.94</v>
      </c>
      <c r="F160" s="26"/>
      <c r="G160" s="26">
        <f t="shared" ref="G160" si="231">E160*300%</f>
        <v>37055.82</v>
      </c>
      <c r="H160" s="26">
        <f t="shared" ref="H160" si="232">E160*7.5%</f>
        <v>926.39549999999997</v>
      </c>
      <c r="I160" s="26"/>
      <c r="J160" s="26">
        <f t="shared" ref="J160" si="233">E160*50%</f>
        <v>6175.97</v>
      </c>
      <c r="K160" s="26">
        <f t="shared" ref="K160" si="234">E160*350%</f>
        <v>43231.79</v>
      </c>
      <c r="L160" s="26">
        <f t="shared" ref="L160" si="235">E160*100%</f>
        <v>12351.94</v>
      </c>
      <c r="M160" s="213"/>
      <c r="N160" s="213">
        <f>50000</f>
        <v>50000</v>
      </c>
      <c r="O160" s="26">
        <f t="shared" ref="O160" si="236">E160*10%</f>
        <v>1235.1940000000002</v>
      </c>
      <c r="P160" s="26">
        <v>10000</v>
      </c>
      <c r="Q160" s="26"/>
      <c r="R160" s="238">
        <f t="shared" ref="R160" si="237">Q160+P160+O160+N160+M160+L160+K160+J160+I160+H160+G160+F160+E160</f>
        <v>173329.04949999999</v>
      </c>
      <c r="S160" s="24"/>
      <c r="T160" s="24">
        <f>20000</f>
        <v>20000</v>
      </c>
      <c r="U160" s="24"/>
      <c r="V160" s="24">
        <v>0</v>
      </c>
      <c r="W160" s="26">
        <v>16512.68219066667</v>
      </c>
      <c r="X160" s="303">
        <f t="shared" si="230"/>
        <v>36512.682190666674</v>
      </c>
      <c r="Y160" s="24">
        <v>136816.36730933332</v>
      </c>
      <c r="Z160" s="241">
        <f t="shared" si="215"/>
        <v>136816.36730933332</v>
      </c>
      <c r="AA160" s="214"/>
    </row>
    <row r="161" spans="1:27" ht="20.100000000000001" customHeight="1">
      <c r="A161" s="225">
        <v>25</v>
      </c>
      <c r="B161" s="190" t="s">
        <v>426</v>
      </c>
      <c r="C161" s="194" t="s">
        <v>290</v>
      </c>
      <c r="D161" s="215" t="s">
        <v>105</v>
      </c>
      <c r="E161" s="26">
        <v>12352.94</v>
      </c>
      <c r="F161" s="26"/>
      <c r="G161" s="26">
        <f t="shared" ref="G161:G162" si="238">E161*300%</f>
        <v>37058.82</v>
      </c>
      <c r="H161" s="26">
        <f t="shared" ref="H161:H162" si="239">E161*7.5%</f>
        <v>926.47050000000002</v>
      </c>
      <c r="I161" s="26"/>
      <c r="J161" s="26">
        <f t="shared" ref="J161:J162" si="240">E161*50%</f>
        <v>6176.47</v>
      </c>
      <c r="K161" s="26">
        <f t="shared" ref="K161:K162" si="241">E161*350%</f>
        <v>43235.29</v>
      </c>
      <c r="L161" s="26">
        <f t="shared" ref="L161:L162" si="242">E161*100%</f>
        <v>12352.94</v>
      </c>
      <c r="M161" s="213"/>
      <c r="N161" s="213">
        <f>50000</f>
        <v>50000</v>
      </c>
      <c r="O161" s="26">
        <f t="shared" ref="O161:O162" si="243">E161*10%</f>
        <v>1235.2940000000001</v>
      </c>
      <c r="P161" s="26">
        <v>10001</v>
      </c>
      <c r="Q161" s="26"/>
      <c r="R161" s="238">
        <f t="shared" ref="R161:R162" si="244">Q161+P161+O161+N161+M161+L161+K161+J161+I161+H161+G161+F161+E161</f>
        <v>173339.22450000001</v>
      </c>
      <c r="S161" s="24"/>
      <c r="T161" s="24">
        <f>12000-2000</f>
        <v>10000</v>
      </c>
      <c r="U161" s="24"/>
      <c r="V161" s="24">
        <v>0</v>
      </c>
      <c r="W161" s="26">
        <v>16514.228790666668</v>
      </c>
      <c r="X161" s="303">
        <f t="shared" ref="X161:X162" si="245">W161+V161+U161+T161+S161</f>
        <v>26514.228790666668</v>
      </c>
      <c r="Y161" s="24">
        <v>146824.99570933334</v>
      </c>
      <c r="Z161" s="241">
        <f t="shared" si="215"/>
        <v>146824.99570933334</v>
      </c>
      <c r="AA161" s="214"/>
    </row>
    <row r="162" spans="1:27" ht="20.100000000000001" customHeight="1">
      <c r="A162" s="225">
        <v>26</v>
      </c>
      <c r="B162" s="190" t="s">
        <v>443</v>
      </c>
      <c r="C162" s="194" t="s">
        <v>444</v>
      </c>
      <c r="D162" s="215" t="s">
        <v>176</v>
      </c>
      <c r="E162" s="26">
        <v>12732</v>
      </c>
      <c r="F162" s="26"/>
      <c r="G162" s="26">
        <f t="shared" si="238"/>
        <v>38196</v>
      </c>
      <c r="H162" s="26">
        <f t="shared" si="239"/>
        <v>954.9</v>
      </c>
      <c r="I162" s="26"/>
      <c r="J162" s="26">
        <f t="shared" si="240"/>
        <v>6366</v>
      </c>
      <c r="K162" s="26">
        <f t="shared" si="241"/>
        <v>44562</v>
      </c>
      <c r="L162" s="26">
        <f t="shared" si="242"/>
        <v>12732</v>
      </c>
      <c r="M162" s="213"/>
      <c r="N162" s="213">
        <f>50000</f>
        <v>50000</v>
      </c>
      <c r="O162" s="26">
        <f t="shared" si="243"/>
        <v>1273.2</v>
      </c>
      <c r="P162" s="26">
        <v>10002</v>
      </c>
      <c r="Q162" s="26"/>
      <c r="R162" s="238">
        <f t="shared" si="244"/>
        <v>176818.09999999998</v>
      </c>
      <c r="S162" s="24"/>
      <c r="T162" s="24">
        <v>0</v>
      </c>
      <c r="U162" s="24"/>
      <c r="V162" s="24">
        <v>0</v>
      </c>
      <c r="W162" s="26">
        <v>17043.017866666662</v>
      </c>
      <c r="X162" s="303">
        <f t="shared" si="245"/>
        <v>17043.017866666662</v>
      </c>
      <c r="Y162" s="24">
        <v>159775.08213333332</v>
      </c>
      <c r="Z162" s="241">
        <f t="shared" si="215"/>
        <v>159775.08213333332</v>
      </c>
      <c r="AA162" s="214"/>
    </row>
    <row r="163" spans="1:27" ht="20.100000000000001" customHeight="1">
      <c r="A163" s="225">
        <v>27</v>
      </c>
      <c r="B163" s="190" t="s">
        <v>447</v>
      </c>
      <c r="C163" s="194" t="s">
        <v>448</v>
      </c>
      <c r="D163" s="215" t="s">
        <v>176</v>
      </c>
      <c r="E163" s="26">
        <v>12732</v>
      </c>
      <c r="F163" s="26"/>
      <c r="G163" s="26">
        <f t="shared" ref="G163" si="246">E163*300%</f>
        <v>38196</v>
      </c>
      <c r="H163" s="26">
        <f t="shared" ref="H163" si="247">E163*7.5%</f>
        <v>954.9</v>
      </c>
      <c r="I163" s="26"/>
      <c r="J163" s="26">
        <f t="shared" ref="J163" si="248">E163*50%</f>
        <v>6366</v>
      </c>
      <c r="K163" s="26">
        <f t="shared" ref="K163" si="249">E163*350%</f>
        <v>44562</v>
      </c>
      <c r="L163" s="26">
        <f t="shared" ref="L163" si="250">E163*100%</f>
        <v>12732</v>
      </c>
      <c r="M163" s="213"/>
      <c r="N163" s="213">
        <f>50000</f>
        <v>50000</v>
      </c>
      <c r="O163" s="26">
        <f t="shared" ref="O163" si="251">E163*10%</f>
        <v>1273.2</v>
      </c>
      <c r="P163" s="26">
        <v>10000</v>
      </c>
      <c r="Q163" s="26"/>
      <c r="R163" s="238">
        <f>(Q163+P163+O163+N163+M163+L163+K163+J163+I163+H163+G163+F163+E163)</f>
        <v>176816.09999999998</v>
      </c>
      <c r="S163" s="24"/>
      <c r="T163" s="24">
        <f>10000+5000+5000</f>
        <v>20000</v>
      </c>
      <c r="U163" s="24">
        <f>32000</f>
        <v>32000</v>
      </c>
      <c r="V163" s="24">
        <v>0</v>
      </c>
      <c r="W163" s="26">
        <v>17008.323359999995</v>
      </c>
      <c r="X163" s="303">
        <f t="shared" si="230"/>
        <v>69008.323359999995</v>
      </c>
      <c r="Y163" s="24">
        <v>107807.77663999998</v>
      </c>
      <c r="Z163" s="241">
        <f t="shared" si="215"/>
        <v>107807.77663999998</v>
      </c>
      <c r="AA163" s="214"/>
    </row>
    <row r="164" spans="1:27" ht="20.100000000000001" customHeight="1">
      <c r="A164" s="225">
        <v>28</v>
      </c>
      <c r="B164" s="189" t="s">
        <v>22</v>
      </c>
      <c r="C164" s="194" t="s">
        <v>302</v>
      </c>
      <c r="D164" s="215" t="s">
        <v>503</v>
      </c>
      <c r="E164" s="226">
        <f>10527.6</f>
        <v>10527.6</v>
      </c>
      <c r="F164" s="213"/>
      <c r="G164" s="26">
        <f t="shared" si="216"/>
        <v>31582.800000000003</v>
      </c>
      <c r="H164" s="26">
        <f t="shared" si="217"/>
        <v>789.57</v>
      </c>
      <c r="I164" s="213">
        <v>0</v>
      </c>
      <c r="J164" s="26">
        <f t="shared" si="218"/>
        <v>5263.8</v>
      </c>
      <c r="K164" s="24">
        <f t="shared" si="219"/>
        <v>36846.6</v>
      </c>
      <c r="L164" s="26">
        <f t="shared" ref="L164:L171" si="252">E164*100%</f>
        <v>10527.6</v>
      </c>
      <c r="M164" s="213"/>
      <c r="N164" s="213">
        <f>30000</f>
        <v>30000</v>
      </c>
      <c r="O164" s="26">
        <f t="shared" ref="O164:O188" si="253">E164*10%</f>
        <v>1052.76</v>
      </c>
      <c r="P164" s="213">
        <v>5000</v>
      </c>
      <c r="Q164" s="26">
        <f>4000</f>
        <v>4000</v>
      </c>
      <c r="R164" s="238">
        <f t="shared" ref="R164:R188" si="254">SUM(E164:Q164)</f>
        <v>135590.72999999998</v>
      </c>
      <c r="S164" s="24"/>
      <c r="T164" s="24">
        <f>20000+5000+5000</f>
        <v>30000</v>
      </c>
      <c r="U164" s="24">
        <f>47916.66</f>
        <v>47916.66</v>
      </c>
      <c r="V164" s="24">
        <v>263.19</v>
      </c>
      <c r="W164" s="24">
        <v>10776.457626666665</v>
      </c>
      <c r="X164" s="303">
        <f t="shared" si="230"/>
        <v>88956.307626666676</v>
      </c>
      <c r="Y164" s="24">
        <v>46634.422373333306</v>
      </c>
      <c r="Z164" s="241">
        <f t="shared" si="215"/>
        <v>46634.422373333306</v>
      </c>
      <c r="AA164" s="214"/>
    </row>
    <row r="165" spans="1:27" ht="20.100000000000001" customHeight="1">
      <c r="A165" s="225">
        <v>29</v>
      </c>
      <c r="B165" s="189" t="s">
        <v>14</v>
      </c>
      <c r="C165" s="194" t="s">
        <v>302</v>
      </c>
      <c r="D165" s="215" t="s">
        <v>503</v>
      </c>
      <c r="E165" s="226">
        <f t="shared" ref="E165:E168" si="255">10527.6</f>
        <v>10527.6</v>
      </c>
      <c r="F165" s="213"/>
      <c r="G165" s="26">
        <f t="shared" si="216"/>
        <v>31582.800000000003</v>
      </c>
      <c r="H165" s="26">
        <f t="shared" si="217"/>
        <v>789.57</v>
      </c>
      <c r="I165" s="213">
        <v>0</v>
      </c>
      <c r="J165" s="26">
        <f t="shared" si="218"/>
        <v>5263.8</v>
      </c>
      <c r="K165" s="24">
        <f t="shared" si="219"/>
        <v>36846.6</v>
      </c>
      <c r="L165" s="26">
        <f t="shared" si="252"/>
        <v>10527.6</v>
      </c>
      <c r="M165" s="213"/>
      <c r="N165" s="213">
        <f>30000</f>
        <v>30000</v>
      </c>
      <c r="O165" s="26">
        <f t="shared" si="253"/>
        <v>1052.76</v>
      </c>
      <c r="P165" s="213">
        <v>5000</v>
      </c>
      <c r="Q165" s="26">
        <f>7000</f>
        <v>7000</v>
      </c>
      <c r="R165" s="238">
        <f t="shared" si="254"/>
        <v>138590.72999999998</v>
      </c>
      <c r="S165" s="24"/>
      <c r="T165" s="24">
        <f>5000+5000+5000</f>
        <v>15000</v>
      </c>
      <c r="U165" s="24">
        <f>14524.11</f>
        <v>14524.11</v>
      </c>
      <c r="V165" s="24"/>
      <c r="W165" s="24">
        <v>11232.457626666665</v>
      </c>
      <c r="X165" s="303">
        <f t="shared" si="230"/>
        <v>40756.567626666663</v>
      </c>
      <c r="Y165" s="24">
        <v>97834.162373333325</v>
      </c>
      <c r="Z165" s="241">
        <f t="shared" si="215"/>
        <v>97834.162373333325</v>
      </c>
      <c r="AA165" s="214"/>
    </row>
    <row r="166" spans="1:27" ht="20.100000000000001" customHeight="1">
      <c r="A166" s="225">
        <v>30</v>
      </c>
      <c r="B166" s="189" t="s">
        <v>23</v>
      </c>
      <c r="C166" s="194" t="s">
        <v>302</v>
      </c>
      <c r="D166" s="215" t="s">
        <v>503</v>
      </c>
      <c r="E166" s="226">
        <f t="shared" si="255"/>
        <v>10527.6</v>
      </c>
      <c r="F166" s="213"/>
      <c r="G166" s="26">
        <f t="shared" si="216"/>
        <v>31582.800000000003</v>
      </c>
      <c r="H166" s="26">
        <f t="shared" si="217"/>
        <v>789.57</v>
      </c>
      <c r="I166" s="26">
        <v>0</v>
      </c>
      <c r="J166" s="26">
        <f t="shared" si="218"/>
        <v>5263.8</v>
      </c>
      <c r="K166" s="24">
        <f t="shared" si="219"/>
        <v>36846.6</v>
      </c>
      <c r="L166" s="26">
        <f t="shared" si="252"/>
        <v>10527.6</v>
      </c>
      <c r="M166" s="213"/>
      <c r="N166" s="213">
        <f>30000</f>
        <v>30000</v>
      </c>
      <c r="O166" s="26">
        <f t="shared" si="253"/>
        <v>1052.76</v>
      </c>
      <c r="P166" s="26">
        <v>5000</v>
      </c>
      <c r="Q166" s="26">
        <f>4000</f>
        <v>4000</v>
      </c>
      <c r="R166" s="238">
        <f t="shared" si="254"/>
        <v>135590.72999999998</v>
      </c>
      <c r="S166" s="24"/>
      <c r="T166" s="24">
        <f>10000+5000+5000</f>
        <v>20000</v>
      </c>
      <c r="U166" s="24">
        <f>26250</f>
        <v>26250</v>
      </c>
      <c r="V166" s="24"/>
      <c r="W166" s="24">
        <v>10776.457626666665</v>
      </c>
      <c r="X166" s="303">
        <f t="shared" si="230"/>
        <v>57026.457626666663</v>
      </c>
      <c r="Y166" s="24">
        <v>78564.272373333311</v>
      </c>
      <c r="Z166" s="241">
        <f t="shared" si="215"/>
        <v>78564.272373333311</v>
      </c>
      <c r="AA166" s="214"/>
    </row>
    <row r="167" spans="1:27" ht="20.100000000000001" customHeight="1">
      <c r="A167" s="225">
        <v>31</v>
      </c>
      <c r="B167" s="189" t="s">
        <v>39</v>
      </c>
      <c r="C167" s="194" t="s">
        <v>302</v>
      </c>
      <c r="D167" s="215" t="s">
        <v>503</v>
      </c>
      <c r="E167" s="226">
        <f t="shared" si="255"/>
        <v>10527.6</v>
      </c>
      <c r="F167" s="213"/>
      <c r="G167" s="26">
        <f t="shared" si="216"/>
        <v>31582.800000000003</v>
      </c>
      <c r="H167" s="26">
        <f t="shared" si="217"/>
        <v>789.57</v>
      </c>
      <c r="I167" s="26">
        <v>0</v>
      </c>
      <c r="J167" s="26">
        <f t="shared" si="218"/>
        <v>5263.8</v>
      </c>
      <c r="K167" s="24">
        <f t="shared" si="219"/>
        <v>36846.6</v>
      </c>
      <c r="L167" s="26">
        <f t="shared" si="252"/>
        <v>10527.6</v>
      </c>
      <c r="M167" s="213"/>
      <c r="N167" s="213">
        <f>30000</f>
        <v>30000</v>
      </c>
      <c r="O167" s="26">
        <f t="shared" si="253"/>
        <v>1052.76</v>
      </c>
      <c r="P167" s="26">
        <v>5000</v>
      </c>
      <c r="Q167" s="26">
        <f>4000</f>
        <v>4000</v>
      </c>
      <c r="R167" s="238">
        <f t="shared" si="254"/>
        <v>135590.72999999998</v>
      </c>
      <c r="S167" s="24"/>
      <c r="T167" s="24">
        <f>5000+5000+5000</f>
        <v>15000</v>
      </c>
      <c r="U167" s="24">
        <f>85704.84-50000</f>
        <v>35704.839999999997</v>
      </c>
      <c r="V167" s="24">
        <v>263.19</v>
      </c>
      <c r="W167" s="24">
        <v>10743.737199999998</v>
      </c>
      <c r="X167" s="303">
        <f t="shared" si="230"/>
        <v>61711.767199999995</v>
      </c>
      <c r="Y167" s="24">
        <v>23878.962799999979</v>
      </c>
      <c r="Z167" s="241">
        <f t="shared" ref="Z167:Z190" si="256">R167-X167</f>
        <v>73878.962799999979</v>
      </c>
      <c r="AA167" s="214"/>
    </row>
    <row r="168" spans="1:27" ht="20.100000000000001" customHeight="1">
      <c r="A168" s="225">
        <v>32</v>
      </c>
      <c r="B168" s="189" t="s">
        <v>40</v>
      </c>
      <c r="C168" s="194" t="s">
        <v>302</v>
      </c>
      <c r="D168" s="215" t="s">
        <v>503</v>
      </c>
      <c r="E168" s="226">
        <f t="shared" si="255"/>
        <v>10527.6</v>
      </c>
      <c r="F168" s="213"/>
      <c r="G168" s="26">
        <f t="shared" si="216"/>
        <v>31582.800000000003</v>
      </c>
      <c r="H168" s="26">
        <f t="shared" si="217"/>
        <v>789.57</v>
      </c>
      <c r="I168" s="26">
        <v>0</v>
      </c>
      <c r="J168" s="26">
        <f t="shared" si="218"/>
        <v>5263.8</v>
      </c>
      <c r="K168" s="24">
        <f t="shared" si="219"/>
        <v>36846.6</v>
      </c>
      <c r="L168" s="26">
        <f t="shared" si="252"/>
        <v>10527.6</v>
      </c>
      <c r="M168" s="213"/>
      <c r="N168" s="213">
        <f>30000</f>
        <v>30000</v>
      </c>
      <c r="O168" s="26">
        <f t="shared" si="253"/>
        <v>1052.76</v>
      </c>
      <c r="P168" s="26">
        <v>5000</v>
      </c>
      <c r="Q168" s="26">
        <f>4000</f>
        <v>4000</v>
      </c>
      <c r="R168" s="238">
        <f t="shared" si="254"/>
        <v>135590.72999999998</v>
      </c>
      <c r="S168" s="24"/>
      <c r="T168" s="24">
        <f>10000+5000+5000</f>
        <v>20000</v>
      </c>
      <c r="U168" s="24">
        <f>15112.49</f>
        <v>15112.49</v>
      </c>
      <c r="V168" s="24"/>
      <c r="W168" s="24">
        <v>10776.457626666665</v>
      </c>
      <c r="X168" s="303">
        <f t="shared" si="230"/>
        <v>45888.947626666661</v>
      </c>
      <c r="Y168" s="24">
        <v>89701.782373333321</v>
      </c>
      <c r="Z168" s="241">
        <f t="shared" si="256"/>
        <v>89701.782373333321</v>
      </c>
      <c r="AA168" s="214"/>
    </row>
    <row r="169" spans="1:27" ht="20.100000000000001" customHeight="1">
      <c r="A169" s="225">
        <v>33</v>
      </c>
      <c r="B169" s="189" t="s">
        <v>127</v>
      </c>
      <c r="C169" s="194" t="s">
        <v>302</v>
      </c>
      <c r="D169" s="215" t="s">
        <v>416</v>
      </c>
      <c r="E169" s="26">
        <v>9050.14</v>
      </c>
      <c r="F169" s="213"/>
      <c r="G169" s="26">
        <f t="shared" si="216"/>
        <v>27150.42</v>
      </c>
      <c r="H169" s="26">
        <f t="shared" si="217"/>
        <v>678.76049999999998</v>
      </c>
      <c r="I169" s="26">
        <v>0</v>
      </c>
      <c r="J169" s="26">
        <f t="shared" si="218"/>
        <v>4525.07</v>
      </c>
      <c r="K169" s="24">
        <f t="shared" si="219"/>
        <v>31675.489999999998</v>
      </c>
      <c r="L169" s="26">
        <f t="shared" si="252"/>
        <v>9050.14</v>
      </c>
      <c r="M169" s="213"/>
      <c r="N169" s="213">
        <f>20000+10000</f>
        <v>30000</v>
      </c>
      <c r="O169" s="26">
        <f t="shared" si="253"/>
        <v>905.01400000000001</v>
      </c>
      <c r="P169" s="26">
        <v>5000</v>
      </c>
      <c r="Q169" s="26">
        <f>7000</f>
        <v>7000</v>
      </c>
      <c r="R169" s="238">
        <f t="shared" si="254"/>
        <v>125035.03449999999</v>
      </c>
      <c r="S169" s="24"/>
      <c r="T169" s="24">
        <f>5000+5000+15000+5000</f>
        <v>30000</v>
      </c>
      <c r="U169" s="24">
        <f>26430.62</f>
        <v>26430.62</v>
      </c>
      <c r="V169" s="24"/>
      <c r="W169" s="24">
        <v>9504.2041399999998</v>
      </c>
      <c r="X169" s="303">
        <f t="shared" si="230"/>
        <v>65934.824139999997</v>
      </c>
      <c r="Y169" s="24">
        <v>59100.210359999997</v>
      </c>
      <c r="Z169" s="241">
        <f t="shared" si="256"/>
        <v>59100.210359999997</v>
      </c>
      <c r="AA169" s="214"/>
    </row>
    <row r="170" spans="1:27" ht="20.100000000000001" customHeight="1">
      <c r="A170" s="225">
        <v>34</v>
      </c>
      <c r="B170" s="189" t="s">
        <v>128</v>
      </c>
      <c r="C170" s="194" t="s">
        <v>302</v>
      </c>
      <c r="D170" s="215" t="s">
        <v>416</v>
      </c>
      <c r="E170" s="26">
        <v>9050.14</v>
      </c>
      <c r="F170" s="213"/>
      <c r="G170" s="26">
        <f t="shared" si="216"/>
        <v>27150.42</v>
      </c>
      <c r="H170" s="26">
        <f t="shared" si="217"/>
        <v>678.76049999999998</v>
      </c>
      <c r="I170" s="26">
        <v>0</v>
      </c>
      <c r="J170" s="26">
        <f t="shared" si="218"/>
        <v>4525.07</v>
      </c>
      <c r="K170" s="24">
        <f t="shared" si="219"/>
        <v>31675.489999999998</v>
      </c>
      <c r="L170" s="26">
        <f t="shared" si="252"/>
        <v>9050.14</v>
      </c>
      <c r="M170" s="213"/>
      <c r="N170" s="213">
        <f t="shared" ref="N170:N175" si="257">20000+10000</f>
        <v>30000</v>
      </c>
      <c r="O170" s="26">
        <f t="shared" si="253"/>
        <v>905.01400000000001</v>
      </c>
      <c r="P170" s="26">
        <v>5000</v>
      </c>
      <c r="Q170" s="26">
        <f>4000</f>
        <v>4000</v>
      </c>
      <c r="R170" s="238">
        <f t="shared" si="254"/>
        <v>122035.03449999999</v>
      </c>
      <c r="S170" s="24"/>
      <c r="T170" s="24">
        <f>3000+5000+17000+5000</f>
        <v>30000</v>
      </c>
      <c r="U170" s="24">
        <f>25555.56</f>
        <v>25555.56</v>
      </c>
      <c r="V170" s="24"/>
      <c r="W170" s="24">
        <v>9144.2041399999998</v>
      </c>
      <c r="X170" s="303">
        <f t="shared" si="230"/>
        <v>64699.764139999999</v>
      </c>
      <c r="Y170" s="24">
        <v>57335.270359999995</v>
      </c>
      <c r="Z170" s="241">
        <f t="shared" si="256"/>
        <v>57335.270359999995</v>
      </c>
      <c r="AA170" s="214"/>
    </row>
    <row r="171" spans="1:27" ht="20.100000000000001" customHeight="1">
      <c r="A171" s="225">
        <v>35</v>
      </c>
      <c r="B171" s="189" t="s">
        <v>129</v>
      </c>
      <c r="C171" s="194" t="s">
        <v>302</v>
      </c>
      <c r="D171" s="215" t="s">
        <v>416</v>
      </c>
      <c r="E171" s="26">
        <v>9050.14</v>
      </c>
      <c r="F171" s="213"/>
      <c r="G171" s="26">
        <f t="shared" si="216"/>
        <v>27150.42</v>
      </c>
      <c r="H171" s="26">
        <f t="shared" si="217"/>
        <v>678.76049999999998</v>
      </c>
      <c r="I171" s="26">
        <v>0</v>
      </c>
      <c r="J171" s="26">
        <f t="shared" si="218"/>
        <v>4525.07</v>
      </c>
      <c r="K171" s="24">
        <f t="shared" si="219"/>
        <v>31675.489999999998</v>
      </c>
      <c r="L171" s="26">
        <f t="shared" si="252"/>
        <v>9050.14</v>
      </c>
      <c r="M171" s="213"/>
      <c r="N171" s="213">
        <f t="shared" si="257"/>
        <v>30000</v>
      </c>
      <c r="O171" s="26">
        <f t="shared" si="253"/>
        <v>905.01400000000001</v>
      </c>
      <c r="P171" s="26">
        <v>5000</v>
      </c>
      <c r="Q171" s="26">
        <f>4000</f>
        <v>4000</v>
      </c>
      <c r="R171" s="238">
        <v>0</v>
      </c>
      <c r="S171" s="24"/>
      <c r="T171" s="24">
        <v>0</v>
      </c>
      <c r="U171" s="24">
        <v>0</v>
      </c>
      <c r="V171" s="24"/>
      <c r="W171" s="24">
        <v>0</v>
      </c>
      <c r="X171" s="303">
        <f t="shared" si="230"/>
        <v>0</v>
      </c>
      <c r="Y171" s="24">
        <v>83161.660359999994</v>
      </c>
      <c r="Z171" s="241">
        <f t="shared" si="256"/>
        <v>0</v>
      </c>
      <c r="AA171" s="214"/>
    </row>
    <row r="172" spans="1:27" ht="20.100000000000001" customHeight="1">
      <c r="A172" s="225">
        <v>36</v>
      </c>
      <c r="B172" s="191" t="s">
        <v>136</v>
      </c>
      <c r="C172" s="194" t="s">
        <v>302</v>
      </c>
      <c r="D172" s="215" t="s">
        <v>416</v>
      </c>
      <c r="E172" s="26">
        <v>9050.14</v>
      </c>
      <c r="F172" s="213"/>
      <c r="G172" s="26">
        <f t="shared" si="216"/>
        <v>27150.42</v>
      </c>
      <c r="H172" s="26">
        <f t="shared" si="217"/>
        <v>678.76049999999998</v>
      </c>
      <c r="I172" s="26">
        <v>0</v>
      </c>
      <c r="J172" s="26">
        <f t="shared" si="218"/>
        <v>4525.07</v>
      </c>
      <c r="K172" s="24">
        <f t="shared" si="219"/>
        <v>31675.489999999998</v>
      </c>
      <c r="L172" s="26">
        <f>E171*100%</f>
        <v>9050.14</v>
      </c>
      <c r="M172" s="213"/>
      <c r="N172" s="213">
        <f t="shared" si="257"/>
        <v>30000</v>
      </c>
      <c r="O172" s="26">
        <f t="shared" si="253"/>
        <v>905.01400000000001</v>
      </c>
      <c r="P172" s="26">
        <v>5000</v>
      </c>
      <c r="Q172" s="26">
        <f>7000</f>
        <v>7000</v>
      </c>
      <c r="R172" s="238">
        <f t="shared" si="254"/>
        <v>125035.03449999999</v>
      </c>
      <c r="S172" s="24"/>
      <c r="T172" s="24">
        <f>5000+5000+5000+5000</f>
        <v>20000</v>
      </c>
      <c r="U172" s="24">
        <f>26000+4000</f>
        <v>30000</v>
      </c>
      <c r="V172" s="24"/>
      <c r="W172" s="24">
        <v>9504.2041399999998</v>
      </c>
      <c r="X172" s="303">
        <f t="shared" si="230"/>
        <v>59504.204140000002</v>
      </c>
      <c r="Y172" s="24">
        <v>65530.830359999993</v>
      </c>
      <c r="Z172" s="241">
        <f t="shared" si="256"/>
        <v>65530.830359999993</v>
      </c>
      <c r="AA172" s="214"/>
    </row>
    <row r="173" spans="1:27" ht="20.100000000000001" customHeight="1">
      <c r="A173" s="225">
        <v>37</v>
      </c>
      <c r="B173" s="189" t="s">
        <v>140</v>
      </c>
      <c r="C173" s="194" t="s">
        <v>302</v>
      </c>
      <c r="D173" s="215" t="s">
        <v>416</v>
      </c>
      <c r="E173" s="26">
        <v>9050.14</v>
      </c>
      <c r="F173" s="213"/>
      <c r="G173" s="26">
        <f t="shared" si="216"/>
        <v>27150.42</v>
      </c>
      <c r="H173" s="26">
        <f t="shared" si="217"/>
        <v>678.76049999999998</v>
      </c>
      <c r="I173" s="26"/>
      <c r="J173" s="26">
        <f t="shared" si="218"/>
        <v>4525.07</v>
      </c>
      <c r="K173" s="24">
        <f t="shared" si="219"/>
        <v>31675.489999999998</v>
      </c>
      <c r="L173" s="26">
        <f t="shared" ref="L173:L188" si="258">E173*100%</f>
        <v>9050.14</v>
      </c>
      <c r="M173" s="213"/>
      <c r="N173" s="213">
        <f t="shared" si="257"/>
        <v>30000</v>
      </c>
      <c r="O173" s="26">
        <f t="shared" si="253"/>
        <v>905.01400000000001</v>
      </c>
      <c r="P173" s="26">
        <v>5000</v>
      </c>
      <c r="Q173" s="26">
        <f>4000</f>
        <v>4000</v>
      </c>
      <c r="R173" s="238">
        <f t="shared" si="254"/>
        <v>122035.03449999999</v>
      </c>
      <c r="S173" s="24"/>
      <c r="T173" s="24">
        <f>10000+5000+5000</f>
        <v>20000</v>
      </c>
      <c r="U173" s="24">
        <f>13750</f>
        <v>13750</v>
      </c>
      <c r="V173" s="24"/>
      <c r="W173" s="24">
        <v>9144.2041399999998</v>
      </c>
      <c r="X173" s="303">
        <f t="shared" si="230"/>
        <v>42894.204140000002</v>
      </c>
      <c r="Y173" s="24">
        <v>79140.830359999993</v>
      </c>
      <c r="Z173" s="241">
        <f t="shared" si="256"/>
        <v>79140.830359999993</v>
      </c>
      <c r="AA173" s="214"/>
    </row>
    <row r="174" spans="1:27" ht="20.100000000000001" customHeight="1">
      <c r="A174" s="225">
        <v>38</v>
      </c>
      <c r="B174" s="190" t="s">
        <v>152</v>
      </c>
      <c r="C174" s="194" t="s">
        <v>302</v>
      </c>
      <c r="D174" s="215" t="s">
        <v>416</v>
      </c>
      <c r="E174" s="26">
        <v>9050.14</v>
      </c>
      <c r="F174" s="213"/>
      <c r="G174" s="26">
        <f t="shared" si="216"/>
        <v>27150.42</v>
      </c>
      <c r="H174" s="26">
        <f t="shared" si="217"/>
        <v>678.76049999999998</v>
      </c>
      <c r="I174" s="26"/>
      <c r="J174" s="26">
        <f t="shared" si="218"/>
        <v>4525.07</v>
      </c>
      <c r="K174" s="24">
        <f t="shared" si="219"/>
        <v>31675.489999999998</v>
      </c>
      <c r="L174" s="26">
        <f t="shared" si="258"/>
        <v>9050.14</v>
      </c>
      <c r="M174" s="213"/>
      <c r="N174" s="213">
        <f t="shared" si="257"/>
        <v>30000</v>
      </c>
      <c r="O174" s="26">
        <f t="shared" si="253"/>
        <v>905.01400000000001</v>
      </c>
      <c r="P174" s="26">
        <v>5000</v>
      </c>
      <c r="Q174" s="26">
        <f>4000</f>
        <v>4000</v>
      </c>
      <c r="R174" s="238">
        <f t="shared" si="254"/>
        <v>122035.03449999999</v>
      </c>
      <c r="S174" s="24"/>
      <c r="T174" s="24">
        <f>3000+5000+7000+5000</f>
        <v>20000</v>
      </c>
      <c r="U174" s="24">
        <f>16958.34</f>
        <v>16958.34</v>
      </c>
      <c r="V174" s="24"/>
      <c r="W174" s="24">
        <v>9144.2041399999998</v>
      </c>
      <c r="X174" s="303">
        <f t="shared" si="230"/>
        <v>46102.544139999998</v>
      </c>
      <c r="Y174" s="24">
        <v>75932.490359999996</v>
      </c>
      <c r="Z174" s="241">
        <f t="shared" si="256"/>
        <v>75932.490359999996</v>
      </c>
      <c r="AA174" s="214"/>
    </row>
    <row r="175" spans="1:27" ht="20.100000000000001" customHeight="1">
      <c r="A175" s="225">
        <v>39</v>
      </c>
      <c r="B175" s="190" t="s">
        <v>132</v>
      </c>
      <c r="C175" s="194" t="s">
        <v>302</v>
      </c>
      <c r="D175" s="215" t="s">
        <v>416</v>
      </c>
      <c r="E175" s="26">
        <v>9050.14</v>
      </c>
      <c r="F175" s="213"/>
      <c r="G175" s="26">
        <f t="shared" si="216"/>
        <v>27150.42</v>
      </c>
      <c r="H175" s="26">
        <f t="shared" si="217"/>
        <v>678.76049999999998</v>
      </c>
      <c r="I175" s="26"/>
      <c r="J175" s="26">
        <f t="shared" si="218"/>
        <v>4525.07</v>
      </c>
      <c r="K175" s="24">
        <f t="shared" si="219"/>
        <v>31675.489999999998</v>
      </c>
      <c r="L175" s="26">
        <f t="shared" si="258"/>
        <v>9050.14</v>
      </c>
      <c r="M175" s="213"/>
      <c r="N175" s="213">
        <f t="shared" si="257"/>
        <v>30000</v>
      </c>
      <c r="O175" s="26">
        <f t="shared" si="253"/>
        <v>905.01400000000001</v>
      </c>
      <c r="P175" s="26">
        <v>5000</v>
      </c>
      <c r="Q175" s="26">
        <f>7000</f>
        <v>7000</v>
      </c>
      <c r="R175" s="238">
        <f t="shared" si="254"/>
        <v>125035.03449999999</v>
      </c>
      <c r="S175" s="24"/>
      <c r="T175" s="24">
        <f>10000+5000+5000</f>
        <v>20000</v>
      </c>
      <c r="U175" s="24">
        <f>22361.11</f>
        <v>22361.11</v>
      </c>
      <c r="V175" s="24"/>
      <c r="W175" s="24">
        <v>9504.2041399999998</v>
      </c>
      <c r="X175" s="303">
        <f t="shared" si="230"/>
        <v>51865.314140000002</v>
      </c>
      <c r="Y175" s="24">
        <v>73169.720359999992</v>
      </c>
      <c r="Z175" s="241">
        <f t="shared" si="256"/>
        <v>73169.720359999992</v>
      </c>
      <c r="AA175" s="214"/>
    </row>
    <row r="176" spans="1:27" ht="20.100000000000001" customHeight="1">
      <c r="A176" s="225">
        <v>40</v>
      </c>
      <c r="B176" s="189" t="s">
        <v>231</v>
      </c>
      <c r="C176" s="194" t="s">
        <v>167</v>
      </c>
      <c r="D176" s="215" t="s">
        <v>263</v>
      </c>
      <c r="E176" s="26">
        <v>5428.12</v>
      </c>
      <c r="F176" s="213"/>
      <c r="G176" s="26">
        <f t="shared" si="216"/>
        <v>16284.36</v>
      </c>
      <c r="H176" s="26">
        <f t="shared" si="217"/>
        <v>407.10899999999998</v>
      </c>
      <c r="I176" s="26"/>
      <c r="J176" s="26">
        <f t="shared" si="218"/>
        <v>2714.06</v>
      </c>
      <c r="K176" s="24">
        <f t="shared" si="219"/>
        <v>18998.419999999998</v>
      </c>
      <c r="L176" s="26">
        <f t="shared" si="258"/>
        <v>5428.12</v>
      </c>
      <c r="M176" s="213"/>
      <c r="N176" s="213">
        <f>20000</f>
        <v>20000</v>
      </c>
      <c r="O176" s="26">
        <f t="shared" si="253"/>
        <v>542.81200000000001</v>
      </c>
      <c r="P176" s="26">
        <v>5000</v>
      </c>
      <c r="Q176" s="26">
        <f>7000</f>
        <v>7000</v>
      </c>
      <c r="R176" s="238">
        <f t="shared" si="254"/>
        <v>81803.001000000018</v>
      </c>
      <c r="S176" s="24"/>
      <c r="T176" s="24">
        <f>10000+5000+5000</f>
        <v>20000</v>
      </c>
      <c r="U176" s="24">
        <f>15625</f>
        <v>15625</v>
      </c>
      <c r="V176" s="24"/>
      <c r="W176" s="24">
        <v>4365.3307546666683</v>
      </c>
      <c r="X176" s="303">
        <f t="shared" si="230"/>
        <v>39990.330754666669</v>
      </c>
      <c r="Y176" s="24">
        <v>41812.670245333349</v>
      </c>
      <c r="Z176" s="241">
        <f t="shared" si="256"/>
        <v>41812.670245333349</v>
      </c>
      <c r="AA176" s="214"/>
    </row>
    <row r="177" spans="1:27" ht="20.100000000000001" customHeight="1">
      <c r="A177" s="225">
        <v>41</v>
      </c>
      <c r="B177" s="189" t="s">
        <v>246</v>
      </c>
      <c r="C177" s="194" t="s">
        <v>167</v>
      </c>
      <c r="D177" s="215" t="s">
        <v>263</v>
      </c>
      <c r="E177" s="26">
        <v>5428.12</v>
      </c>
      <c r="F177" s="213"/>
      <c r="G177" s="26">
        <f t="shared" si="216"/>
        <v>16284.36</v>
      </c>
      <c r="H177" s="26">
        <f t="shared" si="217"/>
        <v>407.10899999999998</v>
      </c>
      <c r="I177" s="26"/>
      <c r="J177" s="26">
        <f t="shared" si="218"/>
        <v>2714.06</v>
      </c>
      <c r="K177" s="24">
        <f t="shared" si="219"/>
        <v>18998.419999999998</v>
      </c>
      <c r="L177" s="26">
        <f t="shared" si="258"/>
        <v>5428.12</v>
      </c>
      <c r="M177" s="213"/>
      <c r="N177" s="213">
        <f>20000</f>
        <v>20000</v>
      </c>
      <c r="O177" s="26">
        <f t="shared" si="253"/>
        <v>542.81200000000001</v>
      </c>
      <c r="P177" s="26">
        <v>5000</v>
      </c>
      <c r="Q177" s="26">
        <f>7000</f>
        <v>7000</v>
      </c>
      <c r="R177" s="238">
        <f>SUM(E177:Q177)</f>
        <v>81803.001000000018</v>
      </c>
      <c r="S177" s="24"/>
      <c r="T177" s="24">
        <v>20000</v>
      </c>
      <c r="U177" s="24">
        <v>18333.330000000002</v>
      </c>
      <c r="V177" s="24"/>
      <c r="W177" s="24">
        <f>4365.33075466667</f>
        <v>4365.3307546666701</v>
      </c>
      <c r="X177" s="303">
        <f t="shared" si="230"/>
        <v>42698.660754666671</v>
      </c>
      <c r="Y177" s="24">
        <v>39104.340245333347</v>
      </c>
      <c r="Z177" s="241">
        <f t="shared" si="256"/>
        <v>39104.340245333347</v>
      </c>
      <c r="AA177" s="214"/>
    </row>
    <row r="178" spans="1:27" ht="20.100000000000001" customHeight="1">
      <c r="A178" s="225">
        <v>42</v>
      </c>
      <c r="B178" s="190" t="s">
        <v>166</v>
      </c>
      <c r="C178" s="194" t="s">
        <v>167</v>
      </c>
      <c r="D178" s="215" t="s">
        <v>223</v>
      </c>
      <c r="E178" s="26">
        <f>5598.92</f>
        <v>5598.92</v>
      </c>
      <c r="F178" s="213"/>
      <c r="G178" s="26">
        <f t="shared" si="216"/>
        <v>16796.760000000002</v>
      </c>
      <c r="H178" s="26">
        <f t="shared" si="217"/>
        <v>419.91899999999998</v>
      </c>
      <c r="I178" s="26"/>
      <c r="J178" s="26">
        <f t="shared" si="218"/>
        <v>2799.46</v>
      </c>
      <c r="K178" s="24">
        <f t="shared" si="219"/>
        <v>19596.22</v>
      </c>
      <c r="L178" s="26">
        <f t="shared" si="258"/>
        <v>5598.92</v>
      </c>
      <c r="M178" s="213"/>
      <c r="N178" s="213">
        <f>20000</f>
        <v>20000</v>
      </c>
      <c r="O178" s="26">
        <f t="shared" si="253"/>
        <v>559.89200000000005</v>
      </c>
      <c r="P178" s="26">
        <v>5000</v>
      </c>
      <c r="Q178" s="26">
        <f>7000</f>
        <v>7000</v>
      </c>
      <c r="R178" s="238">
        <f t="shared" si="254"/>
        <v>83370.091</v>
      </c>
      <c r="S178" s="24"/>
      <c r="T178" s="24">
        <f>3000+5000+5000</f>
        <v>13000</v>
      </c>
      <c r="U178" s="24">
        <f>44000</f>
        <v>44000</v>
      </c>
      <c r="V178" s="24"/>
      <c r="W178" s="24">
        <v>4504.4109199999994</v>
      </c>
      <c r="X178" s="303">
        <f t="shared" si="230"/>
        <v>61504.410920000002</v>
      </c>
      <c r="Y178" s="24">
        <v>21865.680079999998</v>
      </c>
      <c r="Z178" s="241">
        <f t="shared" si="256"/>
        <v>21865.680079999998</v>
      </c>
      <c r="AA178" s="214"/>
    </row>
    <row r="179" spans="1:27" ht="20.100000000000001" customHeight="1">
      <c r="A179" s="225">
        <v>43</v>
      </c>
      <c r="B179" s="189" t="s">
        <v>204</v>
      </c>
      <c r="C179" s="194" t="s">
        <v>167</v>
      </c>
      <c r="D179" s="215" t="s">
        <v>177</v>
      </c>
      <c r="E179" s="26">
        <v>5257.44</v>
      </c>
      <c r="F179" s="213"/>
      <c r="G179" s="26">
        <f t="shared" si="216"/>
        <v>15772.32</v>
      </c>
      <c r="H179" s="26">
        <f t="shared" si="217"/>
        <v>394.30799999999994</v>
      </c>
      <c r="I179" s="26"/>
      <c r="J179" s="26">
        <f t="shared" si="218"/>
        <v>2628.72</v>
      </c>
      <c r="K179" s="24">
        <f t="shared" si="219"/>
        <v>18401.039999999997</v>
      </c>
      <c r="L179" s="26">
        <f t="shared" si="258"/>
        <v>5257.44</v>
      </c>
      <c r="M179" s="213"/>
      <c r="N179" s="213">
        <f>20000</f>
        <v>20000</v>
      </c>
      <c r="O179" s="26">
        <f t="shared" si="253"/>
        <v>525.74400000000003</v>
      </c>
      <c r="P179" s="26">
        <v>5000</v>
      </c>
      <c r="Q179" s="26">
        <f>7000</f>
        <v>7000</v>
      </c>
      <c r="R179" s="238">
        <f t="shared" si="254"/>
        <v>80237.012000000002</v>
      </c>
      <c r="S179" s="24"/>
      <c r="T179" s="24">
        <f>15000</f>
        <v>15000</v>
      </c>
      <c r="U179" s="24">
        <f>20000</f>
        <v>20000</v>
      </c>
      <c r="V179" s="24"/>
      <c r="W179" s="24">
        <v>4227.5237226666677</v>
      </c>
      <c r="X179" s="303">
        <f t="shared" si="230"/>
        <v>39227.523722666665</v>
      </c>
      <c r="Y179" s="24">
        <v>41009.488277333337</v>
      </c>
      <c r="Z179" s="241">
        <f t="shared" si="256"/>
        <v>41009.488277333337</v>
      </c>
      <c r="AA179" s="214"/>
    </row>
    <row r="180" spans="1:27" ht="20.100000000000001" customHeight="1">
      <c r="A180" s="225">
        <v>44</v>
      </c>
      <c r="B180" s="189" t="s">
        <v>209</v>
      </c>
      <c r="C180" s="194" t="s">
        <v>13</v>
      </c>
      <c r="D180" s="215" t="s">
        <v>504</v>
      </c>
      <c r="E180" s="26">
        <v>5086.76</v>
      </c>
      <c r="F180" s="213"/>
      <c r="G180" s="26">
        <f t="shared" si="216"/>
        <v>15260.28</v>
      </c>
      <c r="H180" s="26">
        <f t="shared" si="217"/>
        <v>381.50700000000001</v>
      </c>
      <c r="I180" s="26"/>
      <c r="J180" s="26">
        <f t="shared" si="218"/>
        <v>2543.38</v>
      </c>
      <c r="K180" s="24">
        <f t="shared" si="219"/>
        <v>17803.66</v>
      </c>
      <c r="L180" s="26">
        <f t="shared" si="258"/>
        <v>5086.76</v>
      </c>
      <c r="M180" s="213"/>
      <c r="N180" s="213">
        <f>20000</f>
        <v>20000</v>
      </c>
      <c r="O180" s="26">
        <f t="shared" si="253"/>
        <v>508.67600000000004</v>
      </c>
      <c r="P180" s="26">
        <v>5000</v>
      </c>
      <c r="Q180" s="26">
        <f>7000</f>
        <v>7000</v>
      </c>
      <c r="R180" s="238">
        <f t="shared" si="254"/>
        <v>78671.023000000016</v>
      </c>
      <c r="S180" s="24"/>
      <c r="T180" s="24">
        <f>5000+5000+5000</f>
        <v>15000</v>
      </c>
      <c r="U180" s="24">
        <f>15000</f>
        <v>15000</v>
      </c>
      <c r="V180" s="24"/>
      <c r="W180" s="24">
        <v>4089.716690666668</v>
      </c>
      <c r="X180" s="303">
        <f t="shared" si="230"/>
        <v>34089.716690666668</v>
      </c>
      <c r="Y180" s="24">
        <v>44581.306309333348</v>
      </c>
      <c r="Z180" s="241">
        <f t="shared" si="256"/>
        <v>44581.306309333348</v>
      </c>
      <c r="AA180" s="214"/>
    </row>
    <row r="181" spans="1:27" ht="20.100000000000001" customHeight="1">
      <c r="A181" s="225">
        <v>45</v>
      </c>
      <c r="B181" s="189" t="s">
        <v>218</v>
      </c>
      <c r="C181" s="194" t="s">
        <v>13</v>
      </c>
      <c r="D181" s="215" t="s">
        <v>504</v>
      </c>
      <c r="E181" s="26">
        <v>5086.76</v>
      </c>
      <c r="F181" s="213"/>
      <c r="G181" s="26">
        <f t="shared" si="216"/>
        <v>15260.28</v>
      </c>
      <c r="H181" s="26">
        <f t="shared" si="217"/>
        <v>381.50700000000001</v>
      </c>
      <c r="I181" s="26"/>
      <c r="J181" s="26">
        <f t="shared" si="218"/>
        <v>2543.38</v>
      </c>
      <c r="K181" s="24">
        <f t="shared" si="219"/>
        <v>17803.66</v>
      </c>
      <c r="L181" s="26">
        <f t="shared" si="258"/>
        <v>5086.76</v>
      </c>
      <c r="M181" s="213"/>
      <c r="N181" s="213">
        <f>20000</f>
        <v>20000</v>
      </c>
      <c r="O181" s="26">
        <f t="shared" si="253"/>
        <v>508.67600000000004</v>
      </c>
      <c r="P181" s="26">
        <v>5000</v>
      </c>
      <c r="Q181" s="26">
        <f>4000</f>
        <v>4000</v>
      </c>
      <c r="R181" s="238">
        <f t="shared" si="254"/>
        <v>75671.023000000016</v>
      </c>
      <c r="S181" s="24"/>
      <c r="T181" s="24">
        <f>15000+5000+5000+5000</f>
        <v>30000</v>
      </c>
      <c r="U181" s="24">
        <f>25555.56</f>
        <v>25555.56</v>
      </c>
      <c r="V181" s="24"/>
      <c r="W181" s="24">
        <v>3825.716690666668</v>
      </c>
      <c r="X181" s="303">
        <f t="shared" si="230"/>
        <v>59381.276690666666</v>
      </c>
      <c r="Y181" s="24">
        <v>16289.74630933335</v>
      </c>
      <c r="Z181" s="241">
        <f t="shared" si="256"/>
        <v>16289.74630933335</v>
      </c>
      <c r="AA181" s="214"/>
    </row>
    <row r="182" spans="1:27" ht="20.100000000000001" customHeight="1">
      <c r="A182" s="225">
        <v>46</v>
      </c>
      <c r="B182" s="189" t="s">
        <v>219</v>
      </c>
      <c r="C182" s="194" t="s">
        <v>13</v>
      </c>
      <c r="D182" s="215" t="s">
        <v>504</v>
      </c>
      <c r="E182" s="26">
        <v>5086.76</v>
      </c>
      <c r="F182" s="213"/>
      <c r="G182" s="26">
        <f t="shared" si="216"/>
        <v>15260.28</v>
      </c>
      <c r="H182" s="26">
        <f t="shared" si="217"/>
        <v>381.50700000000001</v>
      </c>
      <c r="I182" s="26"/>
      <c r="J182" s="26">
        <f t="shared" si="218"/>
        <v>2543.38</v>
      </c>
      <c r="K182" s="24">
        <f t="shared" si="219"/>
        <v>17803.66</v>
      </c>
      <c r="L182" s="26">
        <f t="shared" si="258"/>
        <v>5086.76</v>
      </c>
      <c r="M182" s="213"/>
      <c r="N182" s="213">
        <f>20000</f>
        <v>20000</v>
      </c>
      <c r="O182" s="26">
        <f t="shared" si="253"/>
        <v>508.67600000000004</v>
      </c>
      <c r="P182" s="26">
        <v>5000</v>
      </c>
      <c r="Q182" s="26">
        <f>7000</f>
        <v>7000</v>
      </c>
      <c r="R182" s="238">
        <f t="shared" si="254"/>
        <v>78671.023000000016</v>
      </c>
      <c r="S182" s="24"/>
      <c r="T182" s="24">
        <f>5000+5000+5000</f>
        <v>15000</v>
      </c>
      <c r="U182" s="24">
        <v>15972.22</v>
      </c>
      <c r="V182" s="24"/>
      <c r="W182" s="24">
        <v>4089.716690666668</v>
      </c>
      <c r="X182" s="303">
        <f t="shared" si="230"/>
        <v>35061.936690666669</v>
      </c>
      <c r="Y182" s="24">
        <v>43609.086309333346</v>
      </c>
      <c r="Z182" s="241">
        <f t="shared" si="256"/>
        <v>43609.086309333346</v>
      </c>
      <c r="AA182" s="214"/>
    </row>
    <row r="183" spans="1:27" ht="20.100000000000001" customHeight="1">
      <c r="A183" s="225">
        <v>47</v>
      </c>
      <c r="B183" s="189" t="s">
        <v>211</v>
      </c>
      <c r="C183" s="194" t="s">
        <v>13</v>
      </c>
      <c r="D183" s="215" t="s">
        <v>504</v>
      </c>
      <c r="E183" s="26">
        <v>5086.76</v>
      </c>
      <c r="F183" s="213"/>
      <c r="G183" s="26">
        <f t="shared" si="216"/>
        <v>15260.28</v>
      </c>
      <c r="H183" s="26">
        <f t="shared" si="217"/>
        <v>381.50700000000001</v>
      </c>
      <c r="I183" s="26"/>
      <c r="J183" s="26">
        <f t="shared" si="218"/>
        <v>2543.38</v>
      </c>
      <c r="K183" s="24">
        <f t="shared" si="219"/>
        <v>17803.66</v>
      </c>
      <c r="L183" s="26">
        <f t="shared" si="258"/>
        <v>5086.76</v>
      </c>
      <c r="M183" s="213"/>
      <c r="N183" s="213">
        <f>20000</f>
        <v>20000</v>
      </c>
      <c r="O183" s="26">
        <f t="shared" si="253"/>
        <v>508.67600000000004</v>
      </c>
      <c r="P183" s="26">
        <v>5000</v>
      </c>
      <c r="Q183" s="26">
        <f>4000</f>
        <v>4000</v>
      </c>
      <c r="R183" s="238">
        <f t="shared" si="254"/>
        <v>75671.023000000016</v>
      </c>
      <c r="S183" s="24"/>
      <c r="T183" s="24">
        <f>10000+5000+5000</f>
        <v>20000</v>
      </c>
      <c r="U183" s="24">
        <v>8416.67</v>
      </c>
      <c r="V183" s="24"/>
      <c r="W183" s="24">
        <v>3825.716690666668</v>
      </c>
      <c r="X183" s="303">
        <f t="shared" si="230"/>
        <v>32242.386690666666</v>
      </c>
      <c r="Y183" s="24">
        <v>43428.636309333349</v>
      </c>
      <c r="Z183" s="241">
        <f t="shared" si="256"/>
        <v>43428.636309333349</v>
      </c>
      <c r="AA183" s="214"/>
    </row>
    <row r="184" spans="1:27" ht="20.100000000000001" customHeight="1">
      <c r="A184" s="225">
        <v>48</v>
      </c>
      <c r="B184" s="189" t="s">
        <v>213</v>
      </c>
      <c r="C184" s="194" t="s">
        <v>13</v>
      </c>
      <c r="D184" s="215" t="s">
        <v>504</v>
      </c>
      <c r="E184" s="26">
        <v>5086.76</v>
      </c>
      <c r="F184" s="213"/>
      <c r="G184" s="26">
        <f t="shared" si="216"/>
        <v>15260.28</v>
      </c>
      <c r="H184" s="26">
        <f t="shared" si="217"/>
        <v>381.50700000000001</v>
      </c>
      <c r="I184" s="26"/>
      <c r="J184" s="26">
        <f t="shared" si="218"/>
        <v>2543.38</v>
      </c>
      <c r="K184" s="24">
        <f t="shared" si="219"/>
        <v>17803.66</v>
      </c>
      <c r="L184" s="26">
        <f t="shared" si="258"/>
        <v>5086.76</v>
      </c>
      <c r="M184" s="213"/>
      <c r="N184" s="213">
        <f>20000</f>
        <v>20000</v>
      </c>
      <c r="O184" s="26">
        <f t="shared" si="253"/>
        <v>508.67600000000004</v>
      </c>
      <c r="P184" s="26">
        <v>5000</v>
      </c>
      <c r="Q184" s="26">
        <f>7000</f>
        <v>7000</v>
      </c>
      <c r="R184" s="238">
        <f t="shared" si="254"/>
        <v>78671.023000000016</v>
      </c>
      <c r="S184" s="24"/>
      <c r="T184" s="24">
        <f>5000</f>
        <v>5000</v>
      </c>
      <c r="U184" s="24">
        <f>30000</f>
        <v>30000</v>
      </c>
      <c r="V184" s="24"/>
      <c r="W184" s="24">
        <v>4089.716690666668</v>
      </c>
      <c r="X184" s="303">
        <f t="shared" si="230"/>
        <v>39089.716690666668</v>
      </c>
      <c r="Y184" s="24">
        <v>39581.306309333348</v>
      </c>
      <c r="Z184" s="241">
        <f t="shared" si="256"/>
        <v>39581.306309333348</v>
      </c>
      <c r="AA184" s="214"/>
    </row>
    <row r="185" spans="1:27" ht="20.100000000000001" customHeight="1">
      <c r="A185" s="225">
        <v>49</v>
      </c>
      <c r="B185" s="190" t="s">
        <v>342</v>
      </c>
      <c r="C185" s="194" t="s">
        <v>13</v>
      </c>
      <c r="D185" s="215" t="s">
        <v>504</v>
      </c>
      <c r="E185" s="26">
        <v>5086.76</v>
      </c>
      <c r="F185" s="213"/>
      <c r="G185" s="26">
        <f t="shared" ref="G185" si="259">E185*300%</f>
        <v>15260.28</v>
      </c>
      <c r="H185" s="26">
        <f t="shared" ref="H185" si="260">E185*7.5%</f>
        <v>381.50700000000001</v>
      </c>
      <c r="I185" s="26"/>
      <c r="J185" s="26">
        <f t="shared" ref="J185" si="261">E185*50%</f>
        <v>2543.38</v>
      </c>
      <c r="K185" s="24">
        <f t="shared" ref="K185" si="262">E185*350%</f>
        <v>17803.66</v>
      </c>
      <c r="L185" s="26">
        <f t="shared" ref="L185" si="263">E185*100%</f>
        <v>5086.76</v>
      </c>
      <c r="M185" s="213"/>
      <c r="N185" s="213">
        <f>20000</f>
        <v>20000</v>
      </c>
      <c r="O185" s="26">
        <f t="shared" ref="O185" si="264">E185*10%</f>
        <v>508.67600000000004</v>
      </c>
      <c r="P185" s="26">
        <v>5000</v>
      </c>
      <c r="Q185" s="26">
        <f>4000</f>
        <v>4000</v>
      </c>
      <c r="R185" s="238">
        <f t="shared" ref="R185" si="265">SUM(E185:Q185)</f>
        <v>75671.023000000016</v>
      </c>
      <c r="S185" s="24"/>
      <c r="T185" s="24">
        <v>7000</v>
      </c>
      <c r="U185" s="24">
        <v>15000</v>
      </c>
      <c r="V185" s="24"/>
      <c r="W185" s="24">
        <v>3825.716690666668</v>
      </c>
      <c r="X185" s="303">
        <f t="shared" si="230"/>
        <v>25825.716690666668</v>
      </c>
      <c r="Y185" s="24">
        <v>49845.306309333348</v>
      </c>
      <c r="Z185" s="241">
        <f t="shared" si="256"/>
        <v>49845.306309333348</v>
      </c>
      <c r="AA185" s="214"/>
    </row>
    <row r="186" spans="1:27" ht="20.100000000000001" customHeight="1">
      <c r="A186" s="225">
        <v>50</v>
      </c>
      <c r="B186" s="190" t="s">
        <v>405</v>
      </c>
      <c r="C186" s="194" t="s">
        <v>13</v>
      </c>
      <c r="D186" s="215" t="s">
        <v>504</v>
      </c>
      <c r="E186" s="26">
        <v>5086.76</v>
      </c>
      <c r="F186" s="213"/>
      <c r="G186" s="26">
        <f>E186*300%</f>
        <v>15260.28</v>
      </c>
      <c r="H186" s="26">
        <f>E186*7.5%</f>
        <v>381.50700000000001</v>
      </c>
      <c r="I186" s="26"/>
      <c r="J186" s="26">
        <f>E186*50%</f>
        <v>2543.38</v>
      </c>
      <c r="K186" s="24">
        <f>E186*350%</f>
        <v>17803.66</v>
      </c>
      <c r="L186" s="26">
        <f>E186*100%</f>
        <v>5086.76</v>
      </c>
      <c r="M186" s="213"/>
      <c r="N186" s="213">
        <f>20000</f>
        <v>20000</v>
      </c>
      <c r="O186" s="26">
        <f>E186*10%</f>
        <v>508.67600000000004</v>
      </c>
      <c r="P186" s="26">
        <v>5000</v>
      </c>
      <c r="Q186" s="26">
        <f>7000</f>
        <v>7000</v>
      </c>
      <c r="R186" s="238">
        <f t="shared" ref="R186" si="266">SUM(E186:Q186)</f>
        <v>78671.023000000016</v>
      </c>
      <c r="S186" s="24"/>
      <c r="T186" s="24">
        <f>10000+5000+5000</f>
        <v>20000</v>
      </c>
      <c r="U186" s="24">
        <f>0</f>
        <v>0</v>
      </c>
      <c r="V186" s="24"/>
      <c r="W186" s="24">
        <v>4089.716690666668</v>
      </c>
      <c r="X186" s="303">
        <f t="shared" si="230"/>
        <v>24089.716690666668</v>
      </c>
      <c r="Y186" s="24">
        <v>54581.306309333348</v>
      </c>
      <c r="Z186" s="241">
        <f t="shared" si="256"/>
        <v>54581.306309333348</v>
      </c>
      <c r="AA186" s="214"/>
    </row>
    <row r="187" spans="1:27" ht="20.100000000000001" customHeight="1">
      <c r="A187" s="225">
        <v>51</v>
      </c>
      <c r="B187" s="189" t="s">
        <v>232</v>
      </c>
      <c r="C187" s="194" t="s">
        <v>167</v>
      </c>
      <c r="D187" s="215" t="s">
        <v>504</v>
      </c>
      <c r="E187" s="26">
        <v>5086.76</v>
      </c>
      <c r="F187" s="213"/>
      <c r="G187" s="26">
        <v>15260.28</v>
      </c>
      <c r="H187" s="26">
        <v>381.50700000000001</v>
      </c>
      <c r="I187" s="26"/>
      <c r="J187" s="26">
        <v>2543.38</v>
      </c>
      <c r="K187" s="24">
        <v>17803.66</v>
      </c>
      <c r="L187" s="26">
        <v>5086.76</v>
      </c>
      <c r="M187" s="213"/>
      <c r="N187" s="213">
        <v>20000</v>
      </c>
      <c r="O187" s="26">
        <v>508.67600000000004</v>
      </c>
      <c r="P187" s="26">
        <v>5000</v>
      </c>
      <c r="Q187" s="26">
        <v>7000</v>
      </c>
      <c r="R187" s="238">
        <f>78671.023</f>
        <v>78671.023000000001</v>
      </c>
      <c r="S187" s="24"/>
      <c r="T187" s="24">
        <v>20000</v>
      </c>
      <c r="U187" s="24">
        <v>10000</v>
      </c>
      <c r="V187" s="24"/>
      <c r="W187" s="24">
        <f>4089.71669066667</f>
        <v>4089.7166906666698</v>
      </c>
      <c r="X187" s="303">
        <f t="shared" si="230"/>
        <v>34089.716690666668</v>
      </c>
      <c r="Y187" s="24">
        <v>44581.306309333333</v>
      </c>
      <c r="Z187" s="241">
        <f t="shared" si="256"/>
        <v>44581.306309333333</v>
      </c>
      <c r="AA187" s="214"/>
    </row>
    <row r="188" spans="1:27" ht="20.100000000000001" customHeight="1">
      <c r="A188" s="225">
        <v>52</v>
      </c>
      <c r="B188" s="189" t="s">
        <v>233</v>
      </c>
      <c r="C188" s="194" t="s">
        <v>167</v>
      </c>
      <c r="D188" s="215" t="s">
        <v>504</v>
      </c>
      <c r="E188" s="26">
        <v>5086.76</v>
      </c>
      <c r="F188" s="213"/>
      <c r="G188" s="26">
        <f t="shared" si="216"/>
        <v>15260.28</v>
      </c>
      <c r="H188" s="26">
        <f t="shared" si="217"/>
        <v>381.50700000000001</v>
      </c>
      <c r="I188" s="26"/>
      <c r="J188" s="26">
        <f t="shared" si="218"/>
        <v>2543.38</v>
      </c>
      <c r="K188" s="24">
        <f t="shared" si="219"/>
        <v>17803.66</v>
      </c>
      <c r="L188" s="26">
        <f t="shared" si="258"/>
        <v>5086.76</v>
      </c>
      <c r="M188" s="213"/>
      <c r="N188" s="213">
        <v>20000</v>
      </c>
      <c r="O188" s="26">
        <f t="shared" si="253"/>
        <v>508.67600000000004</v>
      </c>
      <c r="P188" s="26">
        <v>5000</v>
      </c>
      <c r="Q188" s="26">
        <f>7000</f>
        <v>7000</v>
      </c>
      <c r="R188" s="238">
        <f t="shared" si="254"/>
        <v>78671.023000000016</v>
      </c>
      <c r="S188" s="24"/>
      <c r="T188" s="24">
        <f>10000+5000+5000</f>
        <v>20000</v>
      </c>
      <c r="U188" s="24">
        <f>26222.06</f>
        <v>26222.06</v>
      </c>
      <c r="V188" s="24"/>
      <c r="W188" s="24">
        <v>4089.716690666668</v>
      </c>
      <c r="X188" s="303">
        <f t="shared" si="230"/>
        <v>50311.776690666666</v>
      </c>
      <c r="Y188" s="24">
        <v>28359.24630933335</v>
      </c>
      <c r="Z188" s="241">
        <f t="shared" si="256"/>
        <v>28359.24630933335</v>
      </c>
      <c r="AA188" s="214"/>
    </row>
    <row r="189" spans="1:27" ht="20.100000000000001" customHeight="1">
      <c r="A189" s="225">
        <v>53</v>
      </c>
      <c r="B189" s="190" t="s">
        <v>279</v>
      </c>
      <c r="C189" s="194" t="s">
        <v>13</v>
      </c>
      <c r="D189" s="215" t="s">
        <v>505</v>
      </c>
      <c r="E189" s="26">
        <f>4689.38</f>
        <v>4689.38</v>
      </c>
      <c r="F189" s="213"/>
      <c r="G189" s="26">
        <f t="shared" ref="G189" si="267">E189*300%</f>
        <v>14068.14</v>
      </c>
      <c r="H189" s="26">
        <f t="shared" ref="H189" si="268">E189*7.5%</f>
        <v>351.70350000000002</v>
      </c>
      <c r="I189" s="26"/>
      <c r="J189" s="26">
        <f t="shared" ref="J189" si="269">E189*50%</f>
        <v>2344.69</v>
      </c>
      <c r="K189" s="24">
        <f t="shared" ref="K189" si="270">E189*350%</f>
        <v>16412.830000000002</v>
      </c>
      <c r="L189" s="26">
        <f t="shared" ref="L189" si="271">E189*100%</f>
        <v>4689.38</v>
      </c>
      <c r="M189" s="213"/>
      <c r="N189" s="213">
        <f>15000</f>
        <v>15000</v>
      </c>
      <c r="O189" s="26">
        <f t="shared" ref="O189" si="272">E189*10%</f>
        <v>468.93800000000005</v>
      </c>
      <c r="P189" s="26">
        <v>5000</v>
      </c>
      <c r="Q189" s="26">
        <f>4000</f>
        <v>4000</v>
      </c>
      <c r="R189" s="238">
        <f t="shared" ref="R189" si="273">SUM(E189:Q189)</f>
        <v>67025.061499999996</v>
      </c>
      <c r="S189" s="24"/>
      <c r="T189" s="24">
        <f>10000+5000+5000</f>
        <v>20000</v>
      </c>
      <c r="U189" s="24">
        <f>32916.67</f>
        <v>32916.67</v>
      </c>
      <c r="V189" s="24"/>
      <c r="W189" s="24">
        <v>3064.8720786666654</v>
      </c>
      <c r="X189" s="303">
        <f t="shared" si="230"/>
        <v>55981.542078666665</v>
      </c>
      <c r="Y189" s="24">
        <v>11043.519421333331</v>
      </c>
      <c r="Z189" s="241">
        <f t="shared" si="256"/>
        <v>11043.519421333331</v>
      </c>
      <c r="AA189" s="214"/>
    </row>
    <row r="190" spans="1:27" ht="20.100000000000001" customHeight="1">
      <c r="A190" s="225">
        <v>54</v>
      </c>
      <c r="B190" s="190" t="s">
        <v>403</v>
      </c>
      <c r="C190" s="194" t="s">
        <v>13</v>
      </c>
      <c r="D190" s="215" t="s">
        <v>264</v>
      </c>
      <c r="E190" s="213">
        <f>4395.43</f>
        <v>4395.43</v>
      </c>
      <c r="F190" s="213"/>
      <c r="G190" s="26">
        <f t="shared" ref="G190" si="274">E190*300%</f>
        <v>13186.29</v>
      </c>
      <c r="H190" s="26">
        <f t="shared" ref="H190" si="275">E190*7.5%</f>
        <v>329.65725000000003</v>
      </c>
      <c r="I190" s="26"/>
      <c r="J190" s="26">
        <f t="shared" ref="J190" si="276">E190*50%</f>
        <v>2197.7150000000001</v>
      </c>
      <c r="K190" s="24">
        <f t="shared" ref="K190" si="277">E190*350%</f>
        <v>15384.005000000001</v>
      </c>
      <c r="L190" s="26">
        <f t="shared" ref="L190" si="278">E190*100%</f>
        <v>4395.43</v>
      </c>
      <c r="M190" s="213"/>
      <c r="N190" s="213">
        <f>15000</f>
        <v>15000</v>
      </c>
      <c r="O190" s="26">
        <f t="shared" ref="O190" si="279">E190*10%</f>
        <v>439.54300000000006</v>
      </c>
      <c r="P190" s="26">
        <v>5000</v>
      </c>
      <c r="Q190" s="26">
        <f>7000</f>
        <v>7000</v>
      </c>
      <c r="R190" s="238">
        <f>SUM(E190:Q190)</f>
        <v>67328.070250000004</v>
      </c>
      <c r="S190" s="24"/>
      <c r="T190" s="24">
        <f>5000</f>
        <v>5000</v>
      </c>
      <c r="U190" s="24">
        <v>0</v>
      </c>
      <c r="V190" s="24"/>
      <c r="W190" s="24">
        <v>3091.5368486666671</v>
      </c>
      <c r="X190" s="303">
        <f t="shared" si="230"/>
        <v>8091.5368486666666</v>
      </c>
      <c r="Y190" s="24">
        <v>59236.533401333334</v>
      </c>
      <c r="Z190" s="241">
        <f t="shared" si="256"/>
        <v>59236.533401333334</v>
      </c>
      <c r="AA190" s="214"/>
    </row>
    <row r="191" spans="1:27" ht="20.100000000000001" customHeight="1">
      <c r="A191" s="225"/>
      <c r="B191" s="211" t="s">
        <v>15</v>
      </c>
      <c r="C191" s="227" t="s">
        <v>561</v>
      </c>
      <c r="D191" s="23"/>
      <c r="E191" s="78">
        <f t="shared" ref="E191:L191" si="280">SUM(E137:E190)</f>
        <v>806763.88000000012</v>
      </c>
      <c r="F191" s="78">
        <f t="shared" si="280"/>
        <v>0</v>
      </c>
      <c r="G191" s="78">
        <f t="shared" si="280"/>
        <v>2420291.6399999969</v>
      </c>
      <c r="H191" s="78">
        <f t="shared" si="280"/>
        <v>60507.290999999954</v>
      </c>
      <c r="I191" s="78">
        <f t="shared" si="280"/>
        <v>160488.76</v>
      </c>
      <c r="J191" s="78">
        <f t="shared" si="280"/>
        <v>403381.94000000006</v>
      </c>
      <c r="K191" s="78">
        <f t="shared" si="280"/>
        <v>2823673.5800000038</v>
      </c>
      <c r="L191" s="78">
        <f t="shared" si="280"/>
        <v>806763.88000000012</v>
      </c>
      <c r="M191" s="218"/>
      <c r="N191" s="218">
        <f>SUM(N137:N190)</f>
        <v>2350000</v>
      </c>
      <c r="O191" s="78">
        <f>SUM(O137:O190)</f>
        <v>80676.388000000035</v>
      </c>
      <c r="P191" s="78">
        <f>SUM(P137:P190)</f>
        <v>475003</v>
      </c>
      <c r="Q191" s="78">
        <f>SUM(Q137:Q190)</f>
        <v>203000</v>
      </c>
      <c r="R191" s="246">
        <f>SUM(R137:R190)</f>
        <v>10468515.324499998</v>
      </c>
      <c r="S191" s="78"/>
      <c r="T191" s="78">
        <f>SUM(T137:T190)</f>
        <v>1199500</v>
      </c>
      <c r="U191" s="78">
        <f>SUM(U137:U190)</f>
        <v>1998269.7000000004</v>
      </c>
      <c r="V191" s="78">
        <v>5461.3392499999991</v>
      </c>
      <c r="W191" s="78">
        <f>SUM(W137:W190)</f>
        <v>1172397.8933093343</v>
      </c>
      <c r="X191" s="305">
        <f>SUM(X137:X190)</f>
        <v>4375628.9325593337</v>
      </c>
      <c r="Y191" s="78">
        <v>6156048.0523006674</v>
      </c>
      <c r="Z191" s="254">
        <f>SUM(Z137:Z190)</f>
        <v>6092886.3919406673</v>
      </c>
      <c r="AA191" s="214"/>
    </row>
    <row r="192" spans="1:27" ht="20.100000000000001" customHeight="1">
      <c r="A192" s="21"/>
      <c r="B192" s="228" t="s">
        <v>8</v>
      </c>
      <c r="C192" s="229">
        <f>C36+C41+C56+C61+C77+C85+C98+C105+C115+C134+C191</f>
        <v>148</v>
      </c>
      <c r="D192" s="230"/>
      <c r="E192" s="231">
        <f t="shared" ref="E192:X192" si="281">E191+E134+E120+E115+E105+E98+E85+E77+E61+E56+E41+E36</f>
        <v>3691196.9700000007</v>
      </c>
      <c r="F192" s="231">
        <f t="shared" si="281"/>
        <v>560000</v>
      </c>
      <c r="G192" s="231">
        <f t="shared" si="281"/>
        <v>10911961.979999997</v>
      </c>
      <c r="H192" s="231">
        <f t="shared" si="281"/>
        <v>312921.24200000003</v>
      </c>
      <c r="I192" s="231">
        <f t="shared" si="281"/>
        <v>1805498.55</v>
      </c>
      <c r="J192" s="231">
        <f t="shared" si="281"/>
        <v>1837384.0200000003</v>
      </c>
      <c r="K192" s="231">
        <f t="shared" si="281"/>
        <v>12356148.560000002</v>
      </c>
      <c r="L192" s="231">
        <f t="shared" si="281"/>
        <v>3650694.7300000004</v>
      </c>
      <c r="M192" s="231">
        <f t="shared" si="281"/>
        <v>7530000</v>
      </c>
      <c r="N192" s="231">
        <f t="shared" si="281"/>
        <v>5110000</v>
      </c>
      <c r="O192" s="231">
        <f t="shared" si="281"/>
        <v>369081.69600000011</v>
      </c>
      <c r="P192" s="231">
        <f t="shared" si="281"/>
        <v>1960007</v>
      </c>
      <c r="Q192" s="231">
        <f t="shared" si="281"/>
        <v>1764337.4691050001</v>
      </c>
      <c r="R192" s="231">
        <f t="shared" si="281"/>
        <v>51005732.157854989</v>
      </c>
      <c r="S192" s="231">
        <f t="shared" si="281"/>
        <v>0</v>
      </c>
      <c r="T192" s="231">
        <f t="shared" si="281"/>
        <v>4802500</v>
      </c>
      <c r="U192" s="231">
        <f t="shared" si="281"/>
        <v>7041474.5300000003</v>
      </c>
      <c r="V192" s="231">
        <f t="shared" si="281"/>
        <v>23887.071250000001</v>
      </c>
      <c r="W192" s="231">
        <f t="shared" si="281"/>
        <v>6946057.667131668</v>
      </c>
      <c r="X192" s="231">
        <f t="shared" si="281"/>
        <v>18813919.268381666</v>
      </c>
      <c r="Y192" s="231">
        <v>32708404.965053335</v>
      </c>
      <c r="Z192" s="231">
        <f>Z191+Z134+Z120+Z115+Z105+Z98+Z85+Z77+Z61+Z56+Z41+Z36</f>
        <v>32191812.889473334</v>
      </c>
      <c r="AA192" s="214"/>
    </row>
    <row r="193" spans="1:27" ht="20.100000000000001" customHeight="1">
      <c r="A193" s="203"/>
      <c r="B193" s="232"/>
      <c r="C193" s="203"/>
      <c r="D193" s="233"/>
      <c r="E193" s="233"/>
      <c r="F193" s="233"/>
      <c r="G193" s="233"/>
      <c r="H193" s="233"/>
      <c r="I193" s="233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5"/>
      <c r="X193" s="235"/>
      <c r="Y193" s="235"/>
      <c r="Z193" s="235"/>
      <c r="AA193" s="236"/>
    </row>
    <row r="194" spans="1:27" ht="65.25" customHeight="1">
      <c r="A194" s="203"/>
      <c r="B194" s="232"/>
      <c r="C194" s="233"/>
      <c r="D194" s="233"/>
      <c r="E194" s="233"/>
      <c r="F194" s="233"/>
      <c r="G194" s="233"/>
      <c r="H194" s="233"/>
      <c r="I194" s="233"/>
      <c r="J194" s="234"/>
      <c r="K194" s="234"/>
      <c r="L194" s="234"/>
      <c r="M194" s="234"/>
      <c r="N194" s="234"/>
      <c r="O194" s="234"/>
      <c r="P194" s="234"/>
      <c r="R194" s="234" t="s">
        <v>566</v>
      </c>
      <c r="S194" s="234"/>
      <c r="T194" s="234"/>
      <c r="U194" s="234"/>
      <c r="V194" s="234"/>
      <c r="W194" s="235"/>
      <c r="X194" s="235"/>
      <c r="Y194" s="235"/>
      <c r="Z194" s="236"/>
    </row>
    <row r="197" spans="1:27" ht="20.100000000000001" customHeight="1">
      <c r="R197" s="236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3" orientation="landscape" horizontalDpi="1200" verticalDpi="1200" r:id="rId1"/>
  <headerFooter alignWithMargins="0"/>
  <rowBreaks count="4" manualBreakCount="4">
    <brk id="46" max="25" man="1"/>
    <brk id="85" max="25" man="1"/>
    <brk id="134" max="25" man="1"/>
    <brk id="178" max="25" man="1"/>
  </rowBreaks>
  <colBreaks count="1" manualBreakCount="1">
    <brk id="14" max="1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4"/>
  <sheetViews>
    <sheetView topLeftCell="A37" zoomScale="91" zoomScaleNormal="91" workbookViewId="0">
      <selection activeCell="A59" sqref="A59:E59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87"/>
      <c r="C1" s="187"/>
      <c r="D1" s="187"/>
      <c r="E1" s="187"/>
      <c r="F1" s="187"/>
      <c r="G1" s="187"/>
      <c r="H1" s="187"/>
    </row>
    <row r="2" spans="1:8" ht="29.25" customHeight="1">
      <c r="A2" s="342" t="s">
        <v>234</v>
      </c>
      <c r="B2" s="342"/>
      <c r="C2" s="342"/>
      <c r="D2" s="342"/>
      <c r="E2" s="342"/>
      <c r="F2" s="342"/>
      <c r="G2" s="342"/>
      <c r="H2" s="342"/>
    </row>
    <row r="3" spans="1:8" ht="27" customHeight="1">
      <c r="A3" s="342" t="s">
        <v>10</v>
      </c>
      <c r="B3" s="342"/>
      <c r="C3" s="342"/>
      <c r="D3" s="342"/>
      <c r="E3" s="342"/>
      <c r="F3" s="342"/>
      <c r="G3" s="342"/>
      <c r="H3" s="342"/>
    </row>
    <row r="4" spans="1:8" ht="15.6" hidden="1" customHeight="1">
      <c r="A4" s="174" t="s">
        <v>261</v>
      </c>
      <c r="B4" s="174"/>
      <c r="C4" s="174"/>
      <c r="D4" s="174"/>
      <c r="E4" s="174"/>
      <c r="F4" s="174"/>
      <c r="G4" s="83"/>
      <c r="H4" s="83"/>
    </row>
    <row r="5" spans="1:8" ht="9.6" hidden="1" customHeight="1">
      <c r="A5" s="343" t="s">
        <v>260</v>
      </c>
      <c r="B5" s="343"/>
      <c r="C5" s="343"/>
      <c r="D5" s="343"/>
      <c r="E5" s="343"/>
      <c r="F5" s="343"/>
      <c r="G5" s="83"/>
      <c r="H5" s="83"/>
    </row>
    <row r="6" spans="1:8" ht="29.25" hidden="1" customHeight="1">
      <c r="A6" s="343" t="s">
        <v>125</v>
      </c>
      <c r="B6" s="343"/>
      <c r="C6" s="343"/>
      <c r="D6" s="343"/>
      <c r="E6" s="343"/>
      <c r="F6" s="343"/>
      <c r="G6" s="83"/>
      <c r="H6" s="83"/>
    </row>
    <row r="7" spans="1:8" ht="25.15" hidden="1" customHeight="1">
      <c r="A7" s="343" t="s">
        <v>303</v>
      </c>
      <c r="B7" s="343"/>
      <c r="C7" s="343"/>
      <c r="D7" s="343"/>
      <c r="E7" s="343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344" t="s">
        <v>304</v>
      </c>
      <c r="B9" s="344"/>
      <c r="C9" s="344"/>
      <c r="D9" s="344"/>
      <c r="E9" s="344"/>
      <c r="F9" s="344"/>
      <c r="G9" s="83"/>
      <c r="H9" s="83"/>
    </row>
    <row r="10" spans="1:8" ht="13.15" hidden="1" customHeight="1">
      <c r="A10" s="343" t="s">
        <v>305</v>
      </c>
      <c r="B10" s="343"/>
      <c r="C10" s="343"/>
      <c r="D10" s="343"/>
      <c r="E10" s="343"/>
      <c r="F10" s="343"/>
      <c r="G10" s="343"/>
      <c r="H10" s="343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433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547</v>
      </c>
      <c r="D16" s="4"/>
      <c r="E16" s="73"/>
      <c r="F16" s="73"/>
      <c r="G16" s="95"/>
      <c r="H16" s="83"/>
    </row>
    <row r="17" spans="1:10" ht="9.7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548</v>
      </c>
      <c r="B18" s="90"/>
      <c r="C18" s="108"/>
      <c r="D18" s="108"/>
      <c r="E18" s="108"/>
      <c r="F18" s="108"/>
      <c r="G18" s="95"/>
      <c r="H18" s="83"/>
    </row>
    <row r="19" spans="1:10" ht="30.75" customHeight="1">
      <c r="A19" s="1" t="s">
        <v>549</v>
      </c>
      <c r="B19" s="1"/>
      <c r="C19" s="95"/>
      <c r="D19" s="95"/>
      <c r="E19" s="95"/>
      <c r="F19" s="95"/>
      <c r="G19" s="195" t="s">
        <v>473</v>
      </c>
      <c r="H19" s="195" t="s">
        <v>473</v>
      </c>
    </row>
    <row r="20" spans="1:10" ht="21" customHeight="1">
      <c r="A20" s="345" t="s">
        <v>550</v>
      </c>
      <c r="B20" s="345"/>
      <c r="C20" s="345"/>
      <c r="D20" s="345"/>
      <c r="E20" s="345"/>
      <c r="F20" s="345"/>
      <c r="G20" s="345"/>
      <c r="H20" s="93">
        <f>'JUNE 2023'!R192</f>
        <v>51005732.157854989</v>
      </c>
      <c r="J20" s="75"/>
    </row>
    <row r="21" spans="1:10" ht="9" customHeight="1">
      <c r="A21" s="276"/>
      <c r="B21" s="276"/>
      <c r="C21" s="276"/>
      <c r="D21" s="276"/>
      <c r="E21" s="276"/>
      <c r="F21" s="276"/>
      <c r="G21" s="276"/>
      <c r="H21" s="93"/>
      <c r="J21" s="75"/>
    </row>
    <row r="22" spans="1:10" ht="21.75" customHeight="1">
      <c r="A22" s="350" t="s">
        <v>121</v>
      </c>
      <c r="B22" s="350"/>
      <c r="C22" s="350"/>
      <c r="D22" s="350"/>
      <c r="E22" s="350"/>
      <c r="F22" s="350"/>
      <c r="G22" s="96"/>
      <c r="H22" s="1"/>
      <c r="I22" s="75"/>
    </row>
    <row r="23" spans="1:10" ht="18.75" customHeight="1">
      <c r="A23" s="341" t="s">
        <v>456</v>
      </c>
      <c r="B23" s="341"/>
      <c r="C23" s="341"/>
      <c r="D23" s="341"/>
      <c r="E23" s="341"/>
      <c r="F23" s="341"/>
      <c r="G23" s="35">
        <f>'JUNE 2023'!T192</f>
        <v>4802500</v>
      </c>
      <c r="H23" s="1"/>
      <c r="J23" s="75"/>
    </row>
    <row r="24" spans="1:10" ht="19.5" customHeight="1">
      <c r="A24" s="341" t="s">
        <v>269</v>
      </c>
      <c r="B24" s="341"/>
      <c r="C24" s="341"/>
      <c r="D24" s="341"/>
      <c r="E24" s="341"/>
      <c r="F24" s="341"/>
      <c r="G24" s="35">
        <f>'JUNE 2023'!U192</f>
        <v>7041474.5300000003</v>
      </c>
      <c r="H24" s="1"/>
    </row>
    <row r="25" spans="1:10" ht="20.25" customHeight="1">
      <c r="A25" s="341" t="s">
        <v>172</v>
      </c>
      <c r="B25" s="341"/>
      <c r="C25" s="341"/>
      <c r="D25" s="341"/>
      <c r="E25" s="341"/>
      <c r="F25" s="341"/>
      <c r="G25" s="35">
        <f>'JUNE 2023'!W192</f>
        <v>6946057.667131668</v>
      </c>
      <c r="H25" s="1"/>
    </row>
    <row r="26" spans="1:10" ht="21" customHeight="1">
      <c r="A26" s="353" t="s">
        <v>215</v>
      </c>
      <c r="B26" s="353"/>
      <c r="C26" s="353"/>
      <c r="D26" s="353"/>
      <c r="E26" s="353"/>
      <c r="F26" s="353"/>
      <c r="G26" s="97">
        <f>'JUNE 2023'!V192</f>
        <v>23887.071250000001</v>
      </c>
      <c r="H26" s="1"/>
    </row>
    <row r="27" spans="1:10" ht="28.5" customHeight="1">
      <c r="A27" s="341" t="s">
        <v>551</v>
      </c>
      <c r="B27" s="341"/>
      <c r="C27" s="341"/>
      <c r="D27" s="341"/>
      <c r="E27" s="341"/>
      <c r="F27" s="341"/>
      <c r="G27" s="35"/>
      <c r="H27" s="98">
        <f>G23+G24+G25+G26</f>
        <v>18813919.26838167</v>
      </c>
      <c r="I27" s="32"/>
    </row>
    <row r="28" spans="1:10" ht="20.25" customHeight="1">
      <c r="A28" s="341" t="s">
        <v>552</v>
      </c>
      <c r="B28" s="341"/>
      <c r="C28" s="341"/>
      <c r="D28" s="341"/>
      <c r="E28" s="341"/>
      <c r="F28" s="341"/>
      <c r="G28" s="90"/>
      <c r="H28" s="106">
        <f>H20-H27</f>
        <v>32191812.889473319</v>
      </c>
      <c r="I28" s="36"/>
    </row>
    <row r="29" spans="1:10" ht="21" customHeight="1">
      <c r="A29" s="341" t="s">
        <v>545</v>
      </c>
      <c r="B29" s="341"/>
      <c r="C29" s="341"/>
      <c r="D29" s="341"/>
      <c r="E29" s="341"/>
      <c r="F29" s="341"/>
      <c r="G29" s="99"/>
      <c r="H29" s="107">
        <f>'JUNE 2023'!Y192</f>
        <v>32708404.965053335</v>
      </c>
    </row>
    <row r="30" spans="1:10" ht="21" customHeight="1">
      <c r="A30" s="341" t="s">
        <v>553</v>
      </c>
      <c r="B30" s="341"/>
      <c r="C30" s="341"/>
      <c r="D30" s="341"/>
      <c r="E30" s="341"/>
      <c r="F30" s="341"/>
      <c r="G30" s="99"/>
      <c r="H30" s="137">
        <f>H28-H29</f>
        <v>-516592.07558001578</v>
      </c>
    </row>
    <row r="31" spans="1:10" ht="29.25" customHeight="1">
      <c r="A31" s="345" t="s">
        <v>270</v>
      </c>
      <c r="B31" s="345"/>
      <c r="C31" s="345"/>
      <c r="D31" s="345"/>
      <c r="E31" s="345"/>
      <c r="F31" s="345"/>
      <c r="G31" s="345"/>
      <c r="H31" s="7"/>
    </row>
    <row r="32" spans="1:10" ht="21.75" customHeight="1">
      <c r="A32" s="94" t="s">
        <v>554</v>
      </c>
      <c r="B32" s="94"/>
      <c r="C32" s="94"/>
      <c r="D32" s="94"/>
      <c r="E32" s="94"/>
      <c r="F32" s="94"/>
      <c r="G32" s="94"/>
      <c r="H32" s="100">
        <v>-20000</v>
      </c>
      <c r="J32" s="32"/>
    </row>
    <row r="33" spans="1:17" ht="21.75" customHeight="1">
      <c r="A33" s="338" t="s">
        <v>568</v>
      </c>
      <c r="B33" s="338"/>
      <c r="C33" s="338"/>
      <c r="D33" s="338"/>
      <c r="E33" s="338"/>
      <c r="F33" s="338"/>
      <c r="G33" s="338"/>
      <c r="H33" s="100">
        <f>612357.08</f>
        <v>612357.07999999996</v>
      </c>
      <c r="J33" s="32"/>
    </row>
    <row r="34" spans="1:17" ht="21.75" customHeight="1">
      <c r="A34" s="292" t="s">
        <v>558</v>
      </c>
      <c r="B34" s="292"/>
      <c r="C34" s="292"/>
      <c r="D34" s="292"/>
      <c r="E34" s="292"/>
      <c r="F34" s="292"/>
      <c r="G34" s="292"/>
      <c r="H34" s="100">
        <f>560000</f>
        <v>560000</v>
      </c>
      <c r="I34" s="75"/>
      <c r="J34" s="32"/>
    </row>
    <row r="35" spans="1:17" ht="21.75" customHeight="1">
      <c r="A35" s="300" t="s">
        <v>559</v>
      </c>
      <c r="B35" s="300"/>
      <c r="C35" s="300"/>
      <c r="D35" s="300"/>
      <c r="E35" s="300"/>
      <c r="F35" s="300"/>
      <c r="G35" s="300"/>
      <c r="H35" s="100">
        <f>83161.66</f>
        <v>83161.66</v>
      </c>
      <c r="J35" s="32"/>
    </row>
    <row r="36" spans="1:17" ht="21.75" customHeight="1">
      <c r="A36" s="335" t="s">
        <v>563</v>
      </c>
      <c r="B36" s="335"/>
      <c r="C36" s="335"/>
      <c r="D36" s="335"/>
      <c r="E36" s="335"/>
      <c r="F36" s="335"/>
      <c r="G36" s="335"/>
      <c r="H36" s="100">
        <f>-560000+2949.39</f>
        <v>-557050.61</v>
      </c>
      <c r="J36" s="32"/>
    </row>
    <row r="37" spans="1:17" ht="21.75" customHeight="1">
      <c r="A37" s="336" t="s">
        <v>560</v>
      </c>
      <c r="B37" s="336"/>
      <c r="C37" s="336"/>
      <c r="D37" s="336"/>
      <c r="E37" s="336"/>
      <c r="F37" s="336"/>
      <c r="G37" s="336"/>
      <c r="H37" s="100">
        <v>-161876.04999999999</v>
      </c>
      <c r="J37" s="32"/>
    </row>
    <row r="38" spans="1:17" ht="21" customHeight="1">
      <c r="A38" s="341"/>
      <c r="B38" s="341"/>
      <c r="C38" s="341"/>
      <c r="D38" s="341"/>
      <c r="E38" s="341"/>
      <c r="F38" s="341"/>
      <c r="G38" s="341"/>
      <c r="H38" s="101">
        <f>SUM(H32:H37)</f>
        <v>516592.08</v>
      </c>
      <c r="I38" s="32"/>
      <c r="J38" s="261"/>
      <c r="K38" s="75"/>
      <c r="L38" s="74"/>
      <c r="M38" s="74"/>
      <c r="N38" s="75"/>
      <c r="P38" s="159"/>
      <c r="Q38" s="75"/>
    </row>
    <row r="39" spans="1:17" ht="12.75" customHeight="1">
      <c r="A39" s="275"/>
      <c r="B39" s="275"/>
      <c r="C39" s="275"/>
      <c r="D39" s="275"/>
      <c r="E39" s="275"/>
      <c r="F39" s="275"/>
      <c r="G39" s="275"/>
      <c r="H39" s="101"/>
      <c r="I39" s="32"/>
      <c r="J39" s="261"/>
      <c r="K39" s="75"/>
      <c r="L39" s="74"/>
      <c r="M39" s="74"/>
      <c r="N39" s="75"/>
      <c r="P39" s="159"/>
      <c r="Q39" s="75"/>
    </row>
    <row r="40" spans="1:17" ht="28.5" customHeight="1">
      <c r="A40" s="1"/>
      <c r="B40" s="1"/>
      <c r="C40" s="1"/>
      <c r="D40" s="1"/>
      <c r="E40" s="346" t="s">
        <v>546</v>
      </c>
      <c r="F40" s="347"/>
      <c r="G40" s="346" t="s">
        <v>555</v>
      </c>
      <c r="H40" s="347"/>
      <c r="I40" s="32"/>
      <c r="J40" s="32"/>
    </row>
    <row r="41" spans="1:17" ht="18.600000000000001" customHeight="1">
      <c r="A41" s="1"/>
      <c r="B41" s="1"/>
      <c r="C41" s="1"/>
      <c r="D41" s="1"/>
      <c r="E41" s="8" t="s">
        <v>402</v>
      </c>
      <c r="F41" s="102" t="s">
        <v>5</v>
      </c>
      <c r="G41" s="8" t="s">
        <v>402</v>
      </c>
      <c r="H41" s="102" t="s">
        <v>5</v>
      </c>
      <c r="I41" s="32"/>
      <c r="J41" s="32"/>
    </row>
    <row r="42" spans="1:17" ht="28.5" customHeight="1">
      <c r="A42" s="12">
        <v>1</v>
      </c>
      <c r="B42" s="348" t="s">
        <v>50</v>
      </c>
      <c r="C42" s="341"/>
      <c r="D42" s="349"/>
      <c r="E42" s="3">
        <v>33</v>
      </c>
      <c r="F42" s="13">
        <f>'JUNE 2023'!Y36</f>
        <v>8260507.4795013359</v>
      </c>
      <c r="G42" s="3">
        <f>'JUNE 2023'!C36</f>
        <v>29</v>
      </c>
      <c r="H42" s="13">
        <f>'JUNE 2023'!Z36</f>
        <v>7648150.4061700013</v>
      </c>
      <c r="I42" s="32"/>
      <c r="J42" s="32"/>
    </row>
    <row r="43" spans="1:17" ht="21.75" customHeight="1">
      <c r="A43" s="12">
        <v>2</v>
      </c>
      <c r="B43" s="103" t="s">
        <v>285</v>
      </c>
      <c r="C43" s="94"/>
      <c r="D43" s="104"/>
      <c r="E43" s="3">
        <v>2</v>
      </c>
      <c r="F43" s="13">
        <f>'JUNE 2023'!Y41</f>
        <v>650918.62395066663</v>
      </c>
      <c r="G43" s="3">
        <v>2</v>
      </c>
      <c r="H43" s="13">
        <f>'JUNE 2023'!Z41</f>
        <v>650918.62395066663</v>
      </c>
      <c r="I43" s="32"/>
      <c r="J43" s="32"/>
    </row>
    <row r="44" spans="1:17" ht="24.75" customHeight="1">
      <c r="A44" s="12">
        <v>3</v>
      </c>
      <c r="B44" s="341" t="s">
        <v>197</v>
      </c>
      <c r="C44" s="341"/>
      <c r="D44" s="349"/>
      <c r="E44" s="3">
        <v>11</v>
      </c>
      <c r="F44" s="13">
        <f>'JUNE 2023'!Y56</f>
        <v>2852419.8700406668</v>
      </c>
      <c r="G44" s="3">
        <f>'JUNE 2023'!C56</f>
        <v>12</v>
      </c>
      <c r="H44" s="13">
        <f>'JUNE 2023'!Z56</f>
        <v>2852419.8700406668</v>
      </c>
      <c r="I44" s="32"/>
      <c r="J44" s="32"/>
    </row>
    <row r="45" spans="1:17" ht="23.25" customHeight="1">
      <c r="A45" s="12">
        <v>4</v>
      </c>
      <c r="B45" s="341" t="s">
        <v>196</v>
      </c>
      <c r="C45" s="341"/>
      <c r="D45" s="351"/>
      <c r="E45" s="3">
        <v>2</v>
      </c>
      <c r="F45" s="13">
        <f>'JUNE 2023'!Y61</f>
        <v>928634.32664133352</v>
      </c>
      <c r="G45" s="3">
        <f>'JUNE 2023'!C61</f>
        <v>2</v>
      </c>
      <c r="H45" s="13">
        <f>'JUNE 2023'!Z61</f>
        <v>928634.32664133352</v>
      </c>
      <c r="I45" s="32"/>
      <c r="J45" s="32"/>
    </row>
    <row r="46" spans="1:17" ht="24" customHeight="1">
      <c r="A46" s="12">
        <v>5</v>
      </c>
      <c r="B46" s="341" t="s">
        <v>355</v>
      </c>
      <c r="C46" s="341"/>
      <c r="D46" s="351"/>
      <c r="E46" s="3">
        <v>13</v>
      </c>
      <c r="F46" s="13">
        <f>'JUNE 2023'!Y77</f>
        <v>3316351.4649366671</v>
      </c>
      <c r="G46" s="3">
        <f>'JUNE 2023'!C77</f>
        <v>13</v>
      </c>
      <c r="H46" s="13">
        <f>'JUNE 2023'!Z77</f>
        <v>3316351.4649366671</v>
      </c>
      <c r="I46" s="32"/>
      <c r="J46" s="32"/>
    </row>
    <row r="47" spans="1:17" ht="21" customHeight="1">
      <c r="A47" s="12">
        <v>6</v>
      </c>
      <c r="B47" s="341" t="s">
        <v>357</v>
      </c>
      <c r="C47" s="341"/>
      <c r="D47" s="351"/>
      <c r="E47" s="3">
        <v>4</v>
      </c>
      <c r="F47" s="13">
        <f>'JUNE 2023'!Y85</f>
        <v>1848547.3496666667</v>
      </c>
      <c r="G47" s="3">
        <f>'JUNE 2023'!C85</f>
        <v>5</v>
      </c>
      <c r="H47" s="13">
        <f>'JUNE 2023'!Z85</f>
        <v>1848547.3496666667</v>
      </c>
      <c r="I47" s="32"/>
      <c r="J47" s="32"/>
    </row>
    <row r="48" spans="1:17" ht="23.25" customHeight="1">
      <c r="A48" s="12">
        <v>7</v>
      </c>
      <c r="B48" s="94" t="s">
        <v>356</v>
      </c>
      <c r="C48" s="94"/>
      <c r="D48" s="104"/>
      <c r="E48" s="3">
        <v>12</v>
      </c>
      <c r="F48" s="13">
        <f>'JUNE 2023'!Y98</f>
        <v>3241879.7083980003</v>
      </c>
      <c r="G48" s="3">
        <f>'JUNE 2023'!C98</f>
        <v>10</v>
      </c>
      <c r="H48" s="13">
        <f>'JUNE 2023'!Z98</f>
        <v>2762679.7075446662</v>
      </c>
      <c r="I48" s="32"/>
      <c r="J48" s="32"/>
    </row>
    <row r="49" spans="1:14" ht="25.5" customHeight="1">
      <c r="A49" s="12">
        <v>8</v>
      </c>
      <c r="B49" s="94" t="s">
        <v>457</v>
      </c>
      <c r="C49" s="94"/>
      <c r="D49" s="104"/>
      <c r="E49" s="3">
        <v>4</v>
      </c>
      <c r="F49" s="13">
        <f>'JUNE 2023'!Y105</f>
        <v>935229.18392933346</v>
      </c>
      <c r="G49" s="3">
        <f>'JUNE 2023'!C105</f>
        <v>4</v>
      </c>
      <c r="H49" s="13">
        <f>'JUNE 2023'!Z105</f>
        <v>1016305.2333180001</v>
      </c>
      <c r="I49" s="32"/>
      <c r="J49" s="32"/>
    </row>
    <row r="50" spans="1:14" ht="21.75" customHeight="1">
      <c r="A50" s="12">
        <v>9</v>
      </c>
      <c r="B50" s="94" t="s">
        <v>286</v>
      </c>
      <c r="C50" s="94"/>
      <c r="D50" s="104"/>
      <c r="E50" s="3">
        <v>8</v>
      </c>
      <c r="F50" s="13">
        <f>'JUNE 2023'!Y115</f>
        <v>2142429.0877453336</v>
      </c>
      <c r="G50" s="3">
        <f>'JUNE 2023'!C115</f>
        <v>7</v>
      </c>
      <c r="H50" s="13">
        <f>'JUNE 2023'!Z115</f>
        <v>2142429.0877453336</v>
      </c>
      <c r="I50" s="32"/>
      <c r="J50" s="32"/>
    </row>
    <row r="51" spans="1:14" ht="21.75" customHeight="1">
      <c r="A51" s="12">
        <v>10</v>
      </c>
      <c r="B51" s="338" t="s">
        <v>569</v>
      </c>
      <c r="C51" s="338"/>
      <c r="D51" s="339"/>
      <c r="E51" s="3">
        <v>2</v>
      </c>
      <c r="F51" s="13">
        <f>'JUNE 2023'!Y120</f>
        <v>342292.68112666666</v>
      </c>
      <c r="G51" s="3">
        <v>2</v>
      </c>
      <c r="H51" s="13">
        <f>'JUNE 2023'!Z120</f>
        <v>342292.68112666666</v>
      </c>
      <c r="I51" s="32"/>
      <c r="J51" s="32"/>
    </row>
    <row r="52" spans="1:14" ht="24.75" customHeight="1">
      <c r="A52" s="12">
        <v>11</v>
      </c>
      <c r="B52" s="94" t="s">
        <v>287</v>
      </c>
      <c r="C52" s="94"/>
      <c r="D52" s="104"/>
      <c r="E52" s="3">
        <v>9</v>
      </c>
      <c r="F52" s="13">
        <f>'JUNE 2023'!Y134</f>
        <v>2033147.1368159996</v>
      </c>
      <c r="G52" s="260" t="str">
        <f>'JUNE 2023'!C134</f>
        <v>10</v>
      </c>
      <c r="H52" s="13">
        <f>'JUNE 2023'!Z134</f>
        <v>2590197.7463919995</v>
      </c>
      <c r="I52" s="32"/>
      <c r="J52" s="32"/>
    </row>
    <row r="53" spans="1:14" ht="24.75" customHeight="1">
      <c r="A53" s="12">
        <v>12</v>
      </c>
      <c r="B53" s="341" t="s">
        <v>458</v>
      </c>
      <c r="C53" s="341"/>
      <c r="D53" s="349"/>
      <c r="E53" s="3">
        <v>58</v>
      </c>
      <c r="F53" s="13">
        <f>'JUNE 2023'!Y191</f>
        <v>6156048.0523006674</v>
      </c>
      <c r="G53" s="260" t="str">
        <f>'JUNE 2023'!C191</f>
        <v>54</v>
      </c>
      <c r="H53" s="13">
        <f>'JUNE 2023'!Z191</f>
        <v>6092886.3919406673</v>
      </c>
      <c r="I53" s="32"/>
      <c r="J53" s="32"/>
    </row>
    <row r="54" spans="1:14" ht="24" customHeight="1">
      <c r="A54" s="1"/>
      <c r="B54" s="1"/>
      <c r="C54" s="1"/>
      <c r="D54" s="1"/>
      <c r="E54" s="8">
        <f>SUM(E42:E53)</f>
        <v>158</v>
      </c>
      <c r="F54" s="14">
        <f>SUM(F42:F53)</f>
        <v>32708404.965053335</v>
      </c>
      <c r="G54" s="8">
        <v>154</v>
      </c>
      <c r="H54" s="14">
        <f>SUM(H42:H53)</f>
        <v>32191812.889473338</v>
      </c>
      <c r="I54" s="32"/>
      <c r="J54" s="32"/>
    </row>
    <row r="55" spans="1:14" ht="6" customHeight="1">
      <c r="A55" s="1"/>
      <c r="B55" s="1"/>
      <c r="C55" s="1"/>
      <c r="D55" s="1"/>
      <c r="E55" s="175"/>
      <c r="F55" s="188"/>
      <c r="G55" s="175"/>
      <c r="H55" s="188"/>
      <c r="I55" s="32"/>
      <c r="J55" s="32"/>
    </row>
    <row r="56" spans="1:14" ht="87.75" customHeight="1">
      <c r="A56" s="352" t="s">
        <v>570</v>
      </c>
      <c r="B56" s="352"/>
      <c r="C56" s="352"/>
      <c r="D56" s="352"/>
      <c r="E56" s="352"/>
      <c r="F56" s="352"/>
      <c r="G56" s="352"/>
      <c r="H56" s="352"/>
      <c r="I56" s="7"/>
      <c r="J56" s="37"/>
      <c r="K56" s="37"/>
      <c r="L56" s="7"/>
      <c r="M56" s="7"/>
      <c r="N56" s="7"/>
    </row>
    <row r="57" spans="1:14" ht="11.25" customHeight="1">
      <c r="A57" s="105"/>
      <c r="B57" s="105"/>
      <c r="C57" s="105"/>
      <c r="D57" s="105"/>
      <c r="E57" s="105"/>
      <c r="F57" s="105"/>
      <c r="G57" s="105"/>
      <c r="H57" s="105"/>
      <c r="I57" s="7"/>
      <c r="J57" s="7"/>
      <c r="K57" s="7"/>
      <c r="L57" s="7"/>
      <c r="M57" s="7"/>
      <c r="N57" s="7"/>
    </row>
    <row r="58" spans="1:14" ht="2.25" customHeight="1">
      <c r="A58" s="105"/>
      <c r="B58" s="105"/>
      <c r="C58" s="105"/>
      <c r="D58" s="105"/>
      <c r="E58" s="105"/>
      <c r="F58" s="105"/>
      <c r="G58" s="105"/>
      <c r="H58" s="105"/>
      <c r="I58" s="7"/>
      <c r="J58" s="7"/>
      <c r="K58" s="7"/>
      <c r="L58" s="7"/>
      <c r="M58" s="7"/>
      <c r="N58" s="7"/>
    </row>
    <row r="59" spans="1:14" ht="36.75" customHeight="1">
      <c r="A59" s="345" t="s">
        <v>153</v>
      </c>
      <c r="B59" s="345"/>
      <c r="C59" s="345"/>
      <c r="D59" s="345"/>
      <c r="E59" s="345"/>
      <c r="F59" s="1"/>
      <c r="G59" s="1"/>
      <c r="H59" s="1"/>
    </row>
    <row r="60" spans="1:14" ht="17.25" customHeight="1">
      <c r="A60" s="341" t="s">
        <v>432</v>
      </c>
      <c r="B60" s="341"/>
      <c r="C60" s="341"/>
      <c r="D60" s="341"/>
      <c r="E60" s="341"/>
      <c r="F60" s="1"/>
      <c r="G60" s="1"/>
      <c r="H60" s="1"/>
      <c r="K60" s="74"/>
    </row>
    <row r="61" spans="1:14">
      <c r="A61" s="10"/>
      <c r="B61" s="10"/>
      <c r="C61" s="10"/>
      <c r="D61" s="10" t="s">
        <v>99</v>
      </c>
      <c r="E61" s="10"/>
      <c r="F61" s="10"/>
      <c r="G61" s="10"/>
      <c r="H61" s="10"/>
      <c r="K61" s="74"/>
    </row>
    <row r="62" spans="1:14">
      <c r="K62" s="74"/>
    </row>
    <row r="63" spans="1:14">
      <c r="K63" s="74"/>
    </row>
    <row r="66" spans="3:3">
      <c r="C66" t="s">
        <v>171</v>
      </c>
    </row>
    <row r="164" spans="3:3">
      <c r="C164">
        <f>10000</f>
        <v>10000</v>
      </c>
    </row>
  </sheetData>
  <mergeCells count="30">
    <mergeCell ref="A25:F25"/>
    <mergeCell ref="A20:G20"/>
    <mergeCell ref="A22:F22"/>
    <mergeCell ref="A60:E60"/>
    <mergeCell ref="B45:D45"/>
    <mergeCell ref="B46:D46"/>
    <mergeCell ref="B47:D47"/>
    <mergeCell ref="B53:D53"/>
    <mergeCell ref="A56:H56"/>
    <mergeCell ref="A59:E59"/>
    <mergeCell ref="B44:D44"/>
    <mergeCell ref="A26:F26"/>
    <mergeCell ref="A27:F27"/>
    <mergeCell ref="A28:F28"/>
    <mergeCell ref="A29:F29"/>
    <mergeCell ref="A30:F30"/>
    <mergeCell ref="A31:G31"/>
    <mergeCell ref="A38:G38"/>
    <mergeCell ref="E40:F40"/>
    <mergeCell ref="G40:H40"/>
    <mergeCell ref="B42:D42"/>
    <mergeCell ref="A23:F23"/>
    <mergeCell ref="A24:F24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181" activePane="bottomRight" state="frozen"/>
      <selection pane="topRight" activeCell="E1" sqref="E1"/>
      <selection pane="bottomLeft" activeCell="A10" sqref="A10"/>
      <selection pane="bottomRight" activeCell="A2" sqref="A2"/>
    </sheetView>
  </sheetViews>
  <sheetFormatPr defaultColWidth="9.140625" defaultRowHeight="20.100000000000001" customHeight="1"/>
  <cols>
    <col min="1" max="1" width="5.42578125" style="197" customWidth="1"/>
    <col min="2" max="2" width="42.8554687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17" t="s">
        <v>234</v>
      </c>
      <c r="B1" s="317"/>
      <c r="C1" s="317"/>
      <c r="D1" s="317"/>
      <c r="E1" s="318"/>
    </row>
    <row r="2" spans="1:6" ht="33.75" customHeight="1">
      <c r="A2" s="317" t="s">
        <v>539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12"/>
      <c r="B4" s="319" t="s">
        <v>0</v>
      </c>
      <c r="C4" s="320" t="s">
        <v>12</v>
      </c>
      <c r="D4" s="321" t="s">
        <v>309</v>
      </c>
      <c r="E4" s="322" t="s">
        <v>120</v>
      </c>
    </row>
    <row r="5" spans="1:6" ht="17.25" customHeight="1">
      <c r="C5" s="211"/>
      <c r="D5" s="211"/>
      <c r="E5" s="252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2"/>
    </row>
    <row r="7" spans="1:6" ht="20.100000000000001" customHeight="1">
      <c r="A7" s="29">
        <v>1</v>
      </c>
      <c r="B7" s="189" t="s">
        <v>224</v>
      </c>
      <c r="C7" s="293" t="s">
        <v>119</v>
      </c>
      <c r="D7" s="293" t="s">
        <v>34</v>
      </c>
      <c r="E7" s="323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23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23">
        <v>150000</v>
      </c>
      <c r="F9" s="214"/>
    </row>
    <row r="10" spans="1:6" ht="20.100000000000001" customHeight="1">
      <c r="A10" s="29">
        <v>4</v>
      </c>
      <c r="B10" s="189" t="s">
        <v>315</v>
      </c>
      <c r="C10" s="293" t="s">
        <v>316</v>
      </c>
      <c r="D10" s="29" t="s">
        <v>498</v>
      </c>
      <c r="E10" s="323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23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323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323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323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93" t="s">
        <v>470</v>
      </c>
      <c r="D15" s="215" t="s">
        <v>75</v>
      </c>
      <c r="E15" s="323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93" t="s">
        <v>387</v>
      </c>
      <c r="D16" s="29" t="s">
        <v>412</v>
      </c>
      <c r="E16" s="323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23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23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23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23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93" t="s">
        <v>351</v>
      </c>
      <c r="D21" s="215" t="s">
        <v>163</v>
      </c>
      <c r="E21" s="323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23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93" t="s">
        <v>391</v>
      </c>
      <c r="D23" s="215" t="s">
        <v>499</v>
      </c>
      <c r="E23" s="323">
        <v>45000</v>
      </c>
      <c r="F23" s="214"/>
    </row>
    <row r="24" spans="1:6" ht="18.75" customHeight="1">
      <c r="A24" s="29">
        <v>18</v>
      </c>
      <c r="B24" s="189" t="s">
        <v>253</v>
      </c>
      <c r="C24" s="293" t="s">
        <v>480</v>
      </c>
      <c r="D24" s="215" t="s">
        <v>415</v>
      </c>
      <c r="E24" s="323">
        <v>45000</v>
      </c>
      <c r="F24" s="214"/>
    </row>
    <row r="25" spans="1:6" ht="18.75" customHeight="1">
      <c r="A25" s="29">
        <v>19</v>
      </c>
      <c r="B25" s="189" t="s">
        <v>247</v>
      </c>
      <c r="C25" s="21" t="s">
        <v>479</v>
      </c>
      <c r="D25" s="215" t="s">
        <v>415</v>
      </c>
      <c r="E25" s="323">
        <v>45000</v>
      </c>
      <c r="F25" s="214"/>
    </row>
    <row r="26" spans="1:6" ht="18.75" customHeight="1">
      <c r="A26" s="29">
        <v>20</v>
      </c>
      <c r="B26" s="190" t="s">
        <v>275</v>
      </c>
      <c r="C26" s="293" t="s">
        <v>314</v>
      </c>
      <c r="D26" s="215" t="s">
        <v>164</v>
      </c>
      <c r="E26" s="323">
        <v>45000</v>
      </c>
      <c r="F26" s="214"/>
    </row>
    <row r="27" spans="1:6" ht="18.75" customHeight="1">
      <c r="A27" s="29">
        <v>21</v>
      </c>
      <c r="B27" s="21" t="s">
        <v>436</v>
      </c>
      <c r="C27" s="21" t="s">
        <v>17</v>
      </c>
      <c r="D27" s="29" t="s">
        <v>500</v>
      </c>
      <c r="E27" s="323">
        <v>45000</v>
      </c>
      <c r="F27" s="214"/>
    </row>
    <row r="28" spans="1:6" ht="18.75" customHeight="1">
      <c r="A28" s="29">
        <v>22</v>
      </c>
      <c r="B28" s="190" t="s">
        <v>254</v>
      </c>
      <c r="C28" s="293" t="s">
        <v>17</v>
      </c>
      <c r="D28" s="215" t="s">
        <v>500</v>
      </c>
      <c r="E28" s="323">
        <v>45000</v>
      </c>
      <c r="F28" s="214"/>
    </row>
    <row r="29" spans="1:6" ht="18.75" customHeight="1">
      <c r="A29" s="29">
        <v>23</v>
      </c>
      <c r="B29" s="189" t="s">
        <v>248</v>
      </c>
      <c r="C29" s="293" t="s">
        <v>482</v>
      </c>
      <c r="D29" s="215" t="s">
        <v>500</v>
      </c>
      <c r="E29" s="323">
        <v>45000</v>
      </c>
      <c r="F29" s="214"/>
    </row>
    <row r="30" spans="1:6" ht="18.75" customHeight="1">
      <c r="A30" s="29">
        <v>24</v>
      </c>
      <c r="B30" s="190" t="s">
        <v>288</v>
      </c>
      <c r="C30" s="293" t="s">
        <v>249</v>
      </c>
      <c r="D30" s="215" t="s">
        <v>267</v>
      </c>
      <c r="E30" s="323">
        <v>45000</v>
      </c>
      <c r="F30" s="214"/>
    </row>
    <row r="31" spans="1:6" ht="18.75" customHeight="1">
      <c r="A31" s="29">
        <v>25</v>
      </c>
      <c r="B31" s="190" t="s">
        <v>328</v>
      </c>
      <c r="C31" s="21" t="s">
        <v>329</v>
      </c>
      <c r="D31" s="29" t="s">
        <v>267</v>
      </c>
      <c r="E31" s="323">
        <v>45000</v>
      </c>
      <c r="F31" s="214"/>
    </row>
    <row r="32" spans="1:6" ht="18.75" customHeight="1">
      <c r="A32" s="29">
        <v>26</v>
      </c>
      <c r="B32" s="190" t="s">
        <v>360</v>
      </c>
      <c r="C32" s="156" t="s">
        <v>372</v>
      </c>
      <c r="D32" s="215" t="s">
        <v>500</v>
      </c>
      <c r="E32" s="323">
        <v>45000</v>
      </c>
      <c r="F32" s="214"/>
    </row>
    <row r="33" spans="1:6" ht="18.75" customHeight="1">
      <c r="A33" s="29">
        <v>27</v>
      </c>
      <c r="B33" s="190" t="s">
        <v>330</v>
      </c>
      <c r="C33" s="21" t="s">
        <v>535</v>
      </c>
      <c r="D33" s="29" t="s">
        <v>176</v>
      </c>
      <c r="E33" s="323">
        <v>45000</v>
      </c>
      <c r="F33" s="214"/>
    </row>
    <row r="34" spans="1:6" ht="18.75" customHeight="1">
      <c r="A34" s="29">
        <v>28</v>
      </c>
      <c r="B34" s="190" t="s">
        <v>274</v>
      </c>
      <c r="C34" s="293" t="s">
        <v>314</v>
      </c>
      <c r="D34" s="215" t="s">
        <v>176</v>
      </c>
      <c r="E34" s="323">
        <v>45000</v>
      </c>
      <c r="F34" s="214"/>
    </row>
    <row r="35" spans="1:6" ht="18.75" customHeight="1">
      <c r="A35" s="29">
        <v>29</v>
      </c>
      <c r="B35" s="190" t="s">
        <v>455</v>
      </c>
      <c r="C35" s="293" t="s">
        <v>314</v>
      </c>
      <c r="D35" s="215" t="s">
        <v>176</v>
      </c>
      <c r="E35" s="323">
        <v>45000</v>
      </c>
      <c r="F35" s="214"/>
    </row>
    <row r="36" spans="1:6" ht="18.75" customHeight="1">
      <c r="A36" s="29">
        <v>30</v>
      </c>
      <c r="B36" s="190" t="s">
        <v>537</v>
      </c>
      <c r="C36" s="293" t="s">
        <v>538</v>
      </c>
      <c r="D36" s="215" t="s">
        <v>105</v>
      </c>
      <c r="E36" s="323">
        <v>45000</v>
      </c>
      <c r="F36" s="214"/>
    </row>
    <row r="37" spans="1:6" ht="26.25" customHeight="1">
      <c r="A37" s="29"/>
      <c r="B37" s="192" t="s">
        <v>15</v>
      </c>
      <c r="C37" s="30">
        <v>30</v>
      </c>
      <c r="D37" s="215"/>
      <c r="E37" s="324">
        <f>SUM(E7:E36)</f>
        <v>2790000</v>
      </c>
      <c r="F37" s="214"/>
    </row>
    <row r="38" spans="1:6" ht="18.75" customHeight="1">
      <c r="A38" s="29"/>
      <c r="B38" s="142"/>
      <c r="C38" s="21"/>
      <c r="D38" s="215"/>
      <c r="E38" s="325"/>
      <c r="F38" s="214"/>
    </row>
    <row r="39" spans="1:6" ht="18.75" customHeight="1">
      <c r="A39" s="29"/>
      <c r="B39" s="192" t="s">
        <v>284</v>
      </c>
      <c r="C39" s="21"/>
      <c r="D39" s="215"/>
      <c r="E39" s="323"/>
      <c r="F39" s="214"/>
    </row>
    <row r="40" spans="1:6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323">
        <v>225000</v>
      </c>
      <c r="F40" s="214"/>
    </row>
    <row r="41" spans="1:6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323">
        <v>45000</v>
      </c>
      <c r="F41" s="214"/>
    </row>
    <row r="42" spans="1:6" ht="19.5" customHeight="1">
      <c r="A42" s="29"/>
      <c r="B42" s="191"/>
      <c r="C42" s="30">
        <v>2</v>
      </c>
      <c r="D42" s="29"/>
      <c r="E42" s="324">
        <f>SUM(E40:E41)</f>
        <v>270000</v>
      </c>
      <c r="F42" s="214"/>
    </row>
    <row r="43" spans="1:6" ht="20.100000000000001" customHeight="1">
      <c r="A43" s="29"/>
      <c r="B43" s="191"/>
      <c r="C43" s="21"/>
      <c r="D43" s="29"/>
      <c r="E43" s="323"/>
      <c r="F43" s="214"/>
    </row>
    <row r="44" spans="1:6" ht="20.100000000000001" customHeight="1">
      <c r="A44" s="29"/>
      <c r="B44" s="219" t="s">
        <v>56</v>
      </c>
      <c r="C44" s="204"/>
      <c r="D44" s="208"/>
      <c r="E44" s="323"/>
      <c r="F44" s="214"/>
    </row>
    <row r="45" spans="1:6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323">
        <v>225000</v>
      </c>
      <c r="F45" s="214"/>
    </row>
    <row r="46" spans="1:6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323">
        <v>105000</v>
      </c>
      <c r="F46" s="214"/>
    </row>
    <row r="47" spans="1:6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323">
        <v>105000</v>
      </c>
      <c r="F47" s="214"/>
    </row>
    <row r="48" spans="1:6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323">
        <v>105000</v>
      </c>
      <c r="F48" s="214"/>
    </row>
    <row r="49" spans="1:6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323">
        <v>105000</v>
      </c>
      <c r="F49" s="214"/>
    </row>
    <row r="50" spans="1:6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323">
        <v>75000</v>
      </c>
      <c r="F50" s="214"/>
    </row>
    <row r="51" spans="1:6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323">
        <v>75000</v>
      </c>
      <c r="F51" s="214"/>
    </row>
    <row r="52" spans="1:6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323">
        <v>75000</v>
      </c>
      <c r="F52" s="214"/>
    </row>
    <row r="53" spans="1:6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323">
        <v>75000</v>
      </c>
      <c r="F53" s="214"/>
    </row>
    <row r="54" spans="1:6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323">
        <v>45000</v>
      </c>
      <c r="F54" s="214"/>
    </row>
    <row r="55" spans="1:6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323">
        <v>45000</v>
      </c>
      <c r="F55" s="214"/>
    </row>
    <row r="56" spans="1:6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323">
        <v>45000</v>
      </c>
      <c r="F56" s="214"/>
    </row>
    <row r="57" spans="1:6" ht="25.5" customHeight="1">
      <c r="A57" s="29"/>
      <c r="B57" s="192" t="s">
        <v>15</v>
      </c>
      <c r="C57" s="30">
        <v>12</v>
      </c>
      <c r="D57" s="30"/>
      <c r="E57" s="326">
        <f>SUM(E45:E56)</f>
        <v>1080000</v>
      </c>
      <c r="F57" s="214"/>
    </row>
    <row r="58" spans="1:6" ht="20.100000000000001" customHeight="1">
      <c r="A58" s="29"/>
      <c r="B58" s="142"/>
      <c r="C58" s="30"/>
      <c r="D58" s="30"/>
      <c r="E58" s="327"/>
      <c r="F58" s="214"/>
    </row>
    <row r="59" spans="1:6" ht="20.100000000000001" customHeight="1">
      <c r="A59" s="29"/>
      <c r="B59" s="192" t="s">
        <v>195</v>
      </c>
      <c r="C59" s="30"/>
      <c r="D59" s="30"/>
      <c r="E59" s="327"/>
      <c r="F59" s="214"/>
    </row>
    <row r="60" spans="1:6" ht="20.100000000000001" customHeight="1">
      <c r="A60" s="29">
        <v>1</v>
      </c>
      <c r="B60" s="189" t="s">
        <v>11</v>
      </c>
      <c r="C60" s="293" t="s">
        <v>200</v>
      </c>
      <c r="D60" s="215" t="s">
        <v>161</v>
      </c>
      <c r="E60" s="323">
        <v>225000</v>
      </c>
      <c r="F60" s="214"/>
    </row>
    <row r="61" spans="1:6" ht="20.100000000000001" customHeight="1">
      <c r="A61" s="29">
        <v>2</v>
      </c>
      <c r="B61" s="189" t="s">
        <v>276</v>
      </c>
      <c r="C61" s="293" t="s">
        <v>340</v>
      </c>
      <c r="D61" s="215" t="s">
        <v>412</v>
      </c>
      <c r="E61" s="323">
        <v>105000</v>
      </c>
      <c r="F61" s="214"/>
    </row>
    <row r="62" spans="1:6" ht="20.100000000000001" customHeight="1">
      <c r="A62" s="29"/>
      <c r="B62" s="192" t="s">
        <v>15</v>
      </c>
      <c r="C62" s="30">
        <v>2</v>
      </c>
      <c r="D62" s="30"/>
      <c r="E62" s="326">
        <f>SUM(E60:E61)</f>
        <v>330000</v>
      </c>
      <c r="F62" s="214"/>
    </row>
    <row r="63" spans="1:6" ht="20.100000000000001" customHeight="1">
      <c r="A63" s="29"/>
      <c r="B63" s="192"/>
      <c r="C63" s="30"/>
      <c r="D63" s="30"/>
      <c r="E63" s="327"/>
      <c r="F63" s="214"/>
    </row>
    <row r="64" spans="1:6" ht="20.100000000000001" customHeight="1">
      <c r="A64" s="29"/>
      <c r="B64" s="192" t="s">
        <v>463</v>
      </c>
      <c r="C64" s="30"/>
      <c r="D64" s="30"/>
      <c r="E64" s="327"/>
      <c r="F64" s="214"/>
    </row>
    <row r="65" spans="1:6" ht="20.100000000000001" customHeight="1">
      <c r="A65" s="29">
        <v>1</v>
      </c>
      <c r="B65" s="189" t="s">
        <v>277</v>
      </c>
      <c r="C65" s="156" t="s">
        <v>278</v>
      </c>
      <c r="D65" s="29" t="s">
        <v>161</v>
      </c>
      <c r="E65" s="328">
        <v>225000</v>
      </c>
      <c r="F65" s="214"/>
    </row>
    <row r="66" spans="1:6" ht="20.100000000000001" customHeight="1">
      <c r="A66" s="29">
        <v>2</v>
      </c>
      <c r="B66" s="190" t="s">
        <v>332</v>
      </c>
      <c r="C66" s="156" t="s">
        <v>188</v>
      </c>
      <c r="D66" s="215" t="s">
        <v>272</v>
      </c>
      <c r="E66" s="323">
        <v>105000</v>
      </c>
      <c r="F66" s="214"/>
    </row>
    <row r="67" spans="1:6" ht="20.100000000000001" customHeight="1">
      <c r="A67" s="29">
        <v>3</v>
      </c>
      <c r="B67" s="189" t="s">
        <v>189</v>
      </c>
      <c r="C67" s="21" t="s">
        <v>257</v>
      </c>
      <c r="D67" s="29" t="s">
        <v>170</v>
      </c>
      <c r="E67" s="328">
        <v>75000</v>
      </c>
      <c r="F67" s="214"/>
    </row>
    <row r="68" spans="1:6" ht="20.100000000000001" customHeight="1">
      <c r="A68" s="29">
        <v>4</v>
      </c>
      <c r="B68" s="190" t="s">
        <v>450</v>
      </c>
      <c r="C68" s="156" t="s">
        <v>257</v>
      </c>
      <c r="D68" s="215" t="s">
        <v>163</v>
      </c>
      <c r="E68" s="328">
        <v>75000</v>
      </c>
      <c r="F68" s="214"/>
    </row>
    <row r="69" spans="1:6" ht="20.100000000000001" customHeight="1">
      <c r="A69" s="29">
        <v>5</v>
      </c>
      <c r="B69" s="191" t="s">
        <v>229</v>
      </c>
      <c r="C69" s="156" t="s">
        <v>297</v>
      </c>
      <c r="D69" s="215" t="s">
        <v>181</v>
      </c>
      <c r="E69" s="328">
        <v>75000</v>
      </c>
      <c r="F69" s="214"/>
    </row>
    <row r="70" spans="1:6" ht="20.100000000000001" customHeight="1">
      <c r="A70" s="29">
        <v>6</v>
      </c>
      <c r="B70" s="191" t="s">
        <v>536</v>
      </c>
      <c r="C70" s="156" t="s">
        <v>297</v>
      </c>
      <c r="D70" s="215" t="s">
        <v>162</v>
      </c>
      <c r="E70" s="328">
        <v>75000</v>
      </c>
      <c r="F70" s="214"/>
    </row>
    <row r="71" spans="1:6" ht="20.100000000000001" customHeight="1">
      <c r="A71" s="29">
        <v>7</v>
      </c>
      <c r="B71" s="189" t="s">
        <v>117</v>
      </c>
      <c r="C71" s="21" t="s">
        <v>84</v>
      </c>
      <c r="D71" s="29" t="s">
        <v>369</v>
      </c>
      <c r="E71" s="323">
        <v>45000</v>
      </c>
      <c r="F71" s="214"/>
    </row>
    <row r="72" spans="1:6" ht="20.100000000000001" customHeight="1">
      <c r="A72" s="29">
        <v>8</v>
      </c>
      <c r="B72" s="189" t="s">
        <v>182</v>
      </c>
      <c r="C72" s="156" t="s">
        <v>422</v>
      </c>
      <c r="D72" s="215" t="s">
        <v>499</v>
      </c>
      <c r="E72" s="323">
        <v>45000</v>
      </c>
      <c r="F72" s="214"/>
    </row>
    <row r="73" spans="1:6" ht="20.100000000000001" customHeight="1">
      <c r="A73" s="29">
        <v>9</v>
      </c>
      <c r="B73" s="189" t="s">
        <v>424</v>
      </c>
      <c r="C73" s="156" t="s">
        <v>422</v>
      </c>
      <c r="D73" s="215" t="s">
        <v>369</v>
      </c>
      <c r="E73" s="323">
        <v>45000</v>
      </c>
      <c r="F73" s="214"/>
    </row>
    <row r="74" spans="1:6" ht="20.100000000000001" customHeight="1">
      <c r="A74" s="29">
        <v>10</v>
      </c>
      <c r="B74" s="189" t="s">
        <v>423</v>
      </c>
      <c r="C74" s="156" t="s">
        <v>422</v>
      </c>
      <c r="D74" s="215" t="s">
        <v>369</v>
      </c>
      <c r="E74" s="323">
        <v>45000</v>
      </c>
      <c r="F74" s="214"/>
    </row>
    <row r="75" spans="1:6" ht="20.100000000000001" customHeight="1">
      <c r="A75" s="29">
        <v>11</v>
      </c>
      <c r="B75" s="189" t="s">
        <v>242</v>
      </c>
      <c r="C75" s="21" t="s">
        <v>486</v>
      </c>
      <c r="D75" s="29" t="s">
        <v>415</v>
      </c>
      <c r="E75" s="323">
        <v>45000</v>
      </c>
      <c r="F75" s="214"/>
    </row>
    <row r="76" spans="1:6" ht="20.100000000000001" customHeight="1">
      <c r="A76" s="29">
        <v>12</v>
      </c>
      <c r="B76" s="189" t="s">
        <v>322</v>
      </c>
      <c r="C76" s="156" t="s">
        <v>84</v>
      </c>
      <c r="D76" s="29" t="s">
        <v>207</v>
      </c>
      <c r="E76" s="323">
        <v>45000</v>
      </c>
      <c r="F76" s="214"/>
    </row>
    <row r="77" spans="1:6" ht="20.100000000000001" customHeight="1">
      <c r="A77" s="29">
        <v>13</v>
      </c>
      <c r="B77" s="189" t="s">
        <v>320</v>
      </c>
      <c r="C77" s="156" t="s">
        <v>115</v>
      </c>
      <c r="D77" s="29" t="s">
        <v>500</v>
      </c>
      <c r="E77" s="323">
        <v>45000</v>
      </c>
      <c r="F77" s="214"/>
    </row>
    <row r="78" spans="1:6" ht="20.100000000000001" customHeight="1">
      <c r="A78" s="29">
        <v>14</v>
      </c>
      <c r="B78" s="191" t="s">
        <v>321</v>
      </c>
      <c r="C78" s="156" t="s">
        <v>115</v>
      </c>
      <c r="D78" s="29" t="s">
        <v>176</v>
      </c>
      <c r="E78" s="323">
        <v>45000</v>
      </c>
      <c r="F78" s="214"/>
    </row>
    <row r="79" spans="1:6" ht="20.100000000000001" customHeight="1">
      <c r="A79" s="29"/>
      <c r="B79" s="192" t="s">
        <v>15</v>
      </c>
      <c r="C79" s="30">
        <v>14</v>
      </c>
      <c r="D79" s="30"/>
      <c r="E79" s="326">
        <f>SUM(E65:E78)</f>
        <v>990000</v>
      </c>
      <c r="F79" s="214"/>
    </row>
    <row r="80" spans="1:6" ht="20.100000000000001" customHeight="1">
      <c r="A80" s="29"/>
      <c r="B80" s="142"/>
      <c r="C80" s="30"/>
      <c r="D80" s="30"/>
      <c r="E80" s="327"/>
      <c r="F80" s="214"/>
    </row>
    <row r="81" spans="1:6" ht="20.100000000000001" customHeight="1">
      <c r="A81" s="29"/>
      <c r="B81" s="192" t="s">
        <v>464</v>
      </c>
      <c r="C81" s="30"/>
      <c r="D81" s="30"/>
      <c r="E81" s="327"/>
      <c r="F81" s="214"/>
    </row>
    <row r="82" spans="1:6" ht="20.100000000000001" customHeight="1">
      <c r="A82" s="29">
        <v>1</v>
      </c>
      <c r="B82" s="189" t="s">
        <v>19</v>
      </c>
      <c r="C82" s="21" t="s">
        <v>201</v>
      </c>
      <c r="D82" s="29" t="s">
        <v>161</v>
      </c>
      <c r="E82" s="323">
        <v>225000</v>
      </c>
      <c r="F82" s="214"/>
    </row>
    <row r="83" spans="1:6" ht="20.100000000000001" customHeight="1">
      <c r="A83" s="29">
        <v>2</v>
      </c>
      <c r="B83" s="191" t="s">
        <v>325</v>
      </c>
      <c r="C83" s="21" t="s">
        <v>245</v>
      </c>
      <c r="D83" s="215" t="s">
        <v>272</v>
      </c>
      <c r="E83" s="323">
        <v>105000</v>
      </c>
      <c r="F83" s="214"/>
    </row>
    <row r="84" spans="1:6" ht="20.100000000000001" customHeight="1">
      <c r="A84" s="29">
        <v>3</v>
      </c>
      <c r="B84" s="191" t="s">
        <v>326</v>
      </c>
      <c r="C84" s="21" t="s">
        <v>327</v>
      </c>
      <c r="D84" s="215" t="s">
        <v>272</v>
      </c>
      <c r="E84" s="323">
        <v>105000</v>
      </c>
      <c r="F84" s="214"/>
    </row>
    <row r="85" spans="1:6" ht="20.100000000000001" customHeight="1">
      <c r="A85" s="29">
        <v>4</v>
      </c>
      <c r="B85" s="189" t="s">
        <v>26</v>
      </c>
      <c r="C85" s="21" t="s">
        <v>296</v>
      </c>
      <c r="D85" s="215" t="s">
        <v>170</v>
      </c>
      <c r="E85" s="323">
        <v>75000</v>
      </c>
      <c r="F85" s="214"/>
    </row>
    <row r="86" spans="1:6" ht="20.100000000000001" customHeight="1">
      <c r="A86" s="29">
        <v>5</v>
      </c>
      <c r="B86" s="189" t="s">
        <v>324</v>
      </c>
      <c r="C86" s="21" t="s">
        <v>243</v>
      </c>
      <c r="D86" s="29" t="s">
        <v>207</v>
      </c>
      <c r="E86" s="323">
        <v>45000</v>
      </c>
      <c r="F86" s="214"/>
    </row>
    <row r="87" spans="1:6" ht="20.100000000000001" customHeight="1">
      <c r="A87" s="29"/>
      <c r="B87" s="192" t="s">
        <v>15</v>
      </c>
      <c r="C87" s="30">
        <v>5</v>
      </c>
      <c r="D87" s="30"/>
      <c r="E87" s="326">
        <f>SUM(E82:E86)</f>
        <v>555000</v>
      </c>
      <c r="F87" s="214"/>
    </row>
    <row r="88" spans="1:6" ht="20.100000000000001" customHeight="1">
      <c r="A88" s="29"/>
      <c r="B88" s="192"/>
      <c r="C88" s="30"/>
      <c r="D88" s="30"/>
      <c r="E88" s="323"/>
      <c r="F88" s="214"/>
    </row>
    <row r="89" spans="1:6" ht="20.100000000000001" customHeight="1">
      <c r="A89" s="29"/>
      <c r="B89" s="192" t="s">
        <v>465</v>
      </c>
      <c r="C89" s="220"/>
      <c r="D89" s="30"/>
      <c r="E89" s="323"/>
      <c r="F89" s="214"/>
    </row>
    <row r="90" spans="1:6" ht="20.100000000000001" customHeight="1">
      <c r="A90" s="29">
        <v>1</v>
      </c>
      <c r="B90" s="189" t="s">
        <v>169</v>
      </c>
      <c r="C90" s="21" t="s">
        <v>258</v>
      </c>
      <c r="D90" s="29" t="s">
        <v>75</v>
      </c>
      <c r="E90" s="323">
        <v>105000</v>
      </c>
      <c r="F90" s="214"/>
    </row>
    <row r="91" spans="1:6" ht="20.100000000000001" customHeight="1">
      <c r="A91" s="29">
        <v>2</v>
      </c>
      <c r="B91" s="189" t="s">
        <v>192</v>
      </c>
      <c r="C91" s="21" t="s">
        <v>258</v>
      </c>
      <c r="D91" s="29" t="s">
        <v>75</v>
      </c>
      <c r="E91" s="323">
        <v>105000</v>
      </c>
      <c r="F91" s="214"/>
    </row>
    <row r="92" spans="1:6" ht="20.100000000000001" customHeight="1">
      <c r="A92" s="29">
        <v>3</v>
      </c>
      <c r="B92" s="191" t="s">
        <v>138</v>
      </c>
      <c r="C92" s="21" t="s">
        <v>297</v>
      </c>
      <c r="D92" s="29" t="s">
        <v>174</v>
      </c>
      <c r="E92" s="328">
        <v>75000</v>
      </c>
      <c r="F92" s="214"/>
    </row>
    <row r="93" spans="1:6" ht="20.100000000000001" customHeight="1">
      <c r="A93" s="29">
        <v>4</v>
      </c>
      <c r="B93" s="189" t="s">
        <v>202</v>
      </c>
      <c r="C93" s="21" t="s">
        <v>78</v>
      </c>
      <c r="D93" s="29" t="s">
        <v>181</v>
      </c>
      <c r="E93" s="328">
        <v>75000</v>
      </c>
      <c r="F93" s="214"/>
    </row>
    <row r="94" spans="1:6" ht="21.6" customHeight="1">
      <c r="A94" s="29">
        <v>5</v>
      </c>
      <c r="B94" s="189" t="s">
        <v>101</v>
      </c>
      <c r="C94" s="21" t="s">
        <v>80</v>
      </c>
      <c r="D94" s="215" t="s">
        <v>170</v>
      </c>
      <c r="E94" s="328">
        <v>75000</v>
      </c>
      <c r="F94" s="214"/>
    </row>
    <row r="95" spans="1:6" ht="21.6" customHeight="1">
      <c r="A95" s="29">
        <v>6</v>
      </c>
      <c r="B95" s="189" t="s">
        <v>336</v>
      </c>
      <c r="C95" s="293" t="s">
        <v>257</v>
      </c>
      <c r="D95" s="215" t="s">
        <v>163</v>
      </c>
      <c r="E95" s="328">
        <v>75000</v>
      </c>
      <c r="F95" s="214"/>
    </row>
    <row r="96" spans="1:6" ht="21.6" customHeight="1">
      <c r="A96" s="29">
        <v>7</v>
      </c>
      <c r="B96" s="189" t="s">
        <v>337</v>
      </c>
      <c r="C96" s="293" t="s">
        <v>257</v>
      </c>
      <c r="D96" s="215" t="s">
        <v>163</v>
      </c>
      <c r="E96" s="328">
        <v>75000</v>
      </c>
      <c r="F96" s="214"/>
    </row>
    <row r="97" spans="1:6" ht="21.6" customHeight="1">
      <c r="A97" s="29">
        <v>8</v>
      </c>
      <c r="B97" s="189" t="s">
        <v>421</v>
      </c>
      <c r="C97" s="156" t="s">
        <v>422</v>
      </c>
      <c r="D97" s="215" t="s">
        <v>369</v>
      </c>
      <c r="E97" s="323">
        <v>45000</v>
      </c>
      <c r="F97" s="214"/>
    </row>
    <row r="98" spans="1:6" ht="21.6" customHeight="1">
      <c r="A98" s="29">
        <v>9</v>
      </c>
      <c r="B98" s="189" t="s">
        <v>438</v>
      </c>
      <c r="C98" s="21" t="s">
        <v>472</v>
      </c>
      <c r="D98" s="29" t="s">
        <v>104</v>
      </c>
      <c r="E98" s="323">
        <v>45000</v>
      </c>
      <c r="F98" s="214"/>
    </row>
    <row r="99" spans="1:6" ht="21.6" customHeight="1">
      <c r="A99" s="29">
        <v>10</v>
      </c>
      <c r="B99" s="189" t="s">
        <v>406</v>
      </c>
      <c r="C99" s="156" t="s">
        <v>434</v>
      </c>
      <c r="D99" s="215" t="s">
        <v>176</v>
      </c>
      <c r="E99" s="323">
        <v>45000</v>
      </c>
      <c r="F99" s="214"/>
    </row>
    <row r="100" spans="1:6" ht="20.100000000000001" customHeight="1">
      <c r="A100" s="29"/>
      <c r="B100" s="192" t="s">
        <v>15</v>
      </c>
      <c r="C100" s="30">
        <v>10</v>
      </c>
      <c r="D100" s="30"/>
      <c r="E100" s="326">
        <f>SUM(E90:E99)</f>
        <v>720000</v>
      </c>
      <c r="F100" s="214"/>
    </row>
    <row r="101" spans="1:6" ht="20.100000000000001" customHeight="1">
      <c r="A101" s="29"/>
      <c r="B101" s="142"/>
      <c r="C101" s="30"/>
      <c r="D101" s="30"/>
      <c r="E101" s="327"/>
      <c r="F101" s="214"/>
    </row>
    <row r="102" spans="1:6" ht="20.100000000000001" customHeight="1">
      <c r="A102" s="29"/>
      <c r="B102" s="192" t="s">
        <v>466</v>
      </c>
      <c r="C102" s="30"/>
      <c r="D102" s="30"/>
      <c r="E102" s="327"/>
      <c r="F102" s="214"/>
    </row>
    <row r="103" spans="1:6" ht="20.100000000000001" customHeight="1">
      <c r="A103" s="29">
        <v>1</v>
      </c>
      <c r="B103" s="190" t="s">
        <v>364</v>
      </c>
      <c r="C103" s="29" t="s">
        <v>343</v>
      </c>
      <c r="D103" s="215" t="s">
        <v>221</v>
      </c>
      <c r="E103" s="323">
        <v>150000</v>
      </c>
      <c r="F103" s="214"/>
    </row>
    <row r="104" spans="1:6" ht="20.100000000000001" customHeight="1">
      <c r="A104" s="29">
        <v>2</v>
      </c>
      <c r="B104" s="189" t="s">
        <v>185</v>
      </c>
      <c r="C104" s="21" t="s">
        <v>373</v>
      </c>
      <c r="D104" s="29" t="s">
        <v>181</v>
      </c>
      <c r="E104" s="323">
        <v>75000</v>
      </c>
      <c r="F104" s="214"/>
    </row>
    <row r="105" spans="1:6" ht="20.100000000000001" customHeight="1">
      <c r="A105" s="29">
        <v>3</v>
      </c>
      <c r="B105" s="189" t="s">
        <v>237</v>
      </c>
      <c r="C105" s="21" t="s">
        <v>485</v>
      </c>
      <c r="D105" s="215" t="s">
        <v>415</v>
      </c>
      <c r="E105" s="323">
        <v>45000</v>
      </c>
      <c r="F105" s="214"/>
    </row>
    <row r="106" spans="1:6" ht="20.100000000000001" customHeight="1">
      <c r="A106" s="29">
        <v>4</v>
      </c>
      <c r="B106" s="189" t="s">
        <v>540</v>
      </c>
      <c r="C106" s="21" t="s">
        <v>541</v>
      </c>
      <c r="D106" s="215" t="s">
        <v>267</v>
      </c>
      <c r="E106" s="323">
        <v>45000</v>
      </c>
      <c r="F106" s="214"/>
    </row>
    <row r="107" spans="1:6" ht="20.100000000000001" customHeight="1">
      <c r="A107" s="21"/>
      <c r="B107" s="192" t="s">
        <v>15</v>
      </c>
      <c r="C107" s="30">
        <v>3</v>
      </c>
      <c r="D107" s="221"/>
      <c r="E107" s="326">
        <f>SUM(E103:E106)</f>
        <v>315000</v>
      </c>
      <c r="F107" s="214"/>
    </row>
    <row r="108" spans="1:6" ht="20.100000000000001" customHeight="1">
      <c r="A108" s="21"/>
      <c r="B108" s="142"/>
      <c r="C108" s="30"/>
      <c r="D108" s="221"/>
      <c r="E108" s="327"/>
      <c r="F108" s="214"/>
    </row>
    <row r="109" spans="1:6" ht="20.100000000000001" customHeight="1">
      <c r="A109" s="21"/>
      <c r="B109" s="192" t="s">
        <v>467</v>
      </c>
      <c r="C109" s="21"/>
      <c r="D109" s="21"/>
      <c r="E109" s="329"/>
      <c r="F109" s="214"/>
    </row>
    <row r="110" spans="1:6" ht="20.100000000000001" customHeight="1">
      <c r="A110" s="21">
        <v>1</v>
      </c>
      <c r="B110" s="189" t="s">
        <v>216</v>
      </c>
      <c r="C110" s="293" t="s">
        <v>217</v>
      </c>
      <c r="D110" s="215" t="s">
        <v>161</v>
      </c>
      <c r="E110" s="323">
        <v>225000</v>
      </c>
      <c r="F110" s="214"/>
    </row>
    <row r="111" spans="1:6" ht="20.100000000000001" customHeight="1">
      <c r="A111" s="21">
        <v>2</v>
      </c>
      <c r="B111" s="189" t="s">
        <v>110</v>
      </c>
      <c r="C111" s="21" t="s">
        <v>259</v>
      </c>
      <c r="D111" s="25" t="s">
        <v>221</v>
      </c>
      <c r="E111" s="323">
        <v>150000</v>
      </c>
      <c r="F111" s="214"/>
    </row>
    <row r="112" spans="1:6" ht="20.100000000000001" customHeight="1">
      <c r="A112" s="21">
        <v>3</v>
      </c>
      <c r="B112" s="189" t="s">
        <v>109</v>
      </c>
      <c r="C112" s="21" t="s">
        <v>311</v>
      </c>
      <c r="D112" s="29" t="s">
        <v>175</v>
      </c>
      <c r="E112" s="323">
        <v>75000</v>
      </c>
      <c r="F112" s="214"/>
    </row>
    <row r="113" spans="1:6" ht="20.100000000000001" customHeight="1">
      <c r="A113" s="21">
        <v>4</v>
      </c>
      <c r="B113" s="189" t="s">
        <v>135</v>
      </c>
      <c r="C113" s="21" t="s">
        <v>311</v>
      </c>
      <c r="D113" s="29" t="s">
        <v>175</v>
      </c>
      <c r="E113" s="323">
        <v>75000</v>
      </c>
      <c r="F113" s="214"/>
    </row>
    <row r="114" spans="1:6" ht="20.100000000000001" customHeight="1">
      <c r="A114" s="21">
        <v>5</v>
      </c>
      <c r="B114" s="189" t="s">
        <v>240</v>
      </c>
      <c r="C114" s="21" t="s">
        <v>338</v>
      </c>
      <c r="D114" s="215" t="s">
        <v>501</v>
      </c>
      <c r="E114" s="323">
        <v>45000</v>
      </c>
      <c r="F114" s="214"/>
    </row>
    <row r="115" spans="1:6" ht="20.100000000000001" customHeight="1">
      <c r="A115" s="21">
        <v>6</v>
      </c>
      <c r="B115" s="190" t="s">
        <v>341</v>
      </c>
      <c r="C115" s="21" t="s">
        <v>338</v>
      </c>
      <c r="D115" s="29" t="s">
        <v>267</v>
      </c>
      <c r="E115" s="323">
        <v>45000</v>
      </c>
      <c r="F115" s="214"/>
    </row>
    <row r="116" spans="1:6" ht="20.100000000000001" customHeight="1">
      <c r="A116" s="21">
        <v>7</v>
      </c>
      <c r="B116" s="190" t="s">
        <v>374</v>
      </c>
      <c r="C116" s="21" t="s">
        <v>338</v>
      </c>
      <c r="D116" s="215" t="s">
        <v>176</v>
      </c>
      <c r="E116" s="323">
        <v>45000</v>
      </c>
      <c r="F116" s="214"/>
    </row>
    <row r="117" spans="1:6" ht="20.100000000000001" customHeight="1">
      <c r="A117" s="21"/>
      <c r="B117" s="192" t="s">
        <v>15</v>
      </c>
      <c r="C117" s="30">
        <v>7</v>
      </c>
      <c r="D117" s="21"/>
      <c r="E117" s="330">
        <f>SUM(E110:E116)</f>
        <v>660000</v>
      </c>
      <c r="F117" s="214"/>
    </row>
    <row r="118" spans="1:6" ht="20.100000000000001" customHeight="1">
      <c r="A118" s="21"/>
      <c r="B118" s="142"/>
      <c r="C118" s="29"/>
      <c r="D118" s="21"/>
      <c r="E118" s="331"/>
      <c r="F118" s="214"/>
    </row>
    <row r="119" spans="1:6" ht="20.100000000000001" customHeight="1">
      <c r="A119" s="21"/>
      <c r="B119" s="192" t="s">
        <v>468</v>
      </c>
      <c r="C119" s="30"/>
      <c r="D119" s="30"/>
      <c r="E119" s="323"/>
      <c r="F119" s="214"/>
    </row>
    <row r="120" spans="1:6" ht="20.100000000000001" customHeight="1">
      <c r="A120" s="21">
        <v>1</v>
      </c>
      <c r="B120" s="189" t="s">
        <v>20</v>
      </c>
      <c r="C120" s="293" t="s">
        <v>250</v>
      </c>
      <c r="D120" s="215" t="s">
        <v>161</v>
      </c>
      <c r="E120" s="323">
        <v>225000</v>
      </c>
      <c r="F120" s="214"/>
    </row>
    <row r="121" spans="1:6" ht="20.100000000000001" customHeight="1">
      <c r="A121" s="21">
        <v>2</v>
      </c>
      <c r="B121" s="189" t="s">
        <v>153</v>
      </c>
      <c r="C121" s="293" t="s">
        <v>376</v>
      </c>
      <c r="D121" s="215" t="s">
        <v>75</v>
      </c>
      <c r="E121" s="323">
        <v>105000</v>
      </c>
      <c r="F121" s="214"/>
    </row>
    <row r="122" spans="1:6" ht="20.100000000000001" customHeight="1">
      <c r="A122" s="21">
        <v>3</v>
      </c>
      <c r="B122" s="191" t="s">
        <v>142</v>
      </c>
      <c r="C122" s="293" t="s">
        <v>376</v>
      </c>
      <c r="D122" s="215" t="s">
        <v>75</v>
      </c>
      <c r="E122" s="323">
        <v>105000</v>
      </c>
      <c r="F122" s="214"/>
    </row>
    <row r="123" spans="1:6" ht="20.100000000000001" customHeight="1">
      <c r="A123" s="21">
        <v>4</v>
      </c>
      <c r="B123" s="191" t="s">
        <v>363</v>
      </c>
      <c r="C123" s="293" t="s">
        <v>376</v>
      </c>
      <c r="D123" s="215" t="s">
        <v>30</v>
      </c>
      <c r="E123" s="323">
        <v>105000</v>
      </c>
      <c r="F123" s="214"/>
    </row>
    <row r="124" spans="1:6" ht="20.100000000000001" customHeight="1">
      <c r="A124" s="21">
        <v>5</v>
      </c>
      <c r="B124" s="189" t="s">
        <v>108</v>
      </c>
      <c r="C124" s="293" t="s">
        <v>478</v>
      </c>
      <c r="D124" s="215" t="s">
        <v>162</v>
      </c>
      <c r="E124" s="323">
        <v>75000</v>
      </c>
      <c r="F124" s="214"/>
    </row>
    <row r="125" spans="1:6" ht="20.100000000000001" customHeight="1">
      <c r="A125" s="21">
        <v>6</v>
      </c>
      <c r="B125" s="189" t="s">
        <v>178</v>
      </c>
      <c r="C125" s="293" t="s">
        <v>382</v>
      </c>
      <c r="D125" s="215" t="s">
        <v>170</v>
      </c>
      <c r="E125" s="323">
        <v>75000</v>
      </c>
      <c r="F125" s="214"/>
    </row>
    <row r="126" spans="1:6" ht="20.100000000000001" customHeight="1">
      <c r="A126" s="21">
        <v>7</v>
      </c>
      <c r="B126" s="189" t="s">
        <v>134</v>
      </c>
      <c r="C126" s="293" t="s">
        <v>384</v>
      </c>
      <c r="D126" s="215" t="s">
        <v>170</v>
      </c>
      <c r="E126" s="323">
        <v>75000</v>
      </c>
      <c r="F126" s="214"/>
    </row>
    <row r="127" spans="1:6" ht="20.100000000000001" customHeight="1">
      <c r="A127" s="21">
        <v>8</v>
      </c>
      <c r="B127" s="189" t="s">
        <v>445</v>
      </c>
      <c r="C127" s="293" t="s">
        <v>449</v>
      </c>
      <c r="D127" s="29" t="s">
        <v>500</v>
      </c>
      <c r="E127" s="323">
        <v>45000</v>
      </c>
      <c r="F127" s="214"/>
    </row>
    <row r="128" spans="1:6" ht="20.100000000000001" customHeight="1">
      <c r="A128" s="21">
        <v>9</v>
      </c>
      <c r="B128" s="190" t="s">
        <v>441</v>
      </c>
      <c r="C128" s="293" t="s">
        <v>442</v>
      </c>
      <c r="D128" s="215" t="s">
        <v>176</v>
      </c>
      <c r="E128" s="323">
        <v>45000</v>
      </c>
      <c r="F128" s="214"/>
    </row>
    <row r="129" spans="1:6" ht="20.100000000000001" customHeight="1">
      <c r="A129" s="21"/>
      <c r="B129" s="192" t="s">
        <v>15</v>
      </c>
      <c r="C129" s="221" t="s">
        <v>377</v>
      </c>
      <c r="D129" s="215"/>
      <c r="E129" s="332">
        <f>SUM(E120:E128)</f>
        <v>855000</v>
      </c>
      <c r="F129" s="214"/>
    </row>
    <row r="130" spans="1:6" ht="20.100000000000001" customHeight="1">
      <c r="A130" s="21"/>
      <c r="B130" s="142"/>
      <c r="C130" s="221"/>
      <c r="D130" s="215"/>
      <c r="E130" s="333"/>
      <c r="F130" s="214"/>
    </row>
    <row r="131" spans="1:6" ht="20.100000000000001" customHeight="1">
      <c r="A131" s="21"/>
      <c r="B131" s="192" t="s">
        <v>469</v>
      </c>
      <c r="C131" s="293"/>
      <c r="D131" s="215"/>
      <c r="E131" s="323"/>
      <c r="F131" s="214"/>
    </row>
    <row r="132" spans="1:6" ht="20.100000000000001" customHeight="1">
      <c r="A132" s="225">
        <v>1</v>
      </c>
      <c r="B132" s="189" t="s">
        <v>21</v>
      </c>
      <c r="C132" s="293" t="s">
        <v>393</v>
      </c>
      <c r="D132" s="215" t="s">
        <v>161</v>
      </c>
      <c r="E132" s="323">
        <v>225000</v>
      </c>
      <c r="F132" s="214"/>
    </row>
    <row r="133" spans="1:6" ht="20.100000000000001" customHeight="1">
      <c r="A133" s="225">
        <v>2</v>
      </c>
      <c r="B133" s="189" t="s">
        <v>107</v>
      </c>
      <c r="C133" s="293" t="s">
        <v>394</v>
      </c>
      <c r="D133" s="215" t="s">
        <v>160</v>
      </c>
      <c r="E133" s="323">
        <v>150000</v>
      </c>
      <c r="F133" s="214"/>
    </row>
    <row r="134" spans="1:6" ht="20.100000000000001" customHeight="1">
      <c r="A134" s="225">
        <v>3</v>
      </c>
      <c r="B134" s="191" t="s">
        <v>183</v>
      </c>
      <c r="C134" s="21" t="s">
        <v>488</v>
      </c>
      <c r="D134" s="25" t="s">
        <v>221</v>
      </c>
      <c r="E134" s="323">
        <v>150000</v>
      </c>
      <c r="F134" s="214"/>
    </row>
    <row r="135" spans="1:6" ht="20.100000000000001" customHeight="1">
      <c r="A135" s="225">
        <v>4</v>
      </c>
      <c r="B135" s="189" t="s">
        <v>106</v>
      </c>
      <c r="C135" s="293" t="s">
        <v>381</v>
      </c>
      <c r="D135" s="215" t="s">
        <v>181</v>
      </c>
      <c r="E135" s="323">
        <v>75000</v>
      </c>
      <c r="F135" s="214"/>
    </row>
    <row r="136" spans="1:6" ht="20.100000000000001" customHeight="1">
      <c r="A136" s="225">
        <v>5</v>
      </c>
      <c r="B136" s="189" t="s">
        <v>7</v>
      </c>
      <c r="C136" s="21" t="s">
        <v>385</v>
      </c>
      <c r="D136" s="215" t="s">
        <v>181</v>
      </c>
      <c r="E136" s="323">
        <v>75000</v>
      </c>
      <c r="F136" s="214"/>
    </row>
    <row r="137" spans="1:6" ht="20.100000000000001" customHeight="1">
      <c r="A137" s="225">
        <v>6</v>
      </c>
      <c r="B137" s="189" t="s">
        <v>124</v>
      </c>
      <c r="C137" s="21" t="s">
        <v>235</v>
      </c>
      <c r="D137" s="215" t="s">
        <v>170</v>
      </c>
      <c r="E137" s="323">
        <v>75000</v>
      </c>
      <c r="F137" s="214"/>
    </row>
    <row r="138" spans="1:6" ht="20.100000000000001" customHeight="1">
      <c r="A138" s="225">
        <v>7</v>
      </c>
      <c r="B138" s="189" t="s">
        <v>102</v>
      </c>
      <c r="C138" s="293" t="s">
        <v>395</v>
      </c>
      <c r="D138" s="215" t="s">
        <v>499</v>
      </c>
      <c r="E138" s="323">
        <v>45000</v>
      </c>
      <c r="F138" s="214"/>
    </row>
    <row r="139" spans="1:6" ht="20.100000000000001" customHeight="1">
      <c r="A139" s="225">
        <v>8</v>
      </c>
      <c r="B139" s="189" t="s">
        <v>103</v>
      </c>
      <c r="C139" s="293" t="s">
        <v>395</v>
      </c>
      <c r="D139" s="215" t="s">
        <v>499</v>
      </c>
      <c r="E139" s="323">
        <v>45000</v>
      </c>
      <c r="F139" s="214"/>
    </row>
    <row r="140" spans="1:6" ht="20.100000000000001" customHeight="1">
      <c r="A140" s="225">
        <v>9</v>
      </c>
      <c r="B140" s="189" t="s">
        <v>151</v>
      </c>
      <c r="C140" s="21" t="s">
        <v>235</v>
      </c>
      <c r="D140" s="215" t="s">
        <v>499</v>
      </c>
      <c r="E140" s="323">
        <v>45000</v>
      </c>
      <c r="F140" s="214"/>
    </row>
    <row r="141" spans="1:6" ht="20.100000000000001" customHeight="1">
      <c r="A141" s="225">
        <v>10</v>
      </c>
      <c r="B141" s="189" t="s">
        <v>238</v>
      </c>
      <c r="C141" s="293" t="s">
        <v>481</v>
      </c>
      <c r="D141" s="215" t="s">
        <v>415</v>
      </c>
      <c r="E141" s="323">
        <v>45000</v>
      </c>
      <c r="F141" s="214"/>
    </row>
    <row r="142" spans="1:6" ht="20.100000000000001" customHeight="1">
      <c r="A142" s="225">
        <v>11</v>
      </c>
      <c r="B142" s="189" t="s">
        <v>53</v>
      </c>
      <c r="C142" s="293" t="s">
        <v>300</v>
      </c>
      <c r="D142" s="215" t="s">
        <v>27</v>
      </c>
      <c r="E142" s="323">
        <v>45000</v>
      </c>
      <c r="F142" s="214"/>
    </row>
    <row r="143" spans="1:6" ht="20.100000000000001" customHeight="1">
      <c r="A143" s="225">
        <v>12</v>
      </c>
      <c r="B143" s="189" t="s">
        <v>179</v>
      </c>
      <c r="C143" s="293" t="s">
        <v>481</v>
      </c>
      <c r="D143" s="215" t="s">
        <v>499</v>
      </c>
      <c r="E143" s="323">
        <v>45000</v>
      </c>
      <c r="F143" s="214"/>
    </row>
    <row r="144" spans="1:6" ht="20.100000000000001" customHeight="1">
      <c r="A144" s="225">
        <v>13</v>
      </c>
      <c r="B144" s="190" t="s">
        <v>293</v>
      </c>
      <c r="C144" s="21" t="s">
        <v>440</v>
      </c>
      <c r="D144" s="215" t="s">
        <v>27</v>
      </c>
      <c r="E144" s="323">
        <v>45000</v>
      </c>
      <c r="F144" s="214"/>
    </row>
    <row r="145" spans="1:6" ht="20.100000000000001" customHeight="1">
      <c r="A145" s="225">
        <v>14</v>
      </c>
      <c r="B145" s="189" t="s">
        <v>490</v>
      </c>
      <c r="C145" s="21" t="s">
        <v>239</v>
      </c>
      <c r="D145" s="215" t="s">
        <v>207</v>
      </c>
      <c r="E145" s="323">
        <v>45000</v>
      </c>
      <c r="F145" s="214"/>
    </row>
    <row r="146" spans="1:6" ht="20.100000000000001" customHeight="1">
      <c r="A146" s="225">
        <v>15</v>
      </c>
      <c r="B146" s="189" t="s">
        <v>491</v>
      </c>
      <c r="C146" s="21" t="s">
        <v>239</v>
      </c>
      <c r="D146" s="215" t="s">
        <v>164</v>
      </c>
      <c r="E146" s="323">
        <v>45000</v>
      </c>
      <c r="F146" s="214"/>
    </row>
    <row r="147" spans="1:6" ht="20.100000000000001" customHeight="1">
      <c r="A147" s="225">
        <v>16</v>
      </c>
      <c r="B147" s="189" t="s">
        <v>212</v>
      </c>
      <c r="C147" s="21" t="s">
        <v>239</v>
      </c>
      <c r="D147" s="215" t="s">
        <v>164</v>
      </c>
      <c r="E147" s="323">
        <v>45000</v>
      </c>
      <c r="F147" s="214"/>
    </row>
    <row r="148" spans="1:6" ht="20.100000000000001" customHeight="1">
      <c r="A148" s="225">
        <v>17</v>
      </c>
      <c r="B148" s="189" t="s">
        <v>425</v>
      </c>
      <c r="C148" s="293" t="s">
        <v>430</v>
      </c>
      <c r="D148" s="215" t="s">
        <v>104</v>
      </c>
      <c r="E148" s="323">
        <v>45000</v>
      </c>
      <c r="F148" s="214"/>
    </row>
    <row r="149" spans="1:6" ht="20.100000000000001" customHeight="1">
      <c r="A149" s="225">
        <v>18</v>
      </c>
      <c r="B149" s="189" t="s">
        <v>439</v>
      </c>
      <c r="C149" s="293" t="s">
        <v>440</v>
      </c>
      <c r="D149" s="29" t="s">
        <v>428</v>
      </c>
      <c r="E149" s="323">
        <v>45000</v>
      </c>
      <c r="F149" s="214"/>
    </row>
    <row r="150" spans="1:6" ht="20.100000000000001" customHeight="1">
      <c r="A150" s="225">
        <v>19</v>
      </c>
      <c r="B150" s="189" t="s">
        <v>230</v>
      </c>
      <c r="C150" s="293" t="s">
        <v>487</v>
      </c>
      <c r="D150" s="215" t="s">
        <v>207</v>
      </c>
      <c r="E150" s="323">
        <v>45000</v>
      </c>
      <c r="F150" s="214"/>
    </row>
    <row r="151" spans="1:6" ht="20.100000000000001" customHeight="1">
      <c r="A151" s="225">
        <v>20</v>
      </c>
      <c r="B151" s="189" t="s">
        <v>57</v>
      </c>
      <c r="C151" s="293" t="s">
        <v>483</v>
      </c>
      <c r="D151" s="215" t="s">
        <v>500</v>
      </c>
      <c r="E151" s="323">
        <v>45000</v>
      </c>
      <c r="F151" s="214"/>
    </row>
    <row r="152" spans="1:6" ht="20.100000000000001" customHeight="1">
      <c r="A152" s="225">
        <v>21</v>
      </c>
      <c r="B152" s="189" t="s">
        <v>251</v>
      </c>
      <c r="C152" s="293" t="s">
        <v>484</v>
      </c>
      <c r="D152" s="215" t="s">
        <v>207</v>
      </c>
      <c r="E152" s="323">
        <v>45000</v>
      </c>
      <c r="F152" s="214"/>
    </row>
    <row r="153" spans="1:6" ht="20.100000000000001" customHeight="1">
      <c r="A153" s="225">
        <v>22</v>
      </c>
      <c r="B153" s="189" t="s">
        <v>241</v>
      </c>
      <c r="C153" s="293" t="s">
        <v>348</v>
      </c>
      <c r="D153" s="215" t="s">
        <v>500</v>
      </c>
      <c r="E153" s="323">
        <v>45000</v>
      </c>
      <c r="F153" s="214"/>
    </row>
    <row r="154" spans="1:6" ht="20.100000000000001" customHeight="1">
      <c r="A154" s="225">
        <v>23</v>
      </c>
      <c r="B154" s="190" t="s">
        <v>289</v>
      </c>
      <c r="C154" s="293" t="s">
        <v>290</v>
      </c>
      <c r="D154" s="215" t="s">
        <v>267</v>
      </c>
      <c r="E154" s="323">
        <v>45000</v>
      </c>
      <c r="F154" s="214"/>
    </row>
    <row r="155" spans="1:6" ht="20.100000000000001" customHeight="1">
      <c r="A155" s="225">
        <v>24</v>
      </c>
      <c r="B155" s="190" t="s">
        <v>407</v>
      </c>
      <c r="C155" s="293" t="s">
        <v>131</v>
      </c>
      <c r="D155" s="215" t="s">
        <v>105</v>
      </c>
      <c r="E155" s="323">
        <v>45000</v>
      </c>
      <c r="F155" s="214"/>
    </row>
    <row r="156" spans="1:6" ht="20.100000000000001" customHeight="1">
      <c r="A156" s="225">
        <v>25</v>
      </c>
      <c r="B156" s="190" t="s">
        <v>426</v>
      </c>
      <c r="C156" s="293" t="s">
        <v>290</v>
      </c>
      <c r="D156" s="215" t="s">
        <v>105</v>
      </c>
      <c r="E156" s="323">
        <v>45000</v>
      </c>
      <c r="F156" s="214"/>
    </row>
    <row r="157" spans="1:6" ht="20.100000000000001" customHeight="1">
      <c r="A157" s="225">
        <v>26</v>
      </c>
      <c r="B157" s="190" t="s">
        <v>443</v>
      </c>
      <c r="C157" s="293" t="s">
        <v>444</v>
      </c>
      <c r="D157" s="215" t="s">
        <v>176</v>
      </c>
      <c r="E157" s="323">
        <v>45000</v>
      </c>
      <c r="F157" s="214"/>
    </row>
    <row r="158" spans="1:6" ht="20.100000000000001" customHeight="1">
      <c r="A158" s="225">
        <v>27</v>
      </c>
      <c r="B158" s="190" t="s">
        <v>447</v>
      </c>
      <c r="C158" s="293" t="s">
        <v>448</v>
      </c>
      <c r="D158" s="215" t="s">
        <v>176</v>
      </c>
      <c r="E158" s="323">
        <v>45000</v>
      </c>
      <c r="F158" s="214"/>
    </row>
    <row r="159" spans="1:6" ht="20.100000000000001" customHeight="1">
      <c r="A159" s="225">
        <v>28</v>
      </c>
      <c r="B159" s="189" t="s">
        <v>22</v>
      </c>
      <c r="C159" s="293" t="s">
        <v>302</v>
      </c>
      <c r="D159" s="215" t="s">
        <v>503</v>
      </c>
      <c r="E159" s="323">
        <v>30000</v>
      </c>
      <c r="F159" s="214"/>
    </row>
    <row r="160" spans="1:6" ht="20.100000000000001" customHeight="1">
      <c r="A160" s="225">
        <v>29</v>
      </c>
      <c r="B160" s="189" t="s">
        <v>14</v>
      </c>
      <c r="C160" s="293" t="s">
        <v>302</v>
      </c>
      <c r="D160" s="215" t="s">
        <v>503</v>
      </c>
      <c r="E160" s="323">
        <v>30000</v>
      </c>
      <c r="F160" s="214"/>
    </row>
    <row r="161" spans="1:6" ht="20.100000000000001" customHeight="1">
      <c r="A161" s="225">
        <v>30</v>
      </c>
      <c r="B161" s="189" t="s">
        <v>23</v>
      </c>
      <c r="C161" s="293" t="s">
        <v>302</v>
      </c>
      <c r="D161" s="215" t="s">
        <v>503</v>
      </c>
      <c r="E161" s="323">
        <v>30000</v>
      </c>
      <c r="F161" s="214"/>
    </row>
    <row r="162" spans="1:6" ht="20.100000000000001" customHeight="1">
      <c r="A162" s="225">
        <v>32</v>
      </c>
      <c r="B162" s="189" t="s">
        <v>39</v>
      </c>
      <c r="C162" s="293" t="s">
        <v>302</v>
      </c>
      <c r="D162" s="215" t="s">
        <v>503</v>
      </c>
      <c r="E162" s="323">
        <v>30000</v>
      </c>
      <c r="F162" s="214"/>
    </row>
    <row r="163" spans="1:6" ht="20.100000000000001" customHeight="1">
      <c r="A163" s="225">
        <v>33</v>
      </c>
      <c r="B163" s="189" t="s">
        <v>40</v>
      </c>
      <c r="C163" s="293" t="s">
        <v>302</v>
      </c>
      <c r="D163" s="215" t="s">
        <v>503</v>
      </c>
      <c r="E163" s="323">
        <v>30000</v>
      </c>
      <c r="F163" s="214"/>
    </row>
    <row r="164" spans="1:6" ht="20.100000000000001" customHeight="1">
      <c r="A164" s="225">
        <v>34</v>
      </c>
      <c r="B164" s="189" t="s">
        <v>127</v>
      </c>
      <c r="C164" s="293" t="s">
        <v>302</v>
      </c>
      <c r="D164" s="215" t="s">
        <v>416</v>
      </c>
      <c r="E164" s="323">
        <v>30000</v>
      </c>
      <c r="F164" s="214"/>
    </row>
    <row r="165" spans="1:6" ht="20.100000000000001" customHeight="1">
      <c r="A165" s="225">
        <v>35</v>
      </c>
      <c r="B165" s="189" t="s">
        <v>128</v>
      </c>
      <c r="C165" s="293" t="s">
        <v>302</v>
      </c>
      <c r="D165" s="215" t="s">
        <v>416</v>
      </c>
      <c r="E165" s="323">
        <v>30000</v>
      </c>
      <c r="F165" s="214"/>
    </row>
    <row r="166" spans="1:6" ht="20.100000000000001" customHeight="1">
      <c r="A166" s="225">
        <v>36</v>
      </c>
      <c r="B166" s="189" t="s">
        <v>129</v>
      </c>
      <c r="C166" s="293" t="s">
        <v>302</v>
      </c>
      <c r="D166" s="215" t="s">
        <v>416</v>
      </c>
      <c r="E166" s="323">
        <v>30000</v>
      </c>
      <c r="F166" s="214"/>
    </row>
    <row r="167" spans="1:6" ht="20.100000000000001" customHeight="1">
      <c r="A167" s="225">
        <v>37</v>
      </c>
      <c r="B167" s="191" t="s">
        <v>136</v>
      </c>
      <c r="C167" s="293" t="s">
        <v>302</v>
      </c>
      <c r="D167" s="215" t="s">
        <v>416</v>
      </c>
      <c r="E167" s="323">
        <v>30000</v>
      </c>
      <c r="F167" s="214"/>
    </row>
    <row r="168" spans="1:6" ht="20.100000000000001" customHeight="1">
      <c r="A168" s="225">
        <v>38</v>
      </c>
      <c r="B168" s="189" t="s">
        <v>140</v>
      </c>
      <c r="C168" s="293" t="s">
        <v>302</v>
      </c>
      <c r="D168" s="215" t="s">
        <v>416</v>
      </c>
      <c r="E168" s="323">
        <v>30000</v>
      </c>
      <c r="F168" s="214"/>
    </row>
    <row r="169" spans="1:6" ht="20.100000000000001" customHeight="1">
      <c r="A169" s="225">
        <v>39</v>
      </c>
      <c r="B169" s="190" t="s">
        <v>152</v>
      </c>
      <c r="C169" s="293" t="s">
        <v>302</v>
      </c>
      <c r="D169" s="215" t="s">
        <v>416</v>
      </c>
      <c r="E169" s="323">
        <v>30000</v>
      </c>
      <c r="F169" s="214"/>
    </row>
    <row r="170" spans="1:6" ht="20.100000000000001" customHeight="1">
      <c r="A170" s="225">
        <v>40</v>
      </c>
      <c r="B170" s="190" t="s">
        <v>132</v>
      </c>
      <c r="C170" s="293" t="s">
        <v>302</v>
      </c>
      <c r="D170" s="215" t="s">
        <v>416</v>
      </c>
      <c r="E170" s="323">
        <v>30000</v>
      </c>
      <c r="F170" s="214"/>
    </row>
    <row r="171" spans="1:6" ht="20.100000000000001" customHeight="1">
      <c r="A171" s="225">
        <v>41</v>
      </c>
      <c r="B171" s="189" t="s">
        <v>231</v>
      </c>
      <c r="C171" s="293" t="s">
        <v>167</v>
      </c>
      <c r="D171" s="215" t="s">
        <v>263</v>
      </c>
      <c r="E171" s="323">
        <v>30000</v>
      </c>
      <c r="F171" s="214"/>
    </row>
    <row r="172" spans="1:6" ht="20.100000000000001" customHeight="1">
      <c r="A172" s="225">
        <v>42</v>
      </c>
      <c r="B172" s="189" t="s">
        <v>246</v>
      </c>
      <c r="C172" s="293" t="s">
        <v>167</v>
      </c>
      <c r="D172" s="215" t="s">
        <v>263</v>
      </c>
      <c r="E172" s="323">
        <v>30000</v>
      </c>
      <c r="F172" s="214"/>
    </row>
    <row r="173" spans="1:6" ht="20.100000000000001" customHeight="1">
      <c r="A173" s="225">
        <v>43</v>
      </c>
      <c r="B173" s="190" t="s">
        <v>166</v>
      </c>
      <c r="C173" s="293" t="s">
        <v>167</v>
      </c>
      <c r="D173" s="215" t="s">
        <v>223</v>
      </c>
      <c r="E173" s="323">
        <v>30000</v>
      </c>
      <c r="F173" s="214"/>
    </row>
    <row r="174" spans="1:6" ht="20.100000000000001" customHeight="1">
      <c r="A174" s="225">
        <v>44</v>
      </c>
      <c r="B174" s="189" t="s">
        <v>204</v>
      </c>
      <c r="C174" s="293" t="s">
        <v>167</v>
      </c>
      <c r="D174" s="215" t="s">
        <v>177</v>
      </c>
      <c r="E174" s="323">
        <v>30000</v>
      </c>
      <c r="F174" s="214"/>
    </row>
    <row r="175" spans="1:6" ht="20.100000000000001" customHeight="1">
      <c r="A175" s="225">
        <v>45</v>
      </c>
      <c r="B175" s="189" t="s">
        <v>209</v>
      </c>
      <c r="C175" s="293" t="s">
        <v>13</v>
      </c>
      <c r="D175" s="215" t="s">
        <v>504</v>
      </c>
      <c r="E175" s="323">
        <v>30000</v>
      </c>
      <c r="F175" s="214"/>
    </row>
    <row r="176" spans="1:6" ht="20.100000000000001" customHeight="1">
      <c r="A176" s="225">
        <v>46</v>
      </c>
      <c r="B176" s="189" t="s">
        <v>218</v>
      </c>
      <c r="C176" s="293" t="s">
        <v>13</v>
      </c>
      <c r="D176" s="215" t="s">
        <v>504</v>
      </c>
      <c r="E176" s="323">
        <v>30000</v>
      </c>
      <c r="F176" s="214"/>
    </row>
    <row r="177" spans="1:6" ht="20.100000000000001" customHeight="1">
      <c r="A177" s="225">
        <v>47</v>
      </c>
      <c r="B177" s="189" t="s">
        <v>219</v>
      </c>
      <c r="C177" s="293" t="s">
        <v>13</v>
      </c>
      <c r="D177" s="215" t="s">
        <v>504</v>
      </c>
      <c r="E177" s="323">
        <v>30000</v>
      </c>
      <c r="F177" s="214"/>
    </row>
    <row r="178" spans="1:6" ht="20.100000000000001" customHeight="1">
      <c r="A178" s="225">
        <v>48</v>
      </c>
      <c r="B178" s="189" t="s">
        <v>211</v>
      </c>
      <c r="C178" s="293" t="s">
        <v>13</v>
      </c>
      <c r="D178" s="215" t="s">
        <v>504</v>
      </c>
      <c r="E178" s="323">
        <v>30000</v>
      </c>
      <c r="F178" s="214"/>
    </row>
    <row r="179" spans="1:6" ht="20.100000000000001" customHeight="1">
      <c r="A179" s="225">
        <v>49</v>
      </c>
      <c r="B179" s="189" t="s">
        <v>213</v>
      </c>
      <c r="C179" s="293" t="s">
        <v>13</v>
      </c>
      <c r="D179" s="215" t="s">
        <v>504</v>
      </c>
      <c r="E179" s="323">
        <v>30000</v>
      </c>
      <c r="F179" s="214"/>
    </row>
    <row r="180" spans="1:6" ht="20.100000000000001" customHeight="1">
      <c r="A180" s="225">
        <v>50</v>
      </c>
      <c r="B180" s="190" t="s">
        <v>342</v>
      </c>
      <c r="C180" s="293" t="s">
        <v>13</v>
      </c>
      <c r="D180" s="215" t="s">
        <v>504</v>
      </c>
      <c r="E180" s="323">
        <v>30000</v>
      </c>
      <c r="F180" s="214"/>
    </row>
    <row r="181" spans="1:6" ht="20.100000000000001" customHeight="1">
      <c r="A181" s="225">
        <v>51</v>
      </c>
      <c r="B181" s="190" t="s">
        <v>405</v>
      </c>
      <c r="C181" s="293" t="s">
        <v>13</v>
      </c>
      <c r="D181" s="215" t="s">
        <v>504</v>
      </c>
      <c r="E181" s="323">
        <v>30000</v>
      </c>
      <c r="F181" s="214"/>
    </row>
    <row r="182" spans="1:6" ht="20.100000000000001" customHeight="1">
      <c r="A182" s="225">
        <v>52</v>
      </c>
      <c r="B182" s="189" t="s">
        <v>232</v>
      </c>
      <c r="C182" s="293" t="s">
        <v>167</v>
      </c>
      <c r="D182" s="215" t="s">
        <v>504</v>
      </c>
      <c r="E182" s="323">
        <v>30000</v>
      </c>
      <c r="F182" s="214"/>
    </row>
    <row r="183" spans="1:6" ht="20.100000000000001" customHeight="1">
      <c r="A183" s="225">
        <v>53</v>
      </c>
      <c r="B183" s="189" t="s">
        <v>233</v>
      </c>
      <c r="C183" s="293" t="s">
        <v>167</v>
      </c>
      <c r="D183" s="215" t="s">
        <v>504</v>
      </c>
      <c r="E183" s="323">
        <v>30000</v>
      </c>
      <c r="F183" s="214"/>
    </row>
    <row r="184" spans="1:6" ht="20.100000000000001" customHeight="1">
      <c r="A184" s="225">
        <v>54</v>
      </c>
      <c r="B184" s="190" t="s">
        <v>279</v>
      </c>
      <c r="C184" s="293" t="s">
        <v>13</v>
      </c>
      <c r="D184" s="215" t="s">
        <v>505</v>
      </c>
      <c r="E184" s="323">
        <v>30000</v>
      </c>
      <c r="F184" s="214"/>
    </row>
    <row r="185" spans="1:6" ht="20.100000000000001" customHeight="1">
      <c r="A185" s="225">
        <v>55</v>
      </c>
      <c r="B185" s="190" t="s">
        <v>403</v>
      </c>
      <c r="C185" s="293" t="s">
        <v>13</v>
      </c>
      <c r="D185" s="215" t="s">
        <v>264</v>
      </c>
      <c r="E185" s="323">
        <v>30000</v>
      </c>
      <c r="F185" s="214"/>
    </row>
    <row r="186" spans="1:6" ht="20.100000000000001" customHeight="1">
      <c r="A186" s="225"/>
      <c r="B186" s="211" t="s">
        <v>15</v>
      </c>
      <c r="C186" s="227" t="s">
        <v>408</v>
      </c>
      <c r="D186" s="23"/>
      <c r="E186" s="334">
        <f>SUM(E132:E185)</f>
        <v>2505000</v>
      </c>
      <c r="F186" s="214"/>
    </row>
    <row r="187" spans="1:6" ht="9" customHeight="1">
      <c r="A187" s="225"/>
      <c r="B187" s="211"/>
      <c r="C187" s="227"/>
      <c r="D187" s="23"/>
      <c r="E187" s="334"/>
      <c r="F187" s="214"/>
    </row>
    <row r="188" spans="1:6" ht="30" customHeight="1">
      <c r="A188" s="21"/>
      <c r="B188" s="313" t="s">
        <v>8</v>
      </c>
      <c r="C188" s="314">
        <f>C37+C42+C57+C62+C79+C87+C100+C107+C117+C129+C186</f>
        <v>149</v>
      </c>
      <c r="D188" s="315"/>
      <c r="E188" s="316">
        <f>E186+E129+E117+E107+E100+E87+E79+E62+E57+E42+E37</f>
        <v>11070000</v>
      </c>
      <c r="F188" s="214"/>
    </row>
    <row r="189" spans="1:6" ht="20.100000000000001" customHeight="1">
      <c r="A189" s="203"/>
      <c r="B189" s="232"/>
      <c r="C189" s="203"/>
      <c r="D189" s="233"/>
      <c r="E189" s="288"/>
      <c r="F189" s="236"/>
    </row>
    <row r="190" spans="1:6" ht="65.25" customHeight="1">
      <c r="A190" s="203"/>
      <c r="B190" s="232"/>
      <c r="C190" s="233"/>
      <c r="D190" s="233"/>
      <c r="E190" s="28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32" activePane="bottomRight" state="frozen"/>
      <selection pane="topRight" activeCell="E1" sqref="E1"/>
      <selection pane="bottomLeft" activeCell="A10" sqref="A10"/>
      <selection pane="bottomRight" activeCell="H191" sqref="H191"/>
    </sheetView>
  </sheetViews>
  <sheetFormatPr defaultColWidth="9.140625" defaultRowHeight="20.100000000000001" customHeight="1"/>
  <cols>
    <col min="1" max="1" width="5.42578125" style="197" customWidth="1"/>
    <col min="2" max="2" width="44.570312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17" t="s">
        <v>234</v>
      </c>
      <c r="B1" s="317"/>
      <c r="C1" s="317"/>
      <c r="D1" s="317"/>
      <c r="E1" s="318"/>
    </row>
    <row r="2" spans="1:6" ht="33.75" customHeight="1">
      <c r="A2" s="317" t="s">
        <v>539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12"/>
      <c r="B4" s="319" t="s">
        <v>0</v>
      </c>
      <c r="C4" s="320" t="s">
        <v>12</v>
      </c>
      <c r="D4" s="321" t="s">
        <v>309</v>
      </c>
      <c r="E4" s="322" t="s">
        <v>120</v>
      </c>
    </row>
    <row r="5" spans="1:6" ht="17.25" customHeight="1">
      <c r="C5" s="211"/>
      <c r="D5" s="211"/>
      <c r="E5" s="252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2"/>
    </row>
    <row r="7" spans="1:6" ht="20.100000000000001" customHeight="1">
      <c r="A7" s="29">
        <v>1</v>
      </c>
      <c r="B7" s="189" t="s">
        <v>224</v>
      </c>
      <c r="C7" s="293" t="s">
        <v>119</v>
      </c>
      <c r="D7" s="293" t="s">
        <v>34</v>
      </c>
      <c r="E7" s="323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23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23">
        <v>150000</v>
      </c>
      <c r="F9" s="214"/>
    </row>
    <row r="10" spans="1:6" ht="20.100000000000001" customHeight="1">
      <c r="A10" s="29">
        <v>4</v>
      </c>
      <c r="B10" s="189" t="s">
        <v>315</v>
      </c>
      <c r="C10" s="293" t="s">
        <v>316</v>
      </c>
      <c r="D10" s="29" t="s">
        <v>498</v>
      </c>
      <c r="E10" s="323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23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323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323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323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93" t="s">
        <v>470</v>
      </c>
      <c r="D15" s="215" t="s">
        <v>75</v>
      </c>
      <c r="E15" s="323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93" t="s">
        <v>387</v>
      </c>
      <c r="D16" s="29" t="s">
        <v>412</v>
      </c>
      <c r="E16" s="323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23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23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23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23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93" t="s">
        <v>351</v>
      </c>
      <c r="D21" s="215" t="s">
        <v>163</v>
      </c>
      <c r="E21" s="323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23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93" t="s">
        <v>391</v>
      </c>
      <c r="D23" s="215" t="s">
        <v>499</v>
      </c>
      <c r="E23" s="323">
        <v>45000</v>
      </c>
      <c r="F23" s="214"/>
    </row>
    <row r="24" spans="1:6" ht="18.75" customHeight="1">
      <c r="A24" s="29">
        <v>18</v>
      </c>
      <c r="B24" s="189" t="s">
        <v>253</v>
      </c>
      <c r="C24" s="293" t="s">
        <v>480</v>
      </c>
      <c r="D24" s="215" t="s">
        <v>415</v>
      </c>
      <c r="E24" s="323">
        <v>45000</v>
      </c>
      <c r="F24" s="214"/>
    </row>
    <row r="25" spans="1:6" ht="18.75" customHeight="1">
      <c r="A25" s="29">
        <v>19</v>
      </c>
      <c r="B25" s="190" t="s">
        <v>275</v>
      </c>
      <c r="C25" s="293" t="s">
        <v>314</v>
      </c>
      <c r="D25" s="215" t="s">
        <v>164</v>
      </c>
      <c r="E25" s="323">
        <v>45000</v>
      </c>
      <c r="F25" s="214"/>
    </row>
    <row r="26" spans="1:6" ht="18.75" customHeight="1">
      <c r="A26" s="29">
        <v>20</v>
      </c>
      <c r="B26" s="21" t="s">
        <v>436</v>
      </c>
      <c r="C26" s="21" t="s">
        <v>17</v>
      </c>
      <c r="D26" s="29" t="s">
        <v>500</v>
      </c>
      <c r="E26" s="323">
        <v>45000</v>
      </c>
      <c r="F26" s="214"/>
    </row>
    <row r="27" spans="1:6" ht="18.75" customHeight="1">
      <c r="A27" s="29">
        <v>21</v>
      </c>
      <c r="B27" s="190" t="s">
        <v>254</v>
      </c>
      <c r="C27" s="293" t="s">
        <v>17</v>
      </c>
      <c r="D27" s="215" t="s">
        <v>500</v>
      </c>
      <c r="E27" s="323">
        <v>45000</v>
      </c>
      <c r="F27" s="214"/>
    </row>
    <row r="28" spans="1:6" ht="18.75" customHeight="1">
      <c r="A28" s="29">
        <v>22</v>
      </c>
      <c r="B28" s="189" t="s">
        <v>248</v>
      </c>
      <c r="C28" s="293" t="s">
        <v>482</v>
      </c>
      <c r="D28" s="215" t="s">
        <v>500</v>
      </c>
      <c r="E28" s="323">
        <v>45000</v>
      </c>
      <c r="F28" s="214"/>
    </row>
    <row r="29" spans="1:6" ht="18.75" customHeight="1">
      <c r="A29" s="29">
        <v>23</v>
      </c>
      <c r="B29" s="190" t="s">
        <v>288</v>
      </c>
      <c r="C29" s="293" t="s">
        <v>249</v>
      </c>
      <c r="D29" s="215" t="s">
        <v>267</v>
      </c>
      <c r="E29" s="323">
        <v>45000</v>
      </c>
      <c r="F29" s="214"/>
    </row>
    <row r="30" spans="1:6" ht="18.75" customHeight="1">
      <c r="A30" s="29">
        <v>24</v>
      </c>
      <c r="B30" s="190" t="s">
        <v>328</v>
      </c>
      <c r="C30" s="21" t="s">
        <v>329</v>
      </c>
      <c r="D30" s="29" t="s">
        <v>267</v>
      </c>
      <c r="E30" s="323">
        <v>45000</v>
      </c>
      <c r="F30" s="214"/>
    </row>
    <row r="31" spans="1:6" ht="18.75" customHeight="1">
      <c r="A31" s="29">
        <v>25</v>
      </c>
      <c r="B31" s="190" t="s">
        <v>360</v>
      </c>
      <c r="C31" s="156" t="s">
        <v>372</v>
      </c>
      <c r="D31" s="215" t="s">
        <v>500</v>
      </c>
      <c r="E31" s="323">
        <v>45000</v>
      </c>
      <c r="F31" s="214"/>
    </row>
    <row r="32" spans="1:6" ht="18.75" customHeight="1">
      <c r="A32" s="29">
        <v>26</v>
      </c>
      <c r="B32" s="190" t="s">
        <v>330</v>
      </c>
      <c r="C32" s="21" t="s">
        <v>535</v>
      </c>
      <c r="D32" s="29" t="s">
        <v>176</v>
      </c>
      <c r="E32" s="323">
        <v>45000</v>
      </c>
      <c r="F32" s="214"/>
    </row>
    <row r="33" spans="1:6" ht="18.75" customHeight="1">
      <c r="A33" s="29">
        <v>27</v>
      </c>
      <c r="B33" s="190" t="s">
        <v>274</v>
      </c>
      <c r="C33" s="293" t="s">
        <v>314</v>
      </c>
      <c r="D33" s="215" t="s">
        <v>176</v>
      </c>
      <c r="E33" s="323">
        <v>45000</v>
      </c>
      <c r="F33" s="214"/>
    </row>
    <row r="34" spans="1:6" ht="18.75" customHeight="1">
      <c r="A34" s="29">
        <v>28</v>
      </c>
      <c r="B34" s="190" t="s">
        <v>455</v>
      </c>
      <c r="C34" s="293" t="s">
        <v>314</v>
      </c>
      <c r="D34" s="215" t="s">
        <v>176</v>
      </c>
      <c r="E34" s="323">
        <v>45000</v>
      </c>
      <c r="F34" s="214"/>
    </row>
    <row r="35" spans="1:6" ht="18.75" customHeight="1">
      <c r="A35" s="29">
        <v>29</v>
      </c>
      <c r="B35" s="190" t="s">
        <v>537</v>
      </c>
      <c r="C35" s="293" t="s">
        <v>538</v>
      </c>
      <c r="D35" s="215" t="s">
        <v>105</v>
      </c>
      <c r="E35" s="323">
        <v>45000</v>
      </c>
      <c r="F35" s="214"/>
    </row>
    <row r="36" spans="1:6" ht="26.25" customHeight="1">
      <c r="A36" s="29"/>
      <c r="B36" s="192" t="s">
        <v>15</v>
      </c>
      <c r="C36" s="30">
        <v>29</v>
      </c>
      <c r="D36" s="215"/>
      <c r="E36" s="324">
        <f>SUM(E7:E35)</f>
        <v>2745000</v>
      </c>
      <c r="F36" s="214"/>
    </row>
    <row r="37" spans="1:6" ht="18.75" customHeight="1">
      <c r="A37" s="29"/>
      <c r="B37" s="142"/>
      <c r="C37" s="21"/>
      <c r="D37" s="215"/>
      <c r="E37" s="325"/>
      <c r="F37" s="214"/>
    </row>
    <row r="38" spans="1:6" ht="18.75" customHeight="1">
      <c r="A38" s="29"/>
      <c r="B38" s="192" t="s">
        <v>284</v>
      </c>
      <c r="C38" s="21"/>
      <c r="D38" s="215"/>
      <c r="E38" s="323"/>
      <c r="F38" s="214"/>
    </row>
    <row r="39" spans="1:6" ht="18.75" customHeight="1">
      <c r="A39" s="29">
        <v>1</v>
      </c>
      <c r="B39" s="190" t="s">
        <v>361</v>
      </c>
      <c r="C39" s="21" t="s">
        <v>362</v>
      </c>
      <c r="D39" s="29" t="s">
        <v>161</v>
      </c>
      <c r="E39" s="323">
        <v>225000</v>
      </c>
      <c r="F39" s="214"/>
    </row>
    <row r="40" spans="1:6" ht="18.75" customHeight="1">
      <c r="A40" s="29">
        <v>2</v>
      </c>
      <c r="B40" s="190" t="s">
        <v>419</v>
      </c>
      <c r="C40" s="21" t="s">
        <v>427</v>
      </c>
      <c r="D40" s="29" t="s">
        <v>105</v>
      </c>
      <c r="E40" s="323">
        <v>45000</v>
      </c>
      <c r="F40" s="214"/>
    </row>
    <row r="41" spans="1:6" ht="19.5" customHeight="1">
      <c r="A41" s="29"/>
      <c r="B41" s="191"/>
      <c r="C41" s="30">
        <v>2</v>
      </c>
      <c r="D41" s="29"/>
      <c r="E41" s="324">
        <f>SUM(E39:E40)</f>
        <v>270000</v>
      </c>
      <c r="F41" s="214"/>
    </row>
    <row r="42" spans="1:6" ht="20.100000000000001" customHeight="1">
      <c r="A42" s="29"/>
      <c r="B42" s="191"/>
      <c r="C42" s="21"/>
      <c r="D42" s="29"/>
      <c r="E42" s="323"/>
      <c r="F42" s="214"/>
    </row>
    <row r="43" spans="1:6" ht="20.100000000000001" customHeight="1">
      <c r="A43" s="29"/>
      <c r="B43" s="219" t="s">
        <v>56</v>
      </c>
      <c r="C43" s="204"/>
      <c r="D43" s="208"/>
      <c r="E43" s="323"/>
      <c r="F43" s="214"/>
    </row>
    <row r="44" spans="1:6" ht="20.100000000000001" customHeight="1">
      <c r="A44" s="29">
        <v>1</v>
      </c>
      <c r="B44" s="189" t="s">
        <v>255</v>
      </c>
      <c r="C44" s="21" t="s">
        <v>256</v>
      </c>
      <c r="D44" s="29" t="s">
        <v>161</v>
      </c>
      <c r="E44" s="323">
        <v>225000</v>
      </c>
      <c r="F44" s="214"/>
    </row>
    <row r="45" spans="1:6" ht="20.100000000000001" customHeight="1">
      <c r="A45" s="29">
        <v>2</v>
      </c>
      <c r="B45" s="189" t="s">
        <v>158</v>
      </c>
      <c r="C45" s="21" t="s">
        <v>199</v>
      </c>
      <c r="D45" s="29" t="s">
        <v>75</v>
      </c>
      <c r="E45" s="323">
        <v>105000</v>
      </c>
      <c r="F45" s="214"/>
    </row>
    <row r="46" spans="1:6" ht="20.100000000000001" customHeight="1">
      <c r="A46" s="29">
        <v>3</v>
      </c>
      <c r="B46" s="189" t="s">
        <v>165</v>
      </c>
      <c r="C46" s="21" t="s">
        <v>258</v>
      </c>
      <c r="D46" s="29" t="s">
        <v>75</v>
      </c>
      <c r="E46" s="323">
        <v>105000</v>
      </c>
      <c r="F46" s="214"/>
    </row>
    <row r="47" spans="1:6" ht="20.100000000000001" customHeight="1">
      <c r="A47" s="29">
        <v>4</v>
      </c>
      <c r="B47" s="189" t="s">
        <v>159</v>
      </c>
      <c r="C47" s="21" t="s">
        <v>258</v>
      </c>
      <c r="D47" s="29" t="s">
        <v>75</v>
      </c>
      <c r="E47" s="323">
        <v>105000</v>
      </c>
      <c r="F47" s="214"/>
    </row>
    <row r="48" spans="1:6" ht="20.100000000000001" customHeight="1">
      <c r="A48" s="29">
        <v>5</v>
      </c>
      <c r="B48" s="189" t="s">
        <v>118</v>
      </c>
      <c r="C48" s="21" t="s">
        <v>258</v>
      </c>
      <c r="D48" s="29" t="s">
        <v>148</v>
      </c>
      <c r="E48" s="323">
        <v>105000</v>
      </c>
      <c r="F48" s="214"/>
    </row>
    <row r="49" spans="1:6" ht="20.100000000000001" customHeight="1">
      <c r="A49" s="29">
        <v>6</v>
      </c>
      <c r="B49" s="189" t="s">
        <v>205</v>
      </c>
      <c r="C49" s="21" t="s">
        <v>78</v>
      </c>
      <c r="D49" s="29" t="s">
        <v>181</v>
      </c>
      <c r="E49" s="323">
        <v>75000</v>
      </c>
      <c r="F49" s="214"/>
    </row>
    <row r="50" spans="1:6" ht="20.100000000000001" customHeight="1">
      <c r="A50" s="29">
        <v>7</v>
      </c>
      <c r="B50" s="191" t="s">
        <v>173</v>
      </c>
      <c r="C50" s="21" t="s">
        <v>297</v>
      </c>
      <c r="D50" s="25" t="s">
        <v>181</v>
      </c>
      <c r="E50" s="323">
        <v>75000</v>
      </c>
      <c r="F50" s="214"/>
    </row>
    <row r="51" spans="1:6" ht="20.100000000000001" customHeight="1">
      <c r="A51" s="29">
        <v>8</v>
      </c>
      <c r="B51" s="189" t="s">
        <v>116</v>
      </c>
      <c r="C51" s="21" t="s">
        <v>297</v>
      </c>
      <c r="D51" s="29" t="s">
        <v>162</v>
      </c>
      <c r="E51" s="323">
        <v>75000</v>
      </c>
      <c r="F51" s="214"/>
    </row>
    <row r="52" spans="1:6" ht="20.100000000000001" customHeight="1">
      <c r="A52" s="29">
        <v>9</v>
      </c>
      <c r="B52" s="189" t="s">
        <v>184</v>
      </c>
      <c r="C52" s="21" t="s">
        <v>80</v>
      </c>
      <c r="D52" s="29" t="s">
        <v>170</v>
      </c>
      <c r="E52" s="323">
        <v>75000</v>
      </c>
      <c r="F52" s="214"/>
    </row>
    <row r="53" spans="1:6" ht="20.100000000000001" customHeight="1">
      <c r="A53" s="29">
        <v>10</v>
      </c>
      <c r="B53" s="189" t="s">
        <v>420</v>
      </c>
      <c r="C53" s="21" t="s">
        <v>84</v>
      </c>
      <c r="D53" s="29" t="s">
        <v>428</v>
      </c>
      <c r="E53" s="323">
        <v>45000</v>
      </c>
      <c r="F53" s="214"/>
    </row>
    <row r="54" spans="1:6" ht="20.100000000000001" customHeight="1">
      <c r="A54" s="29">
        <v>11</v>
      </c>
      <c r="B54" s="189" t="s">
        <v>437</v>
      </c>
      <c r="C54" s="21" t="s">
        <v>84</v>
      </c>
      <c r="D54" s="29" t="s">
        <v>428</v>
      </c>
      <c r="E54" s="323">
        <v>45000</v>
      </c>
      <c r="F54" s="214"/>
    </row>
    <row r="55" spans="1:6" ht="20.100000000000001" customHeight="1">
      <c r="A55" s="29">
        <v>12</v>
      </c>
      <c r="B55" s="189" t="s">
        <v>454</v>
      </c>
      <c r="C55" s="21" t="s">
        <v>84</v>
      </c>
      <c r="D55" s="29" t="s">
        <v>428</v>
      </c>
      <c r="E55" s="323">
        <v>45000</v>
      </c>
      <c r="F55" s="214"/>
    </row>
    <row r="56" spans="1:6" ht="25.5" customHeight="1">
      <c r="A56" s="29"/>
      <c r="B56" s="192" t="s">
        <v>15</v>
      </c>
      <c r="C56" s="30">
        <v>12</v>
      </c>
      <c r="D56" s="30"/>
      <c r="E56" s="326">
        <f>SUM(E44:E55)</f>
        <v>1080000</v>
      </c>
      <c r="F56" s="214"/>
    </row>
    <row r="57" spans="1:6" ht="20.100000000000001" customHeight="1">
      <c r="A57" s="29"/>
      <c r="B57" s="142"/>
      <c r="C57" s="30"/>
      <c r="D57" s="30"/>
      <c r="E57" s="327"/>
      <c r="F57" s="214"/>
    </row>
    <row r="58" spans="1:6" ht="20.100000000000001" customHeight="1">
      <c r="A58" s="29"/>
      <c r="B58" s="192" t="s">
        <v>195</v>
      </c>
      <c r="C58" s="30"/>
      <c r="D58" s="30"/>
      <c r="E58" s="327"/>
      <c r="F58" s="214"/>
    </row>
    <row r="59" spans="1:6" ht="20.100000000000001" customHeight="1">
      <c r="A59" s="29">
        <v>1</v>
      </c>
      <c r="B59" s="189" t="s">
        <v>11</v>
      </c>
      <c r="C59" s="293" t="s">
        <v>200</v>
      </c>
      <c r="D59" s="215" t="s">
        <v>161</v>
      </c>
      <c r="E59" s="323">
        <v>225000</v>
      </c>
      <c r="F59" s="214"/>
    </row>
    <row r="60" spans="1:6" ht="20.100000000000001" customHeight="1">
      <c r="A60" s="29">
        <v>2</v>
      </c>
      <c r="B60" s="189" t="s">
        <v>276</v>
      </c>
      <c r="C60" s="293" t="s">
        <v>340</v>
      </c>
      <c r="D60" s="215" t="s">
        <v>412</v>
      </c>
      <c r="E60" s="323">
        <v>105000</v>
      </c>
      <c r="F60" s="214"/>
    </row>
    <row r="61" spans="1:6" ht="20.100000000000001" customHeight="1">
      <c r="A61" s="29"/>
      <c r="B61" s="192" t="s">
        <v>15</v>
      </c>
      <c r="C61" s="30">
        <v>2</v>
      </c>
      <c r="D61" s="30"/>
      <c r="E61" s="326">
        <f>SUM(E59:E60)</f>
        <v>330000</v>
      </c>
      <c r="F61" s="214"/>
    </row>
    <row r="62" spans="1:6" ht="20.100000000000001" customHeight="1">
      <c r="A62" s="29"/>
      <c r="B62" s="192"/>
      <c r="C62" s="30"/>
      <c r="D62" s="30"/>
      <c r="E62" s="327"/>
      <c r="F62" s="214"/>
    </row>
    <row r="63" spans="1:6" ht="20.100000000000001" customHeight="1">
      <c r="A63" s="29"/>
      <c r="B63" s="192" t="s">
        <v>463</v>
      </c>
      <c r="C63" s="30"/>
      <c r="D63" s="30"/>
      <c r="E63" s="327"/>
      <c r="F63" s="214"/>
    </row>
    <row r="64" spans="1:6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328">
        <v>225000</v>
      </c>
      <c r="F64" s="214"/>
    </row>
    <row r="65" spans="1:6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323">
        <v>105000</v>
      </c>
      <c r="F65" s="214"/>
    </row>
    <row r="66" spans="1:6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328">
        <v>75000</v>
      </c>
      <c r="F66" s="214"/>
    </row>
    <row r="67" spans="1:6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328">
        <v>75000</v>
      </c>
      <c r="F67" s="214"/>
    </row>
    <row r="68" spans="1:6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328">
        <v>75000</v>
      </c>
      <c r="F68" s="214"/>
    </row>
    <row r="69" spans="1:6" ht="20.100000000000001" customHeight="1">
      <c r="A69" s="29">
        <v>6</v>
      </c>
      <c r="B69" s="191" t="s">
        <v>536</v>
      </c>
      <c r="C69" s="156" t="s">
        <v>297</v>
      </c>
      <c r="D69" s="215" t="s">
        <v>162</v>
      </c>
      <c r="E69" s="328">
        <v>75000</v>
      </c>
      <c r="F69" s="214"/>
    </row>
    <row r="70" spans="1:6" ht="20.100000000000001" customHeight="1">
      <c r="A70" s="29">
        <v>7</v>
      </c>
      <c r="B70" s="189" t="s">
        <v>117</v>
      </c>
      <c r="C70" s="21" t="s">
        <v>84</v>
      </c>
      <c r="D70" s="29" t="s">
        <v>369</v>
      </c>
      <c r="E70" s="323">
        <v>45000</v>
      </c>
      <c r="F70" s="214"/>
    </row>
    <row r="71" spans="1:6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323">
        <v>45000</v>
      </c>
      <c r="F71" s="214"/>
    </row>
    <row r="72" spans="1:6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323">
        <v>45000</v>
      </c>
      <c r="F72" s="214"/>
    </row>
    <row r="73" spans="1:6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323">
        <v>45000</v>
      </c>
      <c r="F73" s="214"/>
    </row>
    <row r="74" spans="1:6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323">
        <v>45000</v>
      </c>
      <c r="F74" s="214"/>
    </row>
    <row r="75" spans="1:6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323">
        <v>45000</v>
      </c>
      <c r="F75" s="214"/>
    </row>
    <row r="76" spans="1:6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323">
        <v>45000</v>
      </c>
      <c r="F76" s="214"/>
    </row>
    <row r="77" spans="1:6" ht="20.100000000000001" customHeight="1">
      <c r="A77" s="29"/>
      <c r="B77" s="192" t="s">
        <v>15</v>
      </c>
      <c r="C77" s="30">
        <v>13</v>
      </c>
      <c r="D77" s="30"/>
      <c r="E77" s="326">
        <f>SUM(E64:E76)</f>
        <v>945000</v>
      </c>
      <c r="F77" s="214"/>
    </row>
    <row r="78" spans="1:6" ht="20.100000000000001" customHeight="1">
      <c r="A78" s="29"/>
      <c r="B78" s="142"/>
      <c r="C78" s="30"/>
      <c r="D78" s="30"/>
      <c r="E78" s="327"/>
      <c r="F78" s="214"/>
    </row>
    <row r="79" spans="1:6" ht="20.100000000000001" customHeight="1">
      <c r="A79" s="29"/>
      <c r="B79" s="192" t="s">
        <v>464</v>
      </c>
      <c r="C79" s="30"/>
      <c r="D79" s="30"/>
      <c r="E79" s="327"/>
      <c r="F79" s="214"/>
    </row>
    <row r="80" spans="1:6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323">
        <v>225000</v>
      </c>
      <c r="F80" s="214"/>
    </row>
    <row r="81" spans="1:6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323">
        <v>105000</v>
      </c>
      <c r="F81" s="214"/>
    </row>
    <row r="82" spans="1:6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323">
        <v>105000</v>
      </c>
      <c r="F82" s="214"/>
    </row>
    <row r="83" spans="1:6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323">
        <v>75000</v>
      </c>
      <c r="F83" s="214"/>
    </row>
    <row r="84" spans="1:6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323">
        <v>45000</v>
      </c>
      <c r="F84" s="214"/>
    </row>
    <row r="85" spans="1:6" ht="20.100000000000001" customHeight="1">
      <c r="A85" s="29"/>
      <c r="B85" s="192" t="s">
        <v>15</v>
      </c>
      <c r="C85" s="30">
        <v>5</v>
      </c>
      <c r="D85" s="30"/>
      <c r="E85" s="326">
        <f>SUM(E80:E84)</f>
        <v>555000</v>
      </c>
      <c r="F85" s="214"/>
    </row>
    <row r="86" spans="1:6" ht="20.100000000000001" customHeight="1">
      <c r="A86" s="29"/>
      <c r="B86" s="192"/>
      <c r="C86" s="30"/>
      <c r="D86" s="30"/>
      <c r="E86" s="323"/>
      <c r="F86" s="214"/>
    </row>
    <row r="87" spans="1:6" ht="20.100000000000001" customHeight="1">
      <c r="A87" s="29"/>
      <c r="B87" s="192" t="s">
        <v>465</v>
      </c>
      <c r="C87" s="220"/>
      <c r="D87" s="30"/>
      <c r="E87" s="323"/>
      <c r="F87" s="214"/>
    </row>
    <row r="88" spans="1:6" ht="20.100000000000001" customHeight="1">
      <c r="A88" s="29">
        <v>1</v>
      </c>
      <c r="B88" s="189" t="s">
        <v>169</v>
      </c>
      <c r="C88" s="21" t="s">
        <v>258</v>
      </c>
      <c r="D88" s="29" t="s">
        <v>75</v>
      </c>
      <c r="E88" s="323">
        <v>105000</v>
      </c>
      <c r="F88" s="214"/>
    </row>
    <row r="89" spans="1:6" ht="20.100000000000001" customHeight="1">
      <c r="A89" s="29">
        <v>2</v>
      </c>
      <c r="B89" s="189" t="s">
        <v>192</v>
      </c>
      <c r="C89" s="21" t="s">
        <v>258</v>
      </c>
      <c r="D89" s="29" t="s">
        <v>75</v>
      </c>
      <c r="E89" s="323">
        <v>105000</v>
      </c>
      <c r="F89" s="214"/>
    </row>
    <row r="90" spans="1:6" ht="20.100000000000001" customHeight="1">
      <c r="A90" s="29">
        <v>3</v>
      </c>
      <c r="B90" s="191" t="s">
        <v>138</v>
      </c>
      <c r="C90" s="21" t="s">
        <v>297</v>
      </c>
      <c r="D90" s="29" t="s">
        <v>174</v>
      </c>
      <c r="E90" s="328">
        <v>75000</v>
      </c>
      <c r="F90" s="214"/>
    </row>
    <row r="91" spans="1:6" ht="20.100000000000001" customHeight="1">
      <c r="A91" s="29">
        <v>4</v>
      </c>
      <c r="B91" s="189" t="s">
        <v>202</v>
      </c>
      <c r="C91" s="21" t="s">
        <v>78</v>
      </c>
      <c r="D91" s="29" t="s">
        <v>181</v>
      </c>
      <c r="E91" s="328">
        <v>75000</v>
      </c>
      <c r="F91" s="214"/>
    </row>
    <row r="92" spans="1:6" ht="21.6" customHeight="1">
      <c r="A92" s="29">
        <v>5</v>
      </c>
      <c r="B92" s="189" t="s">
        <v>101</v>
      </c>
      <c r="C92" s="21" t="s">
        <v>80</v>
      </c>
      <c r="D92" s="215" t="s">
        <v>170</v>
      </c>
      <c r="E92" s="328">
        <v>75000</v>
      </c>
      <c r="F92" s="214"/>
    </row>
    <row r="93" spans="1:6" ht="21.6" customHeight="1">
      <c r="A93" s="29">
        <v>6</v>
      </c>
      <c r="B93" s="189" t="s">
        <v>336</v>
      </c>
      <c r="C93" s="293" t="s">
        <v>257</v>
      </c>
      <c r="D93" s="215" t="s">
        <v>163</v>
      </c>
      <c r="E93" s="328">
        <v>75000</v>
      </c>
      <c r="F93" s="214"/>
    </row>
    <row r="94" spans="1:6" ht="21.6" customHeight="1">
      <c r="A94" s="29">
        <v>7</v>
      </c>
      <c r="B94" s="189" t="s">
        <v>337</v>
      </c>
      <c r="C94" s="293" t="s">
        <v>257</v>
      </c>
      <c r="D94" s="215" t="s">
        <v>163</v>
      </c>
      <c r="E94" s="328">
        <v>75000</v>
      </c>
      <c r="F94" s="214"/>
    </row>
    <row r="95" spans="1:6" ht="21.6" customHeight="1">
      <c r="A95" s="29">
        <v>8</v>
      </c>
      <c r="B95" s="189" t="s">
        <v>421</v>
      </c>
      <c r="C95" s="156" t="s">
        <v>422</v>
      </c>
      <c r="D95" s="215" t="s">
        <v>369</v>
      </c>
      <c r="E95" s="323">
        <v>45000</v>
      </c>
      <c r="F95" s="214"/>
    </row>
    <row r="96" spans="1:6" ht="21.6" customHeight="1">
      <c r="A96" s="29">
        <v>9</v>
      </c>
      <c r="B96" s="189" t="s">
        <v>438</v>
      </c>
      <c r="C96" s="21" t="s">
        <v>472</v>
      </c>
      <c r="D96" s="29" t="s">
        <v>104</v>
      </c>
      <c r="E96" s="323">
        <v>45000</v>
      </c>
      <c r="F96" s="214"/>
    </row>
    <row r="97" spans="1:6" ht="21.6" customHeight="1">
      <c r="A97" s="29">
        <v>10</v>
      </c>
      <c r="B97" s="189" t="s">
        <v>406</v>
      </c>
      <c r="C97" s="156" t="s">
        <v>434</v>
      </c>
      <c r="D97" s="215" t="s">
        <v>176</v>
      </c>
      <c r="E97" s="323">
        <v>45000</v>
      </c>
      <c r="F97" s="214"/>
    </row>
    <row r="98" spans="1:6" ht="20.100000000000001" customHeight="1">
      <c r="A98" s="29"/>
      <c r="B98" s="192" t="s">
        <v>15</v>
      </c>
      <c r="C98" s="30">
        <v>10</v>
      </c>
      <c r="D98" s="30"/>
      <c r="E98" s="326">
        <f>SUM(E88:E97)</f>
        <v>720000</v>
      </c>
      <c r="F98" s="214"/>
    </row>
    <row r="99" spans="1:6" ht="20.100000000000001" customHeight="1">
      <c r="A99" s="29"/>
      <c r="B99" s="142"/>
      <c r="C99" s="30"/>
      <c r="D99" s="30"/>
      <c r="E99" s="327"/>
      <c r="F99" s="214"/>
    </row>
    <row r="100" spans="1:6" ht="20.100000000000001" customHeight="1">
      <c r="A100" s="29"/>
      <c r="B100" s="192" t="s">
        <v>466</v>
      </c>
      <c r="C100" s="30"/>
      <c r="D100" s="30"/>
      <c r="E100" s="327"/>
      <c r="F100" s="214"/>
    </row>
    <row r="101" spans="1:6" ht="20.100000000000001" customHeight="1">
      <c r="A101" s="29">
        <v>1</v>
      </c>
      <c r="B101" s="190" t="s">
        <v>364</v>
      </c>
      <c r="C101" s="29" t="s">
        <v>343</v>
      </c>
      <c r="D101" s="215" t="s">
        <v>221</v>
      </c>
      <c r="E101" s="323">
        <v>150000</v>
      </c>
      <c r="F101" s="214"/>
    </row>
    <row r="102" spans="1:6" ht="20.100000000000001" customHeight="1">
      <c r="A102" s="29">
        <v>2</v>
      </c>
      <c r="B102" s="189" t="s">
        <v>185</v>
      </c>
      <c r="C102" s="21" t="s">
        <v>373</v>
      </c>
      <c r="D102" s="29" t="s">
        <v>181</v>
      </c>
      <c r="E102" s="323">
        <v>75000</v>
      </c>
      <c r="F102" s="214"/>
    </row>
    <row r="103" spans="1:6" ht="20.100000000000001" customHeight="1">
      <c r="A103" s="29">
        <v>3</v>
      </c>
      <c r="B103" s="189" t="s">
        <v>237</v>
      </c>
      <c r="C103" s="21" t="s">
        <v>485</v>
      </c>
      <c r="D103" s="215" t="s">
        <v>415</v>
      </c>
      <c r="E103" s="323">
        <v>45000</v>
      </c>
      <c r="F103" s="214"/>
    </row>
    <row r="104" spans="1:6" ht="20.100000000000001" customHeight="1">
      <c r="A104" s="29">
        <v>4</v>
      </c>
      <c r="B104" s="189" t="s">
        <v>540</v>
      </c>
      <c r="C104" s="21" t="s">
        <v>541</v>
      </c>
      <c r="D104" s="215" t="s">
        <v>267</v>
      </c>
      <c r="E104" s="323">
        <v>45000</v>
      </c>
      <c r="F104" s="214"/>
    </row>
    <row r="105" spans="1:6" ht="20.100000000000001" customHeight="1">
      <c r="A105" s="21"/>
      <c r="B105" s="192" t="s">
        <v>15</v>
      </c>
      <c r="C105" s="30">
        <v>3</v>
      </c>
      <c r="D105" s="221"/>
      <c r="E105" s="326">
        <f>SUM(E101:E104)</f>
        <v>315000</v>
      </c>
      <c r="F105" s="214"/>
    </row>
    <row r="106" spans="1:6" ht="20.100000000000001" customHeight="1">
      <c r="A106" s="21"/>
      <c r="B106" s="142"/>
      <c r="C106" s="30"/>
      <c r="D106" s="221"/>
      <c r="E106" s="327"/>
      <c r="F106" s="214"/>
    </row>
    <row r="107" spans="1:6" ht="20.100000000000001" customHeight="1">
      <c r="A107" s="21"/>
      <c r="B107" s="192" t="s">
        <v>467</v>
      </c>
      <c r="C107" s="21"/>
      <c r="D107" s="21"/>
      <c r="E107" s="329"/>
      <c r="F107" s="214"/>
    </row>
    <row r="108" spans="1:6" ht="20.100000000000001" customHeight="1">
      <c r="A108" s="21">
        <v>1</v>
      </c>
      <c r="B108" s="189" t="s">
        <v>216</v>
      </c>
      <c r="C108" s="293" t="s">
        <v>217</v>
      </c>
      <c r="D108" s="215" t="s">
        <v>161</v>
      </c>
      <c r="E108" s="323">
        <v>225000</v>
      </c>
      <c r="F108" s="214"/>
    </row>
    <row r="109" spans="1:6" ht="20.100000000000001" customHeight="1">
      <c r="A109" s="21">
        <v>2</v>
      </c>
      <c r="B109" s="189" t="s">
        <v>110</v>
      </c>
      <c r="C109" s="21" t="s">
        <v>259</v>
      </c>
      <c r="D109" s="25" t="s">
        <v>221</v>
      </c>
      <c r="E109" s="323">
        <v>150000</v>
      </c>
      <c r="F109" s="214"/>
    </row>
    <row r="110" spans="1:6" ht="20.100000000000001" customHeight="1">
      <c r="A110" s="21">
        <v>3</v>
      </c>
      <c r="B110" s="189" t="s">
        <v>109</v>
      </c>
      <c r="C110" s="21" t="s">
        <v>311</v>
      </c>
      <c r="D110" s="29" t="s">
        <v>175</v>
      </c>
      <c r="E110" s="323">
        <v>75000</v>
      </c>
      <c r="F110" s="214"/>
    </row>
    <row r="111" spans="1:6" ht="20.100000000000001" customHeight="1">
      <c r="A111" s="21">
        <v>4</v>
      </c>
      <c r="B111" s="189" t="s">
        <v>135</v>
      </c>
      <c r="C111" s="21" t="s">
        <v>311</v>
      </c>
      <c r="D111" s="29" t="s">
        <v>175</v>
      </c>
      <c r="E111" s="323">
        <v>75000</v>
      </c>
      <c r="F111" s="214"/>
    </row>
    <row r="112" spans="1:6" ht="20.100000000000001" customHeight="1">
      <c r="A112" s="21">
        <v>5</v>
      </c>
      <c r="B112" s="189" t="s">
        <v>240</v>
      </c>
      <c r="C112" s="21" t="s">
        <v>338</v>
      </c>
      <c r="D112" s="215" t="s">
        <v>501</v>
      </c>
      <c r="E112" s="323">
        <v>45000</v>
      </c>
      <c r="F112" s="214"/>
    </row>
    <row r="113" spans="1:6" ht="20.100000000000001" customHeight="1">
      <c r="A113" s="21">
        <v>6</v>
      </c>
      <c r="B113" s="190" t="s">
        <v>341</v>
      </c>
      <c r="C113" s="21" t="s">
        <v>338</v>
      </c>
      <c r="D113" s="29" t="s">
        <v>267</v>
      </c>
      <c r="E113" s="323">
        <v>45000</v>
      </c>
      <c r="F113" s="214"/>
    </row>
    <row r="114" spans="1:6" ht="20.100000000000001" customHeight="1">
      <c r="A114" s="21">
        <v>7</v>
      </c>
      <c r="B114" s="190" t="s">
        <v>374</v>
      </c>
      <c r="C114" s="21" t="s">
        <v>338</v>
      </c>
      <c r="D114" s="215" t="s">
        <v>176</v>
      </c>
      <c r="E114" s="323">
        <v>45000</v>
      </c>
      <c r="F114" s="214"/>
    </row>
    <row r="115" spans="1:6" ht="20.100000000000001" customHeight="1">
      <c r="A115" s="21"/>
      <c r="B115" s="192" t="s">
        <v>15</v>
      </c>
      <c r="C115" s="30">
        <v>7</v>
      </c>
      <c r="D115" s="21"/>
      <c r="E115" s="330">
        <f>SUM(E108:E114)</f>
        <v>660000</v>
      </c>
      <c r="F115" s="214"/>
    </row>
    <row r="116" spans="1:6" ht="20.100000000000001" customHeight="1">
      <c r="A116" s="21"/>
      <c r="B116" s="192"/>
      <c r="C116" s="30"/>
      <c r="D116" s="21"/>
      <c r="E116" s="330"/>
      <c r="F116" s="214"/>
    </row>
    <row r="117" spans="1:6" ht="48.75" customHeight="1">
      <c r="A117" s="29"/>
      <c r="B117" s="192" t="s">
        <v>562</v>
      </c>
      <c r="C117" s="30"/>
      <c r="D117" s="30"/>
      <c r="E117" s="330"/>
      <c r="F117" s="214"/>
    </row>
    <row r="118" spans="1:6" ht="27" customHeight="1">
      <c r="A118" s="29">
        <v>1</v>
      </c>
      <c r="B118" s="189" t="s">
        <v>182</v>
      </c>
      <c r="C118" s="156" t="s">
        <v>422</v>
      </c>
      <c r="D118" s="215" t="s">
        <v>499</v>
      </c>
      <c r="E118" s="323">
        <v>45000</v>
      </c>
      <c r="F118" s="214"/>
    </row>
    <row r="119" spans="1:6" ht="27" customHeight="1">
      <c r="A119" s="29">
        <v>2</v>
      </c>
      <c r="B119" s="189" t="s">
        <v>247</v>
      </c>
      <c r="C119" s="21" t="s">
        <v>479</v>
      </c>
      <c r="D119" s="215" t="s">
        <v>415</v>
      </c>
      <c r="E119" s="323">
        <v>45000</v>
      </c>
      <c r="F119" s="214"/>
    </row>
    <row r="120" spans="1:6" ht="27" customHeight="1">
      <c r="A120" s="21"/>
      <c r="B120" s="192" t="s">
        <v>15</v>
      </c>
      <c r="C120" s="30">
        <v>2</v>
      </c>
      <c r="D120" s="221"/>
      <c r="E120" s="330">
        <f>SUM(E118:E119)</f>
        <v>90000</v>
      </c>
      <c r="F120" s="214"/>
    </row>
    <row r="121" spans="1:6" ht="20.100000000000001" customHeight="1">
      <c r="A121" s="21"/>
      <c r="B121" s="142"/>
      <c r="C121" s="29"/>
      <c r="D121" s="21"/>
      <c r="E121" s="331"/>
      <c r="F121" s="214"/>
    </row>
    <row r="122" spans="1:6" ht="20.100000000000001" customHeight="1">
      <c r="A122" s="21"/>
      <c r="B122" s="192" t="s">
        <v>468</v>
      </c>
      <c r="C122" s="30"/>
      <c r="D122" s="30"/>
      <c r="E122" s="323"/>
      <c r="F122" s="214"/>
    </row>
    <row r="123" spans="1:6" ht="20.100000000000001" customHeight="1">
      <c r="A123" s="21">
        <v>1</v>
      </c>
      <c r="B123" s="189" t="s">
        <v>20</v>
      </c>
      <c r="C123" s="293" t="s">
        <v>250</v>
      </c>
      <c r="D123" s="215" t="s">
        <v>161</v>
      </c>
      <c r="E123" s="323">
        <v>225000</v>
      </c>
      <c r="F123" s="214"/>
    </row>
    <row r="124" spans="1:6" ht="20.100000000000001" customHeight="1">
      <c r="A124" s="21">
        <v>2</v>
      </c>
      <c r="B124" s="189" t="s">
        <v>153</v>
      </c>
      <c r="C124" s="293" t="s">
        <v>376</v>
      </c>
      <c r="D124" s="215" t="s">
        <v>75</v>
      </c>
      <c r="E124" s="323">
        <v>105000</v>
      </c>
      <c r="F124" s="214"/>
    </row>
    <row r="125" spans="1:6" ht="20.100000000000001" customHeight="1">
      <c r="A125" s="21">
        <v>3</v>
      </c>
      <c r="B125" s="191" t="s">
        <v>142</v>
      </c>
      <c r="C125" s="293" t="s">
        <v>376</v>
      </c>
      <c r="D125" s="215" t="s">
        <v>75</v>
      </c>
      <c r="E125" s="323">
        <v>105000</v>
      </c>
      <c r="F125" s="214"/>
    </row>
    <row r="126" spans="1:6" ht="20.100000000000001" customHeight="1">
      <c r="A126" s="21">
        <v>4</v>
      </c>
      <c r="B126" s="191" t="s">
        <v>363</v>
      </c>
      <c r="C126" s="293" t="s">
        <v>376</v>
      </c>
      <c r="D126" s="215" t="s">
        <v>30</v>
      </c>
      <c r="E126" s="323">
        <v>105000</v>
      </c>
      <c r="F126" s="214"/>
    </row>
    <row r="127" spans="1:6" ht="20.100000000000001" customHeight="1">
      <c r="A127" s="21">
        <v>5</v>
      </c>
      <c r="B127" s="189" t="s">
        <v>108</v>
      </c>
      <c r="C127" s="293" t="s">
        <v>478</v>
      </c>
      <c r="D127" s="215" t="s">
        <v>162</v>
      </c>
      <c r="E127" s="323">
        <v>75000</v>
      </c>
      <c r="F127" s="214"/>
    </row>
    <row r="128" spans="1:6" ht="20.100000000000001" customHeight="1">
      <c r="A128" s="21">
        <v>6</v>
      </c>
      <c r="B128" s="189" t="s">
        <v>178</v>
      </c>
      <c r="C128" s="293" t="s">
        <v>382</v>
      </c>
      <c r="D128" s="215" t="s">
        <v>170</v>
      </c>
      <c r="E128" s="323">
        <v>75000</v>
      </c>
      <c r="F128" s="214"/>
    </row>
    <row r="129" spans="1:6" ht="20.100000000000001" customHeight="1">
      <c r="A129" s="21">
        <v>7</v>
      </c>
      <c r="B129" s="189" t="s">
        <v>134</v>
      </c>
      <c r="C129" s="293" t="s">
        <v>384</v>
      </c>
      <c r="D129" s="215" t="s">
        <v>170</v>
      </c>
      <c r="E129" s="323">
        <v>75000</v>
      </c>
      <c r="F129" s="214"/>
    </row>
    <row r="130" spans="1:6" ht="20.100000000000001" customHeight="1">
      <c r="A130" s="21">
        <v>8</v>
      </c>
      <c r="B130" s="189" t="s">
        <v>445</v>
      </c>
      <c r="C130" s="293" t="s">
        <v>449</v>
      </c>
      <c r="D130" s="29" t="s">
        <v>500</v>
      </c>
      <c r="E130" s="323">
        <v>45000</v>
      </c>
      <c r="F130" s="214"/>
    </row>
    <row r="131" spans="1:6" ht="20.100000000000001" customHeight="1">
      <c r="A131" s="21">
        <v>9</v>
      </c>
      <c r="B131" s="190" t="s">
        <v>441</v>
      </c>
      <c r="C131" s="293" t="s">
        <v>442</v>
      </c>
      <c r="D131" s="215" t="s">
        <v>176</v>
      </c>
      <c r="E131" s="323">
        <v>45000</v>
      </c>
      <c r="F131" s="214"/>
    </row>
    <row r="132" spans="1:6" ht="20.100000000000001" customHeight="1">
      <c r="A132" s="21"/>
      <c r="B132" s="192" t="s">
        <v>15</v>
      </c>
      <c r="C132" s="221" t="s">
        <v>377</v>
      </c>
      <c r="D132" s="215"/>
      <c r="E132" s="332">
        <f>SUM(E123:E131)</f>
        <v>855000</v>
      </c>
      <c r="F132" s="214"/>
    </row>
    <row r="133" spans="1:6" ht="20.100000000000001" customHeight="1">
      <c r="A133" s="21"/>
      <c r="B133" s="142"/>
      <c r="C133" s="221"/>
      <c r="D133" s="215"/>
      <c r="E133" s="333"/>
      <c r="F133" s="214"/>
    </row>
    <row r="134" spans="1:6" ht="20.100000000000001" customHeight="1">
      <c r="A134" s="21"/>
      <c r="B134" s="192" t="s">
        <v>469</v>
      </c>
      <c r="C134" s="293"/>
      <c r="D134" s="215"/>
      <c r="E134" s="323"/>
      <c r="F134" s="214"/>
    </row>
    <row r="135" spans="1:6" ht="20.100000000000001" customHeight="1">
      <c r="A135" s="225">
        <v>1</v>
      </c>
      <c r="B135" s="189" t="s">
        <v>21</v>
      </c>
      <c r="C135" s="293" t="s">
        <v>393</v>
      </c>
      <c r="D135" s="215" t="s">
        <v>161</v>
      </c>
      <c r="E135" s="323">
        <v>225000</v>
      </c>
      <c r="F135" s="214"/>
    </row>
    <row r="136" spans="1:6" ht="20.100000000000001" customHeight="1">
      <c r="A136" s="225">
        <v>2</v>
      </c>
      <c r="B136" s="189" t="s">
        <v>107</v>
      </c>
      <c r="C136" s="293" t="s">
        <v>394</v>
      </c>
      <c r="D136" s="215" t="s">
        <v>160</v>
      </c>
      <c r="E136" s="323">
        <v>150000</v>
      </c>
      <c r="F136" s="214"/>
    </row>
    <row r="137" spans="1:6" ht="20.100000000000001" customHeight="1">
      <c r="A137" s="225">
        <v>3</v>
      </c>
      <c r="B137" s="191" t="s">
        <v>183</v>
      </c>
      <c r="C137" s="21" t="s">
        <v>488</v>
      </c>
      <c r="D137" s="25" t="s">
        <v>221</v>
      </c>
      <c r="E137" s="323">
        <v>150000</v>
      </c>
      <c r="F137" s="214"/>
    </row>
    <row r="138" spans="1:6" ht="20.100000000000001" customHeight="1">
      <c r="A138" s="225">
        <v>4</v>
      </c>
      <c r="B138" s="189" t="s">
        <v>106</v>
      </c>
      <c r="C138" s="293" t="s">
        <v>381</v>
      </c>
      <c r="D138" s="215" t="s">
        <v>181</v>
      </c>
      <c r="E138" s="323">
        <v>75000</v>
      </c>
      <c r="F138" s="214"/>
    </row>
    <row r="139" spans="1:6" ht="20.100000000000001" customHeight="1">
      <c r="A139" s="225">
        <v>5</v>
      </c>
      <c r="B139" s="189" t="s">
        <v>7</v>
      </c>
      <c r="C139" s="21" t="s">
        <v>385</v>
      </c>
      <c r="D139" s="215" t="s">
        <v>181</v>
      </c>
      <c r="E139" s="323">
        <v>75000</v>
      </c>
      <c r="F139" s="214"/>
    </row>
    <row r="140" spans="1:6" ht="20.100000000000001" customHeight="1">
      <c r="A140" s="225">
        <v>6</v>
      </c>
      <c r="B140" s="189" t="s">
        <v>124</v>
      </c>
      <c r="C140" s="21" t="s">
        <v>235</v>
      </c>
      <c r="D140" s="215" t="s">
        <v>170</v>
      </c>
      <c r="E140" s="323">
        <v>75000</v>
      </c>
      <c r="F140" s="214"/>
    </row>
    <row r="141" spans="1:6" ht="20.100000000000001" customHeight="1">
      <c r="A141" s="225">
        <v>7</v>
      </c>
      <c r="B141" s="189" t="s">
        <v>102</v>
      </c>
      <c r="C141" s="293" t="s">
        <v>395</v>
      </c>
      <c r="D141" s="215" t="s">
        <v>499</v>
      </c>
      <c r="E141" s="323">
        <v>45000</v>
      </c>
      <c r="F141" s="214"/>
    </row>
    <row r="142" spans="1:6" ht="20.100000000000001" customHeight="1">
      <c r="A142" s="225">
        <v>8</v>
      </c>
      <c r="B142" s="189" t="s">
        <v>103</v>
      </c>
      <c r="C142" s="293" t="s">
        <v>395</v>
      </c>
      <c r="D142" s="215" t="s">
        <v>499</v>
      </c>
      <c r="E142" s="323">
        <v>45000</v>
      </c>
      <c r="F142" s="214"/>
    </row>
    <row r="143" spans="1:6" ht="20.100000000000001" customHeight="1">
      <c r="A143" s="225">
        <v>9</v>
      </c>
      <c r="B143" s="189" t="s">
        <v>151</v>
      </c>
      <c r="C143" s="21" t="s">
        <v>235</v>
      </c>
      <c r="D143" s="215" t="s">
        <v>499</v>
      </c>
      <c r="E143" s="323">
        <v>45000</v>
      </c>
      <c r="F143" s="214"/>
    </row>
    <row r="144" spans="1:6" ht="20.100000000000001" customHeight="1">
      <c r="A144" s="225">
        <v>10</v>
      </c>
      <c r="B144" s="189" t="s">
        <v>238</v>
      </c>
      <c r="C144" s="293" t="s">
        <v>481</v>
      </c>
      <c r="D144" s="215" t="s">
        <v>415</v>
      </c>
      <c r="E144" s="323">
        <v>45000</v>
      </c>
      <c r="F144" s="214"/>
    </row>
    <row r="145" spans="1:6" ht="20.100000000000001" customHeight="1">
      <c r="A145" s="225">
        <v>11</v>
      </c>
      <c r="B145" s="189" t="s">
        <v>53</v>
      </c>
      <c r="C145" s="293" t="s">
        <v>300</v>
      </c>
      <c r="D145" s="215" t="s">
        <v>27</v>
      </c>
      <c r="E145" s="323">
        <v>45000</v>
      </c>
      <c r="F145" s="214"/>
    </row>
    <row r="146" spans="1:6" ht="20.100000000000001" customHeight="1">
      <c r="A146" s="225">
        <v>12</v>
      </c>
      <c r="B146" s="189" t="s">
        <v>179</v>
      </c>
      <c r="C146" s="293" t="s">
        <v>481</v>
      </c>
      <c r="D146" s="215" t="s">
        <v>499</v>
      </c>
      <c r="E146" s="323">
        <v>45000</v>
      </c>
      <c r="F146" s="214"/>
    </row>
    <row r="147" spans="1:6" ht="20.100000000000001" customHeight="1">
      <c r="A147" s="225">
        <v>13</v>
      </c>
      <c r="B147" s="190" t="s">
        <v>293</v>
      </c>
      <c r="C147" s="21" t="s">
        <v>440</v>
      </c>
      <c r="D147" s="215" t="s">
        <v>27</v>
      </c>
      <c r="E147" s="323">
        <v>45000</v>
      </c>
      <c r="F147" s="214"/>
    </row>
    <row r="148" spans="1:6" ht="20.100000000000001" customHeight="1">
      <c r="A148" s="225">
        <v>14</v>
      </c>
      <c r="B148" s="189" t="s">
        <v>490</v>
      </c>
      <c r="C148" s="21" t="s">
        <v>239</v>
      </c>
      <c r="D148" s="215" t="s">
        <v>207</v>
      </c>
      <c r="E148" s="323">
        <v>45000</v>
      </c>
      <c r="F148" s="214"/>
    </row>
    <row r="149" spans="1:6" ht="20.100000000000001" customHeight="1">
      <c r="A149" s="225">
        <v>15</v>
      </c>
      <c r="B149" s="189" t="s">
        <v>491</v>
      </c>
      <c r="C149" s="21" t="s">
        <v>239</v>
      </c>
      <c r="D149" s="215" t="s">
        <v>164</v>
      </c>
      <c r="E149" s="323">
        <v>45000</v>
      </c>
      <c r="F149" s="214"/>
    </row>
    <row r="150" spans="1:6" ht="20.100000000000001" customHeight="1">
      <c r="A150" s="225">
        <v>16</v>
      </c>
      <c r="B150" s="189" t="s">
        <v>212</v>
      </c>
      <c r="C150" s="21" t="s">
        <v>239</v>
      </c>
      <c r="D150" s="215" t="s">
        <v>164</v>
      </c>
      <c r="E150" s="323">
        <v>45000</v>
      </c>
      <c r="F150" s="214"/>
    </row>
    <row r="151" spans="1:6" ht="20.100000000000001" customHeight="1">
      <c r="A151" s="225">
        <v>17</v>
      </c>
      <c r="B151" s="189" t="s">
        <v>425</v>
      </c>
      <c r="C151" s="293" t="s">
        <v>430</v>
      </c>
      <c r="D151" s="215" t="s">
        <v>104</v>
      </c>
      <c r="E151" s="323">
        <v>45000</v>
      </c>
      <c r="F151" s="214"/>
    </row>
    <row r="152" spans="1:6" ht="20.100000000000001" customHeight="1">
      <c r="A152" s="225">
        <v>18</v>
      </c>
      <c r="B152" s="189" t="s">
        <v>439</v>
      </c>
      <c r="C152" s="293" t="s">
        <v>440</v>
      </c>
      <c r="D152" s="29" t="s">
        <v>428</v>
      </c>
      <c r="E152" s="323">
        <v>45000</v>
      </c>
      <c r="F152" s="214"/>
    </row>
    <row r="153" spans="1:6" ht="20.100000000000001" customHeight="1">
      <c r="A153" s="225">
        <v>19</v>
      </c>
      <c r="B153" s="189" t="s">
        <v>230</v>
      </c>
      <c r="C153" s="293" t="s">
        <v>487</v>
      </c>
      <c r="D153" s="215" t="s">
        <v>207</v>
      </c>
      <c r="E153" s="323">
        <v>45000</v>
      </c>
      <c r="F153" s="214"/>
    </row>
    <row r="154" spans="1:6" ht="20.100000000000001" customHeight="1">
      <c r="A154" s="225">
        <v>20</v>
      </c>
      <c r="B154" s="189" t="s">
        <v>57</v>
      </c>
      <c r="C154" s="293" t="s">
        <v>483</v>
      </c>
      <c r="D154" s="215" t="s">
        <v>500</v>
      </c>
      <c r="E154" s="323">
        <v>45000</v>
      </c>
      <c r="F154" s="214"/>
    </row>
    <row r="155" spans="1:6" ht="20.100000000000001" customHeight="1">
      <c r="A155" s="225">
        <v>21</v>
      </c>
      <c r="B155" s="189" t="s">
        <v>251</v>
      </c>
      <c r="C155" s="293" t="s">
        <v>484</v>
      </c>
      <c r="D155" s="215" t="s">
        <v>207</v>
      </c>
      <c r="E155" s="323">
        <v>45000</v>
      </c>
      <c r="F155" s="214"/>
    </row>
    <row r="156" spans="1:6" ht="20.100000000000001" customHeight="1">
      <c r="A156" s="225">
        <v>22</v>
      </c>
      <c r="B156" s="189" t="s">
        <v>241</v>
      </c>
      <c r="C156" s="293" t="s">
        <v>348</v>
      </c>
      <c r="D156" s="215" t="s">
        <v>500</v>
      </c>
      <c r="E156" s="323">
        <v>45000</v>
      </c>
      <c r="F156" s="214"/>
    </row>
    <row r="157" spans="1:6" ht="20.100000000000001" customHeight="1">
      <c r="A157" s="225">
        <v>23</v>
      </c>
      <c r="B157" s="190" t="s">
        <v>289</v>
      </c>
      <c r="C157" s="293" t="s">
        <v>290</v>
      </c>
      <c r="D157" s="215" t="s">
        <v>267</v>
      </c>
      <c r="E157" s="323">
        <v>45000</v>
      </c>
      <c r="F157" s="214"/>
    </row>
    <row r="158" spans="1:6" ht="20.100000000000001" customHeight="1">
      <c r="A158" s="225">
        <v>24</v>
      </c>
      <c r="B158" s="190" t="s">
        <v>407</v>
      </c>
      <c r="C158" s="293" t="s">
        <v>131</v>
      </c>
      <c r="D158" s="215" t="s">
        <v>105</v>
      </c>
      <c r="E158" s="323">
        <v>45000</v>
      </c>
      <c r="F158" s="214"/>
    </row>
    <row r="159" spans="1:6" ht="20.100000000000001" customHeight="1">
      <c r="A159" s="225">
        <v>25</v>
      </c>
      <c r="B159" s="190" t="s">
        <v>426</v>
      </c>
      <c r="C159" s="293" t="s">
        <v>290</v>
      </c>
      <c r="D159" s="215" t="s">
        <v>105</v>
      </c>
      <c r="E159" s="323">
        <v>45000</v>
      </c>
      <c r="F159" s="214"/>
    </row>
    <row r="160" spans="1:6" ht="20.100000000000001" customHeight="1">
      <c r="A160" s="225">
        <v>26</v>
      </c>
      <c r="B160" s="190" t="s">
        <v>443</v>
      </c>
      <c r="C160" s="293" t="s">
        <v>444</v>
      </c>
      <c r="D160" s="215" t="s">
        <v>176</v>
      </c>
      <c r="E160" s="323">
        <v>45000</v>
      </c>
      <c r="F160" s="214"/>
    </row>
    <row r="161" spans="1:6" ht="20.100000000000001" customHeight="1">
      <c r="A161" s="225">
        <v>27</v>
      </c>
      <c r="B161" s="190" t="s">
        <v>447</v>
      </c>
      <c r="C161" s="293" t="s">
        <v>448</v>
      </c>
      <c r="D161" s="215" t="s">
        <v>176</v>
      </c>
      <c r="E161" s="323">
        <v>45000</v>
      </c>
      <c r="F161" s="214"/>
    </row>
    <row r="162" spans="1:6" ht="20.100000000000001" customHeight="1">
      <c r="A162" s="225">
        <v>28</v>
      </c>
      <c r="B162" s="189" t="s">
        <v>22</v>
      </c>
      <c r="C162" s="293" t="s">
        <v>302</v>
      </c>
      <c r="D162" s="215" t="s">
        <v>503</v>
      </c>
      <c r="E162" s="323">
        <v>30000</v>
      </c>
      <c r="F162" s="214"/>
    </row>
    <row r="163" spans="1:6" ht="20.100000000000001" customHeight="1">
      <c r="A163" s="225">
        <v>29</v>
      </c>
      <c r="B163" s="189" t="s">
        <v>14</v>
      </c>
      <c r="C163" s="293" t="s">
        <v>302</v>
      </c>
      <c r="D163" s="215" t="s">
        <v>503</v>
      </c>
      <c r="E163" s="323">
        <v>30000</v>
      </c>
      <c r="F163" s="214"/>
    </row>
    <row r="164" spans="1:6" ht="20.100000000000001" customHeight="1">
      <c r="A164" s="225">
        <v>30</v>
      </c>
      <c r="B164" s="189" t="s">
        <v>23</v>
      </c>
      <c r="C164" s="293" t="s">
        <v>302</v>
      </c>
      <c r="D164" s="215" t="s">
        <v>503</v>
      </c>
      <c r="E164" s="323">
        <v>30000</v>
      </c>
      <c r="F164" s="214"/>
    </row>
    <row r="165" spans="1:6" ht="20.100000000000001" customHeight="1">
      <c r="A165" s="225">
        <v>32</v>
      </c>
      <c r="B165" s="189" t="s">
        <v>39</v>
      </c>
      <c r="C165" s="293" t="s">
        <v>302</v>
      </c>
      <c r="D165" s="215" t="s">
        <v>503</v>
      </c>
      <c r="E165" s="323">
        <v>30000</v>
      </c>
      <c r="F165" s="214"/>
    </row>
    <row r="166" spans="1:6" ht="20.100000000000001" customHeight="1">
      <c r="A166" s="225">
        <v>33</v>
      </c>
      <c r="B166" s="189" t="s">
        <v>40</v>
      </c>
      <c r="C166" s="293" t="s">
        <v>302</v>
      </c>
      <c r="D166" s="215" t="s">
        <v>503</v>
      </c>
      <c r="E166" s="323">
        <v>30000</v>
      </c>
      <c r="F166" s="214"/>
    </row>
    <row r="167" spans="1:6" ht="20.100000000000001" customHeight="1">
      <c r="A167" s="225">
        <v>34</v>
      </c>
      <c r="B167" s="189" t="s">
        <v>127</v>
      </c>
      <c r="C167" s="293" t="s">
        <v>302</v>
      </c>
      <c r="D167" s="215" t="s">
        <v>416</v>
      </c>
      <c r="E167" s="323">
        <v>30000</v>
      </c>
      <c r="F167" s="214"/>
    </row>
    <row r="168" spans="1:6" ht="20.100000000000001" customHeight="1">
      <c r="A168" s="225">
        <v>35</v>
      </c>
      <c r="B168" s="189" t="s">
        <v>128</v>
      </c>
      <c r="C168" s="293" t="s">
        <v>302</v>
      </c>
      <c r="D168" s="215" t="s">
        <v>416</v>
      </c>
      <c r="E168" s="323">
        <v>30000</v>
      </c>
      <c r="F168" s="214"/>
    </row>
    <row r="169" spans="1:6" ht="20.100000000000001" customHeight="1">
      <c r="A169" s="225">
        <v>36</v>
      </c>
      <c r="B169" s="191" t="s">
        <v>136</v>
      </c>
      <c r="C169" s="293" t="s">
        <v>302</v>
      </c>
      <c r="D169" s="215" t="s">
        <v>416</v>
      </c>
      <c r="E169" s="323">
        <v>30000</v>
      </c>
      <c r="F169" s="214"/>
    </row>
    <row r="170" spans="1:6" ht="20.100000000000001" customHeight="1">
      <c r="A170" s="225">
        <v>37</v>
      </c>
      <c r="B170" s="189" t="s">
        <v>140</v>
      </c>
      <c r="C170" s="293" t="s">
        <v>302</v>
      </c>
      <c r="D170" s="215" t="s">
        <v>416</v>
      </c>
      <c r="E170" s="323">
        <v>30000</v>
      </c>
      <c r="F170" s="214"/>
    </row>
    <row r="171" spans="1:6" ht="20.100000000000001" customHeight="1">
      <c r="A171" s="225">
        <v>38</v>
      </c>
      <c r="B171" s="190" t="s">
        <v>152</v>
      </c>
      <c r="C171" s="293" t="s">
        <v>302</v>
      </c>
      <c r="D171" s="215" t="s">
        <v>416</v>
      </c>
      <c r="E171" s="323">
        <v>30000</v>
      </c>
      <c r="F171" s="214"/>
    </row>
    <row r="172" spans="1:6" ht="20.100000000000001" customHeight="1">
      <c r="A172" s="225">
        <v>39</v>
      </c>
      <c r="B172" s="190" t="s">
        <v>132</v>
      </c>
      <c r="C172" s="293" t="s">
        <v>302</v>
      </c>
      <c r="D172" s="215" t="s">
        <v>416</v>
      </c>
      <c r="E172" s="323">
        <v>30000</v>
      </c>
      <c r="F172" s="214"/>
    </row>
    <row r="173" spans="1:6" ht="20.100000000000001" customHeight="1">
      <c r="A173" s="225">
        <v>40</v>
      </c>
      <c r="B173" s="189" t="s">
        <v>231</v>
      </c>
      <c r="C173" s="293" t="s">
        <v>167</v>
      </c>
      <c r="D173" s="215" t="s">
        <v>263</v>
      </c>
      <c r="E173" s="323">
        <v>30000</v>
      </c>
      <c r="F173" s="214"/>
    </row>
    <row r="174" spans="1:6" ht="20.100000000000001" customHeight="1">
      <c r="A174" s="225">
        <v>41</v>
      </c>
      <c r="B174" s="189" t="s">
        <v>246</v>
      </c>
      <c r="C174" s="293" t="s">
        <v>167</v>
      </c>
      <c r="D174" s="215" t="s">
        <v>263</v>
      </c>
      <c r="E174" s="323">
        <v>30000</v>
      </c>
      <c r="F174" s="214"/>
    </row>
    <row r="175" spans="1:6" ht="20.100000000000001" customHeight="1">
      <c r="A175" s="225">
        <v>42</v>
      </c>
      <c r="B175" s="190" t="s">
        <v>166</v>
      </c>
      <c r="C175" s="293" t="s">
        <v>167</v>
      </c>
      <c r="D175" s="215" t="s">
        <v>223</v>
      </c>
      <c r="E175" s="323">
        <v>30000</v>
      </c>
      <c r="F175" s="214"/>
    </row>
    <row r="176" spans="1:6" ht="20.100000000000001" customHeight="1">
      <c r="A176" s="225">
        <v>43</v>
      </c>
      <c r="B176" s="189" t="s">
        <v>204</v>
      </c>
      <c r="C176" s="293" t="s">
        <v>167</v>
      </c>
      <c r="D176" s="215" t="s">
        <v>177</v>
      </c>
      <c r="E176" s="323">
        <v>30000</v>
      </c>
      <c r="F176" s="214"/>
    </row>
    <row r="177" spans="1:6" ht="20.100000000000001" customHeight="1">
      <c r="A177" s="225">
        <v>44</v>
      </c>
      <c r="B177" s="189" t="s">
        <v>209</v>
      </c>
      <c r="C177" s="293" t="s">
        <v>13</v>
      </c>
      <c r="D177" s="215" t="s">
        <v>504</v>
      </c>
      <c r="E177" s="323">
        <v>30000</v>
      </c>
      <c r="F177" s="214"/>
    </row>
    <row r="178" spans="1:6" ht="20.100000000000001" customHeight="1">
      <c r="A178" s="225">
        <v>45</v>
      </c>
      <c r="B178" s="189" t="s">
        <v>218</v>
      </c>
      <c r="C178" s="293" t="s">
        <v>13</v>
      </c>
      <c r="D178" s="215" t="s">
        <v>504</v>
      </c>
      <c r="E178" s="323">
        <v>30000</v>
      </c>
      <c r="F178" s="214"/>
    </row>
    <row r="179" spans="1:6" ht="20.100000000000001" customHeight="1">
      <c r="A179" s="225">
        <v>46</v>
      </c>
      <c r="B179" s="189" t="s">
        <v>219</v>
      </c>
      <c r="C179" s="293" t="s">
        <v>13</v>
      </c>
      <c r="D179" s="215" t="s">
        <v>504</v>
      </c>
      <c r="E179" s="323">
        <v>30000</v>
      </c>
      <c r="F179" s="214"/>
    </row>
    <row r="180" spans="1:6" ht="20.100000000000001" customHeight="1">
      <c r="A180" s="225">
        <v>47</v>
      </c>
      <c r="B180" s="189" t="s">
        <v>211</v>
      </c>
      <c r="C180" s="293" t="s">
        <v>13</v>
      </c>
      <c r="D180" s="215" t="s">
        <v>504</v>
      </c>
      <c r="E180" s="323">
        <v>30000</v>
      </c>
      <c r="F180" s="214"/>
    </row>
    <row r="181" spans="1:6" ht="20.100000000000001" customHeight="1">
      <c r="A181" s="225">
        <v>48</v>
      </c>
      <c r="B181" s="189" t="s">
        <v>213</v>
      </c>
      <c r="C181" s="293" t="s">
        <v>13</v>
      </c>
      <c r="D181" s="215" t="s">
        <v>504</v>
      </c>
      <c r="E181" s="323">
        <v>30000</v>
      </c>
      <c r="F181" s="214"/>
    </row>
    <row r="182" spans="1:6" ht="20.100000000000001" customHeight="1">
      <c r="A182" s="225">
        <v>49</v>
      </c>
      <c r="B182" s="190" t="s">
        <v>342</v>
      </c>
      <c r="C182" s="293" t="s">
        <v>13</v>
      </c>
      <c r="D182" s="215" t="s">
        <v>504</v>
      </c>
      <c r="E182" s="323">
        <v>30000</v>
      </c>
      <c r="F182" s="214"/>
    </row>
    <row r="183" spans="1:6" ht="20.100000000000001" customHeight="1">
      <c r="A183" s="225">
        <v>50</v>
      </c>
      <c r="B183" s="190" t="s">
        <v>405</v>
      </c>
      <c r="C183" s="293" t="s">
        <v>13</v>
      </c>
      <c r="D183" s="215" t="s">
        <v>504</v>
      </c>
      <c r="E183" s="323">
        <v>30000</v>
      </c>
      <c r="F183" s="214"/>
    </row>
    <row r="184" spans="1:6" ht="20.100000000000001" customHeight="1">
      <c r="A184" s="225">
        <v>51</v>
      </c>
      <c r="B184" s="189" t="s">
        <v>232</v>
      </c>
      <c r="C184" s="293" t="s">
        <v>167</v>
      </c>
      <c r="D184" s="215" t="s">
        <v>504</v>
      </c>
      <c r="E184" s="323">
        <v>30000</v>
      </c>
      <c r="F184" s="214"/>
    </row>
    <row r="185" spans="1:6" ht="20.100000000000001" customHeight="1">
      <c r="A185" s="225">
        <v>52</v>
      </c>
      <c r="B185" s="189" t="s">
        <v>233</v>
      </c>
      <c r="C185" s="293" t="s">
        <v>167</v>
      </c>
      <c r="D185" s="215" t="s">
        <v>504</v>
      </c>
      <c r="E185" s="323">
        <v>30000</v>
      </c>
      <c r="F185" s="214"/>
    </row>
    <row r="186" spans="1:6" ht="20.100000000000001" customHeight="1">
      <c r="A186" s="225">
        <v>53</v>
      </c>
      <c r="B186" s="190" t="s">
        <v>279</v>
      </c>
      <c r="C186" s="293" t="s">
        <v>13</v>
      </c>
      <c r="D186" s="215" t="s">
        <v>505</v>
      </c>
      <c r="E186" s="323">
        <v>30000</v>
      </c>
      <c r="F186" s="214"/>
    </row>
    <row r="187" spans="1:6" ht="20.100000000000001" customHeight="1">
      <c r="A187" s="225">
        <v>54</v>
      </c>
      <c r="B187" s="190" t="s">
        <v>403</v>
      </c>
      <c r="C187" s="293" t="s">
        <v>13</v>
      </c>
      <c r="D187" s="215" t="s">
        <v>264</v>
      </c>
      <c r="E187" s="323">
        <v>30000</v>
      </c>
      <c r="F187" s="214"/>
    </row>
    <row r="188" spans="1:6" ht="20.100000000000001" customHeight="1">
      <c r="A188" s="225"/>
      <c r="B188" s="211" t="s">
        <v>15</v>
      </c>
      <c r="C188" s="227" t="s">
        <v>561</v>
      </c>
      <c r="D188" s="23"/>
      <c r="E188" s="334">
        <f>SUM(E135:E187)</f>
        <v>2475000</v>
      </c>
      <c r="F188" s="214"/>
    </row>
    <row r="189" spans="1:6" ht="9" customHeight="1">
      <c r="A189" s="225"/>
      <c r="B189" s="211"/>
      <c r="C189" s="227"/>
      <c r="D189" s="23"/>
      <c r="E189" s="334"/>
      <c r="F189" s="214"/>
    </row>
    <row r="190" spans="1:6" ht="30" customHeight="1">
      <c r="A190" s="21"/>
      <c r="B190" s="313" t="s">
        <v>8</v>
      </c>
      <c r="C190" s="314">
        <f>C36+C41+C56+C61+C77+C85+C98+C105+C115+C132+C188</f>
        <v>146</v>
      </c>
      <c r="D190" s="315"/>
      <c r="E190" s="316">
        <f>E188+E132+E120+E115+E105+E98+E85+E77+E61+E56+E41+E36</f>
        <v>11040000</v>
      </c>
      <c r="F190" s="214"/>
    </row>
    <row r="191" spans="1:6" ht="20.100000000000001" customHeight="1">
      <c r="A191" s="203"/>
      <c r="B191" s="232"/>
      <c r="C191" s="203"/>
      <c r="D191" s="233"/>
      <c r="E191" s="288"/>
      <c r="F191" s="236"/>
    </row>
    <row r="192" spans="1:6" ht="65.25" customHeight="1">
      <c r="A192" s="203"/>
      <c r="B192" s="232"/>
      <c r="C192" s="233"/>
      <c r="D192" s="233"/>
      <c r="E192" s="289"/>
      <c r="F192" s="337">
        <f>'[3]Sallah Welfare June 2023 '!$D$73</f>
        <v>15000</v>
      </c>
    </row>
    <row r="193" spans="6:6" ht="20.100000000000001" customHeight="1">
      <c r="F193" s="337">
        <v>830000</v>
      </c>
    </row>
    <row r="194" spans="6:6" ht="20.100000000000001" customHeight="1">
      <c r="F194" s="337">
        <f>E190</f>
        <v>11040000</v>
      </c>
    </row>
    <row r="195" spans="6:6" ht="20.100000000000001" customHeight="1">
      <c r="F195" s="337">
        <f>SUM(F192:F194)</f>
        <v>11885000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165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97" customWidth="1"/>
    <col min="2" max="2" width="44.5703125" style="197" customWidth="1"/>
    <col min="3" max="3" width="37.5703125" style="197" customWidth="1"/>
    <col min="4" max="4" width="12.42578125" style="197" customWidth="1"/>
    <col min="5" max="5" width="21.5703125" style="197" customWidth="1"/>
    <col min="6" max="6" width="21.7109375" style="197" customWidth="1"/>
    <col min="7" max="10" width="9.140625" style="197"/>
    <col min="11" max="11" width="8.42578125" style="197" customWidth="1"/>
    <col min="12" max="16384" width="9.140625" style="197"/>
  </cols>
  <sheetData>
    <row r="1" spans="1:6" ht="27" customHeight="1">
      <c r="A1" s="317" t="s">
        <v>234</v>
      </c>
      <c r="B1" s="317"/>
      <c r="C1" s="317"/>
      <c r="D1" s="317"/>
      <c r="E1" s="317"/>
    </row>
    <row r="2" spans="1:6" ht="33.75" customHeight="1">
      <c r="A2" s="317" t="s">
        <v>539</v>
      </c>
      <c r="B2" s="199"/>
      <c r="C2" s="198"/>
      <c r="D2" s="198"/>
      <c r="E2" s="198"/>
    </row>
    <row r="3" spans="1:6" ht="9.75" customHeight="1">
      <c r="A3" s="203"/>
      <c r="B3" s="203"/>
      <c r="C3" s="203"/>
      <c r="D3" s="203"/>
      <c r="E3" s="203"/>
    </row>
    <row r="4" spans="1:6" ht="49.5" customHeight="1">
      <c r="A4" s="312"/>
      <c r="B4" s="319" t="s">
        <v>0</v>
      </c>
      <c r="C4" s="320" t="s">
        <v>12</v>
      </c>
      <c r="D4" s="321" t="s">
        <v>309</v>
      </c>
      <c r="E4" s="322" t="s">
        <v>120</v>
      </c>
    </row>
    <row r="5" spans="1:6" ht="17.25" customHeight="1">
      <c r="C5" s="211"/>
      <c r="D5" s="211"/>
      <c r="E5" s="252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2"/>
    </row>
    <row r="7" spans="1:6" ht="20.100000000000001" customHeight="1">
      <c r="A7" s="29">
        <v>1</v>
      </c>
      <c r="B7" s="189" t="s">
        <v>224</v>
      </c>
      <c r="C7" s="293" t="s">
        <v>119</v>
      </c>
      <c r="D7" s="293" t="s">
        <v>34</v>
      </c>
      <c r="E7" s="323">
        <v>540000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23">
        <v>180000</v>
      </c>
      <c r="F8" s="214"/>
    </row>
    <row r="9" spans="1:6" ht="20.100000000000001" customHeight="1">
      <c r="A9" s="29">
        <v>3</v>
      </c>
      <c r="B9" s="189" t="s">
        <v>315</v>
      </c>
      <c r="C9" s="293" t="s">
        <v>316</v>
      </c>
      <c r="D9" s="29" t="s">
        <v>498</v>
      </c>
      <c r="E9" s="323">
        <v>180000</v>
      </c>
      <c r="F9" s="214"/>
    </row>
    <row r="10" spans="1:6" ht="20.100000000000001" customHeight="1">
      <c r="A10" s="29">
        <v>4</v>
      </c>
      <c r="B10" s="191" t="s">
        <v>317</v>
      </c>
      <c r="C10" s="21" t="s">
        <v>418</v>
      </c>
      <c r="D10" s="215" t="s">
        <v>221</v>
      </c>
      <c r="E10" s="323">
        <v>180000</v>
      </c>
      <c r="F10" s="214"/>
    </row>
    <row r="11" spans="1:6" ht="20.100000000000001" customHeight="1">
      <c r="A11" s="29">
        <v>5</v>
      </c>
      <c r="B11" s="191" t="s">
        <v>112</v>
      </c>
      <c r="C11" s="21" t="s">
        <v>475</v>
      </c>
      <c r="D11" s="25" t="s">
        <v>221</v>
      </c>
      <c r="E11" s="323">
        <v>180000</v>
      </c>
      <c r="F11" s="214"/>
    </row>
    <row r="12" spans="1:6" ht="20.100000000000001" customHeight="1">
      <c r="A12" s="29">
        <v>6</v>
      </c>
      <c r="B12" s="189" t="s">
        <v>187</v>
      </c>
      <c r="C12" s="156" t="s">
        <v>476</v>
      </c>
      <c r="D12" s="25" t="s">
        <v>221</v>
      </c>
      <c r="E12" s="323">
        <v>180000</v>
      </c>
      <c r="F12" s="214"/>
    </row>
    <row r="13" spans="1:6" ht="20.100000000000001" customHeight="1">
      <c r="A13" s="29">
        <v>7</v>
      </c>
      <c r="B13" s="191" t="s">
        <v>203</v>
      </c>
      <c r="C13" s="21" t="s">
        <v>477</v>
      </c>
      <c r="D13" s="25" t="s">
        <v>221</v>
      </c>
      <c r="E13" s="323">
        <v>180000</v>
      </c>
      <c r="F13" s="214"/>
    </row>
    <row r="14" spans="1:6" ht="20.100000000000001" customHeight="1">
      <c r="A14" s="29">
        <v>8</v>
      </c>
      <c r="B14" s="189" t="s">
        <v>111</v>
      </c>
      <c r="C14" s="293" t="s">
        <v>470</v>
      </c>
      <c r="D14" s="215" t="s">
        <v>75</v>
      </c>
      <c r="E14" s="323">
        <v>126000</v>
      </c>
      <c r="F14" s="214"/>
    </row>
    <row r="15" spans="1:6" ht="20.100000000000001" customHeight="1">
      <c r="A15" s="29">
        <v>9</v>
      </c>
      <c r="B15" s="190" t="s">
        <v>333</v>
      </c>
      <c r="C15" s="293" t="s">
        <v>387</v>
      </c>
      <c r="D15" s="29" t="s">
        <v>412</v>
      </c>
      <c r="E15" s="323">
        <v>126000</v>
      </c>
      <c r="F15" s="214"/>
    </row>
    <row r="16" spans="1:6" ht="20.100000000000001" customHeight="1">
      <c r="A16" s="29">
        <v>10</v>
      </c>
      <c r="B16" s="193" t="s">
        <v>220</v>
      </c>
      <c r="C16" s="21" t="s">
        <v>388</v>
      </c>
      <c r="D16" s="25" t="s">
        <v>181</v>
      </c>
      <c r="E16" s="323">
        <v>90000</v>
      </c>
      <c r="F16" s="214"/>
    </row>
    <row r="17" spans="1:6" ht="19.5" customHeight="1">
      <c r="A17" s="29">
        <v>11</v>
      </c>
      <c r="B17" s="191" t="s">
        <v>144</v>
      </c>
      <c r="C17" s="21" t="s">
        <v>389</v>
      </c>
      <c r="D17" s="29" t="s">
        <v>181</v>
      </c>
      <c r="E17" s="323">
        <v>90000</v>
      </c>
      <c r="F17" s="214"/>
    </row>
    <row r="18" spans="1:6" ht="19.5" customHeight="1">
      <c r="A18" s="29">
        <v>12</v>
      </c>
      <c r="B18" s="191" t="s">
        <v>139</v>
      </c>
      <c r="C18" s="21" t="s">
        <v>386</v>
      </c>
      <c r="D18" s="29" t="s">
        <v>181</v>
      </c>
      <c r="E18" s="323">
        <v>90000</v>
      </c>
      <c r="F18" s="214"/>
    </row>
    <row r="19" spans="1:6" ht="20.100000000000001" customHeight="1">
      <c r="A19" s="29">
        <v>13</v>
      </c>
      <c r="B19" s="189" t="s">
        <v>18</v>
      </c>
      <c r="C19" s="21" t="s">
        <v>389</v>
      </c>
      <c r="D19" s="215" t="s">
        <v>181</v>
      </c>
      <c r="E19" s="323">
        <v>90000</v>
      </c>
      <c r="F19" s="214"/>
    </row>
    <row r="20" spans="1:6" ht="20.100000000000001" customHeight="1">
      <c r="A20" s="29">
        <v>14</v>
      </c>
      <c r="B20" s="189" t="s">
        <v>334</v>
      </c>
      <c r="C20" s="293" t="s">
        <v>351</v>
      </c>
      <c r="D20" s="215" t="s">
        <v>163</v>
      </c>
      <c r="E20" s="323">
        <v>90000</v>
      </c>
      <c r="F20" s="214"/>
    </row>
    <row r="21" spans="1:6" ht="20.100000000000001" customHeight="1">
      <c r="A21" s="29">
        <v>15</v>
      </c>
      <c r="B21" s="190" t="s">
        <v>291</v>
      </c>
      <c r="C21" s="21" t="s">
        <v>346</v>
      </c>
      <c r="D21" s="215" t="s">
        <v>413</v>
      </c>
      <c r="E21" s="323">
        <v>90000</v>
      </c>
      <c r="F21" s="214"/>
    </row>
    <row r="22" spans="1:6" ht="20.100000000000001" customHeight="1">
      <c r="A22" s="29">
        <v>16</v>
      </c>
      <c r="B22" s="189" t="s">
        <v>141</v>
      </c>
      <c r="C22" s="293" t="s">
        <v>391</v>
      </c>
      <c r="D22" s="215" t="s">
        <v>499</v>
      </c>
      <c r="E22" s="323">
        <v>54000</v>
      </c>
      <c r="F22" s="214"/>
    </row>
    <row r="23" spans="1:6" ht="18.75" customHeight="1">
      <c r="A23" s="29">
        <v>17</v>
      </c>
      <c r="B23" s="189" t="s">
        <v>253</v>
      </c>
      <c r="C23" s="293" t="s">
        <v>480</v>
      </c>
      <c r="D23" s="215" t="s">
        <v>415</v>
      </c>
      <c r="E23" s="323">
        <v>54000</v>
      </c>
      <c r="F23" s="214"/>
    </row>
    <row r="24" spans="1:6" ht="18.75" customHeight="1">
      <c r="A24" s="29">
        <v>18</v>
      </c>
      <c r="B24" s="190" t="s">
        <v>275</v>
      </c>
      <c r="C24" s="293" t="s">
        <v>314</v>
      </c>
      <c r="D24" s="215" t="s">
        <v>164</v>
      </c>
      <c r="E24" s="323">
        <v>54000</v>
      </c>
      <c r="F24" s="214"/>
    </row>
    <row r="25" spans="1:6" ht="18.75" customHeight="1">
      <c r="A25" s="29">
        <v>19</v>
      </c>
      <c r="B25" s="21" t="s">
        <v>436</v>
      </c>
      <c r="C25" s="21" t="s">
        <v>17</v>
      </c>
      <c r="D25" s="29" t="s">
        <v>500</v>
      </c>
      <c r="E25" s="323">
        <v>54000</v>
      </c>
      <c r="F25" s="214"/>
    </row>
    <row r="26" spans="1:6" ht="18.75" customHeight="1">
      <c r="A26" s="29">
        <v>20</v>
      </c>
      <c r="B26" s="190" t="s">
        <v>254</v>
      </c>
      <c r="C26" s="293" t="s">
        <v>17</v>
      </c>
      <c r="D26" s="215" t="s">
        <v>500</v>
      </c>
      <c r="E26" s="323">
        <v>54000</v>
      </c>
      <c r="F26" s="214"/>
    </row>
    <row r="27" spans="1:6" ht="18.75" customHeight="1">
      <c r="A27" s="29">
        <v>21</v>
      </c>
      <c r="B27" s="189" t="s">
        <v>248</v>
      </c>
      <c r="C27" s="293" t="s">
        <v>482</v>
      </c>
      <c r="D27" s="215" t="s">
        <v>500</v>
      </c>
      <c r="E27" s="323">
        <v>54000</v>
      </c>
      <c r="F27" s="214"/>
    </row>
    <row r="28" spans="1:6" ht="18.75" customHeight="1">
      <c r="A28" s="29">
        <v>22</v>
      </c>
      <c r="B28" s="190" t="s">
        <v>288</v>
      </c>
      <c r="C28" s="293" t="s">
        <v>249</v>
      </c>
      <c r="D28" s="215" t="s">
        <v>267</v>
      </c>
      <c r="E28" s="323">
        <v>54000</v>
      </c>
      <c r="F28" s="214"/>
    </row>
    <row r="29" spans="1:6" ht="18.75" customHeight="1">
      <c r="A29" s="29">
        <v>23</v>
      </c>
      <c r="B29" s="190" t="s">
        <v>328</v>
      </c>
      <c r="C29" s="21" t="s">
        <v>329</v>
      </c>
      <c r="D29" s="29" t="s">
        <v>267</v>
      </c>
      <c r="E29" s="323">
        <v>54000</v>
      </c>
      <c r="F29" s="214"/>
    </row>
    <row r="30" spans="1:6" ht="18.75" customHeight="1">
      <c r="A30" s="29">
        <v>24</v>
      </c>
      <c r="B30" s="190" t="s">
        <v>360</v>
      </c>
      <c r="C30" s="156" t="s">
        <v>372</v>
      </c>
      <c r="D30" s="215" t="s">
        <v>500</v>
      </c>
      <c r="E30" s="323">
        <v>54000</v>
      </c>
      <c r="F30" s="214"/>
    </row>
    <row r="31" spans="1:6" ht="18.75" customHeight="1">
      <c r="A31" s="29">
        <v>25</v>
      </c>
      <c r="B31" s="190" t="s">
        <v>330</v>
      </c>
      <c r="C31" s="21" t="s">
        <v>535</v>
      </c>
      <c r="D31" s="29" t="s">
        <v>176</v>
      </c>
      <c r="E31" s="323">
        <v>54000</v>
      </c>
      <c r="F31" s="214"/>
    </row>
    <row r="32" spans="1:6" ht="18.75" customHeight="1">
      <c r="A32" s="29">
        <v>26</v>
      </c>
      <c r="B32" s="190" t="s">
        <v>274</v>
      </c>
      <c r="C32" s="293" t="s">
        <v>314</v>
      </c>
      <c r="D32" s="215" t="s">
        <v>176</v>
      </c>
      <c r="E32" s="323">
        <v>54000</v>
      </c>
      <c r="F32" s="214"/>
    </row>
    <row r="33" spans="1:6" ht="18.75" customHeight="1">
      <c r="A33" s="29">
        <v>27</v>
      </c>
      <c r="B33" s="190" t="s">
        <v>455</v>
      </c>
      <c r="C33" s="293" t="s">
        <v>314</v>
      </c>
      <c r="D33" s="215" t="s">
        <v>176</v>
      </c>
      <c r="E33" s="323">
        <v>54000</v>
      </c>
      <c r="F33" s="214"/>
    </row>
    <row r="34" spans="1:6" ht="18.75" customHeight="1">
      <c r="A34" s="29">
        <v>28</v>
      </c>
      <c r="B34" s="190" t="s">
        <v>537</v>
      </c>
      <c r="C34" s="293" t="s">
        <v>538</v>
      </c>
      <c r="D34" s="215" t="s">
        <v>105</v>
      </c>
      <c r="E34" s="323">
        <v>54000</v>
      </c>
      <c r="F34" s="214"/>
    </row>
    <row r="35" spans="1:6" ht="26.25" customHeight="1">
      <c r="A35" s="29"/>
      <c r="B35" s="192" t="s">
        <v>15</v>
      </c>
      <c r="C35" s="30">
        <v>28</v>
      </c>
      <c r="D35" s="215"/>
      <c r="E35" s="324">
        <f>SUM(E7:E34)</f>
        <v>3114000</v>
      </c>
      <c r="F35" s="214"/>
    </row>
    <row r="36" spans="1:6" ht="18.75" customHeight="1">
      <c r="A36" s="29"/>
      <c r="B36" s="142"/>
      <c r="C36" s="21"/>
      <c r="D36" s="215"/>
      <c r="E36" s="325"/>
      <c r="F36" s="214"/>
    </row>
    <row r="37" spans="1:6" ht="18.75" customHeight="1">
      <c r="A37" s="29"/>
      <c r="B37" s="192" t="s">
        <v>284</v>
      </c>
      <c r="C37" s="21"/>
      <c r="D37" s="215"/>
      <c r="E37" s="323"/>
      <c r="F37" s="214"/>
    </row>
    <row r="38" spans="1:6" ht="18.75" customHeight="1">
      <c r="A38" s="29">
        <v>1</v>
      </c>
      <c r="B38" s="190" t="s">
        <v>361</v>
      </c>
      <c r="C38" s="21" t="s">
        <v>362</v>
      </c>
      <c r="D38" s="29" t="s">
        <v>161</v>
      </c>
      <c r="E38" s="323">
        <v>270000</v>
      </c>
      <c r="F38" s="214"/>
    </row>
    <row r="39" spans="1:6" ht="18.75" customHeight="1">
      <c r="A39" s="29">
        <v>2</v>
      </c>
      <c r="B39" s="190" t="s">
        <v>419</v>
      </c>
      <c r="C39" s="21" t="s">
        <v>427</v>
      </c>
      <c r="D39" s="29" t="s">
        <v>105</v>
      </c>
      <c r="E39" s="323">
        <v>54000</v>
      </c>
      <c r="F39" s="214"/>
    </row>
    <row r="40" spans="1:6" ht="19.5" customHeight="1">
      <c r="A40" s="29"/>
      <c r="B40" s="191"/>
      <c r="C40" s="30">
        <v>2</v>
      </c>
      <c r="D40" s="29"/>
      <c r="E40" s="324">
        <v>324000</v>
      </c>
      <c r="F40" s="214"/>
    </row>
    <row r="41" spans="1:6" ht="20.100000000000001" customHeight="1">
      <c r="A41" s="29"/>
      <c r="B41" s="191"/>
      <c r="C41" s="21"/>
      <c r="D41" s="29"/>
      <c r="E41" s="323"/>
      <c r="F41" s="214"/>
    </row>
    <row r="42" spans="1:6" ht="20.100000000000001" customHeight="1">
      <c r="A42" s="29"/>
      <c r="B42" s="219" t="s">
        <v>56</v>
      </c>
      <c r="C42" s="204"/>
      <c r="D42" s="208"/>
      <c r="E42" s="323"/>
      <c r="F42" s="214"/>
    </row>
    <row r="43" spans="1:6" ht="20.100000000000001" customHeight="1">
      <c r="A43" s="29">
        <v>1</v>
      </c>
      <c r="B43" s="189" t="s">
        <v>255</v>
      </c>
      <c r="C43" s="21" t="s">
        <v>256</v>
      </c>
      <c r="D43" s="29" t="s">
        <v>161</v>
      </c>
      <c r="E43" s="323">
        <v>270000</v>
      </c>
      <c r="F43" s="214"/>
    </row>
    <row r="44" spans="1:6" ht="20.100000000000001" customHeight="1">
      <c r="A44" s="29">
        <v>2</v>
      </c>
      <c r="B44" s="189" t="s">
        <v>158</v>
      </c>
      <c r="C44" s="21" t="s">
        <v>199</v>
      </c>
      <c r="D44" s="29" t="s">
        <v>75</v>
      </c>
      <c r="E44" s="323">
        <v>126000</v>
      </c>
      <c r="F44" s="214"/>
    </row>
    <row r="45" spans="1:6" ht="20.100000000000001" customHeight="1">
      <c r="A45" s="29">
        <v>3</v>
      </c>
      <c r="B45" s="189" t="s">
        <v>165</v>
      </c>
      <c r="C45" s="21" t="s">
        <v>258</v>
      </c>
      <c r="D45" s="29" t="s">
        <v>75</v>
      </c>
      <c r="E45" s="323">
        <v>126000</v>
      </c>
      <c r="F45" s="214"/>
    </row>
    <row r="46" spans="1:6" ht="20.100000000000001" customHeight="1">
      <c r="A46" s="29">
        <v>4</v>
      </c>
      <c r="B46" s="189" t="s">
        <v>159</v>
      </c>
      <c r="C46" s="21" t="s">
        <v>258</v>
      </c>
      <c r="D46" s="29" t="s">
        <v>75</v>
      </c>
      <c r="E46" s="323">
        <v>126000</v>
      </c>
      <c r="F46" s="214"/>
    </row>
    <row r="47" spans="1:6" ht="20.100000000000001" customHeight="1">
      <c r="A47" s="29">
        <v>5</v>
      </c>
      <c r="B47" s="189" t="s">
        <v>118</v>
      </c>
      <c r="C47" s="21" t="s">
        <v>258</v>
      </c>
      <c r="D47" s="29" t="s">
        <v>148</v>
      </c>
      <c r="E47" s="323">
        <v>126000</v>
      </c>
      <c r="F47" s="214"/>
    </row>
    <row r="48" spans="1:6" ht="20.100000000000001" customHeight="1">
      <c r="A48" s="29">
        <v>6</v>
      </c>
      <c r="B48" s="189" t="s">
        <v>205</v>
      </c>
      <c r="C48" s="21" t="s">
        <v>78</v>
      </c>
      <c r="D48" s="29" t="s">
        <v>181</v>
      </c>
      <c r="E48" s="323">
        <v>90000</v>
      </c>
      <c r="F48" s="214"/>
    </row>
    <row r="49" spans="1:6" ht="20.100000000000001" customHeight="1">
      <c r="A49" s="29">
        <v>7</v>
      </c>
      <c r="B49" s="191" t="s">
        <v>173</v>
      </c>
      <c r="C49" s="21" t="s">
        <v>297</v>
      </c>
      <c r="D49" s="25" t="s">
        <v>181</v>
      </c>
      <c r="E49" s="323">
        <v>90000</v>
      </c>
      <c r="F49" s="214"/>
    </row>
    <row r="50" spans="1:6" ht="20.100000000000001" customHeight="1">
      <c r="A50" s="29">
        <v>8</v>
      </c>
      <c r="B50" s="189" t="s">
        <v>116</v>
      </c>
      <c r="C50" s="21" t="s">
        <v>297</v>
      </c>
      <c r="D50" s="29" t="s">
        <v>162</v>
      </c>
      <c r="E50" s="323">
        <v>90000</v>
      </c>
      <c r="F50" s="214"/>
    </row>
    <row r="51" spans="1:6" ht="20.100000000000001" customHeight="1">
      <c r="A51" s="29">
        <v>9</v>
      </c>
      <c r="B51" s="189" t="s">
        <v>184</v>
      </c>
      <c r="C51" s="21" t="s">
        <v>80</v>
      </c>
      <c r="D51" s="29" t="s">
        <v>170</v>
      </c>
      <c r="E51" s="323">
        <v>90000</v>
      </c>
      <c r="F51" s="214"/>
    </row>
    <row r="52" spans="1:6" ht="20.100000000000001" customHeight="1">
      <c r="A52" s="29">
        <v>10</v>
      </c>
      <c r="B52" s="189" t="s">
        <v>420</v>
      </c>
      <c r="C52" s="21" t="s">
        <v>84</v>
      </c>
      <c r="D52" s="29" t="s">
        <v>428</v>
      </c>
      <c r="E52" s="323">
        <v>54000</v>
      </c>
      <c r="F52" s="214"/>
    </row>
    <row r="53" spans="1:6" ht="20.100000000000001" customHeight="1">
      <c r="A53" s="29">
        <v>11</v>
      </c>
      <c r="B53" s="189" t="s">
        <v>437</v>
      </c>
      <c r="C53" s="21" t="s">
        <v>84</v>
      </c>
      <c r="D53" s="29" t="s">
        <v>428</v>
      </c>
      <c r="E53" s="323">
        <v>54000</v>
      </c>
      <c r="F53" s="214"/>
    </row>
    <row r="54" spans="1:6" ht="20.100000000000001" customHeight="1">
      <c r="A54" s="29">
        <v>12</v>
      </c>
      <c r="B54" s="189" t="s">
        <v>454</v>
      </c>
      <c r="C54" s="21" t="s">
        <v>84</v>
      </c>
      <c r="D54" s="29" t="s">
        <v>428</v>
      </c>
      <c r="E54" s="323">
        <v>54000</v>
      </c>
      <c r="F54" s="214"/>
    </row>
    <row r="55" spans="1:6" ht="25.5" customHeight="1">
      <c r="A55" s="29"/>
      <c r="B55" s="192" t="s">
        <v>15</v>
      </c>
      <c r="C55" s="30">
        <v>12</v>
      </c>
      <c r="D55" s="30"/>
      <c r="E55" s="326">
        <v>1296000</v>
      </c>
      <c r="F55" s="214"/>
    </row>
    <row r="56" spans="1:6" ht="20.100000000000001" customHeight="1">
      <c r="A56" s="29"/>
      <c r="B56" s="142"/>
      <c r="C56" s="30"/>
      <c r="D56" s="30"/>
      <c r="E56" s="327"/>
      <c r="F56" s="214"/>
    </row>
    <row r="57" spans="1:6" ht="20.100000000000001" customHeight="1">
      <c r="A57" s="29"/>
      <c r="B57" s="192" t="s">
        <v>195</v>
      </c>
      <c r="C57" s="30"/>
      <c r="D57" s="30"/>
      <c r="E57" s="327"/>
      <c r="F57" s="214"/>
    </row>
    <row r="58" spans="1:6" ht="20.100000000000001" customHeight="1">
      <c r="A58" s="29">
        <v>1</v>
      </c>
      <c r="B58" s="189" t="s">
        <v>11</v>
      </c>
      <c r="C58" s="293" t="s">
        <v>200</v>
      </c>
      <c r="D58" s="215" t="s">
        <v>161</v>
      </c>
      <c r="E58" s="323">
        <v>270000</v>
      </c>
      <c r="F58" s="214"/>
    </row>
    <row r="59" spans="1:6" ht="20.100000000000001" customHeight="1">
      <c r="A59" s="29">
        <v>2</v>
      </c>
      <c r="B59" s="189" t="s">
        <v>276</v>
      </c>
      <c r="C59" s="293" t="s">
        <v>340</v>
      </c>
      <c r="D59" s="215" t="s">
        <v>412</v>
      </c>
      <c r="E59" s="323">
        <v>126000</v>
      </c>
      <c r="F59" s="214"/>
    </row>
    <row r="60" spans="1:6" ht="20.100000000000001" customHeight="1">
      <c r="A60" s="29"/>
      <c r="B60" s="192" t="s">
        <v>15</v>
      </c>
      <c r="C60" s="30">
        <v>2</v>
      </c>
      <c r="D60" s="30"/>
      <c r="E60" s="326">
        <v>396000</v>
      </c>
      <c r="F60" s="214"/>
    </row>
    <row r="61" spans="1:6" ht="20.100000000000001" customHeight="1">
      <c r="A61" s="29"/>
      <c r="B61" s="192"/>
      <c r="C61" s="30"/>
      <c r="D61" s="30"/>
      <c r="E61" s="327"/>
      <c r="F61" s="214"/>
    </row>
    <row r="62" spans="1:6" ht="20.100000000000001" customHeight="1">
      <c r="A62" s="29"/>
      <c r="B62" s="192" t="s">
        <v>463</v>
      </c>
      <c r="C62" s="30"/>
      <c r="D62" s="30"/>
      <c r="E62" s="327"/>
      <c r="F62" s="214"/>
    </row>
    <row r="63" spans="1:6" ht="20.100000000000001" customHeight="1">
      <c r="A63" s="29">
        <v>1</v>
      </c>
      <c r="B63" s="189" t="s">
        <v>277</v>
      </c>
      <c r="C63" s="156" t="s">
        <v>278</v>
      </c>
      <c r="D63" s="29" t="s">
        <v>161</v>
      </c>
      <c r="E63" s="328">
        <v>270000</v>
      </c>
      <c r="F63" s="214"/>
    </row>
    <row r="64" spans="1:6" ht="20.100000000000001" customHeight="1">
      <c r="A64" s="29">
        <v>2</v>
      </c>
      <c r="B64" s="190" t="s">
        <v>332</v>
      </c>
      <c r="C64" s="156" t="s">
        <v>188</v>
      </c>
      <c r="D64" s="215" t="s">
        <v>272</v>
      </c>
      <c r="E64" s="323">
        <v>126000</v>
      </c>
      <c r="F64" s="214"/>
    </row>
    <row r="65" spans="1:6" ht="20.100000000000001" customHeight="1">
      <c r="A65" s="29">
        <v>3</v>
      </c>
      <c r="B65" s="189" t="s">
        <v>189</v>
      </c>
      <c r="C65" s="21" t="s">
        <v>257</v>
      </c>
      <c r="D65" s="29" t="s">
        <v>170</v>
      </c>
      <c r="E65" s="328">
        <v>90000</v>
      </c>
      <c r="F65" s="214"/>
    </row>
    <row r="66" spans="1:6" ht="20.100000000000001" customHeight="1">
      <c r="A66" s="29">
        <v>4</v>
      </c>
      <c r="B66" s="190" t="s">
        <v>450</v>
      </c>
      <c r="C66" s="156" t="s">
        <v>257</v>
      </c>
      <c r="D66" s="215" t="s">
        <v>163</v>
      </c>
      <c r="E66" s="328">
        <v>90000</v>
      </c>
      <c r="F66" s="214"/>
    </row>
    <row r="67" spans="1:6" ht="20.100000000000001" customHeight="1">
      <c r="A67" s="29">
        <v>5</v>
      </c>
      <c r="B67" s="191" t="s">
        <v>229</v>
      </c>
      <c r="C67" s="156" t="s">
        <v>297</v>
      </c>
      <c r="D67" s="215" t="s">
        <v>181</v>
      </c>
      <c r="E67" s="328">
        <v>90000</v>
      </c>
      <c r="F67" s="214"/>
    </row>
    <row r="68" spans="1:6" ht="20.100000000000001" customHeight="1">
      <c r="A68" s="29">
        <v>6</v>
      </c>
      <c r="B68" s="191" t="s">
        <v>536</v>
      </c>
      <c r="C68" s="156" t="s">
        <v>297</v>
      </c>
      <c r="D68" s="215" t="s">
        <v>162</v>
      </c>
      <c r="E68" s="328">
        <v>90000</v>
      </c>
      <c r="F68" s="214"/>
    </row>
    <row r="69" spans="1:6" ht="20.100000000000001" customHeight="1">
      <c r="A69" s="29">
        <v>7</v>
      </c>
      <c r="B69" s="189" t="s">
        <v>117</v>
      </c>
      <c r="C69" s="21" t="s">
        <v>84</v>
      </c>
      <c r="D69" s="29" t="s">
        <v>369</v>
      </c>
      <c r="E69" s="323">
        <v>54000</v>
      </c>
      <c r="F69" s="214"/>
    </row>
    <row r="70" spans="1:6" ht="20.100000000000001" customHeight="1">
      <c r="A70" s="29">
        <v>8</v>
      </c>
      <c r="B70" s="189" t="s">
        <v>424</v>
      </c>
      <c r="C70" s="156" t="s">
        <v>422</v>
      </c>
      <c r="D70" s="215" t="s">
        <v>369</v>
      </c>
      <c r="E70" s="323">
        <v>54000</v>
      </c>
      <c r="F70" s="214"/>
    </row>
    <row r="71" spans="1:6" ht="20.100000000000001" customHeight="1">
      <c r="A71" s="29">
        <v>9</v>
      </c>
      <c r="B71" s="189" t="s">
        <v>423</v>
      </c>
      <c r="C71" s="156" t="s">
        <v>422</v>
      </c>
      <c r="D71" s="215" t="s">
        <v>369</v>
      </c>
      <c r="E71" s="323">
        <v>54000</v>
      </c>
      <c r="F71" s="214"/>
    </row>
    <row r="72" spans="1:6" ht="20.100000000000001" customHeight="1">
      <c r="A72" s="29">
        <v>10</v>
      </c>
      <c r="B72" s="189" t="s">
        <v>242</v>
      </c>
      <c r="C72" s="21" t="s">
        <v>486</v>
      </c>
      <c r="D72" s="29" t="s">
        <v>415</v>
      </c>
      <c r="E72" s="323">
        <v>54000</v>
      </c>
      <c r="F72" s="214"/>
    </row>
    <row r="73" spans="1:6" ht="20.100000000000001" customHeight="1">
      <c r="A73" s="29">
        <v>11</v>
      </c>
      <c r="B73" s="189" t="s">
        <v>322</v>
      </c>
      <c r="C73" s="156" t="s">
        <v>84</v>
      </c>
      <c r="D73" s="29" t="s">
        <v>207</v>
      </c>
      <c r="E73" s="323">
        <v>54000</v>
      </c>
      <c r="F73" s="214"/>
    </row>
    <row r="74" spans="1:6" ht="20.100000000000001" customHeight="1">
      <c r="A74" s="29">
        <v>12</v>
      </c>
      <c r="B74" s="189" t="s">
        <v>320</v>
      </c>
      <c r="C74" s="156" t="s">
        <v>115</v>
      </c>
      <c r="D74" s="29" t="s">
        <v>500</v>
      </c>
      <c r="E74" s="323">
        <v>54000</v>
      </c>
      <c r="F74" s="214"/>
    </row>
    <row r="75" spans="1:6" ht="20.100000000000001" customHeight="1">
      <c r="A75" s="29">
        <v>13</v>
      </c>
      <c r="B75" s="191" t="s">
        <v>321</v>
      </c>
      <c r="C75" s="156" t="s">
        <v>115</v>
      </c>
      <c r="D75" s="29" t="s">
        <v>176</v>
      </c>
      <c r="E75" s="323">
        <v>54000</v>
      </c>
      <c r="F75" s="214"/>
    </row>
    <row r="76" spans="1:6" ht="20.100000000000001" customHeight="1">
      <c r="A76" s="29"/>
      <c r="B76" s="192" t="s">
        <v>15</v>
      </c>
      <c r="C76" s="30">
        <v>13</v>
      </c>
      <c r="D76" s="30"/>
      <c r="E76" s="326">
        <v>1134000</v>
      </c>
      <c r="F76" s="214"/>
    </row>
    <row r="77" spans="1:6" ht="20.100000000000001" customHeight="1">
      <c r="A77" s="29"/>
      <c r="B77" s="142"/>
      <c r="C77" s="30"/>
      <c r="D77" s="30"/>
      <c r="E77" s="327"/>
      <c r="F77" s="214"/>
    </row>
    <row r="78" spans="1:6" ht="20.100000000000001" customHeight="1">
      <c r="A78" s="29"/>
      <c r="B78" s="192" t="s">
        <v>464</v>
      </c>
      <c r="C78" s="30"/>
      <c r="D78" s="30"/>
      <c r="E78" s="327"/>
      <c r="F78" s="214"/>
    </row>
    <row r="79" spans="1:6" ht="20.100000000000001" customHeight="1">
      <c r="A79" s="29">
        <v>1</v>
      </c>
      <c r="B79" s="189" t="s">
        <v>19</v>
      </c>
      <c r="C79" s="21" t="s">
        <v>201</v>
      </c>
      <c r="D79" s="29" t="s">
        <v>161</v>
      </c>
      <c r="E79" s="323">
        <v>270000</v>
      </c>
      <c r="F79" s="214"/>
    </row>
    <row r="80" spans="1:6" ht="20.100000000000001" customHeight="1">
      <c r="A80" s="29">
        <v>2</v>
      </c>
      <c r="B80" s="191" t="s">
        <v>325</v>
      </c>
      <c r="C80" s="21" t="s">
        <v>245</v>
      </c>
      <c r="D80" s="215" t="s">
        <v>272</v>
      </c>
      <c r="E80" s="323">
        <v>126000</v>
      </c>
      <c r="F80" s="214"/>
    </row>
    <row r="81" spans="1:6" ht="20.100000000000001" customHeight="1">
      <c r="A81" s="29">
        <v>3</v>
      </c>
      <c r="B81" s="191" t="s">
        <v>326</v>
      </c>
      <c r="C81" s="21" t="s">
        <v>327</v>
      </c>
      <c r="D81" s="215" t="s">
        <v>272</v>
      </c>
      <c r="E81" s="323">
        <v>126000</v>
      </c>
      <c r="F81" s="214"/>
    </row>
    <row r="82" spans="1:6" ht="20.100000000000001" customHeight="1">
      <c r="A82" s="29">
        <v>4</v>
      </c>
      <c r="B82" s="189" t="s">
        <v>26</v>
      </c>
      <c r="C82" s="21" t="s">
        <v>296</v>
      </c>
      <c r="D82" s="215" t="s">
        <v>170</v>
      </c>
      <c r="E82" s="323">
        <v>90000</v>
      </c>
      <c r="F82" s="214"/>
    </row>
    <row r="83" spans="1:6" ht="20.100000000000001" customHeight="1">
      <c r="A83" s="29">
        <v>5</v>
      </c>
      <c r="B83" s="189" t="s">
        <v>324</v>
      </c>
      <c r="C83" s="21" t="s">
        <v>243</v>
      </c>
      <c r="D83" s="29" t="s">
        <v>207</v>
      </c>
      <c r="E83" s="323">
        <v>54000</v>
      </c>
      <c r="F83" s="214"/>
    </row>
    <row r="84" spans="1:6" ht="20.100000000000001" customHeight="1">
      <c r="A84" s="29"/>
      <c r="B84" s="192" t="s">
        <v>15</v>
      </c>
      <c r="C84" s="30">
        <v>5</v>
      </c>
      <c r="D84" s="30"/>
      <c r="E84" s="326">
        <v>666000</v>
      </c>
      <c r="F84" s="214"/>
    </row>
    <row r="85" spans="1:6" ht="20.100000000000001" customHeight="1">
      <c r="A85" s="29"/>
      <c r="B85" s="192"/>
      <c r="C85" s="30"/>
      <c r="D85" s="30"/>
      <c r="E85" s="323"/>
      <c r="F85" s="214"/>
    </row>
    <row r="86" spans="1:6" ht="20.100000000000001" customHeight="1">
      <c r="A86" s="29"/>
      <c r="B86" s="192" t="s">
        <v>465</v>
      </c>
      <c r="C86" s="220"/>
      <c r="D86" s="30"/>
      <c r="E86" s="323"/>
      <c r="F86" s="214"/>
    </row>
    <row r="87" spans="1:6" ht="20.100000000000001" customHeight="1">
      <c r="A87" s="29">
        <v>1</v>
      </c>
      <c r="B87" s="189" t="s">
        <v>169</v>
      </c>
      <c r="C87" s="21" t="s">
        <v>258</v>
      </c>
      <c r="D87" s="29" t="s">
        <v>75</v>
      </c>
      <c r="E87" s="323">
        <v>126000</v>
      </c>
      <c r="F87" s="214"/>
    </row>
    <row r="88" spans="1:6" ht="20.100000000000001" customHeight="1">
      <c r="A88" s="29">
        <v>2</v>
      </c>
      <c r="B88" s="189" t="s">
        <v>192</v>
      </c>
      <c r="C88" s="21" t="s">
        <v>258</v>
      </c>
      <c r="D88" s="29" t="s">
        <v>75</v>
      </c>
      <c r="E88" s="323">
        <v>126000</v>
      </c>
      <c r="F88" s="214"/>
    </row>
    <row r="89" spans="1:6" ht="20.100000000000001" customHeight="1">
      <c r="A89" s="29">
        <v>3</v>
      </c>
      <c r="B89" s="191" t="s">
        <v>138</v>
      </c>
      <c r="C89" s="21" t="s">
        <v>297</v>
      </c>
      <c r="D89" s="29" t="s">
        <v>174</v>
      </c>
      <c r="E89" s="328">
        <v>90000</v>
      </c>
      <c r="F89" s="214"/>
    </row>
    <row r="90" spans="1:6" ht="20.100000000000001" customHeight="1">
      <c r="A90" s="29">
        <v>4</v>
      </c>
      <c r="B90" s="189" t="s">
        <v>202</v>
      </c>
      <c r="C90" s="21" t="s">
        <v>78</v>
      </c>
      <c r="D90" s="29" t="s">
        <v>181</v>
      </c>
      <c r="E90" s="328">
        <v>90000</v>
      </c>
      <c r="F90" s="214"/>
    </row>
    <row r="91" spans="1:6" ht="21.6" customHeight="1">
      <c r="A91" s="29">
        <v>5</v>
      </c>
      <c r="B91" s="189" t="s">
        <v>101</v>
      </c>
      <c r="C91" s="21" t="s">
        <v>80</v>
      </c>
      <c r="D91" s="215" t="s">
        <v>170</v>
      </c>
      <c r="E91" s="328">
        <v>90000</v>
      </c>
      <c r="F91" s="214"/>
    </row>
    <row r="92" spans="1:6" ht="21.6" customHeight="1">
      <c r="A92" s="29">
        <v>6</v>
      </c>
      <c r="B92" s="189" t="s">
        <v>336</v>
      </c>
      <c r="C92" s="293" t="s">
        <v>257</v>
      </c>
      <c r="D92" s="215" t="s">
        <v>163</v>
      </c>
      <c r="E92" s="328">
        <v>90000</v>
      </c>
      <c r="F92" s="214"/>
    </row>
    <row r="93" spans="1:6" ht="21.6" customHeight="1">
      <c r="A93" s="29">
        <v>7</v>
      </c>
      <c r="B93" s="189" t="s">
        <v>337</v>
      </c>
      <c r="C93" s="293" t="s">
        <v>257</v>
      </c>
      <c r="D93" s="215" t="s">
        <v>163</v>
      </c>
      <c r="E93" s="328">
        <v>90000</v>
      </c>
      <c r="F93" s="214"/>
    </row>
    <row r="94" spans="1:6" ht="21.6" customHeight="1">
      <c r="A94" s="29">
        <v>8</v>
      </c>
      <c r="B94" s="189" t="s">
        <v>421</v>
      </c>
      <c r="C94" s="156" t="s">
        <v>422</v>
      </c>
      <c r="D94" s="215" t="s">
        <v>369</v>
      </c>
      <c r="E94" s="323">
        <v>54000</v>
      </c>
      <c r="F94" s="214"/>
    </row>
    <row r="95" spans="1:6" ht="21.6" customHeight="1">
      <c r="A95" s="29">
        <v>9</v>
      </c>
      <c r="B95" s="189" t="s">
        <v>438</v>
      </c>
      <c r="C95" s="21" t="s">
        <v>472</v>
      </c>
      <c r="D95" s="29" t="s">
        <v>104</v>
      </c>
      <c r="E95" s="323">
        <v>54000</v>
      </c>
      <c r="F95" s="214"/>
    </row>
    <row r="96" spans="1:6" ht="21.6" customHeight="1">
      <c r="A96" s="29">
        <v>10</v>
      </c>
      <c r="B96" s="189" t="s">
        <v>406</v>
      </c>
      <c r="C96" s="156" t="s">
        <v>434</v>
      </c>
      <c r="D96" s="215" t="s">
        <v>176</v>
      </c>
      <c r="E96" s="323">
        <v>54000</v>
      </c>
      <c r="F96" s="214"/>
    </row>
    <row r="97" spans="1:6" ht="20.100000000000001" customHeight="1">
      <c r="A97" s="29"/>
      <c r="B97" s="192" t="s">
        <v>15</v>
      </c>
      <c r="C97" s="30">
        <v>10</v>
      </c>
      <c r="D97" s="30"/>
      <c r="E97" s="326">
        <v>864000</v>
      </c>
      <c r="F97" s="214"/>
    </row>
    <row r="98" spans="1:6" ht="20.100000000000001" customHeight="1">
      <c r="A98" s="29"/>
      <c r="B98" s="142"/>
      <c r="C98" s="30"/>
      <c r="D98" s="30"/>
      <c r="E98" s="327"/>
      <c r="F98" s="214"/>
    </row>
    <row r="99" spans="1:6" ht="20.100000000000001" customHeight="1">
      <c r="A99" s="29"/>
      <c r="B99" s="192" t="s">
        <v>466</v>
      </c>
      <c r="C99" s="30"/>
      <c r="D99" s="30"/>
      <c r="E99" s="327"/>
      <c r="F99" s="214"/>
    </row>
    <row r="100" spans="1:6" ht="20.100000000000001" customHeight="1">
      <c r="A100" s="29">
        <v>1</v>
      </c>
      <c r="B100" s="190" t="s">
        <v>364</v>
      </c>
      <c r="C100" s="29" t="s">
        <v>343</v>
      </c>
      <c r="D100" s="215" t="s">
        <v>221</v>
      </c>
      <c r="E100" s="323">
        <v>180000</v>
      </c>
      <c r="F100" s="214"/>
    </row>
    <row r="101" spans="1:6" ht="20.100000000000001" customHeight="1">
      <c r="A101" s="29">
        <v>2</v>
      </c>
      <c r="B101" s="189" t="s">
        <v>185</v>
      </c>
      <c r="C101" s="21" t="s">
        <v>373</v>
      </c>
      <c r="D101" s="29" t="s">
        <v>181</v>
      </c>
      <c r="E101" s="323">
        <v>90000</v>
      </c>
      <c r="F101" s="214"/>
    </row>
    <row r="102" spans="1:6" ht="20.100000000000001" customHeight="1">
      <c r="A102" s="29">
        <v>3</v>
      </c>
      <c r="B102" s="189" t="s">
        <v>237</v>
      </c>
      <c r="C102" s="21" t="s">
        <v>485</v>
      </c>
      <c r="D102" s="215" t="s">
        <v>415</v>
      </c>
      <c r="E102" s="323">
        <v>54000</v>
      </c>
      <c r="F102" s="214"/>
    </row>
    <row r="103" spans="1:6" ht="20.100000000000001" customHeight="1">
      <c r="A103" s="29">
        <v>4</v>
      </c>
      <c r="B103" s="189" t="s">
        <v>540</v>
      </c>
      <c r="C103" s="21" t="s">
        <v>541</v>
      </c>
      <c r="D103" s="215" t="s">
        <v>267</v>
      </c>
      <c r="E103" s="323">
        <v>54000</v>
      </c>
      <c r="F103" s="214"/>
    </row>
    <row r="104" spans="1:6" ht="20.100000000000001" customHeight="1">
      <c r="A104" s="21"/>
      <c r="B104" s="192" t="s">
        <v>15</v>
      </c>
      <c r="C104" s="30">
        <v>3</v>
      </c>
      <c r="D104" s="221"/>
      <c r="E104" s="326">
        <v>378000</v>
      </c>
      <c r="F104" s="214"/>
    </row>
    <row r="105" spans="1:6" ht="20.100000000000001" customHeight="1">
      <c r="A105" s="21"/>
      <c r="B105" s="142"/>
      <c r="C105" s="30"/>
      <c r="D105" s="221"/>
      <c r="E105" s="327"/>
      <c r="F105" s="214"/>
    </row>
    <row r="106" spans="1:6" ht="20.100000000000001" customHeight="1">
      <c r="A106" s="21"/>
      <c r="B106" s="192" t="s">
        <v>467</v>
      </c>
      <c r="C106" s="21"/>
      <c r="D106" s="21"/>
      <c r="E106" s="329"/>
      <c r="F106" s="214"/>
    </row>
    <row r="107" spans="1:6" ht="20.100000000000001" customHeight="1">
      <c r="A107" s="21">
        <v>1</v>
      </c>
      <c r="B107" s="189" t="s">
        <v>216</v>
      </c>
      <c r="C107" s="293" t="s">
        <v>217</v>
      </c>
      <c r="D107" s="215" t="s">
        <v>161</v>
      </c>
      <c r="E107" s="323">
        <v>270000</v>
      </c>
      <c r="F107" s="214"/>
    </row>
    <row r="108" spans="1:6" ht="20.100000000000001" customHeight="1">
      <c r="A108" s="21">
        <v>2</v>
      </c>
      <c r="B108" s="189" t="s">
        <v>110</v>
      </c>
      <c r="C108" s="21" t="s">
        <v>259</v>
      </c>
      <c r="D108" s="25" t="s">
        <v>221</v>
      </c>
      <c r="E108" s="323">
        <v>180000</v>
      </c>
      <c r="F108" s="214"/>
    </row>
    <row r="109" spans="1:6" ht="20.100000000000001" customHeight="1">
      <c r="A109" s="21">
        <v>3</v>
      </c>
      <c r="B109" s="189" t="s">
        <v>109</v>
      </c>
      <c r="C109" s="21" t="s">
        <v>311</v>
      </c>
      <c r="D109" s="29" t="s">
        <v>175</v>
      </c>
      <c r="E109" s="323">
        <v>90000</v>
      </c>
      <c r="F109" s="214"/>
    </row>
    <row r="110" spans="1:6" ht="20.100000000000001" customHeight="1">
      <c r="A110" s="21">
        <v>4</v>
      </c>
      <c r="B110" s="189" t="s">
        <v>135</v>
      </c>
      <c r="C110" s="21" t="s">
        <v>311</v>
      </c>
      <c r="D110" s="29" t="s">
        <v>175</v>
      </c>
      <c r="E110" s="323">
        <v>90000</v>
      </c>
      <c r="F110" s="214"/>
    </row>
    <row r="111" spans="1:6" ht="20.100000000000001" customHeight="1">
      <c r="A111" s="21">
        <v>5</v>
      </c>
      <c r="B111" s="189" t="s">
        <v>240</v>
      </c>
      <c r="C111" s="21" t="s">
        <v>338</v>
      </c>
      <c r="D111" s="215" t="s">
        <v>501</v>
      </c>
      <c r="E111" s="323">
        <v>54000</v>
      </c>
      <c r="F111" s="214"/>
    </row>
    <row r="112" spans="1:6" ht="20.100000000000001" customHeight="1">
      <c r="A112" s="21">
        <v>6</v>
      </c>
      <c r="B112" s="190" t="s">
        <v>341</v>
      </c>
      <c r="C112" s="21" t="s">
        <v>338</v>
      </c>
      <c r="D112" s="29" t="s">
        <v>267</v>
      </c>
      <c r="E112" s="323">
        <v>54000</v>
      </c>
      <c r="F112" s="214"/>
    </row>
    <row r="113" spans="1:6" ht="20.100000000000001" customHeight="1">
      <c r="A113" s="21">
        <v>7</v>
      </c>
      <c r="B113" s="190" t="s">
        <v>374</v>
      </c>
      <c r="C113" s="21" t="s">
        <v>338</v>
      </c>
      <c r="D113" s="215" t="s">
        <v>176</v>
      </c>
      <c r="E113" s="323">
        <v>54000</v>
      </c>
      <c r="F113" s="214"/>
    </row>
    <row r="114" spans="1:6" ht="20.100000000000001" customHeight="1">
      <c r="A114" s="21"/>
      <c r="B114" s="192" t="s">
        <v>15</v>
      </c>
      <c r="C114" s="30">
        <v>7</v>
      </c>
      <c r="D114" s="21"/>
      <c r="E114" s="330">
        <v>792000</v>
      </c>
      <c r="F114" s="214"/>
    </row>
    <row r="115" spans="1:6" ht="20.100000000000001" customHeight="1">
      <c r="A115" s="21"/>
      <c r="B115" s="192"/>
      <c r="C115" s="30"/>
      <c r="D115" s="21"/>
      <c r="E115" s="330"/>
      <c r="F115" s="214"/>
    </row>
    <row r="116" spans="1:6" ht="43.5" customHeight="1">
      <c r="A116" s="29"/>
      <c r="B116" s="192" t="s">
        <v>567</v>
      </c>
      <c r="C116" s="30"/>
      <c r="D116" s="30"/>
      <c r="E116" s="330"/>
      <c r="F116" s="214"/>
    </row>
    <row r="117" spans="1:6" ht="27" customHeight="1">
      <c r="A117" s="29">
        <v>1</v>
      </c>
      <c r="B117" s="189" t="s">
        <v>182</v>
      </c>
      <c r="C117" s="156" t="s">
        <v>422</v>
      </c>
      <c r="D117" s="215" t="s">
        <v>499</v>
      </c>
      <c r="E117" s="323">
        <v>54000</v>
      </c>
      <c r="F117" s="214"/>
    </row>
    <row r="118" spans="1:6" ht="27" customHeight="1">
      <c r="A118" s="29">
        <v>2</v>
      </c>
      <c r="B118" s="189" t="s">
        <v>247</v>
      </c>
      <c r="C118" s="21" t="s">
        <v>479</v>
      </c>
      <c r="D118" s="215" t="s">
        <v>415</v>
      </c>
      <c r="E118" s="323">
        <v>54000</v>
      </c>
      <c r="F118" s="214"/>
    </row>
    <row r="119" spans="1:6" ht="27" customHeight="1">
      <c r="A119" s="21"/>
      <c r="B119" s="192" t="s">
        <v>15</v>
      </c>
      <c r="C119" s="30">
        <v>2</v>
      </c>
      <c r="D119" s="221"/>
      <c r="E119" s="330">
        <v>108000</v>
      </c>
      <c r="F119" s="214"/>
    </row>
    <row r="120" spans="1:6" ht="20.100000000000001" customHeight="1">
      <c r="A120" s="21"/>
      <c r="B120" s="142"/>
      <c r="C120" s="29"/>
      <c r="D120" s="21"/>
      <c r="E120" s="331"/>
      <c r="F120" s="214"/>
    </row>
    <row r="121" spans="1:6" ht="20.100000000000001" customHeight="1">
      <c r="A121" s="21"/>
      <c r="B121" s="192" t="s">
        <v>468</v>
      </c>
      <c r="C121" s="30"/>
      <c r="D121" s="30"/>
      <c r="E121" s="323"/>
      <c r="F121" s="214"/>
    </row>
    <row r="122" spans="1:6" ht="20.100000000000001" customHeight="1">
      <c r="A122" s="21">
        <v>1</v>
      </c>
      <c r="B122" s="189" t="s">
        <v>20</v>
      </c>
      <c r="C122" s="293" t="s">
        <v>250</v>
      </c>
      <c r="D122" s="215" t="s">
        <v>161</v>
      </c>
      <c r="E122" s="323">
        <v>270000</v>
      </c>
      <c r="F122" s="214"/>
    </row>
    <row r="123" spans="1:6" ht="20.100000000000001" customHeight="1">
      <c r="A123" s="21">
        <v>2</v>
      </c>
      <c r="B123" s="189" t="s">
        <v>153</v>
      </c>
      <c r="C123" s="293" t="s">
        <v>376</v>
      </c>
      <c r="D123" s="215" t="s">
        <v>75</v>
      </c>
      <c r="E123" s="323">
        <v>126000</v>
      </c>
      <c r="F123" s="214"/>
    </row>
    <row r="124" spans="1:6" ht="20.100000000000001" customHeight="1">
      <c r="A124" s="21">
        <v>3</v>
      </c>
      <c r="B124" s="191" t="s">
        <v>142</v>
      </c>
      <c r="C124" s="293" t="s">
        <v>376</v>
      </c>
      <c r="D124" s="215" t="s">
        <v>75</v>
      </c>
      <c r="E124" s="323">
        <v>126000</v>
      </c>
      <c r="F124" s="214"/>
    </row>
    <row r="125" spans="1:6" ht="20.100000000000001" customHeight="1">
      <c r="A125" s="21">
        <v>4</v>
      </c>
      <c r="B125" s="191" t="s">
        <v>363</v>
      </c>
      <c r="C125" s="293" t="s">
        <v>376</v>
      </c>
      <c r="D125" s="215" t="s">
        <v>30</v>
      </c>
      <c r="E125" s="323">
        <v>126000</v>
      </c>
      <c r="F125" s="214"/>
    </row>
    <row r="126" spans="1:6" ht="20.100000000000001" customHeight="1">
      <c r="A126" s="21">
        <v>5</v>
      </c>
      <c r="B126" s="189" t="s">
        <v>108</v>
      </c>
      <c r="C126" s="293" t="s">
        <v>478</v>
      </c>
      <c r="D126" s="215" t="s">
        <v>162</v>
      </c>
      <c r="E126" s="323">
        <v>90000</v>
      </c>
      <c r="F126" s="214"/>
    </row>
    <row r="127" spans="1:6" ht="20.100000000000001" customHeight="1">
      <c r="A127" s="21">
        <v>6</v>
      </c>
      <c r="B127" s="189" t="s">
        <v>178</v>
      </c>
      <c r="C127" s="293" t="s">
        <v>382</v>
      </c>
      <c r="D127" s="215" t="s">
        <v>170</v>
      </c>
      <c r="E127" s="323">
        <v>90000</v>
      </c>
      <c r="F127" s="214"/>
    </row>
    <row r="128" spans="1:6" ht="20.100000000000001" customHeight="1">
      <c r="A128" s="21">
        <v>7</v>
      </c>
      <c r="B128" s="189" t="s">
        <v>134</v>
      </c>
      <c r="C128" s="293" t="s">
        <v>384</v>
      </c>
      <c r="D128" s="215" t="s">
        <v>170</v>
      </c>
      <c r="E128" s="323">
        <v>90000</v>
      </c>
      <c r="F128" s="214"/>
    </row>
    <row r="129" spans="1:6" ht="20.100000000000001" customHeight="1">
      <c r="A129" s="21">
        <v>8</v>
      </c>
      <c r="B129" s="189" t="s">
        <v>445</v>
      </c>
      <c r="C129" s="293" t="s">
        <v>449</v>
      </c>
      <c r="D129" s="29" t="s">
        <v>500</v>
      </c>
      <c r="E129" s="323">
        <v>54000</v>
      </c>
      <c r="F129" s="214"/>
    </row>
    <row r="130" spans="1:6" ht="20.100000000000001" customHeight="1">
      <c r="A130" s="21">
        <v>9</v>
      </c>
      <c r="B130" s="190" t="s">
        <v>441</v>
      </c>
      <c r="C130" s="293" t="s">
        <v>442</v>
      </c>
      <c r="D130" s="215" t="s">
        <v>176</v>
      </c>
      <c r="E130" s="323">
        <v>54000</v>
      </c>
      <c r="F130" s="214"/>
    </row>
    <row r="131" spans="1:6" ht="20.100000000000001" customHeight="1">
      <c r="A131" s="21"/>
      <c r="B131" s="192" t="s">
        <v>15</v>
      </c>
      <c r="C131" s="221" t="s">
        <v>377</v>
      </c>
      <c r="D131" s="215"/>
      <c r="E131" s="332">
        <v>1026000</v>
      </c>
      <c r="F131" s="214"/>
    </row>
    <row r="132" spans="1:6" ht="20.100000000000001" customHeight="1">
      <c r="A132" s="21"/>
      <c r="B132" s="142"/>
      <c r="C132" s="221"/>
      <c r="D132" s="215"/>
      <c r="E132" s="333"/>
      <c r="F132" s="214"/>
    </row>
    <row r="133" spans="1:6" ht="20.100000000000001" customHeight="1">
      <c r="A133" s="21"/>
      <c r="B133" s="192" t="s">
        <v>469</v>
      </c>
      <c r="C133" s="293"/>
      <c r="D133" s="215"/>
      <c r="E133" s="323"/>
      <c r="F133" s="214"/>
    </row>
    <row r="134" spans="1:6" ht="20.100000000000001" customHeight="1">
      <c r="A134" s="225">
        <v>1</v>
      </c>
      <c r="B134" s="189" t="s">
        <v>21</v>
      </c>
      <c r="C134" s="293" t="s">
        <v>393</v>
      </c>
      <c r="D134" s="215" t="s">
        <v>161</v>
      </c>
      <c r="E134" s="323">
        <v>270000</v>
      </c>
      <c r="F134" s="214"/>
    </row>
    <row r="135" spans="1:6" ht="20.100000000000001" customHeight="1">
      <c r="A135" s="225">
        <v>2</v>
      </c>
      <c r="B135" s="189" t="s">
        <v>107</v>
      </c>
      <c r="C135" s="293" t="s">
        <v>394</v>
      </c>
      <c r="D135" s="215" t="s">
        <v>160</v>
      </c>
      <c r="E135" s="323">
        <v>180000</v>
      </c>
      <c r="F135" s="214"/>
    </row>
    <row r="136" spans="1:6" ht="20.100000000000001" customHeight="1">
      <c r="A136" s="225">
        <v>3</v>
      </c>
      <c r="B136" s="191" t="s">
        <v>183</v>
      </c>
      <c r="C136" s="21" t="s">
        <v>488</v>
      </c>
      <c r="D136" s="25" t="s">
        <v>221</v>
      </c>
      <c r="E136" s="323">
        <v>180000</v>
      </c>
      <c r="F136" s="214"/>
    </row>
    <row r="137" spans="1:6" ht="20.100000000000001" customHeight="1">
      <c r="A137" s="225">
        <v>4</v>
      </c>
      <c r="B137" s="189" t="s">
        <v>106</v>
      </c>
      <c r="C137" s="293" t="s">
        <v>381</v>
      </c>
      <c r="D137" s="215" t="s">
        <v>181</v>
      </c>
      <c r="E137" s="323">
        <v>90000</v>
      </c>
      <c r="F137" s="214"/>
    </row>
    <row r="138" spans="1:6" ht="20.100000000000001" customHeight="1">
      <c r="A138" s="225">
        <v>5</v>
      </c>
      <c r="B138" s="189" t="s">
        <v>7</v>
      </c>
      <c r="C138" s="21" t="s">
        <v>385</v>
      </c>
      <c r="D138" s="215" t="s">
        <v>181</v>
      </c>
      <c r="E138" s="323">
        <v>90000</v>
      </c>
      <c r="F138" s="214"/>
    </row>
    <row r="139" spans="1:6" ht="20.100000000000001" customHeight="1">
      <c r="A139" s="225">
        <v>6</v>
      </c>
      <c r="B139" s="189" t="s">
        <v>124</v>
      </c>
      <c r="C139" s="21" t="s">
        <v>235</v>
      </c>
      <c r="D139" s="215" t="s">
        <v>170</v>
      </c>
      <c r="E139" s="323">
        <v>90000</v>
      </c>
      <c r="F139" s="214"/>
    </row>
    <row r="140" spans="1:6" ht="20.100000000000001" customHeight="1">
      <c r="A140" s="225">
        <v>7</v>
      </c>
      <c r="B140" s="189" t="s">
        <v>102</v>
      </c>
      <c r="C140" s="293" t="s">
        <v>395</v>
      </c>
      <c r="D140" s="215" t="s">
        <v>499</v>
      </c>
      <c r="E140" s="323">
        <v>54000</v>
      </c>
      <c r="F140" s="214"/>
    </row>
    <row r="141" spans="1:6" ht="20.100000000000001" customHeight="1">
      <c r="A141" s="225">
        <v>8</v>
      </c>
      <c r="B141" s="189" t="s">
        <v>103</v>
      </c>
      <c r="C141" s="293" t="s">
        <v>395</v>
      </c>
      <c r="D141" s="215" t="s">
        <v>499</v>
      </c>
      <c r="E141" s="323">
        <v>54000</v>
      </c>
      <c r="F141" s="214"/>
    </row>
    <row r="142" spans="1:6" ht="20.100000000000001" customHeight="1">
      <c r="A142" s="225">
        <v>9</v>
      </c>
      <c r="B142" s="189" t="s">
        <v>151</v>
      </c>
      <c r="C142" s="21" t="s">
        <v>235</v>
      </c>
      <c r="D142" s="215" t="s">
        <v>499</v>
      </c>
      <c r="E142" s="323">
        <v>54000</v>
      </c>
      <c r="F142" s="214"/>
    </row>
    <row r="143" spans="1:6" ht="20.100000000000001" customHeight="1">
      <c r="A143" s="225">
        <v>10</v>
      </c>
      <c r="B143" s="189" t="s">
        <v>238</v>
      </c>
      <c r="C143" s="293" t="s">
        <v>481</v>
      </c>
      <c r="D143" s="215" t="s">
        <v>415</v>
      </c>
      <c r="E143" s="323">
        <v>54000</v>
      </c>
      <c r="F143" s="214"/>
    </row>
    <row r="144" spans="1:6" ht="20.100000000000001" customHeight="1">
      <c r="A144" s="225">
        <v>11</v>
      </c>
      <c r="B144" s="189" t="s">
        <v>53</v>
      </c>
      <c r="C144" s="293" t="s">
        <v>300</v>
      </c>
      <c r="D144" s="215" t="s">
        <v>27</v>
      </c>
      <c r="E144" s="323">
        <v>54000</v>
      </c>
      <c r="F144" s="214"/>
    </row>
    <row r="145" spans="1:6" ht="20.100000000000001" customHeight="1">
      <c r="A145" s="225">
        <v>12</v>
      </c>
      <c r="B145" s="189" t="s">
        <v>179</v>
      </c>
      <c r="C145" s="293" t="s">
        <v>481</v>
      </c>
      <c r="D145" s="215" t="s">
        <v>499</v>
      </c>
      <c r="E145" s="323">
        <v>54000</v>
      </c>
      <c r="F145" s="214"/>
    </row>
    <row r="146" spans="1:6" ht="20.100000000000001" customHeight="1">
      <c r="A146" s="225">
        <v>13</v>
      </c>
      <c r="B146" s="190" t="s">
        <v>293</v>
      </c>
      <c r="C146" s="21" t="s">
        <v>440</v>
      </c>
      <c r="D146" s="215" t="s">
        <v>27</v>
      </c>
      <c r="E146" s="323">
        <v>54000</v>
      </c>
      <c r="F146" s="214"/>
    </row>
    <row r="147" spans="1:6" ht="20.100000000000001" customHeight="1">
      <c r="A147" s="225">
        <v>14</v>
      </c>
      <c r="B147" s="189" t="s">
        <v>490</v>
      </c>
      <c r="C147" s="21" t="s">
        <v>239</v>
      </c>
      <c r="D147" s="215" t="s">
        <v>207</v>
      </c>
      <c r="E147" s="323">
        <v>54000</v>
      </c>
      <c r="F147" s="214"/>
    </row>
    <row r="148" spans="1:6" ht="20.100000000000001" customHeight="1">
      <c r="A148" s="225">
        <v>15</v>
      </c>
      <c r="B148" s="189" t="s">
        <v>491</v>
      </c>
      <c r="C148" s="21" t="s">
        <v>239</v>
      </c>
      <c r="D148" s="215" t="s">
        <v>164</v>
      </c>
      <c r="E148" s="323">
        <v>54000</v>
      </c>
      <c r="F148" s="214"/>
    </row>
    <row r="149" spans="1:6" ht="20.100000000000001" customHeight="1">
      <c r="A149" s="225">
        <v>16</v>
      </c>
      <c r="B149" s="189" t="s">
        <v>212</v>
      </c>
      <c r="C149" s="21" t="s">
        <v>239</v>
      </c>
      <c r="D149" s="215" t="s">
        <v>164</v>
      </c>
      <c r="E149" s="323">
        <v>54000</v>
      </c>
      <c r="F149" s="214"/>
    </row>
    <row r="150" spans="1:6" ht="20.100000000000001" customHeight="1">
      <c r="A150" s="225">
        <v>17</v>
      </c>
      <c r="B150" s="189" t="s">
        <v>425</v>
      </c>
      <c r="C150" s="293" t="s">
        <v>430</v>
      </c>
      <c r="D150" s="215" t="s">
        <v>104</v>
      </c>
      <c r="E150" s="323">
        <v>54000</v>
      </c>
      <c r="F150" s="214"/>
    </row>
    <row r="151" spans="1:6" ht="20.100000000000001" customHeight="1">
      <c r="A151" s="225">
        <v>18</v>
      </c>
      <c r="B151" s="189" t="s">
        <v>439</v>
      </c>
      <c r="C151" s="293" t="s">
        <v>440</v>
      </c>
      <c r="D151" s="29" t="s">
        <v>428</v>
      </c>
      <c r="E151" s="323">
        <v>54000</v>
      </c>
      <c r="F151" s="214"/>
    </row>
    <row r="152" spans="1:6" ht="20.100000000000001" customHeight="1">
      <c r="A152" s="225">
        <v>19</v>
      </c>
      <c r="B152" s="189" t="s">
        <v>230</v>
      </c>
      <c r="C152" s="293" t="s">
        <v>487</v>
      </c>
      <c r="D152" s="215" t="s">
        <v>207</v>
      </c>
      <c r="E152" s="323">
        <v>54000</v>
      </c>
      <c r="F152" s="214"/>
    </row>
    <row r="153" spans="1:6" ht="20.100000000000001" customHeight="1">
      <c r="A153" s="225">
        <v>20</v>
      </c>
      <c r="B153" s="189" t="s">
        <v>57</v>
      </c>
      <c r="C153" s="293" t="s">
        <v>483</v>
      </c>
      <c r="D153" s="215" t="s">
        <v>500</v>
      </c>
      <c r="E153" s="323">
        <v>54000</v>
      </c>
      <c r="F153" s="214"/>
    </row>
    <row r="154" spans="1:6" ht="20.100000000000001" customHeight="1">
      <c r="A154" s="225">
        <v>21</v>
      </c>
      <c r="B154" s="189" t="s">
        <v>251</v>
      </c>
      <c r="C154" s="293" t="s">
        <v>484</v>
      </c>
      <c r="D154" s="215" t="s">
        <v>207</v>
      </c>
      <c r="E154" s="323">
        <v>54000</v>
      </c>
      <c r="F154" s="214"/>
    </row>
    <row r="155" spans="1:6" ht="20.100000000000001" customHeight="1">
      <c r="A155" s="225">
        <v>22</v>
      </c>
      <c r="B155" s="189" t="s">
        <v>241</v>
      </c>
      <c r="C155" s="293" t="s">
        <v>348</v>
      </c>
      <c r="D155" s="215" t="s">
        <v>500</v>
      </c>
      <c r="E155" s="323">
        <v>54000</v>
      </c>
      <c r="F155" s="214"/>
    </row>
    <row r="156" spans="1:6" ht="20.100000000000001" customHeight="1">
      <c r="A156" s="225">
        <v>23</v>
      </c>
      <c r="B156" s="190" t="s">
        <v>289</v>
      </c>
      <c r="C156" s="293" t="s">
        <v>290</v>
      </c>
      <c r="D156" s="215" t="s">
        <v>267</v>
      </c>
      <c r="E156" s="323">
        <v>54000</v>
      </c>
      <c r="F156" s="214"/>
    </row>
    <row r="157" spans="1:6" ht="20.100000000000001" customHeight="1">
      <c r="A157" s="225">
        <v>24</v>
      </c>
      <c r="B157" s="190" t="s">
        <v>407</v>
      </c>
      <c r="C157" s="293" t="s">
        <v>131</v>
      </c>
      <c r="D157" s="215" t="s">
        <v>105</v>
      </c>
      <c r="E157" s="323">
        <v>54000</v>
      </c>
      <c r="F157" s="214"/>
    </row>
    <row r="158" spans="1:6" ht="20.100000000000001" customHeight="1">
      <c r="A158" s="225">
        <v>25</v>
      </c>
      <c r="B158" s="190" t="s">
        <v>426</v>
      </c>
      <c r="C158" s="293" t="s">
        <v>290</v>
      </c>
      <c r="D158" s="215" t="s">
        <v>105</v>
      </c>
      <c r="E158" s="323">
        <v>54000</v>
      </c>
      <c r="F158" s="214"/>
    </row>
    <row r="159" spans="1:6" ht="20.100000000000001" customHeight="1">
      <c r="A159" s="225">
        <v>26</v>
      </c>
      <c r="B159" s="190" t="s">
        <v>443</v>
      </c>
      <c r="C159" s="293" t="s">
        <v>444</v>
      </c>
      <c r="D159" s="215" t="s">
        <v>176</v>
      </c>
      <c r="E159" s="323">
        <v>54000</v>
      </c>
      <c r="F159" s="214"/>
    </row>
    <row r="160" spans="1:6" ht="20.100000000000001" customHeight="1">
      <c r="A160" s="225">
        <v>27</v>
      </c>
      <c r="B160" s="190" t="s">
        <v>447</v>
      </c>
      <c r="C160" s="293" t="s">
        <v>448</v>
      </c>
      <c r="D160" s="215" t="s">
        <v>176</v>
      </c>
      <c r="E160" s="323">
        <v>54000</v>
      </c>
      <c r="F160" s="214"/>
    </row>
    <row r="161" spans="1:6" ht="20.100000000000001" customHeight="1">
      <c r="A161" s="225">
        <v>28</v>
      </c>
      <c r="B161" s="189" t="s">
        <v>22</v>
      </c>
      <c r="C161" s="293" t="s">
        <v>302</v>
      </c>
      <c r="D161" s="215" t="s">
        <v>503</v>
      </c>
      <c r="E161" s="323">
        <v>36000</v>
      </c>
      <c r="F161" s="214"/>
    </row>
    <row r="162" spans="1:6" ht="20.100000000000001" customHeight="1">
      <c r="A162" s="225">
        <v>29</v>
      </c>
      <c r="B162" s="189" t="s">
        <v>14</v>
      </c>
      <c r="C162" s="293" t="s">
        <v>302</v>
      </c>
      <c r="D162" s="215" t="s">
        <v>503</v>
      </c>
      <c r="E162" s="323">
        <v>36000</v>
      </c>
      <c r="F162" s="214"/>
    </row>
    <row r="163" spans="1:6" ht="20.100000000000001" customHeight="1">
      <c r="A163" s="225">
        <v>30</v>
      </c>
      <c r="B163" s="189" t="s">
        <v>23</v>
      </c>
      <c r="C163" s="293" t="s">
        <v>302</v>
      </c>
      <c r="D163" s="215" t="s">
        <v>503</v>
      </c>
      <c r="E163" s="323">
        <v>36000</v>
      </c>
      <c r="F163" s="214"/>
    </row>
    <row r="164" spans="1:6" ht="20.100000000000001" customHeight="1">
      <c r="A164" s="225">
        <v>32</v>
      </c>
      <c r="B164" s="189" t="s">
        <v>39</v>
      </c>
      <c r="C164" s="293" t="s">
        <v>302</v>
      </c>
      <c r="D164" s="215" t="s">
        <v>503</v>
      </c>
      <c r="E164" s="323">
        <v>36000</v>
      </c>
      <c r="F164" s="214"/>
    </row>
    <row r="165" spans="1:6" ht="20.100000000000001" customHeight="1">
      <c r="A165" s="225">
        <v>33</v>
      </c>
      <c r="B165" s="189" t="s">
        <v>40</v>
      </c>
      <c r="C165" s="293" t="s">
        <v>302</v>
      </c>
      <c r="D165" s="215" t="s">
        <v>503</v>
      </c>
      <c r="E165" s="323">
        <v>36000</v>
      </c>
      <c r="F165" s="214"/>
    </row>
    <row r="166" spans="1:6" ht="20.100000000000001" customHeight="1">
      <c r="A166" s="225">
        <v>34</v>
      </c>
      <c r="B166" s="189" t="s">
        <v>127</v>
      </c>
      <c r="C166" s="293" t="s">
        <v>302</v>
      </c>
      <c r="D166" s="215" t="s">
        <v>416</v>
      </c>
      <c r="E166" s="323">
        <v>36000</v>
      </c>
      <c r="F166" s="214"/>
    </row>
    <row r="167" spans="1:6" ht="20.100000000000001" customHeight="1">
      <c r="A167" s="225">
        <v>35</v>
      </c>
      <c r="B167" s="189" t="s">
        <v>128</v>
      </c>
      <c r="C167" s="293" t="s">
        <v>302</v>
      </c>
      <c r="D167" s="215" t="s">
        <v>416</v>
      </c>
      <c r="E167" s="323">
        <v>36000</v>
      </c>
      <c r="F167" s="214"/>
    </row>
    <row r="168" spans="1:6" ht="20.100000000000001" customHeight="1">
      <c r="A168" s="225">
        <v>36</v>
      </c>
      <c r="B168" s="191" t="s">
        <v>136</v>
      </c>
      <c r="C168" s="293" t="s">
        <v>302</v>
      </c>
      <c r="D168" s="215" t="s">
        <v>416</v>
      </c>
      <c r="E168" s="323">
        <v>36000</v>
      </c>
      <c r="F168" s="214"/>
    </row>
    <row r="169" spans="1:6" ht="20.100000000000001" customHeight="1">
      <c r="A169" s="225">
        <v>37</v>
      </c>
      <c r="B169" s="189" t="s">
        <v>140</v>
      </c>
      <c r="C169" s="293" t="s">
        <v>302</v>
      </c>
      <c r="D169" s="215" t="s">
        <v>416</v>
      </c>
      <c r="E169" s="323">
        <v>36000</v>
      </c>
      <c r="F169" s="214"/>
    </row>
    <row r="170" spans="1:6" ht="20.100000000000001" customHeight="1">
      <c r="A170" s="225">
        <v>38</v>
      </c>
      <c r="B170" s="190" t="s">
        <v>152</v>
      </c>
      <c r="C170" s="293" t="s">
        <v>302</v>
      </c>
      <c r="D170" s="215" t="s">
        <v>416</v>
      </c>
      <c r="E170" s="323">
        <v>36000</v>
      </c>
      <c r="F170" s="214"/>
    </row>
    <row r="171" spans="1:6" ht="20.100000000000001" customHeight="1">
      <c r="A171" s="225">
        <v>39</v>
      </c>
      <c r="B171" s="190" t="s">
        <v>132</v>
      </c>
      <c r="C171" s="293" t="s">
        <v>302</v>
      </c>
      <c r="D171" s="215" t="s">
        <v>416</v>
      </c>
      <c r="E171" s="323">
        <v>36000</v>
      </c>
      <c r="F171" s="214"/>
    </row>
    <row r="172" spans="1:6" ht="20.100000000000001" customHeight="1">
      <c r="A172" s="225">
        <v>40</v>
      </c>
      <c r="B172" s="189" t="s">
        <v>231</v>
      </c>
      <c r="C172" s="293" t="s">
        <v>167</v>
      </c>
      <c r="D172" s="215" t="s">
        <v>263</v>
      </c>
      <c r="E172" s="323">
        <v>36000</v>
      </c>
      <c r="F172" s="214"/>
    </row>
    <row r="173" spans="1:6" ht="20.100000000000001" customHeight="1">
      <c r="A173" s="225">
        <v>41</v>
      </c>
      <c r="B173" s="189" t="s">
        <v>246</v>
      </c>
      <c r="C173" s="293" t="s">
        <v>167</v>
      </c>
      <c r="D173" s="215" t="s">
        <v>263</v>
      </c>
      <c r="E173" s="323">
        <v>36000</v>
      </c>
      <c r="F173" s="214"/>
    </row>
    <row r="174" spans="1:6" ht="20.100000000000001" customHeight="1">
      <c r="A174" s="225">
        <v>42</v>
      </c>
      <c r="B174" s="190" t="s">
        <v>166</v>
      </c>
      <c r="C174" s="293" t="s">
        <v>167</v>
      </c>
      <c r="D174" s="215" t="s">
        <v>223</v>
      </c>
      <c r="E174" s="323">
        <v>36000</v>
      </c>
      <c r="F174" s="214"/>
    </row>
    <row r="175" spans="1:6" ht="20.100000000000001" customHeight="1">
      <c r="A175" s="225">
        <v>43</v>
      </c>
      <c r="B175" s="189" t="s">
        <v>204</v>
      </c>
      <c r="C175" s="293" t="s">
        <v>167</v>
      </c>
      <c r="D175" s="215" t="s">
        <v>177</v>
      </c>
      <c r="E175" s="323">
        <v>36000</v>
      </c>
      <c r="F175" s="214"/>
    </row>
    <row r="176" spans="1:6" ht="20.100000000000001" customHeight="1">
      <c r="A176" s="225">
        <v>44</v>
      </c>
      <c r="B176" s="189" t="s">
        <v>209</v>
      </c>
      <c r="C176" s="293" t="s">
        <v>13</v>
      </c>
      <c r="D176" s="215" t="s">
        <v>504</v>
      </c>
      <c r="E176" s="323">
        <v>36000</v>
      </c>
      <c r="F176" s="214"/>
    </row>
    <row r="177" spans="1:6" ht="20.100000000000001" customHeight="1">
      <c r="A177" s="225">
        <v>45</v>
      </c>
      <c r="B177" s="189" t="s">
        <v>218</v>
      </c>
      <c r="C177" s="293" t="s">
        <v>13</v>
      </c>
      <c r="D177" s="215" t="s">
        <v>504</v>
      </c>
      <c r="E177" s="323">
        <v>36000</v>
      </c>
      <c r="F177" s="214"/>
    </row>
    <row r="178" spans="1:6" ht="20.100000000000001" customHeight="1">
      <c r="A178" s="225">
        <v>46</v>
      </c>
      <c r="B178" s="189" t="s">
        <v>219</v>
      </c>
      <c r="C178" s="293" t="s">
        <v>13</v>
      </c>
      <c r="D178" s="215" t="s">
        <v>504</v>
      </c>
      <c r="E178" s="323">
        <v>36000</v>
      </c>
      <c r="F178" s="214"/>
    </row>
    <row r="179" spans="1:6" ht="20.100000000000001" customHeight="1">
      <c r="A179" s="225">
        <v>47</v>
      </c>
      <c r="B179" s="189" t="s">
        <v>211</v>
      </c>
      <c r="C179" s="293" t="s">
        <v>13</v>
      </c>
      <c r="D179" s="215" t="s">
        <v>504</v>
      </c>
      <c r="E179" s="323">
        <v>36000</v>
      </c>
      <c r="F179" s="214"/>
    </row>
    <row r="180" spans="1:6" ht="20.100000000000001" customHeight="1">
      <c r="A180" s="225">
        <v>48</v>
      </c>
      <c r="B180" s="189" t="s">
        <v>213</v>
      </c>
      <c r="C180" s="293" t="s">
        <v>13</v>
      </c>
      <c r="D180" s="215" t="s">
        <v>504</v>
      </c>
      <c r="E180" s="323">
        <v>36000</v>
      </c>
      <c r="F180" s="214"/>
    </row>
    <row r="181" spans="1:6" ht="20.100000000000001" customHeight="1">
      <c r="A181" s="225">
        <v>49</v>
      </c>
      <c r="B181" s="190" t="s">
        <v>342</v>
      </c>
      <c r="C181" s="293" t="s">
        <v>13</v>
      </c>
      <c r="D181" s="215" t="s">
        <v>504</v>
      </c>
      <c r="E181" s="323">
        <v>36000</v>
      </c>
      <c r="F181" s="214"/>
    </row>
    <row r="182" spans="1:6" ht="20.100000000000001" customHeight="1">
      <c r="A182" s="225">
        <v>50</v>
      </c>
      <c r="B182" s="190" t="s">
        <v>405</v>
      </c>
      <c r="C182" s="293" t="s">
        <v>13</v>
      </c>
      <c r="D182" s="215" t="s">
        <v>504</v>
      </c>
      <c r="E182" s="323">
        <v>36000</v>
      </c>
      <c r="F182" s="214"/>
    </row>
    <row r="183" spans="1:6" ht="20.100000000000001" customHeight="1">
      <c r="A183" s="225">
        <v>51</v>
      </c>
      <c r="B183" s="189" t="s">
        <v>232</v>
      </c>
      <c r="C183" s="293" t="s">
        <v>167</v>
      </c>
      <c r="D183" s="215" t="s">
        <v>504</v>
      </c>
      <c r="E183" s="323">
        <v>36000</v>
      </c>
      <c r="F183" s="214"/>
    </row>
    <row r="184" spans="1:6" ht="20.100000000000001" customHeight="1">
      <c r="A184" s="225">
        <v>52</v>
      </c>
      <c r="B184" s="189" t="s">
        <v>233</v>
      </c>
      <c r="C184" s="293" t="s">
        <v>167</v>
      </c>
      <c r="D184" s="215" t="s">
        <v>504</v>
      </c>
      <c r="E184" s="323">
        <v>36000</v>
      </c>
      <c r="F184" s="214"/>
    </row>
    <row r="185" spans="1:6" ht="20.100000000000001" customHeight="1">
      <c r="A185" s="225">
        <v>53</v>
      </c>
      <c r="B185" s="190" t="s">
        <v>279</v>
      </c>
      <c r="C185" s="293" t="s">
        <v>13</v>
      </c>
      <c r="D185" s="215" t="s">
        <v>505</v>
      </c>
      <c r="E185" s="323">
        <v>36000</v>
      </c>
      <c r="F185" s="214"/>
    </row>
    <row r="186" spans="1:6" ht="20.100000000000001" customHeight="1">
      <c r="A186" s="225">
        <v>54</v>
      </c>
      <c r="B186" s="190" t="s">
        <v>403</v>
      </c>
      <c r="C186" s="293" t="s">
        <v>13</v>
      </c>
      <c r="D186" s="215" t="s">
        <v>264</v>
      </c>
      <c r="E186" s="323">
        <v>36000</v>
      </c>
      <c r="F186" s="214"/>
    </row>
    <row r="187" spans="1:6" ht="20.100000000000001" customHeight="1">
      <c r="A187" s="225"/>
      <c r="B187" s="211" t="s">
        <v>15</v>
      </c>
      <c r="C187" s="227" t="s">
        <v>561</v>
      </c>
      <c r="D187" s="23"/>
      <c r="E187" s="334">
        <v>2970000</v>
      </c>
      <c r="F187" s="214"/>
    </row>
    <row r="188" spans="1:6" ht="9" customHeight="1">
      <c r="A188" s="225"/>
      <c r="B188" s="211"/>
      <c r="C188" s="227"/>
      <c r="D188" s="23"/>
      <c r="E188" s="334"/>
      <c r="F188" s="214"/>
    </row>
    <row r="189" spans="1:6" ht="40.5" customHeight="1">
      <c r="A189" s="21"/>
      <c r="B189" s="313" t="s">
        <v>8</v>
      </c>
      <c r="C189" s="314">
        <f>C35+C40+C55+C60+C76+C84+C97+C104+C114+C131+C187</f>
        <v>145</v>
      </c>
      <c r="D189" s="315"/>
      <c r="E189" s="316">
        <f>E187+E131+E119+E114+E104+E97+E84+E76+E60+E55+E40+E35</f>
        <v>13068000</v>
      </c>
      <c r="F189" s="214"/>
    </row>
    <row r="190" spans="1:6" ht="20.100000000000001" customHeight="1">
      <c r="A190" s="203"/>
      <c r="B190" s="232"/>
      <c r="C190" s="203"/>
      <c r="D190" s="233"/>
      <c r="E190" s="233"/>
      <c r="F190" s="236"/>
    </row>
    <row r="191" spans="1:6" ht="65.25" customHeight="1">
      <c r="A191" s="203"/>
      <c r="B191" s="232"/>
      <c r="C191" s="233"/>
      <c r="D191" s="233"/>
      <c r="E191" s="233"/>
      <c r="F191" s="337"/>
    </row>
    <row r="192" spans="1:6" ht="20.100000000000001" customHeight="1">
      <c r="F192" s="337"/>
    </row>
    <row r="193" spans="6:6" ht="20.100000000000001" customHeight="1">
      <c r="F193" s="337"/>
    </row>
    <row r="194" spans="6:6" ht="20.100000000000001" customHeight="1">
      <c r="F194" s="33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7109375" style="197" customWidth="1"/>
    <col min="6" max="6" width="20.42578125" style="197" customWidth="1"/>
    <col min="7" max="7" width="19.5703125" style="197" customWidth="1"/>
    <col min="8" max="8" width="20.140625" style="197" customWidth="1"/>
    <col min="9" max="9" width="21.7109375" style="197" customWidth="1"/>
    <col min="10" max="16384" width="9.140625" style="197"/>
  </cols>
  <sheetData>
    <row r="1" spans="1:9" ht="27" customHeight="1">
      <c r="A1" s="340" t="s">
        <v>234</v>
      </c>
      <c r="B1" s="340"/>
      <c r="C1" s="340"/>
      <c r="D1" s="340"/>
    </row>
    <row r="2" spans="1:9" ht="33.75" customHeight="1">
      <c r="A2" s="198" t="s">
        <v>497</v>
      </c>
      <c r="B2" s="199"/>
      <c r="C2" s="198"/>
      <c r="D2" s="198"/>
      <c r="E2" s="202"/>
      <c r="F2" s="202"/>
      <c r="G2" s="202"/>
    </row>
    <row r="3" spans="1:9" ht="9.75" customHeight="1">
      <c r="A3" s="203"/>
      <c r="B3" s="203"/>
      <c r="C3" s="203"/>
      <c r="D3" s="203"/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8" t="s">
        <v>370</v>
      </c>
      <c r="F4" s="208" t="s">
        <v>371</v>
      </c>
      <c r="G4" s="209" t="s">
        <v>510</v>
      </c>
    </row>
    <row r="5" spans="1:9" ht="20.100000000000001" customHeight="1">
      <c r="A5" s="210" t="s">
        <v>143</v>
      </c>
      <c r="B5" s="211" t="s">
        <v>435</v>
      </c>
      <c r="C5" s="211"/>
      <c r="D5" s="211"/>
      <c r="E5" s="212" t="s">
        <v>5</v>
      </c>
      <c r="F5" s="252" t="s">
        <v>5</v>
      </c>
      <c r="G5" s="212" t="s">
        <v>5</v>
      </c>
    </row>
    <row r="6" spans="1:9" ht="20.100000000000001" customHeight="1">
      <c r="A6" s="29">
        <v>1</v>
      </c>
      <c r="B6" s="189" t="s">
        <v>224</v>
      </c>
      <c r="C6" s="293" t="s">
        <v>119</v>
      </c>
      <c r="D6" s="293" t="s">
        <v>34</v>
      </c>
      <c r="E6" s="24">
        <f>201165.84</f>
        <v>201165.84</v>
      </c>
      <c r="F6" s="241">
        <v>201165.83594666663</v>
      </c>
      <c r="G6" s="24">
        <v>0</v>
      </c>
      <c r="H6" s="214"/>
      <c r="I6" s="214"/>
    </row>
    <row r="7" spans="1:9" ht="20.100000000000001" customHeight="1">
      <c r="A7" s="29">
        <v>2</v>
      </c>
      <c r="B7" s="189" t="s">
        <v>137</v>
      </c>
      <c r="C7" s="21" t="s">
        <v>474</v>
      </c>
      <c r="D7" s="29" t="s">
        <v>160</v>
      </c>
      <c r="E7" s="26" t="e">
        <f>#REF!</f>
        <v>#REF!</v>
      </c>
      <c r="F7" s="241">
        <v>128510.39445866668</v>
      </c>
      <c r="G7" s="24" t="e">
        <f>F7-E7</f>
        <v>#REF!</v>
      </c>
      <c r="H7" s="214"/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116473.51</f>
        <v>116473.51</v>
      </c>
      <c r="F8" s="241">
        <v>119107.95141866668</v>
      </c>
      <c r="G8" s="24">
        <f t="shared" ref="G8:G36" si="0">F8-E8</f>
        <v>2634.4414186666836</v>
      </c>
      <c r="H8" s="214"/>
      <c r="I8" s="214"/>
    </row>
    <row r="9" spans="1:9" ht="20.100000000000001" customHeight="1">
      <c r="A9" s="29">
        <v>4</v>
      </c>
      <c r="B9" s="189" t="s">
        <v>315</v>
      </c>
      <c r="C9" s="293" t="s">
        <v>316</v>
      </c>
      <c r="D9" s="29" t="s">
        <v>498</v>
      </c>
      <c r="E9" s="24">
        <f>79993.51</f>
        <v>79993.509999999995</v>
      </c>
      <c r="F9" s="241">
        <v>82627.951418666678</v>
      </c>
      <c r="G9" s="24">
        <f t="shared" si="0"/>
        <v>2634.4414186666836</v>
      </c>
      <c r="H9" s="214"/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f>107095.69</f>
        <v>107095.69</v>
      </c>
      <c r="F10" s="241">
        <v>109730.05337066665</v>
      </c>
      <c r="G10" s="24">
        <f t="shared" si="0"/>
        <v>2634.3633706666442</v>
      </c>
      <c r="H10" s="214"/>
      <c r="I10" s="214"/>
    </row>
    <row r="11" spans="1:9" ht="20.100000000000001" customHeight="1">
      <c r="A11" s="29">
        <v>6</v>
      </c>
      <c r="B11" s="191" t="s">
        <v>112</v>
      </c>
      <c r="C11" s="21" t="s">
        <v>475</v>
      </c>
      <c r="D11" s="25" t="s">
        <v>221</v>
      </c>
      <c r="E11" s="24" t="e">
        <f>#REF!</f>
        <v>#REF!</v>
      </c>
      <c r="F11" s="241">
        <v>99032.677850666674</v>
      </c>
      <c r="G11" s="24" t="e">
        <f t="shared" si="0"/>
        <v>#REF!</v>
      </c>
      <c r="H11" s="214"/>
      <c r="I11" s="214"/>
    </row>
    <row r="12" spans="1:9" ht="20.100000000000001" customHeight="1">
      <c r="A12" s="29">
        <v>7</v>
      </c>
      <c r="B12" s="189" t="s">
        <v>187</v>
      </c>
      <c r="C12" s="156" t="s">
        <v>476</v>
      </c>
      <c r="D12" s="25" t="s">
        <v>221</v>
      </c>
      <c r="E12" s="26" t="e">
        <f>#REF!</f>
        <v>#REF!</v>
      </c>
      <c r="F12" s="241">
        <v>79832.677850666674</v>
      </c>
      <c r="G12" s="24" t="e">
        <f t="shared" si="0"/>
        <v>#REF!</v>
      </c>
      <c r="H12" s="214"/>
      <c r="I12" s="214"/>
    </row>
    <row r="13" spans="1:9" ht="20.100000000000001" customHeight="1">
      <c r="A13" s="29">
        <v>8</v>
      </c>
      <c r="B13" s="191" t="s">
        <v>203</v>
      </c>
      <c r="C13" s="21" t="s">
        <v>477</v>
      </c>
      <c r="D13" s="25" t="s">
        <v>221</v>
      </c>
      <c r="E13" s="24" t="e">
        <f>#REF!</f>
        <v>#REF!</v>
      </c>
      <c r="F13" s="241">
        <v>79832.677850666674</v>
      </c>
      <c r="G13" s="24" t="e">
        <f t="shared" si="0"/>
        <v>#REF!</v>
      </c>
      <c r="H13" s="214"/>
      <c r="I13" s="214"/>
    </row>
    <row r="14" spans="1:9" ht="20.100000000000001" customHeight="1">
      <c r="A14" s="29">
        <v>9</v>
      </c>
      <c r="B14" s="189" t="s">
        <v>111</v>
      </c>
      <c r="C14" s="293" t="s">
        <v>470</v>
      </c>
      <c r="D14" s="215" t="s">
        <v>75</v>
      </c>
      <c r="E14" s="26">
        <f>64436.1</f>
        <v>64436.1</v>
      </c>
      <c r="F14" s="241">
        <v>64436.103146666661</v>
      </c>
      <c r="G14" s="24">
        <f t="shared" si="0"/>
        <v>3.1466666623600759E-3</v>
      </c>
      <c r="H14" s="214"/>
      <c r="I14" s="214"/>
    </row>
    <row r="15" spans="1:9" ht="20.100000000000001" customHeight="1">
      <c r="A15" s="29">
        <v>10</v>
      </c>
      <c r="B15" s="190" t="s">
        <v>333</v>
      </c>
      <c r="C15" s="293" t="s">
        <v>387</v>
      </c>
      <c r="D15" s="29" t="s">
        <v>412</v>
      </c>
      <c r="E15" s="24">
        <f>60212.92</f>
        <v>60212.92</v>
      </c>
      <c r="F15" s="241">
        <v>62404.980266666658</v>
      </c>
      <c r="G15" s="24">
        <f t="shared" si="0"/>
        <v>2192.06026666666</v>
      </c>
      <c r="H15" s="214"/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4">
        <f>52638.9</f>
        <v>52638.9</v>
      </c>
      <c r="F16" s="241">
        <v>54186.609434666672</v>
      </c>
      <c r="G16" s="24">
        <f t="shared" si="0"/>
        <v>1547.7094346666709</v>
      </c>
      <c r="H16" s="214"/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4">
        <f>43380</f>
        <v>43380</v>
      </c>
      <c r="F17" s="241">
        <v>44734.339388666653</v>
      </c>
      <c r="G17" s="24">
        <f t="shared" si="0"/>
        <v>1354.3393886666527</v>
      </c>
      <c r="H17" s="214"/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4">
        <f>85278.9</f>
        <v>85278.9</v>
      </c>
      <c r="F18" s="241">
        <v>86826.60943466665</v>
      </c>
      <c r="G18" s="24">
        <f t="shared" si="0"/>
        <v>1547.7094346666563</v>
      </c>
      <c r="H18" s="214"/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 t="e">
        <f>#REF!</f>
        <v>#REF!</v>
      </c>
      <c r="F19" s="241">
        <v>44006.616588666657</v>
      </c>
      <c r="G19" s="24" t="e">
        <f t="shared" si="0"/>
        <v>#REF!</v>
      </c>
      <c r="H19" s="214"/>
      <c r="I19" s="214"/>
    </row>
    <row r="20" spans="1:9" ht="20.100000000000001" customHeight="1">
      <c r="A20" s="29">
        <v>15</v>
      </c>
      <c r="B20" s="189" t="s">
        <v>334</v>
      </c>
      <c r="C20" s="293" t="s">
        <v>351</v>
      </c>
      <c r="D20" s="215" t="s">
        <v>163</v>
      </c>
      <c r="E20" s="26">
        <f>46673.26</f>
        <v>46673.26</v>
      </c>
      <c r="F20" s="241">
        <v>46666.666666666664</v>
      </c>
      <c r="G20" s="24">
        <f t="shared" si="0"/>
        <v>-6.5933333333377959</v>
      </c>
      <c r="H20" s="214"/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63364.81</f>
        <v>63364.81</v>
      </c>
      <c r="F21" s="241">
        <v>64913.263658666656</v>
      </c>
      <c r="G21" s="24">
        <f t="shared" si="0"/>
        <v>1548.4536586666582</v>
      </c>
      <c r="H21" s="214"/>
      <c r="I21" s="214"/>
    </row>
    <row r="22" spans="1:9" ht="20.100000000000001" customHeight="1">
      <c r="A22" s="29">
        <v>17</v>
      </c>
      <c r="B22" s="189" t="s">
        <v>141</v>
      </c>
      <c r="C22" s="293" t="s">
        <v>391</v>
      </c>
      <c r="D22" s="215" t="s">
        <v>499</v>
      </c>
      <c r="E22" s="26">
        <f>31848.56</f>
        <v>31848.560000000001</v>
      </c>
      <c r="F22" s="241">
        <v>34871.967414666666</v>
      </c>
      <c r="G22" s="24">
        <f t="shared" si="0"/>
        <v>3023.4074146666644</v>
      </c>
      <c r="H22" s="214"/>
      <c r="I22" s="214"/>
    </row>
    <row r="23" spans="1:9" ht="18.75" customHeight="1">
      <c r="A23" s="29">
        <v>18</v>
      </c>
      <c r="B23" s="189" t="s">
        <v>253</v>
      </c>
      <c r="C23" s="293" t="s">
        <v>480</v>
      </c>
      <c r="D23" s="215" t="s">
        <v>415</v>
      </c>
      <c r="E23" s="26" t="e">
        <f>#REF!</f>
        <v>#REF!</v>
      </c>
      <c r="F23" s="241">
        <v>32008.563458666671</v>
      </c>
      <c r="G23" s="24" t="e">
        <f t="shared" si="0"/>
        <v>#REF!</v>
      </c>
      <c r="H23" s="214"/>
      <c r="I23" s="214"/>
    </row>
    <row r="24" spans="1:9" ht="18.75" customHeight="1">
      <c r="A24" s="29">
        <v>19</v>
      </c>
      <c r="B24" s="189" t="s">
        <v>247</v>
      </c>
      <c r="C24" s="21" t="s">
        <v>479</v>
      </c>
      <c r="D24" s="215" t="s">
        <v>415</v>
      </c>
      <c r="E24" s="26" t="e">
        <f>#REF!</f>
        <v>#REF!</v>
      </c>
      <c r="F24" s="241">
        <v>32098.951098666672</v>
      </c>
      <c r="G24" s="24" t="e">
        <f t="shared" si="0"/>
        <v>#REF!</v>
      </c>
      <c r="H24" s="214"/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27105.99</f>
        <v>27105.99</v>
      </c>
      <c r="F25" s="241">
        <v>27873.079686666664</v>
      </c>
      <c r="G25" s="24">
        <f t="shared" si="0"/>
        <v>767.0896866666626</v>
      </c>
      <c r="H25" s="214"/>
      <c r="I25" s="214"/>
    </row>
    <row r="26" spans="1:9" ht="18.75" customHeight="1">
      <c r="A26" s="29">
        <v>21</v>
      </c>
      <c r="B26" s="190" t="s">
        <v>275</v>
      </c>
      <c r="C26" s="293" t="s">
        <v>314</v>
      </c>
      <c r="D26" s="215" t="s">
        <v>164</v>
      </c>
      <c r="E26" s="213">
        <f>26339.08</f>
        <v>26339.08</v>
      </c>
      <c r="F26" s="241">
        <v>27105.986562666669</v>
      </c>
      <c r="G26" s="24">
        <f t="shared" si="0"/>
        <v>766.90656266666701</v>
      </c>
      <c r="H26" s="214"/>
      <c r="I26" s="214"/>
    </row>
    <row r="27" spans="1:9" ht="18.75" customHeight="1">
      <c r="A27" s="29">
        <v>22</v>
      </c>
      <c r="B27" s="21" t="s">
        <v>436</v>
      </c>
      <c r="C27" s="21" t="s">
        <v>17</v>
      </c>
      <c r="D27" s="29" t="s">
        <v>500</v>
      </c>
      <c r="E27" s="26">
        <v>21640.95</v>
      </c>
      <c r="F27" s="241">
        <v>21640.952862666669</v>
      </c>
      <c r="G27" s="24">
        <f t="shared" si="0"/>
        <v>2.8626666680793278E-3</v>
      </c>
      <c r="H27" s="214"/>
      <c r="I27" s="214"/>
    </row>
    <row r="28" spans="1:9" ht="18.75" customHeight="1">
      <c r="A28" s="29">
        <v>23</v>
      </c>
      <c r="B28" s="190" t="s">
        <v>254</v>
      </c>
      <c r="C28" s="293" t="s">
        <v>17</v>
      </c>
      <c r="D28" s="215" t="s">
        <v>500</v>
      </c>
      <c r="E28" s="26">
        <f>21640.95</f>
        <v>21640.95</v>
      </c>
      <c r="F28" s="241">
        <v>22338.48260466666</v>
      </c>
      <c r="G28" s="24">
        <f t="shared" si="0"/>
        <v>697.53260466665961</v>
      </c>
      <c r="H28" s="214"/>
      <c r="I28" s="214"/>
    </row>
    <row r="29" spans="1:9" ht="18.75" customHeight="1">
      <c r="A29" s="29">
        <v>24</v>
      </c>
      <c r="B29" s="189" t="s">
        <v>248</v>
      </c>
      <c r="C29" s="293" t="s">
        <v>482</v>
      </c>
      <c r="D29" s="215" t="s">
        <v>500</v>
      </c>
      <c r="E29" s="26">
        <v>21640.95</v>
      </c>
      <c r="F29" s="241">
        <v>22338.48260466666</v>
      </c>
      <c r="G29" s="24">
        <f t="shared" si="0"/>
        <v>697.53260466665961</v>
      </c>
      <c r="H29" s="214"/>
      <c r="I29" s="214"/>
    </row>
    <row r="30" spans="1:9" ht="18.75" customHeight="1">
      <c r="A30" s="29">
        <v>25</v>
      </c>
      <c r="B30" s="190" t="s">
        <v>288</v>
      </c>
      <c r="C30" s="293" t="s">
        <v>249</v>
      </c>
      <c r="D30" s="215" t="s">
        <v>411</v>
      </c>
      <c r="E30" s="26">
        <f>17572.89</f>
        <v>17572.89</v>
      </c>
      <c r="F30" s="241">
        <v>18102.902732666666</v>
      </c>
      <c r="G30" s="24">
        <f t="shared" si="0"/>
        <v>530.01273266666612</v>
      </c>
      <c r="H30" s="214"/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13">
        <f>17572.89</f>
        <v>17572.89</v>
      </c>
      <c r="F31" s="241">
        <v>18102.902732666666</v>
      </c>
      <c r="G31" s="24">
        <f t="shared" si="0"/>
        <v>530.01273266666612</v>
      </c>
      <c r="H31" s="214"/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f>17572.89</f>
        <v>17572.89</v>
      </c>
      <c r="F32" s="241">
        <v>18102.902732666666</v>
      </c>
      <c r="G32" s="24">
        <f t="shared" si="0"/>
        <v>530.01273266666612</v>
      </c>
      <c r="H32" s="214"/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500</v>
      </c>
      <c r="E33" s="213">
        <v>21640.95</v>
      </c>
      <c r="F33" s="241">
        <v>22338.48260466666</v>
      </c>
      <c r="G33" s="24">
        <f t="shared" si="0"/>
        <v>697.53260466665961</v>
      </c>
      <c r="H33" s="214"/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16512.68</f>
        <v>16512.68</v>
      </c>
      <c r="F34" s="241">
        <v>17042.713866666669</v>
      </c>
      <c r="G34" s="24">
        <f t="shared" si="0"/>
        <v>530.03386666666847</v>
      </c>
      <c r="H34" s="214"/>
      <c r="I34" s="214"/>
    </row>
    <row r="35" spans="1:9" ht="18.75" customHeight="1">
      <c r="A35" s="29">
        <v>30</v>
      </c>
      <c r="B35" s="190" t="s">
        <v>274</v>
      </c>
      <c r="C35" s="293" t="s">
        <v>314</v>
      </c>
      <c r="D35" s="215" t="s">
        <v>176</v>
      </c>
      <c r="E35" s="26">
        <f t="shared" ref="E35:E36" si="1">16512.68</f>
        <v>16512.68</v>
      </c>
      <c r="F35" s="241">
        <v>17042.865866666671</v>
      </c>
      <c r="G35" s="24">
        <f t="shared" si="0"/>
        <v>530.18586666667034</v>
      </c>
      <c r="H35" s="214"/>
      <c r="I35" s="214"/>
    </row>
    <row r="36" spans="1:9" ht="18.75" customHeight="1">
      <c r="A36" s="29">
        <v>31</v>
      </c>
      <c r="B36" s="190" t="s">
        <v>455</v>
      </c>
      <c r="C36" s="293" t="s">
        <v>314</v>
      </c>
      <c r="D36" s="215" t="s">
        <v>176</v>
      </c>
      <c r="E36" s="26">
        <f t="shared" si="1"/>
        <v>16512.68</v>
      </c>
      <c r="F36" s="241">
        <v>17043.017866666672</v>
      </c>
      <c r="G36" s="24">
        <f t="shared" si="0"/>
        <v>530.3378666666722</v>
      </c>
      <c r="H36" s="214"/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 t="e">
        <f t="shared" ref="E37" si="2">SUM(E6:E36)</f>
        <v>#REF!</v>
      </c>
      <c r="F37" s="217">
        <f t="shared" ref="F37" si="3">SUM(F6:F36)</f>
        <v>1716067.6634466664</v>
      </c>
      <c r="G37" s="217" t="e">
        <f t="shared" ref="G37" si="4">SUM(G6:G36)</f>
        <v>#REF!</v>
      </c>
      <c r="H37" s="214"/>
      <c r="I37" s="214"/>
    </row>
    <row r="38" spans="1:9" ht="18.75" customHeight="1">
      <c r="A38" s="29"/>
      <c r="B38" s="142"/>
      <c r="C38" s="21"/>
      <c r="D38" s="215"/>
      <c r="E38" s="217"/>
      <c r="F38" s="253"/>
      <c r="G38" s="217"/>
      <c r="H38" s="214"/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1"/>
      <c r="G39" s="24"/>
      <c r="H39" s="214"/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f>156349.82</f>
        <v>156349.82</v>
      </c>
      <c r="F40" s="241">
        <v>161106.80685866668</v>
      </c>
      <c r="G40" s="24">
        <f>F40-E40</f>
        <v>4756.9868586666707</v>
      </c>
      <c r="H40" s="214"/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6">
        <f>16512.68</f>
        <v>16512.68</v>
      </c>
      <c r="F41" s="241">
        <v>16512.68219066667</v>
      </c>
      <c r="G41" s="24">
        <f>F41-E41</f>
        <v>2.1906666697759647E-3</v>
      </c>
      <c r="H41" s="214"/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172862.5</v>
      </c>
      <c r="F42" s="253">
        <f>SUM(F40:F41)</f>
        <v>177619.48904933335</v>
      </c>
      <c r="G42" s="253">
        <f>SUM(G40:G41)</f>
        <v>4756.9890493333405</v>
      </c>
      <c r="H42" s="214"/>
      <c r="I42" s="214"/>
    </row>
    <row r="43" spans="1:9" ht="20.100000000000001" customHeight="1">
      <c r="A43" s="29"/>
      <c r="B43" s="191"/>
      <c r="C43" s="21"/>
      <c r="D43" s="29"/>
      <c r="E43" s="217"/>
      <c r="F43" s="241"/>
      <c r="G43" s="24"/>
      <c r="H43" s="214"/>
      <c r="I43" s="214"/>
    </row>
    <row r="44" spans="1:9" ht="20.100000000000001" customHeight="1">
      <c r="A44" s="29"/>
      <c r="B44" s="219" t="s">
        <v>56</v>
      </c>
      <c r="C44" s="204"/>
      <c r="D44" s="208"/>
      <c r="E44" s="24"/>
      <c r="F44" s="241"/>
      <c r="G44" s="24"/>
      <c r="H44" s="214"/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f>180306.81</f>
        <v>180306.81</v>
      </c>
      <c r="F45" s="241">
        <v>180306.80685866671</v>
      </c>
      <c r="G45" s="24">
        <f>F45-E45</f>
        <v>-3.1413332908414304E-3</v>
      </c>
      <c r="H45" s="214"/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f>79956.94</f>
        <v>79956.94</v>
      </c>
      <c r="F46" s="241">
        <v>79956.939146666657</v>
      </c>
      <c r="G46" s="24">
        <f t="shared" ref="G46:G56" si="5">F46-E46</f>
        <v>-8.5333334573078901E-4</v>
      </c>
      <c r="H46" s="214"/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f>79956.94</f>
        <v>79956.94</v>
      </c>
      <c r="F47" s="241">
        <v>79956.939146666657</v>
      </c>
      <c r="G47" s="24">
        <f t="shared" si="5"/>
        <v>-8.5333334573078901E-4</v>
      </c>
      <c r="H47" s="214"/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f>77764.98</f>
        <v>77764.98</v>
      </c>
      <c r="F48" s="241">
        <v>79956.939146666657</v>
      </c>
      <c r="G48" s="24">
        <f t="shared" si="5"/>
        <v>2191.9591466666607</v>
      </c>
      <c r="H48" s="214"/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 t="e">
        <f>#REF!</f>
        <v>#REF!</v>
      </c>
      <c r="F49" s="241">
        <v>70061.519786666671</v>
      </c>
      <c r="G49" s="24" t="e">
        <f t="shared" si="5"/>
        <v>#REF!</v>
      </c>
      <c r="H49" s="214"/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f>56478.9</f>
        <v>56478.9</v>
      </c>
      <c r="F50" s="241">
        <v>57889.864794666668</v>
      </c>
      <c r="G50" s="24">
        <f t="shared" si="5"/>
        <v>1410.9647946666664</v>
      </c>
      <c r="H50" s="214"/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4">
        <f>56478.9</f>
        <v>56478.9</v>
      </c>
      <c r="F51" s="241">
        <v>58026.609434666672</v>
      </c>
      <c r="G51" s="24">
        <f t="shared" si="5"/>
        <v>1547.7094346666709</v>
      </c>
      <c r="H51" s="214"/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 t="e">
        <f>#REF!</f>
        <v>#REF!</v>
      </c>
      <c r="F52" s="241">
        <v>55518.902906666663</v>
      </c>
      <c r="G52" s="24" t="e">
        <f t="shared" si="5"/>
        <v>#REF!</v>
      </c>
      <c r="H52" s="214"/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f>48052.11</f>
        <v>48052.11</v>
      </c>
      <c r="F53" s="241">
        <v>49548.776186666662</v>
      </c>
      <c r="G53" s="24">
        <f t="shared" si="5"/>
        <v>1496.6661866666618</v>
      </c>
      <c r="H53" s="214"/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6">
        <f>28360.95</f>
        <v>28360.95</v>
      </c>
      <c r="F54" s="241">
        <v>28360.952862666662</v>
      </c>
      <c r="G54" s="24">
        <f t="shared" si="5"/>
        <v>2.8626666608033702E-3</v>
      </c>
      <c r="H54" s="214"/>
      <c r="I54" s="214"/>
    </row>
    <row r="55" spans="1:9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6">
        <f>28360.95</f>
        <v>28360.95</v>
      </c>
      <c r="F55" s="241">
        <v>28360.952862666662</v>
      </c>
      <c r="G55" s="24">
        <f t="shared" si="5"/>
        <v>2.8626666608033702E-3</v>
      </c>
      <c r="H55" s="214"/>
      <c r="I55" s="214"/>
    </row>
    <row r="56" spans="1:9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6">
        <f>28360.95</f>
        <v>28360.95</v>
      </c>
      <c r="F56" s="241">
        <v>28360.952862666662</v>
      </c>
      <c r="G56" s="24">
        <f t="shared" si="5"/>
        <v>2.8626666608033702E-3</v>
      </c>
      <c r="H56" s="214"/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4"/>
      <c r="I57" s="214"/>
    </row>
    <row r="58" spans="1:9" ht="20.100000000000001" customHeight="1">
      <c r="A58" s="29"/>
      <c r="B58" s="142"/>
      <c r="C58" s="30"/>
      <c r="D58" s="30"/>
      <c r="E58" s="31"/>
      <c r="F58" s="255"/>
      <c r="G58" s="31"/>
      <c r="H58" s="214"/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255"/>
      <c r="G59" s="31"/>
      <c r="H59" s="214"/>
      <c r="I59" s="214"/>
    </row>
    <row r="60" spans="1:9" ht="20.100000000000001" customHeight="1">
      <c r="A60" s="29">
        <v>1</v>
      </c>
      <c r="B60" s="189" t="s">
        <v>11</v>
      </c>
      <c r="C60" s="293" t="s">
        <v>200</v>
      </c>
      <c r="D60" s="215" t="s">
        <v>161</v>
      </c>
      <c r="E60" s="26">
        <f>180306.81</f>
        <v>180306.81</v>
      </c>
      <c r="F60" s="241">
        <f>'[4]August 2022  (2)'!$AA$56</f>
        <v>180306.80685866671</v>
      </c>
      <c r="G60" s="24">
        <f>F60-E60</f>
        <v>-3.1413332908414304E-3</v>
      </c>
      <c r="H60" s="214"/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4"/>
      <c r="I61" s="214"/>
    </row>
    <row r="62" spans="1:9" ht="20.100000000000001" customHeight="1">
      <c r="A62" s="29"/>
      <c r="B62" s="192"/>
      <c r="C62" s="30"/>
      <c r="D62" s="30"/>
      <c r="E62" s="31"/>
      <c r="F62" s="255"/>
      <c r="G62" s="31"/>
      <c r="H62" s="214"/>
      <c r="I62" s="214"/>
    </row>
    <row r="63" spans="1:9" ht="20.100000000000001" customHeight="1">
      <c r="A63" s="29"/>
      <c r="B63" s="192" t="s">
        <v>463</v>
      </c>
      <c r="C63" s="30"/>
      <c r="D63" s="30"/>
      <c r="E63" s="31"/>
      <c r="F63" s="255"/>
      <c r="G63" s="31"/>
      <c r="H63" s="214"/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f>180306.81</f>
        <v>180306.81</v>
      </c>
      <c r="F64" s="242">
        <v>180306.80685866671</v>
      </c>
      <c r="G64" s="26">
        <f>F64-E64</f>
        <v>-3.1413332908414304E-3</v>
      </c>
      <c r="H64" s="214"/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6">
        <v>75572.92</v>
      </c>
      <c r="F65" s="242">
        <v>75572.915690666661</v>
      </c>
      <c r="G65" s="26">
        <f t="shared" ref="G65:G76" si="7">F65-E65</f>
        <v>-4.3093333370052278E-3</v>
      </c>
      <c r="H65" s="214"/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f>48170.87</f>
        <v>48170.87</v>
      </c>
      <c r="F66" s="242">
        <v>49548.776186666662</v>
      </c>
      <c r="G66" s="26">
        <f t="shared" si="7"/>
        <v>1377.9061866666598</v>
      </c>
      <c r="H66" s="214"/>
      <c r="I66" s="214"/>
    </row>
    <row r="67" spans="1:9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f>46673.26</f>
        <v>46673.26</v>
      </c>
      <c r="F67" s="242">
        <v>48170.870282666663</v>
      </c>
      <c r="G67" s="26">
        <f t="shared" si="7"/>
        <v>1497.6102826666611</v>
      </c>
      <c r="H67" s="214"/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4">
        <v>56478.9</v>
      </c>
      <c r="F68" s="242">
        <v>58026.609434666672</v>
      </c>
      <c r="G68" s="26">
        <f t="shared" si="7"/>
        <v>1547.7094346666709</v>
      </c>
      <c r="H68" s="214"/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v>36127.269999999997</v>
      </c>
      <c r="F69" s="242">
        <v>37661.421354666665</v>
      </c>
      <c r="G69" s="26">
        <f t="shared" si="7"/>
        <v>1534.1513546666683</v>
      </c>
      <c r="H69" s="214"/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499</v>
      </c>
      <c r="E70" s="26">
        <v>41248.559999999998</v>
      </c>
      <c r="F70" s="242">
        <v>43278.494774666666</v>
      </c>
      <c r="G70" s="26">
        <f t="shared" si="7"/>
        <v>2029.9347746666681</v>
      </c>
      <c r="H70" s="214"/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6">
        <f>40149.18</f>
        <v>40149.18</v>
      </c>
      <c r="F71" s="242">
        <v>40149.175266666673</v>
      </c>
      <c r="G71" s="26">
        <f t="shared" si="7"/>
        <v>-4.7333333277492784E-3</v>
      </c>
      <c r="H71" s="214"/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6">
        <f>40149.18</f>
        <v>40149.18</v>
      </c>
      <c r="F72" s="242">
        <v>40149.175266666673</v>
      </c>
      <c r="G72" s="26">
        <f t="shared" si="7"/>
        <v>-4.7333333277492784E-3</v>
      </c>
      <c r="H72" s="214"/>
      <c r="I72" s="214"/>
    </row>
    <row r="73" spans="1:9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 t="e">
        <f>#REF!</f>
        <v>#REF!</v>
      </c>
      <c r="F73" s="242">
        <f>'[4]August 2022  (2)'!$Z$69</f>
        <v>41338.951098666665</v>
      </c>
      <c r="G73" s="26" t="e">
        <f t="shared" si="7"/>
        <v>#REF!</v>
      </c>
      <c r="H73" s="214"/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f>32291.82</f>
        <v>32291.82</v>
      </c>
      <c r="F74" s="242">
        <v>33059.078406666667</v>
      </c>
      <c r="G74" s="26">
        <f t="shared" si="7"/>
        <v>767.25840666666772</v>
      </c>
      <c r="H74" s="214"/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24685.95</f>
        <v>24685.95</v>
      </c>
      <c r="F75" s="242">
        <v>29058.48260466666</v>
      </c>
      <c r="G75" s="26">
        <f t="shared" si="7"/>
        <v>4372.5326046666596</v>
      </c>
      <c r="H75" s="214"/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24685.95</f>
        <v>24685.95</v>
      </c>
      <c r="F76" s="242">
        <v>25271.771466666669</v>
      </c>
      <c r="G76" s="26">
        <f t="shared" si="7"/>
        <v>585.82146666666813</v>
      </c>
      <c r="H76" s="214"/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4"/>
      <c r="I77" s="214"/>
    </row>
    <row r="78" spans="1:9" ht="20.100000000000001" customHeight="1">
      <c r="A78" s="29"/>
      <c r="B78" s="142"/>
      <c r="C78" s="30"/>
      <c r="D78" s="30"/>
      <c r="E78" s="31"/>
      <c r="F78" s="255"/>
      <c r="G78" s="31"/>
      <c r="H78" s="214"/>
      <c r="I78" s="214"/>
    </row>
    <row r="79" spans="1:9" ht="20.100000000000001" customHeight="1">
      <c r="A79" s="29"/>
      <c r="B79" s="192" t="s">
        <v>464</v>
      </c>
      <c r="C79" s="30"/>
      <c r="D79" s="30"/>
      <c r="E79" s="31"/>
      <c r="F79" s="255"/>
      <c r="G79" s="31"/>
      <c r="H79" s="214"/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f>180306.81</f>
        <v>180306.81</v>
      </c>
      <c r="F80" s="241">
        <v>180306.80685866671</v>
      </c>
      <c r="G80" s="24">
        <f>F80-E80</f>
        <v>-3.1413332908414304E-3</v>
      </c>
      <c r="H80" s="214"/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6">
        <f>75572.92</f>
        <v>75572.92</v>
      </c>
      <c r="F81" s="241">
        <v>75572.915690666661</v>
      </c>
      <c r="G81" s="24">
        <f t="shared" ref="G81:G84" si="9">F81-E81</f>
        <v>-4.3093333370052278E-3</v>
      </c>
      <c r="H81" s="214"/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6">
        <f>75572.92</f>
        <v>75572.92</v>
      </c>
      <c r="F82" s="241">
        <v>75572.915690666661</v>
      </c>
      <c r="G82" s="24">
        <f t="shared" si="9"/>
        <v>-4.3093333370052278E-3</v>
      </c>
      <c r="H82" s="214"/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48170.87</v>
      </c>
      <c r="F83" s="241">
        <v>49548.776186666662</v>
      </c>
      <c r="G83" s="24">
        <f t="shared" si="9"/>
        <v>1377.9061866666598</v>
      </c>
      <c r="H83" s="214"/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f>32291.82</f>
        <v>32291.82</v>
      </c>
      <c r="F84" s="241">
        <v>33059.078406666667</v>
      </c>
      <c r="G84" s="24">
        <f t="shared" si="9"/>
        <v>767.25840666666772</v>
      </c>
      <c r="H84" s="214"/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4"/>
      <c r="I85" s="214"/>
    </row>
    <row r="86" spans="1:9" ht="20.100000000000001" customHeight="1">
      <c r="A86" s="29"/>
      <c r="B86" s="192"/>
      <c r="C86" s="30"/>
      <c r="D86" s="30"/>
      <c r="E86" s="31"/>
      <c r="F86" s="241"/>
      <c r="G86" s="24"/>
      <c r="H86" s="214"/>
      <c r="I86" s="214"/>
    </row>
    <row r="87" spans="1:9" ht="20.100000000000001" customHeight="1">
      <c r="A87" s="29"/>
      <c r="B87" s="192" t="s">
        <v>465</v>
      </c>
      <c r="C87" s="220"/>
      <c r="D87" s="30"/>
      <c r="E87" s="31"/>
      <c r="F87" s="241"/>
      <c r="G87" s="24"/>
      <c r="H87" s="214"/>
      <c r="I87" s="214"/>
    </row>
    <row r="88" spans="1:9" ht="23.25" customHeight="1">
      <c r="A88" s="29">
        <v>1</v>
      </c>
      <c r="B88" s="189" t="s">
        <v>506</v>
      </c>
      <c r="C88" s="21" t="s">
        <v>312</v>
      </c>
      <c r="D88" s="29" t="s">
        <v>160</v>
      </c>
      <c r="E88" s="26">
        <f>97273.51</f>
        <v>97273.51</v>
      </c>
      <c r="F88" s="241">
        <v>99907.951418666678</v>
      </c>
      <c r="G88" s="24">
        <f>F88-E88</f>
        <v>2634.4414186666836</v>
      </c>
      <c r="H88" s="214"/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f>79956.94</f>
        <v>79956.94</v>
      </c>
      <c r="F89" s="241">
        <v>79956.939146666657</v>
      </c>
      <c r="G89" s="24">
        <f t="shared" ref="G89:G98" si="11">F89-E89</f>
        <v>-8.5333334573078901E-4</v>
      </c>
      <c r="H89" s="214"/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f>79796.1</f>
        <v>79796.100000000006</v>
      </c>
      <c r="F90" s="241">
        <v>79796.103146666646</v>
      </c>
      <c r="G90" s="24">
        <f t="shared" si="11"/>
        <v>3.146666640532203E-3</v>
      </c>
      <c r="H90" s="214"/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4">
        <f>57894.08</f>
        <v>57894.080000000002</v>
      </c>
      <c r="F91" s="241">
        <v>59441.782042666666</v>
      </c>
      <c r="G91" s="24">
        <f t="shared" si="11"/>
        <v>1547.7020426666641</v>
      </c>
      <c r="H91" s="214"/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4">
        <f>56478.9</f>
        <v>56478.9</v>
      </c>
      <c r="F92" s="241">
        <v>58026.609434666672</v>
      </c>
      <c r="G92" s="24">
        <f t="shared" si="11"/>
        <v>1547.7094346666709</v>
      </c>
      <c r="H92" s="214"/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f>48170.87</f>
        <v>48170.87</v>
      </c>
      <c r="F93" s="241">
        <v>49548.776186666662</v>
      </c>
      <c r="G93" s="24">
        <f t="shared" si="11"/>
        <v>1377.9061866666598</v>
      </c>
      <c r="H93" s="214"/>
      <c r="I93" s="214"/>
    </row>
    <row r="94" spans="1:9" ht="21.6" customHeight="1">
      <c r="A94" s="29">
        <v>7</v>
      </c>
      <c r="B94" s="189" t="s">
        <v>336</v>
      </c>
      <c r="C94" s="293" t="s">
        <v>257</v>
      </c>
      <c r="D94" s="215" t="s">
        <v>163</v>
      </c>
      <c r="E94" s="26">
        <f>46673.26</f>
        <v>46673.26</v>
      </c>
      <c r="F94" s="241">
        <v>48170.870282666663</v>
      </c>
      <c r="G94" s="24">
        <f t="shared" si="11"/>
        <v>1497.6102826666611</v>
      </c>
      <c r="H94" s="214"/>
      <c r="I94" s="214"/>
    </row>
    <row r="95" spans="1:9" ht="21.6" customHeight="1">
      <c r="A95" s="29">
        <v>8</v>
      </c>
      <c r="B95" s="189" t="s">
        <v>337</v>
      </c>
      <c r="C95" s="293" t="s">
        <v>257</v>
      </c>
      <c r="D95" s="215" t="s">
        <v>163</v>
      </c>
      <c r="E95" s="26">
        <f>46673.26</f>
        <v>46673.26</v>
      </c>
      <c r="F95" s="241">
        <v>48170.870282666663</v>
      </c>
      <c r="G95" s="24">
        <f t="shared" si="11"/>
        <v>1497.6102826666611</v>
      </c>
      <c r="H95" s="214"/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6">
        <f>40149.18</f>
        <v>40149.18</v>
      </c>
      <c r="F96" s="242">
        <v>40149.175266666673</v>
      </c>
      <c r="G96" s="24">
        <f t="shared" si="11"/>
        <v>-4.7333333277492784E-3</v>
      </c>
      <c r="H96" s="214"/>
      <c r="I96" s="214"/>
    </row>
    <row r="97" spans="1:9" ht="21.6" customHeight="1">
      <c r="A97" s="29">
        <v>10</v>
      </c>
      <c r="B97" s="189" t="s">
        <v>438</v>
      </c>
      <c r="C97" s="21" t="s">
        <v>472</v>
      </c>
      <c r="D97" s="29" t="s">
        <v>104</v>
      </c>
      <c r="E97" s="26">
        <v>0</v>
      </c>
      <c r="F97" s="241">
        <v>0</v>
      </c>
      <c r="G97" s="24">
        <f t="shared" si="11"/>
        <v>0</v>
      </c>
      <c r="H97" s="214"/>
      <c r="I97" s="214"/>
    </row>
    <row r="98" spans="1:9" ht="21.6" customHeight="1">
      <c r="A98" s="29">
        <v>11</v>
      </c>
      <c r="B98" s="189" t="s">
        <v>406</v>
      </c>
      <c r="C98" s="156" t="s">
        <v>434</v>
      </c>
      <c r="D98" s="215" t="s">
        <v>176</v>
      </c>
      <c r="E98" s="26">
        <f>24685.95</f>
        <v>24685.95</v>
      </c>
      <c r="F98" s="242">
        <v>24749.797062666661</v>
      </c>
      <c r="G98" s="24">
        <f t="shared" si="11"/>
        <v>63.847062666660349</v>
      </c>
      <c r="H98" s="214"/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4"/>
      <c r="I99" s="214"/>
    </row>
    <row r="100" spans="1:9" ht="20.100000000000001" customHeight="1">
      <c r="A100" s="29"/>
      <c r="B100" s="142"/>
      <c r="C100" s="30"/>
      <c r="D100" s="30"/>
      <c r="E100" s="31"/>
      <c r="F100" s="255"/>
      <c r="G100" s="31"/>
      <c r="H100" s="214"/>
      <c r="I100" s="214"/>
    </row>
    <row r="101" spans="1:9" ht="20.100000000000001" customHeight="1">
      <c r="A101" s="29"/>
      <c r="B101" s="192" t="s">
        <v>466</v>
      </c>
      <c r="C101" s="30"/>
      <c r="D101" s="30"/>
      <c r="E101" s="31"/>
      <c r="F101" s="255"/>
      <c r="G101" s="31"/>
      <c r="H101" s="214"/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6">
        <f>79993.51</f>
        <v>79993.509999999995</v>
      </c>
      <c r="F102" s="241">
        <v>79993.513850666655</v>
      </c>
      <c r="G102" s="24">
        <f>F102-E102</f>
        <v>3.8506666605826467E-3</v>
      </c>
      <c r="H102" s="214"/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4">
        <f>43380.1</f>
        <v>43380.1</v>
      </c>
      <c r="F103" s="241">
        <v>44734.339388666674</v>
      </c>
      <c r="G103" s="24">
        <f t="shared" ref="G103:G105" si="13">F103-E103</f>
        <v>1354.2393886666759</v>
      </c>
      <c r="H103" s="214"/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f>38272.44</f>
        <v>38272.44</v>
      </c>
      <c r="F104" s="241">
        <v>39582.844830666661</v>
      </c>
      <c r="G104" s="24">
        <f t="shared" si="13"/>
        <v>1310.4048306666591</v>
      </c>
      <c r="H104" s="214"/>
      <c r="I104" s="214"/>
    </row>
    <row r="105" spans="1:9" ht="20.100000000000001" customHeight="1">
      <c r="A105" s="29">
        <v>4</v>
      </c>
      <c r="B105" s="189" t="s">
        <v>237</v>
      </c>
      <c r="C105" s="21" t="s">
        <v>485</v>
      </c>
      <c r="D105" s="215" t="s">
        <v>415</v>
      </c>
      <c r="E105" s="26" t="e">
        <f>#REF!</f>
        <v>#REF!</v>
      </c>
      <c r="F105" s="241">
        <v>32098.951098666672</v>
      </c>
      <c r="G105" s="24" t="e">
        <f t="shared" si="13"/>
        <v>#REF!</v>
      </c>
      <c r="H105" s="214"/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4"/>
      <c r="I106" s="214"/>
    </row>
    <row r="107" spans="1:9" ht="20.100000000000001" customHeight="1">
      <c r="A107" s="21"/>
      <c r="B107" s="142"/>
      <c r="C107" s="30"/>
      <c r="D107" s="221"/>
      <c r="E107" s="31"/>
      <c r="F107" s="255"/>
      <c r="G107" s="31"/>
      <c r="H107" s="214"/>
      <c r="I107" s="214"/>
    </row>
    <row r="108" spans="1:9" ht="20.100000000000001" customHeight="1">
      <c r="A108" s="21"/>
      <c r="B108" s="192" t="s">
        <v>467</v>
      </c>
      <c r="C108" s="21"/>
      <c r="D108" s="21"/>
      <c r="E108" s="21"/>
      <c r="F108" s="256"/>
      <c r="G108" s="21"/>
      <c r="H108" s="214"/>
      <c r="I108" s="214"/>
    </row>
    <row r="109" spans="1:9" ht="20.100000000000001" customHeight="1">
      <c r="A109" s="21">
        <v>1</v>
      </c>
      <c r="B109" s="189" t="s">
        <v>216</v>
      </c>
      <c r="C109" s="293" t="s">
        <v>217</v>
      </c>
      <c r="D109" s="215" t="s">
        <v>161</v>
      </c>
      <c r="E109" s="26">
        <f>180306.81</f>
        <v>180306.81</v>
      </c>
      <c r="F109" s="241">
        <v>180145.9708586667</v>
      </c>
      <c r="G109" s="24">
        <f>F109-E109</f>
        <v>-160.83914133330109</v>
      </c>
      <c r="H109" s="214"/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 t="e">
        <f>#REF!</f>
        <v>#REF!</v>
      </c>
      <c r="F110" s="241">
        <v>97147.085210666657</v>
      </c>
      <c r="G110" s="24" t="e">
        <f t="shared" ref="G110:G115" si="15">F110-E110</f>
        <v>#REF!</v>
      </c>
      <c r="H110" s="214"/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4">
        <f>58814.67</f>
        <v>58814.67</v>
      </c>
      <c r="F111" s="241">
        <v>58941.101743466657</v>
      </c>
      <c r="G111" s="24">
        <f t="shared" si="15"/>
        <v>126.4317434666591</v>
      </c>
      <c r="H111" s="214"/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1">
        <v>58941.101743466657</v>
      </c>
      <c r="G112" s="24">
        <f t="shared" si="15"/>
        <v>1746.8617434666594</v>
      </c>
      <c r="H112" s="214"/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501</v>
      </c>
      <c r="E113" s="26">
        <f>30699.58</f>
        <v>30699.58</v>
      </c>
      <c r="F113" s="241">
        <v>31285.603203306662</v>
      </c>
      <c r="G113" s="24">
        <f t="shared" si="15"/>
        <v>586.02320330666043</v>
      </c>
      <c r="H113" s="214"/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f>30049.31</f>
        <v>30049.31</v>
      </c>
      <c r="F114" s="241">
        <v>30635.120688666666</v>
      </c>
      <c r="G114" s="24">
        <f t="shared" si="15"/>
        <v>585.81068866666465</v>
      </c>
      <c r="H114" s="214"/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6">
        <f>28813.07</f>
        <v>28813.07</v>
      </c>
      <c r="F115" s="241">
        <v>29055.584161426657</v>
      </c>
      <c r="G115" s="24">
        <f t="shared" si="15"/>
        <v>242.51416142665767</v>
      </c>
      <c r="H115" s="214"/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 t="e">
        <f t="shared" ref="E116:G116" si="16">SUM(E109:E115)</f>
        <v>#REF!</v>
      </c>
      <c r="F116" s="222">
        <f t="shared" si="16"/>
        <v>486151.56760966667</v>
      </c>
      <c r="G116" s="222" t="e">
        <f t="shared" si="16"/>
        <v>#REF!</v>
      </c>
      <c r="H116" s="214"/>
      <c r="I116" s="214"/>
    </row>
    <row r="117" spans="1:9" ht="20.100000000000001" customHeight="1">
      <c r="A117" s="21"/>
      <c r="B117" s="142"/>
      <c r="C117" s="29"/>
      <c r="D117" s="21"/>
      <c r="E117" s="223"/>
      <c r="F117" s="243"/>
      <c r="G117" s="223"/>
      <c r="H117" s="214"/>
      <c r="I117" s="214"/>
    </row>
    <row r="118" spans="1:9" ht="20.100000000000001" customHeight="1">
      <c r="A118" s="21"/>
      <c r="B118" s="192" t="s">
        <v>468</v>
      </c>
      <c r="C118" s="30"/>
      <c r="D118" s="30"/>
      <c r="E118" s="31"/>
      <c r="F118" s="241"/>
      <c r="G118" s="24"/>
      <c r="H118" s="214"/>
      <c r="I118" s="214"/>
    </row>
    <row r="119" spans="1:9" ht="20.100000000000001" customHeight="1">
      <c r="A119" s="21">
        <v>1</v>
      </c>
      <c r="B119" s="189" t="s">
        <v>20</v>
      </c>
      <c r="C119" s="293" t="s">
        <v>250</v>
      </c>
      <c r="D119" s="215" t="s">
        <v>161</v>
      </c>
      <c r="E119" s="26">
        <f>179914.45</f>
        <v>179914.45</v>
      </c>
      <c r="F119" s="241">
        <v>179914.4546986667</v>
      </c>
      <c r="G119" s="24">
        <f>F119-E119</f>
        <v>4.6986666857264936E-3</v>
      </c>
      <c r="H119" s="214"/>
      <c r="I119" s="214"/>
    </row>
    <row r="120" spans="1:9" ht="20.100000000000001" customHeight="1">
      <c r="A120" s="21" t="s">
        <v>507</v>
      </c>
      <c r="B120" s="189" t="s">
        <v>100</v>
      </c>
      <c r="C120" s="293" t="s">
        <v>268</v>
      </c>
      <c r="D120" s="215" t="s">
        <v>160</v>
      </c>
      <c r="E120" s="26">
        <f>101827.95</f>
        <v>101827.95</v>
      </c>
      <c r="F120" s="241">
        <v>101827.95141866668</v>
      </c>
      <c r="G120" s="24">
        <f t="shared" ref="G120:G129" si="17">F120-E120</f>
        <v>1.4186666812747717E-3</v>
      </c>
      <c r="H120" s="214"/>
      <c r="I120" s="214"/>
    </row>
    <row r="121" spans="1:9" ht="20.100000000000001" customHeight="1">
      <c r="A121" s="21">
        <v>3</v>
      </c>
      <c r="B121" s="189" t="s">
        <v>153</v>
      </c>
      <c r="C121" s="293" t="s">
        <v>376</v>
      </c>
      <c r="D121" s="215" t="s">
        <v>75</v>
      </c>
      <c r="E121" s="26">
        <f>83636.1</f>
        <v>83636.100000000006</v>
      </c>
      <c r="F121" s="241">
        <v>83636.103146666646</v>
      </c>
      <c r="G121" s="24">
        <f t="shared" si="17"/>
        <v>3.146666640532203E-3</v>
      </c>
      <c r="H121" s="214"/>
      <c r="I121" s="214"/>
    </row>
    <row r="122" spans="1:9" ht="20.100000000000001" customHeight="1">
      <c r="A122" s="21">
        <v>4</v>
      </c>
      <c r="B122" s="191" t="s">
        <v>142</v>
      </c>
      <c r="C122" s="293" t="s">
        <v>376</v>
      </c>
      <c r="D122" s="215" t="s">
        <v>75</v>
      </c>
      <c r="E122" s="24">
        <f>64436.1</f>
        <v>64436.1</v>
      </c>
      <c r="F122" s="241">
        <v>64436.103146666661</v>
      </c>
      <c r="G122" s="24">
        <f t="shared" si="17"/>
        <v>3.1466666623600759E-3</v>
      </c>
      <c r="H122" s="214"/>
      <c r="I122" s="214"/>
    </row>
    <row r="123" spans="1:9" ht="20.100000000000001" customHeight="1">
      <c r="A123" s="21">
        <v>5</v>
      </c>
      <c r="B123" s="191" t="s">
        <v>363</v>
      </c>
      <c r="C123" s="293" t="s">
        <v>376</v>
      </c>
      <c r="D123" s="215" t="s">
        <v>30</v>
      </c>
      <c r="E123" s="26">
        <f>60212.92</f>
        <v>60212.92</v>
      </c>
      <c r="F123" s="241">
        <v>60212.915690666669</v>
      </c>
      <c r="G123" s="24">
        <f t="shared" si="17"/>
        <v>-4.3093333297292702E-3</v>
      </c>
      <c r="H123" s="214"/>
      <c r="I123" s="214"/>
    </row>
    <row r="124" spans="1:9" ht="20.100000000000001" customHeight="1">
      <c r="A124" s="21">
        <v>6</v>
      </c>
      <c r="B124" s="189" t="s">
        <v>108</v>
      </c>
      <c r="C124" s="293" t="s">
        <v>478</v>
      </c>
      <c r="D124" s="215" t="s">
        <v>162</v>
      </c>
      <c r="E124" s="26" t="e">
        <f>#REF!</f>
        <v>#REF!</v>
      </c>
      <c r="F124" s="241">
        <v>42652.373376666663</v>
      </c>
      <c r="G124" s="24" t="e">
        <f t="shared" si="17"/>
        <v>#REF!</v>
      </c>
      <c r="H124" s="214"/>
      <c r="I124" s="214"/>
    </row>
    <row r="125" spans="1:9" ht="20.100000000000001" customHeight="1">
      <c r="A125" s="21">
        <v>7</v>
      </c>
      <c r="B125" s="189" t="s">
        <v>178</v>
      </c>
      <c r="C125" s="293" t="s">
        <v>382</v>
      </c>
      <c r="D125" s="215" t="s">
        <v>170</v>
      </c>
      <c r="E125" s="26">
        <f>44518.93</f>
        <v>44518.93</v>
      </c>
      <c r="F125" s="241">
        <v>45724.599176666663</v>
      </c>
      <c r="G125" s="24">
        <f t="shared" si="17"/>
        <v>1205.6691766666627</v>
      </c>
      <c r="H125" s="214"/>
      <c r="I125" s="214"/>
    </row>
    <row r="126" spans="1:9" ht="20.100000000000001" customHeight="1">
      <c r="A126" s="21">
        <v>8</v>
      </c>
      <c r="B126" s="189" t="s">
        <v>134</v>
      </c>
      <c r="C126" s="293" t="s">
        <v>384</v>
      </c>
      <c r="D126" s="215" t="s">
        <v>170</v>
      </c>
      <c r="E126" s="26">
        <f>39478.93</f>
        <v>39478.93</v>
      </c>
      <c r="F126" s="241">
        <v>40684.599176666663</v>
      </c>
      <c r="G126" s="24">
        <f t="shared" si="17"/>
        <v>1205.6691766666627</v>
      </c>
      <c r="H126" s="214"/>
      <c r="I126" s="214"/>
    </row>
    <row r="127" spans="1:9" ht="20.100000000000001" customHeight="1">
      <c r="A127" s="21">
        <v>9</v>
      </c>
      <c r="B127" s="190" t="s">
        <v>365</v>
      </c>
      <c r="C127" s="293" t="s">
        <v>383</v>
      </c>
      <c r="D127" s="215" t="s">
        <v>502</v>
      </c>
      <c r="E127" s="26">
        <f>38272.44</f>
        <v>38272.44</v>
      </c>
      <c r="F127" s="241">
        <v>39582.844830666661</v>
      </c>
      <c r="G127" s="24">
        <f t="shared" si="17"/>
        <v>1310.4048306666591</v>
      </c>
      <c r="H127" s="214"/>
      <c r="I127" s="214"/>
    </row>
    <row r="128" spans="1:9" ht="20.100000000000001" customHeight="1">
      <c r="A128" s="21">
        <v>10</v>
      </c>
      <c r="B128" s="189" t="s">
        <v>445</v>
      </c>
      <c r="C128" s="293" t="s">
        <v>449</v>
      </c>
      <c r="D128" s="29" t="s">
        <v>500</v>
      </c>
      <c r="E128" s="26">
        <f>21640.95</f>
        <v>21640.95</v>
      </c>
      <c r="F128" s="241">
        <v>22338.48260466666</v>
      </c>
      <c r="G128" s="24">
        <f t="shared" si="17"/>
        <v>697.53260466665961</v>
      </c>
      <c r="H128" s="214"/>
      <c r="I128" s="214"/>
    </row>
    <row r="129" spans="1:9" ht="20.100000000000001" customHeight="1">
      <c r="A129" s="21">
        <v>11</v>
      </c>
      <c r="B129" s="190" t="s">
        <v>441</v>
      </c>
      <c r="C129" s="293" t="s">
        <v>442</v>
      </c>
      <c r="D129" s="215" t="s">
        <v>176</v>
      </c>
      <c r="E129" s="26">
        <f>25245.23</f>
        <v>25245.23</v>
      </c>
      <c r="F129" s="241">
        <v>17042.713866666661</v>
      </c>
      <c r="G129" s="24">
        <f t="shared" si="17"/>
        <v>-8202.5161333333381</v>
      </c>
      <c r="H129" s="214"/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4"/>
      <c r="I130" s="214"/>
    </row>
    <row r="131" spans="1:9" ht="20.100000000000001" customHeight="1">
      <c r="A131" s="21"/>
      <c r="B131" s="142"/>
      <c r="C131" s="221"/>
      <c r="D131" s="215"/>
      <c r="E131" s="31"/>
      <c r="F131" s="258"/>
      <c r="G131" s="216"/>
      <c r="H131" s="214"/>
      <c r="I131" s="214"/>
    </row>
    <row r="132" spans="1:9" ht="20.100000000000001" customHeight="1">
      <c r="A132" s="21"/>
      <c r="B132" s="192" t="s">
        <v>469</v>
      </c>
      <c r="C132" s="293"/>
      <c r="D132" s="215"/>
      <c r="E132" s="26"/>
      <c r="F132" s="241"/>
      <c r="G132" s="24"/>
      <c r="H132" s="214"/>
      <c r="I132" s="214"/>
    </row>
    <row r="133" spans="1:9" ht="20.100000000000001" customHeight="1">
      <c r="A133" s="225">
        <v>1</v>
      </c>
      <c r="B133" s="189" t="s">
        <v>21</v>
      </c>
      <c r="C133" s="293" t="s">
        <v>393</v>
      </c>
      <c r="D133" s="215" t="s">
        <v>161</v>
      </c>
      <c r="E133" s="26">
        <f>161106.81</f>
        <v>161106.81</v>
      </c>
      <c r="F133" s="241">
        <v>161106.80685866668</v>
      </c>
      <c r="G133" s="24">
        <f>F133-E133</f>
        <v>-3.1413333199452609E-3</v>
      </c>
      <c r="H133" s="214"/>
      <c r="I133" s="214"/>
    </row>
    <row r="134" spans="1:9" ht="20.100000000000001" customHeight="1">
      <c r="A134" s="225">
        <v>2</v>
      </c>
      <c r="B134" s="189" t="s">
        <v>107</v>
      </c>
      <c r="C134" s="293" t="s">
        <v>394</v>
      </c>
      <c r="D134" s="215" t="s">
        <v>160</v>
      </c>
      <c r="E134" s="24">
        <v>82627.95</v>
      </c>
      <c r="F134" s="241">
        <v>82467.115418666668</v>
      </c>
      <c r="G134" s="24">
        <f t="shared" ref="G134:G187" si="19">F134-E134</f>
        <v>-160.83458133332897</v>
      </c>
      <c r="H134" s="214"/>
      <c r="I134" s="214"/>
    </row>
    <row r="135" spans="1:9" ht="20.100000000000001" customHeight="1">
      <c r="A135" s="225">
        <v>3</v>
      </c>
      <c r="B135" s="191" t="s">
        <v>183</v>
      </c>
      <c r="C135" s="21" t="s">
        <v>488</v>
      </c>
      <c r="D135" s="25" t="s">
        <v>221</v>
      </c>
      <c r="E135" s="24" t="e">
        <f>#REF!</f>
        <v>#REF!</v>
      </c>
      <c r="F135" s="241">
        <v>89465.197050666669</v>
      </c>
      <c r="G135" s="24" t="e">
        <f t="shared" si="19"/>
        <v>#REF!</v>
      </c>
      <c r="H135" s="214"/>
      <c r="I135" s="214"/>
    </row>
    <row r="136" spans="1:9" ht="20.100000000000001" customHeight="1">
      <c r="A136" s="225">
        <v>4</v>
      </c>
      <c r="B136" s="189" t="s">
        <v>106</v>
      </c>
      <c r="C136" s="293" t="s">
        <v>381</v>
      </c>
      <c r="D136" s="215" t="s">
        <v>181</v>
      </c>
      <c r="E136" s="26">
        <f>43380.1</f>
        <v>43380.1</v>
      </c>
      <c r="F136" s="241">
        <v>44734.339388666674</v>
      </c>
      <c r="G136" s="24">
        <f t="shared" si="19"/>
        <v>1354.2393886666759</v>
      </c>
      <c r="H136" s="214"/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f>43380.1</f>
        <v>43380.1</v>
      </c>
      <c r="F137" s="241">
        <v>44846.616588666679</v>
      </c>
      <c r="G137" s="24">
        <f t="shared" si="19"/>
        <v>1466.51658866668</v>
      </c>
      <c r="H137" s="214"/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f>39582.84</f>
        <v>39582.839999999997</v>
      </c>
      <c r="F138" s="241">
        <v>40698.124856666655</v>
      </c>
      <c r="G138" s="24">
        <f t="shared" si="19"/>
        <v>1115.284856666658</v>
      </c>
      <c r="H138" s="214"/>
      <c r="I138" s="214"/>
    </row>
    <row r="139" spans="1:9" ht="20.100000000000001" customHeight="1">
      <c r="A139" s="225">
        <v>7</v>
      </c>
      <c r="B139" s="189" t="s">
        <v>102</v>
      </c>
      <c r="C139" s="293" t="s">
        <v>395</v>
      </c>
      <c r="D139" s="215" t="s">
        <v>499</v>
      </c>
      <c r="E139" s="26">
        <f>32848.56</f>
        <v>32848.559999999998</v>
      </c>
      <c r="F139" s="241">
        <v>34968.882414666667</v>
      </c>
      <c r="G139" s="24">
        <f t="shared" si="19"/>
        <v>2120.3224146666689</v>
      </c>
      <c r="H139" s="214"/>
      <c r="I139" s="214"/>
    </row>
    <row r="140" spans="1:9" ht="20.100000000000001" customHeight="1">
      <c r="A140" s="225">
        <v>8</v>
      </c>
      <c r="B140" s="189" t="s">
        <v>103</v>
      </c>
      <c r="C140" s="293" t="s">
        <v>395</v>
      </c>
      <c r="D140" s="215" t="s">
        <v>499</v>
      </c>
      <c r="E140" s="26">
        <f>32938.95</f>
        <v>32938.949999999997</v>
      </c>
      <c r="F140" s="241">
        <v>34968.882414666667</v>
      </c>
      <c r="G140" s="24">
        <f t="shared" si="19"/>
        <v>2029.9324146666695</v>
      </c>
      <c r="H140" s="214"/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499</v>
      </c>
      <c r="E141" s="26">
        <f>32938.95</f>
        <v>32938.949999999997</v>
      </c>
      <c r="F141" s="241">
        <v>34968.882414666667</v>
      </c>
      <c r="G141" s="24">
        <f t="shared" si="19"/>
        <v>2029.9324146666695</v>
      </c>
      <c r="H141" s="214"/>
      <c r="I141" s="214"/>
    </row>
    <row r="142" spans="1:9" ht="20.100000000000001" customHeight="1">
      <c r="A142" s="225">
        <v>10</v>
      </c>
      <c r="B142" s="189" t="s">
        <v>238</v>
      </c>
      <c r="C142" s="293" t="s">
        <v>481</v>
      </c>
      <c r="D142" s="215" t="s">
        <v>415</v>
      </c>
      <c r="E142" s="26" t="e">
        <f>#REF!</f>
        <v>#REF!</v>
      </c>
      <c r="F142" s="241">
        <v>32022.168238666676</v>
      </c>
      <c r="G142" s="24" t="e">
        <f t="shared" si="19"/>
        <v>#REF!</v>
      </c>
      <c r="H142" s="214"/>
      <c r="I142" s="214"/>
    </row>
    <row r="143" spans="1:9" ht="20.100000000000001" customHeight="1">
      <c r="A143" s="225">
        <v>11</v>
      </c>
      <c r="B143" s="189" t="s">
        <v>53</v>
      </c>
      <c r="C143" s="293" t="s">
        <v>300</v>
      </c>
      <c r="D143" s="215" t="s">
        <v>27</v>
      </c>
      <c r="E143" s="26">
        <f>27029.2</f>
        <v>27029.200000000001</v>
      </c>
      <c r="F143" s="241">
        <v>27794.206626666662</v>
      </c>
      <c r="G143" s="24">
        <f t="shared" si="19"/>
        <v>765.00662666666176</v>
      </c>
      <c r="H143" s="214"/>
      <c r="I143" s="214"/>
    </row>
    <row r="144" spans="1:9" ht="20.100000000000001" customHeight="1">
      <c r="A144" s="225">
        <v>12</v>
      </c>
      <c r="B144" s="189" t="s">
        <v>179</v>
      </c>
      <c r="C144" s="293" t="s">
        <v>481</v>
      </c>
      <c r="D144" s="215" t="s">
        <v>499</v>
      </c>
      <c r="E144" s="26" t="e">
        <f>#REF!</f>
        <v>#REF!</v>
      </c>
      <c r="F144" s="241">
        <v>34128.882414666667</v>
      </c>
      <c r="G144" s="24" t="e">
        <f t="shared" si="19"/>
        <v>#REF!</v>
      </c>
      <c r="H144" s="214"/>
      <c r="I144" s="214"/>
    </row>
    <row r="145" spans="1:9" ht="20.100000000000001" customHeight="1">
      <c r="A145" s="225">
        <v>13</v>
      </c>
      <c r="B145" s="189" t="s">
        <v>490</v>
      </c>
      <c r="C145" s="21" t="s">
        <v>239</v>
      </c>
      <c r="D145" s="215" t="s">
        <v>207</v>
      </c>
      <c r="E145" s="26">
        <f>26339.08</f>
        <v>26339.08</v>
      </c>
      <c r="F145" s="241">
        <v>27031.29334266666</v>
      </c>
      <c r="G145" s="24">
        <f t="shared" si="19"/>
        <v>692.21334266665872</v>
      </c>
      <c r="H145" s="214"/>
      <c r="I145" s="214"/>
    </row>
    <row r="146" spans="1:9" ht="20.100000000000001" customHeight="1">
      <c r="A146" s="225">
        <v>14</v>
      </c>
      <c r="B146" s="189" t="s">
        <v>491</v>
      </c>
      <c r="C146" s="21" t="s">
        <v>239</v>
      </c>
      <c r="D146" s="215" t="s">
        <v>164</v>
      </c>
      <c r="E146" s="26">
        <f>26264.39</f>
        <v>26264.39</v>
      </c>
      <c r="F146" s="241">
        <v>27105.986562666658</v>
      </c>
      <c r="G146" s="24">
        <f t="shared" si="19"/>
        <v>841.59656266665843</v>
      </c>
      <c r="H146" s="214"/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6">
        <f>26339.08</f>
        <v>26339.08</v>
      </c>
      <c r="F147" s="241">
        <v>27105.986562666658</v>
      </c>
      <c r="G147" s="24">
        <f t="shared" si="19"/>
        <v>766.9065626666561</v>
      </c>
      <c r="H147" s="214"/>
      <c r="I147" s="214"/>
    </row>
    <row r="148" spans="1:9" ht="20.100000000000001" customHeight="1">
      <c r="A148" s="225">
        <v>16</v>
      </c>
      <c r="B148" s="189" t="s">
        <v>425</v>
      </c>
      <c r="C148" s="293" t="s">
        <v>430</v>
      </c>
      <c r="D148" s="215" t="s">
        <v>104</v>
      </c>
      <c r="E148" s="26">
        <f>25571.82</f>
        <v>25571.82</v>
      </c>
      <c r="F148" s="241">
        <v>25571.815728666668</v>
      </c>
      <c r="G148" s="24">
        <f t="shared" si="19"/>
        <v>-4.2713333314168267E-3</v>
      </c>
      <c r="H148" s="214"/>
      <c r="I148" s="214"/>
    </row>
    <row r="149" spans="1:9" ht="20.100000000000001" customHeight="1">
      <c r="A149" s="225">
        <v>17</v>
      </c>
      <c r="B149" s="189" t="s">
        <v>439</v>
      </c>
      <c r="C149" s="293" t="s">
        <v>440</v>
      </c>
      <c r="D149" s="29" t="s">
        <v>428</v>
      </c>
      <c r="E149" s="26">
        <f>21640.95</f>
        <v>21640.95</v>
      </c>
      <c r="F149" s="241">
        <v>21640.952862666669</v>
      </c>
      <c r="G149" s="24">
        <f t="shared" si="19"/>
        <v>2.8626666680793278E-3</v>
      </c>
      <c r="H149" s="214"/>
      <c r="I149" s="214"/>
    </row>
    <row r="150" spans="1:9" ht="20.100000000000001" customHeight="1">
      <c r="A150" s="225">
        <v>18</v>
      </c>
      <c r="B150" s="189" t="s">
        <v>230</v>
      </c>
      <c r="C150" s="293" t="s">
        <v>487</v>
      </c>
      <c r="D150" s="215" t="s">
        <v>207</v>
      </c>
      <c r="E150" s="26" t="e">
        <f>#REF!</f>
        <v>#REF!</v>
      </c>
      <c r="F150" s="241">
        <v>27105.986562666658</v>
      </c>
      <c r="G150" s="24" t="e">
        <f t="shared" si="19"/>
        <v>#REF!</v>
      </c>
      <c r="H150" s="214"/>
      <c r="I150" s="214"/>
    </row>
    <row r="151" spans="1:9" ht="20.100000000000001" customHeight="1">
      <c r="A151" s="225">
        <v>19</v>
      </c>
      <c r="B151" s="189" t="s">
        <v>57</v>
      </c>
      <c r="C151" s="293" t="s">
        <v>483</v>
      </c>
      <c r="D151" s="215" t="s">
        <v>500</v>
      </c>
      <c r="E151" s="26">
        <v>21640.95</v>
      </c>
      <c r="F151" s="241">
        <v>22281.815364666661</v>
      </c>
      <c r="G151" s="24">
        <f t="shared" si="19"/>
        <v>640.86536466666075</v>
      </c>
      <c r="H151" s="214"/>
      <c r="I151" s="214"/>
    </row>
    <row r="152" spans="1:9" ht="20.100000000000001" customHeight="1">
      <c r="A152" s="225">
        <v>20</v>
      </c>
      <c r="B152" s="189" t="s">
        <v>251</v>
      </c>
      <c r="C152" s="293" t="s">
        <v>484</v>
      </c>
      <c r="D152" s="215" t="s">
        <v>207</v>
      </c>
      <c r="E152" s="26">
        <v>25571.708040666661</v>
      </c>
      <c r="F152" s="241">
        <v>27105.986562666658</v>
      </c>
      <c r="G152" s="24">
        <f t="shared" si="19"/>
        <v>1534.2785219999969</v>
      </c>
      <c r="H152" s="214"/>
      <c r="I152" s="214"/>
    </row>
    <row r="153" spans="1:9" ht="20.100000000000001" customHeight="1">
      <c r="A153" s="225">
        <v>21</v>
      </c>
      <c r="B153" s="189" t="s">
        <v>241</v>
      </c>
      <c r="C153" s="293" t="s">
        <v>348</v>
      </c>
      <c r="D153" s="215" t="s">
        <v>500</v>
      </c>
      <c r="E153" s="26">
        <f>18102.9+3538.05</f>
        <v>21640.95</v>
      </c>
      <c r="F153" s="241">
        <v>22338.48260466666</v>
      </c>
      <c r="G153" s="24">
        <f t="shared" si="19"/>
        <v>697.53260466665961</v>
      </c>
      <c r="H153" s="214"/>
      <c r="I153" s="214"/>
    </row>
    <row r="154" spans="1:9" ht="20.100000000000001" customHeight="1">
      <c r="A154" s="225">
        <v>22</v>
      </c>
      <c r="B154" s="190" t="s">
        <v>289</v>
      </c>
      <c r="C154" s="293" t="s">
        <v>290</v>
      </c>
      <c r="D154" s="215" t="s">
        <v>411</v>
      </c>
      <c r="E154" s="26">
        <f>17572.89</f>
        <v>17572.89</v>
      </c>
      <c r="F154" s="241">
        <v>18102.902732666666</v>
      </c>
      <c r="G154" s="24">
        <f t="shared" si="19"/>
        <v>530.01273266666612</v>
      </c>
      <c r="H154" s="214"/>
      <c r="I154" s="214"/>
    </row>
    <row r="155" spans="1:9" ht="20.100000000000001" customHeight="1">
      <c r="A155" s="225">
        <v>23</v>
      </c>
      <c r="B155" s="190" t="s">
        <v>359</v>
      </c>
      <c r="C155" s="293" t="s">
        <v>131</v>
      </c>
      <c r="D155" s="215" t="s">
        <v>176</v>
      </c>
      <c r="E155" s="26">
        <f>16512.68</f>
        <v>16512.68</v>
      </c>
      <c r="F155" s="241">
        <v>17042.713866666661</v>
      </c>
      <c r="G155" s="24">
        <f t="shared" si="19"/>
        <v>530.0338666666612</v>
      </c>
      <c r="H155" s="214"/>
      <c r="I155" s="214"/>
    </row>
    <row r="156" spans="1:9" ht="20.100000000000001" customHeight="1">
      <c r="A156" s="225">
        <v>24</v>
      </c>
      <c r="B156" s="190" t="s">
        <v>407</v>
      </c>
      <c r="C156" s="293" t="s">
        <v>131</v>
      </c>
      <c r="D156" s="215" t="s">
        <v>105</v>
      </c>
      <c r="E156" s="26">
        <f>16512.68</f>
        <v>16512.68</v>
      </c>
      <c r="F156" s="241">
        <v>16512.68219066667</v>
      </c>
      <c r="G156" s="24">
        <f t="shared" si="19"/>
        <v>2.1906666697759647E-3</v>
      </c>
      <c r="H156" s="214"/>
      <c r="I156" s="214"/>
    </row>
    <row r="157" spans="1:9" ht="20.100000000000001" customHeight="1">
      <c r="A157" s="225">
        <v>25</v>
      </c>
      <c r="B157" s="190" t="s">
        <v>426</v>
      </c>
      <c r="C157" s="293" t="s">
        <v>290</v>
      </c>
      <c r="D157" s="215" t="s">
        <v>105</v>
      </c>
      <c r="E157" s="26">
        <f t="shared" ref="E157:E158" si="20">16512.68</f>
        <v>16512.68</v>
      </c>
      <c r="F157" s="241">
        <v>16514.228790666668</v>
      </c>
      <c r="G157" s="24">
        <f t="shared" si="19"/>
        <v>1.5487906666676281</v>
      </c>
      <c r="H157" s="214"/>
      <c r="I157" s="214"/>
    </row>
    <row r="158" spans="1:9" ht="20.100000000000001" customHeight="1">
      <c r="A158" s="225">
        <v>26</v>
      </c>
      <c r="B158" s="190" t="s">
        <v>443</v>
      </c>
      <c r="C158" s="293" t="s">
        <v>444</v>
      </c>
      <c r="D158" s="215" t="s">
        <v>176</v>
      </c>
      <c r="E158" s="26">
        <f t="shared" si="20"/>
        <v>16512.68</v>
      </c>
      <c r="F158" s="241">
        <v>17043.017866666662</v>
      </c>
      <c r="G158" s="24">
        <f t="shared" si="19"/>
        <v>530.33786666666128</v>
      </c>
      <c r="H158" s="214"/>
      <c r="I158" s="214"/>
    </row>
    <row r="159" spans="1:9" ht="20.100000000000001" customHeight="1">
      <c r="A159" s="225">
        <v>27</v>
      </c>
      <c r="B159" s="190" t="s">
        <v>447</v>
      </c>
      <c r="C159" s="293" t="s">
        <v>448</v>
      </c>
      <c r="D159" s="215" t="s">
        <v>176</v>
      </c>
      <c r="E159" s="26">
        <f>16512.68</f>
        <v>16512.68</v>
      </c>
      <c r="F159" s="241">
        <v>17008.323359999995</v>
      </c>
      <c r="G159" s="24">
        <f t="shared" si="19"/>
        <v>495.64335999999457</v>
      </c>
      <c r="H159" s="214"/>
      <c r="I159" s="214"/>
    </row>
    <row r="160" spans="1:9" ht="20.100000000000001" customHeight="1">
      <c r="A160" s="225">
        <v>28</v>
      </c>
      <c r="B160" s="189" t="s">
        <v>22</v>
      </c>
      <c r="C160" s="293" t="s">
        <v>302</v>
      </c>
      <c r="D160" s="215" t="s">
        <v>503</v>
      </c>
      <c r="E160" s="24">
        <f>9117.05</f>
        <v>9117.0499999999993</v>
      </c>
      <c r="F160" s="241">
        <v>10776.457626666665</v>
      </c>
      <c r="G160" s="24">
        <f t="shared" si="19"/>
        <v>1659.4076266666652</v>
      </c>
      <c r="H160" s="214"/>
      <c r="I160" s="214"/>
    </row>
    <row r="161" spans="1:9" ht="20.100000000000001" customHeight="1">
      <c r="A161" s="225">
        <v>29</v>
      </c>
      <c r="B161" s="189" t="s">
        <v>14</v>
      </c>
      <c r="C161" s="293" t="s">
        <v>302</v>
      </c>
      <c r="D161" s="215" t="s">
        <v>503</v>
      </c>
      <c r="E161" s="24">
        <f>9504.2</f>
        <v>9504.2000000000007</v>
      </c>
      <c r="F161" s="241">
        <v>11232.457626666665</v>
      </c>
      <c r="G161" s="24">
        <f t="shared" si="19"/>
        <v>1728.2576266666638</v>
      </c>
      <c r="H161" s="214"/>
      <c r="I161" s="214"/>
    </row>
    <row r="162" spans="1:9" ht="20.100000000000001" customHeight="1">
      <c r="A162" s="225">
        <v>30</v>
      </c>
      <c r="B162" s="189" t="s">
        <v>23</v>
      </c>
      <c r="C162" s="293" t="s">
        <v>302</v>
      </c>
      <c r="D162" s="215" t="s">
        <v>503</v>
      </c>
      <c r="E162" s="24">
        <f>9144.2</f>
        <v>9144.2000000000007</v>
      </c>
      <c r="F162" s="241">
        <v>10776.457626666665</v>
      </c>
      <c r="G162" s="24">
        <f t="shared" si="19"/>
        <v>1632.2576266666638</v>
      </c>
      <c r="H162" s="214"/>
      <c r="I162" s="214"/>
    </row>
    <row r="163" spans="1:9" ht="20.100000000000001" customHeight="1">
      <c r="A163" s="225">
        <v>31</v>
      </c>
      <c r="B163" s="189" t="s">
        <v>25</v>
      </c>
      <c r="C163" s="293" t="s">
        <v>302</v>
      </c>
      <c r="D163" s="215" t="s">
        <v>503</v>
      </c>
      <c r="E163" s="24">
        <f>9144.2</f>
        <v>9144.2000000000007</v>
      </c>
      <c r="F163" s="241">
        <v>10776.457626666665</v>
      </c>
      <c r="G163" s="24">
        <f t="shared" si="19"/>
        <v>1632.2576266666638</v>
      </c>
      <c r="H163" s="214"/>
      <c r="I163" s="214"/>
    </row>
    <row r="164" spans="1:9" ht="20.100000000000001" customHeight="1">
      <c r="A164" s="225">
        <v>32</v>
      </c>
      <c r="B164" s="189" t="s">
        <v>39</v>
      </c>
      <c r="C164" s="293" t="s">
        <v>302</v>
      </c>
      <c r="D164" s="215" t="s">
        <v>503</v>
      </c>
      <c r="E164" s="24">
        <f>9117.05</f>
        <v>9117.0499999999993</v>
      </c>
      <c r="F164" s="241">
        <v>10743.737199999998</v>
      </c>
      <c r="G164" s="24">
        <f t="shared" si="19"/>
        <v>1626.6871999999985</v>
      </c>
      <c r="H164" s="214"/>
      <c r="I164" s="214"/>
    </row>
    <row r="165" spans="1:9" ht="20.100000000000001" customHeight="1">
      <c r="A165" s="225">
        <v>33</v>
      </c>
      <c r="B165" s="189" t="s">
        <v>40</v>
      </c>
      <c r="C165" s="293" t="s">
        <v>302</v>
      </c>
      <c r="D165" s="215" t="s">
        <v>503</v>
      </c>
      <c r="E165" s="24">
        <f>9144.2</f>
        <v>9144.2000000000007</v>
      </c>
      <c r="F165" s="241">
        <v>10776.457626666665</v>
      </c>
      <c r="G165" s="24">
        <f t="shared" si="19"/>
        <v>1632.2576266666638</v>
      </c>
      <c r="H165" s="214"/>
      <c r="I165" s="214"/>
    </row>
    <row r="166" spans="1:9" ht="20.100000000000001" customHeight="1">
      <c r="A166" s="225">
        <v>34</v>
      </c>
      <c r="B166" s="189" t="s">
        <v>127</v>
      </c>
      <c r="C166" s="293" t="s">
        <v>302</v>
      </c>
      <c r="D166" s="215" t="s">
        <v>416</v>
      </c>
      <c r="E166" s="24">
        <v>9152.6</v>
      </c>
      <c r="F166" s="241">
        <v>9504.2041399999998</v>
      </c>
      <c r="G166" s="24">
        <f t="shared" si="19"/>
        <v>351.60413999999946</v>
      </c>
      <c r="H166" s="214"/>
      <c r="I166" s="214"/>
    </row>
    <row r="167" spans="1:9" ht="20.100000000000001" customHeight="1">
      <c r="A167" s="225">
        <v>35</v>
      </c>
      <c r="B167" s="189" t="s">
        <v>128</v>
      </c>
      <c r="C167" s="293" t="s">
        <v>302</v>
      </c>
      <c r="D167" s="215" t="s">
        <v>416</v>
      </c>
      <c r="E167" s="24">
        <v>8792.6</v>
      </c>
      <c r="F167" s="241">
        <v>9144.2041399999998</v>
      </c>
      <c r="G167" s="24">
        <f t="shared" si="19"/>
        <v>351.60413999999946</v>
      </c>
      <c r="H167" s="214"/>
      <c r="I167" s="214"/>
    </row>
    <row r="168" spans="1:9" ht="20.100000000000001" customHeight="1">
      <c r="A168" s="225">
        <v>36</v>
      </c>
      <c r="B168" s="189" t="s">
        <v>129</v>
      </c>
      <c r="C168" s="293" t="s">
        <v>302</v>
      </c>
      <c r="D168" s="215" t="s">
        <v>416</v>
      </c>
      <c r="E168" s="24">
        <v>8792.6</v>
      </c>
      <c r="F168" s="241">
        <v>9144.2041399999998</v>
      </c>
      <c r="G168" s="24">
        <f t="shared" si="19"/>
        <v>351.60413999999946</v>
      </c>
      <c r="H168" s="214"/>
      <c r="I168" s="214"/>
    </row>
    <row r="169" spans="1:9" ht="20.100000000000001" customHeight="1">
      <c r="A169" s="225">
        <v>37</v>
      </c>
      <c r="B169" s="191" t="s">
        <v>136</v>
      </c>
      <c r="C169" s="293" t="s">
        <v>302</v>
      </c>
      <c r="D169" s="215" t="s">
        <v>416</v>
      </c>
      <c r="E169" s="24">
        <v>9152.6</v>
      </c>
      <c r="F169" s="241">
        <v>9504.2041399999998</v>
      </c>
      <c r="G169" s="24">
        <f t="shared" si="19"/>
        <v>351.60413999999946</v>
      </c>
      <c r="H169" s="214"/>
      <c r="I169" s="214"/>
    </row>
    <row r="170" spans="1:9" ht="20.100000000000001" customHeight="1">
      <c r="A170" s="225">
        <v>38</v>
      </c>
      <c r="B170" s="189" t="s">
        <v>140</v>
      </c>
      <c r="C170" s="293" t="s">
        <v>302</v>
      </c>
      <c r="D170" s="215" t="s">
        <v>416</v>
      </c>
      <c r="E170" s="24">
        <v>8792.6</v>
      </c>
      <c r="F170" s="241">
        <v>9144.2041399999998</v>
      </c>
      <c r="G170" s="24">
        <f t="shared" si="19"/>
        <v>351.60413999999946</v>
      </c>
      <c r="H170" s="214"/>
      <c r="I170" s="214"/>
    </row>
    <row r="171" spans="1:9" ht="20.100000000000001" customHeight="1">
      <c r="A171" s="225">
        <v>39</v>
      </c>
      <c r="B171" s="190" t="s">
        <v>152</v>
      </c>
      <c r="C171" s="293" t="s">
        <v>302</v>
      </c>
      <c r="D171" s="215" t="s">
        <v>416</v>
      </c>
      <c r="E171" s="24">
        <v>8792.6</v>
      </c>
      <c r="F171" s="241">
        <v>9144.2041399999998</v>
      </c>
      <c r="G171" s="24">
        <f t="shared" si="19"/>
        <v>351.60413999999946</v>
      </c>
      <c r="H171" s="214"/>
      <c r="I171" s="214"/>
    </row>
    <row r="172" spans="1:9" ht="20.100000000000001" customHeight="1">
      <c r="A172" s="225">
        <v>40</v>
      </c>
      <c r="B172" s="190" t="s">
        <v>132</v>
      </c>
      <c r="C172" s="293" t="s">
        <v>302</v>
      </c>
      <c r="D172" s="215" t="s">
        <v>416</v>
      </c>
      <c r="E172" s="24">
        <v>9152.6</v>
      </c>
      <c r="F172" s="241">
        <v>9504.2041399999998</v>
      </c>
      <c r="G172" s="24">
        <f t="shared" si="19"/>
        <v>351.60413999999946</v>
      </c>
      <c r="H172" s="214"/>
      <c r="I172" s="214"/>
    </row>
    <row r="173" spans="1:9" ht="20.100000000000001" customHeight="1">
      <c r="A173" s="225">
        <v>41</v>
      </c>
      <c r="B173" s="189" t="s">
        <v>231</v>
      </c>
      <c r="C173" s="293" t="s">
        <v>167</v>
      </c>
      <c r="D173" s="215" t="s">
        <v>263</v>
      </c>
      <c r="E173" s="24">
        <f>4227.52</f>
        <v>4227.5200000000004</v>
      </c>
      <c r="F173" s="241">
        <v>4365.3307546666683</v>
      </c>
      <c r="G173" s="24">
        <f t="shared" si="19"/>
        <v>137.81075466666789</v>
      </c>
      <c r="H173" s="214"/>
      <c r="I173" s="214"/>
    </row>
    <row r="174" spans="1:9" ht="20.100000000000001" customHeight="1">
      <c r="A174" s="225">
        <v>42</v>
      </c>
      <c r="B174" s="189" t="s">
        <v>246</v>
      </c>
      <c r="C174" s="293" t="s">
        <v>167</v>
      </c>
      <c r="D174" s="215" t="s">
        <v>263</v>
      </c>
      <c r="E174" s="24">
        <f>4227.52</f>
        <v>4227.5200000000004</v>
      </c>
      <c r="F174" s="241">
        <v>4365.3307546666683</v>
      </c>
      <c r="G174" s="24">
        <f t="shared" si="19"/>
        <v>137.81075466666789</v>
      </c>
      <c r="H174" s="214"/>
      <c r="I174" s="214"/>
    </row>
    <row r="175" spans="1:9" ht="20.100000000000001" customHeight="1">
      <c r="A175" s="225">
        <v>43</v>
      </c>
      <c r="B175" s="190" t="s">
        <v>166</v>
      </c>
      <c r="C175" s="293" t="s">
        <v>167</v>
      </c>
      <c r="D175" s="215" t="s">
        <v>223</v>
      </c>
      <c r="E175" s="24">
        <f>4365.33</f>
        <v>4365.33</v>
      </c>
      <c r="F175" s="241">
        <v>4504.4109199999994</v>
      </c>
      <c r="G175" s="24">
        <f t="shared" si="19"/>
        <v>139.08091999999942</v>
      </c>
      <c r="H175" s="214"/>
      <c r="I175" s="214"/>
    </row>
    <row r="176" spans="1:9" ht="20.100000000000001" customHeight="1">
      <c r="A176" s="225">
        <v>44</v>
      </c>
      <c r="B176" s="189" t="s">
        <v>204</v>
      </c>
      <c r="C176" s="293" t="s">
        <v>167</v>
      </c>
      <c r="D176" s="215" t="s">
        <v>177</v>
      </c>
      <c r="E176" s="24">
        <f>4089.72</f>
        <v>4089.72</v>
      </c>
      <c r="F176" s="241">
        <v>4227.5237226666677</v>
      </c>
      <c r="G176" s="24">
        <f t="shared" si="19"/>
        <v>137.80372266666791</v>
      </c>
      <c r="H176" s="214"/>
      <c r="I176" s="214"/>
    </row>
    <row r="177" spans="1:9" ht="20.100000000000001" customHeight="1">
      <c r="A177" s="225">
        <v>45</v>
      </c>
      <c r="B177" s="189" t="s">
        <v>209</v>
      </c>
      <c r="C177" s="293" t="s">
        <v>13</v>
      </c>
      <c r="D177" s="215" t="s">
        <v>504</v>
      </c>
      <c r="E177" s="24">
        <f>3951.8</f>
        <v>3951.8</v>
      </c>
      <c r="F177" s="241">
        <v>4089.716690666668</v>
      </c>
      <c r="G177" s="24">
        <f t="shared" si="19"/>
        <v>137.91669066666782</v>
      </c>
      <c r="H177" s="214"/>
      <c r="I177" s="214"/>
    </row>
    <row r="178" spans="1:9" ht="20.100000000000001" customHeight="1">
      <c r="A178" s="225">
        <v>46</v>
      </c>
      <c r="B178" s="189" t="s">
        <v>218</v>
      </c>
      <c r="C178" s="293" t="s">
        <v>13</v>
      </c>
      <c r="D178" s="215" t="s">
        <v>504</v>
      </c>
      <c r="E178" s="24">
        <f>3687.8</f>
        <v>3687.8</v>
      </c>
      <c r="F178" s="241">
        <v>3825.716690666668</v>
      </c>
      <c r="G178" s="24">
        <f t="shared" si="19"/>
        <v>137.91669066666782</v>
      </c>
      <c r="H178" s="214"/>
      <c r="I178" s="214"/>
    </row>
    <row r="179" spans="1:9" ht="20.100000000000001" customHeight="1">
      <c r="A179" s="225">
        <v>47</v>
      </c>
      <c r="B179" s="189" t="s">
        <v>219</v>
      </c>
      <c r="C179" s="293" t="s">
        <v>13</v>
      </c>
      <c r="D179" s="215" t="s">
        <v>504</v>
      </c>
      <c r="E179" s="24">
        <f>3951.8</f>
        <v>3951.8</v>
      </c>
      <c r="F179" s="241">
        <v>4089.716690666668</v>
      </c>
      <c r="G179" s="24">
        <f t="shared" si="19"/>
        <v>137.91669066666782</v>
      </c>
      <c r="H179" s="214"/>
      <c r="I179" s="214"/>
    </row>
    <row r="180" spans="1:9" ht="20.100000000000001" customHeight="1">
      <c r="A180" s="225">
        <v>48</v>
      </c>
      <c r="B180" s="189" t="s">
        <v>211</v>
      </c>
      <c r="C180" s="293" t="s">
        <v>13</v>
      </c>
      <c r="D180" s="215" t="s">
        <v>504</v>
      </c>
      <c r="E180" s="24">
        <f>3687.8</f>
        <v>3687.8</v>
      </c>
      <c r="F180" s="241">
        <v>3825.716690666668</v>
      </c>
      <c r="G180" s="24">
        <f t="shared" si="19"/>
        <v>137.91669066666782</v>
      </c>
      <c r="H180" s="214"/>
      <c r="I180" s="214"/>
    </row>
    <row r="181" spans="1:9" ht="20.100000000000001" customHeight="1">
      <c r="A181" s="225">
        <v>49</v>
      </c>
      <c r="B181" s="189" t="s">
        <v>213</v>
      </c>
      <c r="C181" s="293" t="s">
        <v>13</v>
      </c>
      <c r="D181" s="215" t="s">
        <v>504</v>
      </c>
      <c r="E181" s="24">
        <f>3951.8</f>
        <v>3951.8</v>
      </c>
      <c r="F181" s="241">
        <v>4089.716690666668</v>
      </c>
      <c r="G181" s="24">
        <f t="shared" si="19"/>
        <v>137.91669066666782</v>
      </c>
      <c r="H181" s="214"/>
      <c r="I181" s="214"/>
    </row>
    <row r="182" spans="1:9" ht="20.100000000000001" customHeight="1">
      <c r="A182" s="225">
        <v>50</v>
      </c>
      <c r="B182" s="190" t="s">
        <v>342</v>
      </c>
      <c r="C182" s="293" t="s">
        <v>13</v>
      </c>
      <c r="D182" s="215" t="s">
        <v>504</v>
      </c>
      <c r="E182" s="24">
        <f>3687.8</f>
        <v>3687.8</v>
      </c>
      <c r="F182" s="241">
        <v>3825.716690666668</v>
      </c>
      <c r="G182" s="24">
        <f t="shared" si="19"/>
        <v>137.91669066666782</v>
      </c>
      <c r="H182" s="214"/>
      <c r="I182" s="214"/>
    </row>
    <row r="183" spans="1:9" ht="20.100000000000001" customHeight="1">
      <c r="A183" s="225">
        <v>51</v>
      </c>
      <c r="B183" s="190" t="s">
        <v>405</v>
      </c>
      <c r="C183" s="293" t="s">
        <v>13</v>
      </c>
      <c r="D183" s="215" t="s">
        <v>504</v>
      </c>
      <c r="E183" s="24">
        <f>3951.8</f>
        <v>3951.8</v>
      </c>
      <c r="F183" s="241">
        <v>4089.716690666668</v>
      </c>
      <c r="G183" s="24">
        <f t="shared" si="19"/>
        <v>137.91669066666782</v>
      </c>
      <c r="H183" s="214"/>
      <c r="I183" s="214"/>
    </row>
    <row r="184" spans="1:9" ht="20.100000000000001" customHeight="1">
      <c r="A184" s="225">
        <v>52</v>
      </c>
      <c r="B184" s="189" t="s">
        <v>232</v>
      </c>
      <c r="C184" s="293" t="s">
        <v>167</v>
      </c>
      <c r="D184" s="215" t="s">
        <v>504</v>
      </c>
      <c r="E184" s="24">
        <f>3951.8</f>
        <v>3951.8</v>
      </c>
      <c r="F184" s="241">
        <v>4089.716690666668</v>
      </c>
      <c r="G184" s="24">
        <f t="shared" si="19"/>
        <v>137.91669066666782</v>
      </c>
      <c r="H184" s="214"/>
      <c r="I184" s="214"/>
    </row>
    <row r="185" spans="1:9" ht="20.100000000000001" customHeight="1">
      <c r="A185" s="225">
        <v>53</v>
      </c>
      <c r="B185" s="189" t="s">
        <v>233</v>
      </c>
      <c r="C185" s="293" t="s">
        <v>167</v>
      </c>
      <c r="D185" s="215" t="s">
        <v>504</v>
      </c>
      <c r="E185" s="24">
        <f>3951.8</f>
        <v>3951.8</v>
      </c>
      <c r="F185" s="241">
        <v>4089.716690666668</v>
      </c>
      <c r="G185" s="24">
        <f t="shared" si="19"/>
        <v>137.91669066666782</v>
      </c>
      <c r="H185" s="214"/>
      <c r="I185" s="214"/>
    </row>
    <row r="186" spans="1:9" ht="20.100000000000001" customHeight="1">
      <c r="A186" s="225">
        <v>54</v>
      </c>
      <c r="B186" s="190" t="s">
        <v>279</v>
      </c>
      <c r="C186" s="293" t="s">
        <v>13</v>
      </c>
      <c r="D186" s="215" t="s">
        <v>505</v>
      </c>
      <c r="E186" s="24">
        <f>3183.66</f>
        <v>3183.66</v>
      </c>
      <c r="F186" s="241">
        <v>3064.8720786666654</v>
      </c>
      <c r="G186" s="24">
        <f t="shared" si="19"/>
        <v>-118.78792133333445</v>
      </c>
      <c r="H186" s="214"/>
      <c r="I186" s="214"/>
    </row>
    <row r="187" spans="1:9" ht="20.100000000000001" customHeight="1">
      <c r="A187" s="225">
        <v>55</v>
      </c>
      <c r="B187" s="190" t="s">
        <v>403</v>
      </c>
      <c r="C187" s="293" t="s">
        <v>13</v>
      </c>
      <c r="D187" s="215" t="s">
        <v>264</v>
      </c>
      <c r="E187" s="24">
        <f>2972.91</f>
        <v>2972.91</v>
      </c>
      <c r="F187" s="241">
        <v>3091.5368486666671</v>
      </c>
      <c r="G187" s="24">
        <f t="shared" si="19"/>
        <v>118.62684866666723</v>
      </c>
      <c r="H187" s="214"/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4"/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 t="e">
        <f>E37+E42+E57+E61+E77+E85+E99+E106+E116+E130+E188</f>
        <v>#REF!</v>
      </c>
      <c r="F189" s="231">
        <f t="shared" ref="F189:G189" si="22">F37+F42+F57+F61+F77+F85+F99+F106+F116+F130+F188</f>
        <v>7135974.5583150014</v>
      </c>
      <c r="G189" s="231" t="e">
        <f t="shared" si="22"/>
        <v>#REF!</v>
      </c>
      <c r="H189" s="214"/>
      <c r="I189" s="214"/>
    </row>
    <row r="190" spans="1:9" ht="20.100000000000001" customHeight="1">
      <c r="A190" s="203"/>
      <c r="B190" s="232"/>
      <c r="C190" s="203"/>
      <c r="D190" s="233"/>
      <c r="E190" s="235"/>
      <c r="F190" s="235"/>
      <c r="G190" s="235"/>
      <c r="I190" s="236"/>
    </row>
    <row r="191" spans="1:9" ht="65.25" customHeight="1">
      <c r="A191" s="203"/>
      <c r="B191" s="232"/>
      <c r="C191" s="233"/>
      <c r="D191" s="233"/>
      <c r="E191" s="235"/>
      <c r="F191" s="235"/>
      <c r="G191" s="235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85546875" style="197" customWidth="1"/>
    <col min="6" max="7" width="14.85546875" style="197" customWidth="1"/>
    <col min="8" max="8" width="17.7109375" style="197" customWidth="1"/>
    <col min="9" max="9" width="21.7109375" style="197" customWidth="1"/>
    <col min="10" max="16384" width="9.140625" style="197"/>
  </cols>
  <sheetData>
    <row r="1" spans="1:9" ht="27" customHeight="1">
      <c r="A1" s="340" t="s">
        <v>234</v>
      </c>
      <c r="B1" s="340"/>
      <c r="C1" s="340"/>
      <c r="D1" s="340"/>
      <c r="E1" s="340"/>
    </row>
    <row r="2" spans="1:9" ht="33.75" customHeight="1">
      <c r="A2" s="198" t="s">
        <v>497</v>
      </c>
      <c r="B2" s="199"/>
      <c r="C2" s="198"/>
      <c r="D2" s="198"/>
      <c r="E2" s="200"/>
      <c r="F2" s="202"/>
      <c r="G2" s="202"/>
      <c r="H2" s="202"/>
    </row>
    <row r="3" spans="1:9" ht="9.75" customHeight="1">
      <c r="A3" s="203"/>
      <c r="B3" s="203"/>
      <c r="C3" s="203"/>
      <c r="D3" s="203"/>
      <c r="E3" s="196" t="e">
        <f>'[1]FEB 08'!E11/'[1]FEB 08'!M11</f>
        <v>#REF!</v>
      </c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508</v>
      </c>
      <c r="G4" s="207" t="s">
        <v>509</v>
      </c>
      <c r="H4" s="208" t="s">
        <v>344</v>
      </c>
    </row>
    <row r="5" spans="1:9" ht="20.100000000000001" customHeight="1">
      <c r="A5" s="210" t="s">
        <v>143</v>
      </c>
      <c r="B5" s="211" t="s">
        <v>435</v>
      </c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</row>
    <row r="6" spans="1:9" ht="20.100000000000001" customHeight="1">
      <c r="A6" s="29">
        <v>1</v>
      </c>
      <c r="B6" s="189" t="s">
        <v>224</v>
      </c>
      <c r="C6" s="293" t="s">
        <v>119</v>
      </c>
      <c r="D6" s="293" t="s">
        <v>34</v>
      </c>
      <c r="E6" s="24">
        <v>160488.75</v>
      </c>
      <c r="F6" s="24"/>
      <c r="G6" s="24"/>
      <c r="H6" s="24"/>
      <c r="I6" s="214"/>
    </row>
    <row r="7" spans="1:9" ht="20.100000000000001" customHeight="1">
      <c r="A7" s="29">
        <v>2</v>
      </c>
      <c r="B7" s="189" t="s">
        <v>137</v>
      </c>
      <c r="C7" s="21" t="s">
        <v>474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'[5]April 2022'!$H$26</f>
        <v>1028.9422500000001</v>
      </c>
      <c r="H7" s="26">
        <f>F7-G7</f>
        <v>37.386999999999944</v>
      </c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4"/>
    </row>
    <row r="9" spans="1:9" ht="20.100000000000001" customHeight="1">
      <c r="A9" s="29">
        <v>4</v>
      </c>
      <c r="B9" s="189" t="s">
        <v>315</v>
      </c>
      <c r="C9" s="293" t="s">
        <v>316</v>
      </c>
      <c r="D9" s="29" t="s">
        <v>498</v>
      </c>
      <c r="E9" s="24">
        <f>42653.17</f>
        <v>42653.17</v>
      </c>
      <c r="F9" s="24"/>
      <c r="G9" s="24"/>
      <c r="H9" s="26">
        <f t="shared" si="0"/>
        <v>0</v>
      </c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v>41157.69</v>
      </c>
      <c r="F10" s="24"/>
      <c r="G10" s="24"/>
      <c r="H10" s="26">
        <f t="shared" si="0"/>
        <v>0</v>
      </c>
      <c r="I10" s="214"/>
    </row>
    <row r="11" spans="1:9" ht="20.100000000000001" customHeight="1">
      <c r="A11" s="29">
        <v>6</v>
      </c>
      <c r="B11" s="191" t="s">
        <v>112</v>
      </c>
      <c r="C11" s="21" t="s">
        <v>475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4"/>
    </row>
    <row r="12" spans="1:9" ht="20.100000000000001" customHeight="1">
      <c r="A12" s="29">
        <v>7</v>
      </c>
      <c r="B12" s="189" t="s">
        <v>187</v>
      </c>
      <c r="C12" s="156" t="s">
        <v>476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4"/>
    </row>
    <row r="13" spans="1:9" ht="20.100000000000001" customHeight="1">
      <c r="A13" s="29">
        <v>8</v>
      </c>
      <c r="B13" s="191" t="s">
        <v>203</v>
      </c>
      <c r="C13" s="21" t="s">
        <v>477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4"/>
    </row>
    <row r="14" spans="1:9" ht="20.100000000000001" customHeight="1">
      <c r="A14" s="29">
        <v>9</v>
      </c>
      <c r="B14" s="189" t="s">
        <v>111</v>
      </c>
      <c r="C14" s="293" t="s">
        <v>470</v>
      </c>
      <c r="D14" s="215" t="s">
        <v>75</v>
      </c>
      <c r="E14" s="26">
        <v>33507.5</v>
      </c>
      <c r="F14" s="24">
        <f>0.025*E14</f>
        <v>837.6875</v>
      </c>
      <c r="G14" s="24">
        <f>'[5]April 2022'!$H$28</f>
        <v>837.6875</v>
      </c>
      <c r="H14" s="26">
        <f t="shared" si="0"/>
        <v>0</v>
      </c>
      <c r="I14" s="214"/>
    </row>
    <row r="15" spans="1:9" ht="20.100000000000001" customHeight="1">
      <c r="A15" s="29">
        <v>10</v>
      </c>
      <c r="B15" s="190" t="s">
        <v>333</v>
      </c>
      <c r="C15" s="293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'[5]April 2022'!$H$27</f>
        <v>668.31625000000008</v>
      </c>
      <c r="H17" s="26">
        <f t="shared" si="0"/>
        <v>21.96449999999993</v>
      </c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>
        <v>27611.23</v>
      </c>
      <c r="F19" s="24"/>
      <c r="G19" s="24"/>
      <c r="H19" s="26">
        <f t="shared" si="0"/>
        <v>0</v>
      </c>
      <c r="I19" s="214"/>
    </row>
    <row r="20" spans="1:9" ht="20.100000000000001" customHeight="1">
      <c r="A20" s="29">
        <v>15</v>
      </c>
      <c r="B20" s="189" t="s">
        <v>334</v>
      </c>
      <c r="C20" s="293" t="s">
        <v>351</v>
      </c>
      <c r="D20" s="215" t="s">
        <v>163</v>
      </c>
      <c r="E20" s="26">
        <v>24741.26</v>
      </c>
      <c r="F20" s="24"/>
      <c r="G20" s="24"/>
      <c r="H20" s="26">
        <f t="shared" si="0"/>
        <v>0</v>
      </c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23891.12</f>
        <v>23891.119999999999</v>
      </c>
      <c r="F21" s="26">
        <f>0.025*E21</f>
        <v>597.27800000000002</v>
      </c>
      <c r="G21" s="26">
        <f>'[5]April 2022'!$H$52</f>
        <v>576.87475000000006</v>
      </c>
      <c r="H21" s="26">
        <f t="shared" si="0"/>
        <v>20.403249999999957</v>
      </c>
      <c r="I21" s="214"/>
    </row>
    <row r="22" spans="1:9" ht="20.100000000000001" customHeight="1">
      <c r="A22" s="29">
        <v>17</v>
      </c>
      <c r="B22" s="189" t="s">
        <v>141</v>
      </c>
      <c r="C22" s="293" t="s">
        <v>391</v>
      </c>
      <c r="D22" s="215" t="s">
        <v>499</v>
      </c>
      <c r="E22" s="26">
        <f>22837.82</f>
        <v>22837.82</v>
      </c>
      <c r="F22" s="26">
        <f>0.025*E22</f>
        <v>570.94550000000004</v>
      </c>
      <c r="G22" s="24">
        <f>'[5]April 2022'!$H$45</f>
        <v>538.02200000000005</v>
      </c>
      <c r="H22" s="26">
        <f t="shared" si="0"/>
        <v>32.92349999999999</v>
      </c>
      <c r="I22" s="214"/>
    </row>
    <row r="23" spans="1:9" ht="18.75" customHeight="1">
      <c r="A23" s="29">
        <v>18</v>
      </c>
      <c r="B23" s="189" t="s">
        <v>253</v>
      </c>
      <c r="C23" s="293" t="s">
        <v>480</v>
      </c>
      <c r="D23" s="215" t="s">
        <v>415</v>
      </c>
      <c r="E23" s="26">
        <v>21520.880000000001</v>
      </c>
      <c r="F23" s="24"/>
      <c r="G23" s="24"/>
      <c r="H23" s="26">
        <f t="shared" si="0"/>
        <v>0</v>
      </c>
      <c r="I23" s="214"/>
    </row>
    <row r="24" spans="1:9" ht="18.75" customHeight="1">
      <c r="A24" s="29">
        <v>19</v>
      </c>
      <c r="B24" s="189" t="s">
        <v>247</v>
      </c>
      <c r="C24" s="21" t="s">
        <v>479</v>
      </c>
      <c r="D24" s="215" t="s">
        <v>415</v>
      </c>
      <c r="E24" s="26">
        <v>21520.880000000001</v>
      </c>
      <c r="F24" s="24"/>
      <c r="G24" s="24"/>
      <c r="H24" s="26">
        <f t="shared" si="0"/>
        <v>0</v>
      </c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4"/>
    </row>
    <row r="26" spans="1:9" ht="18.75" customHeight="1">
      <c r="A26" s="29">
        <v>21</v>
      </c>
      <c r="B26" s="190" t="s">
        <v>275</v>
      </c>
      <c r="C26" s="293" t="s">
        <v>314</v>
      </c>
      <c r="D26" s="215" t="s">
        <v>164</v>
      </c>
      <c r="E26" s="26">
        <v>18281.64</v>
      </c>
      <c r="F26" s="26"/>
      <c r="G26" s="26"/>
      <c r="H26" s="26">
        <f t="shared" si="0"/>
        <v>0</v>
      </c>
      <c r="I26" s="214"/>
    </row>
    <row r="27" spans="1:9" ht="18.75" customHeight="1">
      <c r="A27" s="29">
        <v>22</v>
      </c>
      <c r="B27" s="21" t="s">
        <v>436</v>
      </c>
      <c r="C27" s="21" t="s">
        <v>17</v>
      </c>
      <c r="D27" s="29" t="s">
        <v>500</v>
      </c>
      <c r="E27" s="239">
        <v>14736.14</v>
      </c>
      <c r="F27" s="24"/>
      <c r="G27" s="24"/>
      <c r="H27" s="26">
        <f t="shared" si="0"/>
        <v>0</v>
      </c>
      <c r="I27" s="214"/>
    </row>
    <row r="28" spans="1:9" ht="18.75" customHeight="1">
      <c r="A28" s="29">
        <v>23</v>
      </c>
      <c r="B28" s="190" t="s">
        <v>254</v>
      </c>
      <c r="C28" s="293" t="s">
        <v>17</v>
      </c>
      <c r="D28" s="215" t="s">
        <v>500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4"/>
    </row>
    <row r="29" spans="1:9" ht="18.75" customHeight="1">
      <c r="A29" s="29">
        <v>24</v>
      </c>
      <c r="B29" s="189" t="s">
        <v>248</v>
      </c>
      <c r="C29" s="293" t="s">
        <v>482</v>
      </c>
      <c r="D29" s="215" t="s">
        <v>500</v>
      </c>
      <c r="E29" s="26">
        <f t="shared" si="2"/>
        <v>15188.67</v>
      </c>
      <c r="F29" s="24"/>
      <c r="G29" s="24"/>
      <c r="H29" s="26">
        <f t="shared" si="0"/>
        <v>0</v>
      </c>
      <c r="I29" s="214"/>
    </row>
    <row r="30" spans="1:9" ht="18.75" customHeight="1">
      <c r="A30" s="29">
        <v>25</v>
      </c>
      <c r="B30" s="190" t="s">
        <v>288</v>
      </c>
      <c r="C30" s="293" t="s">
        <v>249</v>
      </c>
      <c r="D30" s="215" t="s">
        <v>411</v>
      </c>
      <c r="E30" s="213">
        <v>13492.21</v>
      </c>
      <c r="F30" s="24"/>
      <c r="G30" s="24"/>
      <c r="H30" s="26">
        <f t="shared" si="0"/>
        <v>0</v>
      </c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6">
        <v>13492.21</v>
      </c>
      <c r="F31" s="24"/>
      <c r="G31" s="24"/>
      <c r="H31" s="26">
        <f t="shared" si="0"/>
        <v>0</v>
      </c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500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4"/>
    </row>
    <row r="35" spans="1:9" ht="18.75" customHeight="1">
      <c r="A35" s="29">
        <v>30</v>
      </c>
      <c r="B35" s="190" t="s">
        <v>274</v>
      </c>
      <c r="C35" s="293" t="s">
        <v>314</v>
      </c>
      <c r="D35" s="215" t="s">
        <v>176</v>
      </c>
      <c r="E35" s="26">
        <f>12732</f>
        <v>12732</v>
      </c>
      <c r="F35" s="24"/>
      <c r="G35" s="24"/>
      <c r="H35" s="26">
        <f t="shared" si="0"/>
        <v>0</v>
      </c>
      <c r="I35" s="214"/>
    </row>
    <row r="36" spans="1:9" ht="18.75" customHeight="1">
      <c r="A36" s="29">
        <v>31</v>
      </c>
      <c r="B36" s="190" t="s">
        <v>455</v>
      </c>
      <c r="C36" s="293" t="s">
        <v>314</v>
      </c>
      <c r="D36" s="215" t="s">
        <v>176</v>
      </c>
      <c r="E36" s="26">
        <f>12732</f>
        <v>12732</v>
      </c>
      <c r="F36" s="24"/>
      <c r="G36" s="24"/>
      <c r="H36" s="26">
        <f t="shared" si="0"/>
        <v>0</v>
      </c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>
        <f t="shared" ref="E37" si="3">SUM(E6:E36)</f>
        <v>919842.32</v>
      </c>
      <c r="F37" s="217">
        <f>SUM(F6:F36)</f>
        <v>6849.3477499999999</v>
      </c>
      <c r="G37" s="217">
        <f t="shared" ref="G37" si="4">SUM(G6:G36)</f>
        <v>6736.665</v>
      </c>
      <c r="H37" s="31">
        <f t="shared" si="0"/>
        <v>112.68274999999994</v>
      </c>
      <c r="I37" s="214"/>
    </row>
    <row r="38" spans="1:9" ht="18.75" customHeight="1">
      <c r="A38" s="29"/>
      <c r="B38" s="142"/>
      <c r="C38" s="21"/>
      <c r="D38" s="215"/>
      <c r="E38" s="217"/>
      <c r="F38" s="217"/>
      <c r="G38" s="217"/>
      <c r="H38" s="26">
        <f t="shared" si="0"/>
        <v>0</v>
      </c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"/>
      <c r="G39" s="24"/>
      <c r="H39" s="26">
        <f t="shared" si="0"/>
        <v>0</v>
      </c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39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94091.96</v>
      </c>
      <c r="F42" s="217">
        <f>SUM(F40:F41)</f>
        <v>0</v>
      </c>
      <c r="G42" s="217">
        <f>SUM(G40:G41)</f>
        <v>0</v>
      </c>
      <c r="H42" s="26">
        <f t="shared" si="0"/>
        <v>0</v>
      </c>
      <c r="I42" s="214"/>
    </row>
    <row r="43" spans="1:9" ht="20.100000000000001" customHeight="1">
      <c r="A43" s="29"/>
      <c r="B43" s="191"/>
      <c r="C43" s="21"/>
      <c r="D43" s="29"/>
      <c r="E43" s="217"/>
      <c r="F43" s="217"/>
      <c r="G43" s="217"/>
      <c r="H43" s="26">
        <f t="shared" si="0"/>
        <v>0</v>
      </c>
      <c r="I43" s="214"/>
    </row>
    <row r="44" spans="1:9" ht="20.100000000000001" customHeight="1">
      <c r="A44" s="29"/>
      <c r="B44" s="219" t="s">
        <v>56</v>
      </c>
      <c r="C44" s="204"/>
      <c r="D44" s="208"/>
      <c r="E44" s="217"/>
      <c r="F44" s="24"/>
      <c r="G44" s="24"/>
      <c r="H44" s="26">
        <f t="shared" si="0"/>
        <v>0</v>
      </c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'[5]April 2022'!$H$46</f>
        <v>618.53150000000005</v>
      </c>
      <c r="H53" s="26">
        <f t="shared" si="0"/>
        <v>19.554750000000013</v>
      </c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39">
        <f>14736.14</f>
        <v>14736.14</v>
      </c>
      <c r="F54" s="24"/>
      <c r="G54" s="24"/>
      <c r="H54" s="26">
        <f t="shared" si="0"/>
        <v>0</v>
      </c>
      <c r="I54" s="214"/>
    </row>
    <row r="55" spans="1:9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39">
        <f>14736.14</f>
        <v>14736.14</v>
      </c>
      <c r="F55" s="24"/>
      <c r="G55" s="24"/>
      <c r="H55" s="26">
        <f t="shared" si="0"/>
        <v>0</v>
      </c>
      <c r="I55" s="214"/>
    </row>
    <row r="56" spans="1:9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39">
        <f>14736.14</f>
        <v>14736.14</v>
      </c>
      <c r="F56" s="24"/>
      <c r="G56" s="24"/>
      <c r="H56" s="26">
        <f t="shared" si="0"/>
        <v>0</v>
      </c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4"/>
    </row>
    <row r="58" spans="1:9" ht="20.100000000000001" customHeight="1">
      <c r="A58" s="29"/>
      <c r="B58" s="142"/>
      <c r="C58" s="30"/>
      <c r="D58" s="30"/>
      <c r="E58" s="31"/>
      <c r="F58" s="31"/>
      <c r="G58" s="31"/>
      <c r="H58" s="26">
        <f t="shared" si="0"/>
        <v>0</v>
      </c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31"/>
      <c r="G59" s="31"/>
      <c r="H59" s="26">
        <f t="shared" si="0"/>
        <v>0</v>
      </c>
      <c r="I59" s="214"/>
    </row>
    <row r="60" spans="1:9" ht="20.100000000000001" customHeight="1">
      <c r="A60" s="29">
        <v>1</v>
      </c>
      <c r="B60" s="189" t="s">
        <v>11</v>
      </c>
      <c r="C60" s="293" t="s">
        <v>200</v>
      </c>
      <c r="D60" s="215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4"/>
    </row>
    <row r="62" spans="1:9" ht="20.100000000000001" customHeight="1">
      <c r="A62" s="29"/>
      <c r="B62" s="192"/>
      <c r="C62" s="30"/>
      <c r="D62" s="30"/>
      <c r="E62" s="31"/>
      <c r="F62" s="31"/>
      <c r="G62" s="31"/>
      <c r="H62" s="26">
        <f t="shared" si="0"/>
        <v>0</v>
      </c>
      <c r="I62" s="214"/>
    </row>
    <row r="63" spans="1:9" ht="20.100000000000001" customHeight="1">
      <c r="A63" s="29"/>
      <c r="B63" s="192" t="s">
        <v>463</v>
      </c>
      <c r="C63" s="30"/>
      <c r="D63" s="30"/>
      <c r="E63" s="31"/>
      <c r="F63" s="31"/>
      <c r="G63" s="31"/>
      <c r="H63" s="26">
        <f t="shared" si="0"/>
        <v>0</v>
      </c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38">
        <v>31018.84</v>
      </c>
      <c r="F65" s="24"/>
      <c r="G65" s="24"/>
      <c r="H65" s="26">
        <f t="shared" si="0"/>
        <v>0</v>
      </c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4"/>
    </row>
    <row r="67" spans="1:9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6">
        <v>27611.23</v>
      </c>
      <c r="F68" s="24"/>
      <c r="G68" s="24"/>
      <c r="H68" s="26">
        <f t="shared" si="0"/>
        <v>0</v>
      </c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499</v>
      </c>
      <c r="E70" s="26">
        <f>22837.82</f>
        <v>22837.82</v>
      </c>
      <c r="F70" s="24">
        <f>0.025*E70</f>
        <v>570.94550000000004</v>
      </c>
      <c r="G70" s="24">
        <f>'[5]April 2022'!$H$41</f>
        <v>538.02200000000005</v>
      </c>
      <c r="H70" s="26">
        <f t="shared" si="0"/>
        <v>32.92349999999999</v>
      </c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94">
        <v>20749</v>
      </c>
      <c r="F71" s="24"/>
      <c r="G71" s="24"/>
      <c r="H71" s="26">
        <f t="shared" si="0"/>
        <v>0</v>
      </c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94">
        <v>20749</v>
      </c>
      <c r="F72" s="24"/>
      <c r="G72" s="24"/>
      <c r="H72" s="26">
        <f t="shared" ref="H72:H135" si="6">F72-G72</f>
        <v>0</v>
      </c>
      <c r="I72" s="214"/>
    </row>
    <row r="73" spans="1:9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15188.67</f>
        <v>15188.67</v>
      </c>
      <c r="F75" s="24"/>
      <c r="G75" s="24"/>
      <c r="H75" s="26">
        <f t="shared" si="6"/>
        <v>0</v>
      </c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4"/>
    </row>
    <row r="78" spans="1:9" ht="20.100000000000001" customHeight="1">
      <c r="A78" s="29"/>
      <c r="B78" s="142"/>
      <c r="C78" s="30"/>
      <c r="D78" s="30"/>
      <c r="E78" s="31"/>
      <c r="F78" s="31"/>
      <c r="G78" s="31"/>
      <c r="H78" s="26">
        <f t="shared" si="6"/>
        <v>0</v>
      </c>
      <c r="I78" s="214"/>
    </row>
    <row r="79" spans="1:9" ht="20.100000000000001" customHeight="1">
      <c r="A79" s="29"/>
      <c r="B79" s="192" t="s">
        <v>464</v>
      </c>
      <c r="C79" s="30"/>
      <c r="D79" s="30"/>
      <c r="E79" s="31"/>
      <c r="F79" s="31"/>
      <c r="G79" s="31"/>
      <c r="H79" s="26">
        <f t="shared" si="6"/>
        <v>0</v>
      </c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95">
        <v>31018.84</v>
      </c>
      <c r="F81" s="24">
        <v>0</v>
      </c>
      <c r="G81" s="24">
        <v>0</v>
      </c>
      <c r="H81" s="26">
        <f t="shared" si="6"/>
        <v>0</v>
      </c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95">
        <v>31018.84</v>
      </c>
      <c r="F82" s="24">
        <v>0</v>
      </c>
      <c r="G82" s="24">
        <v>0</v>
      </c>
      <c r="H82" s="26">
        <f t="shared" si="6"/>
        <v>0</v>
      </c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25523.45</v>
      </c>
      <c r="F83" s="24">
        <f>0.025*E83</f>
        <v>638.08625000000006</v>
      </c>
      <c r="G83" s="24">
        <f>'[5]April 2022'!$H$38</f>
        <v>618.53150000000005</v>
      </c>
      <c r="H83" s="26">
        <f t="shared" si="6"/>
        <v>19.554750000000013</v>
      </c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4"/>
    </row>
    <row r="86" spans="1:9" ht="20.100000000000001" customHeight="1">
      <c r="A86" s="29"/>
      <c r="B86" s="192"/>
      <c r="C86" s="30"/>
      <c r="D86" s="30"/>
      <c r="E86" s="31"/>
      <c r="F86" s="216"/>
      <c r="G86" s="216"/>
      <c r="H86" s="26">
        <f t="shared" si="6"/>
        <v>0</v>
      </c>
      <c r="I86" s="214"/>
    </row>
    <row r="87" spans="1:9" ht="20.100000000000001" customHeight="1">
      <c r="A87" s="29"/>
      <c r="B87" s="192" t="s">
        <v>465</v>
      </c>
      <c r="C87" s="220"/>
      <c r="D87" s="30"/>
      <c r="E87" s="31"/>
      <c r="F87" s="216"/>
      <c r="G87" s="216"/>
      <c r="H87" s="26">
        <f t="shared" si="6"/>
        <v>0</v>
      </c>
      <c r="I87" s="214"/>
    </row>
    <row r="88" spans="1:9" ht="23.25" customHeight="1">
      <c r="A88" s="29">
        <v>1</v>
      </c>
      <c r="B88" s="189" t="s">
        <v>506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'[5]April 2022'!$H$37</f>
        <v>837.6875</v>
      </c>
      <c r="H90" s="26">
        <f t="shared" si="6"/>
        <v>0</v>
      </c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'[5]April 2022'!$H$44</f>
        <v>690.28075000000001</v>
      </c>
      <c r="H91" s="26">
        <f t="shared" si="6"/>
        <v>21.964500000000044</v>
      </c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v>25523.45</v>
      </c>
      <c r="F93" s="24"/>
      <c r="G93" s="24"/>
      <c r="H93" s="26">
        <f t="shared" si="6"/>
        <v>0</v>
      </c>
      <c r="I93" s="214"/>
    </row>
    <row r="94" spans="1:9" ht="21.6" customHeight="1">
      <c r="A94" s="29">
        <v>7</v>
      </c>
      <c r="B94" s="189" t="s">
        <v>336</v>
      </c>
      <c r="C94" s="293" t="s">
        <v>257</v>
      </c>
      <c r="D94" s="215" t="s">
        <v>163</v>
      </c>
      <c r="E94" s="26">
        <v>24741.26</v>
      </c>
      <c r="F94" s="24"/>
      <c r="G94" s="24"/>
      <c r="H94" s="26">
        <f t="shared" si="6"/>
        <v>0</v>
      </c>
      <c r="I94" s="214"/>
    </row>
    <row r="95" spans="1:9" ht="21.6" customHeight="1">
      <c r="A95" s="29">
        <v>8</v>
      </c>
      <c r="B95" s="189" t="s">
        <v>337</v>
      </c>
      <c r="C95" s="293" t="s">
        <v>257</v>
      </c>
      <c r="D95" s="215" t="s">
        <v>163</v>
      </c>
      <c r="E95" s="26">
        <v>24741.26</v>
      </c>
      <c r="F95" s="24"/>
      <c r="G95" s="24"/>
      <c r="H95" s="26">
        <f t="shared" si="6"/>
        <v>0</v>
      </c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94">
        <f>20749</f>
        <v>20749</v>
      </c>
      <c r="F96" s="24"/>
      <c r="G96" s="24"/>
      <c r="H96" s="26">
        <f t="shared" si="6"/>
        <v>0</v>
      </c>
      <c r="I96" s="214"/>
    </row>
    <row r="97" spans="1:9" ht="21.6" customHeight="1">
      <c r="A97" s="29">
        <v>10</v>
      </c>
      <c r="B97" s="189" t="s">
        <v>438</v>
      </c>
      <c r="C97" s="21" t="s">
        <v>472</v>
      </c>
      <c r="D97" s="29" t="s">
        <v>104</v>
      </c>
      <c r="E97" s="294">
        <v>0</v>
      </c>
      <c r="F97" s="24"/>
      <c r="G97" s="24"/>
      <c r="H97" s="26">
        <f t="shared" si="6"/>
        <v>0</v>
      </c>
      <c r="I97" s="214"/>
    </row>
    <row r="98" spans="1:9" ht="21.6" customHeight="1">
      <c r="A98" s="29">
        <v>11</v>
      </c>
      <c r="B98" s="189" t="s">
        <v>406</v>
      </c>
      <c r="C98" s="156" t="s">
        <v>434</v>
      </c>
      <c r="D98" s="215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4"/>
    </row>
    <row r="100" spans="1:9" ht="20.100000000000001" customHeight="1">
      <c r="A100" s="29"/>
      <c r="B100" s="142"/>
      <c r="C100" s="30"/>
      <c r="D100" s="30"/>
      <c r="E100" s="31"/>
      <c r="F100" s="31"/>
      <c r="G100" s="31"/>
      <c r="H100" s="26">
        <f t="shared" si="6"/>
        <v>0</v>
      </c>
      <c r="I100" s="214"/>
    </row>
    <row r="101" spans="1:9" ht="20.100000000000001" customHeight="1">
      <c r="A101" s="29"/>
      <c r="B101" s="192" t="s">
        <v>466</v>
      </c>
      <c r="C101" s="30"/>
      <c r="D101" s="30"/>
      <c r="E101" s="31"/>
      <c r="F101" s="31"/>
      <c r="G101" s="31"/>
      <c r="H101" s="26">
        <f t="shared" si="6"/>
        <v>0</v>
      </c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94">
        <v>41157.69</v>
      </c>
      <c r="F102" s="24"/>
      <c r="G102" s="24"/>
      <c r="H102" s="26">
        <f t="shared" si="6"/>
        <v>0</v>
      </c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'[5]April 2022'!$H$54</f>
        <v>668.31625000000008</v>
      </c>
      <c r="H103" s="26">
        <f t="shared" si="6"/>
        <v>21.96449999999993</v>
      </c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v>24741.26</v>
      </c>
      <c r="F104" s="24"/>
      <c r="G104" s="24"/>
      <c r="H104" s="26">
        <f t="shared" si="6"/>
        <v>0</v>
      </c>
      <c r="I104" s="214"/>
    </row>
    <row r="105" spans="1:9" ht="20.100000000000001" customHeight="1">
      <c r="A105" s="29">
        <v>4</v>
      </c>
      <c r="B105" s="189" t="s">
        <v>237</v>
      </c>
      <c r="C105" s="21" t="s">
        <v>485</v>
      </c>
      <c r="D105" s="215" t="s">
        <v>415</v>
      </c>
      <c r="E105" s="26">
        <v>21520.880000000001</v>
      </c>
      <c r="F105" s="24"/>
      <c r="G105" s="24"/>
      <c r="H105" s="26">
        <f t="shared" si="6"/>
        <v>0</v>
      </c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4"/>
    </row>
    <row r="107" spans="1:9" ht="20.100000000000001" customHeight="1">
      <c r="A107" s="21"/>
      <c r="B107" s="142"/>
      <c r="C107" s="30"/>
      <c r="D107" s="221"/>
      <c r="E107" s="31"/>
      <c r="F107" s="31"/>
      <c r="G107" s="31"/>
      <c r="H107" s="26">
        <f t="shared" si="6"/>
        <v>0</v>
      </c>
      <c r="I107" s="214"/>
    </row>
    <row r="108" spans="1:9" ht="20.100000000000001" customHeight="1">
      <c r="A108" s="21"/>
      <c r="B108" s="192" t="s">
        <v>467</v>
      </c>
      <c r="C108" s="21"/>
      <c r="D108" s="21"/>
      <c r="E108" s="21"/>
      <c r="F108" s="21"/>
      <c r="G108" s="21"/>
      <c r="H108" s="26">
        <f t="shared" si="6"/>
        <v>0</v>
      </c>
      <c r="I108" s="214"/>
    </row>
    <row r="109" spans="1:9" ht="20.100000000000001" customHeight="1">
      <c r="A109" s="21">
        <v>1</v>
      </c>
      <c r="B109" s="189" t="s">
        <v>216</v>
      </c>
      <c r="C109" s="293" t="s">
        <v>217</v>
      </c>
      <c r="D109" s="215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'[5]April 2022'!$H$35</f>
        <v>658.48250000000007</v>
      </c>
      <c r="H111" s="26">
        <f t="shared" si="6"/>
        <v>0</v>
      </c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501</v>
      </c>
      <c r="E113" s="213">
        <f>13872.4</f>
        <v>13872.4</v>
      </c>
      <c r="F113" s="24"/>
      <c r="G113" s="24"/>
      <c r="H113" s="26">
        <f t="shared" si="6"/>
        <v>0</v>
      </c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13">
        <f>12732</f>
        <v>12732</v>
      </c>
      <c r="F115" s="24"/>
      <c r="G115" s="24"/>
      <c r="H115" s="26">
        <f t="shared" si="6"/>
        <v>0</v>
      </c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>
        <f>SUM(E109:E115)</f>
        <v>215672.91999999998</v>
      </c>
      <c r="F116" s="222">
        <f t="shared" ref="F116:G116" si="11">SUM(F109:F115)</f>
        <v>1687.4247500000001</v>
      </c>
      <c r="G116" s="222">
        <f t="shared" si="11"/>
        <v>1687.4247500000001</v>
      </c>
      <c r="H116" s="26">
        <f t="shared" si="6"/>
        <v>0</v>
      </c>
      <c r="I116" s="214"/>
    </row>
    <row r="117" spans="1:9" ht="20.100000000000001" customHeight="1">
      <c r="A117" s="21"/>
      <c r="B117" s="142"/>
      <c r="C117" s="29"/>
      <c r="D117" s="21"/>
      <c r="E117" s="223"/>
      <c r="F117" s="223"/>
      <c r="G117" s="223"/>
      <c r="H117" s="26">
        <f t="shared" si="6"/>
        <v>0</v>
      </c>
      <c r="I117" s="214"/>
    </row>
    <row r="118" spans="1:9" ht="20.100000000000001" customHeight="1">
      <c r="A118" s="21"/>
      <c r="B118" s="192" t="s">
        <v>468</v>
      </c>
      <c r="C118" s="30"/>
      <c r="D118" s="30"/>
      <c r="E118" s="31"/>
      <c r="F118" s="216"/>
      <c r="G118" s="216"/>
      <c r="H118" s="26">
        <f t="shared" si="6"/>
        <v>0</v>
      </c>
      <c r="I118" s="214"/>
    </row>
    <row r="119" spans="1:9" ht="20.100000000000001" customHeight="1">
      <c r="A119" s="21">
        <v>1</v>
      </c>
      <c r="B119" s="189" t="s">
        <v>20</v>
      </c>
      <c r="C119" s="293" t="s">
        <v>250</v>
      </c>
      <c r="D119" s="215" t="s">
        <v>161</v>
      </c>
      <c r="E119" s="26">
        <v>81740.02</v>
      </c>
      <c r="F119" s="24">
        <f>0.025*E119</f>
        <v>2043.5005000000001</v>
      </c>
      <c r="G119" s="24">
        <f>'[5]April 2022'!$H$21</f>
        <v>2043.5005000000001</v>
      </c>
      <c r="H119" s="26">
        <f t="shared" si="6"/>
        <v>0</v>
      </c>
      <c r="I119" s="214"/>
    </row>
    <row r="120" spans="1:9" ht="20.100000000000001" customHeight="1">
      <c r="A120" s="21" t="s">
        <v>507</v>
      </c>
      <c r="B120" s="189" t="s">
        <v>100</v>
      </c>
      <c r="C120" s="293" t="s">
        <v>268</v>
      </c>
      <c r="D120" s="215" t="s">
        <v>160</v>
      </c>
      <c r="E120" s="26">
        <v>42653.17</v>
      </c>
      <c r="F120" s="24"/>
      <c r="G120" s="24"/>
      <c r="H120" s="26">
        <f t="shared" si="6"/>
        <v>0</v>
      </c>
      <c r="I120" s="214"/>
    </row>
    <row r="121" spans="1:9" ht="20.100000000000001" customHeight="1">
      <c r="A121" s="21">
        <v>3</v>
      </c>
      <c r="B121" s="189" t="s">
        <v>153</v>
      </c>
      <c r="C121" s="293" t="s">
        <v>376</v>
      </c>
      <c r="D121" s="215" t="s">
        <v>75</v>
      </c>
      <c r="E121" s="26">
        <v>33507.5</v>
      </c>
      <c r="F121" s="24">
        <f>0.025*E121</f>
        <v>837.6875</v>
      </c>
      <c r="G121" s="24">
        <f>'[5]April 2022'!$H$20</f>
        <v>837.6875</v>
      </c>
      <c r="H121" s="26">
        <f t="shared" si="6"/>
        <v>0</v>
      </c>
      <c r="I121" s="214"/>
    </row>
    <row r="122" spans="1:9" ht="20.100000000000001" customHeight="1">
      <c r="A122" s="21">
        <v>4</v>
      </c>
      <c r="B122" s="191" t="s">
        <v>142</v>
      </c>
      <c r="C122" s="293" t="s">
        <v>376</v>
      </c>
      <c r="D122" s="215" t="s">
        <v>75</v>
      </c>
      <c r="E122" s="26">
        <v>33507.5</v>
      </c>
      <c r="F122" s="24">
        <f>0.025*E122</f>
        <v>837.6875</v>
      </c>
      <c r="G122" s="24">
        <f>'[5]April 2022'!$H$22</f>
        <v>837.6875</v>
      </c>
      <c r="H122" s="26">
        <f t="shared" si="6"/>
        <v>0</v>
      </c>
      <c r="I122" s="214"/>
    </row>
    <row r="123" spans="1:9" ht="20.100000000000001" customHeight="1">
      <c r="A123" s="21">
        <v>5</v>
      </c>
      <c r="B123" s="191" t="s">
        <v>363</v>
      </c>
      <c r="C123" s="293" t="s">
        <v>376</v>
      </c>
      <c r="D123" s="215" t="s">
        <v>30</v>
      </c>
      <c r="E123" s="294">
        <v>31018.84</v>
      </c>
      <c r="F123" s="24"/>
      <c r="G123" s="24"/>
      <c r="H123" s="26">
        <f t="shared" si="6"/>
        <v>0</v>
      </c>
      <c r="I123" s="214"/>
    </row>
    <row r="124" spans="1:9" ht="20.100000000000001" customHeight="1">
      <c r="A124" s="21">
        <v>6</v>
      </c>
      <c r="B124" s="189" t="s">
        <v>108</v>
      </c>
      <c r="C124" s="293" t="s">
        <v>478</v>
      </c>
      <c r="D124" s="215" t="s">
        <v>162</v>
      </c>
      <c r="E124" s="26">
        <v>26732.65</v>
      </c>
      <c r="F124" s="24"/>
      <c r="G124" s="24"/>
      <c r="H124" s="26">
        <f t="shared" si="6"/>
        <v>0</v>
      </c>
      <c r="I124" s="214"/>
    </row>
    <row r="125" spans="1:9" ht="20.100000000000001" customHeight="1">
      <c r="A125" s="21">
        <v>7</v>
      </c>
      <c r="B125" s="189" t="s">
        <v>178</v>
      </c>
      <c r="C125" s="293" t="s">
        <v>382</v>
      </c>
      <c r="D125" s="215" t="s">
        <v>170</v>
      </c>
      <c r="E125" s="26">
        <v>25523.45</v>
      </c>
      <c r="F125" s="24">
        <f>0.025*E125</f>
        <v>638.08625000000006</v>
      </c>
      <c r="G125" s="24">
        <f>'[5]April 2022'!$H$48</f>
        <v>618.53150000000005</v>
      </c>
      <c r="H125" s="26">
        <f t="shared" si="6"/>
        <v>19.554750000000013</v>
      </c>
      <c r="I125" s="214"/>
    </row>
    <row r="126" spans="1:9" ht="20.100000000000001" customHeight="1">
      <c r="A126" s="21">
        <v>8</v>
      </c>
      <c r="B126" s="189" t="s">
        <v>134</v>
      </c>
      <c r="C126" s="293" t="s">
        <v>384</v>
      </c>
      <c r="D126" s="215" t="s">
        <v>170</v>
      </c>
      <c r="E126" s="26">
        <v>25523.45</v>
      </c>
      <c r="F126" s="24">
        <f>0.025*E126</f>
        <v>638.08625000000006</v>
      </c>
      <c r="G126" s="24">
        <f>'[5]April 2022'!$H$24</f>
        <v>618.53150000000005</v>
      </c>
      <c r="H126" s="26">
        <f t="shared" si="6"/>
        <v>19.554750000000013</v>
      </c>
      <c r="I126" s="214"/>
    </row>
    <row r="127" spans="1:9" ht="20.100000000000001" customHeight="1">
      <c r="A127" s="21">
        <v>9</v>
      </c>
      <c r="B127" s="190" t="s">
        <v>365</v>
      </c>
      <c r="C127" s="293" t="s">
        <v>383</v>
      </c>
      <c r="D127" s="215" t="s">
        <v>502</v>
      </c>
      <c r="E127" s="26">
        <v>24741.26</v>
      </c>
      <c r="F127" s="24"/>
      <c r="G127" s="24"/>
      <c r="H127" s="26">
        <f t="shared" si="6"/>
        <v>0</v>
      </c>
      <c r="I127" s="214"/>
    </row>
    <row r="128" spans="1:9" ht="20.100000000000001" customHeight="1">
      <c r="A128" s="21">
        <v>10</v>
      </c>
      <c r="B128" s="189" t="s">
        <v>445</v>
      </c>
      <c r="C128" s="293" t="s">
        <v>449</v>
      </c>
      <c r="D128" s="29" t="s">
        <v>500</v>
      </c>
      <c r="E128" s="26">
        <f>15188.67</f>
        <v>15188.67</v>
      </c>
      <c r="F128" s="24"/>
      <c r="G128" s="24"/>
      <c r="H128" s="26">
        <f t="shared" si="6"/>
        <v>0</v>
      </c>
      <c r="I128" s="214"/>
    </row>
    <row r="129" spans="1:9" ht="20.100000000000001" customHeight="1">
      <c r="A129" s="21">
        <v>11</v>
      </c>
      <c r="B129" s="190" t="s">
        <v>441</v>
      </c>
      <c r="C129" s="293" t="s">
        <v>442</v>
      </c>
      <c r="D129" s="215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31">
        <f t="shared" ref="E130" si="12">SUM(E119:E129)</f>
        <v>352868.51</v>
      </c>
      <c r="F130" s="224">
        <f t="shared" ref="F130:G130" si="13">SUM(F119:F129)</f>
        <v>4995.0480000000007</v>
      </c>
      <c r="G130" s="224">
        <f t="shared" si="13"/>
        <v>4955.9385000000002</v>
      </c>
      <c r="H130" s="31">
        <f t="shared" si="6"/>
        <v>39.10950000000048</v>
      </c>
      <c r="I130" s="214"/>
    </row>
    <row r="131" spans="1:9" ht="20.100000000000001" customHeight="1">
      <c r="A131" s="21"/>
      <c r="B131" s="142"/>
      <c r="C131" s="221"/>
      <c r="D131" s="215"/>
      <c r="E131" s="31"/>
      <c r="F131" s="216"/>
      <c r="G131" s="216"/>
      <c r="H131" s="26">
        <f t="shared" si="6"/>
        <v>0</v>
      </c>
      <c r="I131" s="214"/>
    </row>
    <row r="132" spans="1:9" ht="20.100000000000001" customHeight="1">
      <c r="A132" s="21"/>
      <c r="B132" s="192" t="s">
        <v>469</v>
      </c>
      <c r="C132" s="293"/>
      <c r="D132" s="215"/>
      <c r="E132" s="26"/>
      <c r="F132" s="24"/>
      <c r="G132" s="24"/>
      <c r="H132" s="26">
        <f t="shared" si="6"/>
        <v>0</v>
      </c>
      <c r="I132" s="214"/>
    </row>
    <row r="133" spans="1:9" ht="20.100000000000001" customHeight="1">
      <c r="A133" s="225">
        <v>1</v>
      </c>
      <c r="B133" s="189" t="s">
        <v>21</v>
      </c>
      <c r="C133" s="293" t="s">
        <v>393</v>
      </c>
      <c r="D133" s="215" t="s">
        <v>161</v>
      </c>
      <c r="E133" s="26">
        <v>81740.02</v>
      </c>
      <c r="F133" s="24"/>
      <c r="G133" s="24"/>
      <c r="H133" s="26">
        <f t="shared" si="6"/>
        <v>0</v>
      </c>
      <c r="I133" s="214"/>
    </row>
    <row r="134" spans="1:9" ht="20.100000000000001" customHeight="1">
      <c r="A134" s="225">
        <v>2</v>
      </c>
      <c r="B134" s="189" t="s">
        <v>107</v>
      </c>
      <c r="C134" s="293" t="s">
        <v>394</v>
      </c>
      <c r="D134" s="215" t="s">
        <v>160</v>
      </c>
      <c r="E134" s="26">
        <v>42653.17</v>
      </c>
      <c r="H134" s="26">
        <f t="shared" si="6"/>
        <v>0</v>
      </c>
      <c r="I134" s="214"/>
    </row>
    <row r="135" spans="1:9" ht="20.100000000000001" customHeight="1">
      <c r="A135" s="225">
        <v>3</v>
      </c>
      <c r="B135" s="191" t="s">
        <v>183</v>
      </c>
      <c r="C135" s="21" t="s">
        <v>488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4"/>
    </row>
    <row r="136" spans="1:9" ht="20.100000000000001" customHeight="1">
      <c r="A136" s="225">
        <v>4</v>
      </c>
      <c r="B136" s="189" t="s">
        <v>106</v>
      </c>
      <c r="C136" s="293" t="s">
        <v>381</v>
      </c>
      <c r="D136" s="215" t="s">
        <v>181</v>
      </c>
      <c r="E136" s="26">
        <v>27611.23</v>
      </c>
      <c r="F136" s="24">
        <f>0.025*E136</f>
        <v>690.28075000000001</v>
      </c>
      <c r="G136" s="24">
        <f>'[5]April 2022'!$H$47</f>
        <v>668.31625000000008</v>
      </c>
      <c r="H136" s="26">
        <f t="shared" ref="H136:H189" si="14">F136-G136</f>
        <v>21.96449999999993</v>
      </c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v>27611.23</v>
      </c>
      <c r="F137" s="24">
        <f>0.025*E137</f>
        <v>690.28075000000001</v>
      </c>
      <c r="G137" s="24">
        <f>'[5]April 2022'!$H$50</f>
        <v>668.31625000000008</v>
      </c>
      <c r="H137" s="26">
        <f t="shared" si="14"/>
        <v>21.96449999999993</v>
      </c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v>25523.45</v>
      </c>
      <c r="F138" s="24"/>
      <c r="G138" s="24"/>
      <c r="H138" s="26">
        <f t="shared" si="14"/>
        <v>0</v>
      </c>
      <c r="I138" s="214"/>
    </row>
    <row r="139" spans="1:9" ht="20.100000000000001" customHeight="1">
      <c r="A139" s="225">
        <v>7</v>
      </c>
      <c r="B139" s="189" t="s">
        <v>102</v>
      </c>
      <c r="C139" s="293" t="s">
        <v>395</v>
      </c>
      <c r="D139" s="215" t="s">
        <v>499</v>
      </c>
      <c r="E139" s="26">
        <f>22837.82</f>
        <v>22837.82</v>
      </c>
      <c r="F139" s="24">
        <f>0.025*E139</f>
        <v>570.94550000000004</v>
      </c>
      <c r="G139" s="24">
        <f>'[5]April 2022'!$H$40</f>
        <v>538.02200000000005</v>
      </c>
      <c r="H139" s="26">
        <f t="shared" si="14"/>
        <v>32.92349999999999</v>
      </c>
      <c r="I139" s="214"/>
    </row>
    <row r="140" spans="1:9" ht="20.100000000000001" customHeight="1">
      <c r="A140" s="225">
        <v>8</v>
      </c>
      <c r="B140" s="189" t="s">
        <v>103</v>
      </c>
      <c r="C140" s="293" t="s">
        <v>395</v>
      </c>
      <c r="D140" s="215" t="s">
        <v>499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499</v>
      </c>
      <c r="E141" s="26">
        <f t="shared" si="15"/>
        <v>22837.82</v>
      </c>
      <c r="F141" s="24"/>
      <c r="G141" s="24"/>
      <c r="H141" s="26">
        <f t="shared" si="14"/>
        <v>0</v>
      </c>
      <c r="I141" s="214"/>
    </row>
    <row r="142" spans="1:9" ht="20.100000000000001" customHeight="1">
      <c r="A142" s="225">
        <v>10</v>
      </c>
      <c r="B142" s="189" t="s">
        <v>238</v>
      </c>
      <c r="C142" s="293" t="s">
        <v>481</v>
      </c>
      <c r="D142" s="215" t="s">
        <v>415</v>
      </c>
      <c r="E142" s="26">
        <v>21520.880000000001</v>
      </c>
      <c r="F142" s="24"/>
      <c r="G142" s="24"/>
      <c r="H142" s="26">
        <f t="shared" si="14"/>
        <v>0</v>
      </c>
      <c r="I142" s="214"/>
    </row>
    <row r="143" spans="1:9" ht="20.100000000000001" customHeight="1">
      <c r="A143" s="225">
        <v>11</v>
      </c>
      <c r="B143" s="189" t="s">
        <v>53</v>
      </c>
      <c r="C143" s="293" t="s">
        <v>300</v>
      </c>
      <c r="D143" s="215" t="s">
        <v>27</v>
      </c>
      <c r="E143" s="213">
        <v>18779.3</v>
      </c>
      <c r="F143" s="24">
        <f>0.025*E143</f>
        <v>469.48250000000002</v>
      </c>
      <c r="G143" s="24">
        <f>'[5]April 2022'!$H$43</f>
        <v>457.041</v>
      </c>
      <c r="H143" s="26">
        <f t="shared" si="14"/>
        <v>12.441500000000019</v>
      </c>
      <c r="I143" s="214"/>
    </row>
    <row r="144" spans="1:9" ht="20.100000000000001" customHeight="1">
      <c r="A144" s="225">
        <v>12</v>
      </c>
      <c r="B144" s="189" t="s">
        <v>179</v>
      </c>
      <c r="C144" s="293" t="s">
        <v>481</v>
      </c>
      <c r="D144" s="215" t="s">
        <v>499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4"/>
    </row>
    <row r="145" spans="1:9" ht="20.100000000000001" customHeight="1">
      <c r="A145" s="225">
        <v>13</v>
      </c>
      <c r="B145" s="189" t="s">
        <v>490</v>
      </c>
      <c r="C145" s="21" t="s">
        <v>239</v>
      </c>
      <c r="D145" s="215" t="s">
        <v>207</v>
      </c>
      <c r="E145" s="213">
        <v>18281.64</v>
      </c>
      <c r="F145" s="24"/>
      <c r="G145" s="24"/>
      <c r="H145" s="26">
        <f t="shared" si="14"/>
        <v>0</v>
      </c>
      <c r="I145" s="214"/>
    </row>
    <row r="146" spans="1:9" ht="20.100000000000001" customHeight="1">
      <c r="A146" s="225">
        <v>14</v>
      </c>
      <c r="B146" s="189" t="s">
        <v>491</v>
      </c>
      <c r="C146" s="21" t="s">
        <v>239</v>
      </c>
      <c r="D146" s="215" t="s">
        <v>164</v>
      </c>
      <c r="E146" s="213">
        <v>18281.64</v>
      </c>
      <c r="F146" s="24">
        <f>0.025*E146</f>
        <v>457.041</v>
      </c>
      <c r="G146" s="24">
        <f>'[5]April 2022'!$H$36</f>
        <v>444.60249999999996</v>
      </c>
      <c r="H146" s="26">
        <f t="shared" si="14"/>
        <v>12.438500000000033</v>
      </c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13">
        <v>18281.64</v>
      </c>
      <c r="F147" s="24"/>
      <c r="G147" s="24"/>
      <c r="H147" s="26">
        <f t="shared" si="14"/>
        <v>0</v>
      </c>
      <c r="I147" s="214"/>
    </row>
    <row r="148" spans="1:9" ht="20.100000000000001" customHeight="1">
      <c r="A148" s="225">
        <v>16</v>
      </c>
      <c r="B148" s="189" t="s">
        <v>425</v>
      </c>
      <c r="C148" s="293" t="s">
        <v>430</v>
      </c>
      <c r="D148" s="215" t="s">
        <v>104</v>
      </c>
      <c r="E148" s="296">
        <f>17286.33</f>
        <v>17286.330000000002</v>
      </c>
      <c r="F148" s="24"/>
      <c r="G148" s="24"/>
      <c r="H148" s="26">
        <f t="shared" si="14"/>
        <v>0</v>
      </c>
      <c r="I148" s="214"/>
    </row>
    <row r="149" spans="1:9" ht="20.100000000000001" customHeight="1">
      <c r="A149" s="225">
        <v>17</v>
      </c>
      <c r="B149" s="189" t="s">
        <v>439</v>
      </c>
      <c r="C149" s="293" t="s">
        <v>440</v>
      </c>
      <c r="D149" s="29" t="s">
        <v>428</v>
      </c>
      <c r="E149" s="294">
        <f>14736.14</f>
        <v>14736.14</v>
      </c>
      <c r="F149" s="24"/>
      <c r="G149" s="24"/>
      <c r="H149" s="26">
        <f t="shared" si="14"/>
        <v>0</v>
      </c>
      <c r="I149" s="214"/>
    </row>
    <row r="150" spans="1:9" ht="20.100000000000001" customHeight="1">
      <c r="A150" s="225">
        <v>18</v>
      </c>
      <c r="B150" s="189" t="s">
        <v>230</v>
      </c>
      <c r="C150" s="293" t="s">
        <v>487</v>
      </c>
      <c r="D150" s="215" t="s">
        <v>207</v>
      </c>
      <c r="E150" s="213">
        <v>18281.64</v>
      </c>
      <c r="F150" s="24"/>
      <c r="G150" s="24"/>
      <c r="H150" s="26">
        <f t="shared" si="14"/>
        <v>0</v>
      </c>
      <c r="I150" s="214"/>
    </row>
    <row r="151" spans="1:9" ht="20.100000000000001" customHeight="1">
      <c r="A151" s="225">
        <v>19</v>
      </c>
      <c r="B151" s="189" t="s">
        <v>57</v>
      </c>
      <c r="C151" s="293" t="s">
        <v>483</v>
      </c>
      <c r="D151" s="215" t="s">
        <v>500</v>
      </c>
      <c r="E151" s="213">
        <f>15188.67</f>
        <v>15188.67</v>
      </c>
      <c r="F151" s="24"/>
      <c r="G151" s="24"/>
      <c r="H151" s="26">
        <f t="shared" si="14"/>
        <v>0</v>
      </c>
      <c r="I151" s="214"/>
    </row>
    <row r="152" spans="1:9" ht="20.100000000000001" customHeight="1">
      <c r="A152" s="225">
        <v>20</v>
      </c>
      <c r="B152" s="189" t="s">
        <v>251</v>
      </c>
      <c r="C152" s="293" t="s">
        <v>484</v>
      </c>
      <c r="D152" s="215" t="s">
        <v>207</v>
      </c>
      <c r="E152" s="213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4"/>
    </row>
    <row r="153" spans="1:9" ht="20.100000000000001" customHeight="1">
      <c r="A153" s="225">
        <v>21</v>
      </c>
      <c r="B153" s="189" t="s">
        <v>241</v>
      </c>
      <c r="C153" s="293" t="s">
        <v>348</v>
      </c>
      <c r="D153" s="215" t="s">
        <v>500</v>
      </c>
      <c r="E153" s="213">
        <v>15188.67</v>
      </c>
      <c r="F153" s="24"/>
      <c r="G153" s="24"/>
      <c r="H153" s="26">
        <f t="shared" si="14"/>
        <v>0</v>
      </c>
      <c r="I153" s="214"/>
    </row>
    <row r="154" spans="1:9" ht="20.100000000000001" customHeight="1">
      <c r="A154" s="225">
        <v>22</v>
      </c>
      <c r="B154" s="190" t="s">
        <v>289</v>
      </c>
      <c r="C154" s="293" t="s">
        <v>290</v>
      </c>
      <c r="D154" s="215" t="s">
        <v>411</v>
      </c>
      <c r="E154" s="213">
        <v>13492.21</v>
      </c>
      <c r="F154" s="24"/>
      <c r="G154" s="24"/>
      <c r="H154" s="26">
        <f t="shared" si="14"/>
        <v>0</v>
      </c>
      <c r="I154" s="214"/>
    </row>
    <row r="155" spans="1:9" ht="20.100000000000001" customHeight="1">
      <c r="A155" s="225">
        <v>23</v>
      </c>
      <c r="B155" s="190" t="s">
        <v>359</v>
      </c>
      <c r="C155" s="293" t="s">
        <v>131</v>
      </c>
      <c r="D155" s="215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4"/>
    </row>
    <row r="156" spans="1:9" ht="20.100000000000001" customHeight="1">
      <c r="A156" s="225">
        <v>24</v>
      </c>
      <c r="B156" s="190" t="s">
        <v>407</v>
      </c>
      <c r="C156" s="293" t="s">
        <v>131</v>
      </c>
      <c r="D156" s="215" t="s">
        <v>105</v>
      </c>
      <c r="E156" s="294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4"/>
    </row>
    <row r="157" spans="1:9" ht="20.100000000000001" customHeight="1">
      <c r="A157" s="225">
        <v>25</v>
      </c>
      <c r="B157" s="190" t="s">
        <v>426</v>
      </c>
      <c r="C157" s="293" t="s">
        <v>290</v>
      </c>
      <c r="D157" s="215" t="s">
        <v>105</v>
      </c>
      <c r="E157" s="294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4"/>
    </row>
    <row r="158" spans="1:9" ht="20.100000000000001" customHeight="1">
      <c r="A158" s="225">
        <v>26</v>
      </c>
      <c r="B158" s="190" t="s">
        <v>443</v>
      </c>
      <c r="C158" s="293" t="s">
        <v>444</v>
      </c>
      <c r="D158" s="215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4"/>
    </row>
    <row r="159" spans="1:9" ht="20.100000000000001" customHeight="1">
      <c r="A159" s="225">
        <v>27</v>
      </c>
      <c r="B159" s="190" t="s">
        <v>447</v>
      </c>
      <c r="C159" s="293" t="s">
        <v>448</v>
      </c>
      <c r="D159" s="215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4"/>
    </row>
    <row r="160" spans="1:9" ht="20.100000000000001" customHeight="1">
      <c r="A160" s="225">
        <v>28</v>
      </c>
      <c r="B160" s="189" t="s">
        <v>22</v>
      </c>
      <c r="C160" s="293" t="s">
        <v>302</v>
      </c>
      <c r="D160" s="215" t="s">
        <v>503</v>
      </c>
      <c r="E160" s="226">
        <f>10527.6</f>
        <v>10527.6</v>
      </c>
      <c r="F160" s="24">
        <f>0.025*E160</f>
        <v>263.19</v>
      </c>
      <c r="G160" s="24">
        <f>'[5]April 2022'!$H$39</f>
        <v>226.2535</v>
      </c>
      <c r="H160" s="26">
        <f t="shared" si="14"/>
        <v>36.936499999999995</v>
      </c>
      <c r="I160" s="214"/>
    </row>
    <row r="161" spans="1:9" ht="20.100000000000001" customHeight="1">
      <c r="A161" s="225">
        <v>29</v>
      </c>
      <c r="B161" s="189" t="s">
        <v>14</v>
      </c>
      <c r="C161" s="293" t="s">
        <v>302</v>
      </c>
      <c r="D161" s="215" t="s">
        <v>503</v>
      </c>
      <c r="E161" s="226">
        <f t="shared" ref="E161:E165" si="16">10527.6</f>
        <v>10527.6</v>
      </c>
      <c r="F161" s="24"/>
      <c r="G161" s="24"/>
      <c r="H161" s="26">
        <f t="shared" si="14"/>
        <v>0</v>
      </c>
      <c r="I161" s="214"/>
    </row>
    <row r="162" spans="1:9" ht="20.100000000000001" customHeight="1">
      <c r="A162" s="225">
        <v>30</v>
      </c>
      <c r="B162" s="189" t="s">
        <v>23</v>
      </c>
      <c r="C162" s="293" t="s">
        <v>302</v>
      </c>
      <c r="D162" s="215" t="s">
        <v>503</v>
      </c>
      <c r="E162" s="226">
        <f t="shared" si="16"/>
        <v>10527.6</v>
      </c>
      <c r="F162" s="24"/>
      <c r="G162" s="24"/>
      <c r="H162" s="26">
        <f t="shared" si="14"/>
        <v>0</v>
      </c>
      <c r="I162" s="214"/>
    </row>
    <row r="163" spans="1:9" ht="20.100000000000001" customHeight="1">
      <c r="A163" s="225">
        <v>31</v>
      </c>
      <c r="B163" s="189" t="s">
        <v>25</v>
      </c>
      <c r="C163" s="293" t="s">
        <v>302</v>
      </c>
      <c r="D163" s="215" t="s">
        <v>503</v>
      </c>
      <c r="E163" s="226">
        <f t="shared" si="16"/>
        <v>10527.6</v>
      </c>
      <c r="F163" s="24"/>
      <c r="G163" s="24"/>
      <c r="H163" s="26">
        <f t="shared" si="14"/>
        <v>0</v>
      </c>
      <c r="I163" s="214"/>
    </row>
    <row r="164" spans="1:9" ht="20.100000000000001" customHeight="1">
      <c r="A164" s="225">
        <v>32</v>
      </c>
      <c r="B164" s="189" t="s">
        <v>39</v>
      </c>
      <c r="C164" s="293" t="s">
        <v>302</v>
      </c>
      <c r="D164" s="215" t="s">
        <v>503</v>
      </c>
      <c r="E164" s="226">
        <f t="shared" si="16"/>
        <v>10527.6</v>
      </c>
      <c r="F164" s="24">
        <v>263.19</v>
      </c>
      <c r="G164" s="24">
        <f>'[5]April 2022'!$H$51</f>
        <v>226.2535</v>
      </c>
      <c r="H164" s="26">
        <f t="shared" si="14"/>
        <v>36.936499999999995</v>
      </c>
      <c r="I164" s="214"/>
    </row>
    <row r="165" spans="1:9" ht="20.100000000000001" customHeight="1">
      <c r="A165" s="225">
        <v>33</v>
      </c>
      <c r="B165" s="189" t="s">
        <v>40</v>
      </c>
      <c r="C165" s="293" t="s">
        <v>302</v>
      </c>
      <c r="D165" s="215" t="s">
        <v>503</v>
      </c>
      <c r="E165" s="226">
        <f t="shared" si="16"/>
        <v>10527.6</v>
      </c>
      <c r="F165" s="24"/>
      <c r="G165" s="24"/>
      <c r="H165" s="26">
        <f t="shared" si="14"/>
        <v>0</v>
      </c>
      <c r="I165" s="214"/>
    </row>
    <row r="166" spans="1:9" ht="20.100000000000001" customHeight="1">
      <c r="A166" s="225">
        <v>34</v>
      </c>
      <c r="B166" s="189" t="s">
        <v>127</v>
      </c>
      <c r="C166" s="293" t="s">
        <v>302</v>
      </c>
      <c r="D166" s="215" t="s">
        <v>416</v>
      </c>
      <c r="E166" s="26">
        <v>9050.14</v>
      </c>
      <c r="F166" s="24"/>
      <c r="G166" s="24"/>
      <c r="H166" s="26">
        <f t="shared" si="14"/>
        <v>0</v>
      </c>
      <c r="I166" s="214"/>
    </row>
    <row r="167" spans="1:9" ht="20.100000000000001" customHeight="1">
      <c r="A167" s="225">
        <v>35</v>
      </c>
      <c r="B167" s="189" t="s">
        <v>128</v>
      </c>
      <c r="C167" s="293" t="s">
        <v>302</v>
      </c>
      <c r="D167" s="215" t="s">
        <v>416</v>
      </c>
      <c r="E167" s="26">
        <v>9050.14</v>
      </c>
      <c r="F167" s="24"/>
      <c r="G167" s="24"/>
      <c r="H167" s="26">
        <f t="shared" si="14"/>
        <v>0</v>
      </c>
      <c r="I167" s="214"/>
    </row>
    <row r="168" spans="1:9" ht="20.100000000000001" customHeight="1">
      <c r="A168" s="225">
        <v>36</v>
      </c>
      <c r="B168" s="189" t="s">
        <v>129</v>
      </c>
      <c r="C168" s="293" t="s">
        <v>302</v>
      </c>
      <c r="D168" s="215" t="s">
        <v>416</v>
      </c>
      <c r="E168" s="26">
        <v>9050.14</v>
      </c>
      <c r="F168" s="24"/>
      <c r="G168" s="24"/>
      <c r="H168" s="26">
        <f t="shared" si="14"/>
        <v>0</v>
      </c>
      <c r="I168" s="214"/>
    </row>
    <row r="169" spans="1:9" ht="20.100000000000001" customHeight="1">
      <c r="A169" s="225">
        <v>37</v>
      </c>
      <c r="B169" s="191" t="s">
        <v>136</v>
      </c>
      <c r="C169" s="293" t="s">
        <v>302</v>
      </c>
      <c r="D169" s="215" t="s">
        <v>416</v>
      </c>
      <c r="E169" s="26">
        <v>9050.14</v>
      </c>
      <c r="F169" s="24"/>
      <c r="G169" s="24"/>
      <c r="H169" s="26">
        <f t="shared" si="14"/>
        <v>0</v>
      </c>
      <c r="I169" s="214"/>
    </row>
    <row r="170" spans="1:9" ht="20.100000000000001" customHeight="1">
      <c r="A170" s="225">
        <v>38</v>
      </c>
      <c r="B170" s="189" t="s">
        <v>140</v>
      </c>
      <c r="C170" s="293" t="s">
        <v>302</v>
      </c>
      <c r="D170" s="215" t="s">
        <v>416</v>
      </c>
      <c r="E170" s="26">
        <v>9050.14</v>
      </c>
      <c r="F170" s="24"/>
      <c r="G170" s="24"/>
      <c r="H170" s="26">
        <f t="shared" si="14"/>
        <v>0</v>
      </c>
      <c r="I170" s="214"/>
    </row>
    <row r="171" spans="1:9" ht="20.100000000000001" customHeight="1">
      <c r="A171" s="225">
        <v>39</v>
      </c>
      <c r="B171" s="190" t="s">
        <v>152</v>
      </c>
      <c r="C171" s="293" t="s">
        <v>302</v>
      </c>
      <c r="D171" s="215" t="s">
        <v>416</v>
      </c>
      <c r="E171" s="26">
        <v>9050.14</v>
      </c>
      <c r="F171" s="24"/>
      <c r="G171" s="24"/>
      <c r="H171" s="26">
        <f t="shared" si="14"/>
        <v>0</v>
      </c>
      <c r="I171" s="214"/>
    </row>
    <row r="172" spans="1:9" ht="20.100000000000001" customHeight="1">
      <c r="A172" s="225">
        <v>40</v>
      </c>
      <c r="B172" s="190" t="s">
        <v>132</v>
      </c>
      <c r="C172" s="293" t="s">
        <v>302</v>
      </c>
      <c r="D172" s="215" t="s">
        <v>416</v>
      </c>
      <c r="E172" s="26">
        <v>9050.14</v>
      </c>
      <c r="F172" s="24"/>
      <c r="G172" s="24"/>
      <c r="H172" s="26">
        <f t="shared" si="14"/>
        <v>0</v>
      </c>
      <c r="I172" s="214"/>
    </row>
    <row r="173" spans="1:9" ht="20.100000000000001" customHeight="1">
      <c r="A173" s="225">
        <v>41</v>
      </c>
      <c r="B173" s="189" t="s">
        <v>231</v>
      </c>
      <c r="C173" s="293" t="s">
        <v>167</v>
      </c>
      <c r="D173" s="215" t="s">
        <v>263</v>
      </c>
      <c r="E173" s="26">
        <v>5428.12</v>
      </c>
      <c r="F173" s="24"/>
      <c r="G173" s="24"/>
      <c r="H173" s="26">
        <f t="shared" si="14"/>
        <v>0</v>
      </c>
      <c r="I173" s="214"/>
    </row>
    <row r="174" spans="1:9" ht="20.100000000000001" customHeight="1">
      <c r="A174" s="225">
        <v>42</v>
      </c>
      <c r="B174" s="189" t="s">
        <v>246</v>
      </c>
      <c r="C174" s="293" t="s">
        <v>167</v>
      </c>
      <c r="D174" s="215" t="s">
        <v>263</v>
      </c>
      <c r="E174" s="26">
        <v>5428.12</v>
      </c>
      <c r="F174" s="24"/>
      <c r="G174" s="24"/>
      <c r="H174" s="26">
        <f t="shared" si="14"/>
        <v>0</v>
      </c>
      <c r="I174" s="214"/>
    </row>
    <row r="175" spans="1:9" ht="20.100000000000001" customHeight="1">
      <c r="A175" s="225">
        <v>43</v>
      </c>
      <c r="B175" s="190" t="s">
        <v>166</v>
      </c>
      <c r="C175" s="293" t="s">
        <v>167</v>
      </c>
      <c r="D175" s="215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4"/>
    </row>
    <row r="176" spans="1:9" ht="20.100000000000001" customHeight="1">
      <c r="A176" s="225">
        <v>44</v>
      </c>
      <c r="B176" s="189" t="s">
        <v>204</v>
      </c>
      <c r="C176" s="293" t="s">
        <v>167</v>
      </c>
      <c r="D176" s="215" t="s">
        <v>177</v>
      </c>
      <c r="E176" s="26">
        <v>5257.44</v>
      </c>
      <c r="F176" s="24"/>
      <c r="G176" s="24"/>
      <c r="H176" s="26">
        <f t="shared" si="14"/>
        <v>0</v>
      </c>
      <c r="I176" s="214"/>
    </row>
    <row r="177" spans="1:9" ht="20.100000000000001" customHeight="1">
      <c r="A177" s="225">
        <v>45</v>
      </c>
      <c r="B177" s="189" t="s">
        <v>209</v>
      </c>
      <c r="C177" s="293" t="s">
        <v>13</v>
      </c>
      <c r="D177" s="215" t="s">
        <v>504</v>
      </c>
      <c r="E177" s="26">
        <v>5086.76</v>
      </c>
      <c r="F177" s="24"/>
      <c r="G177" s="24"/>
      <c r="H177" s="26">
        <f t="shared" si="14"/>
        <v>0</v>
      </c>
      <c r="I177" s="214"/>
    </row>
    <row r="178" spans="1:9" ht="20.100000000000001" customHeight="1">
      <c r="A178" s="225">
        <v>46</v>
      </c>
      <c r="B178" s="189" t="s">
        <v>218</v>
      </c>
      <c r="C178" s="293" t="s">
        <v>13</v>
      </c>
      <c r="D178" s="215" t="s">
        <v>504</v>
      </c>
      <c r="E178" s="26">
        <v>5086.76</v>
      </c>
      <c r="F178" s="24"/>
      <c r="G178" s="24"/>
      <c r="H178" s="26">
        <f t="shared" si="14"/>
        <v>0</v>
      </c>
      <c r="I178" s="214"/>
    </row>
    <row r="179" spans="1:9" ht="20.100000000000001" customHeight="1">
      <c r="A179" s="225">
        <v>47</v>
      </c>
      <c r="B179" s="189" t="s">
        <v>219</v>
      </c>
      <c r="C179" s="293" t="s">
        <v>13</v>
      </c>
      <c r="D179" s="215" t="s">
        <v>504</v>
      </c>
      <c r="E179" s="26">
        <v>5086.76</v>
      </c>
      <c r="F179" s="24"/>
      <c r="G179" s="24"/>
      <c r="H179" s="26">
        <f t="shared" si="14"/>
        <v>0</v>
      </c>
      <c r="I179" s="214"/>
    </row>
    <row r="180" spans="1:9" ht="20.100000000000001" customHeight="1">
      <c r="A180" s="225">
        <v>48</v>
      </c>
      <c r="B180" s="189" t="s">
        <v>211</v>
      </c>
      <c r="C180" s="293" t="s">
        <v>13</v>
      </c>
      <c r="D180" s="215" t="s">
        <v>504</v>
      </c>
      <c r="E180" s="26">
        <v>5086.76</v>
      </c>
      <c r="F180" s="24"/>
      <c r="G180" s="24"/>
      <c r="H180" s="26">
        <f t="shared" si="14"/>
        <v>0</v>
      </c>
      <c r="I180" s="214"/>
    </row>
    <row r="181" spans="1:9" ht="20.100000000000001" customHeight="1">
      <c r="A181" s="225">
        <v>49</v>
      </c>
      <c r="B181" s="189" t="s">
        <v>213</v>
      </c>
      <c r="C181" s="293" t="s">
        <v>13</v>
      </c>
      <c r="D181" s="215" t="s">
        <v>504</v>
      </c>
      <c r="E181" s="26">
        <v>5086.76</v>
      </c>
      <c r="F181" s="24"/>
      <c r="G181" s="24"/>
      <c r="H181" s="26">
        <f t="shared" si="14"/>
        <v>0</v>
      </c>
      <c r="I181" s="214"/>
    </row>
    <row r="182" spans="1:9" ht="20.100000000000001" customHeight="1">
      <c r="A182" s="225">
        <v>50</v>
      </c>
      <c r="B182" s="190" t="s">
        <v>342</v>
      </c>
      <c r="C182" s="293" t="s">
        <v>13</v>
      </c>
      <c r="D182" s="215" t="s">
        <v>504</v>
      </c>
      <c r="E182" s="26">
        <v>5086.76</v>
      </c>
      <c r="F182" s="24"/>
      <c r="G182" s="24"/>
      <c r="H182" s="26">
        <f t="shared" si="14"/>
        <v>0</v>
      </c>
      <c r="I182" s="214"/>
    </row>
    <row r="183" spans="1:9" ht="20.100000000000001" customHeight="1">
      <c r="A183" s="225">
        <v>51</v>
      </c>
      <c r="B183" s="190" t="s">
        <v>405</v>
      </c>
      <c r="C183" s="293" t="s">
        <v>13</v>
      </c>
      <c r="D183" s="215" t="s">
        <v>504</v>
      </c>
      <c r="E183" s="26">
        <v>5086.76</v>
      </c>
      <c r="F183" s="24"/>
      <c r="G183" s="24"/>
      <c r="H183" s="26">
        <f t="shared" si="14"/>
        <v>0</v>
      </c>
      <c r="I183" s="214"/>
    </row>
    <row r="184" spans="1:9" ht="20.100000000000001" customHeight="1">
      <c r="A184" s="225">
        <v>52</v>
      </c>
      <c r="B184" s="189" t="s">
        <v>232</v>
      </c>
      <c r="C184" s="293" t="s">
        <v>167</v>
      </c>
      <c r="D184" s="215" t="s">
        <v>504</v>
      </c>
      <c r="E184" s="26">
        <v>5086.76</v>
      </c>
      <c r="F184" s="24"/>
      <c r="G184" s="24"/>
      <c r="H184" s="26">
        <f t="shared" si="14"/>
        <v>0</v>
      </c>
      <c r="I184" s="214"/>
    </row>
    <row r="185" spans="1:9" ht="20.100000000000001" customHeight="1">
      <c r="A185" s="225">
        <v>53</v>
      </c>
      <c r="B185" s="189" t="s">
        <v>233</v>
      </c>
      <c r="C185" s="293" t="s">
        <v>167</v>
      </c>
      <c r="D185" s="215" t="s">
        <v>504</v>
      </c>
      <c r="E185" s="26">
        <v>5086.76</v>
      </c>
      <c r="F185" s="24"/>
      <c r="G185" s="24"/>
      <c r="H185" s="26">
        <f t="shared" si="14"/>
        <v>0</v>
      </c>
      <c r="I185" s="214"/>
    </row>
    <row r="186" spans="1:9" ht="20.100000000000001" customHeight="1">
      <c r="A186" s="225">
        <v>54</v>
      </c>
      <c r="B186" s="190" t="s">
        <v>279</v>
      </c>
      <c r="C186" s="293" t="s">
        <v>13</v>
      </c>
      <c r="D186" s="215" t="s">
        <v>505</v>
      </c>
      <c r="E186" s="26">
        <f>4689.38</f>
        <v>4689.38</v>
      </c>
      <c r="F186" s="24"/>
      <c r="G186" s="24"/>
      <c r="H186" s="26">
        <f t="shared" si="14"/>
        <v>0</v>
      </c>
      <c r="I186" s="214"/>
    </row>
    <row r="187" spans="1:9" ht="20.100000000000001" customHeight="1">
      <c r="A187" s="225">
        <v>55</v>
      </c>
      <c r="B187" s="190" t="s">
        <v>403</v>
      </c>
      <c r="C187" s="293" t="s">
        <v>13</v>
      </c>
      <c r="D187" s="215" t="s">
        <v>264</v>
      </c>
      <c r="E187" s="213">
        <f>4395.43</f>
        <v>4395.43</v>
      </c>
      <c r="F187" s="24"/>
      <c r="G187" s="24"/>
      <c r="H187" s="26">
        <f t="shared" si="14"/>
        <v>0</v>
      </c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>
        <v>3773721.59</v>
      </c>
      <c r="F189" s="231">
        <f>F37+F42+F57+F61+F77+F85+F99+F106+F116+F130+F188</f>
        <v>23887.071250000001</v>
      </c>
      <c r="G189" s="231">
        <f>G37+G42+G57+G61+G77+G85+G99+G106+G116+G130+G188</f>
        <v>23429.459500000001</v>
      </c>
      <c r="H189" s="31">
        <f t="shared" si="14"/>
        <v>457.61175000000003</v>
      </c>
      <c r="I189" s="214"/>
    </row>
    <row r="190" spans="1:9" ht="20.100000000000001" customHeight="1">
      <c r="A190" s="203"/>
      <c r="B190" s="232"/>
      <c r="C190" s="203"/>
      <c r="D190" s="233"/>
      <c r="E190" s="233"/>
      <c r="F190" s="234"/>
      <c r="G190" s="234"/>
      <c r="H190" s="235"/>
      <c r="I190" s="236"/>
    </row>
    <row r="191" spans="1:9" ht="65.25" customHeight="1">
      <c r="A191" s="203"/>
      <c r="B191" s="232"/>
      <c r="C191" s="233"/>
      <c r="D191" s="233"/>
      <c r="E191" s="233"/>
      <c r="F191" s="234"/>
      <c r="G191" s="234"/>
      <c r="H191" s="23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RowHeight="12.75"/>
  <cols>
    <col min="1" max="1" width="3.28515625" style="36" customWidth="1"/>
    <col min="2" max="2" width="35.28515625" style="36" customWidth="1"/>
    <col min="3" max="3" width="12.7109375" style="36" bestFit="1" customWidth="1"/>
    <col min="4" max="4" width="9.28515625" style="36" bestFit="1" customWidth="1"/>
    <col min="5" max="5" width="12.7109375" style="36" bestFit="1" customWidth="1"/>
    <col min="6" max="6" width="12" style="36" customWidth="1"/>
    <col min="7" max="7" width="9.28515625" style="36" bestFit="1" customWidth="1"/>
    <col min="8" max="8" width="9.140625" style="36"/>
    <col min="9" max="9" width="12.7109375" style="36" bestFit="1" customWidth="1"/>
    <col min="10" max="10" width="10.140625" style="36" bestFit="1" customWidth="1"/>
    <col min="11" max="11" width="9.28515625" style="36" bestFit="1" customWidth="1"/>
    <col min="12" max="14" width="11.7109375" style="36" bestFit="1" customWidth="1"/>
    <col min="15" max="15" width="12.7109375" style="36" bestFit="1" customWidth="1"/>
    <col min="16" max="19" width="9.28515625" style="36" bestFit="1" customWidth="1"/>
    <col min="20" max="20" width="10.140625" style="36" bestFit="1" customWidth="1"/>
    <col min="21" max="22" width="11.7109375" style="36" bestFit="1" customWidth="1"/>
    <col min="23" max="23" width="9.28515625" style="36" bestFit="1" customWidth="1"/>
    <col min="24" max="24" width="10.140625" style="36" bestFit="1" customWidth="1"/>
    <col min="25" max="25" width="9.140625" style="36"/>
    <col min="26" max="27" width="11.7109375" style="36" bestFit="1" customWidth="1"/>
    <col min="28" max="28" width="9.28515625" style="36" bestFit="1" customWidth="1"/>
    <col min="29" max="16384" width="9.140625" style="36"/>
  </cols>
  <sheetData>
    <row r="1" spans="1:28">
      <c r="A1" s="298" t="s">
        <v>234</v>
      </c>
    </row>
    <row r="2" spans="1:28">
      <c r="A2" s="298" t="s">
        <v>511</v>
      </c>
    </row>
    <row r="3" spans="1:28">
      <c r="A3" s="298" t="s">
        <v>534</v>
      </c>
    </row>
    <row r="4" spans="1:28" ht="90" customHeight="1">
      <c r="A4" s="299" t="s">
        <v>122</v>
      </c>
      <c r="B4" s="299" t="s">
        <v>489</v>
      </c>
      <c r="C4" s="299" t="s">
        <v>512</v>
      </c>
      <c r="D4" s="299" t="s">
        <v>513</v>
      </c>
      <c r="E4" s="299" t="s">
        <v>514</v>
      </c>
      <c r="F4" s="299" t="s">
        <v>515</v>
      </c>
      <c r="G4" s="299" t="s">
        <v>516</v>
      </c>
      <c r="H4" s="299" t="s">
        <v>517</v>
      </c>
      <c r="I4" s="299" t="s">
        <v>518</v>
      </c>
      <c r="J4" s="299"/>
      <c r="K4" s="299"/>
      <c r="L4" s="299"/>
      <c r="M4" s="299" t="s">
        <v>519</v>
      </c>
      <c r="N4" s="299" t="s">
        <v>520</v>
      </c>
      <c r="O4" s="299" t="s">
        <v>521</v>
      </c>
      <c r="P4" s="299" t="s">
        <v>522</v>
      </c>
      <c r="Q4" s="299" t="s">
        <v>523</v>
      </c>
      <c r="R4" s="299" t="s">
        <v>524</v>
      </c>
      <c r="S4" s="299" t="s">
        <v>525</v>
      </c>
      <c r="T4" s="299" t="s">
        <v>526</v>
      </c>
      <c r="U4" s="299" t="s">
        <v>527</v>
      </c>
      <c r="V4" s="299" t="s">
        <v>528</v>
      </c>
      <c r="W4" s="299"/>
      <c r="X4" s="299" t="s">
        <v>529</v>
      </c>
      <c r="Y4" s="299" t="s">
        <v>530</v>
      </c>
      <c r="Z4" s="299" t="s">
        <v>531</v>
      </c>
      <c r="AA4" s="299" t="s">
        <v>532</v>
      </c>
      <c r="AB4" s="299" t="s">
        <v>533</v>
      </c>
    </row>
    <row r="5" spans="1:28">
      <c r="A5" s="297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7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7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7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7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7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7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7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7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7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7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7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7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7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7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7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7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7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7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7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7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7">
        <v>23</v>
      </c>
      <c r="B26" s="36" t="s">
        <v>436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7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7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7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7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7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7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7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7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7">
        <v>32</v>
      </c>
      <c r="B35" s="36" t="s">
        <v>455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7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7"/>
    </row>
    <row r="38" spans="1:28">
      <c r="A38" s="297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7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7"/>
    </row>
    <row r="41" spans="1:28">
      <c r="A41" s="297"/>
    </row>
    <row r="42" spans="1:28">
      <c r="A42" s="297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7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7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7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7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7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7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7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7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7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7">
        <v>45</v>
      </c>
      <c r="B52" s="36" t="s">
        <v>437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7">
        <v>46</v>
      </c>
      <c r="B53" s="36" t="s">
        <v>454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7"/>
    </row>
    <row r="55" spans="1:28">
      <c r="A55" s="297"/>
    </row>
    <row r="56" spans="1:28">
      <c r="A56" s="297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7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7"/>
    </row>
    <row r="59" spans="1:28">
      <c r="A59" s="297"/>
    </row>
    <row r="60" spans="1:28">
      <c r="A60" s="297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7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7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7">
        <v>52</v>
      </c>
      <c r="B63" s="36" t="s">
        <v>450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7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7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7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7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7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7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7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7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7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7"/>
    </row>
    <row r="74" spans="1:28">
      <c r="A74" s="297"/>
    </row>
    <row r="75" spans="1:28">
      <c r="A75" s="297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7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7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7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7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7"/>
    </row>
    <row r="81" spans="1:28">
      <c r="A81" s="297"/>
    </row>
    <row r="82" spans="1:28">
      <c r="A82" s="297">
        <v>66</v>
      </c>
      <c r="B82" s="36" t="s">
        <v>506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7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7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7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7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7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7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7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7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7">
        <v>75</v>
      </c>
      <c r="B91" s="36" t="s">
        <v>438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7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7"/>
    </row>
    <row r="94" spans="1:28">
      <c r="A94" s="297"/>
    </row>
    <row r="95" spans="1:28">
      <c r="A95" s="297"/>
    </row>
    <row r="96" spans="1:28">
      <c r="A96" s="297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7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7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7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7"/>
    </row>
    <row r="101" spans="1:28">
      <c r="A101" s="297"/>
    </row>
    <row r="102" spans="1:28">
      <c r="A102" s="297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7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7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7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7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7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7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7"/>
      <c r="O109" s="36">
        <v>0</v>
      </c>
      <c r="P109" s="36">
        <v>0</v>
      </c>
      <c r="T109" s="36">
        <v>0</v>
      </c>
    </row>
    <row r="110" spans="1:28">
      <c r="A110" s="297"/>
      <c r="O110" s="36">
        <v>0</v>
      </c>
      <c r="P110" s="36">
        <v>0</v>
      </c>
      <c r="T110" s="36">
        <v>0</v>
      </c>
    </row>
    <row r="111" spans="1:28">
      <c r="A111" s="297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7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7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7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7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7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7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7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7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7">
        <v>98</v>
      </c>
      <c r="B120" s="36" t="s">
        <v>445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7">
        <v>99</v>
      </c>
      <c r="B121" s="36" t="s">
        <v>441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7"/>
    </row>
    <row r="123" spans="1:28">
      <c r="A123" s="297"/>
    </row>
    <row r="124" spans="1:28">
      <c r="A124" s="297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7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7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7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7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7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7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7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7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7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7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7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7">
        <v>115</v>
      </c>
      <c r="B136" s="36" t="s">
        <v>490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7">
        <v>116</v>
      </c>
      <c r="B137" s="36" t="s">
        <v>491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7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7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7">
        <v>119</v>
      </c>
      <c r="B140" s="36" t="s">
        <v>439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7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7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7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7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7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7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7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7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7">
        <v>128</v>
      </c>
      <c r="B149" s="36" t="s">
        <v>443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7">
        <v>129</v>
      </c>
      <c r="B150" s="36" t="s">
        <v>447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7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7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7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7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7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7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7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7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7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7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7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7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7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7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7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7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7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7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7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7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7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7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7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7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7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7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7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7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7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64"/>
      <c r="C1" s="164"/>
      <c r="D1" s="164"/>
      <c r="E1" s="164"/>
      <c r="L1" s="1" t="s">
        <v>123</v>
      </c>
    </row>
    <row r="2" spans="1:12" ht="5.25" customHeight="1">
      <c r="F2" s="50"/>
      <c r="G2" s="50"/>
    </row>
    <row r="3" spans="1:12" ht="20.100000000000001" customHeight="1">
      <c r="A3" s="34"/>
      <c r="B3" s="354" t="s">
        <v>451</v>
      </c>
      <c r="C3" s="354"/>
      <c r="D3" s="354"/>
      <c r="E3" s="161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00000000000001" customHeight="1">
      <c r="A5" s="34"/>
      <c r="B5" s="161" t="s">
        <v>0</v>
      </c>
      <c r="C5" s="160"/>
      <c r="D5" s="160"/>
      <c r="E5" s="160"/>
      <c r="F5" s="355"/>
      <c r="G5" s="355"/>
    </row>
    <row r="6" spans="1:12" ht="26.45" customHeight="1">
      <c r="A6" s="41"/>
      <c r="B6" s="168"/>
      <c r="C6" s="168" t="s">
        <v>12</v>
      </c>
      <c r="D6" s="168" t="s">
        <v>37</v>
      </c>
      <c r="E6" s="168"/>
      <c r="F6" s="169"/>
      <c r="G6" s="169"/>
    </row>
    <row r="7" spans="1:12" ht="37.15" customHeight="1">
      <c r="A7" s="41"/>
      <c r="B7" s="43"/>
      <c r="C7" s="168"/>
      <c r="D7" s="168" t="s">
        <v>35</v>
      </c>
      <c r="E7" s="57" t="s">
        <v>453</v>
      </c>
      <c r="F7" s="57" t="s">
        <v>452</v>
      </c>
      <c r="G7" s="44" t="s">
        <v>344</v>
      </c>
    </row>
    <row r="8" spans="1:12" ht="20.100000000000001" customHeight="1">
      <c r="A8" s="58" t="s">
        <v>143</v>
      </c>
      <c r="B8" s="158" t="s">
        <v>435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00000000000001" customHeight="1">
      <c r="A9" s="170">
        <v>1</v>
      </c>
      <c r="B9" s="146" t="s">
        <v>224</v>
      </c>
      <c r="C9" s="167" t="s">
        <v>119</v>
      </c>
      <c r="D9" s="167" t="s">
        <v>34</v>
      </c>
      <c r="E9" s="176">
        <v>113176.97</v>
      </c>
      <c r="F9" s="38">
        <f>201165.84</f>
        <v>201165.84</v>
      </c>
      <c r="G9" s="38">
        <f>F9-E9</f>
        <v>87988.87</v>
      </c>
      <c r="H9" s="35"/>
    </row>
    <row r="10" spans="1:12" ht="20.100000000000001" customHeight="1">
      <c r="A10" s="170">
        <v>2</v>
      </c>
      <c r="B10" s="146" t="s">
        <v>154</v>
      </c>
      <c r="C10" s="167" t="s">
        <v>313</v>
      </c>
      <c r="D10" s="64" t="s">
        <v>161</v>
      </c>
      <c r="E10" s="177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00000000000001" customHeight="1">
      <c r="A11" s="170">
        <v>3</v>
      </c>
      <c r="B11" s="146" t="s">
        <v>137</v>
      </c>
      <c r="C11" s="41" t="s">
        <v>299</v>
      </c>
      <c r="D11" s="170" t="s">
        <v>221</v>
      </c>
      <c r="E11" s="177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00000000000001" customHeight="1">
      <c r="A12" s="170">
        <v>4</v>
      </c>
      <c r="B12" s="147" t="s">
        <v>225</v>
      </c>
      <c r="C12" s="47" t="s">
        <v>226</v>
      </c>
      <c r="D12" s="71" t="s">
        <v>221</v>
      </c>
      <c r="E12" s="178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00000000000001" customHeight="1">
      <c r="A13" s="170">
        <v>5</v>
      </c>
      <c r="B13" s="146" t="s">
        <v>315</v>
      </c>
      <c r="C13" s="167" t="s">
        <v>316</v>
      </c>
      <c r="D13" s="170" t="s">
        <v>271</v>
      </c>
      <c r="E13" s="177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00000000000001" customHeight="1">
      <c r="A14" s="170">
        <v>6</v>
      </c>
      <c r="B14" s="147" t="s">
        <v>317</v>
      </c>
      <c r="C14" s="41" t="s">
        <v>418</v>
      </c>
      <c r="D14" s="64" t="s">
        <v>272</v>
      </c>
      <c r="E14" s="177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00000000000001" customHeight="1">
      <c r="A15" s="170">
        <v>7</v>
      </c>
      <c r="B15" s="147" t="s">
        <v>112</v>
      </c>
      <c r="C15" s="41" t="s">
        <v>339</v>
      </c>
      <c r="D15" s="40" t="s">
        <v>75</v>
      </c>
      <c r="E15" s="177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00000000000001" customHeight="1">
      <c r="A16" s="170">
        <v>8</v>
      </c>
      <c r="B16" s="148" t="s">
        <v>187</v>
      </c>
      <c r="C16" s="156" t="s">
        <v>188</v>
      </c>
      <c r="D16" s="29" t="s">
        <v>75</v>
      </c>
      <c r="E16" s="179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00000000000001" customHeight="1">
      <c r="A17" s="170">
        <v>9</v>
      </c>
      <c r="B17" s="147" t="s">
        <v>203</v>
      </c>
      <c r="C17" s="41" t="s">
        <v>214</v>
      </c>
      <c r="D17" s="170" t="s">
        <v>75</v>
      </c>
      <c r="E17" s="177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00000000000001" customHeight="1">
      <c r="A18" s="170">
        <v>10</v>
      </c>
      <c r="B18" s="149" t="s">
        <v>111</v>
      </c>
      <c r="C18" s="167" t="s">
        <v>375</v>
      </c>
      <c r="D18" s="64" t="s">
        <v>75</v>
      </c>
      <c r="E18" s="177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00000000000001" customHeight="1">
      <c r="A19" s="170">
        <v>11</v>
      </c>
      <c r="B19" s="138" t="s">
        <v>333</v>
      </c>
      <c r="C19" s="167" t="s">
        <v>387</v>
      </c>
      <c r="D19" s="12" t="s">
        <v>272</v>
      </c>
      <c r="E19" s="180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00000000000001" customHeight="1">
      <c r="A20" s="170">
        <v>12</v>
      </c>
      <c r="B20" s="150" t="s">
        <v>220</v>
      </c>
      <c r="C20" s="47" t="s">
        <v>388</v>
      </c>
      <c r="D20" s="48" t="s">
        <v>162</v>
      </c>
      <c r="E20" s="178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70">
        <v>13</v>
      </c>
      <c r="B21" s="147" t="s">
        <v>144</v>
      </c>
      <c r="C21" s="47" t="s">
        <v>389</v>
      </c>
      <c r="D21" s="170" t="s">
        <v>162</v>
      </c>
      <c r="E21" s="177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70">
        <v>14</v>
      </c>
      <c r="B22" s="147" t="s">
        <v>139</v>
      </c>
      <c r="C22" s="41" t="s">
        <v>386</v>
      </c>
      <c r="D22" s="170" t="s">
        <v>162</v>
      </c>
      <c r="E22" s="177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00000000000001" customHeight="1">
      <c r="A23" s="170">
        <v>15</v>
      </c>
      <c r="B23" s="146" t="s">
        <v>18</v>
      </c>
      <c r="C23" s="47" t="s">
        <v>390</v>
      </c>
      <c r="D23" s="64" t="s">
        <v>175</v>
      </c>
      <c r="E23" s="177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00000000000001" customHeight="1">
      <c r="A24" s="170">
        <v>16</v>
      </c>
      <c r="B24" s="149" t="s">
        <v>26</v>
      </c>
      <c r="C24" s="41" t="s">
        <v>296</v>
      </c>
      <c r="D24" s="64" t="s">
        <v>163</v>
      </c>
      <c r="E24" s="177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00000000000001" customHeight="1">
      <c r="A25" s="170">
        <v>17</v>
      </c>
      <c r="B25" s="146" t="s">
        <v>334</v>
      </c>
      <c r="C25" s="167" t="s">
        <v>351</v>
      </c>
      <c r="D25" s="64" t="s">
        <v>149</v>
      </c>
      <c r="E25" s="177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00000000000001" customHeight="1">
      <c r="A26" s="170">
        <v>18</v>
      </c>
      <c r="B26" s="138" t="s">
        <v>291</v>
      </c>
      <c r="C26" s="41" t="s">
        <v>346</v>
      </c>
      <c r="D26" s="64" t="s">
        <v>273</v>
      </c>
      <c r="E26" s="177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00000000000001" customHeight="1">
      <c r="A27" s="170">
        <v>19</v>
      </c>
      <c r="B27" s="146" t="s">
        <v>141</v>
      </c>
      <c r="C27" s="167" t="s">
        <v>391</v>
      </c>
      <c r="D27" s="64" t="s">
        <v>415</v>
      </c>
      <c r="E27" s="177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70">
        <v>20</v>
      </c>
      <c r="B28" s="146" t="s">
        <v>253</v>
      </c>
      <c r="C28" s="167" t="s">
        <v>252</v>
      </c>
      <c r="D28" s="64" t="s">
        <v>27</v>
      </c>
      <c r="E28" s="177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70">
        <v>21</v>
      </c>
      <c r="B29" s="146" t="s">
        <v>247</v>
      </c>
      <c r="C29" s="41" t="s">
        <v>168</v>
      </c>
      <c r="D29" s="64" t="s">
        <v>27</v>
      </c>
      <c r="E29" s="177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70">
        <v>22</v>
      </c>
      <c r="B30" s="138" t="s">
        <v>293</v>
      </c>
      <c r="C30" s="41" t="s">
        <v>294</v>
      </c>
      <c r="D30" s="64" t="s">
        <v>164</v>
      </c>
      <c r="E30" s="177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70">
        <v>23</v>
      </c>
      <c r="B31" s="138" t="s">
        <v>275</v>
      </c>
      <c r="C31" s="167" t="s">
        <v>314</v>
      </c>
      <c r="D31" s="64" t="s">
        <v>207</v>
      </c>
      <c r="E31" s="177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70">
        <v>24</v>
      </c>
      <c r="B32" s="1" t="s">
        <v>436</v>
      </c>
      <c r="C32" s="1" t="s">
        <v>17</v>
      </c>
      <c r="D32" s="170" t="s">
        <v>428</v>
      </c>
      <c r="E32" s="177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70">
        <v>25</v>
      </c>
      <c r="B33" s="138" t="s">
        <v>254</v>
      </c>
      <c r="C33" s="167" t="s">
        <v>17</v>
      </c>
      <c r="D33" s="64" t="s">
        <v>411</v>
      </c>
      <c r="E33" s="177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70">
        <v>26</v>
      </c>
      <c r="B34" s="146" t="s">
        <v>248</v>
      </c>
      <c r="C34" s="167" t="s">
        <v>249</v>
      </c>
      <c r="D34" s="64" t="s">
        <v>267</v>
      </c>
      <c r="E34" s="177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70">
        <v>27</v>
      </c>
      <c r="B35" s="138" t="s">
        <v>288</v>
      </c>
      <c r="C35" s="167" t="s">
        <v>249</v>
      </c>
      <c r="D35" s="64" t="s">
        <v>295</v>
      </c>
      <c r="E35" s="177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70">
        <v>28</v>
      </c>
      <c r="B36" s="148" t="s">
        <v>345</v>
      </c>
      <c r="C36" s="156" t="s">
        <v>319</v>
      </c>
      <c r="D36" s="64" t="s">
        <v>51</v>
      </c>
      <c r="E36" s="177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70">
        <v>29</v>
      </c>
      <c r="B37" s="138" t="s">
        <v>328</v>
      </c>
      <c r="C37" s="41" t="s">
        <v>329</v>
      </c>
      <c r="D37" s="170" t="s">
        <v>51</v>
      </c>
      <c r="E37" s="177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70">
        <v>30</v>
      </c>
      <c r="B38" s="139" t="s">
        <v>360</v>
      </c>
      <c r="C38" s="156" t="s">
        <v>372</v>
      </c>
      <c r="D38" s="64" t="s">
        <v>105</v>
      </c>
      <c r="E38" s="177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70">
        <v>31</v>
      </c>
      <c r="B39" s="139" t="s">
        <v>417</v>
      </c>
      <c r="C39" s="156" t="s">
        <v>372</v>
      </c>
      <c r="D39" s="64" t="s">
        <v>105</v>
      </c>
      <c r="E39" s="177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70">
        <v>32</v>
      </c>
      <c r="B40" s="138" t="s">
        <v>330</v>
      </c>
      <c r="C40" s="41" t="s">
        <v>331</v>
      </c>
      <c r="D40" s="170" t="s">
        <v>105</v>
      </c>
      <c r="E40" s="177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70">
        <v>33</v>
      </c>
      <c r="B41" s="138" t="s">
        <v>274</v>
      </c>
      <c r="C41" s="167" t="s">
        <v>314</v>
      </c>
      <c r="D41" s="64" t="s">
        <v>105</v>
      </c>
      <c r="E41" s="177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70">
        <v>34</v>
      </c>
      <c r="B42" s="138" t="s">
        <v>455</v>
      </c>
      <c r="C42" s="167" t="s">
        <v>314</v>
      </c>
      <c r="D42" s="64" t="s">
        <v>105</v>
      </c>
      <c r="E42" s="177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70"/>
      <c r="B43" s="151" t="s">
        <v>15</v>
      </c>
      <c r="C43" s="169">
        <v>33</v>
      </c>
      <c r="D43" s="64"/>
      <c r="E43" s="183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70"/>
      <c r="B44" s="140"/>
      <c r="C44" s="41"/>
      <c r="D44" s="64"/>
      <c r="E44" s="177"/>
      <c r="F44" s="66"/>
      <c r="G44" s="38">
        <f t="shared" si="0"/>
        <v>0</v>
      </c>
    </row>
    <row r="45" spans="1:8" ht="18.75" customHeight="1">
      <c r="A45" s="170"/>
      <c r="B45" s="151" t="s">
        <v>284</v>
      </c>
      <c r="C45" s="41"/>
      <c r="D45" s="64"/>
      <c r="E45" s="177"/>
      <c r="F45" s="60"/>
      <c r="G45" s="38">
        <f t="shared" si="0"/>
        <v>0</v>
      </c>
    </row>
    <row r="46" spans="1:8" ht="18.75" customHeight="1">
      <c r="A46" s="170">
        <v>1</v>
      </c>
      <c r="B46" s="138" t="s">
        <v>361</v>
      </c>
      <c r="C46" s="41" t="s">
        <v>362</v>
      </c>
      <c r="D46" s="170" t="s">
        <v>206</v>
      </c>
      <c r="E46" s="177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70">
        <v>2</v>
      </c>
      <c r="B47" s="138" t="s">
        <v>419</v>
      </c>
      <c r="C47" s="41" t="s">
        <v>427</v>
      </c>
      <c r="D47" s="170" t="s">
        <v>105</v>
      </c>
      <c r="E47" s="177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70"/>
      <c r="B48" s="141"/>
      <c r="C48" s="169">
        <v>2</v>
      </c>
      <c r="D48" s="170"/>
      <c r="E48" s="183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00000000000001" customHeight="1">
      <c r="A49" s="170"/>
      <c r="B49" s="147"/>
      <c r="C49" s="41"/>
      <c r="D49" s="170"/>
      <c r="E49" s="177"/>
      <c r="F49" s="66"/>
      <c r="G49" s="38">
        <f t="shared" si="0"/>
        <v>0</v>
      </c>
      <c r="H49" s="34"/>
    </row>
    <row r="50" spans="1:8" ht="20.100000000000001" customHeight="1">
      <c r="A50" s="170"/>
      <c r="B50" s="152" t="s">
        <v>56</v>
      </c>
      <c r="C50" s="171"/>
      <c r="D50" s="44"/>
      <c r="E50" s="181"/>
      <c r="F50" s="38"/>
      <c r="G50" s="38">
        <f t="shared" si="0"/>
        <v>0</v>
      </c>
    </row>
    <row r="51" spans="1:8" ht="20.100000000000001" customHeight="1">
      <c r="A51" s="170">
        <v>1</v>
      </c>
      <c r="B51" s="146" t="s">
        <v>255</v>
      </c>
      <c r="C51" s="41" t="s">
        <v>256</v>
      </c>
      <c r="D51" s="170" t="s">
        <v>161</v>
      </c>
      <c r="E51" s="177">
        <v>52776.63</v>
      </c>
      <c r="F51" s="60">
        <f>180306.81</f>
        <v>180306.81</v>
      </c>
      <c r="G51" s="38">
        <f t="shared" si="0"/>
        <v>127530.18</v>
      </c>
    </row>
    <row r="52" spans="1:8" ht="20.100000000000001" customHeight="1">
      <c r="A52" s="170">
        <v>2</v>
      </c>
      <c r="B52" s="146" t="s">
        <v>158</v>
      </c>
      <c r="C52" s="41" t="s">
        <v>199</v>
      </c>
      <c r="D52" s="170" t="s">
        <v>75</v>
      </c>
      <c r="E52" s="177">
        <v>15548.33</v>
      </c>
      <c r="F52" s="60">
        <f>79956.94</f>
        <v>79956.94</v>
      </c>
      <c r="G52" s="38">
        <f t="shared" si="0"/>
        <v>64408.61</v>
      </c>
    </row>
    <row r="53" spans="1:8" ht="20.100000000000001" customHeight="1">
      <c r="A53" s="170">
        <v>3</v>
      </c>
      <c r="B53" s="146" t="s">
        <v>165</v>
      </c>
      <c r="C53" s="41" t="s">
        <v>258</v>
      </c>
      <c r="D53" s="170" t="s">
        <v>75</v>
      </c>
      <c r="E53" s="177">
        <v>15548.33</v>
      </c>
      <c r="F53" s="60">
        <f>79956.94</f>
        <v>79956.94</v>
      </c>
      <c r="G53" s="38">
        <f t="shared" si="0"/>
        <v>64408.61</v>
      </c>
    </row>
    <row r="54" spans="1:8" ht="20.100000000000001" customHeight="1">
      <c r="A54" s="170">
        <v>4</v>
      </c>
      <c r="B54" s="146" t="s">
        <v>159</v>
      </c>
      <c r="C54" s="41" t="s">
        <v>258</v>
      </c>
      <c r="D54" s="170" t="s">
        <v>148</v>
      </c>
      <c r="E54" s="177">
        <v>15548.33</v>
      </c>
      <c r="F54" s="60">
        <f>77764.98</f>
        <v>77764.98</v>
      </c>
      <c r="G54" s="38">
        <f t="shared" si="0"/>
        <v>62216.649999999994</v>
      </c>
    </row>
    <row r="55" spans="1:8" ht="20.100000000000001" customHeight="1">
      <c r="A55" s="170">
        <v>5</v>
      </c>
      <c r="B55" s="146" t="s">
        <v>118</v>
      </c>
      <c r="C55" s="41" t="s">
        <v>78</v>
      </c>
      <c r="D55" s="170" t="s">
        <v>174</v>
      </c>
      <c r="E55" s="177">
        <v>7709.76</v>
      </c>
      <c r="F55" s="60">
        <f>59437.57</f>
        <v>59437.57</v>
      </c>
      <c r="G55" s="38">
        <f t="shared" si="0"/>
        <v>51727.81</v>
      </c>
    </row>
    <row r="56" spans="1:8" ht="20.100000000000001" customHeight="1">
      <c r="A56" s="170">
        <v>6</v>
      </c>
      <c r="B56" s="146" t="s">
        <v>205</v>
      </c>
      <c r="C56" s="41" t="s">
        <v>78</v>
      </c>
      <c r="D56" s="170" t="s">
        <v>162</v>
      </c>
      <c r="E56" s="177">
        <v>7709.76</v>
      </c>
      <c r="F56" s="60">
        <f>56478.9</f>
        <v>56478.9</v>
      </c>
      <c r="G56" s="38">
        <f t="shared" si="0"/>
        <v>48769.14</v>
      </c>
    </row>
    <row r="57" spans="1:8" ht="20.100000000000001" customHeight="1">
      <c r="A57" s="170">
        <v>7</v>
      </c>
      <c r="B57" s="153" t="s">
        <v>173</v>
      </c>
      <c r="C57" s="41" t="s">
        <v>297</v>
      </c>
      <c r="D57" s="25" t="s">
        <v>162</v>
      </c>
      <c r="E57" s="179">
        <v>7709.76</v>
      </c>
      <c r="F57" s="24">
        <f>56478.9</f>
        <v>56478.9</v>
      </c>
      <c r="G57" s="38">
        <f t="shared" si="0"/>
        <v>48769.14</v>
      </c>
    </row>
    <row r="58" spans="1:8" ht="20.100000000000001" customHeight="1">
      <c r="A58" s="170">
        <v>8</v>
      </c>
      <c r="B58" s="146" t="s">
        <v>116</v>
      </c>
      <c r="C58" s="41" t="s">
        <v>257</v>
      </c>
      <c r="D58" s="170" t="s">
        <v>170</v>
      </c>
      <c r="E58" s="177">
        <v>7709.76</v>
      </c>
      <c r="F58" s="60">
        <f>49548.78</f>
        <v>49548.78</v>
      </c>
      <c r="G58" s="38">
        <f t="shared" si="0"/>
        <v>41839.019999999997</v>
      </c>
    </row>
    <row r="59" spans="1:8" ht="20.100000000000001" customHeight="1">
      <c r="A59" s="170">
        <v>9</v>
      </c>
      <c r="B59" s="148" t="s">
        <v>184</v>
      </c>
      <c r="C59" s="41" t="s">
        <v>80</v>
      </c>
      <c r="D59" s="29" t="s">
        <v>163</v>
      </c>
      <c r="E59" s="179">
        <v>7709.76</v>
      </c>
      <c r="F59" s="26">
        <f>48052.11</f>
        <v>48052.11</v>
      </c>
      <c r="G59" s="38">
        <f t="shared" si="0"/>
        <v>40342.35</v>
      </c>
    </row>
    <row r="60" spans="1:8" ht="20.100000000000001" customHeight="1">
      <c r="A60" s="170">
        <v>10</v>
      </c>
      <c r="B60" s="148" t="s">
        <v>420</v>
      </c>
      <c r="C60" s="41" t="s">
        <v>84</v>
      </c>
      <c r="D60" s="170" t="s">
        <v>428</v>
      </c>
      <c r="E60" s="177">
        <v>3369.51</v>
      </c>
      <c r="F60" s="60">
        <f>28360.95</f>
        <v>28360.95</v>
      </c>
      <c r="G60" s="38">
        <f t="shared" si="0"/>
        <v>24991.440000000002</v>
      </c>
    </row>
    <row r="61" spans="1:8" ht="20.100000000000001" customHeight="1">
      <c r="A61" s="170">
        <v>11</v>
      </c>
      <c r="B61" s="148" t="s">
        <v>437</v>
      </c>
      <c r="C61" s="41" t="s">
        <v>84</v>
      </c>
      <c r="D61" s="170" t="s">
        <v>428</v>
      </c>
      <c r="E61" s="177">
        <v>3369.51</v>
      </c>
      <c r="F61" s="60">
        <f>28360.95</f>
        <v>28360.95</v>
      </c>
      <c r="G61" s="38">
        <f t="shared" si="0"/>
        <v>24991.440000000002</v>
      </c>
    </row>
    <row r="62" spans="1:8" ht="20.100000000000001" customHeight="1">
      <c r="A62" s="170">
        <v>12</v>
      </c>
      <c r="B62" s="148" t="s">
        <v>454</v>
      </c>
      <c r="C62" s="41" t="s">
        <v>84</v>
      </c>
      <c r="D62" s="170" t="s">
        <v>428</v>
      </c>
      <c r="E62" s="177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70"/>
      <c r="B63" s="154" t="s">
        <v>15</v>
      </c>
      <c r="C63" s="30">
        <v>11</v>
      </c>
      <c r="D63" s="30"/>
      <c r="E63" s="182">
        <f>SUM(E51:E62)</f>
        <v>144709.44</v>
      </c>
      <c r="F63" s="182">
        <f t="shared" ref="F63:G63" si="3">SUM(F51:F62)</f>
        <v>765745.82516129024</v>
      </c>
      <c r="G63" s="182">
        <f t="shared" si="3"/>
        <v>621036.38516129018</v>
      </c>
      <c r="H63" s="82"/>
    </row>
    <row r="64" spans="1:8" ht="20.100000000000001" customHeight="1">
      <c r="A64" s="170"/>
      <c r="B64" s="142"/>
      <c r="C64" s="30"/>
      <c r="D64" s="30"/>
      <c r="E64" s="182"/>
      <c r="F64" s="31"/>
      <c r="G64" s="38">
        <f t="shared" si="0"/>
        <v>0</v>
      </c>
    </row>
    <row r="65" spans="1:8" ht="20.100000000000001" customHeight="1">
      <c r="A65" s="170"/>
      <c r="B65" s="154" t="s">
        <v>195</v>
      </c>
      <c r="C65" s="30"/>
      <c r="D65" s="30"/>
      <c r="E65" s="182"/>
      <c r="F65" s="31"/>
      <c r="G65" s="38">
        <f t="shared" si="0"/>
        <v>0</v>
      </c>
    </row>
    <row r="66" spans="1:8" ht="20.100000000000001" customHeight="1">
      <c r="A66" s="170">
        <v>1</v>
      </c>
      <c r="B66" s="146" t="s">
        <v>11</v>
      </c>
      <c r="C66" s="167" t="s">
        <v>200</v>
      </c>
      <c r="D66" s="64" t="s">
        <v>161</v>
      </c>
      <c r="E66" s="177">
        <v>52776.63</v>
      </c>
      <c r="F66" s="60">
        <f>180306.81</f>
        <v>180306.81</v>
      </c>
      <c r="G66" s="38">
        <f t="shared" si="0"/>
        <v>127530.18</v>
      </c>
    </row>
    <row r="67" spans="1:8" ht="20.100000000000001" customHeight="1">
      <c r="A67" s="170">
        <v>2</v>
      </c>
      <c r="B67" s="138" t="s">
        <v>276</v>
      </c>
      <c r="C67" s="167" t="s">
        <v>340</v>
      </c>
      <c r="D67" s="64" t="s">
        <v>412</v>
      </c>
      <c r="E67" s="177">
        <v>15548.33</v>
      </c>
      <c r="F67" s="60">
        <f>62404.98</f>
        <v>62404.98</v>
      </c>
      <c r="G67" s="38">
        <f t="shared" si="0"/>
        <v>46856.65</v>
      </c>
    </row>
    <row r="68" spans="1:8" ht="20.100000000000001" customHeight="1">
      <c r="A68" s="170"/>
      <c r="B68" s="154" t="s">
        <v>15</v>
      </c>
      <c r="C68" s="30">
        <v>2</v>
      </c>
      <c r="D68" s="30"/>
      <c r="E68" s="182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00000000000001" customHeight="1">
      <c r="A69" s="170"/>
      <c r="B69" s="154"/>
      <c r="C69" s="30"/>
      <c r="D69" s="30"/>
      <c r="E69" s="182"/>
      <c r="F69" s="31"/>
      <c r="G69" s="38">
        <f t="shared" si="0"/>
        <v>0</v>
      </c>
    </row>
    <row r="70" spans="1:8" ht="20.100000000000001" customHeight="1">
      <c r="A70" s="170"/>
      <c r="B70" s="154" t="s">
        <v>353</v>
      </c>
      <c r="C70" s="30"/>
      <c r="D70" s="30"/>
      <c r="E70" s="182"/>
      <c r="F70" s="31"/>
      <c r="G70" s="38">
        <f t="shared" si="0"/>
        <v>0</v>
      </c>
    </row>
    <row r="71" spans="1:8" ht="20.100000000000001" customHeight="1">
      <c r="A71" s="170">
        <v>1</v>
      </c>
      <c r="B71" s="148" t="s">
        <v>277</v>
      </c>
      <c r="C71" s="156" t="s">
        <v>278</v>
      </c>
      <c r="D71" s="29" t="s">
        <v>161</v>
      </c>
      <c r="E71" s="179">
        <v>52776.63</v>
      </c>
      <c r="F71" s="26">
        <f>180306.81</f>
        <v>180306.81</v>
      </c>
      <c r="G71" s="38">
        <f t="shared" si="0"/>
        <v>127530.18</v>
      </c>
    </row>
    <row r="72" spans="1:8" ht="20.100000000000001" customHeight="1">
      <c r="A72" s="170">
        <v>2</v>
      </c>
      <c r="B72" s="139" t="s">
        <v>332</v>
      </c>
      <c r="C72" s="156" t="s">
        <v>188</v>
      </c>
      <c r="D72" s="64" t="s">
        <v>272</v>
      </c>
      <c r="E72" s="177">
        <v>15548.33</v>
      </c>
      <c r="F72" s="60">
        <v>75572.92</v>
      </c>
      <c r="G72" s="38">
        <f t="shared" si="0"/>
        <v>60024.59</v>
      </c>
    </row>
    <row r="73" spans="1:8" ht="20.100000000000001" customHeight="1">
      <c r="A73" s="170">
        <v>3</v>
      </c>
      <c r="B73" s="148" t="s">
        <v>189</v>
      </c>
      <c r="C73" s="41" t="s">
        <v>257</v>
      </c>
      <c r="D73" s="29" t="s">
        <v>163</v>
      </c>
      <c r="E73" s="179">
        <v>7709.76</v>
      </c>
      <c r="F73" s="26">
        <f>48170.87</f>
        <v>48170.87</v>
      </c>
      <c r="G73" s="38">
        <f t="shared" si="0"/>
        <v>40461.11</v>
      </c>
    </row>
    <row r="74" spans="1:8" ht="20.100000000000001" customHeight="1">
      <c r="A74" s="170">
        <v>4</v>
      </c>
      <c r="B74" s="139" t="s">
        <v>450</v>
      </c>
      <c r="C74" s="156" t="s">
        <v>257</v>
      </c>
      <c r="D74" s="64" t="s">
        <v>149</v>
      </c>
      <c r="E74" s="177">
        <v>7709.76</v>
      </c>
      <c r="F74" s="60">
        <f>46673.26</f>
        <v>46673.26</v>
      </c>
      <c r="G74" s="38">
        <f t="shared" si="0"/>
        <v>38963.5</v>
      </c>
    </row>
    <row r="75" spans="1:8" ht="20.100000000000001" customHeight="1">
      <c r="A75" s="170">
        <v>5</v>
      </c>
      <c r="B75" s="147" t="s">
        <v>229</v>
      </c>
      <c r="C75" s="156" t="s">
        <v>297</v>
      </c>
      <c r="D75" s="64" t="s">
        <v>162</v>
      </c>
      <c r="E75" s="177">
        <v>7709.76</v>
      </c>
      <c r="F75" s="38">
        <v>56478.9</v>
      </c>
      <c r="G75" s="38">
        <f t="shared" si="0"/>
        <v>48769.14</v>
      </c>
    </row>
    <row r="76" spans="1:8" ht="20.100000000000001" customHeight="1">
      <c r="A76" s="170">
        <v>6</v>
      </c>
      <c r="B76" s="148" t="s">
        <v>117</v>
      </c>
      <c r="C76" s="21" t="s">
        <v>84</v>
      </c>
      <c r="D76" s="29" t="s">
        <v>298</v>
      </c>
      <c r="E76" s="179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00000000000001" customHeight="1">
      <c r="A77" s="170">
        <v>7</v>
      </c>
      <c r="B77" s="149" t="s">
        <v>182</v>
      </c>
      <c r="C77" s="156" t="s">
        <v>422</v>
      </c>
      <c r="D77" s="64" t="s">
        <v>415</v>
      </c>
      <c r="E77" s="177">
        <v>3369.51</v>
      </c>
      <c r="F77" s="60">
        <v>41248.559999999998</v>
      </c>
      <c r="G77" s="38">
        <f t="shared" si="5"/>
        <v>37879.049999999996</v>
      </c>
    </row>
    <row r="78" spans="1:8" ht="20.100000000000001" customHeight="1">
      <c r="A78" s="170">
        <v>8</v>
      </c>
      <c r="B78" s="146" t="s">
        <v>424</v>
      </c>
      <c r="C78" s="156" t="s">
        <v>422</v>
      </c>
      <c r="D78" s="64" t="s">
        <v>369</v>
      </c>
      <c r="E78" s="177">
        <v>3369.51</v>
      </c>
      <c r="F78" s="60">
        <f>40149.18</f>
        <v>40149.18</v>
      </c>
      <c r="G78" s="38">
        <f t="shared" si="5"/>
        <v>36779.67</v>
      </c>
    </row>
    <row r="79" spans="1:8" ht="20.100000000000001" customHeight="1">
      <c r="A79" s="170">
        <v>9</v>
      </c>
      <c r="B79" s="146" t="s">
        <v>423</v>
      </c>
      <c r="C79" s="156" t="s">
        <v>422</v>
      </c>
      <c r="D79" s="64" t="s">
        <v>369</v>
      </c>
      <c r="E79" s="177">
        <v>3369.51</v>
      </c>
      <c r="F79" s="60">
        <f>40149.18</f>
        <v>40149.18</v>
      </c>
      <c r="G79" s="38">
        <f t="shared" si="5"/>
        <v>36779.67</v>
      </c>
    </row>
    <row r="80" spans="1:8" ht="20.100000000000001" customHeight="1">
      <c r="A80" s="170">
        <v>10</v>
      </c>
      <c r="B80" s="146" t="s">
        <v>242</v>
      </c>
      <c r="C80" s="41" t="s">
        <v>243</v>
      </c>
      <c r="D80" s="170" t="s">
        <v>27</v>
      </c>
      <c r="E80" s="177">
        <v>3369.51</v>
      </c>
      <c r="F80" s="60">
        <f>34593.08</f>
        <v>34593.08</v>
      </c>
      <c r="G80" s="38">
        <f t="shared" si="5"/>
        <v>31223.57</v>
      </c>
    </row>
    <row r="81" spans="1:8" ht="20.100000000000001" customHeight="1">
      <c r="A81" s="170">
        <v>11</v>
      </c>
      <c r="B81" s="148" t="s">
        <v>322</v>
      </c>
      <c r="C81" s="156" t="s">
        <v>84</v>
      </c>
      <c r="D81" s="170" t="s">
        <v>104</v>
      </c>
      <c r="E81" s="177">
        <v>3369.51</v>
      </c>
      <c r="F81" s="60">
        <f>32291.82</f>
        <v>32291.82</v>
      </c>
      <c r="G81" s="38">
        <f t="shared" si="5"/>
        <v>28922.309999999998</v>
      </c>
    </row>
    <row r="82" spans="1:8" ht="20.100000000000001" customHeight="1">
      <c r="A82" s="170">
        <v>12</v>
      </c>
      <c r="B82" s="148" t="s">
        <v>320</v>
      </c>
      <c r="C82" s="156" t="s">
        <v>115</v>
      </c>
      <c r="D82" s="170" t="s">
        <v>428</v>
      </c>
      <c r="E82" s="177">
        <v>1484.37</v>
      </c>
      <c r="F82" s="60">
        <f>24685.95</f>
        <v>24685.95</v>
      </c>
      <c r="G82" s="38">
        <f t="shared" si="5"/>
        <v>23201.58</v>
      </c>
    </row>
    <row r="83" spans="1:8" ht="20.100000000000001" customHeight="1">
      <c r="A83" s="170">
        <v>13</v>
      </c>
      <c r="B83" s="147" t="s">
        <v>321</v>
      </c>
      <c r="C83" s="156" t="s">
        <v>115</v>
      </c>
      <c r="D83" s="170" t="s">
        <v>105</v>
      </c>
      <c r="E83" s="177">
        <v>1484.37</v>
      </c>
      <c r="F83" s="60">
        <f>24685.95</f>
        <v>24685.95</v>
      </c>
      <c r="G83" s="38">
        <f t="shared" si="5"/>
        <v>23201.58</v>
      </c>
    </row>
    <row r="84" spans="1:8" ht="20.100000000000001" customHeight="1">
      <c r="A84" s="170"/>
      <c r="B84" s="154" t="s">
        <v>15</v>
      </c>
      <c r="C84" s="30">
        <v>13</v>
      </c>
      <c r="D84" s="30"/>
      <c r="E84" s="182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00000000000001" customHeight="1">
      <c r="A85" s="170"/>
      <c r="B85" s="143"/>
      <c r="C85" s="30"/>
      <c r="D85" s="30"/>
      <c r="E85" s="182"/>
      <c r="F85" s="31"/>
      <c r="G85" s="38">
        <f t="shared" si="5"/>
        <v>0</v>
      </c>
    </row>
    <row r="86" spans="1:8" ht="20.100000000000001" customHeight="1">
      <c r="A86" s="170"/>
      <c r="B86" s="154" t="s">
        <v>347</v>
      </c>
      <c r="C86" s="30"/>
      <c r="D86" s="30"/>
      <c r="E86" s="182"/>
      <c r="F86" s="31"/>
      <c r="G86" s="38">
        <f t="shared" si="5"/>
        <v>0</v>
      </c>
    </row>
    <row r="87" spans="1:8" ht="20.100000000000001" customHeight="1">
      <c r="A87" s="170">
        <v>1</v>
      </c>
      <c r="B87" s="146" t="s">
        <v>19</v>
      </c>
      <c r="C87" s="41" t="s">
        <v>201</v>
      </c>
      <c r="D87" s="170" t="s">
        <v>161</v>
      </c>
      <c r="E87" s="177">
        <v>52776.63</v>
      </c>
      <c r="F87" s="60">
        <f>180306.81</f>
        <v>180306.81</v>
      </c>
      <c r="G87" s="38">
        <f t="shared" si="5"/>
        <v>127530.18</v>
      </c>
    </row>
    <row r="88" spans="1:8" ht="20.100000000000001" customHeight="1">
      <c r="A88" s="170">
        <v>2</v>
      </c>
      <c r="B88" s="144" t="s">
        <v>325</v>
      </c>
      <c r="C88" s="1" t="s">
        <v>245</v>
      </c>
      <c r="D88" s="64" t="s">
        <v>272</v>
      </c>
      <c r="E88" s="177">
        <v>15548.33</v>
      </c>
      <c r="F88" s="60">
        <f>75572.92</f>
        <v>75572.92</v>
      </c>
      <c r="G88" s="38">
        <f t="shared" si="5"/>
        <v>60024.59</v>
      </c>
    </row>
    <row r="89" spans="1:8" ht="20.100000000000001" customHeight="1">
      <c r="A89" s="170">
        <v>3</v>
      </c>
      <c r="B89" s="144" t="s">
        <v>326</v>
      </c>
      <c r="C89" s="1" t="s">
        <v>327</v>
      </c>
      <c r="D89" s="64" t="s">
        <v>272</v>
      </c>
      <c r="E89" s="177">
        <v>15548.33</v>
      </c>
      <c r="F89" s="60">
        <f>75572.92</f>
        <v>75572.92</v>
      </c>
      <c r="G89" s="38">
        <f t="shared" si="5"/>
        <v>60024.59</v>
      </c>
    </row>
    <row r="90" spans="1:8" ht="20.100000000000001" customHeight="1">
      <c r="A90" s="170">
        <v>4</v>
      </c>
      <c r="B90" s="146" t="s">
        <v>324</v>
      </c>
      <c r="C90" s="41" t="s">
        <v>243</v>
      </c>
      <c r="D90" s="170" t="s">
        <v>104</v>
      </c>
      <c r="E90" s="177">
        <v>3369.51</v>
      </c>
      <c r="F90" s="60">
        <f>32291.82</f>
        <v>32291.82</v>
      </c>
      <c r="G90" s="38">
        <f t="shared" si="5"/>
        <v>28922.309999999998</v>
      </c>
    </row>
    <row r="91" spans="1:8" ht="20.100000000000001" customHeight="1">
      <c r="A91" s="170"/>
      <c r="B91" s="154" t="s">
        <v>15</v>
      </c>
      <c r="C91" s="30">
        <v>4</v>
      </c>
      <c r="D91" s="30"/>
      <c r="E91" s="182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00000000000001" customHeight="1">
      <c r="A92" s="170"/>
      <c r="B92" s="155"/>
      <c r="C92" s="169"/>
      <c r="D92" s="169"/>
      <c r="E92" s="183"/>
      <c r="F92" s="45"/>
      <c r="G92" s="38">
        <f t="shared" si="5"/>
        <v>0</v>
      </c>
    </row>
    <row r="93" spans="1:8" ht="20.100000000000001" customHeight="1">
      <c r="A93" s="170"/>
      <c r="B93" s="155" t="s">
        <v>354</v>
      </c>
      <c r="C93" s="67"/>
      <c r="D93" s="169"/>
      <c r="E93" s="183"/>
      <c r="F93" s="45"/>
      <c r="G93" s="38">
        <f t="shared" si="5"/>
        <v>0</v>
      </c>
    </row>
    <row r="94" spans="1:8" ht="20.100000000000001" customHeight="1">
      <c r="A94" s="170">
        <v>1</v>
      </c>
      <c r="B94" s="146" t="s">
        <v>244</v>
      </c>
      <c r="C94" s="41" t="s">
        <v>312</v>
      </c>
      <c r="D94" s="170" t="s">
        <v>221</v>
      </c>
      <c r="E94" s="177">
        <v>21618.09</v>
      </c>
      <c r="F94" s="60">
        <f>97273.51</f>
        <v>97273.51</v>
      </c>
      <c r="G94" s="38">
        <f t="shared" si="5"/>
        <v>75655.42</v>
      </c>
    </row>
    <row r="95" spans="1:8" ht="20.100000000000001" customHeight="1">
      <c r="A95" s="170">
        <v>2</v>
      </c>
      <c r="B95" s="146" t="s">
        <v>169</v>
      </c>
      <c r="C95" s="41" t="s">
        <v>258</v>
      </c>
      <c r="D95" s="170" t="s">
        <v>75</v>
      </c>
      <c r="E95" s="177">
        <v>15548.33</v>
      </c>
      <c r="F95" s="60">
        <f>79956.94</f>
        <v>79956.94</v>
      </c>
      <c r="G95" s="38">
        <f t="shared" si="5"/>
        <v>64408.61</v>
      </c>
    </row>
    <row r="96" spans="1:8" ht="20.100000000000001" customHeight="1">
      <c r="A96" s="170">
        <v>3</v>
      </c>
      <c r="B96" s="146" t="s">
        <v>192</v>
      </c>
      <c r="C96" s="41" t="s">
        <v>258</v>
      </c>
      <c r="D96" s="170" t="s">
        <v>75</v>
      </c>
      <c r="E96" s="177">
        <v>15548.33</v>
      </c>
      <c r="F96" s="60">
        <f>79796.1</f>
        <v>79796.100000000006</v>
      </c>
      <c r="G96" s="38">
        <f t="shared" si="5"/>
        <v>64247.770000000004</v>
      </c>
    </row>
    <row r="97" spans="1:8" ht="20.100000000000001" customHeight="1">
      <c r="A97" s="170">
        <v>4</v>
      </c>
      <c r="B97" s="147" t="s">
        <v>138</v>
      </c>
      <c r="C97" s="41" t="s">
        <v>297</v>
      </c>
      <c r="D97" s="170" t="s">
        <v>181</v>
      </c>
      <c r="E97" s="177">
        <v>7709.76</v>
      </c>
      <c r="F97" s="38">
        <f>57894.08</f>
        <v>57894.080000000002</v>
      </c>
      <c r="G97" s="38">
        <f t="shared" si="5"/>
        <v>50184.32</v>
      </c>
    </row>
    <row r="98" spans="1:8" ht="20.100000000000001" customHeight="1">
      <c r="A98" s="170">
        <v>5</v>
      </c>
      <c r="B98" s="148" t="s">
        <v>202</v>
      </c>
      <c r="C98" s="41" t="s">
        <v>78</v>
      </c>
      <c r="D98" s="170" t="s">
        <v>162</v>
      </c>
      <c r="E98" s="177">
        <v>7709.76</v>
      </c>
      <c r="F98" s="38">
        <f>56478.9</f>
        <v>56478.9</v>
      </c>
      <c r="G98" s="38">
        <f t="shared" si="5"/>
        <v>48769.14</v>
      </c>
    </row>
    <row r="99" spans="1:8" ht="20.100000000000001" customHeight="1">
      <c r="A99" s="170">
        <v>6</v>
      </c>
      <c r="B99" s="148" t="s">
        <v>429</v>
      </c>
      <c r="C99" s="41" t="s">
        <v>78</v>
      </c>
      <c r="D99" s="170" t="s">
        <v>95</v>
      </c>
      <c r="E99" s="177">
        <v>7709.76</v>
      </c>
      <c r="F99" s="38">
        <f>53384.05</f>
        <v>53384.05</v>
      </c>
      <c r="G99" s="38">
        <f t="shared" si="5"/>
        <v>45674.29</v>
      </c>
    </row>
    <row r="100" spans="1:8" ht="21.6" customHeight="1">
      <c r="A100" s="170">
        <v>7</v>
      </c>
      <c r="B100" s="149" t="s">
        <v>101</v>
      </c>
      <c r="C100" s="41" t="s">
        <v>80</v>
      </c>
      <c r="D100" s="64" t="s">
        <v>163</v>
      </c>
      <c r="E100" s="177">
        <v>7709.76</v>
      </c>
      <c r="F100" s="60">
        <f>48170.87</f>
        <v>48170.87</v>
      </c>
      <c r="G100" s="38">
        <f t="shared" si="5"/>
        <v>40461.11</v>
      </c>
    </row>
    <row r="101" spans="1:8" ht="21.6" customHeight="1">
      <c r="A101" s="170">
        <v>8</v>
      </c>
      <c r="B101" s="146" t="s">
        <v>336</v>
      </c>
      <c r="C101" s="167" t="s">
        <v>257</v>
      </c>
      <c r="D101" s="64" t="s">
        <v>149</v>
      </c>
      <c r="E101" s="177">
        <v>7709.76</v>
      </c>
      <c r="F101" s="60">
        <f>46673.26</f>
        <v>46673.26</v>
      </c>
      <c r="G101" s="38">
        <f t="shared" si="5"/>
        <v>38963.5</v>
      </c>
    </row>
    <row r="102" spans="1:8" ht="21.6" customHeight="1">
      <c r="A102" s="170">
        <v>9</v>
      </c>
      <c r="B102" s="146" t="s">
        <v>337</v>
      </c>
      <c r="C102" s="167" t="s">
        <v>257</v>
      </c>
      <c r="D102" s="64" t="s">
        <v>149</v>
      </c>
      <c r="E102" s="177">
        <v>7709.76</v>
      </c>
      <c r="F102" s="60">
        <f>46673.26</f>
        <v>46673.26</v>
      </c>
      <c r="G102" s="38">
        <f t="shared" si="5"/>
        <v>38963.5</v>
      </c>
    </row>
    <row r="103" spans="1:8" ht="21.6" customHeight="1">
      <c r="A103" s="170">
        <v>10</v>
      </c>
      <c r="B103" s="146" t="s">
        <v>421</v>
      </c>
      <c r="C103" s="156" t="s">
        <v>422</v>
      </c>
      <c r="D103" s="64" t="s">
        <v>369</v>
      </c>
      <c r="E103" s="177">
        <v>3369.51</v>
      </c>
      <c r="F103" s="60">
        <f>40149.18</f>
        <v>40149.18</v>
      </c>
      <c r="G103" s="38">
        <f t="shared" si="5"/>
        <v>36779.67</v>
      </c>
    </row>
    <row r="104" spans="1:8" ht="21.6" customHeight="1">
      <c r="A104" s="170">
        <v>11</v>
      </c>
      <c r="B104" s="146" t="s">
        <v>438</v>
      </c>
      <c r="C104" s="41" t="s">
        <v>84</v>
      </c>
      <c r="D104" s="170" t="s">
        <v>428</v>
      </c>
      <c r="E104" s="177">
        <v>3369.51</v>
      </c>
      <c r="F104" s="60">
        <f>28360.95</f>
        <v>28360.95</v>
      </c>
      <c r="G104" s="38">
        <f t="shared" si="5"/>
        <v>24991.440000000002</v>
      </c>
    </row>
    <row r="105" spans="1:8" ht="21.6" customHeight="1">
      <c r="A105" s="170">
        <v>12</v>
      </c>
      <c r="B105" s="146" t="s">
        <v>406</v>
      </c>
      <c r="C105" s="156" t="s">
        <v>434</v>
      </c>
      <c r="D105" s="64" t="s">
        <v>105</v>
      </c>
      <c r="E105" s="177">
        <v>1484.37</v>
      </c>
      <c r="F105" s="60">
        <f>24685.95</f>
        <v>24685.95</v>
      </c>
      <c r="G105" s="38">
        <f t="shared" si="5"/>
        <v>23201.58</v>
      </c>
    </row>
    <row r="106" spans="1:8" ht="20.100000000000001" customHeight="1">
      <c r="A106" s="170"/>
      <c r="B106" s="151" t="s">
        <v>15</v>
      </c>
      <c r="C106" s="169">
        <v>12</v>
      </c>
      <c r="D106" s="169"/>
      <c r="E106" s="183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00000000000001" customHeight="1">
      <c r="A107" s="170"/>
      <c r="B107" s="140"/>
      <c r="C107" s="169"/>
      <c r="D107" s="169"/>
      <c r="E107" s="183"/>
      <c r="F107" s="45"/>
      <c r="G107" s="38">
        <f t="shared" si="5"/>
        <v>0</v>
      </c>
    </row>
    <row r="108" spans="1:8" ht="20.100000000000001" customHeight="1">
      <c r="A108" s="170"/>
      <c r="B108" s="151" t="s">
        <v>283</v>
      </c>
      <c r="C108" s="169"/>
      <c r="D108" s="169"/>
      <c r="E108" s="183"/>
      <c r="F108" s="45"/>
      <c r="G108" s="38">
        <f t="shared" si="5"/>
        <v>0</v>
      </c>
    </row>
    <row r="109" spans="1:8" ht="20.100000000000001" customHeight="1">
      <c r="A109" s="170">
        <v>1</v>
      </c>
      <c r="B109" s="138" t="s">
        <v>364</v>
      </c>
      <c r="C109" s="170" t="s">
        <v>343</v>
      </c>
      <c r="D109" s="64" t="s">
        <v>221</v>
      </c>
      <c r="E109" s="177">
        <v>21618.09</v>
      </c>
      <c r="F109" s="60">
        <f>79993.51</f>
        <v>79993.509999999995</v>
      </c>
      <c r="G109" s="38">
        <f t="shared" si="5"/>
        <v>58375.42</v>
      </c>
    </row>
    <row r="110" spans="1:8" ht="20.100000000000001" customHeight="1">
      <c r="A110" s="170">
        <v>2</v>
      </c>
      <c r="B110" s="148" t="s">
        <v>185</v>
      </c>
      <c r="C110" s="21" t="s">
        <v>373</v>
      </c>
      <c r="D110" s="29" t="s">
        <v>162</v>
      </c>
      <c r="E110" s="179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00000000000001" customHeight="1">
      <c r="A111" s="170">
        <v>3</v>
      </c>
      <c r="B111" s="139" t="s">
        <v>366</v>
      </c>
      <c r="C111" s="21" t="s">
        <v>367</v>
      </c>
      <c r="D111" s="64" t="s">
        <v>149</v>
      </c>
      <c r="E111" s="177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00000000000001" customHeight="1">
      <c r="A112" s="170">
        <v>4</v>
      </c>
      <c r="B112" s="146" t="s">
        <v>237</v>
      </c>
      <c r="C112" s="41" t="s">
        <v>310</v>
      </c>
      <c r="D112" s="64" t="s">
        <v>52</v>
      </c>
      <c r="E112" s="177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00000000000001" customHeight="1">
      <c r="A113" s="41"/>
      <c r="B113" s="151" t="s">
        <v>15</v>
      </c>
      <c r="C113" s="169">
        <v>4</v>
      </c>
      <c r="D113" s="172"/>
      <c r="E113" s="183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00000000000001" customHeight="1">
      <c r="A114" s="41"/>
      <c r="B114" s="140"/>
      <c r="C114" s="169"/>
      <c r="D114" s="172"/>
      <c r="E114" s="183"/>
      <c r="F114" s="31"/>
      <c r="G114" s="38">
        <f t="shared" si="5"/>
        <v>0</v>
      </c>
    </row>
    <row r="115" spans="1:8" ht="20.100000000000001" customHeight="1">
      <c r="A115" s="41"/>
      <c r="B115" s="151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00000000000001" customHeight="1">
      <c r="A116" s="41">
        <v>1</v>
      </c>
      <c r="B116" s="146" t="s">
        <v>216</v>
      </c>
      <c r="C116" s="167" t="s">
        <v>217</v>
      </c>
      <c r="D116" s="64" t="s">
        <v>161</v>
      </c>
      <c r="E116" s="177">
        <v>52776.63</v>
      </c>
      <c r="F116" s="60">
        <f>180306.81</f>
        <v>180306.81</v>
      </c>
      <c r="G116" s="38">
        <f t="shared" si="5"/>
        <v>127530.18</v>
      </c>
    </row>
    <row r="117" spans="1:8" ht="20.100000000000001" customHeight="1">
      <c r="A117" s="41">
        <v>2</v>
      </c>
      <c r="B117" s="146" t="s">
        <v>110</v>
      </c>
      <c r="C117" s="41" t="s">
        <v>259</v>
      </c>
      <c r="D117" s="170" t="s">
        <v>75</v>
      </c>
      <c r="E117" s="177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00000000000001" customHeight="1">
      <c r="A118" s="41">
        <v>3</v>
      </c>
      <c r="B118" s="146" t="s">
        <v>109</v>
      </c>
      <c r="C118" s="41" t="s">
        <v>311</v>
      </c>
      <c r="D118" s="170" t="s">
        <v>175</v>
      </c>
      <c r="E118" s="177">
        <v>7709.76</v>
      </c>
      <c r="F118" s="38">
        <f>58814.67</f>
        <v>58814.67</v>
      </c>
      <c r="G118" s="38">
        <f t="shared" si="5"/>
        <v>51104.909999999996</v>
      </c>
    </row>
    <row r="119" spans="1:8" ht="20.100000000000001" customHeight="1">
      <c r="A119" s="41">
        <v>4</v>
      </c>
      <c r="B119" s="148" t="s">
        <v>135</v>
      </c>
      <c r="C119" s="41" t="s">
        <v>311</v>
      </c>
      <c r="D119" s="29" t="s">
        <v>170</v>
      </c>
      <c r="E119" s="179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00000000000001" customHeight="1">
      <c r="A120" s="41">
        <v>5</v>
      </c>
      <c r="B120" s="146" t="s">
        <v>240</v>
      </c>
      <c r="C120" s="1" t="s">
        <v>338</v>
      </c>
      <c r="D120" s="64" t="s">
        <v>267</v>
      </c>
      <c r="E120" s="177">
        <v>1484.37</v>
      </c>
      <c r="F120" s="60">
        <f>30699.58</f>
        <v>30699.58</v>
      </c>
      <c r="G120" s="38">
        <f t="shared" si="5"/>
        <v>29215.210000000003</v>
      </c>
    </row>
    <row r="121" spans="1:8" ht="20.100000000000001" customHeight="1">
      <c r="A121" s="41">
        <v>6</v>
      </c>
      <c r="B121" s="139" t="s">
        <v>341</v>
      </c>
      <c r="C121" s="1" t="s">
        <v>338</v>
      </c>
      <c r="D121" s="170" t="s">
        <v>51</v>
      </c>
      <c r="E121" s="177">
        <v>1484.37</v>
      </c>
      <c r="F121" s="60">
        <f>30049.31</f>
        <v>30049.31</v>
      </c>
      <c r="G121" s="38">
        <f t="shared" si="5"/>
        <v>28564.940000000002</v>
      </c>
    </row>
    <row r="122" spans="1:8" ht="20.100000000000001" customHeight="1">
      <c r="A122" s="41">
        <v>7</v>
      </c>
      <c r="B122" s="138" t="s">
        <v>374</v>
      </c>
      <c r="C122" s="1" t="s">
        <v>338</v>
      </c>
      <c r="D122" s="64" t="s">
        <v>105</v>
      </c>
      <c r="E122" s="177">
        <v>1484.37</v>
      </c>
      <c r="F122" s="60">
        <f>28813.07</f>
        <v>28813.07</v>
      </c>
      <c r="G122" s="38">
        <f t="shared" si="5"/>
        <v>27328.7</v>
      </c>
    </row>
    <row r="123" spans="1:8" ht="20.100000000000001" customHeight="1">
      <c r="A123" s="41"/>
      <c r="B123" s="151" t="s">
        <v>15</v>
      </c>
      <c r="C123" s="169">
        <v>7</v>
      </c>
      <c r="D123" s="41"/>
      <c r="E123" s="184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00000000000001" customHeight="1">
      <c r="A124" s="41"/>
      <c r="B124" s="140"/>
      <c r="C124" s="170"/>
      <c r="D124" s="41"/>
      <c r="E124" s="65"/>
      <c r="F124" s="77"/>
      <c r="G124" s="38">
        <f t="shared" si="5"/>
        <v>0</v>
      </c>
    </row>
    <row r="125" spans="1:8" ht="20.100000000000001" customHeight="1">
      <c r="A125" s="41"/>
      <c r="B125" s="151" t="s">
        <v>280</v>
      </c>
      <c r="C125" s="169"/>
      <c r="D125" s="169"/>
      <c r="E125" s="183"/>
      <c r="F125" s="45"/>
      <c r="G125" s="38">
        <f t="shared" si="5"/>
        <v>0</v>
      </c>
    </row>
    <row r="126" spans="1:8" ht="20.100000000000001" customHeight="1">
      <c r="A126" s="41">
        <v>1</v>
      </c>
      <c r="B126" s="149" t="s">
        <v>20</v>
      </c>
      <c r="C126" s="167" t="s">
        <v>250</v>
      </c>
      <c r="D126" s="64" t="s">
        <v>161</v>
      </c>
      <c r="E126" s="177">
        <v>52776.63</v>
      </c>
      <c r="F126" s="60">
        <f>179914.45</f>
        <v>179914.45</v>
      </c>
      <c r="G126" s="38">
        <f t="shared" si="5"/>
        <v>127137.82</v>
      </c>
    </row>
    <row r="127" spans="1:8" ht="20.100000000000001" customHeight="1">
      <c r="A127" s="41">
        <v>2</v>
      </c>
      <c r="B127" s="149" t="s">
        <v>100</v>
      </c>
      <c r="C127" s="167" t="s">
        <v>268</v>
      </c>
      <c r="D127" s="64" t="s">
        <v>160</v>
      </c>
      <c r="E127" s="177">
        <v>21618.09</v>
      </c>
      <c r="F127" s="60">
        <f>101827.95</f>
        <v>101827.95</v>
      </c>
      <c r="G127" s="38">
        <f t="shared" si="5"/>
        <v>80209.86</v>
      </c>
    </row>
    <row r="128" spans="1:8" ht="20.100000000000001" customHeight="1">
      <c r="A128" s="41">
        <v>3</v>
      </c>
      <c r="B128" s="149" t="s">
        <v>153</v>
      </c>
      <c r="C128" s="167" t="s">
        <v>376</v>
      </c>
      <c r="D128" s="64" t="s">
        <v>75</v>
      </c>
      <c r="E128" s="177">
        <v>15548.33</v>
      </c>
      <c r="F128" s="60">
        <f>64436.1</f>
        <v>64436.1</v>
      </c>
      <c r="G128" s="38">
        <f t="shared" si="5"/>
        <v>48887.77</v>
      </c>
    </row>
    <row r="129" spans="1:8" ht="20.100000000000001" customHeight="1">
      <c r="A129" s="41">
        <v>4</v>
      </c>
      <c r="B129" s="141" t="s">
        <v>142</v>
      </c>
      <c r="C129" s="167" t="s">
        <v>376</v>
      </c>
      <c r="D129" s="64" t="s">
        <v>75</v>
      </c>
      <c r="E129" s="177">
        <v>15548.33</v>
      </c>
      <c r="F129" s="38">
        <f>83636.1</f>
        <v>83636.100000000006</v>
      </c>
      <c r="G129" s="38">
        <f t="shared" si="5"/>
        <v>68087.77</v>
      </c>
    </row>
    <row r="130" spans="1:8" ht="20.100000000000001" customHeight="1">
      <c r="A130" s="41">
        <v>5</v>
      </c>
      <c r="B130" s="144" t="s">
        <v>363</v>
      </c>
      <c r="C130" s="167" t="s">
        <v>376</v>
      </c>
      <c r="D130" s="64" t="s">
        <v>30</v>
      </c>
      <c r="E130" s="177">
        <v>15548.33</v>
      </c>
      <c r="F130" s="60">
        <f>60212.92</f>
        <v>60212.92</v>
      </c>
      <c r="G130" s="38">
        <f t="shared" si="5"/>
        <v>44664.59</v>
      </c>
    </row>
    <row r="131" spans="1:8" ht="20.100000000000001" customHeight="1">
      <c r="A131" s="41">
        <v>6</v>
      </c>
      <c r="B131" s="149" t="s">
        <v>108</v>
      </c>
      <c r="C131" s="167" t="s">
        <v>383</v>
      </c>
      <c r="D131" s="64" t="s">
        <v>170</v>
      </c>
      <c r="E131" s="177">
        <v>7709.76</v>
      </c>
      <c r="F131" s="60">
        <f>40788.51</f>
        <v>40788.51</v>
      </c>
      <c r="G131" s="38">
        <f t="shared" si="5"/>
        <v>33078.75</v>
      </c>
    </row>
    <row r="132" spans="1:8" ht="20.100000000000001" customHeight="1">
      <c r="A132" s="41">
        <v>7</v>
      </c>
      <c r="B132" s="149" t="s">
        <v>178</v>
      </c>
      <c r="C132" s="167" t="s">
        <v>382</v>
      </c>
      <c r="D132" s="64" t="s">
        <v>163</v>
      </c>
      <c r="E132" s="177">
        <v>7709.76</v>
      </c>
      <c r="F132" s="60">
        <f>44518.93</f>
        <v>44518.93</v>
      </c>
      <c r="G132" s="38">
        <f t="shared" si="5"/>
        <v>36809.17</v>
      </c>
    </row>
    <row r="133" spans="1:8" ht="20.100000000000001" customHeight="1">
      <c r="A133" s="41">
        <v>8</v>
      </c>
      <c r="B133" s="149" t="s">
        <v>134</v>
      </c>
      <c r="C133" s="167" t="s">
        <v>384</v>
      </c>
      <c r="D133" s="64" t="s">
        <v>163</v>
      </c>
      <c r="E133" s="177">
        <v>7709.76</v>
      </c>
      <c r="F133" s="60">
        <f>39478.93</f>
        <v>39478.93</v>
      </c>
      <c r="G133" s="38">
        <f t="shared" si="5"/>
        <v>31769.17</v>
      </c>
    </row>
    <row r="134" spans="1:8" ht="20.100000000000001" customHeight="1">
      <c r="A134" s="41">
        <v>9</v>
      </c>
      <c r="B134" s="138" t="s">
        <v>365</v>
      </c>
      <c r="C134" s="167" t="s">
        <v>383</v>
      </c>
      <c r="D134" s="64" t="s">
        <v>413</v>
      </c>
      <c r="E134" s="177">
        <v>7709.76</v>
      </c>
      <c r="F134" s="60">
        <f>38272.44</f>
        <v>38272.44</v>
      </c>
      <c r="G134" s="38">
        <f t="shared" si="5"/>
        <v>30562.68</v>
      </c>
    </row>
    <row r="135" spans="1:8" ht="20.100000000000001" customHeight="1">
      <c r="A135" s="41">
        <v>10</v>
      </c>
      <c r="B135" s="146" t="s">
        <v>445</v>
      </c>
      <c r="C135" s="167" t="s">
        <v>449</v>
      </c>
      <c r="D135" s="170" t="s">
        <v>428</v>
      </c>
      <c r="E135" s="177">
        <v>3369.51</v>
      </c>
      <c r="F135" s="60">
        <f>21640.95</f>
        <v>21640.95</v>
      </c>
      <c r="G135" s="38">
        <f t="shared" si="5"/>
        <v>18271.440000000002</v>
      </c>
    </row>
    <row r="136" spans="1:8" ht="20.100000000000001" customHeight="1">
      <c r="A136" s="41">
        <v>11</v>
      </c>
      <c r="B136" s="138" t="s">
        <v>441</v>
      </c>
      <c r="C136" s="167" t="s">
        <v>442</v>
      </c>
      <c r="D136" s="64" t="s">
        <v>105</v>
      </c>
      <c r="E136" s="177">
        <v>1484.37</v>
      </c>
      <c r="F136" s="60">
        <f>25245.23</f>
        <v>25245.23</v>
      </c>
      <c r="G136" s="38">
        <f t="shared" si="5"/>
        <v>23760.86</v>
      </c>
    </row>
    <row r="137" spans="1:8" ht="20.100000000000001" customHeight="1">
      <c r="A137" s="41"/>
      <c r="B137" s="151" t="s">
        <v>15</v>
      </c>
      <c r="C137" s="172" t="s">
        <v>292</v>
      </c>
      <c r="D137" s="64"/>
      <c r="E137" s="185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00000000000001" customHeight="1">
      <c r="A138" s="41"/>
      <c r="B138" s="140"/>
      <c r="C138" s="172"/>
      <c r="D138" s="64"/>
      <c r="E138" s="177"/>
      <c r="F138" s="45"/>
      <c r="G138" s="38">
        <f t="shared" si="5"/>
        <v>0</v>
      </c>
    </row>
    <row r="139" spans="1:8" ht="20.100000000000001" customHeight="1">
      <c r="A139" s="41"/>
      <c r="B139" s="151" t="s">
        <v>281</v>
      </c>
      <c r="C139" s="167"/>
      <c r="D139" s="64"/>
      <c r="E139" s="177"/>
      <c r="F139" s="60"/>
      <c r="G139" s="38">
        <f t="shared" si="5"/>
        <v>0</v>
      </c>
    </row>
    <row r="140" spans="1:8" ht="20.100000000000001" customHeight="1">
      <c r="A140" s="173">
        <v>1</v>
      </c>
      <c r="B140" s="149" t="s">
        <v>98</v>
      </c>
      <c r="C140" s="167" t="s">
        <v>392</v>
      </c>
      <c r="D140" s="64" t="s">
        <v>161</v>
      </c>
      <c r="E140" s="177">
        <v>52776.63</v>
      </c>
      <c r="F140" s="60"/>
      <c r="G140" s="38">
        <f t="shared" ref="G140:G199" si="12">F140-E140</f>
        <v>-52776.63</v>
      </c>
    </row>
    <row r="141" spans="1:8" ht="20.100000000000001" customHeight="1">
      <c r="A141" s="173">
        <v>2</v>
      </c>
      <c r="B141" s="149" t="s">
        <v>21</v>
      </c>
      <c r="C141" s="167" t="s">
        <v>393</v>
      </c>
      <c r="D141" s="64" t="s">
        <v>161</v>
      </c>
      <c r="E141" s="177">
        <v>52776.63</v>
      </c>
      <c r="F141" s="60">
        <f>161106.81</f>
        <v>161106.81</v>
      </c>
      <c r="G141" s="38">
        <f t="shared" si="12"/>
        <v>108330.18</v>
      </c>
    </row>
    <row r="142" spans="1:8" ht="20.100000000000001" customHeight="1">
      <c r="A142" s="173">
        <v>3</v>
      </c>
      <c r="B142" s="149" t="s">
        <v>107</v>
      </c>
      <c r="C142" s="167" t="s">
        <v>394</v>
      </c>
      <c r="D142" s="64" t="s">
        <v>160</v>
      </c>
      <c r="E142" s="177">
        <v>21618.09</v>
      </c>
      <c r="F142" s="60">
        <f>82627.95</f>
        <v>82627.95</v>
      </c>
      <c r="G142" s="38">
        <f t="shared" si="12"/>
        <v>61009.86</v>
      </c>
    </row>
    <row r="143" spans="1:8" ht="20.100000000000001" customHeight="1">
      <c r="A143" s="173">
        <v>4</v>
      </c>
      <c r="B143" s="153" t="s">
        <v>183</v>
      </c>
      <c r="C143" s="21" t="s">
        <v>379</v>
      </c>
      <c r="D143" s="25" t="s">
        <v>75</v>
      </c>
      <c r="E143" s="179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00000000000001" customHeight="1">
      <c r="A144" s="173">
        <v>5</v>
      </c>
      <c r="B144" s="153" t="s">
        <v>378</v>
      </c>
      <c r="C144" s="21" t="s">
        <v>380</v>
      </c>
      <c r="D144" s="25" t="s">
        <v>75</v>
      </c>
      <c r="E144" s="179">
        <v>15548.33</v>
      </c>
      <c r="F144" s="24"/>
      <c r="G144" s="38">
        <f t="shared" si="12"/>
        <v>-15548.33</v>
      </c>
    </row>
    <row r="145" spans="1:7" ht="20.100000000000001" customHeight="1">
      <c r="A145" s="173">
        <v>6</v>
      </c>
      <c r="B145" s="149" t="s">
        <v>106</v>
      </c>
      <c r="C145" s="167" t="s">
        <v>381</v>
      </c>
      <c r="D145" s="64" t="s">
        <v>162</v>
      </c>
      <c r="E145" s="177">
        <v>7709.76</v>
      </c>
      <c r="F145" s="60">
        <f>43380.1</f>
        <v>43380.1</v>
      </c>
      <c r="G145" s="38">
        <f t="shared" si="12"/>
        <v>35670.339999999997</v>
      </c>
    </row>
    <row r="146" spans="1:7" ht="20.100000000000001" customHeight="1">
      <c r="A146" s="173">
        <v>7</v>
      </c>
      <c r="B146" s="149" t="s">
        <v>7</v>
      </c>
      <c r="C146" s="41" t="s">
        <v>385</v>
      </c>
      <c r="D146" s="64" t="s">
        <v>162</v>
      </c>
      <c r="E146" s="177">
        <v>7709.76</v>
      </c>
      <c r="F146" s="60">
        <f>43380.1</f>
        <v>43380.1</v>
      </c>
      <c r="G146" s="38">
        <f t="shared" si="12"/>
        <v>35670.339999999997</v>
      </c>
    </row>
    <row r="147" spans="1:7" ht="20.100000000000001" customHeight="1">
      <c r="A147" s="173">
        <v>8</v>
      </c>
      <c r="B147" s="149" t="s">
        <v>124</v>
      </c>
      <c r="C147" s="41" t="s">
        <v>235</v>
      </c>
      <c r="D147" s="64" t="s">
        <v>163</v>
      </c>
      <c r="E147" s="177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00000000000001" customHeight="1">
      <c r="A148" s="173">
        <v>9</v>
      </c>
      <c r="B148" s="146" t="s">
        <v>102</v>
      </c>
      <c r="C148" s="167" t="s">
        <v>395</v>
      </c>
      <c r="D148" s="64" t="s">
        <v>415</v>
      </c>
      <c r="E148" s="177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00000000000001" customHeight="1">
      <c r="A149" s="173">
        <v>10</v>
      </c>
      <c r="B149" s="149" t="s">
        <v>103</v>
      </c>
      <c r="C149" s="167" t="s">
        <v>395</v>
      </c>
      <c r="D149" s="64" t="s">
        <v>415</v>
      </c>
      <c r="E149" s="177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00000000000001" customHeight="1">
      <c r="A150" s="173">
        <v>11</v>
      </c>
      <c r="B150" s="146" t="s">
        <v>151</v>
      </c>
      <c r="C150" s="41" t="s">
        <v>235</v>
      </c>
      <c r="D150" s="64" t="s">
        <v>415</v>
      </c>
      <c r="E150" s="177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00000000000001" customHeight="1">
      <c r="A151" s="173">
        <v>12</v>
      </c>
      <c r="B151" s="146" t="s">
        <v>238</v>
      </c>
      <c r="C151" s="41" t="s">
        <v>239</v>
      </c>
      <c r="D151" s="64" t="s">
        <v>27</v>
      </c>
      <c r="E151" s="177">
        <v>3369.51</v>
      </c>
      <c r="F151" s="60">
        <f>27873.08</f>
        <v>27873.08</v>
      </c>
      <c r="G151" s="38">
        <f t="shared" si="12"/>
        <v>24503.57</v>
      </c>
    </row>
    <row r="152" spans="1:7" ht="20.100000000000001" customHeight="1">
      <c r="A152" s="173">
        <v>13</v>
      </c>
      <c r="B152" s="146" t="s">
        <v>53</v>
      </c>
      <c r="C152" s="167" t="s">
        <v>300</v>
      </c>
      <c r="D152" s="64" t="s">
        <v>164</v>
      </c>
      <c r="E152" s="177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00000000000001" customHeight="1">
      <c r="A153" s="173">
        <v>14</v>
      </c>
      <c r="B153" s="146" t="s">
        <v>179</v>
      </c>
      <c r="C153" s="167" t="s">
        <v>131</v>
      </c>
      <c r="D153" s="64" t="s">
        <v>27</v>
      </c>
      <c r="E153" s="177">
        <v>3369.51</v>
      </c>
      <c r="F153" s="60">
        <f>27794.21</f>
        <v>27794.21</v>
      </c>
      <c r="G153" s="38">
        <f t="shared" si="12"/>
        <v>24424.699999999997</v>
      </c>
    </row>
    <row r="154" spans="1:7" ht="20.100000000000001" customHeight="1">
      <c r="A154" s="173">
        <v>15</v>
      </c>
      <c r="B154" s="146" t="s">
        <v>208</v>
      </c>
      <c r="C154" s="41" t="s">
        <v>239</v>
      </c>
      <c r="D154" s="64" t="s">
        <v>207</v>
      </c>
      <c r="E154" s="177">
        <v>1484.37</v>
      </c>
      <c r="F154" s="60">
        <f>26339.08</f>
        <v>26339.08</v>
      </c>
      <c r="G154" s="38">
        <f t="shared" si="12"/>
        <v>24854.710000000003</v>
      </c>
    </row>
    <row r="155" spans="1:7" ht="20.100000000000001" customHeight="1">
      <c r="A155" s="173">
        <v>16</v>
      </c>
      <c r="B155" s="146" t="s">
        <v>210</v>
      </c>
      <c r="C155" s="41" t="s">
        <v>239</v>
      </c>
      <c r="D155" s="64" t="s">
        <v>207</v>
      </c>
      <c r="E155" s="177">
        <v>1484.37</v>
      </c>
      <c r="F155" s="60">
        <f>26264.39</f>
        <v>26264.39</v>
      </c>
      <c r="G155" s="38">
        <f t="shared" si="12"/>
        <v>24780.02</v>
      </c>
    </row>
    <row r="156" spans="1:7" ht="20.100000000000001" customHeight="1">
      <c r="A156" s="173">
        <v>17</v>
      </c>
      <c r="B156" s="146" t="s">
        <v>212</v>
      </c>
      <c r="C156" s="41" t="s">
        <v>239</v>
      </c>
      <c r="D156" s="64" t="s">
        <v>207</v>
      </c>
      <c r="E156" s="177">
        <v>1484.37</v>
      </c>
      <c r="F156" s="60">
        <f>26339.08</f>
        <v>26339.08</v>
      </c>
      <c r="G156" s="38">
        <f t="shared" si="12"/>
        <v>24854.710000000003</v>
      </c>
    </row>
    <row r="157" spans="1:7" ht="20.100000000000001" customHeight="1">
      <c r="A157" s="173">
        <v>18</v>
      </c>
      <c r="B157" s="146" t="s">
        <v>425</v>
      </c>
      <c r="C157" s="167" t="s">
        <v>430</v>
      </c>
      <c r="D157" s="64" t="s">
        <v>104</v>
      </c>
      <c r="E157" s="177">
        <v>3369.51</v>
      </c>
      <c r="F157" s="60">
        <f>25571.82</f>
        <v>25571.82</v>
      </c>
      <c r="G157" s="38">
        <f t="shared" si="12"/>
        <v>22202.309999999998</v>
      </c>
    </row>
    <row r="158" spans="1:7" ht="20.100000000000001" customHeight="1">
      <c r="A158" s="173">
        <v>19</v>
      </c>
      <c r="B158" s="146" t="s">
        <v>439</v>
      </c>
      <c r="C158" s="167" t="s">
        <v>440</v>
      </c>
      <c r="D158" s="170" t="s">
        <v>428</v>
      </c>
      <c r="E158" s="177">
        <v>3369.51</v>
      </c>
      <c r="F158" s="60">
        <f>21640.95</f>
        <v>21640.95</v>
      </c>
      <c r="G158" s="38">
        <f t="shared" si="12"/>
        <v>18271.440000000002</v>
      </c>
    </row>
    <row r="159" spans="1:7" ht="20.100000000000001" customHeight="1">
      <c r="A159" s="173">
        <v>20</v>
      </c>
      <c r="B159" s="146" t="s">
        <v>230</v>
      </c>
      <c r="C159" s="167" t="s">
        <v>131</v>
      </c>
      <c r="D159" s="64" t="s">
        <v>267</v>
      </c>
      <c r="E159" s="177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00000000000001" customHeight="1">
      <c r="A160" s="173">
        <v>21</v>
      </c>
      <c r="B160" s="146" t="s">
        <v>57</v>
      </c>
      <c r="C160" s="167" t="s">
        <v>236</v>
      </c>
      <c r="D160" s="64" t="s">
        <v>267</v>
      </c>
      <c r="E160" s="177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00000000000001" customHeight="1">
      <c r="A161" s="173">
        <v>22</v>
      </c>
      <c r="B161" s="146" t="s">
        <v>251</v>
      </c>
      <c r="C161" s="167" t="s">
        <v>131</v>
      </c>
      <c r="D161" s="64" t="s">
        <v>267</v>
      </c>
      <c r="E161" s="177">
        <v>1484.37</v>
      </c>
      <c r="F161" s="60">
        <f>18051.63</f>
        <v>18051.63</v>
      </c>
      <c r="G161" s="38">
        <f t="shared" si="12"/>
        <v>16567.260000000002</v>
      </c>
    </row>
    <row r="162" spans="1:7" ht="20.100000000000001" customHeight="1">
      <c r="A162" s="173">
        <v>23</v>
      </c>
      <c r="B162" s="146" t="s">
        <v>241</v>
      </c>
      <c r="C162" s="167" t="s">
        <v>348</v>
      </c>
      <c r="D162" s="64" t="s">
        <v>267</v>
      </c>
      <c r="E162" s="177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00000000000001" customHeight="1">
      <c r="A163" s="173">
        <v>24</v>
      </c>
      <c r="B163" s="138" t="s">
        <v>289</v>
      </c>
      <c r="C163" s="167" t="s">
        <v>290</v>
      </c>
      <c r="D163" s="64" t="s">
        <v>295</v>
      </c>
      <c r="E163" s="177">
        <v>3369.51</v>
      </c>
      <c r="F163" s="60">
        <f>17572.89</f>
        <v>17572.89</v>
      </c>
      <c r="G163" s="38">
        <f t="shared" si="12"/>
        <v>14203.38</v>
      </c>
    </row>
    <row r="164" spans="1:7" ht="20.100000000000001" customHeight="1">
      <c r="A164" s="173">
        <v>25</v>
      </c>
      <c r="B164" s="138" t="s">
        <v>359</v>
      </c>
      <c r="C164" s="167" t="s">
        <v>131</v>
      </c>
      <c r="D164" s="64" t="s">
        <v>105</v>
      </c>
      <c r="E164" s="177">
        <v>1484.37</v>
      </c>
      <c r="F164" s="60">
        <f>16512.68</f>
        <v>16512.68</v>
      </c>
      <c r="G164" s="38">
        <f t="shared" si="12"/>
        <v>15028.310000000001</v>
      </c>
    </row>
    <row r="165" spans="1:7" ht="20.100000000000001" customHeight="1">
      <c r="A165" s="173">
        <v>26</v>
      </c>
      <c r="B165" s="138" t="s">
        <v>407</v>
      </c>
      <c r="C165" s="167" t="s">
        <v>131</v>
      </c>
      <c r="D165" s="64" t="s">
        <v>105</v>
      </c>
      <c r="E165" s="177">
        <v>1484.37</v>
      </c>
      <c r="F165" s="60">
        <f>16512.68</f>
        <v>16512.68</v>
      </c>
      <c r="G165" s="38">
        <f t="shared" si="12"/>
        <v>15028.310000000001</v>
      </c>
    </row>
    <row r="166" spans="1:7" ht="20.100000000000001" customHeight="1">
      <c r="A166" s="173">
        <v>27</v>
      </c>
      <c r="B166" s="138" t="s">
        <v>426</v>
      </c>
      <c r="C166" s="167" t="s">
        <v>290</v>
      </c>
      <c r="D166" s="64" t="s">
        <v>105</v>
      </c>
      <c r="E166" s="177">
        <v>1484.37</v>
      </c>
      <c r="F166" s="60">
        <f>16512.68</f>
        <v>16512.68</v>
      </c>
      <c r="G166" s="38">
        <f t="shared" si="12"/>
        <v>15028.310000000001</v>
      </c>
    </row>
    <row r="167" spans="1:7" ht="20.100000000000001" customHeight="1">
      <c r="A167" s="173">
        <v>28</v>
      </c>
      <c r="B167" s="138" t="s">
        <v>443</v>
      </c>
      <c r="C167" s="167" t="s">
        <v>444</v>
      </c>
      <c r="D167" s="64" t="s">
        <v>105</v>
      </c>
      <c r="E167" s="177">
        <v>1484.37</v>
      </c>
      <c r="F167" s="60">
        <f>16512.68</f>
        <v>16512.68</v>
      </c>
      <c r="G167" s="38">
        <f t="shared" si="12"/>
        <v>15028.310000000001</v>
      </c>
    </row>
    <row r="168" spans="1:7" ht="20.100000000000001" customHeight="1">
      <c r="A168" s="173">
        <v>29</v>
      </c>
      <c r="B168" s="138" t="s">
        <v>447</v>
      </c>
      <c r="C168" s="167" t="s">
        <v>448</v>
      </c>
      <c r="D168" s="64" t="s">
        <v>105</v>
      </c>
      <c r="E168" s="177">
        <v>1484.37</v>
      </c>
      <c r="F168" s="60">
        <f>16512.68</f>
        <v>16512.68</v>
      </c>
      <c r="G168" s="38">
        <f t="shared" si="12"/>
        <v>15028.310000000001</v>
      </c>
    </row>
    <row r="169" spans="1:7" ht="20.100000000000001" customHeight="1">
      <c r="A169" s="173">
        <v>30</v>
      </c>
      <c r="B169" s="149" t="s">
        <v>22</v>
      </c>
      <c r="C169" s="167" t="s">
        <v>302</v>
      </c>
      <c r="D169" s="64" t="s">
        <v>416</v>
      </c>
      <c r="E169" s="177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00000000000001" customHeight="1">
      <c r="A170" s="173">
        <v>31</v>
      </c>
      <c r="B170" s="149" t="s">
        <v>14</v>
      </c>
      <c r="C170" s="167" t="s">
        <v>302</v>
      </c>
      <c r="D170" s="64" t="s">
        <v>416</v>
      </c>
      <c r="E170" s="177">
        <v>236.04</v>
      </c>
      <c r="F170" s="38">
        <f>9504.2</f>
        <v>9504.2000000000007</v>
      </c>
      <c r="G170" s="38">
        <f t="shared" si="12"/>
        <v>9268.16</v>
      </c>
    </row>
    <row r="171" spans="1:7" ht="20.100000000000001" customHeight="1">
      <c r="A171" s="173">
        <v>32</v>
      </c>
      <c r="B171" s="149" t="s">
        <v>23</v>
      </c>
      <c r="C171" s="167" t="s">
        <v>302</v>
      </c>
      <c r="D171" s="64" t="s">
        <v>416</v>
      </c>
      <c r="E171" s="177">
        <v>236.04</v>
      </c>
      <c r="F171" s="38">
        <f>9144.2</f>
        <v>9144.2000000000007</v>
      </c>
      <c r="G171" s="38">
        <f t="shared" si="12"/>
        <v>8908.16</v>
      </c>
    </row>
    <row r="172" spans="1:7" ht="20.100000000000001" customHeight="1">
      <c r="A172" s="173">
        <v>33</v>
      </c>
      <c r="B172" s="149" t="s">
        <v>24</v>
      </c>
      <c r="C172" s="167" t="s">
        <v>302</v>
      </c>
      <c r="D172" s="64" t="s">
        <v>416</v>
      </c>
      <c r="E172" s="177">
        <v>236.04</v>
      </c>
      <c r="F172" s="38">
        <f>9144.2</f>
        <v>9144.2000000000007</v>
      </c>
      <c r="G172" s="38">
        <f t="shared" si="12"/>
        <v>8908.16</v>
      </c>
    </row>
    <row r="173" spans="1:7" ht="20.100000000000001" customHeight="1">
      <c r="A173" s="173">
        <v>34</v>
      </c>
      <c r="B173" s="149" t="s">
        <v>25</v>
      </c>
      <c r="C173" s="167" t="s">
        <v>302</v>
      </c>
      <c r="D173" s="64" t="s">
        <v>416</v>
      </c>
      <c r="E173" s="177">
        <v>236.04</v>
      </c>
      <c r="F173" s="38">
        <f>9144.2</f>
        <v>9144.2000000000007</v>
      </c>
      <c r="G173" s="38">
        <f t="shared" si="12"/>
        <v>8908.16</v>
      </c>
    </row>
    <row r="174" spans="1:7" ht="20.100000000000001" customHeight="1">
      <c r="A174" s="173">
        <v>35</v>
      </c>
      <c r="B174" s="149" t="s">
        <v>39</v>
      </c>
      <c r="C174" s="167" t="s">
        <v>302</v>
      </c>
      <c r="D174" s="64" t="s">
        <v>416</v>
      </c>
      <c r="E174" s="177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00000000000001" customHeight="1">
      <c r="A175" s="173">
        <v>36</v>
      </c>
      <c r="B175" s="149" t="s">
        <v>40</v>
      </c>
      <c r="C175" s="167" t="s">
        <v>302</v>
      </c>
      <c r="D175" s="64" t="s">
        <v>416</v>
      </c>
      <c r="E175" s="177">
        <v>236.04</v>
      </c>
      <c r="F175" s="38">
        <f>9144.2</f>
        <v>9144.2000000000007</v>
      </c>
      <c r="G175" s="38">
        <f t="shared" si="12"/>
        <v>8908.16</v>
      </c>
    </row>
    <row r="176" spans="1:7" ht="20.100000000000001" customHeight="1">
      <c r="A176" s="173">
        <v>37</v>
      </c>
      <c r="B176" s="149" t="s">
        <v>127</v>
      </c>
      <c r="C176" s="167" t="s">
        <v>167</v>
      </c>
      <c r="D176" s="64" t="s">
        <v>266</v>
      </c>
      <c r="E176" s="177">
        <v>236.04</v>
      </c>
      <c r="F176" s="38">
        <f>4692.33</f>
        <v>4692.33</v>
      </c>
      <c r="G176" s="38">
        <f t="shared" si="12"/>
        <v>4456.29</v>
      </c>
    </row>
    <row r="177" spans="1:7" ht="20.100000000000001" customHeight="1">
      <c r="A177" s="173">
        <v>38</v>
      </c>
      <c r="B177" s="149" t="s">
        <v>128</v>
      </c>
      <c r="C177" s="167" t="s">
        <v>167</v>
      </c>
      <c r="D177" s="64" t="s">
        <v>266</v>
      </c>
      <c r="E177" s="177">
        <v>236.04</v>
      </c>
      <c r="F177" s="38">
        <f>4377.04</f>
        <v>4377.04</v>
      </c>
      <c r="G177" s="38">
        <f t="shared" si="12"/>
        <v>4141</v>
      </c>
    </row>
    <row r="178" spans="1:7" ht="20.100000000000001" customHeight="1">
      <c r="A178" s="173">
        <v>39</v>
      </c>
      <c r="B178" s="149" t="s">
        <v>129</v>
      </c>
      <c r="C178" s="167" t="s">
        <v>167</v>
      </c>
      <c r="D178" s="64" t="s">
        <v>266</v>
      </c>
      <c r="E178" s="177">
        <v>236.04</v>
      </c>
      <c r="F178" s="38">
        <f>4377.04</f>
        <v>4377.04</v>
      </c>
      <c r="G178" s="38">
        <f t="shared" si="12"/>
        <v>4141</v>
      </c>
    </row>
    <row r="179" spans="1:7" ht="20.100000000000001" customHeight="1">
      <c r="A179" s="173">
        <v>40</v>
      </c>
      <c r="B179" s="141" t="s">
        <v>136</v>
      </c>
      <c r="C179" s="167" t="s">
        <v>167</v>
      </c>
      <c r="D179" s="64" t="s">
        <v>266</v>
      </c>
      <c r="E179" s="177">
        <v>236.04</v>
      </c>
      <c r="F179" s="38">
        <f>4692.33</f>
        <v>4692.33</v>
      </c>
      <c r="G179" s="38">
        <f t="shared" si="12"/>
        <v>4456.29</v>
      </c>
    </row>
    <row r="180" spans="1:7" ht="20.100000000000001" customHeight="1">
      <c r="A180" s="173">
        <v>41</v>
      </c>
      <c r="B180" s="146" t="s">
        <v>140</v>
      </c>
      <c r="C180" s="167" t="s">
        <v>167</v>
      </c>
      <c r="D180" s="64" t="s">
        <v>266</v>
      </c>
      <c r="E180" s="177">
        <v>236.04</v>
      </c>
      <c r="F180" s="38">
        <f>4377.04</f>
        <v>4377.04</v>
      </c>
      <c r="G180" s="38">
        <f t="shared" si="12"/>
        <v>4141</v>
      </c>
    </row>
    <row r="181" spans="1:7" ht="20.100000000000001" customHeight="1">
      <c r="A181" s="173">
        <v>42</v>
      </c>
      <c r="B181" s="145" t="s">
        <v>152</v>
      </c>
      <c r="C181" s="167" t="s">
        <v>167</v>
      </c>
      <c r="D181" s="64" t="s">
        <v>266</v>
      </c>
      <c r="E181" s="177">
        <v>236.04</v>
      </c>
      <c r="F181" s="38">
        <f>4377.04</f>
        <v>4377.04</v>
      </c>
      <c r="G181" s="38">
        <f t="shared" si="12"/>
        <v>4141</v>
      </c>
    </row>
    <row r="182" spans="1:7" ht="20.100000000000001" customHeight="1">
      <c r="A182" s="173">
        <v>43</v>
      </c>
      <c r="B182" s="145" t="s">
        <v>132</v>
      </c>
      <c r="C182" s="167" t="s">
        <v>167</v>
      </c>
      <c r="D182" s="64" t="s">
        <v>266</v>
      </c>
      <c r="E182" s="177">
        <v>236.04</v>
      </c>
      <c r="F182" s="38">
        <f>4692.33</f>
        <v>4692.33</v>
      </c>
      <c r="G182" s="38">
        <f t="shared" si="12"/>
        <v>4456.29</v>
      </c>
    </row>
    <row r="183" spans="1:7" ht="20.100000000000001" customHeight="1">
      <c r="A183" s="173">
        <v>44</v>
      </c>
      <c r="B183" s="146" t="s">
        <v>231</v>
      </c>
      <c r="C183" s="167" t="s">
        <v>167</v>
      </c>
      <c r="D183" s="64" t="s">
        <v>177</v>
      </c>
      <c r="E183" s="177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00000000000001" customHeight="1">
      <c r="A184" s="173">
        <v>45</v>
      </c>
      <c r="B184" s="146" t="s">
        <v>246</v>
      </c>
      <c r="C184" s="167" t="s">
        <v>167</v>
      </c>
      <c r="D184" s="64" t="s">
        <v>177</v>
      </c>
      <c r="E184" s="177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00000000000001" customHeight="1">
      <c r="A185" s="173">
        <v>46</v>
      </c>
      <c r="B185" s="145" t="s">
        <v>166</v>
      </c>
      <c r="C185" s="167" t="s">
        <v>167</v>
      </c>
      <c r="D185" s="64" t="s">
        <v>263</v>
      </c>
      <c r="E185" s="177">
        <v>236.04</v>
      </c>
      <c r="F185" s="38">
        <f>4365.33</f>
        <v>4365.33</v>
      </c>
      <c r="G185" s="38">
        <f t="shared" si="12"/>
        <v>4129.29</v>
      </c>
    </row>
    <row r="186" spans="1:7" ht="20.100000000000001" customHeight="1">
      <c r="A186" s="173">
        <v>47</v>
      </c>
      <c r="B186" s="146" t="s">
        <v>204</v>
      </c>
      <c r="C186" s="167" t="s">
        <v>167</v>
      </c>
      <c r="D186" s="64" t="s">
        <v>301</v>
      </c>
      <c r="E186" s="177">
        <v>236.04</v>
      </c>
      <c r="F186" s="38">
        <f>4089.72</f>
        <v>4089.72</v>
      </c>
      <c r="G186" s="38">
        <f t="shared" si="12"/>
        <v>3853.68</v>
      </c>
    </row>
    <row r="187" spans="1:7" ht="20.100000000000001" customHeight="1">
      <c r="A187" s="173">
        <v>48</v>
      </c>
      <c r="B187" s="146" t="s">
        <v>209</v>
      </c>
      <c r="C187" s="167" t="s">
        <v>13</v>
      </c>
      <c r="D187" s="64" t="s">
        <v>414</v>
      </c>
      <c r="E187" s="177">
        <v>236.04</v>
      </c>
      <c r="F187" s="38">
        <f>3951.8</f>
        <v>3951.8</v>
      </c>
      <c r="G187" s="38">
        <f t="shared" si="12"/>
        <v>3715.76</v>
      </c>
    </row>
    <row r="188" spans="1:7" ht="20.100000000000001" customHeight="1">
      <c r="A188" s="173">
        <v>49</v>
      </c>
      <c r="B188" s="146" t="s">
        <v>218</v>
      </c>
      <c r="C188" s="167" t="s">
        <v>13</v>
      </c>
      <c r="D188" s="64" t="s">
        <v>414</v>
      </c>
      <c r="E188" s="177">
        <v>236.04</v>
      </c>
      <c r="F188" s="38">
        <f>3687.8</f>
        <v>3687.8</v>
      </c>
      <c r="G188" s="38">
        <f t="shared" si="12"/>
        <v>3451.76</v>
      </c>
    </row>
    <row r="189" spans="1:7" ht="20.100000000000001" customHeight="1">
      <c r="A189" s="173">
        <v>50</v>
      </c>
      <c r="B189" s="146" t="s">
        <v>219</v>
      </c>
      <c r="C189" s="167" t="s">
        <v>13</v>
      </c>
      <c r="D189" s="64" t="s">
        <v>414</v>
      </c>
      <c r="E189" s="177">
        <v>236.04</v>
      </c>
      <c r="F189" s="38">
        <f>3951.8</f>
        <v>3951.8</v>
      </c>
      <c r="G189" s="38">
        <f t="shared" si="12"/>
        <v>3715.76</v>
      </c>
    </row>
    <row r="190" spans="1:7" ht="20.100000000000001" customHeight="1">
      <c r="A190" s="173">
        <v>51</v>
      </c>
      <c r="B190" s="146" t="s">
        <v>211</v>
      </c>
      <c r="C190" s="167" t="s">
        <v>13</v>
      </c>
      <c r="D190" s="64" t="s">
        <v>414</v>
      </c>
      <c r="E190" s="177">
        <v>236.04</v>
      </c>
      <c r="F190" s="38">
        <f>3687.8</f>
        <v>3687.8</v>
      </c>
      <c r="G190" s="38">
        <f t="shared" si="12"/>
        <v>3451.76</v>
      </c>
    </row>
    <row r="191" spans="1:7" ht="20.100000000000001" customHeight="1">
      <c r="A191" s="173">
        <v>52</v>
      </c>
      <c r="B191" s="146" t="s">
        <v>213</v>
      </c>
      <c r="C191" s="167" t="s">
        <v>13</v>
      </c>
      <c r="D191" s="64" t="s">
        <v>414</v>
      </c>
      <c r="E191" s="177">
        <v>236.04</v>
      </c>
      <c r="F191" s="38">
        <f>3951.8</f>
        <v>3951.8</v>
      </c>
      <c r="G191" s="38">
        <f t="shared" si="12"/>
        <v>3715.76</v>
      </c>
    </row>
    <row r="192" spans="1:7" ht="20.100000000000001" customHeight="1">
      <c r="A192" s="173">
        <v>53</v>
      </c>
      <c r="B192" s="145" t="s">
        <v>342</v>
      </c>
      <c r="C192" s="167" t="s">
        <v>13</v>
      </c>
      <c r="D192" s="64" t="s">
        <v>262</v>
      </c>
      <c r="E192" s="177">
        <v>236.04</v>
      </c>
      <c r="F192" s="38">
        <f>3687.8</f>
        <v>3687.8</v>
      </c>
      <c r="G192" s="38">
        <f t="shared" si="12"/>
        <v>3451.76</v>
      </c>
    </row>
    <row r="193" spans="1:8" ht="20.100000000000001" customHeight="1">
      <c r="A193" s="173">
        <v>54</v>
      </c>
      <c r="B193" s="145" t="s">
        <v>405</v>
      </c>
      <c r="C193" s="167" t="s">
        <v>13</v>
      </c>
      <c r="D193" s="64" t="s">
        <v>262</v>
      </c>
      <c r="E193" s="177">
        <v>236.04</v>
      </c>
      <c r="F193" s="38">
        <f>3951.8</f>
        <v>3951.8</v>
      </c>
      <c r="G193" s="38">
        <f t="shared" si="12"/>
        <v>3715.76</v>
      </c>
    </row>
    <row r="194" spans="1:8" ht="20.100000000000001" customHeight="1">
      <c r="A194" s="173">
        <v>55</v>
      </c>
      <c r="B194" s="149" t="s">
        <v>232</v>
      </c>
      <c r="C194" s="167" t="s">
        <v>13</v>
      </c>
      <c r="D194" s="64" t="s">
        <v>28</v>
      </c>
      <c r="E194" s="177">
        <v>236.04</v>
      </c>
      <c r="F194" s="38">
        <f>3447.66</f>
        <v>3447.66</v>
      </c>
      <c r="G194" s="38">
        <f t="shared" si="12"/>
        <v>3211.62</v>
      </c>
    </row>
    <row r="195" spans="1:8" ht="20.100000000000001" customHeight="1">
      <c r="A195" s="173">
        <v>56</v>
      </c>
      <c r="B195" s="149" t="s">
        <v>233</v>
      </c>
      <c r="C195" s="167" t="s">
        <v>13</v>
      </c>
      <c r="D195" s="64" t="s">
        <v>28</v>
      </c>
      <c r="E195" s="177">
        <v>236.04</v>
      </c>
      <c r="F195" s="38">
        <f>3447.66</f>
        <v>3447.66</v>
      </c>
      <c r="G195" s="38">
        <f t="shared" si="12"/>
        <v>3211.62</v>
      </c>
    </row>
    <row r="196" spans="1:8" ht="20.100000000000001" customHeight="1">
      <c r="A196" s="173">
        <v>57</v>
      </c>
      <c r="B196" s="145" t="s">
        <v>279</v>
      </c>
      <c r="C196" s="167" t="s">
        <v>13</v>
      </c>
      <c r="D196" s="64" t="s">
        <v>28</v>
      </c>
      <c r="E196" s="177">
        <v>236.04</v>
      </c>
      <c r="F196" s="38">
        <f>3183.66</f>
        <v>3183.66</v>
      </c>
      <c r="G196" s="38">
        <f t="shared" si="12"/>
        <v>2947.62</v>
      </c>
    </row>
    <row r="197" spans="1:8" ht="20.100000000000001" customHeight="1">
      <c r="A197" s="173">
        <v>58</v>
      </c>
      <c r="B197" s="145" t="s">
        <v>403</v>
      </c>
      <c r="C197" s="167" t="s">
        <v>13</v>
      </c>
      <c r="D197" s="64" t="s">
        <v>150</v>
      </c>
      <c r="E197" s="177">
        <v>236.04</v>
      </c>
      <c r="F197" s="38">
        <f>2972.91</f>
        <v>2972.91</v>
      </c>
      <c r="G197" s="38">
        <f t="shared" si="12"/>
        <v>2736.87</v>
      </c>
    </row>
    <row r="198" spans="1:8" ht="20.100000000000001" customHeight="1">
      <c r="A198" s="173"/>
      <c r="B198" s="69" t="s">
        <v>15</v>
      </c>
      <c r="C198" s="49" t="s">
        <v>446</v>
      </c>
      <c r="D198" s="39"/>
      <c r="E198" s="186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00000000000001" customHeight="1">
      <c r="A199" s="33"/>
      <c r="B199" s="166" t="s">
        <v>8</v>
      </c>
      <c r="C199" s="70">
        <f>C43+C48+C63+C68+C84+C91+C106+C113+C123+C137+C198</f>
        <v>157</v>
      </c>
      <c r="D199" s="162"/>
      <c r="E199" s="185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00000000000001" customHeight="1">
      <c r="A200" s="33"/>
      <c r="B200" s="165"/>
      <c r="C200" s="166"/>
      <c r="D200" s="165"/>
      <c r="E200" s="165"/>
      <c r="F200" s="68"/>
      <c r="G200" s="68"/>
    </row>
    <row r="201" spans="1:8" ht="20.100000000000001" customHeight="1">
      <c r="A201" s="33"/>
      <c r="B201" s="165"/>
      <c r="C201" s="356" t="s">
        <v>9</v>
      </c>
      <c r="D201" s="356"/>
      <c r="E201" s="163"/>
      <c r="F201" s="68"/>
      <c r="G201" s="68"/>
    </row>
    <row r="202" spans="1:8" ht="20.100000000000001" customHeight="1">
      <c r="A202" s="33"/>
      <c r="B202" s="165"/>
      <c r="C202" s="356"/>
      <c r="D202" s="356"/>
      <c r="E202" s="163"/>
      <c r="F202" s="68"/>
      <c r="G202" s="68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Q10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00000000000001" customHeight="1">
      <c r="A3" s="34"/>
      <c r="B3" s="354" t="s">
        <v>409</v>
      </c>
      <c r="C3" s="354"/>
      <c r="D3" s="354"/>
      <c r="E3" s="354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00000000000001" customHeight="1">
      <c r="A5" s="34"/>
      <c r="B5" s="354" t="s">
        <v>0</v>
      </c>
      <c r="C5" s="354"/>
      <c r="D5" s="115"/>
      <c r="E5" s="11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355"/>
      <c r="V5" s="355"/>
      <c r="W5" s="355"/>
      <c r="X5" s="355"/>
      <c r="Y5" s="355"/>
      <c r="Z5" s="355"/>
      <c r="AA5" s="115"/>
      <c r="AB5" s="115"/>
    </row>
    <row r="6" spans="1:33" ht="35.450000000000003" customHeight="1">
      <c r="A6" s="41"/>
      <c r="B6" s="357"/>
      <c r="C6" s="357"/>
      <c r="D6" s="122" t="s">
        <v>12</v>
      </c>
      <c r="E6" s="122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3"/>
      <c r="Z6" s="123"/>
      <c r="AA6" s="92"/>
      <c r="AB6" s="92"/>
    </row>
    <row r="7" spans="1:33" ht="48" customHeight="1">
      <c r="A7" s="41"/>
      <c r="B7" s="358"/>
      <c r="C7" s="358"/>
      <c r="D7" s="122"/>
      <c r="E7" s="122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00000000000001" customHeight="1">
      <c r="A8" s="58" t="s">
        <v>143</v>
      </c>
      <c r="B8" s="359" t="s">
        <v>16</v>
      </c>
      <c r="C8" s="359"/>
      <c r="D8" s="69"/>
      <c r="E8" s="69"/>
      <c r="F8" s="59" t="s">
        <v>5</v>
      </c>
      <c r="G8" s="123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00000000000001" customHeight="1">
      <c r="A9" s="128">
        <v>1</v>
      </c>
      <c r="B9" s="365" t="s">
        <v>224</v>
      </c>
      <c r="C9" s="366"/>
      <c r="D9" s="109" t="s">
        <v>119</v>
      </c>
      <c r="E9" s="109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00000000000001" customHeight="1">
      <c r="A10" s="128">
        <v>2</v>
      </c>
      <c r="B10" s="365" t="s">
        <v>154</v>
      </c>
      <c r="C10" s="366"/>
      <c r="D10" s="109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00000000000001" customHeight="1">
      <c r="A11" s="128">
        <v>3</v>
      </c>
      <c r="B11" s="360" t="s">
        <v>227</v>
      </c>
      <c r="C11" s="361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00000000000001" customHeight="1">
      <c r="A12" s="128">
        <v>4</v>
      </c>
      <c r="B12" s="365" t="s">
        <v>137</v>
      </c>
      <c r="C12" s="366"/>
      <c r="D12" s="41" t="s">
        <v>299</v>
      </c>
      <c r="E12" s="128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00000000000001" customHeight="1">
      <c r="A13" s="128">
        <v>5</v>
      </c>
      <c r="B13" s="360" t="s">
        <v>225</v>
      </c>
      <c r="C13" s="361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00000000000001" customHeight="1">
      <c r="A14" s="128">
        <v>6</v>
      </c>
      <c r="B14" s="365" t="s">
        <v>315</v>
      </c>
      <c r="C14" s="366"/>
      <c r="D14" s="109" t="s">
        <v>316</v>
      </c>
      <c r="E14" s="128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00000000000001" customHeight="1">
      <c r="A15" s="128">
        <v>7</v>
      </c>
      <c r="B15" s="360" t="s">
        <v>112</v>
      </c>
      <c r="C15" s="361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00000000000001" customHeight="1">
      <c r="A16" s="128">
        <v>8</v>
      </c>
      <c r="B16" s="362" t="s">
        <v>187</v>
      </c>
      <c r="C16" s="363"/>
      <c r="D16" s="129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00000000000001" customHeight="1">
      <c r="A17" s="128">
        <v>9</v>
      </c>
      <c r="B17" s="360" t="s">
        <v>203</v>
      </c>
      <c r="C17" s="361"/>
      <c r="D17" s="41" t="s">
        <v>214</v>
      </c>
      <c r="E17" s="128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00000000000001" customHeight="1">
      <c r="A18" s="128">
        <v>10</v>
      </c>
      <c r="B18" s="364" t="s">
        <v>111</v>
      </c>
      <c r="C18" s="364"/>
      <c r="D18" s="109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00000000000001" customHeight="1">
      <c r="A19" s="128">
        <v>11</v>
      </c>
      <c r="B19" s="112" t="s">
        <v>333</v>
      </c>
      <c r="C19" s="113"/>
      <c r="D19" s="109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00000000000001" customHeight="1">
      <c r="A20" s="128">
        <v>12</v>
      </c>
      <c r="B20" s="360" t="s">
        <v>220</v>
      </c>
      <c r="C20" s="361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8">
        <v>13</v>
      </c>
      <c r="B21" s="360" t="s">
        <v>144</v>
      </c>
      <c r="C21" s="361"/>
      <c r="D21" s="47" t="s">
        <v>389</v>
      </c>
      <c r="E21" s="128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8">
        <v>14</v>
      </c>
      <c r="B22" s="360" t="s">
        <v>139</v>
      </c>
      <c r="C22" s="361"/>
      <c r="D22" s="41" t="s">
        <v>386</v>
      </c>
      <c r="E22" s="128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00000000000001" customHeight="1">
      <c r="A23" s="128">
        <v>15</v>
      </c>
      <c r="B23" s="365" t="s">
        <v>18</v>
      </c>
      <c r="C23" s="366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00000000000001" customHeight="1">
      <c r="A24" s="128">
        <v>16</v>
      </c>
      <c r="B24" s="360" t="s">
        <v>317</v>
      </c>
      <c r="C24" s="361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00000000000001" customHeight="1">
      <c r="A25" s="128">
        <v>17</v>
      </c>
      <c r="B25" s="365" t="s">
        <v>334</v>
      </c>
      <c r="C25" s="366"/>
      <c r="D25" s="109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00000000000001" customHeight="1">
      <c r="A26" s="128">
        <v>18</v>
      </c>
      <c r="B26" s="365" t="s">
        <v>253</v>
      </c>
      <c r="C26" s="366"/>
      <c r="D26" s="109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8">
        <v>19</v>
      </c>
      <c r="B27" s="365" t="s">
        <v>141</v>
      </c>
      <c r="C27" s="366"/>
      <c r="D27" s="109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8">
        <v>20</v>
      </c>
      <c r="B28" s="112" t="s">
        <v>291</v>
      </c>
      <c r="C28" s="113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8">
        <v>21</v>
      </c>
      <c r="B29" s="112" t="s">
        <v>254</v>
      </c>
      <c r="C29" s="113"/>
      <c r="D29" s="109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8">
        <v>22</v>
      </c>
      <c r="B30" s="112" t="s">
        <v>274</v>
      </c>
      <c r="C30" s="113"/>
      <c r="D30" s="109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8">
        <v>23</v>
      </c>
      <c r="B31" s="112" t="s">
        <v>275</v>
      </c>
      <c r="C31" s="113"/>
      <c r="D31" s="109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8">
        <v>24</v>
      </c>
      <c r="B32" s="364" t="s">
        <v>26</v>
      </c>
      <c r="C32" s="364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8">
        <v>25</v>
      </c>
      <c r="B33" s="365" t="s">
        <v>247</v>
      </c>
      <c r="C33" s="366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8">
        <v>26</v>
      </c>
      <c r="B34" s="112" t="s">
        <v>293</v>
      </c>
      <c r="C34" s="113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8">
        <v>27</v>
      </c>
      <c r="B35" s="365" t="s">
        <v>248</v>
      </c>
      <c r="C35" s="366"/>
      <c r="D35" s="109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8">
        <v>28</v>
      </c>
      <c r="B36" s="112" t="s">
        <v>288</v>
      </c>
      <c r="C36" s="113"/>
      <c r="D36" s="109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8">
        <v>29</v>
      </c>
      <c r="B37" s="362" t="s">
        <v>345</v>
      </c>
      <c r="C37" s="363"/>
      <c r="D37" s="129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8">
        <v>30</v>
      </c>
      <c r="B38" s="110" t="s">
        <v>360</v>
      </c>
      <c r="C38" s="111"/>
      <c r="D38" s="129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8"/>
      <c r="B39" s="367" t="s">
        <v>15</v>
      </c>
      <c r="C39" s="367"/>
      <c r="D39" s="123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8"/>
      <c r="B40" s="114"/>
      <c r="C40" s="114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8"/>
      <c r="B41" s="367" t="s">
        <v>284</v>
      </c>
      <c r="C41" s="367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8">
        <v>1</v>
      </c>
      <c r="B42" s="112" t="s">
        <v>361</v>
      </c>
      <c r="C42" s="113"/>
      <c r="D42" s="41" t="s">
        <v>362</v>
      </c>
      <c r="E42" s="128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8"/>
      <c r="B43" s="42"/>
      <c r="C43" s="43" t="s">
        <v>15</v>
      </c>
      <c r="D43" s="123">
        <v>1</v>
      </c>
      <c r="E43" s="128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00000000000001" customHeight="1">
      <c r="A44" s="128"/>
      <c r="B44" s="372"/>
      <c r="C44" s="373"/>
      <c r="D44" s="41"/>
      <c r="E44" s="128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00000000000001" customHeight="1">
      <c r="A45" s="128"/>
      <c r="B45" s="374" t="s">
        <v>56</v>
      </c>
      <c r="C45" s="375"/>
      <c r="D45" s="127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00000000000001" customHeight="1">
      <c r="A46" s="128">
        <v>1</v>
      </c>
      <c r="B46" s="365" t="s">
        <v>255</v>
      </c>
      <c r="C46" s="366"/>
      <c r="D46" s="41" t="s">
        <v>256</v>
      </c>
      <c r="E46" s="128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00000000000001" customHeight="1">
      <c r="A47" s="128">
        <v>2</v>
      </c>
      <c r="B47" s="365" t="s">
        <v>158</v>
      </c>
      <c r="C47" s="366"/>
      <c r="D47" s="41" t="s">
        <v>199</v>
      </c>
      <c r="E47" s="128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00000000000001" customHeight="1">
      <c r="A48" s="128">
        <v>3</v>
      </c>
      <c r="B48" s="365" t="s">
        <v>165</v>
      </c>
      <c r="C48" s="366"/>
      <c r="D48" s="41" t="s">
        <v>258</v>
      </c>
      <c r="E48" s="128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00000000000001" customHeight="1">
      <c r="A49" s="128">
        <v>4</v>
      </c>
      <c r="B49" s="365" t="s">
        <v>159</v>
      </c>
      <c r="C49" s="366"/>
      <c r="D49" s="41" t="s">
        <v>258</v>
      </c>
      <c r="E49" s="128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00000000000001" customHeight="1">
      <c r="A50" s="128">
        <v>5</v>
      </c>
      <c r="B50" s="365" t="s">
        <v>118</v>
      </c>
      <c r="C50" s="366"/>
      <c r="D50" s="41" t="s">
        <v>78</v>
      </c>
      <c r="E50" s="128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00000000000001" customHeight="1">
      <c r="A51" s="128">
        <v>6</v>
      </c>
      <c r="B51" s="365" t="s">
        <v>205</v>
      </c>
      <c r="C51" s="366"/>
      <c r="D51" s="41" t="s">
        <v>78</v>
      </c>
      <c r="E51" s="128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00000000000001" customHeight="1">
      <c r="A52" s="128">
        <v>7</v>
      </c>
      <c r="B52" s="368" t="s">
        <v>173</v>
      </c>
      <c r="C52" s="369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00000000000001" customHeight="1">
      <c r="A53" s="128">
        <v>8</v>
      </c>
      <c r="B53" s="365" t="s">
        <v>116</v>
      </c>
      <c r="C53" s="366"/>
      <c r="D53" s="41" t="s">
        <v>257</v>
      </c>
      <c r="E53" s="128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00000000000001" customHeight="1">
      <c r="A54" s="128">
        <v>9</v>
      </c>
      <c r="B54" s="370" t="s">
        <v>130</v>
      </c>
      <c r="C54" s="371"/>
      <c r="D54" s="130" t="s">
        <v>297</v>
      </c>
      <c r="E54" s="131" t="s">
        <v>222</v>
      </c>
      <c r="F54" s="132">
        <f>25854.1</f>
        <v>25854.1</v>
      </c>
      <c r="G54" s="132"/>
      <c r="H54" s="132">
        <f t="shared" si="36"/>
        <v>77562.299999999988</v>
      </c>
      <c r="I54" s="132">
        <f t="shared" si="37"/>
        <v>1939.0574999999999</v>
      </c>
      <c r="J54" s="132">
        <v>0</v>
      </c>
      <c r="K54" s="132">
        <f t="shared" si="38"/>
        <v>12927.05</v>
      </c>
      <c r="L54" s="132">
        <f t="shared" si="39"/>
        <v>90489.349999999991</v>
      </c>
      <c r="M54" s="132">
        <f t="shared" si="33"/>
        <v>25854.1</v>
      </c>
      <c r="N54" s="133">
        <v>140000</v>
      </c>
      <c r="O54" s="133"/>
      <c r="P54" s="132">
        <f t="shared" si="34"/>
        <v>2585.41</v>
      </c>
      <c r="Q54" s="132">
        <v>20000</v>
      </c>
      <c r="R54" s="132">
        <v>0</v>
      </c>
      <c r="S54" s="134">
        <f t="shared" si="35"/>
        <v>397211.36749999999</v>
      </c>
      <c r="T54" s="134">
        <v>397211.36749999999</v>
      </c>
      <c r="U54" s="38">
        <f t="shared" si="1"/>
        <v>0</v>
      </c>
      <c r="V54" s="134"/>
      <c r="W54" s="132">
        <v>7709.76</v>
      </c>
      <c r="X54" s="134">
        <v>7709.76</v>
      </c>
      <c r="Y54" s="38">
        <f t="shared" si="2"/>
        <v>0</v>
      </c>
      <c r="Z54" s="38"/>
      <c r="AA54" s="38"/>
      <c r="AB54" s="38"/>
    </row>
    <row r="55" spans="1:28" ht="20.100000000000001" customHeight="1">
      <c r="A55" s="128">
        <v>10</v>
      </c>
      <c r="B55" s="362" t="s">
        <v>184</v>
      </c>
      <c r="C55" s="363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00000000000001" customHeight="1">
      <c r="A56" s="128"/>
      <c r="B56" s="376" t="s">
        <v>15</v>
      </c>
      <c r="C56" s="377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00000000000001" customHeight="1">
      <c r="A57" s="128"/>
      <c r="B57" s="125"/>
      <c r="C57" s="12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00000000000001" customHeight="1">
      <c r="A58" s="128"/>
      <c r="B58" s="376" t="s">
        <v>195</v>
      </c>
      <c r="C58" s="377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00000000000001" customHeight="1">
      <c r="A59" s="128">
        <v>1</v>
      </c>
      <c r="B59" s="365" t="s">
        <v>11</v>
      </c>
      <c r="C59" s="366"/>
      <c r="D59" s="109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00000000000001" customHeight="1">
      <c r="A60" s="128">
        <v>2</v>
      </c>
      <c r="B60" s="112" t="s">
        <v>276</v>
      </c>
      <c r="C60" s="113"/>
      <c r="D60" s="109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00000000000001" customHeight="1">
      <c r="A61" s="128"/>
      <c r="B61" s="376" t="s">
        <v>15</v>
      </c>
      <c r="C61" s="377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00000000000001" customHeight="1">
      <c r="A62" s="128"/>
      <c r="B62" s="376"/>
      <c r="C62" s="377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00000000000001" customHeight="1">
      <c r="A63" s="128"/>
      <c r="B63" s="376" t="s">
        <v>353</v>
      </c>
      <c r="C63" s="377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00000000000001" customHeight="1">
      <c r="A64" s="128">
        <v>1</v>
      </c>
      <c r="B64" s="362" t="s">
        <v>277</v>
      </c>
      <c r="C64" s="363"/>
      <c r="D64" s="129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00000000000001" customHeight="1">
      <c r="A65" s="128">
        <v>2</v>
      </c>
      <c r="B65" s="110" t="s">
        <v>332</v>
      </c>
      <c r="C65" s="111"/>
      <c r="D65" s="129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00000000000001" customHeight="1">
      <c r="A66" s="128">
        <v>3</v>
      </c>
      <c r="B66" s="362" t="s">
        <v>186</v>
      </c>
      <c r="C66" s="363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00000000000001" customHeight="1">
      <c r="A67" s="128">
        <v>4</v>
      </c>
      <c r="B67" s="362" t="s">
        <v>189</v>
      </c>
      <c r="C67" s="363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00000000000001" customHeight="1">
      <c r="A68" s="128">
        <v>5</v>
      </c>
      <c r="B68" s="110" t="s">
        <v>323</v>
      </c>
      <c r="C68" s="111"/>
      <c r="D68" s="129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00000000000001" customHeight="1">
      <c r="A69" s="128">
        <v>6</v>
      </c>
      <c r="B69" s="360" t="s">
        <v>229</v>
      </c>
      <c r="C69" s="361"/>
      <c r="D69" s="129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00000000000001" customHeight="1">
      <c r="A70" s="128">
        <v>7</v>
      </c>
      <c r="B70" s="362" t="s">
        <v>117</v>
      </c>
      <c r="C70" s="363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00000000000001" customHeight="1">
      <c r="A71" s="128">
        <v>8</v>
      </c>
      <c r="B71" s="364" t="s">
        <v>182</v>
      </c>
      <c r="C71" s="364"/>
      <c r="D71" s="129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00000000000001" customHeight="1">
      <c r="A72" s="128">
        <v>9</v>
      </c>
      <c r="B72" s="365" t="s">
        <v>242</v>
      </c>
      <c r="C72" s="366"/>
      <c r="D72" s="41" t="s">
        <v>243</v>
      </c>
      <c r="E72" s="128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00000000000001" customHeight="1">
      <c r="A73" s="128">
        <v>10</v>
      </c>
      <c r="B73" s="362" t="s">
        <v>322</v>
      </c>
      <c r="C73" s="363"/>
      <c r="D73" s="129" t="s">
        <v>84</v>
      </c>
      <c r="E73" s="128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00000000000001" customHeight="1">
      <c r="A74" s="128">
        <v>11</v>
      </c>
      <c r="B74" s="362" t="s">
        <v>320</v>
      </c>
      <c r="C74" s="363"/>
      <c r="D74" s="129" t="s">
        <v>115</v>
      </c>
      <c r="E74" s="128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00000000000001" customHeight="1">
      <c r="A75" s="128">
        <v>12</v>
      </c>
      <c r="B75" s="360" t="s">
        <v>321</v>
      </c>
      <c r="C75" s="361"/>
      <c r="D75" s="129" t="s">
        <v>115</v>
      </c>
      <c r="E75" s="128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00000000000001" customHeight="1">
      <c r="A76" s="128"/>
      <c r="B76" s="376" t="s">
        <v>15</v>
      </c>
      <c r="C76" s="377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00000000000001" customHeight="1">
      <c r="A77" s="128"/>
      <c r="B77" s="116"/>
      <c r="C77" s="117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00000000000001" customHeight="1">
      <c r="A78" s="128"/>
      <c r="B78" s="376" t="s">
        <v>347</v>
      </c>
      <c r="C78" s="377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00000000000001" customHeight="1">
      <c r="A79" s="128">
        <v>1</v>
      </c>
      <c r="B79" s="365" t="s">
        <v>19</v>
      </c>
      <c r="C79" s="366"/>
      <c r="D79" s="41" t="s">
        <v>201</v>
      </c>
      <c r="E79" s="128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00000000000001" customHeight="1">
      <c r="A80" s="128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00000000000001" customHeight="1">
      <c r="A81" s="128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00000000000001" customHeight="1">
      <c r="A82" s="128">
        <v>4</v>
      </c>
      <c r="B82" s="365" t="s">
        <v>114</v>
      </c>
      <c r="C82" s="366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00000000000001" customHeight="1">
      <c r="A83" s="128">
        <v>5</v>
      </c>
      <c r="B83" s="365" t="s">
        <v>324</v>
      </c>
      <c r="C83" s="366"/>
      <c r="D83" s="41" t="s">
        <v>243</v>
      </c>
      <c r="E83" s="128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00000000000001" customHeight="1">
      <c r="A84" s="128">
        <v>6</v>
      </c>
      <c r="B84" s="112" t="s">
        <v>328</v>
      </c>
      <c r="C84" s="113"/>
      <c r="D84" s="41" t="s">
        <v>329</v>
      </c>
      <c r="E84" s="128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00000000000001" customHeight="1">
      <c r="A85" s="128">
        <v>7</v>
      </c>
      <c r="B85" s="112" t="s">
        <v>330</v>
      </c>
      <c r="C85" s="113"/>
      <c r="D85" s="41" t="s">
        <v>331</v>
      </c>
      <c r="E85" s="128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00000000000001" customHeight="1">
      <c r="A86" s="128"/>
      <c r="B86" s="376" t="s">
        <v>15</v>
      </c>
      <c r="C86" s="377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00000000000001" customHeight="1">
      <c r="A87" s="128"/>
      <c r="B87" s="378"/>
      <c r="C87" s="379"/>
      <c r="D87" s="123"/>
      <c r="E87" s="123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00000000000001" customHeight="1">
      <c r="A88" s="128"/>
      <c r="B88" s="380" t="s">
        <v>354</v>
      </c>
      <c r="C88" s="381"/>
      <c r="D88" s="67"/>
      <c r="E88" s="123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00000000000001" customHeight="1">
      <c r="A89" s="128">
        <v>1</v>
      </c>
      <c r="B89" s="365" t="s">
        <v>244</v>
      </c>
      <c r="C89" s="366"/>
      <c r="D89" s="41" t="s">
        <v>312</v>
      </c>
      <c r="E89" s="128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00000000000001" customHeight="1">
      <c r="A90" s="128">
        <v>2</v>
      </c>
      <c r="B90" s="365" t="s">
        <v>169</v>
      </c>
      <c r="C90" s="366"/>
      <c r="D90" s="41" t="s">
        <v>258</v>
      </c>
      <c r="E90" s="128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00000000000001" customHeight="1">
      <c r="A91" s="128">
        <v>3</v>
      </c>
      <c r="B91" s="365" t="s">
        <v>192</v>
      </c>
      <c r="C91" s="366"/>
      <c r="D91" s="41" t="s">
        <v>258</v>
      </c>
      <c r="E91" s="128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00000000000001" customHeight="1">
      <c r="A92" s="128">
        <v>4</v>
      </c>
      <c r="B92" s="365" t="s">
        <v>113</v>
      </c>
      <c r="C92" s="366"/>
      <c r="D92" s="41" t="s">
        <v>78</v>
      </c>
      <c r="E92" s="128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00000000000001" customHeight="1">
      <c r="A93" s="128">
        <v>5</v>
      </c>
      <c r="B93" s="360" t="s">
        <v>138</v>
      </c>
      <c r="C93" s="361"/>
      <c r="D93" s="41" t="s">
        <v>297</v>
      </c>
      <c r="E93" s="128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00000000000001" customHeight="1">
      <c r="A94" s="128">
        <v>6</v>
      </c>
      <c r="B94" s="362" t="s">
        <v>202</v>
      </c>
      <c r="C94" s="363"/>
      <c r="D94" s="41" t="s">
        <v>78</v>
      </c>
      <c r="E94" s="128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00000000000001" customHeight="1">
      <c r="A95" s="128">
        <v>7</v>
      </c>
      <c r="B95" s="365" t="s">
        <v>335</v>
      </c>
      <c r="C95" s="366"/>
      <c r="D95" s="109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" customHeight="1">
      <c r="A96" s="128">
        <v>8</v>
      </c>
      <c r="B96" s="364" t="s">
        <v>101</v>
      </c>
      <c r="C96" s="364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" customHeight="1">
      <c r="A97" s="128">
        <v>9</v>
      </c>
      <c r="B97" s="365" t="s">
        <v>336</v>
      </c>
      <c r="C97" s="366"/>
      <c r="D97" s="109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" customHeight="1">
      <c r="A98" s="128">
        <v>10</v>
      </c>
      <c r="B98" s="365" t="s">
        <v>337</v>
      </c>
      <c r="C98" s="366"/>
      <c r="D98" s="109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00000000000001" customHeight="1">
      <c r="A99" s="128"/>
      <c r="B99" s="367" t="s">
        <v>15</v>
      </c>
      <c r="C99" s="367"/>
      <c r="D99" s="123">
        <v>10</v>
      </c>
      <c r="E99" s="123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00000000000001" customHeight="1">
      <c r="A100" s="128"/>
      <c r="B100" s="114"/>
      <c r="C100" s="114"/>
      <c r="D100" s="123"/>
      <c r="E100" s="123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00000000000001" customHeight="1">
      <c r="A101" s="128"/>
      <c r="B101" s="367" t="s">
        <v>283</v>
      </c>
      <c r="C101" s="367"/>
      <c r="D101" s="123"/>
      <c r="E101" s="123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00000000000001" customHeight="1">
      <c r="A102" s="128">
        <v>1</v>
      </c>
      <c r="B102" s="112" t="s">
        <v>364</v>
      </c>
      <c r="C102" s="113"/>
      <c r="D102" s="128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00000000000001" customHeight="1">
      <c r="A103" s="128">
        <v>2</v>
      </c>
      <c r="B103" s="362" t="s">
        <v>185</v>
      </c>
      <c r="C103" s="363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00000000000001" customHeight="1">
      <c r="A104" s="128">
        <v>3</v>
      </c>
      <c r="B104" s="110" t="s">
        <v>366</v>
      </c>
      <c r="C104" s="111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00000000000001" customHeight="1">
      <c r="A105" s="128">
        <v>4</v>
      </c>
      <c r="B105" s="365" t="s">
        <v>237</v>
      </c>
      <c r="C105" s="366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00000000000001" customHeight="1">
      <c r="A106" s="41"/>
      <c r="B106" s="367" t="s">
        <v>15</v>
      </c>
      <c r="C106" s="367"/>
      <c r="D106" s="123">
        <v>4</v>
      </c>
      <c r="E106" s="126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00000000000001" customHeight="1">
      <c r="A107" s="41"/>
      <c r="B107" s="114"/>
      <c r="C107" s="114"/>
      <c r="D107" s="123"/>
      <c r="E107" s="126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00000000000001" customHeight="1">
      <c r="A108" s="41"/>
      <c r="B108" s="367" t="s">
        <v>282</v>
      </c>
      <c r="C108" s="367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365" t="s">
        <v>216</v>
      </c>
      <c r="C109" s="366"/>
      <c r="D109" s="109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00000000000001" customHeight="1">
      <c r="A110" s="41">
        <v>2</v>
      </c>
      <c r="B110" s="382" t="s">
        <v>110</v>
      </c>
      <c r="C110" s="383"/>
      <c r="D110" s="41" t="s">
        <v>259</v>
      </c>
      <c r="E110" s="128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00000000000001" customHeight="1">
      <c r="A111" s="41">
        <v>3</v>
      </c>
      <c r="B111" s="365" t="s">
        <v>109</v>
      </c>
      <c r="C111" s="366"/>
      <c r="D111" s="41" t="s">
        <v>311</v>
      </c>
      <c r="E111" s="128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00000000000001" customHeight="1">
      <c r="A112" s="41">
        <v>4</v>
      </c>
      <c r="B112" s="362" t="s">
        <v>135</v>
      </c>
      <c r="C112" s="363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00000000000001" customHeight="1">
      <c r="A113" s="41">
        <v>5</v>
      </c>
      <c r="B113" s="365" t="s">
        <v>240</v>
      </c>
      <c r="C113" s="366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00000000000001" customHeight="1">
      <c r="A114" s="41">
        <v>6</v>
      </c>
      <c r="B114" s="110" t="s">
        <v>341</v>
      </c>
      <c r="C114" s="111"/>
      <c r="D114" s="1" t="s">
        <v>338</v>
      </c>
      <c r="E114" s="128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00000000000001" customHeight="1">
      <c r="A115" s="41">
        <v>7</v>
      </c>
      <c r="B115" s="112" t="s">
        <v>374</v>
      </c>
      <c r="C115" s="113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00000000000001" customHeight="1">
      <c r="A116" s="41">
        <v>8</v>
      </c>
      <c r="B116" s="112" t="s">
        <v>358</v>
      </c>
      <c r="C116" s="113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00000000000001" customHeight="1">
      <c r="A117" s="41"/>
      <c r="B117" s="367" t="s">
        <v>15</v>
      </c>
      <c r="C117" s="367"/>
      <c r="D117" s="128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00000000000001" customHeight="1">
      <c r="A118" s="41"/>
      <c r="B118" s="114"/>
      <c r="C118" s="114"/>
      <c r="D118" s="128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00000000000001" customHeight="1">
      <c r="A119" s="41"/>
      <c r="B119" s="367" t="s">
        <v>280</v>
      </c>
      <c r="C119" s="367"/>
      <c r="D119" s="123"/>
      <c r="E119" s="123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00000000000001" customHeight="1">
      <c r="A120" s="41">
        <v>1</v>
      </c>
      <c r="B120" s="364" t="s">
        <v>20</v>
      </c>
      <c r="C120" s="364"/>
      <c r="D120" s="109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00000000000001" customHeight="1">
      <c r="A121" s="41">
        <v>2</v>
      </c>
      <c r="B121" s="364" t="s">
        <v>100</v>
      </c>
      <c r="C121" s="364"/>
      <c r="D121" s="109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00000000000001" customHeight="1">
      <c r="A122" s="41">
        <v>3</v>
      </c>
      <c r="B122" s="364" t="s">
        <v>153</v>
      </c>
      <c r="C122" s="364"/>
      <c r="D122" s="109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00000000000001" customHeight="1">
      <c r="A123" s="41">
        <v>4</v>
      </c>
      <c r="B123" s="385" t="s">
        <v>142</v>
      </c>
      <c r="C123" s="385"/>
      <c r="D123" s="109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00000000000001" customHeight="1">
      <c r="A124" s="41">
        <v>5</v>
      </c>
      <c r="B124" s="1" t="s">
        <v>363</v>
      </c>
      <c r="D124" s="109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00000000000001" customHeight="1">
      <c r="A125" s="41">
        <v>6</v>
      </c>
      <c r="B125" s="384" t="s">
        <v>108</v>
      </c>
      <c r="C125" s="384"/>
      <c r="D125" s="109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00000000000001" customHeight="1">
      <c r="A126" s="41">
        <v>7</v>
      </c>
      <c r="B126" s="364" t="s">
        <v>178</v>
      </c>
      <c r="C126" s="364"/>
      <c r="D126" s="109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00000000000001" customHeight="1">
      <c r="A127" s="41">
        <v>8</v>
      </c>
      <c r="B127" s="364" t="s">
        <v>134</v>
      </c>
      <c r="C127" s="364"/>
      <c r="D127" s="109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00000000000001" customHeight="1">
      <c r="A128" s="41">
        <v>9</v>
      </c>
      <c r="B128" s="112" t="s">
        <v>365</v>
      </c>
      <c r="C128" s="113"/>
      <c r="D128" s="109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00000000000001" customHeight="1">
      <c r="A129" s="41"/>
      <c r="B129" s="367" t="s">
        <v>15</v>
      </c>
      <c r="C129" s="367"/>
      <c r="D129" s="126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00000000000001" customHeight="1">
      <c r="A130" s="41"/>
      <c r="B130" s="114"/>
      <c r="C130" s="114"/>
      <c r="D130" s="126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00000000000001" customHeight="1">
      <c r="A131" s="41"/>
      <c r="B131" s="367" t="s">
        <v>281</v>
      </c>
      <c r="C131" s="367"/>
      <c r="D131" s="109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00000000000001" customHeight="1">
      <c r="A132" s="41">
        <v>1</v>
      </c>
      <c r="B132" s="364" t="s">
        <v>98</v>
      </c>
      <c r="C132" s="364"/>
      <c r="D132" s="109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00000000000001" customHeight="1">
      <c r="A133" s="41">
        <v>2</v>
      </c>
      <c r="B133" s="364" t="s">
        <v>21</v>
      </c>
      <c r="C133" s="364"/>
      <c r="D133" s="109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00000000000001" customHeight="1">
      <c r="A134" s="41">
        <v>3</v>
      </c>
      <c r="B134" s="384" t="s">
        <v>107</v>
      </c>
      <c r="C134" s="384"/>
      <c r="D134" s="109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00000000000001" customHeight="1">
      <c r="A135" s="41">
        <v>4</v>
      </c>
      <c r="B135" s="368" t="s">
        <v>183</v>
      </c>
      <c r="C135" s="369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00000000000001" customHeight="1">
      <c r="A136" s="41">
        <v>5</v>
      </c>
      <c r="B136" s="368" t="s">
        <v>378</v>
      </c>
      <c r="C136" s="369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00000000000001" customHeight="1">
      <c r="A137" s="41">
        <v>6</v>
      </c>
      <c r="B137" s="364" t="s">
        <v>106</v>
      </c>
      <c r="C137" s="364"/>
      <c r="D137" s="109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00000000000001" customHeight="1">
      <c r="A138" s="41">
        <v>7</v>
      </c>
      <c r="B138" s="364" t="s">
        <v>7</v>
      </c>
      <c r="C138" s="364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00000000000001" customHeight="1">
      <c r="A139" s="41">
        <v>8</v>
      </c>
      <c r="B139" s="364" t="s">
        <v>6</v>
      </c>
      <c r="C139" s="364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00000000000001" customHeight="1">
      <c r="A140" s="41">
        <v>9</v>
      </c>
      <c r="B140" s="364" t="s">
        <v>124</v>
      </c>
      <c r="C140" s="364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00000000000001" customHeight="1">
      <c r="A141" s="41">
        <v>10</v>
      </c>
      <c r="B141" s="365" t="s">
        <v>102</v>
      </c>
      <c r="C141" s="366"/>
      <c r="D141" s="135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00000000000001" customHeight="1">
      <c r="A142" s="41">
        <v>11</v>
      </c>
      <c r="B142" s="364" t="s">
        <v>103</v>
      </c>
      <c r="C142" s="364"/>
      <c r="D142" s="135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00000000000001" customHeight="1">
      <c r="A143" s="41">
        <v>12</v>
      </c>
      <c r="B143" s="365" t="s">
        <v>151</v>
      </c>
      <c r="C143" s="366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00000000000001" customHeight="1">
      <c r="A144" s="41">
        <v>13</v>
      </c>
      <c r="B144" s="365" t="s">
        <v>238</v>
      </c>
      <c r="C144" s="366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00000000000001" customHeight="1">
      <c r="A145" s="41">
        <v>14</v>
      </c>
      <c r="B145" s="365" t="s">
        <v>53</v>
      </c>
      <c r="C145" s="366"/>
      <c r="D145" s="109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00000000000001" customHeight="1">
      <c r="A146" s="41">
        <v>15</v>
      </c>
      <c r="B146" s="365" t="s">
        <v>179</v>
      </c>
      <c r="C146" s="366"/>
      <c r="D146" s="109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00000000000001" customHeight="1">
      <c r="A147" s="41">
        <v>16</v>
      </c>
      <c r="B147" s="365" t="s">
        <v>208</v>
      </c>
      <c r="C147" s="366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00000000000001" customHeight="1">
      <c r="A148" s="41">
        <v>17</v>
      </c>
      <c r="B148" s="365" t="s">
        <v>210</v>
      </c>
      <c r="C148" s="366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00000000000001" customHeight="1">
      <c r="A149" s="41">
        <v>18</v>
      </c>
      <c r="B149" s="365" t="s">
        <v>212</v>
      </c>
      <c r="C149" s="366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00000000000001" customHeight="1">
      <c r="A150" s="41">
        <v>19</v>
      </c>
      <c r="B150" s="365" t="s">
        <v>230</v>
      </c>
      <c r="C150" s="366"/>
      <c r="D150" s="109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00000000000001" customHeight="1">
      <c r="A151" s="41">
        <v>20</v>
      </c>
      <c r="B151" s="365" t="s">
        <v>57</v>
      </c>
      <c r="C151" s="366"/>
      <c r="D151" s="109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00000000000001" customHeight="1">
      <c r="A152" s="41">
        <v>21</v>
      </c>
      <c r="B152" s="365" t="s">
        <v>251</v>
      </c>
      <c r="C152" s="366"/>
      <c r="D152" s="109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00000000000001" customHeight="1">
      <c r="A153" s="41">
        <v>22</v>
      </c>
      <c r="B153" s="365" t="s">
        <v>241</v>
      </c>
      <c r="C153" s="366"/>
      <c r="D153" s="109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00000000000001" customHeight="1">
      <c r="A154" s="41">
        <v>23</v>
      </c>
      <c r="B154" s="112" t="s">
        <v>289</v>
      </c>
      <c r="C154" s="113"/>
      <c r="D154" s="109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00000000000001" customHeight="1">
      <c r="A155" s="41">
        <v>24</v>
      </c>
      <c r="B155" s="112" t="s">
        <v>359</v>
      </c>
      <c r="C155" s="113"/>
      <c r="D155" s="109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00000000000001" customHeight="1">
      <c r="A156" s="41">
        <v>25</v>
      </c>
      <c r="B156" s="112" t="s">
        <v>406</v>
      </c>
      <c r="C156" s="113"/>
      <c r="D156" s="109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00000000000001" customHeight="1">
      <c r="A157" s="41">
        <v>26</v>
      </c>
      <c r="B157" s="112" t="s">
        <v>407</v>
      </c>
      <c r="C157" s="113"/>
      <c r="D157" s="109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00000000000001" customHeight="1">
      <c r="A158" s="41">
        <v>27</v>
      </c>
      <c r="B158" s="364" t="s">
        <v>22</v>
      </c>
      <c r="C158" s="364"/>
      <c r="D158" s="136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00000000000001" customHeight="1">
      <c r="A159" s="41">
        <v>28</v>
      </c>
      <c r="B159" s="364" t="s">
        <v>14</v>
      </c>
      <c r="C159" s="364"/>
      <c r="D159" s="136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00000000000001" customHeight="1">
      <c r="A160" s="41">
        <v>29</v>
      </c>
      <c r="B160" s="364" t="s">
        <v>23</v>
      </c>
      <c r="C160" s="364"/>
      <c r="D160" s="136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00000000000001" customHeight="1">
      <c r="A161" s="41">
        <v>30</v>
      </c>
      <c r="B161" s="364" t="s">
        <v>24</v>
      </c>
      <c r="C161" s="364"/>
      <c r="D161" s="136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00000000000001" customHeight="1">
      <c r="A162" s="41">
        <v>31</v>
      </c>
      <c r="B162" s="364" t="s">
        <v>25</v>
      </c>
      <c r="C162" s="364"/>
      <c r="D162" s="136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00000000000001" customHeight="1">
      <c r="A163" s="41">
        <v>32</v>
      </c>
      <c r="B163" s="364" t="s">
        <v>39</v>
      </c>
      <c r="C163" s="364"/>
      <c r="D163" s="136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00000000000001" customHeight="1">
      <c r="A164" s="41">
        <v>33</v>
      </c>
      <c r="B164" s="364" t="s">
        <v>40</v>
      </c>
      <c r="C164" s="364"/>
      <c r="D164" s="136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00000000000001" customHeight="1">
      <c r="A165" s="41">
        <v>34</v>
      </c>
      <c r="B165" s="364" t="s">
        <v>127</v>
      </c>
      <c r="C165" s="364"/>
      <c r="D165" s="109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00000000000001" customHeight="1">
      <c r="A166" s="41">
        <v>35</v>
      </c>
      <c r="B166" s="364" t="s">
        <v>128</v>
      </c>
      <c r="C166" s="364"/>
      <c r="D166" s="109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00000000000001" customHeight="1">
      <c r="A167" s="41">
        <v>36</v>
      </c>
      <c r="B167" s="364" t="s">
        <v>129</v>
      </c>
      <c r="C167" s="364"/>
      <c r="D167" s="109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00000000000001" customHeight="1">
      <c r="A168" s="41">
        <v>37</v>
      </c>
      <c r="B168" s="42" t="s">
        <v>136</v>
      </c>
      <c r="C168" s="42"/>
      <c r="D168" s="109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00000000000001" customHeight="1">
      <c r="A169" s="41">
        <v>38</v>
      </c>
      <c r="B169" s="365" t="s">
        <v>140</v>
      </c>
      <c r="C169" s="366"/>
      <c r="D169" s="109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00000000000001" customHeight="1">
      <c r="A170" s="41">
        <v>39</v>
      </c>
      <c r="B170" s="109" t="s">
        <v>152</v>
      </c>
      <c r="C170" s="33"/>
      <c r="D170" s="109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00000000000001" customHeight="1">
      <c r="A171" s="41">
        <v>40</v>
      </c>
      <c r="B171" s="109" t="s">
        <v>132</v>
      </c>
      <c r="C171" s="33"/>
      <c r="D171" s="109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00000000000001" customHeight="1">
      <c r="A172" s="41">
        <v>41</v>
      </c>
      <c r="B172" s="365" t="s">
        <v>231</v>
      </c>
      <c r="C172" s="366"/>
      <c r="D172" s="109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00000000000001" customHeight="1">
      <c r="A173" s="41">
        <v>42</v>
      </c>
      <c r="B173" s="365" t="s">
        <v>246</v>
      </c>
      <c r="C173" s="366"/>
      <c r="D173" s="109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00000000000001" customHeight="1">
      <c r="A174" s="41">
        <v>43</v>
      </c>
      <c r="B174" s="109" t="s">
        <v>166</v>
      </c>
      <c r="C174" s="33"/>
      <c r="D174" s="109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00000000000001" customHeight="1">
      <c r="A175" s="41">
        <v>44</v>
      </c>
      <c r="B175" s="365" t="s">
        <v>204</v>
      </c>
      <c r="C175" s="366"/>
      <c r="D175" s="109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00000000000001" customHeight="1">
      <c r="A176" s="41">
        <v>45</v>
      </c>
      <c r="B176" s="365" t="s">
        <v>209</v>
      </c>
      <c r="C176" s="366"/>
      <c r="D176" s="109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00000000000001" customHeight="1">
      <c r="A177" s="41">
        <v>46</v>
      </c>
      <c r="B177" s="365" t="s">
        <v>218</v>
      </c>
      <c r="C177" s="366"/>
      <c r="D177" s="109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00000000000001" customHeight="1">
      <c r="A178" s="41">
        <v>47</v>
      </c>
      <c r="B178" s="365" t="s">
        <v>219</v>
      </c>
      <c r="C178" s="366"/>
      <c r="D178" s="109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00000000000001" customHeight="1">
      <c r="A179" s="41">
        <v>48</v>
      </c>
      <c r="B179" s="365" t="s">
        <v>211</v>
      </c>
      <c r="C179" s="366"/>
      <c r="D179" s="109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00000000000001" customHeight="1">
      <c r="A180" s="41">
        <v>49</v>
      </c>
      <c r="B180" s="365" t="s">
        <v>213</v>
      </c>
      <c r="C180" s="366"/>
      <c r="D180" s="109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00000000000001" customHeight="1">
      <c r="A181" s="41">
        <v>50</v>
      </c>
      <c r="B181" s="388" t="s">
        <v>232</v>
      </c>
      <c r="C181" s="389"/>
      <c r="D181" s="109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00000000000001" customHeight="1">
      <c r="A182" s="41">
        <v>51</v>
      </c>
      <c r="B182" s="390" t="s">
        <v>233</v>
      </c>
      <c r="C182" s="391"/>
      <c r="D182" s="109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00000000000001" customHeight="1">
      <c r="A183" s="41">
        <v>52</v>
      </c>
      <c r="B183" s="121" t="s">
        <v>279</v>
      </c>
      <c r="C183" s="76"/>
      <c r="D183" s="109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00000000000001" customHeight="1">
      <c r="A184" s="41">
        <v>53</v>
      </c>
      <c r="B184" s="121" t="s">
        <v>342</v>
      </c>
      <c r="C184" s="76"/>
      <c r="D184" s="109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00000000000001" customHeight="1">
      <c r="A185" s="41">
        <v>54</v>
      </c>
      <c r="B185" s="121" t="s">
        <v>403</v>
      </c>
      <c r="C185" s="76"/>
      <c r="D185" s="109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00000000000001" customHeight="1">
      <c r="A186" s="41">
        <v>55</v>
      </c>
      <c r="B186" s="121" t="s">
        <v>405</v>
      </c>
      <c r="C186" s="76"/>
      <c r="D186" s="109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00000000000001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00000000000001" customHeight="1">
      <c r="A188" s="33"/>
      <c r="B188" s="392" t="s">
        <v>8</v>
      </c>
      <c r="C188" s="392"/>
      <c r="D188" s="70">
        <f>D39+D43+D56+D61+D76+D86+D99+D106+D117+D129+D187</f>
        <v>148</v>
      </c>
      <c r="E188" s="118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00000000000001" customHeight="1">
      <c r="A189" s="33"/>
      <c r="B189" s="386"/>
      <c r="C189" s="386"/>
      <c r="D189" s="120"/>
      <c r="E189" s="119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00000000000001" customHeight="1">
      <c r="A190" s="33"/>
      <c r="B190" s="386"/>
      <c r="C190" s="386"/>
      <c r="D190" s="356" t="s">
        <v>9</v>
      </c>
      <c r="E190" s="356"/>
      <c r="F190" s="356"/>
      <c r="G190" s="356"/>
      <c r="H190" s="356"/>
      <c r="I190" s="356"/>
      <c r="J190" s="356"/>
      <c r="K190" s="387" t="s">
        <v>54</v>
      </c>
      <c r="L190" s="387"/>
      <c r="M190" s="387"/>
      <c r="N190" s="118"/>
      <c r="O190" s="118"/>
      <c r="P190" s="387" t="s">
        <v>55</v>
      </c>
      <c r="Q190" s="387"/>
      <c r="R190" s="387"/>
      <c r="S190" s="387"/>
      <c r="T190" s="118"/>
      <c r="U190" s="118"/>
      <c r="V190" s="118"/>
      <c r="W190" s="118"/>
      <c r="X190" s="118"/>
      <c r="Y190" s="68"/>
      <c r="Z190" s="68"/>
      <c r="AA190" s="68"/>
      <c r="AB190" s="68"/>
    </row>
    <row r="191" spans="1:28" ht="20.100000000000001" customHeight="1">
      <c r="A191" s="33"/>
      <c r="B191" s="386"/>
      <c r="C191" s="386"/>
      <c r="D191" s="356"/>
      <c r="E191" s="356"/>
      <c r="F191" s="356"/>
      <c r="G191" s="356"/>
      <c r="H191" s="356"/>
      <c r="I191" s="356"/>
      <c r="J191" s="356"/>
      <c r="K191" s="387"/>
      <c r="L191" s="387"/>
      <c r="M191" s="387"/>
      <c r="N191" s="118"/>
      <c r="O191" s="118"/>
      <c r="P191" s="387"/>
      <c r="Q191" s="387"/>
      <c r="R191" s="387"/>
      <c r="S191" s="387"/>
      <c r="T191" s="118"/>
      <c r="U191" s="118"/>
      <c r="V191" s="118"/>
      <c r="W191" s="118"/>
      <c r="X191" s="118"/>
      <c r="Y191" s="68"/>
      <c r="Z191" s="68"/>
      <c r="AA191" s="68"/>
      <c r="AB191" s="68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L189" sqref="L18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393" t="s">
        <v>234</v>
      </c>
      <c r="B1" s="393"/>
      <c r="C1" s="393"/>
      <c r="D1" s="393"/>
      <c r="E1" s="393"/>
    </row>
    <row r="2" spans="1:7" ht="33.75" customHeight="1">
      <c r="A2" s="198" t="s">
        <v>494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62" t="s">
        <v>309</v>
      </c>
      <c r="E4" s="209" t="s">
        <v>120</v>
      </c>
      <c r="F4" s="209" t="s">
        <v>495</v>
      </c>
      <c r="G4" s="209" t="s">
        <v>496</v>
      </c>
    </row>
    <row r="5" spans="1:7" ht="20.100000000000001" customHeight="1">
      <c r="A5" s="210" t="s">
        <v>143</v>
      </c>
      <c r="B5" s="211" t="s">
        <v>435</v>
      </c>
      <c r="C5" s="263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4" t="s">
        <v>119</v>
      </c>
      <c r="D6" s="274" t="s">
        <v>34</v>
      </c>
      <c r="E6" s="277">
        <v>2000000</v>
      </c>
      <c r="F6" s="24">
        <v>0</v>
      </c>
      <c r="G6" s="277">
        <v>2000000</v>
      </c>
    </row>
    <row r="7" spans="1:7" ht="20.100000000000001" customHeight="1">
      <c r="A7" s="29">
        <v>2</v>
      </c>
      <c r="B7" s="189" t="s">
        <v>137</v>
      </c>
      <c r="C7" s="265" t="s">
        <v>474</v>
      </c>
      <c r="D7" s="29" t="s">
        <v>160</v>
      </c>
      <c r="E7" s="277">
        <v>700000</v>
      </c>
      <c r="F7" s="24">
        <v>0</v>
      </c>
      <c r="G7" s="277">
        <v>700000</v>
      </c>
    </row>
    <row r="8" spans="1:7" ht="20.100000000000001" customHeight="1">
      <c r="A8" s="29">
        <v>3</v>
      </c>
      <c r="B8" s="191" t="s">
        <v>225</v>
      </c>
      <c r="C8" s="265" t="s">
        <v>226</v>
      </c>
      <c r="D8" s="29" t="s">
        <v>221</v>
      </c>
      <c r="E8" s="277">
        <f>700000/2</f>
        <v>350000</v>
      </c>
      <c r="F8" s="24">
        <v>0</v>
      </c>
      <c r="G8" s="277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4" t="s">
        <v>316</v>
      </c>
      <c r="D9" s="29" t="s">
        <v>271</v>
      </c>
      <c r="E9" s="277">
        <f>700000/2</f>
        <v>350000</v>
      </c>
      <c r="F9" s="24">
        <v>0</v>
      </c>
      <c r="G9" s="277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5" t="s">
        <v>418</v>
      </c>
      <c r="D10" s="215" t="s">
        <v>29</v>
      </c>
      <c r="E10" s="277">
        <v>700000</v>
      </c>
      <c r="F10" s="24">
        <v>0</v>
      </c>
      <c r="G10" s="277">
        <v>700000</v>
      </c>
    </row>
    <row r="11" spans="1:7" ht="20.100000000000001" customHeight="1">
      <c r="A11" s="29">
        <v>6</v>
      </c>
      <c r="B11" s="191" t="s">
        <v>112</v>
      </c>
      <c r="C11" s="265" t="s">
        <v>475</v>
      </c>
      <c r="D11" s="25" t="s">
        <v>29</v>
      </c>
      <c r="E11" s="277">
        <v>700000</v>
      </c>
      <c r="F11" s="24">
        <v>0</v>
      </c>
      <c r="G11" s="277">
        <v>700000</v>
      </c>
    </row>
    <row r="12" spans="1:7" ht="20.100000000000001" customHeight="1">
      <c r="A12" s="29">
        <v>7</v>
      </c>
      <c r="B12" s="189" t="s">
        <v>187</v>
      </c>
      <c r="C12" s="266" t="s">
        <v>476</v>
      </c>
      <c r="D12" s="25" t="s">
        <v>29</v>
      </c>
      <c r="E12" s="277">
        <v>700000</v>
      </c>
      <c r="F12" s="24">
        <v>0</v>
      </c>
      <c r="G12" s="277">
        <v>700000</v>
      </c>
    </row>
    <row r="13" spans="1:7" ht="20.100000000000001" customHeight="1">
      <c r="A13" s="29">
        <v>8</v>
      </c>
      <c r="B13" s="191" t="s">
        <v>203</v>
      </c>
      <c r="C13" s="265" t="s">
        <v>477</v>
      </c>
      <c r="D13" s="25" t="s">
        <v>29</v>
      </c>
      <c r="E13" s="277">
        <v>700000</v>
      </c>
      <c r="F13" s="24">
        <v>0</v>
      </c>
      <c r="G13" s="277">
        <v>700000</v>
      </c>
    </row>
    <row r="14" spans="1:7" ht="20.100000000000001" customHeight="1">
      <c r="A14" s="29">
        <v>9</v>
      </c>
      <c r="B14" s="189" t="s">
        <v>111</v>
      </c>
      <c r="C14" s="264" t="s">
        <v>470</v>
      </c>
      <c r="D14" s="215" t="s">
        <v>75</v>
      </c>
      <c r="E14" s="277">
        <v>700000</v>
      </c>
      <c r="F14" s="24">
        <v>0</v>
      </c>
      <c r="G14" s="277">
        <v>700000</v>
      </c>
    </row>
    <row r="15" spans="1:7" ht="20.100000000000001" customHeight="1">
      <c r="A15" s="29">
        <v>10</v>
      </c>
      <c r="B15" s="190" t="s">
        <v>333</v>
      </c>
      <c r="C15" s="264" t="s">
        <v>387</v>
      </c>
      <c r="D15" s="29" t="s">
        <v>272</v>
      </c>
      <c r="E15" s="277">
        <v>700000</v>
      </c>
      <c r="F15" s="24">
        <v>0</v>
      </c>
      <c r="G15" s="277">
        <v>700000</v>
      </c>
    </row>
    <row r="16" spans="1:7" ht="20.100000000000001" customHeight="1">
      <c r="A16" s="29">
        <v>11</v>
      </c>
      <c r="B16" s="193" t="s">
        <v>220</v>
      </c>
      <c r="C16" s="265" t="s">
        <v>388</v>
      </c>
      <c r="D16" s="25" t="s">
        <v>162</v>
      </c>
      <c r="E16" s="277">
        <v>500000</v>
      </c>
      <c r="F16" s="24">
        <v>0</v>
      </c>
      <c r="G16" s="277">
        <v>500000</v>
      </c>
    </row>
    <row r="17" spans="1:7" ht="19.5" customHeight="1">
      <c r="A17" s="29">
        <v>12</v>
      </c>
      <c r="B17" s="191" t="s">
        <v>144</v>
      </c>
      <c r="C17" s="265" t="s">
        <v>389</v>
      </c>
      <c r="D17" s="29" t="s">
        <v>162</v>
      </c>
      <c r="E17" s="277">
        <v>500000</v>
      </c>
      <c r="F17" s="24">
        <v>0</v>
      </c>
      <c r="G17" s="277">
        <v>500000</v>
      </c>
    </row>
    <row r="18" spans="1:7" ht="19.5" customHeight="1">
      <c r="A18" s="29">
        <v>13</v>
      </c>
      <c r="B18" s="191" t="s">
        <v>139</v>
      </c>
      <c r="C18" s="265" t="s">
        <v>386</v>
      </c>
      <c r="D18" s="29" t="s">
        <v>162</v>
      </c>
      <c r="E18" s="277">
        <v>500000</v>
      </c>
      <c r="F18" s="24">
        <v>0</v>
      </c>
      <c r="G18" s="277">
        <v>500000</v>
      </c>
    </row>
    <row r="19" spans="1:7" ht="20.100000000000001" customHeight="1">
      <c r="A19" s="29">
        <v>14</v>
      </c>
      <c r="B19" s="189" t="s">
        <v>18</v>
      </c>
      <c r="C19" s="265" t="s">
        <v>389</v>
      </c>
      <c r="D19" s="215" t="s">
        <v>162</v>
      </c>
      <c r="E19" s="277">
        <v>500000</v>
      </c>
      <c r="F19" s="24">
        <v>0</v>
      </c>
      <c r="G19" s="277">
        <v>500000</v>
      </c>
    </row>
    <row r="20" spans="1:7" ht="20.100000000000001" customHeight="1">
      <c r="A20" s="29">
        <v>15</v>
      </c>
      <c r="B20" s="189" t="s">
        <v>334</v>
      </c>
      <c r="C20" s="264" t="s">
        <v>351</v>
      </c>
      <c r="D20" s="215" t="s">
        <v>149</v>
      </c>
      <c r="E20" s="277">
        <v>500000</v>
      </c>
      <c r="F20" s="277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5" t="s">
        <v>346</v>
      </c>
      <c r="D21" s="215" t="s">
        <v>273</v>
      </c>
      <c r="E21" s="277">
        <v>500000</v>
      </c>
      <c r="F21" s="277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4" t="s">
        <v>391</v>
      </c>
      <c r="D22" s="215" t="s">
        <v>415</v>
      </c>
      <c r="E22" s="277">
        <v>400000</v>
      </c>
      <c r="F22" s="277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4" t="s">
        <v>480</v>
      </c>
      <c r="D23" s="215" t="s">
        <v>369</v>
      </c>
      <c r="E23" s="277">
        <v>400000</v>
      </c>
      <c r="F23" s="277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5" t="s">
        <v>479</v>
      </c>
      <c r="D24" s="215" t="s">
        <v>369</v>
      </c>
      <c r="E24" s="277">
        <v>400000</v>
      </c>
      <c r="F24" s="277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5" t="s">
        <v>294</v>
      </c>
      <c r="D25" s="215" t="s">
        <v>164</v>
      </c>
      <c r="E25" s="277">
        <v>300000</v>
      </c>
      <c r="F25" s="277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4" t="s">
        <v>314</v>
      </c>
      <c r="D26" s="215" t="s">
        <v>207</v>
      </c>
      <c r="E26" s="277">
        <v>300000</v>
      </c>
      <c r="F26" s="277">
        <v>300000</v>
      </c>
      <c r="G26" s="24">
        <v>0</v>
      </c>
    </row>
    <row r="27" spans="1:7" ht="18.75" customHeight="1">
      <c r="A27" s="29">
        <v>22</v>
      </c>
      <c r="B27" s="21" t="s">
        <v>436</v>
      </c>
      <c r="C27" s="265" t="s">
        <v>17</v>
      </c>
      <c r="D27" s="29" t="s">
        <v>428</v>
      </c>
      <c r="E27" s="277">
        <v>300000</v>
      </c>
      <c r="F27" s="277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4" t="s">
        <v>17</v>
      </c>
      <c r="D28" s="215" t="s">
        <v>428</v>
      </c>
      <c r="E28" s="277">
        <v>300000</v>
      </c>
      <c r="F28" s="277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4" t="s">
        <v>482</v>
      </c>
      <c r="D29" s="215" t="s">
        <v>428</v>
      </c>
      <c r="E29" s="277">
        <v>300000</v>
      </c>
      <c r="F29" s="277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4" t="s">
        <v>249</v>
      </c>
      <c r="D30" s="215" t="s">
        <v>295</v>
      </c>
      <c r="E30" s="277">
        <v>300000</v>
      </c>
      <c r="F30" s="277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6" t="s">
        <v>319</v>
      </c>
      <c r="D31" s="215" t="s">
        <v>51</v>
      </c>
      <c r="E31" s="277">
        <v>300000</v>
      </c>
      <c r="F31" s="277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5" t="s">
        <v>329</v>
      </c>
      <c r="D32" s="29" t="s">
        <v>51</v>
      </c>
      <c r="E32" s="277">
        <v>300000</v>
      </c>
      <c r="F32" s="277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6" t="s">
        <v>372</v>
      </c>
      <c r="D33" s="215" t="s">
        <v>428</v>
      </c>
      <c r="E33" s="277">
        <v>300000</v>
      </c>
      <c r="F33" s="277">
        <v>300000</v>
      </c>
      <c r="G33" s="24">
        <v>0</v>
      </c>
    </row>
    <row r="34" spans="1:7" ht="18.75" customHeight="1">
      <c r="A34" s="29">
        <v>29</v>
      </c>
      <c r="B34" s="190" t="s">
        <v>471</v>
      </c>
      <c r="C34" s="266" t="s">
        <v>372</v>
      </c>
      <c r="D34" s="215" t="s">
        <v>105</v>
      </c>
      <c r="E34" s="277">
        <v>300000</v>
      </c>
      <c r="F34" s="277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5" t="s">
        <v>331</v>
      </c>
      <c r="D35" s="29" t="s">
        <v>105</v>
      </c>
      <c r="E35" s="277">
        <v>300000</v>
      </c>
      <c r="F35" s="277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4" t="s">
        <v>314</v>
      </c>
      <c r="D36" s="215" t="s">
        <v>105</v>
      </c>
      <c r="E36" s="277">
        <v>300000</v>
      </c>
      <c r="F36" s="277">
        <v>300000</v>
      </c>
      <c r="G36" s="24">
        <v>0</v>
      </c>
    </row>
    <row r="37" spans="1:7" ht="18.75" customHeight="1">
      <c r="A37" s="29">
        <v>32</v>
      </c>
      <c r="B37" s="190" t="s">
        <v>455</v>
      </c>
      <c r="C37" s="264" t="s">
        <v>314</v>
      </c>
      <c r="D37" s="215" t="s">
        <v>105</v>
      </c>
      <c r="E37" s="277">
        <v>300000</v>
      </c>
      <c r="F37" s="277">
        <v>300000</v>
      </c>
      <c r="G37" s="24">
        <v>0</v>
      </c>
    </row>
    <row r="38" spans="1:7" ht="26.25" customHeight="1">
      <c r="A38" s="29"/>
      <c r="B38" s="192" t="s">
        <v>15</v>
      </c>
      <c r="C38" s="267">
        <v>29</v>
      </c>
      <c r="D38" s="215"/>
      <c r="E38" s="278">
        <f>SUM(E6:E37)</f>
        <v>15700000</v>
      </c>
      <c r="F38" s="278">
        <f>SUM(F6:F37)</f>
        <v>6100000</v>
      </c>
      <c r="G38" s="278">
        <f t="shared" ref="G38" si="1">SUM(G6:G37)</f>
        <v>9600000</v>
      </c>
    </row>
    <row r="39" spans="1:7" ht="18.75" customHeight="1">
      <c r="A39" s="29"/>
      <c r="B39" s="142"/>
      <c r="C39" s="265"/>
      <c r="D39" s="215"/>
      <c r="E39" s="278"/>
      <c r="F39" s="277"/>
      <c r="G39" s="278"/>
    </row>
    <row r="40" spans="1:7" ht="18.75" customHeight="1">
      <c r="A40" s="29"/>
      <c r="B40" s="192" t="s">
        <v>284</v>
      </c>
      <c r="C40" s="265"/>
      <c r="D40" s="215"/>
      <c r="E40" s="277"/>
      <c r="F40" s="277"/>
      <c r="G40" s="277"/>
    </row>
    <row r="41" spans="1:7" ht="18.75" customHeight="1">
      <c r="A41" s="29">
        <v>1</v>
      </c>
      <c r="B41" s="190" t="s">
        <v>361</v>
      </c>
      <c r="C41" s="265" t="s">
        <v>362</v>
      </c>
      <c r="D41" s="29" t="s">
        <v>206</v>
      </c>
      <c r="E41" s="277">
        <v>1000000</v>
      </c>
      <c r="F41" s="24">
        <v>0</v>
      </c>
      <c r="G41" s="277">
        <v>1000000</v>
      </c>
    </row>
    <row r="42" spans="1:7" ht="18.75" customHeight="1">
      <c r="A42" s="29">
        <v>2</v>
      </c>
      <c r="B42" s="190" t="s">
        <v>419</v>
      </c>
      <c r="C42" s="265" t="s">
        <v>427</v>
      </c>
      <c r="D42" s="29" t="s">
        <v>105</v>
      </c>
      <c r="E42" s="277">
        <v>300000</v>
      </c>
      <c r="F42" s="277">
        <v>300000</v>
      </c>
      <c r="G42" s="24">
        <v>0</v>
      </c>
    </row>
    <row r="43" spans="1:7" ht="19.5" customHeight="1">
      <c r="A43" s="29"/>
      <c r="B43" s="191"/>
      <c r="C43" s="267">
        <v>2</v>
      </c>
      <c r="D43" s="29"/>
      <c r="E43" s="278">
        <f>SUM(E41:E42)</f>
        <v>1300000</v>
      </c>
      <c r="F43" s="278">
        <f t="shared" ref="F43:G43" si="2">SUM(F41:F42)</f>
        <v>300000</v>
      </c>
      <c r="G43" s="278">
        <f t="shared" si="2"/>
        <v>1000000</v>
      </c>
    </row>
    <row r="44" spans="1:7" ht="20.100000000000001" customHeight="1">
      <c r="A44" s="29"/>
      <c r="B44" s="191"/>
      <c r="C44" s="265"/>
      <c r="D44" s="29"/>
      <c r="E44" s="277"/>
      <c r="F44" s="277"/>
      <c r="G44" s="277"/>
    </row>
    <row r="45" spans="1:7" ht="20.100000000000001" customHeight="1">
      <c r="A45" s="29"/>
      <c r="B45" s="219" t="s">
        <v>56</v>
      </c>
      <c r="C45" s="268"/>
      <c r="D45" s="208"/>
      <c r="E45" s="277"/>
      <c r="F45" s="277"/>
      <c r="G45" s="277"/>
    </row>
    <row r="46" spans="1:7" ht="20.100000000000001" customHeight="1">
      <c r="A46" s="29">
        <v>1</v>
      </c>
      <c r="B46" s="189" t="s">
        <v>255</v>
      </c>
      <c r="C46" s="265" t="s">
        <v>256</v>
      </c>
      <c r="D46" s="29" t="s">
        <v>161</v>
      </c>
      <c r="E46" s="277">
        <v>1000000</v>
      </c>
      <c r="F46" s="24">
        <v>0</v>
      </c>
      <c r="G46" s="277">
        <v>1000000</v>
      </c>
    </row>
    <row r="47" spans="1:7" ht="20.100000000000001" customHeight="1">
      <c r="A47" s="29">
        <v>2</v>
      </c>
      <c r="B47" s="189" t="s">
        <v>158</v>
      </c>
      <c r="C47" s="265" t="s">
        <v>199</v>
      </c>
      <c r="D47" s="29" t="s">
        <v>75</v>
      </c>
      <c r="E47" s="277">
        <v>700000</v>
      </c>
      <c r="F47" s="24">
        <v>0</v>
      </c>
      <c r="G47" s="277">
        <v>700000</v>
      </c>
    </row>
    <row r="48" spans="1:7" ht="20.100000000000001" customHeight="1">
      <c r="A48" s="29">
        <v>3</v>
      </c>
      <c r="B48" s="189" t="s">
        <v>165</v>
      </c>
      <c r="C48" s="265" t="s">
        <v>258</v>
      </c>
      <c r="D48" s="29" t="s">
        <v>75</v>
      </c>
      <c r="E48" s="277">
        <v>700000</v>
      </c>
      <c r="F48" s="24">
        <v>0</v>
      </c>
      <c r="G48" s="277">
        <v>700000</v>
      </c>
    </row>
    <row r="49" spans="1:7" ht="20.100000000000001" customHeight="1">
      <c r="A49" s="29">
        <v>4</v>
      </c>
      <c r="B49" s="189" t="s">
        <v>159</v>
      </c>
      <c r="C49" s="265" t="s">
        <v>258</v>
      </c>
      <c r="D49" s="29" t="s">
        <v>148</v>
      </c>
      <c r="E49" s="277">
        <v>700000</v>
      </c>
      <c r="F49" s="24">
        <v>0</v>
      </c>
      <c r="G49" s="277">
        <v>700000</v>
      </c>
    </row>
    <row r="50" spans="1:7" ht="20.100000000000001" customHeight="1">
      <c r="A50" s="29">
        <v>5</v>
      </c>
      <c r="B50" s="189" t="s">
        <v>118</v>
      </c>
      <c r="C50" s="265" t="s">
        <v>258</v>
      </c>
      <c r="D50" s="29" t="s">
        <v>30</v>
      </c>
      <c r="E50" s="277">
        <v>700000</v>
      </c>
      <c r="F50" s="24">
        <v>0</v>
      </c>
      <c r="G50" s="277">
        <v>700000</v>
      </c>
    </row>
    <row r="51" spans="1:7" ht="20.100000000000001" customHeight="1">
      <c r="A51" s="29">
        <v>6</v>
      </c>
      <c r="B51" s="189" t="s">
        <v>205</v>
      </c>
      <c r="C51" s="265" t="s">
        <v>78</v>
      </c>
      <c r="D51" s="29" t="s">
        <v>162</v>
      </c>
      <c r="E51" s="277">
        <v>500000</v>
      </c>
      <c r="F51" s="24">
        <v>0</v>
      </c>
      <c r="G51" s="277">
        <v>500000</v>
      </c>
    </row>
    <row r="52" spans="1:7" ht="20.100000000000001" customHeight="1">
      <c r="A52" s="29">
        <v>7</v>
      </c>
      <c r="B52" s="191" t="s">
        <v>173</v>
      </c>
      <c r="C52" s="265" t="s">
        <v>297</v>
      </c>
      <c r="D52" s="25" t="s">
        <v>162</v>
      </c>
      <c r="E52" s="277">
        <v>500000</v>
      </c>
      <c r="F52" s="24">
        <v>0</v>
      </c>
      <c r="G52" s="277">
        <v>500000</v>
      </c>
    </row>
    <row r="53" spans="1:7" ht="20.100000000000001" customHeight="1">
      <c r="A53" s="29">
        <v>8</v>
      </c>
      <c r="B53" s="189" t="s">
        <v>116</v>
      </c>
      <c r="C53" s="265" t="s">
        <v>297</v>
      </c>
      <c r="D53" s="29" t="s">
        <v>222</v>
      </c>
      <c r="E53" s="277">
        <v>500000</v>
      </c>
      <c r="F53" s="24">
        <v>0</v>
      </c>
      <c r="G53" s="277">
        <v>500000</v>
      </c>
    </row>
    <row r="54" spans="1:7" ht="20.100000000000001" customHeight="1">
      <c r="A54" s="29">
        <v>9</v>
      </c>
      <c r="B54" s="189" t="s">
        <v>184</v>
      </c>
      <c r="C54" s="265" t="s">
        <v>80</v>
      </c>
      <c r="D54" s="29" t="s">
        <v>163</v>
      </c>
      <c r="E54" s="277">
        <v>500000</v>
      </c>
      <c r="F54" s="277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5" t="s">
        <v>84</v>
      </c>
      <c r="D55" s="29" t="s">
        <v>428</v>
      </c>
      <c r="E55" s="277">
        <v>300000</v>
      </c>
      <c r="F55" s="277">
        <v>300000</v>
      </c>
      <c r="G55" s="24">
        <v>0</v>
      </c>
    </row>
    <row r="56" spans="1:7" ht="20.100000000000001" customHeight="1">
      <c r="A56" s="29">
        <v>11</v>
      </c>
      <c r="B56" s="189" t="s">
        <v>437</v>
      </c>
      <c r="C56" s="265" t="s">
        <v>84</v>
      </c>
      <c r="D56" s="29" t="s">
        <v>428</v>
      </c>
      <c r="E56" s="277">
        <v>300000</v>
      </c>
      <c r="F56" s="277">
        <v>300000</v>
      </c>
      <c r="G56" s="24">
        <v>0</v>
      </c>
    </row>
    <row r="57" spans="1:7" ht="20.100000000000001" customHeight="1">
      <c r="A57" s="29">
        <v>12</v>
      </c>
      <c r="B57" s="189" t="s">
        <v>454</v>
      </c>
      <c r="C57" s="265" t="s">
        <v>84</v>
      </c>
      <c r="D57" s="29" t="s">
        <v>428</v>
      </c>
      <c r="E57" s="277">
        <v>300000</v>
      </c>
      <c r="F57" s="277">
        <v>300000</v>
      </c>
      <c r="G57" s="24">
        <v>0</v>
      </c>
    </row>
    <row r="58" spans="1:7" ht="25.5" customHeight="1">
      <c r="A58" s="29"/>
      <c r="B58" s="192" t="s">
        <v>15</v>
      </c>
      <c r="C58" s="267">
        <v>11</v>
      </c>
      <c r="D58" s="30"/>
      <c r="E58" s="279">
        <f>SUM(E46:E57)</f>
        <v>6700000</v>
      </c>
      <c r="F58" s="279">
        <f t="shared" ref="F58:G58" si="3">SUM(F46:F57)</f>
        <v>1400000</v>
      </c>
      <c r="G58" s="279">
        <f t="shared" si="3"/>
        <v>5300000</v>
      </c>
    </row>
    <row r="59" spans="1:7" ht="20.100000000000001" customHeight="1">
      <c r="A59" s="29"/>
      <c r="B59" s="142"/>
      <c r="C59" s="267"/>
      <c r="D59" s="30"/>
      <c r="E59" s="280"/>
      <c r="F59" s="280"/>
      <c r="G59" s="280"/>
    </row>
    <row r="60" spans="1:7" ht="20.100000000000001" customHeight="1">
      <c r="A60" s="29"/>
      <c r="B60" s="192" t="s">
        <v>195</v>
      </c>
      <c r="C60" s="267"/>
      <c r="D60" s="30"/>
      <c r="E60" s="280"/>
      <c r="F60" s="280"/>
      <c r="G60" s="280"/>
    </row>
    <row r="61" spans="1:7" ht="20.100000000000001" customHeight="1">
      <c r="A61" s="29">
        <v>1</v>
      </c>
      <c r="B61" s="189" t="s">
        <v>11</v>
      </c>
      <c r="C61" s="264" t="s">
        <v>200</v>
      </c>
      <c r="D61" s="215" t="s">
        <v>161</v>
      </c>
      <c r="E61" s="277">
        <f>1000000/2</f>
        <v>500000</v>
      </c>
      <c r="F61" s="24">
        <v>0</v>
      </c>
      <c r="G61" s="277">
        <f t="shared" ref="G61" si="4">1000000/2</f>
        <v>500000</v>
      </c>
    </row>
    <row r="62" spans="1:7" ht="20.100000000000001" customHeight="1">
      <c r="A62" s="29"/>
      <c r="B62" s="192" t="s">
        <v>15</v>
      </c>
      <c r="C62" s="267">
        <v>2</v>
      </c>
      <c r="D62" s="30"/>
      <c r="E62" s="279">
        <f>SUM(E61)</f>
        <v>500000</v>
      </c>
      <c r="F62" s="78">
        <f t="shared" ref="F62:G62" si="5">SUM(F61)</f>
        <v>0</v>
      </c>
      <c r="G62" s="279">
        <f t="shared" si="5"/>
        <v>500000</v>
      </c>
    </row>
    <row r="63" spans="1:7" ht="20.100000000000001" customHeight="1">
      <c r="A63" s="29"/>
      <c r="B63" s="192"/>
      <c r="C63" s="267"/>
      <c r="D63" s="30"/>
      <c r="E63" s="280"/>
      <c r="F63" s="280"/>
      <c r="G63" s="280"/>
    </row>
    <row r="64" spans="1:7" ht="20.100000000000001" customHeight="1">
      <c r="A64" s="29"/>
      <c r="B64" s="192" t="s">
        <v>463</v>
      </c>
      <c r="C64" s="267"/>
      <c r="D64" s="30"/>
      <c r="E64" s="280"/>
      <c r="F64" s="280"/>
      <c r="G64" s="280"/>
    </row>
    <row r="65" spans="1:7" ht="20.100000000000001" customHeight="1">
      <c r="A65" s="29">
        <v>1</v>
      </c>
      <c r="B65" s="189" t="s">
        <v>277</v>
      </c>
      <c r="C65" s="266" t="s">
        <v>278</v>
      </c>
      <c r="D65" s="29" t="s">
        <v>161</v>
      </c>
      <c r="E65" s="281">
        <f>1000000/2</f>
        <v>500000</v>
      </c>
      <c r="F65" s="26">
        <v>0</v>
      </c>
      <c r="G65" s="281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6" t="s">
        <v>188</v>
      </c>
      <c r="D66" s="215" t="s">
        <v>272</v>
      </c>
      <c r="E66" s="277">
        <f>700000/2</f>
        <v>350000</v>
      </c>
      <c r="F66" s="26">
        <v>0</v>
      </c>
      <c r="G66" s="277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5" t="s">
        <v>257</v>
      </c>
      <c r="D67" s="29" t="s">
        <v>163</v>
      </c>
      <c r="E67" s="281">
        <v>500000</v>
      </c>
      <c r="F67" s="281">
        <v>500000</v>
      </c>
      <c r="G67" s="26">
        <v>0</v>
      </c>
    </row>
    <row r="68" spans="1:7" ht="20.100000000000001" customHeight="1">
      <c r="A68" s="29">
        <v>4</v>
      </c>
      <c r="B68" s="190" t="s">
        <v>450</v>
      </c>
      <c r="C68" s="266" t="s">
        <v>257</v>
      </c>
      <c r="D68" s="215" t="s">
        <v>149</v>
      </c>
      <c r="E68" s="281">
        <v>500000</v>
      </c>
      <c r="F68" s="281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6" t="s">
        <v>297</v>
      </c>
      <c r="D69" s="215" t="s">
        <v>162</v>
      </c>
      <c r="E69" s="281">
        <v>500000</v>
      </c>
      <c r="F69" s="26">
        <v>0</v>
      </c>
      <c r="G69" s="281">
        <v>500000</v>
      </c>
    </row>
    <row r="70" spans="1:7" ht="20.100000000000001" customHeight="1">
      <c r="A70" s="29">
        <v>6</v>
      </c>
      <c r="B70" s="189" t="s">
        <v>117</v>
      </c>
      <c r="C70" s="265" t="s">
        <v>84</v>
      </c>
      <c r="D70" s="29" t="s">
        <v>298</v>
      </c>
      <c r="E70" s="277">
        <v>300000</v>
      </c>
      <c r="F70" s="281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6" t="s">
        <v>422</v>
      </c>
      <c r="D71" s="215" t="s">
        <v>415</v>
      </c>
      <c r="E71" s="277">
        <v>400000</v>
      </c>
      <c r="F71" s="281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6" t="s">
        <v>422</v>
      </c>
      <c r="D72" s="215" t="s">
        <v>369</v>
      </c>
      <c r="E72" s="277">
        <v>400000</v>
      </c>
      <c r="F72" s="281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6" t="s">
        <v>422</v>
      </c>
      <c r="D73" s="215" t="s">
        <v>369</v>
      </c>
      <c r="E73" s="277">
        <v>400000</v>
      </c>
      <c r="F73" s="281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5" t="s">
        <v>486</v>
      </c>
      <c r="D74" s="29" t="s">
        <v>369</v>
      </c>
      <c r="E74" s="277">
        <v>400000</v>
      </c>
      <c r="F74" s="281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6" t="s">
        <v>84</v>
      </c>
      <c r="D75" s="29" t="s">
        <v>104</v>
      </c>
      <c r="E75" s="277">
        <v>300000</v>
      </c>
      <c r="F75" s="281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6" t="s">
        <v>115</v>
      </c>
      <c r="D76" s="29" t="s">
        <v>428</v>
      </c>
      <c r="E76" s="277">
        <v>300000</v>
      </c>
      <c r="F76" s="281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6" t="s">
        <v>115</v>
      </c>
      <c r="D77" s="29" t="s">
        <v>105</v>
      </c>
      <c r="E77" s="277">
        <v>300000</v>
      </c>
      <c r="F77" s="277">
        <v>300000</v>
      </c>
      <c r="G77" s="24">
        <v>0</v>
      </c>
    </row>
    <row r="78" spans="1:7" ht="20.100000000000001" customHeight="1">
      <c r="A78" s="29"/>
      <c r="B78" s="192" t="s">
        <v>15</v>
      </c>
      <c r="C78" s="267">
        <v>13</v>
      </c>
      <c r="D78" s="30"/>
      <c r="E78" s="279">
        <f>SUM(E65:E77)</f>
        <v>5150000</v>
      </c>
      <c r="F78" s="279">
        <f t="shared" ref="F78:G78" si="8">SUM(F65:F77)</f>
        <v>3800000</v>
      </c>
      <c r="G78" s="279">
        <f t="shared" si="8"/>
        <v>1350000</v>
      </c>
    </row>
    <row r="79" spans="1:7" ht="20.100000000000001" customHeight="1">
      <c r="A79" s="29"/>
      <c r="B79" s="142"/>
      <c r="C79" s="267"/>
      <c r="D79" s="30"/>
      <c r="E79" s="280"/>
      <c r="F79" s="280"/>
      <c r="G79" s="280"/>
    </row>
    <row r="80" spans="1:7" ht="20.100000000000001" customHeight="1">
      <c r="A80" s="29"/>
      <c r="B80" s="192" t="s">
        <v>464</v>
      </c>
      <c r="C80" s="267"/>
      <c r="D80" s="30"/>
      <c r="E80" s="280"/>
      <c r="F80" s="280"/>
      <c r="G80" s="280"/>
    </row>
    <row r="81" spans="1:7" ht="20.100000000000001" customHeight="1">
      <c r="A81" s="29">
        <v>1</v>
      </c>
      <c r="B81" s="189" t="s">
        <v>19</v>
      </c>
      <c r="C81" s="265" t="s">
        <v>201</v>
      </c>
      <c r="D81" s="29" t="s">
        <v>161</v>
      </c>
      <c r="E81" s="277">
        <v>1000000</v>
      </c>
      <c r="F81" s="24">
        <v>0</v>
      </c>
      <c r="G81" s="277">
        <v>1000000</v>
      </c>
    </row>
    <row r="82" spans="1:7" ht="20.100000000000001" customHeight="1">
      <c r="A82" s="29">
        <v>2</v>
      </c>
      <c r="B82" s="191" t="s">
        <v>325</v>
      </c>
      <c r="C82" s="265" t="s">
        <v>245</v>
      </c>
      <c r="D82" s="215" t="s">
        <v>272</v>
      </c>
      <c r="E82" s="277">
        <v>700000</v>
      </c>
      <c r="F82" s="24">
        <v>0</v>
      </c>
      <c r="G82" s="277">
        <v>700000</v>
      </c>
    </row>
    <row r="83" spans="1:7" ht="20.100000000000001" customHeight="1">
      <c r="A83" s="29">
        <v>3</v>
      </c>
      <c r="B83" s="191" t="s">
        <v>326</v>
      </c>
      <c r="C83" s="265" t="s">
        <v>327</v>
      </c>
      <c r="D83" s="215" t="s">
        <v>272</v>
      </c>
      <c r="E83" s="277">
        <f>700000/2</f>
        <v>350000</v>
      </c>
      <c r="F83" s="24">
        <v>0</v>
      </c>
      <c r="G83" s="277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5" t="s">
        <v>296</v>
      </c>
      <c r="D84" s="215" t="s">
        <v>163</v>
      </c>
      <c r="E84" s="277">
        <v>500000</v>
      </c>
      <c r="F84" s="277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5" t="s">
        <v>243</v>
      </c>
      <c r="D85" s="29" t="s">
        <v>104</v>
      </c>
      <c r="E85" s="277">
        <v>300000</v>
      </c>
      <c r="F85" s="277">
        <v>300000</v>
      </c>
      <c r="G85" s="24">
        <v>0</v>
      </c>
    </row>
    <row r="86" spans="1:7" ht="20.100000000000001" customHeight="1">
      <c r="A86" s="29"/>
      <c r="B86" s="192" t="s">
        <v>15</v>
      </c>
      <c r="C86" s="267">
        <v>5</v>
      </c>
      <c r="D86" s="30"/>
      <c r="E86" s="279">
        <f>SUM(E81:E85)</f>
        <v>2850000</v>
      </c>
      <c r="F86" s="279">
        <f>SUM(F81:F85)</f>
        <v>800000</v>
      </c>
      <c r="G86" s="279">
        <f t="shared" ref="G86" si="10">SUM(G81:G85)</f>
        <v>2050000</v>
      </c>
    </row>
    <row r="87" spans="1:7" ht="20.100000000000001" customHeight="1">
      <c r="A87" s="29"/>
      <c r="B87" s="192"/>
      <c r="C87" s="267"/>
      <c r="D87" s="30"/>
      <c r="E87" s="277"/>
      <c r="F87" s="277"/>
      <c r="G87" s="277"/>
    </row>
    <row r="88" spans="1:7" ht="20.100000000000001" customHeight="1">
      <c r="A88" s="29"/>
      <c r="B88" s="192" t="s">
        <v>465</v>
      </c>
      <c r="C88" s="269"/>
      <c r="D88" s="30"/>
      <c r="E88" s="277"/>
      <c r="F88" s="277"/>
      <c r="G88" s="277"/>
    </row>
    <row r="89" spans="1:7" ht="20.100000000000001" customHeight="1">
      <c r="A89" s="29">
        <v>1</v>
      </c>
      <c r="B89" s="189" t="s">
        <v>244</v>
      </c>
      <c r="C89" s="265" t="s">
        <v>312</v>
      </c>
      <c r="D89" s="29" t="s">
        <v>221</v>
      </c>
      <c r="E89" s="277">
        <v>700000</v>
      </c>
      <c r="F89" s="24">
        <v>0</v>
      </c>
      <c r="G89" s="277">
        <v>700000</v>
      </c>
    </row>
    <row r="90" spans="1:7" ht="20.100000000000001" customHeight="1">
      <c r="A90" s="29">
        <v>2</v>
      </c>
      <c r="B90" s="189" t="s">
        <v>169</v>
      </c>
      <c r="C90" s="265" t="s">
        <v>258</v>
      </c>
      <c r="D90" s="29" t="s">
        <v>75</v>
      </c>
      <c r="E90" s="277">
        <v>700000</v>
      </c>
      <c r="F90" s="24">
        <v>0</v>
      </c>
      <c r="G90" s="277">
        <v>700000</v>
      </c>
    </row>
    <row r="91" spans="1:7" ht="20.100000000000001" customHeight="1">
      <c r="A91" s="29">
        <v>3</v>
      </c>
      <c r="B91" s="189" t="s">
        <v>192</v>
      </c>
      <c r="C91" s="265" t="s">
        <v>258</v>
      </c>
      <c r="D91" s="29" t="s">
        <v>75</v>
      </c>
      <c r="E91" s="277">
        <v>700000</v>
      </c>
      <c r="F91" s="24">
        <v>0</v>
      </c>
      <c r="G91" s="277">
        <v>700000</v>
      </c>
    </row>
    <row r="92" spans="1:7" ht="20.100000000000001" customHeight="1">
      <c r="A92" s="29">
        <v>4</v>
      </c>
      <c r="B92" s="191" t="s">
        <v>138</v>
      </c>
      <c r="C92" s="265" t="s">
        <v>297</v>
      </c>
      <c r="D92" s="29" t="s">
        <v>181</v>
      </c>
      <c r="E92" s="281">
        <v>500000</v>
      </c>
      <c r="F92" s="24">
        <v>0</v>
      </c>
      <c r="G92" s="281">
        <v>500000</v>
      </c>
    </row>
    <row r="93" spans="1:7" ht="20.100000000000001" customHeight="1">
      <c r="A93" s="29">
        <v>5</v>
      </c>
      <c r="B93" s="189" t="s">
        <v>202</v>
      </c>
      <c r="C93" s="265" t="s">
        <v>78</v>
      </c>
      <c r="D93" s="29" t="s">
        <v>162</v>
      </c>
      <c r="E93" s="281">
        <v>500000</v>
      </c>
      <c r="F93" s="24">
        <v>0</v>
      </c>
      <c r="G93" s="281">
        <v>500000</v>
      </c>
    </row>
    <row r="94" spans="1:7" ht="21.6" customHeight="1">
      <c r="A94" s="29">
        <v>6</v>
      </c>
      <c r="B94" s="189" t="s">
        <v>101</v>
      </c>
      <c r="C94" s="265" t="s">
        <v>80</v>
      </c>
      <c r="D94" s="215" t="s">
        <v>163</v>
      </c>
      <c r="E94" s="281">
        <v>500000</v>
      </c>
      <c r="F94" s="277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4" t="s">
        <v>257</v>
      </c>
      <c r="D95" s="215" t="s">
        <v>149</v>
      </c>
      <c r="E95" s="281">
        <v>500000</v>
      </c>
      <c r="F95" s="277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4" t="s">
        <v>257</v>
      </c>
      <c r="D96" s="215" t="s">
        <v>149</v>
      </c>
      <c r="E96" s="281">
        <f>500000/2</f>
        <v>250000</v>
      </c>
      <c r="F96" s="281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6" t="s">
        <v>422</v>
      </c>
      <c r="D97" s="215" t="s">
        <v>369</v>
      </c>
      <c r="E97" s="277">
        <v>400000</v>
      </c>
      <c r="F97" s="277">
        <v>400000</v>
      </c>
      <c r="G97" s="26">
        <v>0</v>
      </c>
    </row>
    <row r="98" spans="1:7" ht="21.6" customHeight="1">
      <c r="A98" s="29">
        <v>10</v>
      </c>
      <c r="B98" s="189" t="s">
        <v>438</v>
      </c>
      <c r="C98" s="265" t="s">
        <v>472</v>
      </c>
      <c r="D98" s="29" t="s">
        <v>104</v>
      </c>
      <c r="E98" s="277">
        <v>300000</v>
      </c>
      <c r="F98" s="277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6" t="s">
        <v>434</v>
      </c>
      <c r="D99" s="215" t="s">
        <v>105</v>
      </c>
      <c r="E99" s="277">
        <v>300000</v>
      </c>
      <c r="F99" s="277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7">
        <v>10</v>
      </c>
      <c r="D100" s="30"/>
      <c r="E100" s="279">
        <f>SUM(E89:E99)</f>
        <v>5350000</v>
      </c>
      <c r="F100" s="279">
        <f t="shared" ref="F100:G100" si="11">SUM(F89:F99)</f>
        <v>2250000</v>
      </c>
      <c r="G100" s="279">
        <f t="shared" si="11"/>
        <v>3100000</v>
      </c>
    </row>
    <row r="101" spans="1:7" ht="20.100000000000001" customHeight="1">
      <c r="A101" s="29"/>
      <c r="B101" s="142"/>
      <c r="C101" s="267"/>
      <c r="D101" s="30"/>
      <c r="E101" s="280"/>
      <c r="F101" s="280"/>
      <c r="G101" s="280"/>
    </row>
    <row r="102" spans="1:7" ht="20.100000000000001" customHeight="1">
      <c r="A102" s="29"/>
      <c r="B102" s="192" t="s">
        <v>492</v>
      </c>
      <c r="C102" s="267"/>
      <c r="D102" s="30"/>
      <c r="E102" s="280"/>
      <c r="F102" s="280"/>
      <c r="G102" s="280"/>
    </row>
    <row r="103" spans="1:7" ht="20.100000000000001" customHeight="1">
      <c r="A103" s="29">
        <v>1</v>
      </c>
      <c r="B103" s="190" t="s">
        <v>364</v>
      </c>
      <c r="C103" s="270" t="s">
        <v>343</v>
      </c>
      <c r="D103" s="215" t="s">
        <v>221</v>
      </c>
      <c r="E103" s="277">
        <v>700000</v>
      </c>
      <c r="F103" s="24">
        <v>0</v>
      </c>
      <c r="G103" s="277">
        <v>700000</v>
      </c>
    </row>
    <row r="104" spans="1:7" ht="20.100000000000001" customHeight="1">
      <c r="A104" s="29">
        <v>2</v>
      </c>
      <c r="B104" s="189" t="s">
        <v>185</v>
      </c>
      <c r="C104" s="265" t="s">
        <v>373</v>
      </c>
      <c r="D104" s="29" t="s">
        <v>162</v>
      </c>
      <c r="E104" s="277">
        <v>500000</v>
      </c>
      <c r="F104" s="24">
        <v>0</v>
      </c>
      <c r="G104" s="277">
        <v>500000</v>
      </c>
    </row>
    <row r="105" spans="1:7" ht="20.100000000000001" customHeight="1">
      <c r="A105" s="29">
        <v>3</v>
      </c>
      <c r="B105" s="190" t="s">
        <v>366</v>
      </c>
      <c r="C105" s="265" t="s">
        <v>367</v>
      </c>
      <c r="D105" s="215" t="s">
        <v>149</v>
      </c>
      <c r="E105" s="277">
        <v>500000</v>
      </c>
      <c r="F105" s="277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5" t="s">
        <v>485</v>
      </c>
      <c r="D106" s="215" t="s">
        <v>369</v>
      </c>
      <c r="E106" s="277">
        <v>400000</v>
      </c>
      <c r="F106" s="277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7">
        <v>4</v>
      </c>
      <c r="D107" s="221"/>
      <c r="E107" s="279">
        <f>SUM(E103:E106)</f>
        <v>2100000</v>
      </c>
      <c r="F107" s="279">
        <f t="shared" ref="F107:G107" si="12">SUM(F103:F106)</f>
        <v>900000</v>
      </c>
      <c r="G107" s="279">
        <f t="shared" si="12"/>
        <v>1200000</v>
      </c>
    </row>
    <row r="108" spans="1:7" ht="20.100000000000001" customHeight="1">
      <c r="A108" s="21"/>
      <c r="B108" s="142"/>
      <c r="C108" s="267"/>
      <c r="D108" s="221"/>
      <c r="E108" s="280"/>
      <c r="F108" s="280"/>
      <c r="G108" s="280"/>
    </row>
    <row r="109" spans="1:7" ht="20.100000000000001" customHeight="1">
      <c r="A109" s="21"/>
      <c r="B109" s="192" t="s">
        <v>467</v>
      </c>
      <c r="C109" s="265"/>
      <c r="D109" s="21"/>
      <c r="E109" s="282"/>
      <c r="F109" s="282"/>
      <c r="G109" s="282"/>
    </row>
    <row r="110" spans="1:7" ht="20.100000000000001" customHeight="1">
      <c r="A110" s="21">
        <v>1</v>
      </c>
      <c r="B110" s="189" t="s">
        <v>216</v>
      </c>
      <c r="C110" s="264" t="s">
        <v>217</v>
      </c>
      <c r="D110" s="215" t="s">
        <v>161</v>
      </c>
      <c r="E110" s="277">
        <v>1000000</v>
      </c>
      <c r="F110" s="24">
        <v>0</v>
      </c>
      <c r="G110" s="277">
        <v>1000000</v>
      </c>
    </row>
    <row r="111" spans="1:7" ht="20.100000000000001" customHeight="1">
      <c r="A111" s="21">
        <v>2</v>
      </c>
      <c r="B111" s="189" t="s">
        <v>110</v>
      </c>
      <c r="C111" s="265" t="s">
        <v>259</v>
      </c>
      <c r="D111" s="25" t="s">
        <v>29</v>
      </c>
      <c r="E111" s="277">
        <v>700000</v>
      </c>
      <c r="F111" s="24">
        <v>0</v>
      </c>
      <c r="G111" s="277">
        <v>700000</v>
      </c>
    </row>
    <row r="112" spans="1:7" ht="20.100000000000001" customHeight="1">
      <c r="A112" s="21">
        <v>3</v>
      </c>
      <c r="B112" s="189" t="s">
        <v>109</v>
      </c>
      <c r="C112" s="265" t="s">
        <v>311</v>
      </c>
      <c r="D112" s="29" t="s">
        <v>175</v>
      </c>
      <c r="E112" s="277">
        <v>500000</v>
      </c>
      <c r="F112" s="277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5" t="s">
        <v>311</v>
      </c>
      <c r="D113" s="29" t="s">
        <v>170</v>
      </c>
      <c r="E113" s="277">
        <v>500000</v>
      </c>
      <c r="F113" s="277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5" t="s">
        <v>338</v>
      </c>
      <c r="D114" s="215" t="s">
        <v>267</v>
      </c>
      <c r="E114" s="277">
        <v>300000</v>
      </c>
      <c r="F114" s="277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5" t="s">
        <v>338</v>
      </c>
      <c r="D115" s="29" t="s">
        <v>51</v>
      </c>
      <c r="E115" s="277">
        <v>300000</v>
      </c>
      <c r="F115" s="277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5" t="s">
        <v>338</v>
      </c>
      <c r="D116" s="215" t="s">
        <v>105</v>
      </c>
      <c r="E116" s="277">
        <v>300000</v>
      </c>
      <c r="F116" s="277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7">
        <v>7</v>
      </c>
      <c r="D117" s="21"/>
      <c r="E117" s="283">
        <f>SUM(E110:E116)</f>
        <v>3600000</v>
      </c>
      <c r="F117" s="283">
        <f t="shared" ref="F117:G117" si="13">SUM(F110:F116)</f>
        <v>1900000</v>
      </c>
      <c r="G117" s="283">
        <f t="shared" si="13"/>
        <v>1700000</v>
      </c>
    </row>
    <row r="118" spans="1:7" ht="20.100000000000001" customHeight="1">
      <c r="A118" s="21"/>
      <c r="B118" s="142"/>
      <c r="C118" s="270"/>
      <c r="D118" s="21"/>
      <c r="E118" s="284"/>
      <c r="F118" s="284"/>
      <c r="G118" s="284"/>
    </row>
    <row r="119" spans="1:7" ht="20.100000000000001" customHeight="1">
      <c r="A119" s="21"/>
      <c r="B119" s="192" t="s">
        <v>468</v>
      </c>
      <c r="C119" s="267"/>
      <c r="D119" s="30"/>
      <c r="E119" s="277"/>
      <c r="F119" s="277"/>
      <c r="G119" s="277"/>
    </row>
    <row r="120" spans="1:7" ht="20.100000000000001" customHeight="1">
      <c r="A120" s="21">
        <v>1</v>
      </c>
      <c r="B120" s="189" t="s">
        <v>20</v>
      </c>
      <c r="C120" s="264" t="s">
        <v>250</v>
      </c>
      <c r="D120" s="215" t="s">
        <v>161</v>
      </c>
      <c r="E120" s="277">
        <v>1000000</v>
      </c>
      <c r="F120" s="24">
        <v>0</v>
      </c>
      <c r="G120" s="277">
        <v>1000000</v>
      </c>
    </row>
    <row r="121" spans="1:7" ht="20.100000000000001" customHeight="1">
      <c r="A121" s="21">
        <v>2</v>
      </c>
      <c r="B121" s="189" t="s">
        <v>100</v>
      </c>
      <c r="C121" s="264" t="s">
        <v>268</v>
      </c>
      <c r="D121" s="215" t="s">
        <v>160</v>
      </c>
      <c r="E121" s="277">
        <v>700000</v>
      </c>
      <c r="F121" s="24">
        <v>0</v>
      </c>
      <c r="G121" s="277">
        <v>700000</v>
      </c>
    </row>
    <row r="122" spans="1:7" ht="20.100000000000001" customHeight="1">
      <c r="A122" s="21">
        <v>3</v>
      </c>
      <c r="B122" s="189" t="s">
        <v>153</v>
      </c>
      <c r="C122" s="264" t="s">
        <v>376</v>
      </c>
      <c r="D122" s="215" t="s">
        <v>75</v>
      </c>
      <c r="E122" s="277">
        <v>700000</v>
      </c>
      <c r="F122" s="24">
        <v>0</v>
      </c>
      <c r="G122" s="277">
        <v>700000</v>
      </c>
    </row>
    <row r="123" spans="1:7" ht="20.100000000000001" customHeight="1">
      <c r="A123" s="21">
        <v>4</v>
      </c>
      <c r="B123" s="191" t="s">
        <v>142</v>
      </c>
      <c r="C123" s="264" t="s">
        <v>376</v>
      </c>
      <c r="D123" s="215" t="s">
        <v>75</v>
      </c>
      <c r="E123" s="277">
        <v>700000</v>
      </c>
      <c r="F123" s="24">
        <v>0</v>
      </c>
      <c r="G123" s="277">
        <v>700000</v>
      </c>
    </row>
    <row r="124" spans="1:7" ht="20.100000000000001" customHeight="1">
      <c r="A124" s="21">
        <v>5</v>
      </c>
      <c r="B124" s="191" t="s">
        <v>363</v>
      </c>
      <c r="C124" s="264" t="s">
        <v>376</v>
      </c>
      <c r="D124" s="215" t="s">
        <v>30</v>
      </c>
      <c r="E124" s="277">
        <v>700000</v>
      </c>
      <c r="F124" s="24">
        <v>0</v>
      </c>
      <c r="G124" s="277">
        <v>700000</v>
      </c>
    </row>
    <row r="125" spans="1:7" ht="20.100000000000001" customHeight="1">
      <c r="A125" s="21">
        <v>6</v>
      </c>
      <c r="B125" s="189" t="s">
        <v>108</v>
      </c>
      <c r="C125" s="264" t="s">
        <v>478</v>
      </c>
      <c r="D125" s="215" t="s">
        <v>222</v>
      </c>
      <c r="E125" s="277">
        <v>500000</v>
      </c>
      <c r="F125" s="24">
        <v>0</v>
      </c>
      <c r="G125" s="277">
        <v>500000</v>
      </c>
    </row>
    <row r="126" spans="1:7" ht="20.100000000000001" customHeight="1">
      <c r="A126" s="21">
        <v>7</v>
      </c>
      <c r="B126" s="189" t="s">
        <v>178</v>
      </c>
      <c r="C126" s="264" t="s">
        <v>382</v>
      </c>
      <c r="D126" s="215" t="s">
        <v>163</v>
      </c>
      <c r="E126" s="277">
        <v>500000</v>
      </c>
      <c r="F126" s="277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4" t="s">
        <v>384</v>
      </c>
      <c r="D127" s="215" t="s">
        <v>163</v>
      </c>
      <c r="E127" s="277">
        <v>500000</v>
      </c>
      <c r="F127" s="277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4" t="s">
        <v>383</v>
      </c>
      <c r="D128" s="215" t="s">
        <v>413</v>
      </c>
      <c r="E128" s="277">
        <v>500000</v>
      </c>
      <c r="F128" s="277">
        <v>500000</v>
      </c>
      <c r="G128" s="24">
        <v>0</v>
      </c>
    </row>
    <row r="129" spans="1:7" ht="20.100000000000001" customHeight="1">
      <c r="A129" s="21">
        <v>10</v>
      </c>
      <c r="B129" s="189" t="s">
        <v>445</v>
      </c>
      <c r="C129" s="264" t="s">
        <v>449</v>
      </c>
      <c r="D129" s="29" t="s">
        <v>428</v>
      </c>
      <c r="E129" s="277">
        <v>300000</v>
      </c>
      <c r="F129" s="277">
        <v>300000</v>
      </c>
      <c r="G129" s="24">
        <v>0</v>
      </c>
    </row>
    <row r="130" spans="1:7" ht="20.100000000000001" customHeight="1">
      <c r="A130" s="21">
        <v>11</v>
      </c>
      <c r="B130" s="190" t="s">
        <v>441</v>
      </c>
      <c r="C130" s="264" t="s">
        <v>442</v>
      </c>
      <c r="D130" s="215" t="s">
        <v>105</v>
      </c>
      <c r="E130" s="277">
        <v>300000</v>
      </c>
      <c r="F130" s="277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71" t="s">
        <v>292</v>
      </c>
      <c r="D131" s="215"/>
      <c r="E131" s="285">
        <f>SUM(E120:E130)</f>
        <v>6400000</v>
      </c>
      <c r="F131" s="285">
        <f t="shared" ref="F131:G131" si="14">SUM(F120:F130)</f>
        <v>2100000</v>
      </c>
      <c r="G131" s="285">
        <f t="shared" si="14"/>
        <v>4300000</v>
      </c>
    </row>
    <row r="132" spans="1:7" ht="20.100000000000001" customHeight="1">
      <c r="A132" s="21"/>
      <c r="B132" s="142"/>
      <c r="C132" s="271"/>
      <c r="D132" s="215"/>
      <c r="E132" s="286"/>
      <c r="F132" s="286"/>
      <c r="G132" s="286"/>
    </row>
    <row r="133" spans="1:7" ht="20.100000000000001" customHeight="1">
      <c r="A133" s="21"/>
      <c r="B133" s="192" t="s">
        <v>469</v>
      </c>
      <c r="C133" s="264"/>
      <c r="D133" s="215"/>
      <c r="E133" s="277"/>
      <c r="F133" s="277"/>
      <c r="G133" s="277"/>
    </row>
    <row r="134" spans="1:7" ht="20.100000000000001" customHeight="1">
      <c r="A134" s="225">
        <v>1</v>
      </c>
      <c r="B134" s="189" t="s">
        <v>21</v>
      </c>
      <c r="C134" s="264" t="s">
        <v>493</v>
      </c>
      <c r="D134" s="215" t="s">
        <v>161</v>
      </c>
      <c r="E134" s="277">
        <f>1000000/2</f>
        <v>500000</v>
      </c>
      <c r="F134" s="24">
        <v>0</v>
      </c>
      <c r="G134" s="277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4" t="s">
        <v>394</v>
      </c>
      <c r="D135" s="215" t="s">
        <v>160</v>
      </c>
      <c r="E135" s="277">
        <f>700000/2</f>
        <v>350000</v>
      </c>
      <c r="F135" s="24">
        <v>0</v>
      </c>
      <c r="G135" s="277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5" t="s">
        <v>488</v>
      </c>
      <c r="D136" s="25" t="s">
        <v>29</v>
      </c>
      <c r="E136" s="277">
        <v>700000</v>
      </c>
      <c r="F136" s="24">
        <v>0</v>
      </c>
      <c r="G136" s="277">
        <v>700000</v>
      </c>
    </row>
    <row r="137" spans="1:7" ht="20.100000000000001" customHeight="1">
      <c r="A137" s="225">
        <v>4</v>
      </c>
      <c r="B137" s="189" t="s">
        <v>106</v>
      </c>
      <c r="C137" s="264" t="s">
        <v>381</v>
      </c>
      <c r="D137" s="215" t="s">
        <v>162</v>
      </c>
      <c r="E137" s="277">
        <v>500000</v>
      </c>
      <c r="F137" s="24">
        <v>0</v>
      </c>
      <c r="G137" s="277">
        <v>500000</v>
      </c>
    </row>
    <row r="138" spans="1:7" ht="20.100000000000001" customHeight="1">
      <c r="A138" s="225">
        <v>5</v>
      </c>
      <c r="B138" s="189" t="s">
        <v>7</v>
      </c>
      <c r="C138" s="265" t="s">
        <v>385</v>
      </c>
      <c r="D138" s="215" t="s">
        <v>162</v>
      </c>
      <c r="E138" s="277">
        <v>500000</v>
      </c>
      <c r="F138" s="24">
        <v>0</v>
      </c>
      <c r="G138" s="277">
        <v>500000</v>
      </c>
    </row>
    <row r="139" spans="1:7" ht="20.100000000000001" customHeight="1">
      <c r="A139" s="225">
        <v>6</v>
      </c>
      <c r="B139" s="189" t="s">
        <v>124</v>
      </c>
      <c r="C139" s="265" t="s">
        <v>235</v>
      </c>
      <c r="D139" s="215" t="s">
        <v>163</v>
      </c>
      <c r="E139" s="277">
        <v>500000</v>
      </c>
      <c r="F139" s="277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4" t="s">
        <v>395</v>
      </c>
      <c r="D140" s="215" t="s">
        <v>415</v>
      </c>
      <c r="E140" s="277">
        <v>400000</v>
      </c>
      <c r="F140" s="277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4" t="s">
        <v>395</v>
      </c>
      <c r="D141" s="215" t="s">
        <v>415</v>
      </c>
      <c r="E141" s="277">
        <v>400000</v>
      </c>
      <c r="F141" s="277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5" t="s">
        <v>235</v>
      </c>
      <c r="D142" s="215" t="s">
        <v>415</v>
      </c>
      <c r="E142" s="277">
        <v>400000</v>
      </c>
      <c r="F142" s="277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4" t="s">
        <v>481</v>
      </c>
      <c r="D143" s="215" t="s">
        <v>369</v>
      </c>
      <c r="E143" s="277">
        <v>400000</v>
      </c>
      <c r="F143" s="277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4" t="s">
        <v>300</v>
      </c>
      <c r="D144" s="215" t="s">
        <v>164</v>
      </c>
      <c r="E144" s="277">
        <v>300000</v>
      </c>
      <c r="F144" s="277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4" t="s">
        <v>481</v>
      </c>
      <c r="D145" s="215" t="s">
        <v>369</v>
      </c>
      <c r="E145" s="277">
        <v>400000</v>
      </c>
      <c r="F145" s="277">
        <v>400000</v>
      </c>
      <c r="G145" s="24">
        <v>0</v>
      </c>
    </row>
    <row r="146" spans="1:7" ht="20.100000000000001" customHeight="1">
      <c r="A146" s="225">
        <v>13</v>
      </c>
      <c r="B146" s="189" t="s">
        <v>490</v>
      </c>
      <c r="C146" s="265" t="s">
        <v>239</v>
      </c>
      <c r="D146" s="215" t="s">
        <v>207</v>
      </c>
      <c r="E146" s="277">
        <v>300000</v>
      </c>
      <c r="F146" s="277">
        <v>300000</v>
      </c>
      <c r="G146" s="24">
        <v>0</v>
      </c>
    </row>
    <row r="147" spans="1:7" ht="20.100000000000001" customHeight="1">
      <c r="A147" s="225">
        <v>14</v>
      </c>
      <c r="B147" s="189" t="s">
        <v>491</v>
      </c>
      <c r="C147" s="265" t="s">
        <v>239</v>
      </c>
      <c r="D147" s="215" t="s">
        <v>207</v>
      </c>
      <c r="E147" s="277">
        <v>300000</v>
      </c>
      <c r="F147" s="277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5" t="s">
        <v>239</v>
      </c>
      <c r="D148" s="215" t="s">
        <v>207</v>
      </c>
      <c r="E148" s="277">
        <v>300000</v>
      </c>
      <c r="F148" s="277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4" t="s">
        <v>430</v>
      </c>
      <c r="D149" s="215" t="s">
        <v>104</v>
      </c>
      <c r="E149" s="277">
        <v>300000</v>
      </c>
      <c r="F149" s="277">
        <v>300000</v>
      </c>
      <c r="G149" s="24">
        <v>0</v>
      </c>
    </row>
    <row r="150" spans="1:7" ht="20.100000000000001" customHeight="1">
      <c r="A150" s="225">
        <v>17</v>
      </c>
      <c r="B150" s="189" t="s">
        <v>439</v>
      </c>
      <c r="C150" s="264" t="s">
        <v>440</v>
      </c>
      <c r="D150" s="29" t="s">
        <v>428</v>
      </c>
      <c r="E150" s="277">
        <v>300000</v>
      </c>
      <c r="F150" s="277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4" t="s">
        <v>487</v>
      </c>
      <c r="D151" s="215" t="s">
        <v>104</v>
      </c>
      <c r="E151" s="277">
        <v>300000</v>
      </c>
      <c r="F151" s="277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4" t="s">
        <v>483</v>
      </c>
      <c r="D152" s="215" t="s">
        <v>428</v>
      </c>
      <c r="E152" s="277">
        <v>300000</v>
      </c>
      <c r="F152" s="277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4" t="s">
        <v>484</v>
      </c>
      <c r="D153" s="215" t="s">
        <v>104</v>
      </c>
      <c r="E153" s="277">
        <v>300000</v>
      </c>
      <c r="F153" s="277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4" t="s">
        <v>348</v>
      </c>
      <c r="D154" s="215" t="s">
        <v>428</v>
      </c>
      <c r="E154" s="277">
        <v>300000</v>
      </c>
      <c r="F154" s="277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4" t="s">
        <v>290</v>
      </c>
      <c r="D155" s="215" t="s">
        <v>295</v>
      </c>
      <c r="E155" s="277">
        <v>300000</v>
      </c>
      <c r="F155" s="277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4" t="s">
        <v>131</v>
      </c>
      <c r="D156" s="215" t="s">
        <v>105</v>
      </c>
      <c r="E156" s="277">
        <v>300000</v>
      </c>
      <c r="F156" s="277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4" t="s">
        <v>131</v>
      </c>
      <c r="D157" s="215" t="s">
        <v>105</v>
      </c>
      <c r="E157" s="277">
        <v>300000</v>
      </c>
      <c r="F157" s="277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4" t="s">
        <v>290</v>
      </c>
      <c r="D158" s="215" t="s">
        <v>105</v>
      </c>
      <c r="E158" s="277">
        <v>300000</v>
      </c>
      <c r="F158" s="277">
        <v>300000</v>
      </c>
      <c r="G158" s="24">
        <v>0</v>
      </c>
    </row>
    <row r="159" spans="1:7" ht="20.100000000000001" customHeight="1">
      <c r="A159" s="225">
        <v>26</v>
      </c>
      <c r="B159" s="190" t="s">
        <v>443</v>
      </c>
      <c r="C159" s="264" t="s">
        <v>444</v>
      </c>
      <c r="D159" s="215" t="s">
        <v>105</v>
      </c>
      <c r="E159" s="277">
        <v>300000</v>
      </c>
      <c r="F159" s="277">
        <v>300000</v>
      </c>
      <c r="G159" s="24">
        <v>0</v>
      </c>
    </row>
    <row r="160" spans="1:7" ht="20.100000000000001" customHeight="1">
      <c r="A160" s="225">
        <v>27</v>
      </c>
      <c r="B160" s="190" t="s">
        <v>447</v>
      </c>
      <c r="C160" s="264" t="s">
        <v>448</v>
      </c>
      <c r="D160" s="215" t="s">
        <v>105</v>
      </c>
      <c r="E160" s="277">
        <v>300000</v>
      </c>
      <c r="F160" s="277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4" t="s">
        <v>302</v>
      </c>
      <c r="D161" s="215" t="s">
        <v>416</v>
      </c>
      <c r="E161" s="277">
        <v>100000</v>
      </c>
      <c r="F161" s="277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4" t="s">
        <v>302</v>
      </c>
      <c r="D162" s="215" t="s">
        <v>416</v>
      </c>
      <c r="E162" s="277">
        <v>100000</v>
      </c>
      <c r="F162" s="277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4" t="s">
        <v>302</v>
      </c>
      <c r="D163" s="215" t="s">
        <v>416</v>
      </c>
      <c r="E163" s="277">
        <v>100000</v>
      </c>
      <c r="F163" s="277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4" t="s">
        <v>302</v>
      </c>
      <c r="D164" s="215" t="s">
        <v>416</v>
      </c>
      <c r="E164" s="277">
        <v>100000</v>
      </c>
      <c r="F164" s="277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4" t="s">
        <v>302</v>
      </c>
      <c r="D165" s="215" t="s">
        <v>416</v>
      </c>
      <c r="E165" s="277">
        <v>100000</v>
      </c>
      <c r="F165" s="277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4" t="s">
        <v>302</v>
      </c>
      <c r="D166" s="215" t="s">
        <v>416</v>
      </c>
      <c r="E166" s="277">
        <v>100000</v>
      </c>
      <c r="F166" s="277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4" t="s">
        <v>302</v>
      </c>
      <c r="D167" s="215" t="s">
        <v>416</v>
      </c>
      <c r="E167" s="277">
        <v>100000</v>
      </c>
      <c r="F167" s="277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4" t="s">
        <v>302</v>
      </c>
      <c r="D168" s="215" t="s">
        <v>306</v>
      </c>
      <c r="E168" s="277">
        <v>100000</v>
      </c>
      <c r="F168" s="277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4" t="s">
        <v>302</v>
      </c>
      <c r="D169" s="215" t="s">
        <v>306</v>
      </c>
      <c r="E169" s="277">
        <v>100000</v>
      </c>
      <c r="F169" s="277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4" t="s">
        <v>302</v>
      </c>
      <c r="D170" s="215" t="s">
        <v>306</v>
      </c>
      <c r="E170" s="277">
        <v>100000</v>
      </c>
      <c r="F170" s="277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4" t="s">
        <v>302</v>
      </c>
      <c r="D171" s="215" t="s">
        <v>306</v>
      </c>
      <c r="E171" s="277">
        <v>100000</v>
      </c>
      <c r="F171" s="277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4" t="s">
        <v>302</v>
      </c>
      <c r="D172" s="215" t="s">
        <v>306</v>
      </c>
      <c r="E172" s="277">
        <v>100000</v>
      </c>
      <c r="F172" s="277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4" t="s">
        <v>302</v>
      </c>
      <c r="D173" s="215" t="s">
        <v>306</v>
      </c>
      <c r="E173" s="277">
        <v>100000</v>
      </c>
      <c r="F173" s="277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4" t="s">
        <v>302</v>
      </c>
      <c r="D174" s="215" t="s">
        <v>306</v>
      </c>
      <c r="E174" s="277">
        <v>100000</v>
      </c>
      <c r="F174" s="277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4" t="s">
        <v>167</v>
      </c>
      <c r="D175" s="215" t="s">
        <v>177</v>
      </c>
      <c r="E175" s="277">
        <v>100000</v>
      </c>
      <c r="F175" s="277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4" t="s">
        <v>167</v>
      </c>
      <c r="D176" s="215" t="s">
        <v>177</v>
      </c>
      <c r="E176" s="277">
        <v>100000</v>
      </c>
      <c r="F176" s="277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4" t="s">
        <v>167</v>
      </c>
      <c r="D177" s="215" t="s">
        <v>263</v>
      </c>
      <c r="E177" s="277">
        <v>100000</v>
      </c>
      <c r="F177" s="277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4" t="s">
        <v>167</v>
      </c>
      <c r="D178" s="215" t="s">
        <v>301</v>
      </c>
      <c r="E178" s="277">
        <v>100000</v>
      </c>
      <c r="F178" s="277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4" t="s">
        <v>13</v>
      </c>
      <c r="D179" s="215" t="s">
        <v>414</v>
      </c>
      <c r="E179" s="277">
        <v>100000</v>
      </c>
      <c r="F179" s="277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4" t="s">
        <v>13</v>
      </c>
      <c r="D180" s="215" t="s">
        <v>414</v>
      </c>
      <c r="E180" s="277">
        <v>100000</v>
      </c>
      <c r="F180" s="277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4" t="s">
        <v>13</v>
      </c>
      <c r="D181" s="215" t="s">
        <v>414</v>
      </c>
      <c r="E181" s="277">
        <v>100000</v>
      </c>
      <c r="F181" s="277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4" t="s">
        <v>13</v>
      </c>
      <c r="D182" s="215" t="s">
        <v>414</v>
      </c>
      <c r="E182" s="277">
        <v>100000</v>
      </c>
      <c r="F182" s="277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4" t="s">
        <v>13</v>
      </c>
      <c r="D183" s="215" t="s">
        <v>414</v>
      </c>
      <c r="E183" s="277">
        <v>100000</v>
      </c>
      <c r="F183" s="277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4" t="s">
        <v>13</v>
      </c>
      <c r="D184" s="215" t="s">
        <v>262</v>
      </c>
      <c r="E184" s="277">
        <v>100000</v>
      </c>
      <c r="F184" s="277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4" t="s">
        <v>13</v>
      </c>
      <c r="D185" s="215" t="s">
        <v>262</v>
      </c>
      <c r="E185" s="277">
        <v>100000</v>
      </c>
      <c r="F185" s="277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4" t="s">
        <v>167</v>
      </c>
      <c r="D186" s="215" t="s">
        <v>262</v>
      </c>
      <c r="E186" s="277">
        <v>100000</v>
      </c>
      <c r="F186" s="277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4" t="s">
        <v>167</v>
      </c>
      <c r="D187" s="215" t="s">
        <v>262</v>
      </c>
      <c r="E187" s="277">
        <v>100000</v>
      </c>
      <c r="F187" s="277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4" t="s">
        <v>13</v>
      </c>
      <c r="D188" s="215" t="s">
        <v>28</v>
      </c>
      <c r="E188" s="277">
        <v>100000</v>
      </c>
      <c r="F188" s="277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4" t="s">
        <v>13</v>
      </c>
      <c r="D189" s="215" t="s">
        <v>150</v>
      </c>
      <c r="E189" s="277">
        <v>100000</v>
      </c>
      <c r="F189" s="277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72" t="s">
        <v>431</v>
      </c>
      <c r="D190" s="23"/>
      <c r="E190" s="279">
        <f>SUM(E134:E189)</f>
        <v>12750000</v>
      </c>
      <c r="F190" s="279">
        <f t="shared" ref="F190:G190" si="17">SUM(F134:F189)</f>
        <v>10200000</v>
      </c>
      <c r="G190" s="279">
        <f t="shared" si="17"/>
        <v>2550000</v>
      </c>
    </row>
    <row r="191" spans="1:7" ht="20.100000000000001" customHeight="1">
      <c r="A191" s="21"/>
      <c r="B191" s="228" t="s">
        <v>8</v>
      </c>
      <c r="C191" s="273">
        <f>C38+C43+C58+C62+C78+C86+C100+C107+C117+C131+C190+2</f>
        <v>152</v>
      </c>
      <c r="D191" s="230"/>
      <c r="E191" s="287">
        <f>E190+E131+E117+E107+E100+E86+E78+E62+E58+E43+E38</f>
        <v>62400000</v>
      </c>
      <c r="F191" s="287">
        <f>F190+F131+F117+F107+F100+F86+F78+F62+F58+F43+F38</f>
        <v>29750000</v>
      </c>
      <c r="G191" s="287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8"/>
      <c r="F192" s="289"/>
      <c r="G192" s="289"/>
    </row>
    <row r="193" spans="1:5" ht="28.5" customHeight="1">
      <c r="A193" s="203"/>
      <c r="B193" s="232"/>
      <c r="C193" s="232"/>
      <c r="D193" s="233"/>
      <c r="E193" s="29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393" t="s">
        <v>234</v>
      </c>
      <c r="B1" s="393"/>
      <c r="C1" s="393"/>
      <c r="D1" s="393"/>
      <c r="E1" s="393"/>
    </row>
    <row r="2" spans="1:7" ht="33.75" customHeight="1">
      <c r="A2" s="198" t="s">
        <v>494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62" t="s">
        <v>309</v>
      </c>
      <c r="E4" s="209" t="s">
        <v>120</v>
      </c>
      <c r="F4" s="209" t="s">
        <v>495</v>
      </c>
      <c r="G4" s="209" t="s">
        <v>496</v>
      </c>
    </row>
    <row r="5" spans="1:7" ht="20.100000000000001" customHeight="1">
      <c r="A5" s="210" t="s">
        <v>143</v>
      </c>
      <c r="B5" s="211" t="s">
        <v>435</v>
      </c>
      <c r="C5" s="263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4" t="s">
        <v>119</v>
      </c>
      <c r="D6" s="291" t="s">
        <v>34</v>
      </c>
      <c r="E6" s="277">
        <v>2000000</v>
      </c>
      <c r="F6" s="24">
        <v>0</v>
      </c>
      <c r="G6" s="277">
        <v>2000000</v>
      </c>
    </row>
    <row r="7" spans="1:7" ht="20.100000000000001" customHeight="1">
      <c r="A7" s="29">
        <v>2</v>
      </c>
      <c r="B7" s="189" t="s">
        <v>137</v>
      </c>
      <c r="C7" s="265" t="s">
        <v>474</v>
      </c>
      <c r="D7" s="29" t="s">
        <v>160</v>
      </c>
      <c r="E7" s="277">
        <v>700000</v>
      </c>
      <c r="F7" s="24">
        <v>0</v>
      </c>
      <c r="G7" s="277">
        <v>700000</v>
      </c>
    </row>
    <row r="8" spans="1:7" ht="20.100000000000001" customHeight="1">
      <c r="A8" s="29">
        <v>3</v>
      </c>
      <c r="B8" s="191" t="s">
        <v>225</v>
      </c>
      <c r="C8" s="265" t="s">
        <v>226</v>
      </c>
      <c r="D8" s="29" t="s">
        <v>221</v>
      </c>
      <c r="E8" s="277">
        <f>700000/2</f>
        <v>350000</v>
      </c>
      <c r="F8" s="24">
        <v>0</v>
      </c>
      <c r="G8" s="277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4" t="s">
        <v>316</v>
      </c>
      <c r="D9" s="29" t="s">
        <v>271</v>
      </c>
      <c r="E9" s="277">
        <f>700000/2</f>
        <v>350000</v>
      </c>
      <c r="F9" s="24">
        <v>0</v>
      </c>
      <c r="G9" s="277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5" t="s">
        <v>418</v>
      </c>
      <c r="D10" s="215" t="s">
        <v>29</v>
      </c>
      <c r="E10" s="277">
        <v>700000</v>
      </c>
      <c r="F10" s="24">
        <v>0</v>
      </c>
      <c r="G10" s="277">
        <v>700000</v>
      </c>
    </row>
    <row r="11" spans="1:7" ht="20.100000000000001" customHeight="1">
      <c r="A11" s="29">
        <v>6</v>
      </c>
      <c r="B11" s="191" t="s">
        <v>112</v>
      </c>
      <c r="C11" s="265" t="s">
        <v>475</v>
      </c>
      <c r="D11" s="25" t="s">
        <v>29</v>
      </c>
      <c r="E11" s="277">
        <v>700000</v>
      </c>
      <c r="F11" s="24">
        <v>0</v>
      </c>
      <c r="G11" s="277">
        <v>700000</v>
      </c>
    </row>
    <row r="12" spans="1:7" ht="20.100000000000001" customHeight="1">
      <c r="A12" s="29">
        <v>7</v>
      </c>
      <c r="B12" s="189" t="s">
        <v>187</v>
      </c>
      <c r="C12" s="266" t="s">
        <v>476</v>
      </c>
      <c r="D12" s="25" t="s">
        <v>29</v>
      </c>
      <c r="E12" s="277">
        <v>700000</v>
      </c>
      <c r="F12" s="24">
        <v>0</v>
      </c>
      <c r="G12" s="277">
        <v>700000</v>
      </c>
    </row>
    <row r="13" spans="1:7" ht="20.100000000000001" customHeight="1">
      <c r="A13" s="29">
        <v>8</v>
      </c>
      <c r="B13" s="191" t="s">
        <v>203</v>
      </c>
      <c r="C13" s="265" t="s">
        <v>477</v>
      </c>
      <c r="D13" s="25" t="s">
        <v>29</v>
      </c>
      <c r="E13" s="277">
        <v>700000</v>
      </c>
      <c r="F13" s="24">
        <v>0</v>
      </c>
      <c r="G13" s="277">
        <v>700000</v>
      </c>
    </row>
    <row r="14" spans="1:7" ht="20.100000000000001" customHeight="1">
      <c r="A14" s="29">
        <v>9</v>
      </c>
      <c r="B14" s="189" t="s">
        <v>111</v>
      </c>
      <c r="C14" s="264" t="s">
        <v>470</v>
      </c>
      <c r="D14" s="215" t="s">
        <v>75</v>
      </c>
      <c r="E14" s="277">
        <v>700000</v>
      </c>
      <c r="F14" s="24">
        <v>0</v>
      </c>
      <c r="G14" s="277">
        <v>700000</v>
      </c>
    </row>
    <row r="15" spans="1:7" ht="20.100000000000001" customHeight="1">
      <c r="A15" s="29">
        <v>10</v>
      </c>
      <c r="B15" s="190" t="s">
        <v>333</v>
      </c>
      <c r="C15" s="264" t="s">
        <v>387</v>
      </c>
      <c r="D15" s="29" t="s">
        <v>272</v>
      </c>
      <c r="E15" s="277">
        <v>700000</v>
      </c>
      <c r="F15" s="24">
        <v>0</v>
      </c>
      <c r="G15" s="277">
        <v>700000</v>
      </c>
    </row>
    <row r="16" spans="1:7" ht="20.100000000000001" customHeight="1">
      <c r="A16" s="29">
        <v>11</v>
      </c>
      <c r="B16" s="193" t="s">
        <v>220</v>
      </c>
      <c r="C16" s="265" t="s">
        <v>388</v>
      </c>
      <c r="D16" s="25" t="s">
        <v>162</v>
      </c>
      <c r="E16" s="277">
        <v>500000</v>
      </c>
      <c r="F16" s="24">
        <v>0</v>
      </c>
      <c r="G16" s="277">
        <v>500000</v>
      </c>
    </row>
    <row r="17" spans="1:7" ht="19.5" customHeight="1">
      <c r="A17" s="29">
        <v>12</v>
      </c>
      <c r="B17" s="191" t="s">
        <v>144</v>
      </c>
      <c r="C17" s="265" t="s">
        <v>389</v>
      </c>
      <c r="D17" s="29" t="s">
        <v>162</v>
      </c>
      <c r="E17" s="277">
        <v>500000</v>
      </c>
      <c r="F17" s="24">
        <v>0</v>
      </c>
      <c r="G17" s="277">
        <v>500000</v>
      </c>
    </row>
    <row r="18" spans="1:7" ht="19.5" customHeight="1">
      <c r="A18" s="29">
        <v>13</v>
      </c>
      <c r="B18" s="191" t="s">
        <v>139</v>
      </c>
      <c r="C18" s="265" t="s">
        <v>386</v>
      </c>
      <c r="D18" s="29" t="s">
        <v>162</v>
      </c>
      <c r="E18" s="277">
        <v>500000</v>
      </c>
      <c r="F18" s="24">
        <v>0</v>
      </c>
      <c r="G18" s="277">
        <v>500000</v>
      </c>
    </row>
    <row r="19" spans="1:7" ht="20.100000000000001" customHeight="1">
      <c r="A19" s="29">
        <v>14</v>
      </c>
      <c r="B19" s="189" t="s">
        <v>18</v>
      </c>
      <c r="C19" s="265" t="s">
        <v>389</v>
      </c>
      <c r="D19" s="215" t="s">
        <v>162</v>
      </c>
      <c r="E19" s="277">
        <v>500000</v>
      </c>
      <c r="F19" s="24">
        <v>0</v>
      </c>
      <c r="G19" s="277">
        <v>500000</v>
      </c>
    </row>
    <row r="20" spans="1:7" ht="20.100000000000001" customHeight="1">
      <c r="A20" s="29">
        <v>15</v>
      </c>
      <c r="B20" s="189" t="s">
        <v>334</v>
      </c>
      <c r="C20" s="264" t="s">
        <v>351</v>
      </c>
      <c r="D20" s="215" t="s">
        <v>149</v>
      </c>
      <c r="E20" s="277">
        <v>500000</v>
      </c>
      <c r="F20" s="277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5" t="s">
        <v>346</v>
      </c>
      <c r="D21" s="215" t="s">
        <v>273</v>
      </c>
      <c r="E21" s="277">
        <v>500000</v>
      </c>
      <c r="F21" s="277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4" t="s">
        <v>391</v>
      </c>
      <c r="D22" s="215" t="s">
        <v>415</v>
      </c>
      <c r="E22" s="277">
        <v>400000</v>
      </c>
      <c r="F22" s="277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4" t="s">
        <v>480</v>
      </c>
      <c r="D23" s="215" t="s">
        <v>369</v>
      </c>
      <c r="E23" s="277">
        <v>400000</v>
      </c>
      <c r="F23" s="277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5" t="s">
        <v>479</v>
      </c>
      <c r="D24" s="215" t="s">
        <v>369</v>
      </c>
      <c r="E24" s="277">
        <v>400000</v>
      </c>
      <c r="F24" s="277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5" t="s">
        <v>294</v>
      </c>
      <c r="D25" s="215" t="s">
        <v>164</v>
      </c>
      <c r="E25" s="277">
        <v>300000</v>
      </c>
      <c r="F25" s="277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4" t="s">
        <v>314</v>
      </c>
      <c r="D26" s="215" t="s">
        <v>207</v>
      </c>
      <c r="E26" s="277">
        <v>300000</v>
      </c>
      <c r="F26" s="277">
        <v>300000</v>
      </c>
      <c r="G26" s="24">
        <v>0</v>
      </c>
    </row>
    <row r="27" spans="1:7" ht="18.75" customHeight="1">
      <c r="A27" s="29">
        <v>22</v>
      </c>
      <c r="B27" s="21" t="s">
        <v>436</v>
      </c>
      <c r="C27" s="265" t="s">
        <v>17</v>
      </c>
      <c r="D27" s="29" t="s">
        <v>428</v>
      </c>
      <c r="E27" s="277">
        <v>300000</v>
      </c>
      <c r="F27" s="277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4" t="s">
        <v>17</v>
      </c>
      <c r="D28" s="215" t="s">
        <v>428</v>
      </c>
      <c r="E28" s="277">
        <v>300000</v>
      </c>
      <c r="F28" s="277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4" t="s">
        <v>482</v>
      </c>
      <c r="D29" s="215" t="s">
        <v>428</v>
      </c>
      <c r="E29" s="277">
        <v>300000</v>
      </c>
      <c r="F29" s="277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4" t="s">
        <v>249</v>
      </c>
      <c r="D30" s="215" t="s">
        <v>295</v>
      </c>
      <c r="E30" s="277">
        <v>300000</v>
      </c>
      <c r="F30" s="277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6" t="s">
        <v>319</v>
      </c>
      <c r="D31" s="215" t="s">
        <v>51</v>
      </c>
      <c r="E31" s="277">
        <v>300000</v>
      </c>
      <c r="F31" s="277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5" t="s">
        <v>329</v>
      </c>
      <c r="D32" s="29" t="s">
        <v>51</v>
      </c>
      <c r="E32" s="277">
        <v>300000</v>
      </c>
      <c r="F32" s="277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6" t="s">
        <v>372</v>
      </c>
      <c r="D33" s="215" t="s">
        <v>428</v>
      </c>
      <c r="E33" s="277">
        <v>300000</v>
      </c>
      <c r="F33" s="277">
        <v>300000</v>
      </c>
      <c r="G33" s="24">
        <v>0</v>
      </c>
    </row>
    <row r="34" spans="1:7" ht="18.75" customHeight="1">
      <c r="A34" s="29">
        <v>29</v>
      </c>
      <c r="B34" s="190" t="s">
        <v>471</v>
      </c>
      <c r="C34" s="266" t="s">
        <v>372</v>
      </c>
      <c r="D34" s="215" t="s">
        <v>105</v>
      </c>
      <c r="E34" s="277">
        <v>300000</v>
      </c>
      <c r="F34" s="277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5" t="s">
        <v>331</v>
      </c>
      <c r="D35" s="29" t="s">
        <v>105</v>
      </c>
      <c r="E35" s="277">
        <v>300000</v>
      </c>
      <c r="F35" s="277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4" t="s">
        <v>314</v>
      </c>
      <c r="D36" s="215" t="s">
        <v>105</v>
      </c>
      <c r="E36" s="277">
        <v>300000</v>
      </c>
      <c r="F36" s="277">
        <v>300000</v>
      </c>
      <c r="G36" s="24">
        <v>0</v>
      </c>
    </row>
    <row r="37" spans="1:7" ht="18.75" customHeight="1">
      <c r="A37" s="29">
        <v>32</v>
      </c>
      <c r="B37" s="190" t="s">
        <v>455</v>
      </c>
      <c r="C37" s="264" t="s">
        <v>314</v>
      </c>
      <c r="D37" s="215" t="s">
        <v>105</v>
      </c>
      <c r="E37" s="277">
        <v>300000</v>
      </c>
      <c r="F37" s="277">
        <v>300000</v>
      </c>
      <c r="G37" s="24">
        <v>0</v>
      </c>
    </row>
    <row r="38" spans="1:7" ht="26.25" customHeight="1">
      <c r="A38" s="29"/>
      <c r="B38" s="192" t="s">
        <v>15</v>
      </c>
      <c r="C38" s="267">
        <v>29</v>
      </c>
      <c r="D38" s="215"/>
      <c r="E38" s="278">
        <f>SUM(E6:E37)</f>
        <v>15700000</v>
      </c>
      <c r="F38" s="278">
        <f>SUM(F6:F37)</f>
        <v>6100000</v>
      </c>
      <c r="G38" s="278">
        <f t="shared" ref="G38" si="1">SUM(G6:G37)</f>
        <v>9600000</v>
      </c>
    </row>
    <row r="39" spans="1:7" ht="18.75" customHeight="1">
      <c r="A39" s="29"/>
      <c r="B39" s="142"/>
      <c r="C39" s="265"/>
      <c r="D39" s="215"/>
      <c r="E39" s="278"/>
      <c r="F39" s="277"/>
      <c r="G39" s="278"/>
    </row>
    <row r="40" spans="1:7" ht="18.75" customHeight="1">
      <c r="A40" s="29"/>
      <c r="B40" s="192" t="s">
        <v>284</v>
      </c>
      <c r="C40" s="265"/>
      <c r="D40" s="215"/>
      <c r="E40" s="277"/>
      <c r="F40" s="277"/>
      <c r="G40" s="277"/>
    </row>
    <row r="41" spans="1:7" ht="18.75" customHeight="1">
      <c r="A41" s="29">
        <v>1</v>
      </c>
      <c r="B41" s="190" t="s">
        <v>361</v>
      </c>
      <c r="C41" s="265" t="s">
        <v>362</v>
      </c>
      <c r="D41" s="29" t="s">
        <v>206</v>
      </c>
      <c r="E41" s="277">
        <v>1000000</v>
      </c>
      <c r="F41" s="24">
        <v>0</v>
      </c>
      <c r="G41" s="277">
        <v>1000000</v>
      </c>
    </row>
    <row r="42" spans="1:7" ht="18.75" customHeight="1">
      <c r="A42" s="29">
        <v>2</v>
      </c>
      <c r="B42" s="190" t="s">
        <v>419</v>
      </c>
      <c r="C42" s="265" t="s">
        <v>427</v>
      </c>
      <c r="D42" s="29" t="s">
        <v>105</v>
      </c>
      <c r="E42" s="277">
        <v>300000</v>
      </c>
      <c r="F42" s="277">
        <v>300000</v>
      </c>
      <c r="G42" s="24">
        <v>0</v>
      </c>
    </row>
    <row r="43" spans="1:7" ht="19.5" customHeight="1">
      <c r="A43" s="29"/>
      <c r="B43" s="191"/>
      <c r="C43" s="267">
        <v>2</v>
      </c>
      <c r="D43" s="29"/>
      <c r="E43" s="278">
        <f>SUM(E41:E42)</f>
        <v>1300000</v>
      </c>
      <c r="F43" s="278">
        <f t="shared" ref="F43:G43" si="2">SUM(F41:F42)</f>
        <v>300000</v>
      </c>
      <c r="G43" s="278">
        <f t="shared" si="2"/>
        <v>1000000</v>
      </c>
    </row>
    <row r="44" spans="1:7" ht="20.100000000000001" customHeight="1">
      <c r="A44" s="29"/>
      <c r="B44" s="191"/>
      <c r="C44" s="265"/>
      <c r="D44" s="29"/>
      <c r="E44" s="277"/>
      <c r="F44" s="277"/>
      <c r="G44" s="277"/>
    </row>
    <row r="45" spans="1:7" ht="20.100000000000001" customHeight="1">
      <c r="A45" s="29"/>
      <c r="B45" s="219" t="s">
        <v>56</v>
      </c>
      <c r="C45" s="268"/>
      <c r="D45" s="208"/>
      <c r="E45" s="277"/>
      <c r="F45" s="277"/>
      <c r="G45" s="277"/>
    </row>
    <row r="46" spans="1:7" ht="20.100000000000001" customHeight="1">
      <c r="A46" s="29">
        <v>1</v>
      </c>
      <c r="B46" s="189" t="s">
        <v>255</v>
      </c>
      <c r="C46" s="265" t="s">
        <v>256</v>
      </c>
      <c r="D46" s="29" t="s">
        <v>161</v>
      </c>
      <c r="E46" s="277">
        <v>1000000</v>
      </c>
      <c r="F46" s="24">
        <v>0</v>
      </c>
      <c r="G46" s="277">
        <v>1000000</v>
      </c>
    </row>
    <row r="47" spans="1:7" ht="20.100000000000001" customHeight="1">
      <c r="A47" s="29">
        <v>2</v>
      </c>
      <c r="B47" s="189" t="s">
        <v>158</v>
      </c>
      <c r="C47" s="265" t="s">
        <v>199</v>
      </c>
      <c r="D47" s="29" t="s">
        <v>75</v>
      </c>
      <c r="E47" s="277">
        <v>700000</v>
      </c>
      <c r="F47" s="24">
        <v>0</v>
      </c>
      <c r="G47" s="277">
        <v>700000</v>
      </c>
    </row>
    <row r="48" spans="1:7" ht="20.100000000000001" customHeight="1">
      <c r="A48" s="29">
        <v>3</v>
      </c>
      <c r="B48" s="189" t="s">
        <v>165</v>
      </c>
      <c r="C48" s="265" t="s">
        <v>258</v>
      </c>
      <c r="D48" s="29" t="s">
        <v>75</v>
      </c>
      <c r="E48" s="277">
        <v>700000</v>
      </c>
      <c r="F48" s="24">
        <v>0</v>
      </c>
      <c r="G48" s="277">
        <v>700000</v>
      </c>
    </row>
    <row r="49" spans="1:7" ht="20.100000000000001" customHeight="1">
      <c r="A49" s="29">
        <v>4</v>
      </c>
      <c r="B49" s="189" t="s">
        <v>159</v>
      </c>
      <c r="C49" s="265" t="s">
        <v>258</v>
      </c>
      <c r="D49" s="29" t="s">
        <v>148</v>
      </c>
      <c r="E49" s="277">
        <v>700000</v>
      </c>
      <c r="F49" s="24">
        <v>0</v>
      </c>
      <c r="G49" s="277">
        <v>700000</v>
      </c>
    </row>
    <row r="50" spans="1:7" ht="20.100000000000001" customHeight="1">
      <c r="A50" s="29">
        <v>5</v>
      </c>
      <c r="B50" s="189" t="s">
        <v>118</v>
      </c>
      <c r="C50" s="265" t="s">
        <v>258</v>
      </c>
      <c r="D50" s="29" t="s">
        <v>30</v>
      </c>
      <c r="E50" s="277">
        <v>700000</v>
      </c>
      <c r="F50" s="24">
        <v>0</v>
      </c>
      <c r="G50" s="277">
        <v>700000</v>
      </c>
    </row>
    <row r="51" spans="1:7" ht="20.100000000000001" customHeight="1">
      <c r="A51" s="29">
        <v>6</v>
      </c>
      <c r="B51" s="189" t="s">
        <v>205</v>
      </c>
      <c r="C51" s="265" t="s">
        <v>78</v>
      </c>
      <c r="D51" s="29" t="s">
        <v>162</v>
      </c>
      <c r="E51" s="277">
        <v>500000</v>
      </c>
      <c r="F51" s="24">
        <v>0</v>
      </c>
      <c r="G51" s="277">
        <v>500000</v>
      </c>
    </row>
    <row r="52" spans="1:7" ht="20.100000000000001" customHeight="1">
      <c r="A52" s="29">
        <v>7</v>
      </c>
      <c r="B52" s="191" t="s">
        <v>173</v>
      </c>
      <c r="C52" s="265" t="s">
        <v>297</v>
      </c>
      <c r="D52" s="25" t="s">
        <v>162</v>
      </c>
      <c r="E52" s="277">
        <v>500000</v>
      </c>
      <c r="F52" s="24">
        <v>0</v>
      </c>
      <c r="G52" s="277">
        <v>500000</v>
      </c>
    </row>
    <row r="53" spans="1:7" ht="20.100000000000001" customHeight="1">
      <c r="A53" s="29">
        <v>8</v>
      </c>
      <c r="B53" s="189" t="s">
        <v>116</v>
      </c>
      <c r="C53" s="265" t="s">
        <v>297</v>
      </c>
      <c r="D53" s="29" t="s">
        <v>222</v>
      </c>
      <c r="E53" s="277">
        <v>500000</v>
      </c>
      <c r="F53" s="24">
        <v>0</v>
      </c>
      <c r="G53" s="277">
        <v>500000</v>
      </c>
    </row>
    <row r="54" spans="1:7" ht="20.100000000000001" customHeight="1">
      <c r="A54" s="29">
        <v>9</v>
      </c>
      <c r="B54" s="189" t="s">
        <v>184</v>
      </c>
      <c r="C54" s="265" t="s">
        <v>80</v>
      </c>
      <c r="D54" s="29" t="s">
        <v>163</v>
      </c>
      <c r="E54" s="277">
        <v>500000</v>
      </c>
      <c r="F54" s="277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5" t="s">
        <v>84</v>
      </c>
      <c r="D55" s="29" t="s">
        <v>428</v>
      </c>
      <c r="E55" s="277">
        <v>300000</v>
      </c>
      <c r="F55" s="277">
        <v>300000</v>
      </c>
      <c r="G55" s="24">
        <v>0</v>
      </c>
    </row>
    <row r="56" spans="1:7" ht="20.100000000000001" customHeight="1">
      <c r="A56" s="29">
        <v>11</v>
      </c>
      <c r="B56" s="189" t="s">
        <v>437</v>
      </c>
      <c r="C56" s="265" t="s">
        <v>84</v>
      </c>
      <c r="D56" s="29" t="s">
        <v>428</v>
      </c>
      <c r="E56" s="277">
        <v>300000</v>
      </c>
      <c r="F56" s="277">
        <v>300000</v>
      </c>
      <c r="G56" s="24">
        <v>0</v>
      </c>
    </row>
    <row r="57" spans="1:7" ht="20.100000000000001" customHeight="1">
      <c r="A57" s="29">
        <v>12</v>
      </c>
      <c r="B57" s="189" t="s">
        <v>454</v>
      </c>
      <c r="C57" s="265" t="s">
        <v>84</v>
      </c>
      <c r="D57" s="29" t="s">
        <v>428</v>
      </c>
      <c r="E57" s="277">
        <v>300000</v>
      </c>
      <c r="F57" s="277">
        <v>300000</v>
      </c>
      <c r="G57" s="24">
        <v>0</v>
      </c>
    </row>
    <row r="58" spans="1:7" ht="25.5" customHeight="1">
      <c r="A58" s="29"/>
      <c r="B58" s="192" t="s">
        <v>15</v>
      </c>
      <c r="C58" s="267">
        <v>11</v>
      </c>
      <c r="D58" s="30"/>
      <c r="E58" s="279">
        <f>SUM(E46:E57)</f>
        <v>6700000</v>
      </c>
      <c r="F58" s="279">
        <f t="shared" ref="F58:G58" si="3">SUM(F46:F57)</f>
        <v>1400000</v>
      </c>
      <c r="G58" s="279">
        <f t="shared" si="3"/>
        <v>5300000</v>
      </c>
    </row>
    <row r="59" spans="1:7" ht="20.100000000000001" customHeight="1">
      <c r="A59" s="29"/>
      <c r="B59" s="142"/>
      <c r="C59" s="267"/>
      <c r="D59" s="30"/>
      <c r="E59" s="280"/>
      <c r="F59" s="280"/>
      <c r="G59" s="280"/>
    </row>
    <row r="60" spans="1:7" ht="20.100000000000001" customHeight="1">
      <c r="A60" s="29"/>
      <c r="B60" s="192" t="s">
        <v>195</v>
      </c>
      <c r="C60" s="267"/>
      <c r="D60" s="30"/>
      <c r="E60" s="280"/>
      <c r="F60" s="280"/>
      <c r="G60" s="280"/>
    </row>
    <row r="61" spans="1:7" ht="20.100000000000001" customHeight="1">
      <c r="A61" s="29">
        <v>1</v>
      </c>
      <c r="B61" s="189" t="s">
        <v>11</v>
      </c>
      <c r="C61" s="264" t="s">
        <v>200</v>
      </c>
      <c r="D61" s="215" t="s">
        <v>161</v>
      </c>
      <c r="E61" s="277">
        <f>1000000/2</f>
        <v>500000</v>
      </c>
      <c r="F61" s="24">
        <v>0</v>
      </c>
      <c r="G61" s="277">
        <f t="shared" ref="G61" si="4">1000000/2</f>
        <v>500000</v>
      </c>
    </row>
    <row r="62" spans="1:7" ht="20.100000000000001" customHeight="1">
      <c r="A62" s="29"/>
      <c r="B62" s="192" t="s">
        <v>15</v>
      </c>
      <c r="C62" s="267">
        <v>2</v>
      </c>
      <c r="D62" s="30"/>
      <c r="E62" s="279">
        <f>SUM(E61)</f>
        <v>500000</v>
      </c>
      <c r="F62" s="78">
        <f t="shared" ref="F62:G62" si="5">SUM(F61)</f>
        <v>0</v>
      </c>
      <c r="G62" s="279">
        <f t="shared" si="5"/>
        <v>500000</v>
      </c>
    </row>
    <row r="63" spans="1:7" ht="20.100000000000001" customHeight="1">
      <c r="A63" s="29"/>
      <c r="B63" s="192"/>
      <c r="C63" s="267"/>
      <c r="D63" s="30"/>
      <c r="E63" s="280"/>
      <c r="F63" s="280"/>
      <c r="G63" s="280"/>
    </row>
    <row r="64" spans="1:7" ht="20.100000000000001" customHeight="1">
      <c r="A64" s="29"/>
      <c r="B64" s="192" t="s">
        <v>463</v>
      </c>
      <c r="C64" s="267"/>
      <c r="D64" s="30"/>
      <c r="E64" s="280"/>
      <c r="F64" s="280"/>
      <c r="G64" s="280"/>
    </row>
    <row r="65" spans="1:7" ht="20.100000000000001" customHeight="1">
      <c r="A65" s="29">
        <v>1</v>
      </c>
      <c r="B65" s="189" t="s">
        <v>277</v>
      </c>
      <c r="C65" s="266" t="s">
        <v>278</v>
      </c>
      <c r="D65" s="29" t="s">
        <v>161</v>
      </c>
      <c r="E65" s="281">
        <f>1000000/2</f>
        <v>500000</v>
      </c>
      <c r="F65" s="26">
        <v>0</v>
      </c>
      <c r="G65" s="281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6" t="s">
        <v>188</v>
      </c>
      <c r="D66" s="215" t="s">
        <v>272</v>
      </c>
      <c r="E66" s="277">
        <f>700000/2</f>
        <v>350000</v>
      </c>
      <c r="F66" s="26">
        <v>0</v>
      </c>
      <c r="G66" s="277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5" t="s">
        <v>257</v>
      </c>
      <c r="D67" s="29" t="s">
        <v>163</v>
      </c>
      <c r="E67" s="281">
        <v>500000</v>
      </c>
      <c r="F67" s="281">
        <v>500000</v>
      </c>
      <c r="G67" s="26">
        <v>0</v>
      </c>
    </row>
    <row r="68" spans="1:7" ht="20.100000000000001" customHeight="1">
      <c r="A68" s="29">
        <v>4</v>
      </c>
      <c r="B68" s="190" t="s">
        <v>450</v>
      </c>
      <c r="C68" s="266" t="s">
        <v>257</v>
      </c>
      <c r="D68" s="215" t="s">
        <v>149</v>
      </c>
      <c r="E68" s="281">
        <v>500000</v>
      </c>
      <c r="F68" s="281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6" t="s">
        <v>297</v>
      </c>
      <c r="D69" s="215" t="s">
        <v>162</v>
      </c>
      <c r="E69" s="281">
        <v>500000</v>
      </c>
      <c r="F69" s="26">
        <v>0</v>
      </c>
      <c r="G69" s="281">
        <v>500000</v>
      </c>
    </row>
    <row r="70" spans="1:7" ht="20.100000000000001" customHeight="1">
      <c r="A70" s="29">
        <v>6</v>
      </c>
      <c r="B70" s="189" t="s">
        <v>117</v>
      </c>
      <c r="C70" s="265" t="s">
        <v>84</v>
      </c>
      <c r="D70" s="29" t="s">
        <v>298</v>
      </c>
      <c r="E70" s="277">
        <v>300000</v>
      </c>
      <c r="F70" s="281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6" t="s">
        <v>422</v>
      </c>
      <c r="D71" s="215" t="s">
        <v>415</v>
      </c>
      <c r="E71" s="277">
        <v>400000</v>
      </c>
      <c r="F71" s="281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6" t="s">
        <v>422</v>
      </c>
      <c r="D72" s="215" t="s">
        <v>369</v>
      </c>
      <c r="E72" s="277">
        <v>400000</v>
      </c>
      <c r="F72" s="281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6" t="s">
        <v>422</v>
      </c>
      <c r="D73" s="215" t="s">
        <v>369</v>
      </c>
      <c r="E73" s="277">
        <v>400000</v>
      </c>
      <c r="F73" s="281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5" t="s">
        <v>486</v>
      </c>
      <c r="D74" s="29" t="s">
        <v>369</v>
      </c>
      <c r="E74" s="277">
        <v>400000</v>
      </c>
      <c r="F74" s="281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6" t="s">
        <v>84</v>
      </c>
      <c r="D75" s="29" t="s">
        <v>104</v>
      </c>
      <c r="E75" s="277">
        <v>300000</v>
      </c>
      <c r="F75" s="281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6" t="s">
        <v>115</v>
      </c>
      <c r="D76" s="29" t="s">
        <v>428</v>
      </c>
      <c r="E76" s="277">
        <v>300000</v>
      </c>
      <c r="F76" s="281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6" t="s">
        <v>115</v>
      </c>
      <c r="D77" s="29" t="s">
        <v>105</v>
      </c>
      <c r="E77" s="277">
        <v>300000</v>
      </c>
      <c r="F77" s="277">
        <v>300000</v>
      </c>
      <c r="G77" s="24">
        <v>0</v>
      </c>
    </row>
    <row r="78" spans="1:7" ht="20.100000000000001" customHeight="1">
      <c r="A78" s="29"/>
      <c r="B78" s="192" t="s">
        <v>15</v>
      </c>
      <c r="C78" s="267">
        <v>13</v>
      </c>
      <c r="D78" s="30"/>
      <c r="E78" s="279">
        <f>SUM(E65:E77)</f>
        <v>5150000</v>
      </c>
      <c r="F78" s="279">
        <f t="shared" ref="F78:G78" si="8">SUM(F65:F77)</f>
        <v>3800000</v>
      </c>
      <c r="G78" s="279">
        <f t="shared" si="8"/>
        <v>1350000</v>
      </c>
    </row>
    <row r="79" spans="1:7" ht="20.100000000000001" customHeight="1">
      <c r="A79" s="29"/>
      <c r="B79" s="142"/>
      <c r="C79" s="267"/>
      <c r="D79" s="30"/>
      <c r="E79" s="280"/>
      <c r="F79" s="280"/>
      <c r="G79" s="280"/>
    </row>
    <row r="80" spans="1:7" ht="20.100000000000001" customHeight="1">
      <c r="A80" s="29"/>
      <c r="B80" s="192" t="s">
        <v>464</v>
      </c>
      <c r="C80" s="267"/>
      <c r="D80" s="30"/>
      <c r="E80" s="280"/>
      <c r="F80" s="280"/>
      <c r="G80" s="280"/>
    </row>
    <row r="81" spans="1:7" ht="20.100000000000001" customHeight="1">
      <c r="A81" s="29">
        <v>1</v>
      </c>
      <c r="B81" s="189" t="s">
        <v>19</v>
      </c>
      <c r="C81" s="265" t="s">
        <v>201</v>
      </c>
      <c r="D81" s="29" t="s">
        <v>161</v>
      </c>
      <c r="E81" s="277">
        <v>1000000</v>
      </c>
      <c r="F81" s="24">
        <v>0</v>
      </c>
      <c r="G81" s="277">
        <v>1000000</v>
      </c>
    </row>
    <row r="82" spans="1:7" ht="20.100000000000001" customHeight="1">
      <c r="A82" s="29">
        <v>2</v>
      </c>
      <c r="B82" s="191" t="s">
        <v>325</v>
      </c>
      <c r="C82" s="265" t="s">
        <v>245</v>
      </c>
      <c r="D82" s="215" t="s">
        <v>272</v>
      </c>
      <c r="E82" s="277">
        <v>700000</v>
      </c>
      <c r="F82" s="24">
        <v>0</v>
      </c>
      <c r="G82" s="277">
        <v>700000</v>
      </c>
    </row>
    <row r="83" spans="1:7" ht="20.100000000000001" customHeight="1">
      <c r="A83" s="29">
        <v>3</v>
      </c>
      <c r="B83" s="191" t="s">
        <v>326</v>
      </c>
      <c r="C83" s="265" t="s">
        <v>327</v>
      </c>
      <c r="D83" s="215" t="s">
        <v>272</v>
      </c>
      <c r="E83" s="277">
        <f>700000/2</f>
        <v>350000</v>
      </c>
      <c r="F83" s="24">
        <v>0</v>
      </c>
      <c r="G83" s="277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5" t="s">
        <v>296</v>
      </c>
      <c r="D84" s="215" t="s">
        <v>163</v>
      </c>
      <c r="E84" s="277">
        <v>500000</v>
      </c>
      <c r="F84" s="277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5" t="s">
        <v>243</v>
      </c>
      <c r="D85" s="29" t="s">
        <v>104</v>
      </c>
      <c r="E85" s="277">
        <v>300000</v>
      </c>
      <c r="F85" s="277">
        <v>300000</v>
      </c>
      <c r="G85" s="24">
        <v>0</v>
      </c>
    </row>
    <row r="86" spans="1:7" ht="20.100000000000001" customHeight="1">
      <c r="A86" s="29"/>
      <c r="B86" s="192" t="s">
        <v>15</v>
      </c>
      <c r="C86" s="267">
        <v>5</v>
      </c>
      <c r="D86" s="30"/>
      <c r="E86" s="279">
        <f>SUM(E81:E85)</f>
        <v>2850000</v>
      </c>
      <c r="F86" s="279">
        <f>SUM(F81:F85)</f>
        <v>800000</v>
      </c>
      <c r="G86" s="279">
        <f t="shared" ref="G86" si="10">SUM(G81:G85)</f>
        <v>2050000</v>
      </c>
    </row>
    <row r="87" spans="1:7" ht="20.100000000000001" customHeight="1">
      <c r="A87" s="29"/>
      <c r="B87" s="192"/>
      <c r="C87" s="267"/>
      <c r="D87" s="30"/>
      <c r="E87" s="277"/>
      <c r="F87" s="277"/>
      <c r="G87" s="277"/>
    </row>
    <row r="88" spans="1:7" ht="20.100000000000001" customHeight="1">
      <c r="A88" s="29"/>
      <c r="B88" s="192" t="s">
        <v>465</v>
      </c>
      <c r="C88" s="269"/>
      <c r="D88" s="30"/>
      <c r="E88" s="277"/>
      <c r="F88" s="277"/>
      <c r="G88" s="277"/>
    </row>
    <row r="89" spans="1:7" ht="20.100000000000001" customHeight="1">
      <c r="A89" s="29">
        <v>1</v>
      </c>
      <c r="B89" s="189" t="s">
        <v>244</v>
      </c>
      <c r="C89" s="265" t="s">
        <v>312</v>
      </c>
      <c r="D89" s="29" t="s">
        <v>221</v>
      </c>
      <c r="E89" s="277">
        <v>700000</v>
      </c>
      <c r="F89" s="24">
        <v>0</v>
      </c>
      <c r="G89" s="277">
        <v>700000</v>
      </c>
    </row>
    <row r="90" spans="1:7" ht="20.100000000000001" customHeight="1">
      <c r="A90" s="29">
        <v>2</v>
      </c>
      <c r="B90" s="189" t="s">
        <v>169</v>
      </c>
      <c r="C90" s="265" t="s">
        <v>258</v>
      </c>
      <c r="D90" s="29" t="s">
        <v>75</v>
      </c>
      <c r="E90" s="277">
        <v>700000</v>
      </c>
      <c r="F90" s="24">
        <v>0</v>
      </c>
      <c r="G90" s="277">
        <v>700000</v>
      </c>
    </row>
    <row r="91" spans="1:7" ht="20.100000000000001" customHeight="1">
      <c r="A91" s="29">
        <v>3</v>
      </c>
      <c r="B91" s="189" t="s">
        <v>192</v>
      </c>
      <c r="C91" s="265" t="s">
        <v>258</v>
      </c>
      <c r="D91" s="29" t="s">
        <v>75</v>
      </c>
      <c r="E91" s="277">
        <v>700000</v>
      </c>
      <c r="F91" s="24">
        <v>0</v>
      </c>
      <c r="G91" s="277">
        <v>700000</v>
      </c>
    </row>
    <row r="92" spans="1:7" ht="20.100000000000001" customHeight="1">
      <c r="A92" s="29">
        <v>4</v>
      </c>
      <c r="B92" s="191" t="s">
        <v>138</v>
      </c>
      <c r="C92" s="265" t="s">
        <v>297</v>
      </c>
      <c r="D92" s="29" t="s">
        <v>181</v>
      </c>
      <c r="E92" s="281">
        <v>500000</v>
      </c>
      <c r="F92" s="24">
        <v>0</v>
      </c>
      <c r="G92" s="281">
        <v>500000</v>
      </c>
    </row>
    <row r="93" spans="1:7" ht="20.100000000000001" customHeight="1">
      <c r="A93" s="29">
        <v>5</v>
      </c>
      <c r="B93" s="189" t="s">
        <v>202</v>
      </c>
      <c r="C93" s="265" t="s">
        <v>78</v>
      </c>
      <c r="D93" s="29" t="s">
        <v>162</v>
      </c>
      <c r="E93" s="281">
        <v>500000</v>
      </c>
      <c r="F93" s="24">
        <v>0</v>
      </c>
      <c r="G93" s="281">
        <v>500000</v>
      </c>
    </row>
    <row r="94" spans="1:7" ht="21.6" customHeight="1">
      <c r="A94" s="29">
        <v>6</v>
      </c>
      <c r="B94" s="189" t="s">
        <v>101</v>
      </c>
      <c r="C94" s="265" t="s">
        <v>80</v>
      </c>
      <c r="D94" s="215" t="s">
        <v>163</v>
      </c>
      <c r="E94" s="281">
        <v>500000</v>
      </c>
      <c r="F94" s="277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4" t="s">
        <v>257</v>
      </c>
      <c r="D95" s="215" t="s">
        <v>149</v>
      </c>
      <c r="E95" s="281">
        <v>500000</v>
      </c>
      <c r="F95" s="277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4" t="s">
        <v>257</v>
      </c>
      <c r="D96" s="215" t="s">
        <v>149</v>
      </c>
      <c r="E96" s="281">
        <f>500000/2</f>
        <v>250000</v>
      </c>
      <c r="F96" s="281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6" t="s">
        <v>422</v>
      </c>
      <c r="D97" s="215" t="s">
        <v>369</v>
      </c>
      <c r="E97" s="277">
        <v>400000</v>
      </c>
      <c r="F97" s="277">
        <v>400000</v>
      </c>
      <c r="G97" s="26">
        <v>0</v>
      </c>
    </row>
    <row r="98" spans="1:7" ht="21.6" customHeight="1">
      <c r="A98" s="29">
        <v>10</v>
      </c>
      <c r="B98" s="189" t="s">
        <v>438</v>
      </c>
      <c r="C98" s="265" t="s">
        <v>472</v>
      </c>
      <c r="D98" s="29" t="s">
        <v>104</v>
      </c>
      <c r="E98" s="277">
        <v>300000</v>
      </c>
      <c r="F98" s="277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6" t="s">
        <v>434</v>
      </c>
      <c r="D99" s="215" t="s">
        <v>105</v>
      </c>
      <c r="E99" s="277">
        <v>300000</v>
      </c>
      <c r="F99" s="277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7">
        <v>10</v>
      </c>
      <c r="D100" s="30"/>
      <c r="E100" s="279">
        <f>SUM(E89:E99)</f>
        <v>5350000</v>
      </c>
      <c r="F100" s="279">
        <f t="shared" ref="F100:G100" si="11">SUM(F89:F99)</f>
        <v>2250000</v>
      </c>
      <c r="G100" s="279">
        <f t="shared" si="11"/>
        <v>3100000</v>
      </c>
    </row>
    <row r="101" spans="1:7" ht="20.100000000000001" customHeight="1">
      <c r="A101" s="29"/>
      <c r="B101" s="142"/>
      <c r="C101" s="267"/>
      <c r="D101" s="30"/>
      <c r="E101" s="280"/>
      <c r="F101" s="280"/>
      <c r="G101" s="280"/>
    </row>
    <row r="102" spans="1:7" ht="20.100000000000001" customHeight="1">
      <c r="A102" s="29"/>
      <c r="B102" s="192" t="s">
        <v>492</v>
      </c>
      <c r="C102" s="267"/>
      <c r="D102" s="30"/>
      <c r="E102" s="280"/>
      <c r="F102" s="280"/>
      <c r="G102" s="280"/>
    </row>
    <row r="103" spans="1:7" ht="20.100000000000001" customHeight="1">
      <c r="A103" s="29">
        <v>1</v>
      </c>
      <c r="B103" s="190" t="s">
        <v>364</v>
      </c>
      <c r="C103" s="270" t="s">
        <v>343</v>
      </c>
      <c r="D103" s="215" t="s">
        <v>221</v>
      </c>
      <c r="E103" s="277">
        <v>700000</v>
      </c>
      <c r="F103" s="24">
        <v>0</v>
      </c>
      <c r="G103" s="277">
        <v>700000</v>
      </c>
    </row>
    <row r="104" spans="1:7" ht="20.100000000000001" customHeight="1">
      <c r="A104" s="29">
        <v>2</v>
      </c>
      <c r="B104" s="189" t="s">
        <v>185</v>
      </c>
      <c r="C104" s="265" t="s">
        <v>373</v>
      </c>
      <c r="D104" s="29" t="s">
        <v>162</v>
      </c>
      <c r="E104" s="277">
        <v>500000</v>
      </c>
      <c r="F104" s="24">
        <v>0</v>
      </c>
      <c r="G104" s="277">
        <v>500000</v>
      </c>
    </row>
    <row r="105" spans="1:7" ht="20.100000000000001" customHeight="1">
      <c r="A105" s="29">
        <v>3</v>
      </c>
      <c r="B105" s="190" t="s">
        <v>366</v>
      </c>
      <c r="C105" s="265" t="s">
        <v>367</v>
      </c>
      <c r="D105" s="215" t="s">
        <v>149</v>
      </c>
      <c r="E105" s="277">
        <v>500000</v>
      </c>
      <c r="F105" s="277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5" t="s">
        <v>485</v>
      </c>
      <c r="D106" s="215" t="s">
        <v>369</v>
      </c>
      <c r="E106" s="277">
        <v>400000</v>
      </c>
      <c r="F106" s="277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7">
        <v>4</v>
      </c>
      <c r="D107" s="221"/>
      <c r="E107" s="279">
        <f>SUM(E103:E106)</f>
        <v>2100000</v>
      </c>
      <c r="F107" s="279">
        <f t="shared" ref="F107:G107" si="12">SUM(F103:F106)</f>
        <v>900000</v>
      </c>
      <c r="G107" s="279">
        <f t="shared" si="12"/>
        <v>1200000</v>
      </c>
    </row>
    <row r="108" spans="1:7" ht="20.100000000000001" customHeight="1">
      <c r="A108" s="21"/>
      <c r="B108" s="142"/>
      <c r="C108" s="267"/>
      <c r="D108" s="221"/>
      <c r="E108" s="280"/>
      <c r="F108" s="280"/>
      <c r="G108" s="280"/>
    </row>
    <row r="109" spans="1:7" ht="20.100000000000001" customHeight="1">
      <c r="A109" s="21"/>
      <c r="B109" s="192" t="s">
        <v>467</v>
      </c>
      <c r="C109" s="265"/>
      <c r="D109" s="21"/>
      <c r="E109" s="282"/>
      <c r="F109" s="282"/>
      <c r="G109" s="282"/>
    </row>
    <row r="110" spans="1:7" ht="20.100000000000001" customHeight="1">
      <c r="A110" s="21">
        <v>1</v>
      </c>
      <c r="B110" s="189" t="s">
        <v>216</v>
      </c>
      <c r="C110" s="264" t="s">
        <v>217</v>
      </c>
      <c r="D110" s="215" t="s">
        <v>161</v>
      </c>
      <c r="E110" s="277">
        <v>1000000</v>
      </c>
      <c r="F110" s="24">
        <v>0</v>
      </c>
      <c r="G110" s="277">
        <v>1000000</v>
      </c>
    </row>
    <row r="111" spans="1:7" ht="20.100000000000001" customHeight="1">
      <c r="A111" s="21">
        <v>2</v>
      </c>
      <c r="B111" s="189" t="s">
        <v>110</v>
      </c>
      <c r="C111" s="265" t="s">
        <v>259</v>
      </c>
      <c r="D111" s="25" t="s">
        <v>29</v>
      </c>
      <c r="E111" s="277">
        <v>700000</v>
      </c>
      <c r="F111" s="24">
        <v>0</v>
      </c>
      <c r="G111" s="277">
        <v>700000</v>
      </c>
    </row>
    <row r="112" spans="1:7" ht="20.100000000000001" customHeight="1">
      <c r="A112" s="21">
        <v>3</v>
      </c>
      <c r="B112" s="189" t="s">
        <v>109</v>
      </c>
      <c r="C112" s="265" t="s">
        <v>311</v>
      </c>
      <c r="D112" s="29" t="s">
        <v>175</v>
      </c>
      <c r="E112" s="277">
        <v>500000</v>
      </c>
      <c r="F112" s="277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5" t="s">
        <v>311</v>
      </c>
      <c r="D113" s="29" t="s">
        <v>170</v>
      </c>
      <c r="E113" s="277">
        <v>500000</v>
      </c>
      <c r="F113" s="277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5" t="s">
        <v>338</v>
      </c>
      <c r="D114" s="215" t="s">
        <v>267</v>
      </c>
      <c r="E114" s="277">
        <v>300000</v>
      </c>
      <c r="F114" s="277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5" t="s">
        <v>338</v>
      </c>
      <c r="D115" s="29" t="s">
        <v>51</v>
      </c>
      <c r="E115" s="277">
        <v>300000</v>
      </c>
      <c r="F115" s="277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5" t="s">
        <v>338</v>
      </c>
      <c r="D116" s="215" t="s">
        <v>105</v>
      </c>
      <c r="E116" s="277">
        <v>300000</v>
      </c>
      <c r="F116" s="277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7">
        <v>7</v>
      </c>
      <c r="D117" s="21"/>
      <c r="E117" s="283">
        <f>SUM(E110:E116)</f>
        <v>3600000</v>
      </c>
      <c r="F117" s="283">
        <f t="shared" ref="F117:G117" si="13">SUM(F110:F116)</f>
        <v>1900000</v>
      </c>
      <c r="G117" s="283">
        <f t="shared" si="13"/>
        <v>1700000</v>
      </c>
    </row>
    <row r="118" spans="1:7" ht="20.100000000000001" customHeight="1">
      <c r="A118" s="21"/>
      <c r="B118" s="142"/>
      <c r="C118" s="270"/>
      <c r="D118" s="21"/>
      <c r="E118" s="284"/>
      <c r="F118" s="284"/>
      <c r="G118" s="284"/>
    </row>
    <row r="119" spans="1:7" ht="20.100000000000001" customHeight="1">
      <c r="A119" s="21"/>
      <c r="B119" s="192" t="s">
        <v>468</v>
      </c>
      <c r="C119" s="267"/>
      <c r="D119" s="30"/>
      <c r="E119" s="277"/>
      <c r="F119" s="277"/>
      <c r="G119" s="277"/>
    </row>
    <row r="120" spans="1:7" ht="20.100000000000001" customHeight="1">
      <c r="A120" s="21">
        <v>1</v>
      </c>
      <c r="B120" s="189" t="s">
        <v>20</v>
      </c>
      <c r="C120" s="264" t="s">
        <v>250</v>
      </c>
      <c r="D120" s="215" t="s">
        <v>161</v>
      </c>
      <c r="E120" s="277">
        <v>1000000</v>
      </c>
      <c r="F120" s="24">
        <v>0</v>
      </c>
      <c r="G120" s="277">
        <v>1000000</v>
      </c>
    </row>
    <row r="121" spans="1:7" ht="20.100000000000001" customHeight="1">
      <c r="A121" s="21">
        <v>2</v>
      </c>
      <c r="B121" s="189" t="s">
        <v>100</v>
      </c>
      <c r="C121" s="264" t="s">
        <v>268</v>
      </c>
      <c r="D121" s="215" t="s">
        <v>160</v>
      </c>
      <c r="E121" s="277">
        <v>700000</v>
      </c>
      <c r="F121" s="24">
        <v>0</v>
      </c>
      <c r="G121" s="277">
        <v>700000</v>
      </c>
    </row>
    <row r="122" spans="1:7" ht="20.100000000000001" customHeight="1">
      <c r="A122" s="21">
        <v>3</v>
      </c>
      <c r="B122" s="189" t="s">
        <v>153</v>
      </c>
      <c r="C122" s="264" t="s">
        <v>376</v>
      </c>
      <c r="D122" s="215" t="s">
        <v>75</v>
      </c>
      <c r="E122" s="277">
        <v>700000</v>
      </c>
      <c r="F122" s="24">
        <v>0</v>
      </c>
      <c r="G122" s="277">
        <v>700000</v>
      </c>
    </row>
    <row r="123" spans="1:7" ht="20.100000000000001" customHeight="1">
      <c r="A123" s="21">
        <v>4</v>
      </c>
      <c r="B123" s="191" t="s">
        <v>142</v>
      </c>
      <c r="C123" s="264" t="s">
        <v>376</v>
      </c>
      <c r="D123" s="215" t="s">
        <v>75</v>
      </c>
      <c r="E123" s="277">
        <v>700000</v>
      </c>
      <c r="F123" s="24">
        <v>0</v>
      </c>
      <c r="G123" s="277">
        <v>700000</v>
      </c>
    </row>
    <row r="124" spans="1:7" ht="20.100000000000001" customHeight="1">
      <c r="A124" s="21">
        <v>5</v>
      </c>
      <c r="B124" s="191" t="s">
        <v>363</v>
      </c>
      <c r="C124" s="264" t="s">
        <v>376</v>
      </c>
      <c r="D124" s="215" t="s">
        <v>30</v>
      </c>
      <c r="E124" s="277">
        <v>700000</v>
      </c>
      <c r="F124" s="24">
        <v>0</v>
      </c>
      <c r="G124" s="277">
        <v>700000</v>
      </c>
    </row>
    <row r="125" spans="1:7" ht="20.100000000000001" customHeight="1">
      <c r="A125" s="21">
        <v>6</v>
      </c>
      <c r="B125" s="189" t="s">
        <v>108</v>
      </c>
      <c r="C125" s="264" t="s">
        <v>478</v>
      </c>
      <c r="D125" s="215" t="s">
        <v>222</v>
      </c>
      <c r="E125" s="277">
        <v>500000</v>
      </c>
      <c r="F125" s="24">
        <v>0</v>
      </c>
      <c r="G125" s="277">
        <v>500000</v>
      </c>
    </row>
    <row r="126" spans="1:7" ht="20.100000000000001" customHeight="1">
      <c r="A126" s="21">
        <v>7</v>
      </c>
      <c r="B126" s="189" t="s">
        <v>178</v>
      </c>
      <c r="C126" s="264" t="s">
        <v>382</v>
      </c>
      <c r="D126" s="215" t="s">
        <v>163</v>
      </c>
      <c r="E126" s="277">
        <v>500000</v>
      </c>
      <c r="F126" s="277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4" t="s">
        <v>384</v>
      </c>
      <c r="D127" s="215" t="s">
        <v>163</v>
      </c>
      <c r="E127" s="277">
        <v>500000</v>
      </c>
      <c r="F127" s="277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4" t="s">
        <v>383</v>
      </c>
      <c r="D128" s="215" t="s">
        <v>413</v>
      </c>
      <c r="E128" s="277">
        <v>500000</v>
      </c>
      <c r="F128" s="277">
        <v>500000</v>
      </c>
      <c r="G128" s="24">
        <v>0</v>
      </c>
    </row>
    <row r="129" spans="1:7" ht="20.100000000000001" customHeight="1">
      <c r="A129" s="21">
        <v>10</v>
      </c>
      <c r="B129" s="189" t="s">
        <v>445</v>
      </c>
      <c r="C129" s="264" t="s">
        <v>449</v>
      </c>
      <c r="D129" s="29" t="s">
        <v>428</v>
      </c>
      <c r="E129" s="277">
        <v>300000</v>
      </c>
      <c r="F129" s="277">
        <v>300000</v>
      </c>
      <c r="G129" s="24">
        <v>0</v>
      </c>
    </row>
    <row r="130" spans="1:7" ht="20.100000000000001" customHeight="1">
      <c r="A130" s="21">
        <v>11</v>
      </c>
      <c r="B130" s="190" t="s">
        <v>441</v>
      </c>
      <c r="C130" s="264" t="s">
        <v>442</v>
      </c>
      <c r="D130" s="215" t="s">
        <v>105</v>
      </c>
      <c r="E130" s="277">
        <v>300000</v>
      </c>
      <c r="F130" s="277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71" t="s">
        <v>292</v>
      </c>
      <c r="D131" s="215"/>
      <c r="E131" s="285">
        <f>SUM(E120:E130)</f>
        <v>6400000</v>
      </c>
      <c r="F131" s="285">
        <f t="shared" ref="F131:G131" si="14">SUM(F120:F130)</f>
        <v>2100000</v>
      </c>
      <c r="G131" s="285">
        <f t="shared" si="14"/>
        <v>4300000</v>
      </c>
    </row>
    <row r="132" spans="1:7" ht="20.100000000000001" customHeight="1">
      <c r="A132" s="21"/>
      <c r="B132" s="142"/>
      <c r="C132" s="271"/>
      <c r="D132" s="215"/>
      <c r="E132" s="286"/>
      <c r="F132" s="286"/>
      <c r="G132" s="286"/>
    </row>
    <row r="133" spans="1:7" ht="20.100000000000001" customHeight="1">
      <c r="A133" s="21"/>
      <c r="B133" s="192" t="s">
        <v>469</v>
      </c>
      <c r="C133" s="264"/>
      <c r="D133" s="215"/>
      <c r="E133" s="277"/>
      <c r="F133" s="277"/>
      <c r="G133" s="277"/>
    </row>
    <row r="134" spans="1:7" ht="20.100000000000001" customHeight="1">
      <c r="A134" s="225">
        <v>1</v>
      </c>
      <c r="B134" s="189" t="s">
        <v>21</v>
      </c>
      <c r="C134" s="264" t="s">
        <v>493</v>
      </c>
      <c r="D134" s="215" t="s">
        <v>161</v>
      </c>
      <c r="E134" s="277">
        <f>1000000/2</f>
        <v>500000</v>
      </c>
      <c r="F134" s="24">
        <v>0</v>
      </c>
      <c r="G134" s="277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4" t="s">
        <v>394</v>
      </c>
      <c r="D135" s="215" t="s">
        <v>160</v>
      </c>
      <c r="E135" s="277">
        <f>700000/2</f>
        <v>350000</v>
      </c>
      <c r="F135" s="24">
        <v>0</v>
      </c>
      <c r="G135" s="277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5" t="s">
        <v>488</v>
      </c>
      <c r="D136" s="25" t="s">
        <v>29</v>
      </c>
      <c r="E136" s="277">
        <v>700000</v>
      </c>
      <c r="F136" s="24">
        <v>0</v>
      </c>
      <c r="G136" s="277">
        <v>700000</v>
      </c>
    </row>
    <row r="137" spans="1:7" ht="20.100000000000001" customHeight="1">
      <c r="A137" s="225">
        <v>4</v>
      </c>
      <c r="B137" s="189" t="s">
        <v>106</v>
      </c>
      <c r="C137" s="264" t="s">
        <v>381</v>
      </c>
      <c r="D137" s="215" t="s">
        <v>162</v>
      </c>
      <c r="E137" s="277">
        <v>500000</v>
      </c>
      <c r="F137" s="24">
        <v>0</v>
      </c>
      <c r="G137" s="277">
        <v>500000</v>
      </c>
    </row>
    <row r="138" spans="1:7" ht="20.100000000000001" customHeight="1">
      <c r="A138" s="225">
        <v>5</v>
      </c>
      <c r="B138" s="189" t="s">
        <v>7</v>
      </c>
      <c r="C138" s="265" t="s">
        <v>385</v>
      </c>
      <c r="D138" s="215" t="s">
        <v>162</v>
      </c>
      <c r="E138" s="277">
        <v>500000</v>
      </c>
      <c r="F138" s="24">
        <v>0</v>
      </c>
      <c r="G138" s="277">
        <v>500000</v>
      </c>
    </row>
    <row r="139" spans="1:7" ht="20.100000000000001" customHeight="1">
      <c r="A139" s="225">
        <v>6</v>
      </c>
      <c r="B139" s="189" t="s">
        <v>124</v>
      </c>
      <c r="C139" s="265" t="s">
        <v>235</v>
      </c>
      <c r="D139" s="215" t="s">
        <v>163</v>
      </c>
      <c r="E139" s="277">
        <v>500000</v>
      </c>
      <c r="F139" s="277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4" t="s">
        <v>395</v>
      </c>
      <c r="D140" s="215" t="s">
        <v>415</v>
      </c>
      <c r="E140" s="277">
        <v>400000</v>
      </c>
      <c r="F140" s="277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4" t="s">
        <v>395</v>
      </c>
      <c r="D141" s="215" t="s">
        <v>415</v>
      </c>
      <c r="E141" s="277">
        <v>400000</v>
      </c>
      <c r="F141" s="277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5" t="s">
        <v>235</v>
      </c>
      <c r="D142" s="215" t="s">
        <v>415</v>
      </c>
      <c r="E142" s="277">
        <v>400000</v>
      </c>
      <c r="F142" s="277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4" t="s">
        <v>481</v>
      </c>
      <c r="D143" s="215" t="s">
        <v>369</v>
      </c>
      <c r="E143" s="277">
        <v>400000</v>
      </c>
      <c r="F143" s="277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4" t="s">
        <v>300</v>
      </c>
      <c r="D144" s="215" t="s">
        <v>164</v>
      </c>
      <c r="E144" s="277">
        <v>300000</v>
      </c>
      <c r="F144" s="277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4" t="s">
        <v>481</v>
      </c>
      <c r="D145" s="215" t="s">
        <v>369</v>
      </c>
      <c r="E145" s="277">
        <v>400000</v>
      </c>
      <c r="F145" s="277">
        <v>400000</v>
      </c>
      <c r="G145" s="24">
        <v>0</v>
      </c>
    </row>
    <row r="146" spans="1:7" ht="20.100000000000001" customHeight="1">
      <c r="A146" s="225">
        <v>13</v>
      </c>
      <c r="B146" s="189" t="s">
        <v>490</v>
      </c>
      <c r="C146" s="265" t="s">
        <v>239</v>
      </c>
      <c r="D146" s="215" t="s">
        <v>207</v>
      </c>
      <c r="E146" s="277">
        <v>300000</v>
      </c>
      <c r="F146" s="277">
        <v>300000</v>
      </c>
      <c r="G146" s="24">
        <v>0</v>
      </c>
    </row>
    <row r="147" spans="1:7" ht="20.100000000000001" customHeight="1">
      <c r="A147" s="225">
        <v>14</v>
      </c>
      <c r="B147" s="189" t="s">
        <v>491</v>
      </c>
      <c r="C147" s="265" t="s">
        <v>239</v>
      </c>
      <c r="D147" s="215" t="s">
        <v>207</v>
      </c>
      <c r="E147" s="277">
        <v>300000</v>
      </c>
      <c r="F147" s="277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5" t="s">
        <v>239</v>
      </c>
      <c r="D148" s="215" t="s">
        <v>207</v>
      </c>
      <c r="E148" s="277">
        <v>300000</v>
      </c>
      <c r="F148" s="277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4" t="s">
        <v>430</v>
      </c>
      <c r="D149" s="215" t="s">
        <v>104</v>
      </c>
      <c r="E149" s="277">
        <v>300000</v>
      </c>
      <c r="F149" s="277">
        <v>300000</v>
      </c>
      <c r="G149" s="24">
        <v>0</v>
      </c>
    </row>
    <row r="150" spans="1:7" ht="20.100000000000001" customHeight="1">
      <c r="A150" s="225">
        <v>17</v>
      </c>
      <c r="B150" s="189" t="s">
        <v>439</v>
      </c>
      <c r="C150" s="264" t="s">
        <v>440</v>
      </c>
      <c r="D150" s="29" t="s">
        <v>428</v>
      </c>
      <c r="E150" s="277">
        <v>300000</v>
      </c>
      <c r="F150" s="277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4" t="s">
        <v>487</v>
      </c>
      <c r="D151" s="215" t="s">
        <v>104</v>
      </c>
      <c r="E151" s="277">
        <v>300000</v>
      </c>
      <c r="F151" s="277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4" t="s">
        <v>483</v>
      </c>
      <c r="D152" s="215" t="s">
        <v>428</v>
      </c>
      <c r="E152" s="277">
        <v>300000</v>
      </c>
      <c r="F152" s="277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4" t="s">
        <v>484</v>
      </c>
      <c r="D153" s="215" t="s">
        <v>104</v>
      </c>
      <c r="E153" s="277">
        <v>300000</v>
      </c>
      <c r="F153" s="277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4" t="s">
        <v>348</v>
      </c>
      <c r="D154" s="215" t="s">
        <v>428</v>
      </c>
      <c r="E154" s="277">
        <v>300000</v>
      </c>
      <c r="F154" s="277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4" t="s">
        <v>290</v>
      </c>
      <c r="D155" s="215" t="s">
        <v>295</v>
      </c>
      <c r="E155" s="277">
        <v>300000</v>
      </c>
      <c r="F155" s="277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4" t="s">
        <v>131</v>
      </c>
      <c r="D156" s="215" t="s">
        <v>105</v>
      </c>
      <c r="E156" s="277">
        <v>300000</v>
      </c>
      <c r="F156" s="277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4" t="s">
        <v>131</v>
      </c>
      <c r="D157" s="215" t="s">
        <v>105</v>
      </c>
      <c r="E157" s="277">
        <v>300000</v>
      </c>
      <c r="F157" s="277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4" t="s">
        <v>290</v>
      </c>
      <c r="D158" s="215" t="s">
        <v>105</v>
      </c>
      <c r="E158" s="277">
        <v>300000</v>
      </c>
      <c r="F158" s="277">
        <v>300000</v>
      </c>
      <c r="G158" s="24">
        <v>0</v>
      </c>
    </row>
    <row r="159" spans="1:7" ht="20.100000000000001" customHeight="1">
      <c r="A159" s="225">
        <v>26</v>
      </c>
      <c r="B159" s="190" t="s">
        <v>443</v>
      </c>
      <c r="C159" s="264" t="s">
        <v>444</v>
      </c>
      <c r="D159" s="215" t="s">
        <v>105</v>
      </c>
      <c r="E159" s="277">
        <v>300000</v>
      </c>
      <c r="F159" s="277">
        <v>300000</v>
      </c>
      <c r="G159" s="24">
        <v>0</v>
      </c>
    </row>
    <row r="160" spans="1:7" ht="20.100000000000001" customHeight="1">
      <c r="A160" s="225">
        <v>27</v>
      </c>
      <c r="B160" s="190" t="s">
        <v>447</v>
      </c>
      <c r="C160" s="264" t="s">
        <v>448</v>
      </c>
      <c r="D160" s="215" t="s">
        <v>105</v>
      </c>
      <c r="E160" s="277">
        <v>300000</v>
      </c>
      <c r="F160" s="277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4" t="s">
        <v>302</v>
      </c>
      <c r="D161" s="215" t="s">
        <v>416</v>
      </c>
      <c r="E161" s="277">
        <v>100000</v>
      </c>
      <c r="F161" s="277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4" t="s">
        <v>302</v>
      </c>
      <c r="D162" s="215" t="s">
        <v>416</v>
      </c>
      <c r="E162" s="277">
        <v>100000</v>
      </c>
      <c r="F162" s="277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4" t="s">
        <v>302</v>
      </c>
      <c r="D163" s="215" t="s">
        <v>416</v>
      </c>
      <c r="E163" s="277">
        <v>100000</v>
      </c>
      <c r="F163" s="277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4" t="s">
        <v>302</v>
      </c>
      <c r="D164" s="215" t="s">
        <v>416</v>
      </c>
      <c r="E164" s="277">
        <v>100000</v>
      </c>
      <c r="F164" s="277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4" t="s">
        <v>302</v>
      </c>
      <c r="D165" s="215" t="s">
        <v>416</v>
      </c>
      <c r="E165" s="277">
        <v>100000</v>
      </c>
      <c r="F165" s="277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4" t="s">
        <v>302</v>
      </c>
      <c r="D166" s="215" t="s">
        <v>416</v>
      </c>
      <c r="E166" s="277">
        <v>100000</v>
      </c>
      <c r="F166" s="277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4" t="s">
        <v>302</v>
      </c>
      <c r="D167" s="215" t="s">
        <v>416</v>
      </c>
      <c r="E167" s="277">
        <v>100000</v>
      </c>
      <c r="F167" s="277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4" t="s">
        <v>302</v>
      </c>
      <c r="D168" s="215" t="s">
        <v>306</v>
      </c>
      <c r="E168" s="277">
        <v>100000</v>
      </c>
      <c r="F168" s="277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4" t="s">
        <v>302</v>
      </c>
      <c r="D169" s="215" t="s">
        <v>306</v>
      </c>
      <c r="E169" s="277">
        <v>100000</v>
      </c>
      <c r="F169" s="277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4" t="s">
        <v>302</v>
      </c>
      <c r="D170" s="215" t="s">
        <v>306</v>
      </c>
      <c r="E170" s="277">
        <v>100000</v>
      </c>
      <c r="F170" s="277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4" t="s">
        <v>302</v>
      </c>
      <c r="D171" s="215" t="s">
        <v>306</v>
      </c>
      <c r="E171" s="277">
        <v>100000</v>
      </c>
      <c r="F171" s="277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4" t="s">
        <v>302</v>
      </c>
      <c r="D172" s="215" t="s">
        <v>306</v>
      </c>
      <c r="E172" s="277">
        <v>100000</v>
      </c>
      <c r="F172" s="277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4" t="s">
        <v>302</v>
      </c>
      <c r="D173" s="215" t="s">
        <v>306</v>
      </c>
      <c r="E173" s="277">
        <v>100000</v>
      </c>
      <c r="F173" s="277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4" t="s">
        <v>302</v>
      </c>
      <c r="D174" s="215" t="s">
        <v>306</v>
      </c>
      <c r="E174" s="277">
        <v>100000</v>
      </c>
      <c r="F174" s="277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4" t="s">
        <v>167</v>
      </c>
      <c r="D175" s="215" t="s">
        <v>177</v>
      </c>
      <c r="E175" s="277">
        <v>100000</v>
      </c>
      <c r="F175" s="277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4" t="s">
        <v>167</v>
      </c>
      <c r="D176" s="215" t="s">
        <v>177</v>
      </c>
      <c r="E176" s="277">
        <v>100000</v>
      </c>
      <c r="F176" s="277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4" t="s">
        <v>167</v>
      </c>
      <c r="D177" s="215" t="s">
        <v>263</v>
      </c>
      <c r="E177" s="277">
        <v>100000</v>
      </c>
      <c r="F177" s="277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4" t="s">
        <v>167</v>
      </c>
      <c r="D178" s="215" t="s">
        <v>301</v>
      </c>
      <c r="E178" s="277">
        <v>100000</v>
      </c>
      <c r="F178" s="277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4" t="s">
        <v>13</v>
      </c>
      <c r="D179" s="215" t="s">
        <v>414</v>
      </c>
      <c r="E179" s="277">
        <v>100000</v>
      </c>
      <c r="F179" s="277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4" t="s">
        <v>13</v>
      </c>
      <c r="D180" s="215" t="s">
        <v>414</v>
      </c>
      <c r="E180" s="277">
        <v>100000</v>
      </c>
      <c r="F180" s="277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4" t="s">
        <v>13</v>
      </c>
      <c r="D181" s="215" t="s">
        <v>414</v>
      </c>
      <c r="E181" s="277">
        <v>100000</v>
      </c>
      <c r="F181" s="277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4" t="s">
        <v>13</v>
      </c>
      <c r="D182" s="215" t="s">
        <v>414</v>
      </c>
      <c r="E182" s="277">
        <v>100000</v>
      </c>
      <c r="F182" s="277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4" t="s">
        <v>13</v>
      </c>
      <c r="D183" s="215" t="s">
        <v>414</v>
      </c>
      <c r="E183" s="277">
        <v>100000</v>
      </c>
      <c r="F183" s="277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4" t="s">
        <v>13</v>
      </c>
      <c r="D184" s="215" t="s">
        <v>262</v>
      </c>
      <c r="E184" s="277">
        <v>100000</v>
      </c>
      <c r="F184" s="277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4" t="s">
        <v>13</v>
      </c>
      <c r="D185" s="215" t="s">
        <v>262</v>
      </c>
      <c r="E185" s="277">
        <v>100000</v>
      </c>
      <c r="F185" s="277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4" t="s">
        <v>167</v>
      </c>
      <c r="D186" s="215" t="s">
        <v>262</v>
      </c>
      <c r="E186" s="277">
        <v>100000</v>
      </c>
      <c r="F186" s="277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4" t="s">
        <v>167</v>
      </c>
      <c r="D187" s="215" t="s">
        <v>262</v>
      </c>
      <c r="E187" s="277">
        <v>100000</v>
      </c>
      <c r="F187" s="277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4" t="s">
        <v>13</v>
      </c>
      <c r="D188" s="215" t="s">
        <v>28</v>
      </c>
      <c r="E188" s="277">
        <v>100000</v>
      </c>
      <c r="F188" s="277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4" t="s">
        <v>13</v>
      </c>
      <c r="D189" s="215" t="s">
        <v>150</v>
      </c>
      <c r="E189" s="277">
        <v>100000</v>
      </c>
      <c r="F189" s="277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72" t="s">
        <v>431</v>
      </c>
      <c r="D190" s="23"/>
      <c r="E190" s="279">
        <f>SUM(E134:E189)</f>
        <v>12750000</v>
      </c>
      <c r="F190" s="279">
        <f t="shared" ref="F190:G190" si="17">SUM(F134:F189)</f>
        <v>10200000</v>
      </c>
      <c r="G190" s="279">
        <f t="shared" si="17"/>
        <v>2550000</v>
      </c>
    </row>
    <row r="191" spans="1:7" ht="20.100000000000001" customHeight="1">
      <c r="A191" s="21"/>
      <c r="B191" s="228" t="s">
        <v>8</v>
      </c>
      <c r="C191" s="273">
        <f>C38+C43+C58+C62+C78+C86+C100+C107+C117+C131+C190+2</f>
        <v>152</v>
      </c>
      <c r="D191" s="230"/>
      <c r="E191" s="287">
        <f>E190+E131+E117+E107+E100+E86+E78+E62+E58+E43+E38</f>
        <v>62400000</v>
      </c>
      <c r="F191" s="287">
        <f>F190+F131+F117+F107+F100+F86+F78+F62+F58+F43+F38</f>
        <v>29750000</v>
      </c>
      <c r="G191" s="287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8"/>
      <c r="F192" s="289"/>
      <c r="G192" s="289"/>
    </row>
    <row r="193" spans="1:5" ht="28.5" customHeight="1">
      <c r="A193" s="203"/>
      <c r="B193" s="232"/>
      <c r="C193" s="232"/>
      <c r="D193" s="233"/>
      <c r="E193" s="29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95" t="s">
        <v>126</v>
      </c>
      <c r="B1" s="395"/>
      <c r="C1" s="395"/>
      <c r="D1" s="395"/>
      <c r="E1" s="395"/>
      <c r="F1" s="395"/>
    </row>
    <row r="2" spans="1:6" ht="18.75">
      <c r="A2" s="396" t="s">
        <v>62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948475.67999999993</v>
      </c>
      <c r="E4" s="13">
        <f>SUMMARY!F3</f>
        <v>79039.64</v>
      </c>
      <c r="F4" s="1"/>
    </row>
    <row r="5" spans="1:6" ht="18.75">
      <c r="A5" s="394" t="s">
        <v>65</v>
      </c>
      <c r="B5" s="394"/>
      <c r="C5" s="394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394" t="s">
        <v>66</v>
      </c>
      <c r="B6" s="394"/>
      <c r="C6" s="394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394" t="s">
        <v>63</v>
      </c>
      <c r="B7" s="394"/>
      <c r="C7" s="394"/>
      <c r="D7" s="13">
        <f t="shared" si="0"/>
        <v>962932.56</v>
      </c>
      <c r="E7" s="13">
        <f>SUMMARY!J3</f>
        <v>80244.38</v>
      </c>
      <c r="F7" s="1"/>
    </row>
    <row r="8" spans="1:6" ht="18.75">
      <c r="A8" s="394" t="s">
        <v>67</v>
      </c>
      <c r="B8" s="394"/>
      <c r="C8" s="394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394" t="s">
        <v>68</v>
      </c>
      <c r="B9" s="394"/>
      <c r="C9" s="394"/>
      <c r="D9" s="13">
        <f t="shared" si="0"/>
        <v>3319664.88</v>
      </c>
      <c r="E9" s="13">
        <f>SUMMARY!L3</f>
        <v>276638.74</v>
      </c>
      <c r="F9" s="1"/>
    </row>
    <row r="10" spans="1:6" ht="18.75">
      <c r="A10" s="398" t="s">
        <v>91</v>
      </c>
      <c r="B10" s="399"/>
      <c r="C10" s="400"/>
      <c r="D10" s="13">
        <f>E10*12</f>
        <v>0</v>
      </c>
      <c r="E10" s="13"/>
      <c r="F10" s="1"/>
    </row>
    <row r="11" spans="1:6" ht="18.75">
      <c r="A11" s="394" t="s">
        <v>69</v>
      </c>
      <c r="B11" s="394"/>
      <c r="C11" s="394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394" t="s">
        <v>70</v>
      </c>
      <c r="B12" s="394"/>
      <c r="C12" s="394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394" t="s">
        <v>71</v>
      </c>
      <c r="B13" s="394"/>
      <c r="C13" s="394"/>
      <c r="D13" s="13">
        <f t="shared" si="0"/>
        <v>240000</v>
      </c>
      <c r="E13" s="13">
        <f>SUMMARY!P3</f>
        <v>20000</v>
      </c>
      <c r="F13" s="1"/>
    </row>
    <row r="14" spans="1:6" ht="18.75">
      <c r="A14" s="397" t="s">
        <v>74</v>
      </c>
      <c r="B14" s="397"/>
      <c r="C14" s="397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01" t="s">
        <v>194</v>
      </c>
      <c r="B1" s="401"/>
      <c r="C1" s="401"/>
      <c r="D1" s="401"/>
      <c r="E1" s="401"/>
      <c r="F1" s="401"/>
    </row>
    <row r="2" spans="1:6" ht="18.75">
      <c r="A2" s="396" t="s">
        <v>76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 t="e">
        <f>E4*12</f>
        <v>#REF!</v>
      </c>
      <c r="E4" s="13" t="e">
        <f>'JUNE 2023'!#REF!</f>
        <v>#REF!</v>
      </c>
      <c r="F4" s="1"/>
    </row>
    <row r="5" spans="1:6" ht="18.75">
      <c r="A5" s="394" t="s">
        <v>65</v>
      </c>
      <c r="B5" s="394"/>
      <c r="C5" s="394"/>
      <c r="D5" s="13" t="e">
        <f t="shared" ref="D5:D13" si="0">E5*12</f>
        <v>#REF!</v>
      </c>
      <c r="E5" s="13" t="e">
        <f>'JUNE 2023'!#REF!</f>
        <v>#REF!</v>
      </c>
      <c r="F5" s="1"/>
    </row>
    <row r="6" spans="1:6" ht="18.75">
      <c r="A6" s="394" t="s">
        <v>66</v>
      </c>
      <c r="B6" s="394"/>
      <c r="C6" s="394"/>
      <c r="D6" s="13" t="e">
        <f t="shared" si="0"/>
        <v>#REF!</v>
      </c>
      <c r="E6" s="13" t="e">
        <f>'JUNE 2023'!#REF!</f>
        <v>#REF!</v>
      </c>
      <c r="F6" s="1"/>
    </row>
    <row r="7" spans="1:6" ht="18.75">
      <c r="A7" s="394" t="s">
        <v>63</v>
      </c>
      <c r="B7" s="394"/>
      <c r="C7" s="394"/>
      <c r="D7" s="13" t="e">
        <f t="shared" si="0"/>
        <v>#REF!</v>
      </c>
      <c r="E7" s="13" t="e">
        <f>'JUNE 2023'!#REF!</f>
        <v>#REF!</v>
      </c>
      <c r="F7" s="1"/>
    </row>
    <row r="8" spans="1:6" ht="18.75">
      <c r="A8" s="394" t="s">
        <v>67</v>
      </c>
      <c r="B8" s="394"/>
      <c r="C8" s="394"/>
      <c r="D8" s="13" t="e">
        <f t="shared" si="0"/>
        <v>#REF!</v>
      </c>
      <c r="E8" s="13" t="e">
        <f>'JUNE 2023'!#REF!</f>
        <v>#REF!</v>
      </c>
      <c r="F8" s="1"/>
    </row>
    <row r="9" spans="1:6" ht="18.75">
      <c r="A9" s="394" t="s">
        <v>68</v>
      </c>
      <c r="B9" s="394"/>
      <c r="C9" s="394"/>
      <c r="D9" s="13" t="e">
        <f t="shared" si="0"/>
        <v>#REF!</v>
      </c>
      <c r="E9" s="13" t="e">
        <f>'JUNE 2023'!#REF!</f>
        <v>#REF!</v>
      </c>
      <c r="F9" s="1"/>
    </row>
    <row r="10" spans="1:6" ht="18.75">
      <c r="A10" s="394" t="s">
        <v>69</v>
      </c>
      <c r="B10" s="394"/>
      <c r="C10" s="394"/>
      <c r="D10" s="13" t="e">
        <f t="shared" si="0"/>
        <v>#REF!</v>
      </c>
      <c r="E10" s="13" t="e">
        <f>'JUNE 2023'!#REF!</f>
        <v>#REF!</v>
      </c>
      <c r="F10" s="1"/>
    </row>
    <row r="11" spans="1:6" ht="18.75">
      <c r="A11" s="398" t="s">
        <v>198</v>
      </c>
      <c r="B11" s="399"/>
      <c r="C11" s="400"/>
      <c r="D11" s="13">
        <f t="shared" si="0"/>
        <v>1200000</v>
      </c>
      <c r="E11" s="13">
        <v>100000</v>
      </c>
      <c r="F11" s="1"/>
    </row>
    <row r="12" spans="1:6" ht="18.75">
      <c r="A12" s="394" t="s">
        <v>70</v>
      </c>
      <c r="B12" s="394"/>
      <c r="C12" s="394"/>
      <c r="D12" s="13" t="e">
        <f t="shared" si="0"/>
        <v>#REF!</v>
      </c>
      <c r="E12" s="13" t="e">
        <f>'JUNE 2023'!#REF!</f>
        <v>#REF!</v>
      </c>
      <c r="F12" s="1"/>
    </row>
    <row r="13" spans="1:6" ht="18.75">
      <c r="A13" s="394" t="s">
        <v>71</v>
      </c>
      <c r="B13" s="394"/>
      <c r="C13" s="394"/>
      <c r="D13" s="13" t="e">
        <f t="shared" si="0"/>
        <v>#REF!</v>
      </c>
      <c r="E13" s="13" t="e">
        <f>'JUNE 2023'!#REF!</f>
        <v>#REF!</v>
      </c>
      <c r="F13" s="1"/>
    </row>
    <row r="14" spans="1:6" ht="18.75">
      <c r="A14" s="397" t="s">
        <v>74</v>
      </c>
      <c r="B14" s="397"/>
      <c r="C14" s="397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01" t="s">
        <v>193</v>
      </c>
      <c r="B1" s="401"/>
      <c r="C1" s="401"/>
      <c r="D1" s="401"/>
      <c r="E1" s="401"/>
      <c r="F1" s="401"/>
    </row>
    <row r="2" spans="1:6" ht="18.75">
      <c r="A2" s="396" t="s">
        <v>156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493892.28</v>
      </c>
      <c r="E4" s="13">
        <f>'JUNE 2023'!E12</f>
        <v>41157.69</v>
      </c>
      <c r="F4" s="1"/>
    </row>
    <row r="5" spans="1:6" ht="18.75">
      <c r="A5" s="394" t="s">
        <v>65</v>
      </c>
      <c r="B5" s="394"/>
      <c r="C5" s="394"/>
      <c r="D5" s="13">
        <f t="shared" ref="D5:D14" si="0">E5*12</f>
        <v>1481676.84</v>
      </c>
      <c r="E5" s="13">
        <f>'JUNE 2023'!G12</f>
        <v>123473.07</v>
      </c>
      <c r="F5" s="1"/>
    </row>
    <row r="6" spans="1:6" ht="18.75">
      <c r="A6" s="394" t="s">
        <v>66</v>
      </c>
      <c r="B6" s="394"/>
      <c r="C6" s="394"/>
      <c r="D6" s="13">
        <f t="shared" si="0"/>
        <v>37041.921000000002</v>
      </c>
      <c r="E6" s="13">
        <f>'JUNE 2023'!H12</f>
        <v>3086.8267500000002</v>
      </c>
      <c r="F6" s="1"/>
    </row>
    <row r="7" spans="1:6" ht="18.75">
      <c r="A7" s="394" t="s">
        <v>63</v>
      </c>
      <c r="B7" s="394"/>
      <c r="C7" s="394"/>
      <c r="D7" s="13">
        <f t="shared" si="0"/>
        <v>481466.28</v>
      </c>
      <c r="E7" s="13">
        <f>'JUNE 2023'!I12</f>
        <v>40122.19</v>
      </c>
      <c r="F7" s="1"/>
    </row>
    <row r="8" spans="1:6" ht="18.75">
      <c r="A8" s="394" t="s">
        <v>67</v>
      </c>
      <c r="B8" s="394"/>
      <c r="C8" s="394"/>
      <c r="D8" s="13">
        <f t="shared" si="0"/>
        <v>246946.14</v>
      </c>
      <c r="E8" s="13">
        <f>'JUNE 2023'!J12</f>
        <v>20578.845000000001</v>
      </c>
      <c r="F8" s="1"/>
    </row>
    <row r="9" spans="1:6" ht="18.75">
      <c r="A9" s="394" t="s">
        <v>68</v>
      </c>
      <c r="B9" s="394"/>
      <c r="C9" s="394"/>
      <c r="D9" s="13">
        <f t="shared" si="0"/>
        <v>1728622.98</v>
      </c>
      <c r="E9" s="13">
        <f>'JUNE 2023'!K12</f>
        <v>144051.91500000001</v>
      </c>
      <c r="F9" s="1"/>
    </row>
    <row r="10" spans="1:6" ht="18.75">
      <c r="A10" s="394" t="s">
        <v>69</v>
      </c>
      <c r="B10" s="394"/>
      <c r="C10" s="394"/>
      <c r="D10" s="13">
        <f t="shared" si="0"/>
        <v>493892.28</v>
      </c>
      <c r="E10" s="13">
        <f>'JUNE 2023'!L12</f>
        <v>41157.69</v>
      </c>
      <c r="F10" s="1"/>
    </row>
    <row r="11" spans="1:6" ht="18.75">
      <c r="A11" s="398" t="s">
        <v>91</v>
      </c>
      <c r="B11" s="399"/>
      <c r="C11" s="400"/>
      <c r="D11" s="13">
        <f t="shared" si="0"/>
        <v>0</v>
      </c>
      <c r="E11" s="13">
        <v>0</v>
      </c>
      <c r="F11" s="1"/>
    </row>
    <row r="12" spans="1:6" ht="18.75">
      <c r="A12" s="394" t="s">
        <v>70</v>
      </c>
      <c r="B12" s="394"/>
      <c r="C12" s="394"/>
      <c r="D12" s="13">
        <f t="shared" si="0"/>
        <v>49389.228000000003</v>
      </c>
      <c r="E12" s="13">
        <f>'JUNE 2023'!O12</f>
        <v>4115.7690000000002</v>
      </c>
      <c r="F12" s="1"/>
    </row>
    <row r="13" spans="1:6" ht="18.75">
      <c r="A13" s="394" t="s">
        <v>71</v>
      </c>
      <c r="B13" s="394"/>
      <c r="C13" s="394"/>
      <c r="D13" s="13">
        <f t="shared" si="0"/>
        <v>240000</v>
      </c>
      <c r="E13" s="13">
        <v>20000</v>
      </c>
      <c r="F13" s="1"/>
    </row>
    <row r="14" spans="1:6" ht="18.75">
      <c r="A14" s="397" t="s">
        <v>74</v>
      </c>
      <c r="B14" s="397"/>
      <c r="C14" s="397"/>
      <c r="D14" s="14">
        <f t="shared" si="0"/>
        <v>5252927.949</v>
      </c>
      <c r="E14" s="14">
        <f>SUM(E4:E13)</f>
        <v>437743.99575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01" t="s">
        <v>191</v>
      </c>
      <c r="B1" s="401"/>
      <c r="C1" s="401"/>
      <c r="D1" s="401"/>
      <c r="E1" s="401"/>
      <c r="F1" s="401"/>
    </row>
    <row r="2" spans="1:6" ht="18.75">
      <c r="A2" s="396" t="s">
        <v>190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 t="e">
        <f>E4*12</f>
        <v>#REF!</v>
      </c>
      <c r="E4" s="13" t="e">
        <f>'JUNE 2023'!#REF!</f>
        <v>#REF!</v>
      </c>
      <c r="F4" s="1"/>
    </row>
    <row r="5" spans="1:6" ht="18.75">
      <c r="A5" s="394" t="s">
        <v>65</v>
      </c>
      <c r="B5" s="394"/>
      <c r="C5" s="394"/>
      <c r="D5" s="13" t="e">
        <f t="shared" ref="D5:D14" si="0">E5*12</f>
        <v>#REF!</v>
      </c>
      <c r="E5" s="13" t="e">
        <f>'JUNE 2023'!#REF!</f>
        <v>#REF!</v>
      </c>
      <c r="F5" s="1"/>
    </row>
    <row r="6" spans="1:6" ht="18.75">
      <c r="A6" s="394" t="s">
        <v>66</v>
      </c>
      <c r="B6" s="394"/>
      <c r="C6" s="394"/>
      <c r="D6" s="13" t="e">
        <f t="shared" si="0"/>
        <v>#REF!</v>
      </c>
      <c r="E6" s="13" t="e">
        <f>'JUNE 2023'!#REF!</f>
        <v>#REF!</v>
      </c>
      <c r="F6" s="1"/>
    </row>
    <row r="7" spans="1:6" ht="18.75">
      <c r="A7" s="394" t="s">
        <v>63</v>
      </c>
      <c r="B7" s="394"/>
      <c r="C7" s="394"/>
      <c r="D7" s="13">
        <f t="shared" si="0"/>
        <v>0</v>
      </c>
      <c r="E7" s="13">
        <f>SUMMARY!J6</f>
        <v>0</v>
      </c>
      <c r="F7" s="1"/>
    </row>
    <row r="8" spans="1:6" ht="18.75">
      <c r="A8" s="394" t="s">
        <v>67</v>
      </c>
      <c r="B8" s="394"/>
      <c r="C8" s="394"/>
      <c r="D8" s="13" t="e">
        <f t="shared" si="0"/>
        <v>#REF!</v>
      </c>
      <c r="E8" s="13" t="e">
        <f>'JUNE 2023'!#REF!</f>
        <v>#REF!</v>
      </c>
      <c r="F8" s="1"/>
    </row>
    <row r="9" spans="1:6" ht="18.75">
      <c r="A9" s="394" t="s">
        <v>68</v>
      </c>
      <c r="B9" s="394"/>
      <c r="C9" s="394"/>
      <c r="D9" s="13" t="e">
        <f t="shared" si="0"/>
        <v>#REF!</v>
      </c>
      <c r="E9" s="13" t="e">
        <f>'JUNE 2023'!#REF!</f>
        <v>#REF!</v>
      </c>
      <c r="F9" s="1"/>
    </row>
    <row r="10" spans="1:6" ht="18.75">
      <c r="A10" s="394" t="s">
        <v>69</v>
      </c>
      <c r="B10" s="394"/>
      <c r="C10" s="394"/>
      <c r="D10" s="13" t="e">
        <f t="shared" si="0"/>
        <v>#REF!</v>
      </c>
      <c r="E10" s="13" t="e">
        <f>'JUNE 2023'!#REF!</f>
        <v>#REF!</v>
      </c>
      <c r="F10" s="1"/>
    </row>
    <row r="11" spans="1:6" ht="18.75">
      <c r="A11" s="398" t="s">
        <v>91</v>
      </c>
      <c r="B11" s="399"/>
      <c r="C11" s="400"/>
      <c r="D11" s="13">
        <f t="shared" si="0"/>
        <v>0</v>
      </c>
      <c r="E11" s="13">
        <v>0</v>
      </c>
      <c r="F11" s="1"/>
    </row>
    <row r="12" spans="1:6" ht="18.75">
      <c r="A12" s="394" t="s">
        <v>70</v>
      </c>
      <c r="B12" s="394"/>
      <c r="C12" s="394"/>
      <c r="D12" s="13" t="e">
        <f t="shared" si="0"/>
        <v>#REF!</v>
      </c>
      <c r="E12" s="13" t="e">
        <f>'JUNE 2023'!#REF!</f>
        <v>#REF!</v>
      </c>
      <c r="F12" s="1"/>
    </row>
    <row r="13" spans="1:6" ht="18.75">
      <c r="A13" s="394" t="s">
        <v>71</v>
      </c>
      <c r="B13" s="394"/>
      <c r="C13" s="394"/>
      <c r="D13" s="13" t="e">
        <f t="shared" si="0"/>
        <v>#REF!</v>
      </c>
      <c r="E13" s="13" t="e">
        <f>'JUNE 2023'!#REF!</f>
        <v>#REF!</v>
      </c>
      <c r="F13" s="1"/>
    </row>
    <row r="14" spans="1:6" ht="18.75">
      <c r="A14" s="397" t="s">
        <v>74</v>
      </c>
      <c r="B14" s="397"/>
      <c r="C14" s="397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01"/>
      <c r="B1" s="401"/>
      <c r="C1" s="401"/>
      <c r="D1" s="401"/>
      <c r="E1" s="401"/>
      <c r="F1" s="401"/>
    </row>
    <row r="2" spans="1:6" ht="18.75">
      <c r="A2" s="396"/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255527.52</v>
      </c>
      <c r="E4" s="13">
        <f>SUMMARY!F7</f>
        <v>21293.96</v>
      </c>
      <c r="F4" s="1"/>
    </row>
    <row r="5" spans="1:6" ht="18.75">
      <c r="A5" s="394" t="s">
        <v>65</v>
      </c>
      <c r="B5" s="394"/>
      <c r="C5" s="394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394" t="s">
        <v>66</v>
      </c>
      <c r="B6" s="394"/>
      <c r="C6" s="394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394" t="s">
        <v>63</v>
      </c>
      <c r="B7" s="394"/>
      <c r="C7" s="394"/>
      <c r="D7" s="13">
        <f t="shared" si="0"/>
        <v>0</v>
      </c>
      <c r="E7" s="13">
        <f>SUMMARY!J6</f>
        <v>0</v>
      </c>
      <c r="F7" s="1"/>
    </row>
    <row r="8" spans="1:6" ht="18.75">
      <c r="A8" s="394" t="s">
        <v>67</v>
      </c>
      <c r="B8" s="394"/>
      <c r="C8" s="394"/>
      <c r="D8" s="13">
        <f t="shared" si="0"/>
        <v>127763.76</v>
      </c>
      <c r="E8" s="13">
        <f>SUMMARY!K7</f>
        <v>10646.98</v>
      </c>
      <c r="F8" s="1"/>
    </row>
    <row r="9" spans="1:6" ht="18.75">
      <c r="A9" s="394" t="s">
        <v>68</v>
      </c>
      <c r="B9" s="394"/>
      <c r="C9" s="394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394" t="s">
        <v>69</v>
      </c>
      <c r="B10" s="394"/>
      <c r="C10" s="394"/>
      <c r="D10" s="13">
        <f t="shared" si="0"/>
        <v>255527.52</v>
      </c>
      <c r="E10" s="13">
        <f>SUMMARY!N7</f>
        <v>21293.96</v>
      </c>
      <c r="F10" s="1"/>
    </row>
    <row r="11" spans="1:6" ht="18.75">
      <c r="A11" s="394" t="s">
        <v>70</v>
      </c>
      <c r="B11" s="394"/>
      <c r="C11" s="394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394" t="s">
        <v>71</v>
      </c>
      <c r="B12" s="394"/>
      <c r="C12" s="394"/>
      <c r="D12" s="13">
        <f t="shared" si="0"/>
        <v>120000</v>
      </c>
      <c r="E12" s="13">
        <f>SUMMARY!P7</f>
        <v>10000</v>
      </c>
      <c r="F12" s="1"/>
    </row>
    <row r="13" spans="1:6" ht="18.75">
      <c r="A13" s="397" t="s">
        <v>74</v>
      </c>
      <c r="B13" s="397"/>
      <c r="C13" s="397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01" t="s">
        <v>82</v>
      </c>
      <c r="B1" s="401"/>
      <c r="C1" s="401"/>
      <c r="D1" s="401"/>
      <c r="E1" s="401"/>
      <c r="F1" s="401"/>
    </row>
    <row r="2" spans="1:6" ht="18.75">
      <c r="A2" s="396" t="s">
        <v>83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394" t="s">
        <v>65</v>
      </c>
      <c r="B5" s="394"/>
      <c r="C5" s="394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394" t="s">
        <v>66</v>
      </c>
      <c r="B6" s="394"/>
      <c r="C6" s="394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394" t="s">
        <v>63</v>
      </c>
      <c r="B7" s="394"/>
      <c r="C7" s="394"/>
      <c r="D7" s="13">
        <f t="shared" si="0"/>
        <v>0</v>
      </c>
      <c r="E7" s="13">
        <f>SUMMARY!J6</f>
        <v>0</v>
      </c>
      <c r="F7" s="1"/>
    </row>
    <row r="8" spans="1:6" ht="18.75">
      <c r="A8" s="394" t="s">
        <v>67</v>
      </c>
      <c r="B8" s="394"/>
      <c r="C8" s="394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394" t="s">
        <v>68</v>
      </c>
      <c r="B9" s="394"/>
      <c r="C9" s="394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394" t="s">
        <v>69</v>
      </c>
      <c r="B10" s="394"/>
      <c r="C10" s="394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398" t="s">
        <v>91</v>
      </c>
      <c r="B11" s="399"/>
      <c r="C11" s="400"/>
      <c r="D11" s="13">
        <f t="shared" si="0"/>
        <v>480000</v>
      </c>
      <c r="E11" s="13">
        <v>40000</v>
      </c>
      <c r="F11" s="1"/>
    </row>
    <row r="12" spans="1:6" ht="18.75">
      <c r="A12" s="394" t="s">
        <v>70</v>
      </c>
      <c r="B12" s="394"/>
      <c r="C12" s="394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394" t="s">
        <v>71</v>
      </c>
      <c r="B13" s="394"/>
      <c r="C13" s="394"/>
      <c r="D13" s="13">
        <f t="shared" si="0"/>
        <v>120000</v>
      </c>
      <c r="E13" s="13">
        <f>SUMMARY!P7</f>
        <v>10000</v>
      </c>
      <c r="F13" s="1"/>
    </row>
    <row r="14" spans="1:6" ht="18.75">
      <c r="A14" s="397" t="s">
        <v>74</v>
      </c>
      <c r="B14" s="397"/>
      <c r="C14" s="397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01" t="s">
        <v>86</v>
      </c>
      <c r="B1" s="401"/>
      <c r="C1" s="401"/>
      <c r="D1" s="401"/>
      <c r="E1" s="401"/>
      <c r="F1" s="401"/>
    </row>
    <row r="2" spans="1:6" ht="18.75">
      <c r="A2" s="396" t="s">
        <v>89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176833.68</v>
      </c>
      <c r="E4" s="13">
        <f>SUMMARY!F9</f>
        <v>14736.14</v>
      </c>
      <c r="F4" s="1"/>
    </row>
    <row r="5" spans="1:6" ht="18.75">
      <c r="A5" s="394" t="s">
        <v>65</v>
      </c>
      <c r="B5" s="394"/>
      <c r="C5" s="394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394" t="s">
        <v>66</v>
      </c>
      <c r="B6" s="394"/>
      <c r="C6" s="394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394" t="s">
        <v>63</v>
      </c>
      <c r="B7" s="394"/>
      <c r="C7" s="394"/>
      <c r="D7" s="13">
        <f t="shared" si="0"/>
        <v>0</v>
      </c>
      <c r="E7" s="13">
        <f>SUMMARY!J6</f>
        <v>0</v>
      </c>
      <c r="F7" s="1"/>
    </row>
    <row r="8" spans="1:6" ht="18.75">
      <c r="A8" s="394" t="s">
        <v>67</v>
      </c>
      <c r="B8" s="394"/>
      <c r="C8" s="394"/>
      <c r="D8" s="13">
        <f t="shared" si="0"/>
        <v>88416.84</v>
      </c>
      <c r="E8" s="13">
        <f>SUMMARY!K9</f>
        <v>7368.07</v>
      </c>
      <c r="F8" s="1"/>
    </row>
    <row r="9" spans="1:6" ht="18.75">
      <c r="A9" s="394" t="s">
        <v>68</v>
      </c>
      <c r="B9" s="394"/>
      <c r="C9" s="394"/>
      <c r="D9" s="13">
        <f t="shared" si="0"/>
        <v>618917.88</v>
      </c>
      <c r="E9" s="13">
        <f>SUMMARY!L9</f>
        <v>51576.49</v>
      </c>
      <c r="F9" s="1"/>
    </row>
    <row r="10" spans="1:6" ht="18.75">
      <c r="A10" s="394" t="s">
        <v>69</v>
      </c>
      <c r="B10" s="394"/>
      <c r="C10" s="394"/>
      <c r="D10" s="13">
        <f t="shared" si="0"/>
        <v>176833.68</v>
      </c>
      <c r="E10" s="13">
        <f>SUMMARY!N9</f>
        <v>14736.14</v>
      </c>
      <c r="F10" s="1"/>
    </row>
    <row r="11" spans="1:6" ht="18.75">
      <c r="A11" s="398" t="s">
        <v>96</v>
      </c>
      <c r="B11" s="399"/>
      <c r="C11" s="400"/>
      <c r="D11" s="13">
        <f t="shared" si="0"/>
        <v>480000</v>
      </c>
      <c r="E11" s="13">
        <v>40000</v>
      </c>
      <c r="F11" s="1"/>
    </row>
    <row r="12" spans="1:6" ht="18.75">
      <c r="A12" s="394" t="s">
        <v>70</v>
      </c>
      <c r="B12" s="394"/>
      <c r="C12" s="394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394" t="s">
        <v>71</v>
      </c>
      <c r="B13" s="394"/>
      <c r="C13" s="394"/>
      <c r="D13" s="13">
        <f t="shared" si="0"/>
        <v>120000</v>
      </c>
      <c r="E13" s="13">
        <f>SUMMARY!P7</f>
        <v>10000</v>
      </c>
      <c r="F13" s="1"/>
    </row>
    <row r="14" spans="1:6" ht="18.75">
      <c r="A14" s="397" t="s">
        <v>74</v>
      </c>
      <c r="B14" s="397"/>
      <c r="C14" s="397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01" t="s">
        <v>133</v>
      </c>
      <c r="B1" s="401"/>
      <c r="C1" s="401"/>
      <c r="D1" s="401"/>
      <c r="E1" s="401"/>
      <c r="F1" s="401"/>
    </row>
    <row r="2" spans="1:6" ht="18.75">
      <c r="A2" s="396"/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306281.40000000002</v>
      </c>
      <c r="E4" s="13">
        <f>'JUNE 2023'!E83</f>
        <v>25523.45</v>
      </c>
      <c r="F4" s="1"/>
    </row>
    <row r="5" spans="1:6" ht="18.75">
      <c r="A5" s="394" t="s">
        <v>65</v>
      </c>
      <c r="B5" s="394"/>
      <c r="C5" s="394"/>
      <c r="D5" s="13" t="e">
        <f t="shared" ref="D5:D12" si="0">E5*12</f>
        <v>#REF!</v>
      </c>
      <c r="E5" s="13" t="e">
        <f>'JUNE 2023'!#REF!</f>
        <v>#REF!</v>
      </c>
      <c r="F5" s="1"/>
    </row>
    <row r="6" spans="1:6" ht="18.75">
      <c r="A6" s="394" t="s">
        <v>66</v>
      </c>
      <c r="B6" s="394"/>
      <c r="C6" s="394"/>
      <c r="D6" s="13" t="e">
        <f t="shared" si="0"/>
        <v>#REF!</v>
      </c>
      <c r="E6" s="13" t="e">
        <f>'JUNE 2023'!#REF!</f>
        <v>#REF!</v>
      </c>
      <c r="F6" s="1"/>
    </row>
    <row r="7" spans="1:6" ht="18.75">
      <c r="A7" s="394" t="s">
        <v>67</v>
      </c>
      <c r="B7" s="394"/>
      <c r="C7" s="394"/>
      <c r="D7" s="13">
        <f t="shared" si="0"/>
        <v>160395.90000000002</v>
      </c>
      <c r="E7" s="13">
        <f>'JUNE 2023'!J129</f>
        <v>13366.325000000001</v>
      </c>
      <c r="F7" s="1"/>
    </row>
    <row r="8" spans="1:6" ht="18.75">
      <c r="A8" s="394" t="s">
        <v>68</v>
      </c>
      <c r="B8" s="394"/>
      <c r="C8" s="394"/>
      <c r="D8" s="13" t="e">
        <f t="shared" si="0"/>
        <v>#REF!</v>
      </c>
      <c r="E8" s="13" t="e">
        <f>'JUNE 2023'!#REF!</f>
        <v>#REF!</v>
      </c>
      <c r="F8" s="1"/>
    </row>
    <row r="9" spans="1:6" ht="18.75">
      <c r="A9" s="394" t="s">
        <v>69</v>
      </c>
      <c r="B9" s="394"/>
      <c r="C9" s="394"/>
      <c r="D9" s="13">
        <f t="shared" si="0"/>
        <v>320791.80000000005</v>
      </c>
      <c r="E9" s="13">
        <f>'JUNE 2023'!L129</f>
        <v>26732.65</v>
      </c>
      <c r="F9" s="1"/>
    </row>
    <row r="10" spans="1:6" ht="18.75">
      <c r="A10" s="394" t="s">
        <v>70</v>
      </c>
      <c r="B10" s="394"/>
      <c r="C10" s="394"/>
      <c r="D10" s="13" t="e">
        <f t="shared" si="0"/>
        <v>#REF!</v>
      </c>
      <c r="E10" s="13" t="e">
        <f>'JUNE 2023'!#REF!</f>
        <v>#REF!</v>
      </c>
      <c r="F10" s="1"/>
    </row>
    <row r="11" spans="1:6" ht="18.75">
      <c r="A11" s="394" t="s">
        <v>71</v>
      </c>
      <c r="B11" s="394"/>
      <c r="C11" s="394"/>
      <c r="D11" s="13">
        <f t="shared" si="0"/>
        <v>240000</v>
      </c>
      <c r="E11" s="13">
        <f>'JUNE 2023'!P129</f>
        <v>20000</v>
      </c>
      <c r="F11" s="1"/>
    </row>
    <row r="12" spans="1:6" ht="18.75">
      <c r="A12" s="397" t="s">
        <v>74</v>
      </c>
      <c r="B12" s="397"/>
      <c r="C12" s="397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402" t="s">
        <v>77</v>
      </c>
      <c r="B3" s="403"/>
      <c r="C3" s="404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402" t="s">
        <v>145</v>
      </c>
      <c r="B4" s="403"/>
      <c r="C4" s="404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405" t="s">
        <v>78</v>
      </c>
      <c r="B5" s="406"/>
      <c r="C5" s="407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402" t="s">
        <v>80</v>
      </c>
      <c r="B6" s="403"/>
      <c r="C6" s="404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402" t="s">
        <v>94</v>
      </c>
      <c r="B7" s="403"/>
      <c r="C7" s="404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402" t="s">
        <v>84</v>
      </c>
      <c r="B8" s="403"/>
      <c r="C8" s="404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402" t="s">
        <v>87</v>
      </c>
      <c r="B9" s="403"/>
      <c r="C9" s="404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402"/>
      <c r="B10" s="403"/>
      <c r="C10" s="404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01" t="s">
        <v>157</v>
      </c>
      <c r="B1" s="401"/>
      <c r="C1" s="401"/>
      <c r="D1" s="401"/>
      <c r="E1" s="401"/>
      <c r="F1" s="401"/>
    </row>
    <row r="2" spans="1:6" ht="18.75">
      <c r="A2" s="396" t="s">
        <v>97</v>
      </c>
      <c r="B2" s="396"/>
      <c r="C2" s="396"/>
      <c r="D2" s="396"/>
      <c r="E2" s="396"/>
      <c r="F2" s="396"/>
    </row>
    <row r="3" spans="1:6" ht="18.75">
      <c r="A3" s="394"/>
      <c r="B3" s="394"/>
      <c r="C3" s="394"/>
      <c r="D3" s="3" t="s">
        <v>72</v>
      </c>
      <c r="E3" s="3" t="s">
        <v>73</v>
      </c>
      <c r="F3" s="12"/>
    </row>
    <row r="4" spans="1:6" ht="18.75">
      <c r="A4" s="394" t="s">
        <v>64</v>
      </c>
      <c r="B4" s="394"/>
      <c r="C4" s="394"/>
      <c r="D4" s="13">
        <f>E4*12</f>
        <v>299709.72000000003</v>
      </c>
      <c r="E4" s="13">
        <f>SUMMARY!F5</f>
        <v>24975.81</v>
      </c>
      <c r="F4" s="1"/>
    </row>
    <row r="5" spans="1:6" ht="18.75">
      <c r="A5" s="394" t="s">
        <v>65</v>
      </c>
      <c r="B5" s="394"/>
      <c r="C5" s="394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394" t="s">
        <v>66</v>
      </c>
      <c r="B6" s="394"/>
      <c r="C6" s="394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394" t="s">
        <v>63</v>
      </c>
      <c r="B7" s="394"/>
      <c r="C7" s="394"/>
      <c r="D7" s="13">
        <f t="shared" si="0"/>
        <v>0</v>
      </c>
      <c r="E7" s="13">
        <f>SUMMARY!J6</f>
        <v>0</v>
      </c>
      <c r="F7" s="1"/>
    </row>
    <row r="8" spans="1:6" ht="18.75">
      <c r="A8" s="394" t="s">
        <v>67</v>
      </c>
      <c r="B8" s="394"/>
      <c r="C8" s="394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394" t="s">
        <v>68</v>
      </c>
      <c r="B9" s="394"/>
      <c r="C9" s="394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394" t="s">
        <v>69</v>
      </c>
      <c r="B10" s="394"/>
      <c r="C10" s="394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398" t="s">
        <v>91</v>
      </c>
      <c r="B11" s="399"/>
      <c r="C11" s="400"/>
      <c r="D11" s="13">
        <f t="shared" si="0"/>
        <v>0</v>
      </c>
      <c r="E11" s="13">
        <v>0</v>
      </c>
      <c r="F11" s="1"/>
    </row>
    <row r="12" spans="1:6" ht="18.75">
      <c r="A12" s="394" t="s">
        <v>70</v>
      </c>
      <c r="B12" s="394"/>
      <c r="C12" s="394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394" t="s">
        <v>71</v>
      </c>
      <c r="B13" s="394"/>
      <c r="C13" s="394"/>
      <c r="D13" s="13">
        <f t="shared" si="0"/>
        <v>240000</v>
      </c>
      <c r="E13" s="13">
        <f>SUMMARY!Q5</f>
        <v>20000</v>
      </c>
      <c r="F13" s="1"/>
    </row>
    <row r="14" spans="1:6" ht="18.75">
      <c r="A14" s="397" t="s">
        <v>74</v>
      </c>
      <c r="B14" s="397"/>
      <c r="C14" s="397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08" t="s">
        <v>155</v>
      </c>
      <c r="B1" s="408"/>
      <c r="C1" s="408"/>
    </row>
    <row r="2" spans="1:3" ht="18.75">
      <c r="A2" s="408" t="s">
        <v>156</v>
      </c>
      <c r="B2" s="408"/>
      <c r="C2" s="408"/>
    </row>
    <row r="3" spans="1:3" ht="18.75">
      <c r="A3" s="22"/>
      <c r="B3" s="22" t="s">
        <v>72</v>
      </c>
      <c r="C3" s="22" t="s">
        <v>73</v>
      </c>
    </row>
    <row r="4" spans="1:3" ht="18.75">
      <c r="A4" s="33" t="s">
        <v>64</v>
      </c>
      <c r="B4" s="27">
        <f>C4*12</f>
        <v>475947</v>
      </c>
      <c r="C4" s="27">
        <v>39662.25</v>
      </c>
    </row>
    <row r="5" spans="1:3" ht="18.75">
      <c r="A5" s="33" t="s">
        <v>65</v>
      </c>
      <c r="B5" s="27">
        <f t="shared" ref="B5:B13" si="0">C5*12</f>
        <v>1427841</v>
      </c>
      <c r="C5" s="27">
        <v>118986.75</v>
      </c>
    </row>
    <row r="6" spans="1:3" ht="18.75">
      <c r="A6" s="33" t="s">
        <v>66</v>
      </c>
      <c r="B6" s="27">
        <f t="shared" si="0"/>
        <v>35696.04</v>
      </c>
      <c r="C6" s="27">
        <v>2974.67</v>
      </c>
    </row>
    <row r="7" spans="1:3" ht="18.75">
      <c r="A7" s="33" t="s">
        <v>63</v>
      </c>
      <c r="B7" s="27" t="e">
        <f t="shared" si="0"/>
        <v>#REF!</v>
      </c>
      <c r="C7" s="27" t="e">
        <f>'JUNE 2023'!#REF!</f>
        <v>#REF!</v>
      </c>
    </row>
    <row r="8" spans="1:3" ht="18.75">
      <c r="A8" s="33" t="s">
        <v>67</v>
      </c>
      <c r="B8" s="27">
        <f t="shared" si="0"/>
        <v>237973.56</v>
      </c>
      <c r="C8" s="27">
        <v>19831.13</v>
      </c>
    </row>
    <row r="9" spans="1:3" ht="18.75">
      <c r="A9" s="33" t="s">
        <v>68</v>
      </c>
      <c r="B9" s="27">
        <f t="shared" si="0"/>
        <v>1665814.56</v>
      </c>
      <c r="C9" s="27">
        <v>138817.88</v>
      </c>
    </row>
    <row r="10" spans="1:3" ht="18.75">
      <c r="A10" s="33" t="s">
        <v>69</v>
      </c>
      <c r="B10" s="27">
        <f t="shared" si="0"/>
        <v>475947</v>
      </c>
      <c r="C10" s="27">
        <v>39662.25</v>
      </c>
    </row>
    <row r="11" spans="1:3" ht="18.75">
      <c r="A11" s="33" t="s">
        <v>91</v>
      </c>
      <c r="B11" s="27">
        <f t="shared" si="0"/>
        <v>0</v>
      </c>
      <c r="C11" s="27">
        <v>0</v>
      </c>
    </row>
    <row r="12" spans="1:3" ht="18.75">
      <c r="A12" s="33" t="s">
        <v>70</v>
      </c>
      <c r="B12" s="27">
        <f t="shared" si="0"/>
        <v>47594.76</v>
      </c>
      <c r="C12" s="27">
        <v>3966.23</v>
      </c>
    </row>
    <row r="13" spans="1:3" ht="18.75">
      <c r="A13" s="33" t="s">
        <v>71</v>
      </c>
      <c r="B13" s="27" t="e">
        <f t="shared" si="0"/>
        <v>#REF!</v>
      </c>
      <c r="C13" s="27" t="e">
        <f>'JUNE 2023'!#REF!</f>
        <v>#REF!</v>
      </c>
    </row>
    <row r="14" spans="1:3" ht="18.7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">
      <c r="A37" s="88">
        <v>34</v>
      </c>
      <c r="B37" s="88">
        <v>9</v>
      </c>
      <c r="C37" s="88">
        <v>9</v>
      </c>
      <c r="D37" s="157">
        <f>15641.2</f>
        <v>15641.2</v>
      </c>
    </row>
    <row r="38" spans="1:4" ht="15">
      <c r="A38" s="88">
        <v>35</v>
      </c>
      <c r="B38" s="88">
        <v>9</v>
      </c>
      <c r="C38" s="88">
        <v>8</v>
      </c>
      <c r="D38" s="157">
        <f>15188.68</f>
        <v>15188.68</v>
      </c>
    </row>
    <row r="39" spans="1:4" ht="15">
      <c r="A39" s="88">
        <v>36</v>
      </c>
      <c r="B39" s="88">
        <v>9</v>
      </c>
      <c r="C39">
        <v>7</v>
      </c>
      <c r="D39" s="157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19</vt:i4>
      </vt:variant>
    </vt:vector>
  </HeadingPairs>
  <TitlesOfParts>
    <vt:vector size="44" baseType="lpstr">
      <vt:lpstr>JUNE 2023</vt:lpstr>
      <vt:lpstr>MEMO 1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'Annual Increement'!Print_Area</vt:lpstr>
      <vt:lpstr>'Enhanced Welfare 2023 (2)'!Print_Area</vt:lpstr>
      <vt:lpstr>'Enhanced Welfare 2023 (3)'!Print_Area</vt:lpstr>
      <vt:lpstr>'January 2023 NHF)'!Print_Area</vt:lpstr>
      <vt:lpstr>'January 2023 PAYE'!Print_Area</vt:lpstr>
      <vt:lpstr>'JUNE 2023'!Print_Area</vt:lpstr>
      <vt:lpstr>'MEMO 1'!Print_Area</vt:lpstr>
      <vt:lpstr>'Sallah Welfare April 2023'!Print_Area</vt:lpstr>
      <vt:lpstr>'Sallah Welfare June 2023'!Print_Area</vt:lpstr>
      <vt:lpstr>'Sallah Welfare June 2023 Latest'!Print_Area</vt:lpstr>
      <vt:lpstr>'Tax adj August, 2022'!Print_Area</vt:lpstr>
      <vt:lpstr>'Enhanced Welfare 2023 (2)'!Print_Titles</vt:lpstr>
      <vt:lpstr>'Enhanced Welfare 2023 (3)'!Print_Titles</vt:lpstr>
      <vt:lpstr>'January 2023 NHF)'!Print_Titles</vt:lpstr>
      <vt:lpstr>'January 2023 PAYE'!Print_Titles</vt:lpstr>
      <vt:lpstr>'JUNE 2023'!Print_Titles</vt:lpstr>
      <vt:lpstr>'Sallah Welfare April 2023'!Print_Titles</vt:lpstr>
      <vt:lpstr>'Sallah Welfare June 2023'!Print_Titles</vt:lpstr>
      <vt:lpstr>'Sallah Welfare June 2023 Latest'!Print_Titles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2023-06-26T15:00:20Z</cp:lastPrinted>
  <dcterms:created xsi:type="dcterms:W3CDTF">2008-06-27T10:36:45Z</dcterms:created>
  <dcterms:modified xsi:type="dcterms:W3CDTF">2023-06-26T16:17:48Z</dcterms:modified>
</cp:coreProperties>
</file>