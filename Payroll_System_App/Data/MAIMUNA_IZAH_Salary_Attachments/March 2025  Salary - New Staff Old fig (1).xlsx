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tabRatio="597" activeTab="1"/>
  </bookViews>
  <sheets>
    <sheet name="MARCH 2025 NEW" sheetId="1" r:id="rId1"/>
    <sheet name="MEMO" sheetId="68" r:id="rId2"/>
    <sheet name="Christmas 2024" sheetId="176" r:id="rId3"/>
    <sheet name="NEW STAFF BONUS" sheetId="178" r:id="rId4"/>
    <sheet name="Sheet5" sheetId="177" r:id="rId5"/>
    <sheet name="Placement" sheetId="173" r:id="rId6"/>
    <sheet name="New Staff PAYE" sheetId="172" r:id="rId7"/>
    <sheet name="Recovery" sheetId="171" r:id="rId8"/>
    <sheet name="New Enrolmt" sheetId="170" r:id="rId9"/>
    <sheet name="1ST 28 DAYS" sheetId="163" r:id="rId10"/>
    <sheet name="Conversion &amp; Enrol Effect" sheetId="164" r:id="rId11"/>
    <sheet name="Converted Staff PAYE" sheetId="169" r:id="rId12"/>
    <sheet name="Movt to Contract" sheetId="167" r:id="rId13"/>
    <sheet name="Sheet10" sheetId="168" r:id="rId14"/>
    <sheet name="Sheet8" sheetId="166" r:id="rId15"/>
    <sheet name="Welfare June" sheetId="161" r:id="rId16"/>
    <sheet name="Welfare Summary" sheetId="162" r:id="rId17"/>
    <sheet name="Arrears of Res. Allow" sheetId="159" r:id="rId18"/>
    <sheet name="Additional Leg Duty Allowance" sheetId="153" r:id="rId19"/>
    <sheet name="March New PAYE " sheetId="154" r:id="rId20"/>
    <sheet name="Upgrade in March" sheetId="155" r:id="rId21"/>
    <sheet name="New NHF Deduction" sheetId="156" r:id="rId22"/>
    <sheet name="Regularisation" sheetId="152" r:id="rId23"/>
    <sheet name="Sallah Welfare, April 2024" sheetId="158" r:id="rId24"/>
    <sheet name="Sheet4" sheetId="157" r:id="rId25"/>
    <sheet name="January Arrears" sheetId="149" r:id="rId26"/>
    <sheet name="Tax Reg Sch. " sheetId="146" r:id="rId27"/>
    <sheet name=" Excess Ded Paid" sheetId="142" r:id="rId28"/>
    <sheet name="Changes in Gross &amp; PAYE " sheetId="143" r:id="rId29"/>
    <sheet name="May New PAYE " sheetId="147" r:id="rId30"/>
    <sheet name="Employee Pensions" sheetId="144" r:id="rId31"/>
    <sheet name="Upgrade in Feb." sheetId="150" r:id="rId32"/>
    <sheet name="Coop. Ded for Feb." sheetId="151" r:id="rId33"/>
    <sheet name="ENHANCED WELFARE 2024" sheetId="140" r:id="rId34"/>
    <sheet name="PROMOTIONS " sheetId="131" r:id="rId35"/>
    <sheet name="CHRISTMAS WELFARE" sheetId="135" r:id="rId36"/>
    <sheet name="CHRISTMAS WELFARE 1" sheetId="134" r:id="rId37"/>
    <sheet name="HALF 2023 (2)" sheetId="137" r:id="rId38"/>
    <sheet name="Sheet3" sheetId="136" r:id="rId39"/>
    <sheet name="NEW ENROLMENT IN NOVEMBER (2)" sheetId="132" r:id="rId40"/>
    <sheet name="Regularisation IN NOVEMBER (3)" sheetId="133" r:id="rId41"/>
    <sheet name="Sheet2" sheetId="130" r:id="rId42"/>
    <sheet name="PROMOTIONS" sheetId="129" r:id="rId43"/>
    <sheet name="SALARY STRUCTURE" sheetId="128" r:id="rId44"/>
    <sheet name="Wage Grant" sheetId="124" r:id="rId45"/>
    <sheet name="Wage Grant (2)" sheetId="126" r:id="rId46"/>
    <sheet name="1st 28 days in Nov" sheetId="123" r:id="rId47"/>
    <sheet name="Sallah Welfare April 2023" sheetId="119" r:id="rId48"/>
    <sheet name="Sallah Welfare June 2023" sheetId="120" r:id="rId49"/>
    <sheet name="Sallah Welfare June 2023 Latest" sheetId="121" r:id="rId50"/>
    <sheet name="Sheet1" sheetId="117" r:id="rId51"/>
    <sheet name="January 2023 PAYE" sheetId="115" r:id="rId52"/>
    <sheet name="January 2023 NHF)" sheetId="116" r:id="rId53"/>
    <sheet name="PAYE Computation" sheetId="114" r:id="rId54"/>
    <sheet name="Tax adj August, 2022" sheetId="87" r:id="rId55"/>
    <sheet name="Annual Increement" sheetId="78" r:id="rId56"/>
    <sheet name="Enhanced Welfare 2023 (2)" sheetId="110" r:id="rId57"/>
    <sheet name="Enhanced Welfare 2023 (3)" sheetId="113" r:id="rId58"/>
    <sheet name="17.9" sheetId="4" r:id="rId59"/>
    <sheet name="16.7" sheetId="5" r:id="rId60"/>
    <sheet name="15.7.1" sheetId="6" r:id="rId61"/>
    <sheet name="13.7" sheetId="7" r:id="rId62"/>
    <sheet name="12.7" sheetId="8" r:id="rId63"/>
    <sheet name="10.7" sheetId="9" r:id="rId64"/>
    <sheet name="9.7" sheetId="10" r:id="rId65"/>
    <sheet name="8.7" sheetId="11" r:id="rId66"/>
    <sheet name="SUMMARY" sheetId="12" r:id="rId67"/>
    <sheet name="14.7" sheetId="13" r:id="rId68"/>
    <sheet name="15.7" sheetId="23" r:id="rId69"/>
    <sheet name="Basic Salary" sheetId="61" r:id="rId70"/>
    <sheet name="JUNE 2023 (2)" sheetId="122" r:id="rId71"/>
  </sheets>
  <externalReferences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xlnm.Print_Area" localSheetId="18">'Additional Leg Duty Allowance'!$A$1:$U$19</definedName>
    <definedName name="_xlnm.Print_Area" localSheetId="55">'Annual Increement'!$A$1:$AB$191</definedName>
    <definedName name="_xlnm.Print_Area" localSheetId="2">'Christmas 2024'!$A$1:$E$60</definedName>
    <definedName name="_xlnm.Print_Area" localSheetId="35">'CHRISTMAS WELFARE'!$A$1:$E$196</definedName>
    <definedName name="_xlnm.Print_Area" localSheetId="56">'Enhanced Welfare 2023 (2)'!$A$1:$G$193</definedName>
    <definedName name="_xlnm.Print_Area" localSheetId="57">'Enhanced Welfare 2023 (3)'!$A$1:$G$193</definedName>
    <definedName name="_xlnm.Print_Area" localSheetId="33">'ENHANCED WELFARE 2024'!$A$1:$G$196</definedName>
    <definedName name="_xlnm.Print_Area" localSheetId="0">'MARCH 2025 NEW'!$A$1:$S$60</definedName>
    <definedName name="_xlnm.Print_Area" localSheetId="37">'HALF 2023 (2)'!$A$1:$F$195</definedName>
    <definedName name="_xlnm.Print_Area" localSheetId="52">'January 2023 NHF)'!$A$1:$H$191</definedName>
    <definedName name="_xlnm.Print_Area" localSheetId="51">'January 2023 PAYE'!$A$1:$H$191</definedName>
    <definedName name="_xlnm.Print_Area" localSheetId="70">'JUNE 2023 (2)'!$A$1:$D$190</definedName>
    <definedName name="_xlnm.Print_Area" localSheetId="1">MEMO!$A$1:$H$60</definedName>
    <definedName name="_xlnm.Print_Area" localSheetId="39">'NEW ENROLMENT IN NOVEMBER (2)'!$A$1:$X$14</definedName>
    <definedName name="_xlnm.Print_Area" localSheetId="3">'NEW STAFF BONUS'!$A$1:$F$59</definedName>
    <definedName name="_xlnm.Print_Area" localSheetId="42">PROMOTIONS!$A$1:$AB$47</definedName>
    <definedName name="_xlnm.Print_Area" localSheetId="34">'PROMOTIONS '!$A$1:$AB$27</definedName>
    <definedName name="_xlnm.Print_Area" localSheetId="40">'Regularisation IN NOVEMBER (3)'!$A$1:$X$16</definedName>
    <definedName name="_xlnm.Print_Area" localSheetId="47">'Sallah Welfare April 2023'!$A$1:$E$190</definedName>
    <definedName name="_xlnm.Print_Area" localSheetId="48">'Sallah Welfare June 2023'!$A$1:$E$192</definedName>
    <definedName name="_xlnm.Print_Area" localSheetId="49">'Sallah Welfare June 2023 Latest'!$A$1:$E$189</definedName>
    <definedName name="_xlnm.Print_Area" localSheetId="23">'Sallah Welfare, April 2024'!$A$1:$E$194</definedName>
    <definedName name="_xlnm.Print_Area" localSheetId="54">'Tax adj August, 2022'!$A$1:$G$202</definedName>
    <definedName name="_xlnm.Print_Area" localSheetId="20">'Upgrade in March'!$A$1:$S$11</definedName>
    <definedName name="_xlnm.Print_Area" localSheetId="44">'Wage Grant'!$A$1:$I$192</definedName>
    <definedName name="_xlnm.Print_Area" localSheetId="45">'Wage Grant (2)'!$A$1:$H$62</definedName>
    <definedName name="_xlnm.Print_Area" localSheetId="15">'Welfare June'!$A$1:$E$194</definedName>
    <definedName name="_xlnm.Print_Titles" localSheetId="18">'Additional Leg Duty Allowance'!$4:$5</definedName>
    <definedName name="_xlnm.Print_Titles" localSheetId="2">'Christmas 2024'!$4:$5</definedName>
    <definedName name="_xlnm.Print_Titles" localSheetId="35">'CHRISTMAS WELFARE'!$4:$5</definedName>
    <definedName name="_xlnm.Print_Titles" localSheetId="56">'Enhanced Welfare 2023 (2)'!$4:$5</definedName>
    <definedName name="_xlnm.Print_Titles" localSheetId="57">'Enhanced Welfare 2023 (3)'!$4:$5</definedName>
    <definedName name="_xlnm.Print_Titles" localSheetId="33">'ENHANCED WELFARE 2024'!$4:$5</definedName>
    <definedName name="_xlnm.Print_Titles" localSheetId="0">'MARCH 2025 NEW'!$4:$5</definedName>
    <definedName name="_xlnm.Print_Titles" localSheetId="37">'HALF 2023 (2)'!$4:$5</definedName>
    <definedName name="_xlnm.Print_Titles" localSheetId="52">'January 2023 NHF)'!$4:$5</definedName>
    <definedName name="_xlnm.Print_Titles" localSheetId="51">'January 2023 PAYE'!$4:$5</definedName>
    <definedName name="_xlnm.Print_Titles" localSheetId="70">'JUNE 2023 (2)'!$4:$5</definedName>
    <definedName name="_xlnm.Print_Titles" localSheetId="39">'NEW ENROLMENT IN NOVEMBER (2)'!$4:$5</definedName>
    <definedName name="_xlnm.Print_Titles" localSheetId="3">'NEW STAFF BONUS'!$4:$5</definedName>
    <definedName name="_xlnm.Print_Titles" localSheetId="42">PROMOTIONS!$4:$5</definedName>
    <definedName name="_xlnm.Print_Titles" localSheetId="34">'PROMOTIONS '!$4:$5</definedName>
    <definedName name="_xlnm.Print_Titles" localSheetId="40">'Regularisation IN NOVEMBER (3)'!$4:$5</definedName>
    <definedName name="_xlnm.Print_Titles" localSheetId="47">'Sallah Welfare April 2023'!$4:$5</definedName>
    <definedName name="_xlnm.Print_Titles" localSheetId="48">'Sallah Welfare June 2023'!$4:$5</definedName>
    <definedName name="_xlnm.Print_Titles" localSheetId="49">'Sallah Welfare June 2023 Latest'!$4:$5</definedName>
    <definedName name="_xlnm.Print_Titles" localSheetId="23">'Sallah Welfare, April 2024'!$4:$5</definedName>
    <definedName name="_xlnm.Print_Titles" localSheetId="20">'Upgrade in March'!$4:$5</definedName>
    <definedName name="_xlnm.Print_Titles" localSheetId="44">'Wage Grant'!$5:$5</definedName>
    <definedName name="_xlnm.Print_Titles" localSheetId="45">'Wage Grant (2)'!$5:$5</definedName>
    <definedName name="_xlnm.Print_Titles" localSheetId="15">'Welfare June'!$4:$5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<sst xmlns="http://schemas.openxmlformats.org/spreadsheetml/2006/main" count="12813" uniqueCount="1273">
  <si>
    <t>NATIONAL INSTITUTE FOR LEGISLATIVE AND DEMOCRATIC STUDIES</t>
  </si>
  <si>
    <t>STAFF PAYROLL FOR THE MONTH OF MARCH, 2025 (NEW STAFF)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</si>
  <si>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</si>
  <si>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</si>
  <si>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</si>
  <si>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</si>
  <si>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</si>
  <si>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</si>
  <si>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</si>
  <si>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</si>
  <si>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</si>
  <si>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</si>
  <si>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</si>
  <si>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</si>
  <si>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</si>
  <si>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</si>
  <si>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</si>
  <si>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FEBRUARY, 2025</t>
  </si>
  <si>
    <t>MARCH, 2025</t>
  </si>
  <si>
    <t>N</t>
  </si>
  <si>
    <t>S/N</t>
  </si>
  <si>
    <t>DG'S OFFICE</t>
  </si>
  <si>
    <t>HOLINESS PAUL UDO</t>
  </si>
  <si>
    <t>ADMINISTRATION OFFICER, M&amp;E</t>
  </si>
  <si>
    <t>9(7)</t>
  </si>
  <si>
    <t>CHARITY UDO AKAN</t>
  </si>
  <si>
    <t>SANI UMAR IBRAHIM</t>
  </si>
  <si>
    <t>STORE OFFICER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</si>
  <si>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</si>
  <si>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</si>
  <si>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</si>
  <si>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</si>
  <si>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</si>
  <si>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</si>
  <si>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</si>
  <si>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HASSAN ABDULHADI</t>
  </si>
  <si>
    <t>AUDITOR 11</t>
  </si>
  <si>
    <t>10(7)</t>
  </si>
  <si>
    <t>LEG. SUPPORT SEVICES</t>
  </si>
  <si>
    <t>UMAR MUSA PADAH</t>
  </si>
  <si>
    <t>PRINC. RESEARCH OFFICER</t>
  </si>
  <si>
    <t>12(7)</t>
  </si>
  <si>
    <t>UMOH USENOBONG EMMANUEL</t>
  </si>
  <si>
    <t>SENIOR RESEARCH OFFICER</t>
  </si>
  <si>
    <t>DEMOCRACY  &amp; GOVERNANCE</t>
  </si>
  <si>
    <t>MARTINS SOLOMON UDOM</t>
  </si>
  <si>
    <t>RESEARCH FELLOW 11</t>
  </si>
  <si>
    <t>13(7)</t>
  </si>
  <si>
    <t>ISHAKA DELE</t>
  </si>
  <si>
    <t>OBOT ETIMBUK EMMANUEL</t>
  </si>
  <si>
    <t>PRINCIPAL INFO. OFFICER</t>
  </si>
  <si>
    <t>DEPARTMENT OF STUDIES</t>
  </si>
  <si>
    <t>DR. IBANGA ISSAC JONAH</t>
  </si>
  <si>
    <t>ASSIST. CHIEF PROGRM OFFICER</t>
  </si>
  <si>
    <t>UDONSI QUEENETH CHIWENDU</t>
  </si>
  <si>
    <t>ASSIST PROGRAMME OFFICER</t>
  </si>
  <si>
    <t>ECON. DEV. &amp; SOC. RESEARCH</t>
  </si>
  <si>
    <t>UDOKANG NSISONG BONIFACE</t>
  </si>
  <si>
    <t>TRAINING  &amp;  INT''L COOP</t>
  </si>
  <si>
    <t>DR. SAMUEL AKPAN MBADAH</t>
  </si>
  <si>
    <t>ASSIST. CHIEF TRAINING OFFICER</t>
  </si>
  <si>
    <t>LEG, CTRE FOR SEC. ANALYSIS</t>
  </si>
  <si>
    <t>UDOH ANIETIE JONAH</t>
  </si>
  <si>
    <t>RESEARCH OFFICER</t>
  </si>
  <si>
    <t>ENYONGAMA SUNDAY THOMAS</t>
  </si>
  <si>
    <t>UDUAK MONDAY ETIAN</t>
  </si>
  <si>
    <t>ASSIST RESEARCH OFFICER</t>
  </si>
  <si>
    <t>FINANCE &amp; ACCOUNTS</t>
  </si>
  <si>
    <t>DAUDA HAMZA ILIYASU</t>
  </si>
  <si>
    <t>ASST. ACCOUNT. OFFICER</t>
  </si>
  <si>
    <t>1</t>
  </si>
  <si>
    <t>ADMIN &amp; HUMAN RESOURCE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</si>
  <si>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</si>
  <si>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</si>
  <si>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</si>
  <si>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</si>
  <si>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</si>
  <si>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</si>
  <si>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</si>
  <si>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4</t>
  </si>
  <si>
    <t>GRAND TOTAL</t>
  </si>
  <si>
    <t xml:space="preserve">PREPARED BY:  Rahila N. Habu                                        SIGNATURE………………..                                  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</si>
  <si>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</si>
  <si>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</si>
  <si>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</si>
  <si>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</si>
  <si>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</si>
  <si>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</si>
  <si>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</si>
  <si>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</si>
  <si>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</si>
  <si>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</si>
  <si>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</si>
  <si>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</si>
  <si>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</si>
  <si>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</si>
  <si>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27TH MARCH, 2025</t>
  </si>
  <si>
    <t>SUBJECT: PAYROLL FOR THE MONTH OF MARCH 2025</t>
  </si>
  <si>
    <t>Find below the details of NILDS Staff Payroll for the Month of  March 2025:</t>
  </si>
  <si>
    <t>NGN</t>
  </si>
  <si>
    <t>GROSS SALARY FOR  MARCH 2025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</si>
  <si>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</si>
  <si>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</si>
  <si>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</si>
  <si>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</si>
  <si>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</si>
  <si>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</si>
  <si>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MARCH 2025</t>
  </si>
  <si>
    <t>NET PAY AS PER  MARCH 2025 PAYROLL</t>
  </si>
  <si>
    <t>NET PAY AS PER  FEBRUARY, 2025 PAYROLL</t>
  </si>
  <si>
    <t>NET INCREASE/ (DECREASE)  IN PAY FOR  MARCH, 2025</t>
  </si>
  <si>
    <t>ANALYSED AS FOLLOWS:</t>
  </si>
  <si>
    <t>Effect of Cooperative Adjustment for March, 2025</t>
  </si>
  <si>
    <t>Effect of regularization of Salary of Ishaka Dele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</si>
  <si>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</si>
  <si>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</si>
  <si>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</si>
  <si>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</si>
  <si>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</si>
  <si>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</si>
  <si>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</si>
  <si>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</si>
  <si>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</si>
  <si>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</si>
  <si>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</si>
  <si>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</si>
  <si>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</si>
  <si>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6,326,877.47 </t>
    </r>
    <r>
      <rPr>
        <sz val="14"/>
        <rFont val="Times New Roman"/>
        <charset val="134"/>
      </rPr>
      <t xml:space="preserve">to Guaranty Trust Bank being March, 2025 Net Salary for New Staff, </t>
    </r>
    <r>
      <rPr>
        <b/>
        <sz val="14"/>
        <rFont val="Times New Roman"/>
        <charset val="134"/>
      </rPr>
      <t xml:space="preserve">N842,000.00 </t>
    </r>
    <r>
      <rPr>
        <sz val="14"/>
        <rFont val="Times New Roman"/>
        <charset val="134"/>
      </rPr>
      <t>to Staff Coorporative Society,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1,029,577.74  </t>
    </r>
    <r>
      <rPr>
        <sz val="14"/>
        <rFont val="Times New Roman"/>
        <charset val="134"/>
      </rPr>
      <t xml:space="preserve">being PAYE Tax Deductions from New Staff Salary for the month  of March, 2025. </t>
    </r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</si>
  <si>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</si>
  <si>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</si>
  <si>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</si>
  <si>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NEW STAFF CHRISTMAS WELFARE DECEMBER, 2024</t>
  </si>
  <si>
    <t>AMOUNT</t>
  </si>
  <si>
    <t>3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</si>
  <si>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</si>
  <si>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</si>
  <si>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</si>
  <si>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</si>
  <si>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</si>
  <si>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</si>
  <si>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</si>
  <si>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</si>
  <si>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</si>
  <si>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</si>
  <si>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</si>
  <si>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</si>
  <si>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</si>
  <si>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</si>
  <si>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</si>
  <si>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</si>
  <si>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</si>
  <si>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</si>
  <si>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</si>
  <si>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</si>
  <si>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</si>
  <si>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</si>
  <si>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</si>
  <si>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</si>
  <si>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</si>
  <si>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</si>
  <si>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</si>
  <si>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</si>
  <si>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</si>
  <si>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</si>
  <si>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</si>
  <si>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</si>
  <si>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Total</t>
  </si>
  <si>
    <t>SEPTEMBER, 2024</t>
  </si>
  <si>
    <t>OCTOBER, 2024</t>
  </si>
  <si>
    <t xml:space="preserve">PAYE </t>
  </si>
  <si>
    <t>AUGUST, 2024</t>
  </si>
  <si>
    <t>JOSEPH GWATANA</t>
  </si>
  <si>
    <t>SENIOR MOTOR DRIVER MECH.</t>
  </si>
  <si>
    <t>5(7)</t>
  </si>
  <si>
    <t>PRORATED FOR 12 DAYS</t>
  </si>
  <si>
    <t>ABDULMUSHIN TAWFIQ LADAN</t>
  </si>
  <si>
    <t>ICT OFFICER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</si>
  <si>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</si>
  <si>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</si>
  <si>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</si>
  <si>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</si>
  <si>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</si>
  <si>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</si>
  <si>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</si>
  <si>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</si>
  <si>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</si>
  <si>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</si>
  <si>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</si>
  <si>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</si>
  <si>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</si>
  <si>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</si>
  <si>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</si>
  <si>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</si>
  <si>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</si>
  <si>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</si>
  <si>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</si>
  <si>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</si>
  <si>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>ARREARS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</si>
  <si>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</si>
  <si>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</si>
  <si>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</si>
  <si>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</si>
  <si>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</si>
  <si>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</si>
  <si>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</si>
  <si>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</si>
  <si>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</si>
  <si>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Contract Staff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</si>
  <si>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</si>
  <si>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</si>
  <si>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</si>
  <si>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</si>
  <si>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</si>
  <si>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</si>
  <si>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</si>
  <si>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</si>
  <si>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</si>
  <si>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</si>
  <si>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</si>
  <si>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</si>
  <si>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</si>
  <si>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SENIOR RESEARCH FELLOW</t>
  </si>
  <si>
    <t>15 (8)</t>
  </si>
  <si>
    <t>AYOBOLU OLAJIDE OLUFUNSHO</t>
  </si>
  <si>
    <t>ASST.DIR., INFORMATION</t>
  </si>
  <si>
    <t>15 (9)</t>
  </si>
  <si>
    <t>ARAOYE GANIYAT TITILOLA</t>
  </si>
  <si>
    <t>ASST. DIRECTOR, ACCOUNTS</t>
  </si>
  <si>
    <t>15(7)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</si>
  <si>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</si>
  <si>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</si>
  <si>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</si>
  <si>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</si>
  <si>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</si>
  <si>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</si>
  <si>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</si>
  <si>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</si>
  <si>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</si>
  <si>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</si>
  <si>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</si>
  <si>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</si>
  <si>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</si>
  <si>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</si>
  <si>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</si>
  <si>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</si>
  <si>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</si>
  <si>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</si>
  <si>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</si>
  <si>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</si>
  <si>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</si>
  <si>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</si>
  <si>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</si>
  <si>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</si>
  <si>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</si>
  <si>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</si>
  <si>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</si>
  <si>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</si>
  <si>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</si>
  <si>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</si>
  <si>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</si>
  <si>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</si>
  <si>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</si>
  <si>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</si>
  <si>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</si>
  <si>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</si>
  <si>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</si>
  <si>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</si>
  <si>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</si>
  <si>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</si>
  <si>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</si>
  <si>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</si>
  <si>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</si>
  <si>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</si>
  <si>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</si>
  <si>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</si>
  <si>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PRINCIPAL RESEARCH OFFICER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</si>
  <si>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</si>
  <si>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</si>
  <si>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</si>
  <si>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</si>
  <si>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</si>
  <si>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</si>
  <si>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</si>
  <si>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</si>
  <si>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</si>
  <si>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</si>
  <si>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</si>
  <si>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</si>
  <si>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</si>
  <si>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</si>
  <si>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</si>
  <si>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</si>
  <si>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</si>
  <si>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</si>
  <si>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</si>
  <si>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</si>
  <si>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</si>
  <si>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</si>
  <si>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</si>
  <si>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</si>
  <si>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</si>
  <si>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</si>
  <si>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</si>
  <si>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</si>
  <si>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</si>
  <si>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</si>
  <si>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</si>
  <si>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</si>
  <si>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</si>
  <si>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</si>
  <si>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</si>
  <si>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</si>
  <si>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</si>
  <si>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</si>
  <si>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</si>
  <si>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</si>
  <si>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</si>
  <si>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</si>
  <si>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</si>
  <si>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</si>
  <si>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</si>
  <si>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</si>
  <si>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</si>
  <si>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</si>
  <si>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</si>
  <si>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</si>
  <si>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</si>
  <si>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</si>
  <si>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</si>
  <si>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</si>
  <si>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</si>
  <si>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</si>
  <si>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</si>
  <si>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</si>
  <si>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</si>
  <si>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</si>
  <si>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</si>
  <si>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</si>
  <si>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</si>
  <si>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</si>
  <si>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</si>
  <si>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</si>
  <si>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</si>
  <si>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</si>
  <si>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</si>
  <si>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</si>
  <si>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</si>
  <si>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</si>
  <si>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</si>
  <si>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</si>
  <si>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</si>
  <si>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</si>
  <si>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</si>
  <si>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</si>
  <si>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</si>
  <si>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</si>
  <si>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14(7)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</si>
  <si>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</si>
  <si>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</si>
  <si>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</si>
  <si>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</si>
  <si>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</si>
  <si>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</si>
  <si>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</si>
  <si>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</si>
  <si>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</si>
  <si>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</si>
  <si>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</si>
  <si>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</si>
  <si>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</si>
  <si>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</si>
  <si>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</si>
  <si>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</si>
  <si>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</si>
  <si>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</si>
  <si>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</si>
  <si>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</si>
  <si>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</si>
  <si>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</si>
  <si>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</si>
  <si>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</si>
  <si>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</si>
  <si>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</si>
  <si>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</si>
  <si>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</si>
  <si>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</si>
  <si>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</si>
  <si>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</si>
  <si>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</si>
  <si>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</si>
  <si>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</si>
  <si>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</si>
  <si>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</si>
  <si>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</si>
  <si>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</si>
  <si>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</si>
  <si>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</si>
  <si>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</si>
  <si>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</si>
  <si>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</si>
  <si>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</si>
  <si>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</si>
  <si>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</si>
  <si>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</si>
  <si>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</si>
  <si>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</si>
  <si>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</si>
  <si>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</si>
  <si>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</si>
  <si>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</si>
  <si>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</si>
  <si>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</si>
  <si>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</si>
  <si>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</si>
  <si>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</si>
  <si>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</si>
  <si>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</si>
  <si>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</si>
  <si>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</si>
  <si>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</si>
  <si>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</si>
  <si>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</si>
  <si>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</si>
  <si>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</si>
  <si>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</si>
  <si>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</si>
  <si>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</si>
  <si>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</si>
  <si>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</si>
  <si>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</si>
  <si>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</si>
  <si>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</si>
  <si>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</si>
  <si>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</si>
  <si>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</si>
  <si>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</si>
  <si>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</si>
  <si>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</si>
  <si>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</si>
  <si>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</si>
  <si>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</si>
  <si>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</si>
  <si>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</si>
  <si>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</si>
  <si>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</si>
  <si>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</si>
  <si>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</si>
  <si>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</si>
  <si>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</si>
  <si>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</si>
  <si>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</si>
  <si>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</si>
  <si>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</si>
  <si>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</si>
  <si>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</si>
  <si>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</si>
  <si>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</si>
  <si>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</si>
  <si>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</si>
  <si>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</si>
  <si>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</si>
  <si>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</si>
  <si>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</si>
  <si>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</si>
  <si>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</si>
  <si>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</si>
  <si>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</si>
  <si>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</si>
  <si>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</si>
  <si>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</si>
  <si>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</si>
  <si>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</si>
  <si>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</si>
  <si>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</si>
  <si>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</si>
  <si>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</si>
  <si>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</si>
  <si>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</si>
  <si>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</si>
  <si>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</si>
  <si>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</si>
  <si>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</si>
  <si>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</si>
  <si>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</si>
  <si>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</si>
  <si>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</si>
  <si>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</si>
  <si>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</si>
  <si>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</si>
  <si>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</si>
  <si>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</si>
  <si>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</si>
  <si>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</si>
  <si>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</si>
  <si>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</si>
  <si>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</si>
  <si>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</si>
  <si>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</si>
  <si>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</si>
  <si>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</si>
  <si>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</si>
  <si>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</si>
  <si>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</si>
  <si>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</si>
  <si>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</si>
  <si>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Permanent Staff</t>
  </si>
  <si>
    <t>Casual, Sabbatical &amp; NYSC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</si>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</sst>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04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b/>
      <sz val="10"/>
      <color indexed="8"/>
      <name val="Times New Roman"/>
      <charset val="134"/>
    </font>
    <font>
      <b/>
      <strike/>
      <sz val="10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1"/>
      <name val="Times New Roman"/>
      <charset val="134"/>
    </font>
    <font>
      <b/>
      <u val="double"/>
      <sz val="18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4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6" fillId="20" borderId="19" applyNumberFormat="0" applyFon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91" fillId="0" borderId="20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21" borderId="22" applyNumberFormat="0" applyAlignment="0" applyProtection="0">
      <alignment vertical="center"/>
    </xf>
    <xf numFmtId="0" fontId="94" fillId="22" borderId="23" applyNumberFormat="0" applyAlignment="0" applyProtection="0">
      <alignment vertical="center"/>
    </xf>
    <xf numFmtId="0" fontId="95" fillId="22" borderId="22" applyNumberFormat="0" applyAlignment="0" applyProtection="0">
      <alignment vertical="center"/>
    </xf>
    <xf numFmtId="0" fontId="96" fillId="23" borderId="24" applyNumberFormat="0" applyAlignment="0" applyProtection="0">
      <alignment vertical="center"/>
    </xf>
    <xf numFmtId="0" fontId="97" fillId="0" borderId="25" applyNumberFormat="0" applyFill="0" applyAlignment="0" applyProtection="0">
      <alignment vertical="center"/>
    </xf>
    <xf numFmtId="0" fontId="98" fillId="0" borderId="26" applyNumberFormat="0" applyFill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02" fillId="35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02" fillId="39" borderId="0" applyNumberFormat="0" applyBorder="0" applyAlignment="0" applyProtection="0">
      <alignment vertical="center"/>
    </xf>
    <xf numFmtId="0" fontId="103" fillId="40" borderId="0" applyNumberFormat="0" applyBorder="0" applyAlignment="0" applyProtection="0">
      <alignment vertical="center"/>
    </xf>
    <xf numFmtId="0" fontId="103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02" fillId="43" borderId="0" applyNumberFormat="0" applyBorder="0" applyAlignment="0" applyProtection="0">
      <alignment vertical="center"/>
    </xf>
    <xf numFmtId="0" fontId="103" fillId="44" borderId="0" applyNumberFormat="0" applyBorder="0" applyAlignment="0" applyProtection="0">
      <alignment vertical="center"/>
    </xf>
    <xf numFmtId="0" fontId="103" fillId="45" borderId="0" applyNumberFormat="0" applyBorder="0" applyAlignment="0" applyProtection="0">
      <alignment vertical="center"/>
    </xf>
    <xf numFmtId="0" fontId="102" fillId="46" borderId="0" applyNumberFormat="0" applyBorder="0" applyAlignment="0" applyProtection="0">
      <alignment vertical="center"/>
    </xf>
    <xf numFmtId="0" fontId="102" fillId="47" borderId="0" applyNumberFormat="0" applyBorder="0" applyAlignment="0" applyProtection="0">
      <alignment vertical="center"/>
    </xf>
    <xf numFmtId="0" fontId="103" fillId="48" borderId="0" applyNumberFormat="0" applyBorder="0" applyAlignment="0" applyProtection="0">
      <alignment vertical="center"/>
    </xf>
    <xf numFmtId="0" fontId="103" fillId="49" borderId="0" applyNumberFormat="0" applyBorder="0" applyAlignment="0" applyProtection="0">
      <alignment vertical="center"/>
    </xf>
    <xf numFmtId="0" fontId="102" fillId="50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</cellStyleXfs>
  <cellXfs count="77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3" fontId="58" fillId="14" borderId="1" xfId="1" applyNumberFormat="1" applyFont="1" applyFill="1" applyBorder="1"/>
    <xf numFmtId="4" fontId="0" fillId="14" borderId="0" xfId="0" applyNumberFormat="1" applyFill="1"/>
    <xf numFmtId="177" fontId="31" fillId="14" borderId="1" xfId="51" applyFont="1" applyFill="1" applyBorder="1" applyAlignment="1">
      <alignment horizontal="right"/>
    </xf>
    <xf numFmtId="0" fontId="58" fillId="14" borderId="1" xfId="0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wrapText="1"/>
    </xf>
    <xf numFmtId="0" fontId="72" fillId="14" borderId="1" xfId="0" applyFont="1" applyFill="1" applyBorder="1" applyAlignment="1">
      <alignment horizontal="center"/>
    </xf>
    <xf numFmtId="4" fontId="6" fillId="14" borderId="18" xfId="0" applyNumberFormat="1" applyFont="1" applyFill="1" applyBorder="1" applyAlignment="1">
      <alignment horizontal="right"/>
    </xf>
    <xf numFmtId="43" fontId="74" fillId="5" borderId="1" xfId="1" applyFont="1" applyFill="1" applyBorder="1"/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 wrapText="1"/>
    </xf>
    <xf numFmtId="0" fontId="34" fillId="2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43" fontId="19" fillId="17" borderId="1" xfId="1" applyFont="1" applyFill="1" applyBorder="1" applyAlignment="1">
      <alignment horizontal="right"/>
    </xf>
    <xf numFmtId="43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0" fontId="26" fillId="2" borderId="0" xfId="0" applyFont="1" applyFill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1" fillId="18" borderId="1" xfId="1" applyFont="1" applyFill="1" applyBorder="1"/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3" fillId="18" borderId="1" xfId="0" applyNumberFormat="1" applyFont="1" applyFill="1" applyBorder="1"/>
    <xf numFmtId="0" fontId="3" fillId="19" borderId="1" xfId="0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8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1" fillId="0" borderId="0" xfId="0" applyFont="1" applyAlignment="1">
      <alignment horizontal="left"/>
    </xf>
    <xf numFmtId="0" fontId="80" fillId="0" borderId="0" xfId="0" applyFont="1"/>
    <xf numFmtId="0" fontId="71" fillId="0" borderId="0" xfId="0" applyFont="1"/>
    <xf numFmtId="0" fontId="82" fillId="0" borderId="0" xfId="0" applyFont="1"/>
    <xf numFmtId="0" fontId="83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" fontId="84" fillId="0" borderId="0" xfId="0" applyNumberFormat="1" applyFont="1"/>
    <xf numFmtId="43" fontId="21" fillId="0" borderId="0" xfId="1" applyFont="1" applyBorder="1" applyAlignment="1"/>
    <xf numFmtId="43" fontId="3" fillId="0" borderId="0" xfId="1" applyFont="1" applyBorder="1" applyAlignment="1"/>
    <xf numFmtId="43" fontId="1" fillId="0" borderId="0" xfId="1" applyFont="1" applyFill="1" applyBorder="1" applyAlignment="1"/>
    <xf numFmtId="43" fontId="21" fillId="0" borderId="3" xfId="1" applyFont="1" applyBorder="1" applyAlignment="1"/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14" borderId="1" xfId="0" applyFont="1" applyFill="1" applyBorder="1" applyAlignment="1">
      <alignment horizontal="center" wrapText="1"/>
    </xf>
    <xf numFmtId="0" fontId="1" fillId="0" borderId="1" xfId="0" applyFont="1" applyBorder="1" applyAlignment="1" quotePrefix="1">
      <alignment horizontal="center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6" Type="http://schemas.openxmlformats.org/officeDocument/2006/relationships/styles" Target="styles.xml"/><Relationship Id="rId85" Type="http://schemas.openxmlformats.org/officeDocument/2006/relationships/sharedStrings" Target="sharedStrings.xml"/><Relationship Id="rId84" Type="http://schemas.openxmlformats.org/officeDocument/2006/relationships/theme" Target="theme/theme1.xml"/><Relationship Id="rId83" Type="http://schemas.openxmlformats.org/officeDocument/2006/relationships/externalLink" Target="externalLinks/externalLink12.xml"/><Relationship Id="rId82" Type="http://schemas.openxmlformats.org/officeDocument/2006/relationships/externalLink" Target="externalLinks/externalLink11.xml"/><Relationship Id="rId81" Type="http://schemas.openxmlformats.org/officeDocument/2006/relationships/externalLink" Target="externalLinks/externalLink10.xml"/><Relationship Id="rId80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8.xml"/><Relationship Id="rId78" Type="http://schemas.openxmlformats.org/officeDocument/2006/relationships/externalLink" Target="externalLinks/externalLink7.xml"/><Relationship Id="rId77" Type="http://schemas.openxmlformats.org/officeDocument/2006/relationships/externalLink" Target="externalLinks/externalLink6.xml"/><Relationship Id="rId76" Type="http://schemas.openxmlformats.org/officeDocument/2006/relationships/externalLink" Target="externalLinks/externalLink5.xml"/><Relationship Id="rId75" Type="http://schemas.openxmlformats.org/officeDocument/2006/relationships/externalLink" Target="externalLinks/externalLink4.xml"/><Relationship Id="rId74" Type="http://schemas.openxmlformats.org/officeDocument/2006/relationships/externalLink" Target="externalLinks/externalLink3.xml"/><Relationship Id="rId73" Type="http://schemas.openxmlformats.org/officeDocument/2006/relationships/externalLink" Target="externalLinks/externalLink2.xml"/><Relationship Id="rId72" Type="http://schemas.openxmlformats.org/officeDocument/2006/relationships/externalLink" Target="externalLinks/externalLink1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4244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p\Desktop\Documents and Settings\Eddie\My Documents\2007 PARP PAYROLL and PAYSLIP FROM MAY 2007 (version 1) (version 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ers 2023\October 2023 Payroll\Deductions (18) 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ters 2024\January 2024 Payroll\January 2024  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NILDS SALARY STRUCTURE\NILDS New Salary Structure 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ters 2024\January 2024 Payroll\NILDS Tax Schedule October 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ers 2023\October 2023 Payroll\October  2023  Salary 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ers 2023\July 2023 Payroll\Consultants, Deployed Staff June  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ters 2024\January 2024 Payroll\NILDS Tax Schedule 2022 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TONDO\Desktop\TONDO\NHF\NHF April  20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38">
          <cell r="H38">
            <v>293029.666666667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3"/>
  <sheetViews>
    <sheetView zoomScaleSheetLayoutView="50" workbookViewId="0">
      <pane xSplit="3" ySplit="6" topLeftCell="M55" activePane="bottomRight" state="frozen"/>
      <selection/>
      <selection pane="topRight"/>
      <selection pane="bottomLeft"/>
      <selection pane="bottomRight" activeCell="L58" sqref="L58:M58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1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7" width="19.2818181818182" style="1" customWidth="1"/>
    <col min="18" max="18" width="22" style="1" customWidth="1"/>
    <col min="19" max="19" width="18.7090909090909" style="1" customWidth="1"/>
    <col min="20" max="20" width="16.1818181818182" style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6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506" t="s">
        <v>16</v>
      </c>
      <c r="R4" s="772" t="s">
        <v>17</v>
      </c>
      <c r="S4" s="772" t="s">
        <v>18</v>
      </c>
    </row>
    <row r="5" ht="17.25" customHeight="1" spans="3:19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8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508" t="s">
        <v>19</v>
      </c>
      <c r="R5" s="82" t="s">
        <v>19</v>
      </c>
      <c r="S5" s="508" t="s">
        <v>19</v>
      </c>
    </row>
    <row r="6" customHeight="1" spans="1:19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508"/>
      <c r="K6" s="82"/>
      <c r="L6" s="82"/>
      <c r="M6" s="82"/>
      <c r="N6" s="82"/>
      <c r="O6" s="82"/>
      <c r="P6" s="82"/>
      <c r="Q6" s="508"/>
      <c r="R6" s="82"/>
      <c r="S6" s="508"/>
    </row>
    <row r="7" ht="18.75" customHeight="1" spans="1:19">
      <c r="A7" s="10">
        <v>1</v>
      </c>
      <c r="B7" s="18" t="s">
        <v>22</v>
      </c>
      <c r="C7" s="4" t="s">
        <v>23</v>
      </c>
      <c r="D7" s="10" t="s">
        <v>24</v>
      </c>
      <c r="E7" s="85">
        <f>255849</f>
        <v>255849</v>
      </c>
      <c r="F7" s="85"/>
      <c r="G7" s="220"/>
      <c r="H7" s="220">
        <f>60000</f>
        <v>60000</v>
      </c>
      <c r="I7" s="85"/>
      <c r="J7" s="510">
        <f t="shared" ref="J7" si="0">E7+F7+G7+H7+I7</f>
        <v>315849</v>
      </c>
      <c r="K7" s="85"/>
      <c r="L7" s="85">
        <v>50000</v>
      </c>
      <c r="M7" s="85"/>
      <c r="N7" s="85"/>
      <c r="O7" s="85">
        <v>36790.6881066667</v>
      </c>
      <c r="P7" s="85">
        <v>20467.92</v>
      </c>
      <c r="Q7" s="510">
        <f>O7+N7+M7+L7+K7+P7</f>
        <v>107258.608106667</v>
      </c>
      <c r="R7" s="85">
        <v>206590.391893333</v>
      </c>
      <c r="S7" s="510">
        <f t="shared" ref="S7:S11" si="1">J7-Q7</f>
        <v>208590.391893333</v>
      </c>
    </row>
    <row r="8" ht="18.75" customHeight="1" spans="1:19">
      <c r="A8" s="10">
        <v>2</v>
      </c>
      <c r="B8" s="18" t="s">
        <v>25</v>
      </c>
      <c r="C8" s="4" t="s">
        <v>23</v>
      </c>
      <c r="D8" s="10" t="s">
        <v>24</v>
      </c>
      <c r="E8" s="85">
        <f>255849</f>
        <v>255849</v>
      </c>
      <c r="F8" s="85"/>
      <c r="G8" s="220"/>
      <c r="H8" s="220">
        <f>60000</f>
        <v>60000</v>
      </c>
      <c r="I8" s="85"/>
      <c r="J8" s="510">
        <f t="shared" ref="J8" si="2">E8+F8+G8+H8+I8</f>
        <v>315849</v>
      </c>
      <c r="K8" s="85"/>
      <c r="L8" s="85">
        <v>50000</v>
      </c>
      <c r="M8" s="85"/>
      <c r="N8" s="85"/>
      <c r="O8" s="85">
        <v>36790.6881066667</v>
      </c>
      <c r="P8" s="85">
        <v>20467.92</v>
      </c>
      <c r="Q8" s="510">
        <f>O8+N8+M8+L8+K8+P8</f>
        <v>107258.608106667</v>
      </c>
      <c r="R8" s="85">
        <v>206590.391893333</v>
      </c>
      <c r="S8" s="510">
        <f t="shared" si="1"/>
        <v>208590.391893333</v>
      </c>
    </row>
    <row r="9" ht="18.75" customHeight="1" spans="1:19">
      <c r="A9" s="10">
        <v>3</v>
      </c>
      <c r="B9" s="18" t="s">
        <v>26</v>
      </c>
      <c r="C9" s="4" t="s">
        <v>27</v>
      </c>
      <c r="D9" s="10" t="s">
        <v>24</v>
      </c>
      <c r="E9" s="85">
        <v>255849</v>
      </c>
      <c r="F9" s="85"/>
      <c r="G9" s="220"/>
      <c r="H9" s="220">
        <f>60000</f>
        <v>60000</v>
      </c>
      <c r="I9" s="85"/>
      <c r="J9" s="510">
        <f t="shared" ref="J9" si="3">E9+F9+G9+H9+I9</f>
        <v>315849</v>
      </c>
      <c r="K9" s="85"/>
      <c r="L9" s="85"/>
      <c r="M9" s="85"/>
      <c r="N9" s="85"/>
      <c r="O9" s="85">
        <v>36790.6881066667</v>
      </c>
      <c r="P9" s="85">
        <v>20467.92</v>
      </c>
      <c r="Q9" s="510">
        <f>O9+N9+M9+L9+K9+P9</f>
        <v>57258.6081066667</v>
      </c>
      <c r="R9" s="85">
        <v>258590.391893333</v>
      </c>
      <c r="S9" s="510">
        <f t="shared" si="1"/>
        <v>258590.391893333</v>
      </c>
    </row>
    <row r="10" customHeight="1" spans="1:19">
      <c r="A10" s="10">
        <v>4</v>
      </c>
      <c r="B10" s="18" t="s">
        <v>28</v>
      </c>
      <c r="C10" s="12" t="s">
        <v>29</v>
      </c>
      <c r="D10" s="15" t="s">
        <v>30</v>
      </c>
      <c r="E10" s="85">
        <f>218287.583333333</f>
        <v>218287.583333333</v>
      </c>
      <c r="F10" s="85"/>
      <c r="G10" s="220"/>
      <c r="H10" s="220">
        <f>50000</f>
        <v>50000</v>
      </c>
      <c r="I10" s="85"/>
      <c r="J10" s="510">
        <f t="shared" ref="J10" si="4">SUM(E10:I10)</f>
        <v>268287.583333333</v>
      </c>
      <c r="K10" s="85"/>
      <c r="L10" s="675"/>
      <c r="M10" s="675"/>
      <c r="N10" s="4"/>
      <c r="O10" s="675">
        <v>29305.1955466666</v>
      </c>
      <c r="P10" s="675">
        <v>17463.0066666666</v>
      </c>
      <c r="Q10" s="510">
        <f>O10+N10+M10+L10+K10+P10</f>
        <v>46768.2022133332</v>
      </c>
      <c r="R10" s="85">
        <v>221519.38112</v>
      </c>
      <c r="S10" s="510">
        <f t="shared" si="1"/>
        <v>221519.38112</v>
      </c>
    </row>
    <row r="11" customHeight="1" spans="1:19">
      <c r="A11" s="10">
        <v>5</v>
      </c>
      <c r="B11" s="18" t="s">
        <v>31</v>
      </c>
      <c r="C11" s="12" t="s">
        <v>32</v>
      </c>
      <c r="D11" s="15" t="s">
        <v>30</v>
      </c>
      <c r="E11" s="85">
        <f>218287.583333333</f>
        <v>218287.583333333</v>
      </c>
      <c r="F11" s="85"/>
      <c r="G11" s="220"/>
      <c r="H11" s="220">
        <f>50000</f>
        <v>50000</v>
      </c>
      <c r="I11" s="85"/>
      <c r="J11" s="510">
        <f t="shared" ref="J11" si="5">SUM(E11:I11)</f>
        <v>268287.583333333</v>
      </c>
      <c r="K11" s="85"/>
      <c r="L11" s="675"/>
      <c r="M11" s="675"/>
      <c r="N11" s="4"/>
      <c r="O11" s="675">
        <v>29305.1955466666</v>
      </c>
      <c r="P11" s="675">
        <v>17463.0066666666</v>
      </c>
      <c r="Q11" s="510">
        <f>O11+N11+M11+L11+K11+P11</f>
        <v>46768.2022133332</v>
      </c>
      <c r="R11" s="85">
        <v>221519.38112</v>
      </c>
      <c r="S11" s="510">
        <f t="shared" si="1"/>
        <v>221519.38112</v>
      </c>
    </row>
    <row r="12" ht="26.25" customHeight="1" spans="1:19">
      <c r="A12" s="10"/>
      <c r="B12" s="20" t="s">
        <v>33</v>
      </c>
      <c r="C12" s="21">
        <v>5</v>
      </c>
      <c r="D12" s="15"/>
      <c r="E12" s="221">
        <f t="shared" ref="E12:Q12" si="6">SUM(E7:E11)</f>
        <v>1204122.16666667</v>
      </c>
      <c r="F12" s="221">
        <f t="shared" si="6"/>
        <v>0</v>
      </c>
      <c r="G12" s="221">
        <f t="shared" si="6"/>
        <v>0</v>
      </c>
      <c r="H12" s="221">
        <f t="shared" si="6"/>
        <v>280000</v>
      </c>
      <c r="I12" s="221">
        <f t="shared" si="6"/>
        <v>0</v>
      </c>
      <c r="J12" s="515">
        <f t="shared" si="6"/>
        <v>1484122.16666667</v>
      </c>
      <c r="K12" s="221">
        <f t="shared" si="6"/>
        <v>0</v>
      </c>
      <c r="L12" s="221">
        <f t="shared" si="6"/>
        <v>100000</v>
      </c>
      <c r="M12" s="221">
        <f t="shared" si="6"/>
        <v>0</v>
      </c>
      <c r="N12" s="221">
        <f t="shared" si="6"/>
        <v>0</v>
      </c>
      <c r="O12" s="221">
        <f t="shared" si="6"/>
        <v>168982.455413333</v>
      </c>
      <c r="P12" s="221">
        <f t="shared" si="6"/>
        <v>96329.7733333332</v>
      </c>
      <c r="Q12" s="515">
        <f t="shared" si="6"/>
        <v>365312.228746667</v>
      </c>
      <c r="R12" s="221">
        <v>1114809.93792</v>
      </c>
      <c r="S12" s="515">
        <f>SUM(S7:S11)</f>
        <v>1118809.93792</v>
      </c>
    </row>
    <row r="13" ht="18.75" customHeight="1" spans="1:19">
      <c r="A13" s="10"/>
      <c r="B13" s="22"/>
      <c r="C13" s="4"/>
      <c r="D13" s="15"/>
      <c r="E13" s="221"/>
      <c r="F13" s="221"/>
      <c r="G13" s="220"/>
      <c r="H13" s="220"/>
      <c r="I13" s="221"/>
      <c r="J13" s="515"/>
      <c r="K13" s="221"/>
      <c r="L13" s="221"/>
      <c r="M13" s="221"/>
      <c r="N13" s="221"/>
      <c r="O13" s="221"/>
      <c r="P13" s="221"/>
      <c r="Q13" s="515"/>
      <c r="R13" s="221"/>
      <c r="S13" s="515"/>
    </row>
    <row r="14" ht="18.75" customHeight="1" spans="1:19">
      <c r="A14" s="10"/>
      <c r="B14" s="20" t="s">
        <v>34</v>
      </c>
      <c r="C14" s="4"/>
      <c r="D14" s="15"/>
      <c r="E14" s="85"/>
      <c r="F14" s="85"/>
      <c r="G14" s="220"/>
      <c r="H14" s="220"/>
      <c r="I14" s="85"/>
      <c r="J14" s="510"/>
      <c r="K14" s="85"/>
      <c r="L14" s="85"/>
      <c r="M14" s="85"/>
      <c r="N14" s="85"/>
      <c r="O14" s="85"/>
      <c r="P14" s="85"/>
      <c r="Q14" s="510"/>
      <c r="R14" s="85"/>
      <c r="S14" s="510"/>
    </row>
    <row r="15" customHeight="1" spans="1:20">
      <c r="A15" s="4">
        <v>1</v>
      </c>
      <c r="B15" s="18" t="s">
        <v>35</v>
      </c>
      <c r="C15" s="12" t="s">
        <v>36</v>
      </c>
      <c r="D15" s="15" t="s">
        <v>37</v>
      </c>
      <c r="E15" s="85">
        <v>293029.666666667</v>
      </c>
      <c r="F15" s="85"/>
      <c r="G15" s="220"/>
      <c r="H15" s="220">
        <v>60000</v>
      </c>
      <c r="I15" s="85"/>
      <c r="J15" s="510">
        <f t="shared" ref="J15" si="7">SUM(E15:I15)</f>
        <v>353029.666666667</v>
      </c>
      <c r="K15" s="85"/>
      <c r="L15" s="675">
        <f>100000</f>
        <v>100000</v>
      </c>
      <c r="M15" s="675"/>
      <c r="O15" s="675">
        <v>43541.87</v>
      </c>
      <c r="P15" s="676">
        <v>23442.3733333333</v>
      </c>
      <c r="Q15" s="510">
        <f>O15+N15+M15+L15+K15+P15</f>
        <v>166984.243333333</v>
      </c>
      <c r="R15" s="85">
        <v>186045.423333334</v>
      </c>
      <c r="S15" s="510">
        <f t="shared" ref="S15" si="8">J15-Q15</f>
        <v>186045.423333334</v>
      </c>
      <c r="T15" s="13"/>
    </row>
    <row r="16" ht="19.5" customHeight="1" spans="1:19">
      <c r="A16" s="10"/>
      <c r="B16" s="14"/>
      <c r="C16" s="21">
        <v>1</v>
      </c>
      <c r="D16" s="10"/>
      <c r="E16" s="221">
        <f t="shared" ref="E16:Q16" si="9">SUM(E15:E15)</f>
        <v>293029.666666667</v>
      </c>
      <c r="F16" s="221">
        <f t="shared" si="9"/>
        <v>0</v>
      </c>
      <c r="G16" s="221">
        <f t="shared" si="9"/>
        <v>0</v>
      </c>
      <c r="H16" s="221">
        <f t="shared" si="9"/>
        <v>60000</v>
      </c>
      <c r="I16" s="221">
        <f t="shared" si="9"/>
        <v>0</v>
      </c>
      <c r="J16" s="515">
        <f t="shared" si="9"/>
        <v>353029.666666667</v>
      </c>
      <c r="K16" s="221">
        <f t="shared" si="9"/>
        <v>0</v>
      </c>
      <c r="L16" s="221">
        <f t="shared" si="9"/>
        <v>100000</v>
      </c>
      <c r="M16" s="221">
        <f t="shared" si="9"/>
        <v>0</v>
      </c>
      <c r="N16" s="221">
        <f t="shared" si="9"/>
        <v>0</v>
      </c>
      <c r="O16" s="221">
        <f t="shared" si="9"/>
        <v>43541.87</v>
      </c>
      <c r="P16" s="221">
        <f t="shared" si="9"/>
        <v>23442.3733333333</v>
      </c>
      <c r="Q16" s="515">
        <f t="shared" si="9"/>
        <v>166984.243333333</v>
      </c>
      <c r="R16" s="221">
        <v>186045.423333334</v>
      </c>
      <c r="S16" s="515">
        <f>SUM(S15:S15)</f>
        <v>186045.423333334</v>
      </c>
    </row>
    <row r="17" customHeight="1" spans="1:19">
      <c r="A17" s="10"/>
      <c r="B17" s="14"/>
      <c r="C17" s="4"/>
      <c r="D17" s="10"/>
      <c r="E17" s="221"/>
      <c r="F17" s="221"/>
      <c r="G17" s="220"/>
      <c r="H17" s="220"/>
      <c r="I17" s="221"/>
      <c r="J17" s="515"/>
      <c r="K17" s="221"/>
      <c r="L17" s="221"/>
      <c r="M17" s="221"/>
      <c r="N17" s="221"/>
      <c r="O17" s="221"/>
      <c r="P17" s="221"/>
      <c r="Q17" s="510"/>
      <c r="R17" s="85"/>
      <c r="S17" s="510"/>
    </row>
    <row r="18" customHeight="1" spans="1:19">
      <c r="A18" s="10"/>
      <c r="B18" s="23" t="s">
        <v>38</v>
      </c>
      <c r="C18" s="5"/>
      <c r="D18" s="24"/>
      <c r="E18" s="221"/>
      <c r="F18" s="221"/>
      <c r="G18" s="220"/>
      <c r="H18" s="220"/>
      <c r="I18" s="85"/>
      <c r="J18" s="510"/>
      <c r="K18" s="85"/>
      <c r="L18" s="85"/>
      <c r="M18" s="85"/>
      <c r="N18" s="85"/>
      <c r="O18" s="85"/>
      <c r="P18" s="85"/>
      <c r="Q18" s="510"/>
      <c r="R18" s="85"/>
      <c r="S18" s="510"/>
    </row>
    <row r="19" customHeight="1" spans="1:19">
      <c r="A19" s="27">
        <v>1</v>
      </c>
      <c r="B19" s="18" t="s">
        <v>39</v>
      </c>
      <c r="C19" s="4" t="s">
        <v>40</v>
      </c>
      <c r="D19" s="15" t="s">
        <v>41</v>
      </c>
      <c r="E19" s="220">
        <f>353512.5</f>
        <v>353512.5</v>
      </c>
      <c r="F19" s="85"/>
      <c r="G19" s="220">
        <f>110000</f>
        <v>110000</v>
      </c>
      <c r="H19" s="220"/>
      <c r="I19" s="85"/>
      <c r="J19" s="510">
        <f t="shared" ref="J19:J20" si="10">SUM(E19:I19)</f>
        <v>463512.5</v>
      </c>
      <c r="K19" s="85"/>
      <c r="L19" s="85"/>
      <c r="M19" s="85"/>
      <c r="N19" s="85"/>
      <c r="O19" s="85">
        <v>62231.1146666667</v>
      </c>
      <c r="P19" s="85">
        <v>28281</v>
      </c>
      <c r="Q19" s="510">
        <f>O19+N19+M19+L19+K19+P19</f>
        <v>90512.1146666667</v>
      </c>
      <c r="R19" s="85">
        <v>373000.385333333</v>
      </c>
      <c r="S19" s="510">
        <f>J19-Q19</f>
        <v>373000.385333333</v>
      </c>
    </row>
    <row r="20" customHeight="1" spans="1:19">
      <c r="A20" s="27">
        <v>2</v>
      </c>
      <c r="B20" s="11" t="s">
        <v>42</v>
      </c>
      <c r="C20" s="4" t="s">
        <v>43</v>
      </c>
      <c r="D20" s="10" t="s">
        <v>37</v>
      </c>
      <c r="E20" s="85">
        <f>293029.666666667</f>
        <v>293029.666666667</v>
      </c>
      <c r="F20" s="85"/>
      <c r="G20" s="220">
        <f>100000</f>
        <v>100000</v>
      </c>
      <c r="H20" s="220"/>
      <c r="I20" s="85"/>
      <c r="J20" s="510">
        <f t="shared" si="10"/>
        <v>393029.666666667</v>
      </c>
      <c r="K20" s="85"/>
      <c r="L20" s="85"/>
      <c r="M20" s="85"/>
      <c r="N20" s="85"/>
      <c r="O20" s="85">
        <v>50775.47</v>
      </c>
      <c r="P20" s="85">
        <v>23442.3733333333</v>
      </c>
      <c r="Q20" s="510">
        <f t="shared" ref="Q20:Q26" si="11">O20+N20+M20+L20+K20+P20</f>
        <v>74217.8433333333</v>
      </c>
      <c r="R20" s="85">
        <v>318811.823333334</v>
      </c>
      <c r="S20" s="510">
        <f t="shared" ref="S20" si="12">J20-Q20</f>
        <v>318811.823333334</v>
      </c>
    </row>
    <row r="21" ht="25.5" customHeight="1" spans="1:19">
      <c r="A21" s="10"/>
      <c r="B21" s="20" t="s">
        <v>33</v>
      </c>
      <c r="C21" s="21">
        <v>2</v>
      </c>
      <c r="D21" s="21"/>
      <c r="E21" s="93">
        <f>SUM(E19:E20)</f>
        <v>646542.166666667</v>
      </c>
      <c r="F21" s="93"/>
      <c r="G21" s="93">
        <f t="shared" ref="G21:Q21" si="13">SUM(G19:G20)</f>
        <v>210000</v>
      </c>
      <c r="H21" s="93">
        <f t="shared" si="13"/>
        <v>0</v>
      </c>
      <c r="I21" s="93">
        <f t="shared" si="13"/>
        <v>0</v>
      </c>
      <c r="J21" s="771">
        <f t="shared" si="13"/>
        <v>856542.166666667</v>
      </c>
      <c r="K21" s="93">
        <f t="shared" si="13"/>
        <v>0</v>
      </c>
      <c r="L21" s="93">
        <f t="shared" si="13"/>
        <v>0</v>
      </c>
      <c r="M21" s="93">
        <f t="shared" si="13"/>
        <v>0</v>
      </c>
      <c r="N21" s="93">
        <f t="shared" si="13"/>
        <v>0</v>
      </c>
      <c r="O21" s="93">
        <f t="shared" si="13"/>
        <v>113006.584666667</v>
      </c>
      <c r="P21" s="93">
        <f t="shared" si="13"/>
        <v>51723.3733333333</v>
      </c>
      <c r="Q21" s="771">
        <f t="shared" si="13"/>
        <v>164729.958</v>
      </c>
      <c r="R21" s="93">
        <v>691812.208666667</v>
      </c>
      <c r="S21" s="771">
        <f>SUM(S19:S20)</f>
        <v>691812.208666667</v>
      </c>
    </row>
    <row r="22" customHeight="1" spans="1:19">
      <c r="A22" s="10"/>
      <c r="B22" s="22"/>
      <c r="C22" s="21"/>
      <c r="D22" s="21"/>
      <c r="E22" s="146"/>
      <c r="F22" s="146"/>
      <c r="G22" s="220"/>
      <c r="H22" s="220"/>
      <c r="I22" s="146"/>
      <c r="J22" s="517"/>
      <c r="K22" s="146"/>
      <c r="L22" s="146"/>
      <c r="M22" s="146"/>
      <c r="N22" s="146"/>
      <c r="O22" s="146"/>
      <c r="P22" s="146"/>
      <c r="Q22" s="517"/>
      <c r="R22" s="146"/>
      <c r="S22" s="517"/>
    </row>
    <row r="23" customHeight="1" spans="1:19">
      <c r="A23" s="10"/>
      <c r="B23" s="20" t="s">
        <v>44</v>
      </c>
      <c r="C23" s="21"/>
      <c r="D23" s="21"/>
      <c r="E23" s="146"/>
      <c r="F23" s="146"/>
      <c r="G23" s="220"/>
      <c r="H23" s="220"/>
      <c r="I23" s="146"/>
      <c r="J23" s="517"/>
      <c r="K23" s="146"/>
      <c r="L23" s="146"/>
      <c r="M23" s="146"/>
      <c r="N23" s="146"/>
      <c r="O23" s="146"/>
      <c r="P23" s="146"/>
      <c r="Q23" s="517"/>
      <c r="R23" s="146"/>
      <c r="S23" s="517"/>
    </row>
    <row r="24" customHeight="1" spans="1:19">
      <c r="A24" s="10">
        <v>1</v>
      </c>
      <c r="B24" s="18" t="s">
        <v>45</v>
      </c>
      <c r="C24" s="17" t="s">
        <v>46</v>
      </c>
      <c r="D24" s="15" t="s">
        <v>47</v>
      </c>
      <c r="E24" s="85">
        <f>390248.916666667</f>
        <v>390248.916666667</v>
      </c>
      <c r="F24" s="85"/>
      <c r="G24" s="220">
        <f>120000</f>
        <v>120000</v>
      </c>
      <c r="H24" s="220"/>
      <c r="I24" s="85">
        <v>0</v>
      </c>
      <c r="J24" s="510">
        <f>SUM(E24:I24)+(144912.15*2)</f>
        <v>800073.216666667</v>
      </c>
      <c r="K24" s="85"/>
      <c r="L24" s="85">
        <v>30000</v>
      </c>
      <c r="M24" s="85"/>
      <c r="N24" s="85"/>
      <c r="O24" s="85">
        <v>70640.2353066667</v>
      </c>
      <c r="P24" s="85">
        <v>31219.9133333334</v>
      </c>
      <c r="Q24" s="510">
        <f t="shared" si="11"/>
        <v>131860.14864</v>
      </c>
      <c r="R24" s="85">
        <v>376388.768026667</v>
      </c>
      <c r="S24" s="510">
        <f>J24-Q24</f>
        <v>668213.068026667</v>
      </c>
    </row>
    <row r="25" customHeight="1" spans="1:20">
      <c r="A25" s="10">
        <v>2</v>
      </c>
      <c r="B25" s="18" t="s">
        <v>48</v>
      </c>
      <c r="C25" s="17" t="s">
        <v>46</v>
      </c>
      <c r="D25" s="15" t="s">
        <v>47</v>
      </c>
      <c r="E25" s="85">
        <f>390248.916666667</f>
        <v>390248.916666667</v>
      </c>
      <c r="F25" s="85"/>
      <c r="G25" s="220">
        <f>120000</f>
        <v>120000</v>
      </c>
      <c r="H25" s="220"/>
      <c r="I25" s="85">
        <v>0</v>
      </c>
      <c r="J25" s="510">
        <f t="shared" ref="J24:J25" si="14">SUM(E25:I25)</f>
        <v>510248.916666667</v>
      </c>
      <c r="K25" s="85"/>
      <c r="L25" s="85">
        <v>302000</v>
      </c>
      <c r="M25" s="85"/>
      <c r="N25" s="85"/>
      <c r="O25" s="85">
        <f>70640.2353066667*(20/31)</f>
        <v>45574.3453591398</v>
      </c>
      <c r="P25" s="85">
        <v>31219.9133333334</v>
      </c>
      <c r="Q25" s="510">
        <f t="shared" si="11"/>
        <v>378794.258692473</v>
      </c>
      <c r="R25" s="85">
        <v>263476.624533333</v>
      </c>
      <c r="S25" s="510">
        <f>J25-Q25</f>
        <v>131454.657974194</v>
      </c>
      <c r="T25" s="13"/>
    </row>
    <row r="26" customHeight="1" spans="1:19">
      <c r="A26" s="10">
        <v>3</v>
      </c>
      <c r="B26" s="14" t="s">
        <v>49</v>
      </c>
      <c r="C26" s="17" t="s">
        <v>50</v>
      </c>
      <c r="D26" s="10" t="s">
        <v>41</v>
      </c>
      <c r="E26" s="85">
        <f>353512.5</f>
        <v>353512.5</v>
      </c>
      <c r="F26" s="85"/>
      <c r="G26" s="220">
        <v>110000</v>
      </c>
      <c r="H26" s="220"/>
      <c r="I26" s="85"/>
      <c r="J26" s="510">
        <f>E26+F26+G26+H26+I26</f>
        <v>463512.5</v>
      </c>
      <c r="K26" s="85"/>
      <c r="L26" s="85">
        <v>20000</v>
      </c>
      <c r="M26" s="85">
        <v>50000</v>
      </c>
      <c r="N26" s="85"/>
      <c r="O26" s="85">
        <v>62231.1146666667</v>
      </c>
      <c r="P26" s="85">
        <v>28281</v>
      </c>
      <c r="Q26" s="510">
        <f t="shared" si="11"/>
        <v>160512.114666667</v>
      </c>
      <c r="R26" s="85">
        <v>353000.385333333</v>
      </c>
      <c r="S26" s="510">
        <f>J26-Q26</f>
        <v>303000.385333333</v>
      </c>
    </row>
    <row r="27" ht="27" customHeight="1" spans="1:19">
      <c r="A27" s="10"/>
      <c r="B27" s="20" t="s">
        <v>33</v>
      </c>
      <c r="C27" s="21">
        <v>2</v>
      </c>
      <c r="D27" s="21"/>
      <c r="E27" s="93">
        <f>SUM(E24:E26)</f>
        <v>1134010.33333333</v>
      </c>
      <c r="F27" s="93">
        <f t="shared" ref="F27:Q27" si="15">SUM(F24:F26)</f>
        <v>0</v>
      </c>
      <c r="G27" s="93">
        <f t="shared" si="15"/>
        <v>350000</v>
      </c>
      <c r="H27" s="93">
        <f t="shared" si="15"/>
        <v>0</v>
      </c>
      <c r="I27" s="93">
        <f t="shared" si="15"/>
        <v>0</v>
      </c>
      <c r="J27" s="93">
        <f t="shared" si="15"/>
        <v>1773834.63333333</v>
      </c>
      <c r="K27" s="93">
        <f t="shared" si="15"/>
        <v>0</v>
      </c>
      <c r="L27" s="93">
        <f t="shared" si="15"/>
        <v>352000</v>
      </c>
      <c r="M27" s="93">
        <f t="shared" si="15"/>
        <v>50000</v>
      </c>
      <c r="N27" s="93">
        <f t="shared" si="15"/>
        <v>0</v>
      </c>
      <c r="O27" s="93">
        <f t="shared" si="15"/>
        <v>178445.695332473</v>
      </c>
      <c r="P27" s="93">
        <f t="shared" si="15"/>
        <v>90720.8266666668</v>
      </c>
      <c r="Q27" s="93">
        <f t="shared" si="15"/>
        <v>671166.52199914</v>
      </c>
      <c r="R27" s="93">
        <v>992865.777893334</v>
      </c>
      <c r="S27" s="93">
        <f>SUM(S24:S26)</f>
        <v>1102668.11133419</v>
      </c>
    </row>
    <row r="28" customHeight="1" spans="1:19">
      <c r="A28" s="10"/>
      <c r="B28" s="22"/>
      <c r="C28" s="21"/>
      <c r="D28" s="21"/>
      <c r="E28" s="146"/>
      <c r="F28" s="146"/>
      <c r="G28" s="220"/>
      <c r="H28" s="220"/>
      <c r="I28" s="146"/>
      <c r="J28" s="517"/>
      <c r="K28" s="146"/>
      <c r="L28" s="146"/>
      <c r="M28" s="146"/>
      <c r="N28" s="146"/>
      <c r="O28" s="146"/>
      <c r="P28" s="146"/>
      <c r="Q28" s="517"/>
      <c r="R28" s="146"/>
      <c r="S28" s="517"/>
    </row>
    <row r="29" customHeight="1" spans="1:19">
      <c r="A29" s="10"/>
      <c r="B29" s="20" t="s">
        <v>51</v>
      </c>
      <c r="C29" s="21"/>
      <c r="D29" s="21"/>
      <c r="E29" s="146"/>
      <c r="F29" s="146"/>
      <c r="G29" s="220"/>
      <c r="H29" s="220"/>
      <c r="I29" s="146"/>
      <c r="J29" s="517"/>
      <c r="K29" s="146"/>
      <c r="L29" s="146"/>
      <c r="M29" s="146"/>
      <c r="N29" s="146"/>
      <c r="O29" s="146"/>
      <c r="P29" s="146"/>
      <c r="Q29" s="517"/>
      <c r="R29" s="146"/>
      <c r="S29" s="517"/>
    </row>
    <row r="30" customHeight="1" spans="1:19">
      <c r="A30" s="10">
        <v>1</v>
      </c>
      <c r="B30" s="11" t="s">
        <v>52</v>
      </c>
      <c r="C30" s="4" t="s">
        <v>53</v>
      </c>
      <c r="D30" s="15" t="s">
        <v>47</v>
      </c>
      <c r="E30" s="85">
        <f>390248.916666667</f>
        <v>390248.916666667</v>
      </c>
      <c r="F30" s="85"/>
      <c r="G30" s="220">
        <f>120000</f>
        <v>120000</v>
      </c>
      <c r="H30" s="220"/>
      <c r="I30" s="85">
        <v>0</v>
      </c>
      <c r="J30" s="510">
        <f t="shared" ref="J30:J31" si="16">SUM(E30:I30)</f>
        <v>510248.916666667</v>
      </c>
      <c r="K30" s="85"/>
      <c r="L30" s="85">
        <v>0</v>
      </c>
      <c r="M30" s="85"/>
      <c r="N30" s="85"/>
      <c r="O30" s="85">
        <v>70640.2353066667</v>
      </c>
      <c r="P30" s="85">
        <v>31219.9133333334</v>
      </c>
      <c r="Q30" s="510">
        <f>O30+N30+M30+L30+K30+P30</f>
        <v>101860.14864</v>
      </c>
      <c r="R30" s="85">
        <v>408388.768026667</v>
      </c>
      <c r="S30" s="510">
        <f>J30-Q30</f>
        <v>408388.768026667</v>
      </c>
    </row>
    <row r="31" customHeight="1" spans="1:19">
      <c r="A31" s="10">
        <v>2</v>
      </c>
      <c r="B31" s="18" t="s">
        <v>54</v>
      </c>
      <c r="C31" s="12" t="s">
        <v>55</v>
      </c>
      <c r="D31" s="15" t="s">
        <v>30</v>
      </c>
      <c r="E31" s="85">
        <f>218287.583333333</f>
        <v>218287.583333333</v>
      </c>
      <c r="F31" s="85"/>
      <c r="G31" s="220">
        <f>100000</f>
        <v>100000</v>
      </c>
      <c r="H31" s="220"/>
      <c r="I31" s="85"/>
      <c r="J31" s="510">
        <f t="shared" si="16"/>
        <v>318287.583333333</v>
      </c>
      <c r="K31" s="85"/>
      <c r="L31" s="675"/>
      <c r="M31" s="675"/>
      <c r="O31" s="675">
        <v>37705.19</v>
      </c>
      <c r="P31" s="676">
        <v>17463.0066666666</v>
      </c>
      <c r="Q31" s="510">
        <f>O31+N31+M31+L31+K31+P31</f>
        <v>55168.1966666666</v>
      </c>
      <c r="R31" s="85">
        <v>263119.386666666</v>
      </c>
      <c r="S31" s="510">
        <f>J31-Q31</f>
        <v>263119.386666666</v>
      </c>
    </row>
    <row r="32" customHeight="1" spans="1:19">
      <c r="A32" s="10"/>
      <c r="B32" s="20" t="s">
        <v>33</v>
      </c>
      <c r="C32" s="21">
        <v>2</v>
      </c>
      <c r="D32" s="21"/>
      <c r="E32" s="93">
        <f>SUM(E30:E31)</f>
        <v>608536.5</v>
      </c>
      <c r="F32" s="93">
        <f t="shared" ref="F32:Q32" si="17">SUM(F30:F31)</f>
        <v>0</v>
      </c>
      <c r="G32" s="93">
        <f t="shared" si="17"/>
        <v>220000</v>
      </c>
      <c r="H32" s="93">
        <f t="shared" si="17"/>
        <v>0</v>
      </c>
      <c r="I32" s="93">
        <f t="shared" si="17"/>
        <v>0</v>
      </c>
      <c r="J32" s="771">
        <f t="shared" si="17"/>
        <v>828536.5</v>
      </c>
      <c r="K32" s="93">
        <f t="shared" si="17"/>
        <v>0</v>
      </c>
      <c r="L32" s="93">
        <f t="shared" si="17"/>
        <v>0</v>
      </c>
      <c r="M32" s="93">
        <f t="shared" si="17"/>
        <v>0</v>
      </c>
      <c r="N32" s="93"/>
      <c r="O32" s="93">
        <f t="shared" si="17"/>
        <v>108345.425306667</v>
      </c>
      <c r="P32" s="93">
        <f t="shared" si="17"/>
        <v>48682.92</v>
      </c>
      <c r="Q32" s="771">
        <f t="shared" si="17"/>
        <v>157028.345306667</v>
      </c>
      <c r="R32" s="93">
        <v>671508.154693333</v>
      </c>
      <c r="S32" s="771">
        <f>SUM(S30:S31)</f>
        <v>671508.154693333</v>
      </c>
    </row>
    <row r="33" customHeight="1" spans="1:19">
      <c r="A33" s="10"/>
      <c r="B33" s="20"/>
      <c r="C33" s="21"/>
      <c r="D33" s="21"/>
      <c r="E33" s="146"/>
      <c r="F33" s="146"/>
      <c r="G33" s="220"/>
      <c r="H33" s="220"/>
      <c r="I33" s="146"/>
      <c r="J33" s="517"/>
      <c r="K33" s="146"/>
      <c r="L33" s="146"/>
      <c r="M33" s="146"/>
      <c r="N33" s="146"/>
      <c r="O33" s="146"/>
      <c r="P33" s="146"/>
      <c r="Q33" s="510"/>
      <c r="R33" s="85"/>
      <c r="S33" s="510"/>
    </row>
    <row r="34" customHeight="1" spans="1:19">
      <c r="A34" s="10"/>
      <c r="B34" s="20" t="s">
        <v>56</v>
      </c>
      <c r="C34" s="25"/>
      <c r="D34" s="21"/>
      <c r="E34" s="146"/>
      <c r="F34" s="146"/>
      <c r="G34" s="220"/>
      <c r="H34" s="220"/>
      <c r="I34" s="146"/>
      <c r="J34" s="517"/>
      <c r="K34" s="146"/>
      <c r="L34" s="146"/>
      <c r="M34" s="146"/>
      <c r="N34" s="146"/>
      <c r="O34" s="146"/>
      <c r="P34" s="146"/>
      <c r="Q34" s="510"/>
      <c r="R34" s="85"/>
      <c r="S34" s="510"/>
    </row>
    <row r="35" customHeight="1" spans="1:19">
      <c r="A35" s="27">
        <v>1</v>
      </c>
      <c r="B35" s="18" t="s">
        <v>57</v>
      </c>
      <c r="C35" s="4" t="s">
        <v>40</v>
      </c>
      <c r="D35" s="15" t="s">
        <v>41</v>
      </c>
      <c r="E35" s="220">
        <f>353512.5</f>
        <v>353512.5</v>
      </c>
      <c r="F35" s="85"/>
      <c r="G35" s="220">
        <f>110000</f>
        <v>110000</v>
      </c>
      <c r="H35" s="220"/>
      <c r="I35" s="85"/>
      <c r="J35" s="510">
        <f t="shared" ref="J35" si="18">SUM(E35:I35)</f>
        <v>463512.5</v>
      </c>
      <c r="K35" s="85"/>
      <c r="L35" s="85">
        <v>40000</v>
      </c>
      <c r="M35" s="85"/>
      <c r="N35" s="85"/>
      <c r="O35" s="85">
        <v>62231.1146666667</v>
      </c>
      <c r="P35" s="85">
        <v>28281</v>
      </c>
      <c r="Q35" s="510">
        <f>O35+N35+M35+L35+K35+P35</f>
        <v>130512.114666667</v>
      </c>
      <c r="R35" s="85">
        <v>331000.385333333</v>
      </c>
      <c r="S35" s="510">
        <f t="shared" ref="S35" si="19">J35-Q35</f>
        <v>333000.385333333</v>
      </c>
    </row>
    <row r="36" customHeight="1" spans="1:19">
      <c r="A36" s="10"/>
      <c r="B36" s="20" t="s">
        <v>33</v>
      </c>
      <c r="C36" s="21">
        <v>1</v>
      </c>
      <c r="D36" s="21"/>
      <c r="E36" s="93">
        <f>SUM(E35)</f>
        <v>353512.5</v>
      </c>
      <c r="F36" s="93">
        <f t="shared" ref="F36:Q36" si="20">SUM(F35)</f>
        <v>0</v>
      </c>
      <c r="G36" s="93">
        <f t="shared" si="20"/>
        <v>110000</v>
      </c>
      <c r="H36" s="93">
        <f t="shared" si="20"/>
        <v>0</v>
      </c>
      <c r="I36" s="93">
        <f t="shared" si="20"/>
        <v>0</v>
      </c>
      <c r="J36" s="771">
        <f t="shared" si="20"/>
        <v>463512.5</v>
      </c>
      <c r="K36" s="93">
        <f t="shared" si="20"/>
        <v>0</v>
      </c>
      <c r="L36" s="93">
        <f t="shared" si="20"/>
        <v>40000</v>
      </c>
      <c r="M36" s="93">
        <f t="shared" si="20"/>
        <v>0</v>
      </c>
      <c r="N36" s="93">
        <f t="shared" si="20"/>
        <v>0</v>
      </c>
      <c r="O36" s="93">
        <f t="shared" si="20"/>
        <v>62231.1146666667</v>
      </c>
      <c r="P36" s="93">
        <f t="shared" si="20"/>
        <v>28281</v>
      </c>
      <c r="Q36" s="771">
        <f t="shared" si="20"/>
        <v>130512.114666667</v>
      </c>
      <c r="R36" s="93">
        <v>331000.385333333</v>
      </c>
      <c r="S36" s="771">
        <f>SUM(S35)</f>
        <v>333000.385333333</v>
      </c>
    </row>
    <row r="37" customHeight="1" spans="1:19">
      <c r="A37" s="10"/>
      <c r="B37" s="22"/>
      <c r="C37" s="21"/>
      <c r="D37" s="21"/>
      <c r="E37" s="146"/>
      <c r="F37" s="146"/>
      <c r="G37" s="220"/>
      <c r="H37" s="220"/>
      <c r="I37" s="146"/>
      <c r="J37" s="517"/>
      <c r="K37" s="146"/>
      <c r="L37" s="146"/>
      <c r="M37" s="146"/>
      <c r="N37" s="146"/>
      <c r="O37" s="146"/>
      <c r="P37" s="146"/>
      <c r="Q37" s="517"/>
      <c r="R37" s="146"/>
      <c r="S37" s="517"/>
    </row>
    <row r="38" customHeight="1" spans="1:19">
      <c r="A38" s="10"/>
      <c r="B38" s="20" t="s">
        <v>58</v>
      </c>
      <c r="C38" s="21"/>
      <c r="D38" s="21"/>
      <c r="E38" s="146"/>
      <c r="F38" s="146"/>
      <c r="G38" s="220"/>
      <c r="H38" s="220"/>
      <c r="I38" s="146"/>
      <c r="J38" s="517"/>
      <c r="K38" s="146"/>
      <c r="L38" s="146"/>
      <c r="M38" s="146"/>
      <c r="N38" s="146"/>
      <c r="O38" s="146"/>
      <c r="P38" s="146"/>
      <c r="Q38" s="517"/>
      <c r="R38" s="146"/>
      <c r="S38" s="517"/>
    </row>
    <row r="39" customHeight="1" spans="1:19">
      <c r="A39" s="10">
        <v>1</v>
      </c>
      <c r="B39" s="11" t="s">
        <v>59</v>
      </c>
      <c r="C39" s="4" t="s">
        <v>60</v>
      </c>
      <c r="D39" s="15" t="s">
        <v>47</v>
      </c>
      <c r="E39" s="85">
        <f>390248.916666667</f>
        <v>390248.916666667</v>
      </c>
      <c r="F39" s="85"/>
      <c r="G39" s="220"/>
      <c r="H39" s="220">
        <f>70000</f>
        <v>70000</v>
      </c>
      <c r="I39" s="85">
        <v>0</v>
      </c>
      <c r="J39" s="510">
        <f t="shared" ref="J39" si="21">SUM(E39:I39)</f>
        <v>460248.916666667</v>
      </c>
      <c r="K39" s="85"/>
      <c r="L39" s="85">
        <v>150000</v>
      </c>
      <c r="M39" s="85"/>
      <c r="N39" s="85"/>
      <c r="O39" s="675">
        <f>61040.2353066666</f>
        <v>61040.2353066666</v>
      </c>
      <c r="P39" s="85">
        <f>390248.916666667*0.08</f>
        <v>31219.9133333334</v>
      </c>
      <c r="Q39" s="510">
        <f>O39+N39+M39+L39+K39+P39</f>
        <v>242260.14864</v>
      </c>
      <c r="R39" s="85">
        <v>217988.768026667</v>
      </c>
      <c r="S39" s="510">
        <f>J39-Q39</f>
        <v>217988.768026667</v>
      </c>
    </row>
    <row r="40" customHeight="1" spans="1:19">
      <c r="A40" s="4"/>
      <c r="B40" s="20" t="s">
        <v>33</v>
      </c>
      <c r="C40" s="21">
        <v>1</v>
      </c>
      <c r="D40" s="26"/>
      <c r="E40" s="93">
        <f>SUM(E39:E39)</f>
        <v>390248.916666667</v>
      </c>
      <c r="F40" s="93">
        <f t="shared" ref="F40:Q40" si="22">SUM(F39:F39)</f>
        <v>0</v>
      </c>
      <c r="G40" s="93">
        <f t="shared" si="22"/>
        <v>0</v>
      </c>
      <c r="H40" s="93">
        <f t="shared" si="22"/>
        <v>70000</v>
      </c>
      <c r="I40" s="93">
        <f t="shared" si="22"/>
        <v>0</v>
      </c>
      <c r="J40" s="771">
        <f t="shared" si="22"/>
        <v>460248.916666667</v>
      </c>
      <c r="K40" s="93">
        <f t="shared" si="22"/>
        <v>0</v>
      </c>
      <c r="L40" s="93">
        <f t="shared" si="22"/>
        <v>150000</v>
      </c>
      <c r="M40" s="93">
        <f t="shared" si="22"/>
        <v>0</v>
      </c>
      <c r="N40" s="93">
        <f t="shared" si="22"/>
        <v>0</v>
      </c>
      <c r="O40" s="93">
        <f t="shared" si="22"/>
        <v>61040.2353066666</v>
      </c>
      <c r="P40" s="93">
        <f t="shared" si="22"/>
        <v>31219.9133333334</v>
      </c>
      <c r="Q40" s="771">
        <f t="shared" si="22"/>
        <v>242260.14864</v>
      </c>
      <c r="R40" s="93">
        <v>217988.768026667</v>
      </c>
      <c r="S40" s="771">
        <f>SUM(S39:S39)</f>
        <v>217988.768026667</v>
      </c>
    </row>
    <row r="41" customHeight="1" spans="1:19">
      <c r="A41" s="4"/>
      <c r="B41" s="20"/>
      <c r="C41" s="21"/>
      <c r="D41" s="4"/>
      <c r="E41" s="223"/>
      <c r="F41" s="223"/>
      <c r="G41" s="518"/>
      <c r="H41" s="518"/>
      <c r="I41" s="223"/>
      <c r="J41" s="523"/>
      <c r="K41" s="223"/>
      <c r="L41" s="223"/>
      <c r="M41" s="223"/>
      <c r="N41" s="223"/>
      <c r="O41" s="223"/>
      <c r="P41" s="223"/>
      <c r="Q41" s="523"/>
      <c r="R41" s="223"/>
      <c r="S41" s="523"/>
    </row>
    <row r="42" customHeight="1" spans="1:19">
      <c r="A42" s="10"/>
      <c r="B42" s="20" t="s">
        <v>61</v>
      </c>
      <c r="C42" s="21"/>
      <c r="D42" s="21"/>
      <c r="E42" s="146"/>
      <c r="F42" s="146"/>
      <c r="G42" s="220"/>
      <c r="H42" s="220"/>
      <c r="I42" s="146"/>
      <c r="J42" s="517"/>
      <c r="K42" s="146"/>
      <c r="L42" s="146"/>
      <c r="M42" s="146"/>
      <c r="N42" s="146"/>
      <c r="O42" s="146"/>
      <c r="P42" s="146"/>
      <c r="Q42" s="517"/>
      <c r="R42" s="146"/>
      <c r="S42" s="517"/>
    </row>
    <row r="43" ht="18.75" customHeight="1" spans="1:19">
      <c r="A43" s="10">
        <v>1</v>
      </c>
      <c r="B43" s="18" t="s">
        <v>62</v>
      </c>
      <c r="C43" s="4" t="s">
        <v>63</v>
      </c>
      <c r="D43" s="10" t="s">
        <v>24</v>
      </c>
      <c r="E43" s="85">
        <f>255849</f>
        <v>255849</v>
      </c>
      <c r="F43" s="85"/>
      <c r="G43" s="220">
        <f>100000</f>
        <v>100000</v>
      </c>
      <c r="H43" s="220"/>
      <c r="I43" s="85"/>
      <c r="J43" s="510">
        <f t="shared" ref="J43" si="23">E43+F43+G43+H43+I43</f>
        <v>355849</v>
      </c>
      <c r="K43" s="85"/>
      <c r="L43" s="85">
        <v>50000</v>
      </c>
      <c r="M43" s="85"/>
      <c r="N43" s="85"/>
      <c r="O43" s="85">
        <v>44015.51</v>
      </c>
      <c r="P43" s="85">
        <v>20467.92</v>
      </c>
      <c r="Q43" s="510">
        <f>O43+N43+M43+L43+K43+P43</f>
        <v>114483.43</v>
      </c>
      <c r="R43" s="85">
        <v>291365.57</v>
      </c>
      <c r="S43" s="510">
        <f t="shared" ref="S43:S45" si="24">J43-Q43</f>
        <v>241365.57</v>
      </c>
    </row>
    <row r="44" ht="18.75" customHeight="1" spans="1:19">
      <c r="A44" s="10">
        <v>2</v>
      </c>
      <c r="B44" s="18" t="s">
        <v>64</v>
      </c>
      <c r="C44" s="4" t="s">
        <v>63</v>
      </c>
      <c r="D44" s="10" t="s">
        <v>24</v>
      </c>
      <c r="E44" s="85">
        <f>255849</f>
        <v>255849</v>
      </c>
      <c r="F44" s="85"/>
      <c r="G44" s="220">
        <f>100000</f>
        <v>100000</v>
      </c>
      <c r="H44" s="220"/>
      <c r="I44" s="85"/>
      <c r="J44" s="510">
        <f t="shared" ref="J44" si="25">E44+F44+G44+H44+I44</f>
        <v>355849</v>
      </c>
      <c r="K44" s="85"/>
      <c r="L44" s="85"/>
      <c r="M44" s="85"/>
      <c r="N44" s="85"/>
      <c r="O44" s="85">
        <v>44015.51</v>
      </c>
      <c r="P44" s="85">
        <v>20467.92</v>
      </c>
      <c r="Q44" s="510">
        <f>O44+N44+M44+L44+K44+P44</f>
        <v>64483.43</v>
      </c>
      <c r="R44" s="85">
        <v>291365.57</v>
      </c>
      <c r="S44" s="510">
        <f t="shared" si="24"/>
        <v>291365.57</v>
      </c>
    </row>
    <row r="45" customHeight="1" spans="1:19">
      <c r="A45" s="10">
        <v>3</v>
      </c>
      <c r="B45" s="18" t="s">
        <v>65</v>
      </c>
      <c r="C45" s="12" t="s">
        <v>66</v>
      </c>
      <c r="D45" s="15" t="s">
        <v>30</v>
      </c>
      <c r="E45" s="85">
        <f>218287.583333333</f>
        <v>218287.583333333</v>
      </c>
      <c r="F45" s="85"/>
      <c r="G45" s="220">
        <f>100000</f>
        <v>100000</v>
      </c>
      <c r="H45" s="220"/>
      <c r="I45" s="85"/>
      <c r="J45" s="510">
        <f t="shared" ref="J45" si="26">SUM(E45:I45)</f>
        <v>318287.583333333</v>
      </c>
      <c r="K45" s="85"/>
      <c r="L45" s="675"/>
      <c r="M45" s="675"/>
      <c r="O45" s="675">
        <v>37705.19</v>
      </c>
      <c r="P45" s="676">
        <v>17463.0066666666</v>
      </c>
      <c r="Q45" s="510">
        <f>O45+N45+M45+L45+K45+P45</f>
        <v>55168.1966666666</v>
      </c>
      <c r="R45" s="85">
        <v>263119.386666666</v>
      </c>
      <c r="S45" s="510">
        <f t="shared" si="24"/>
        <v>263119.386666666</v>
      </c>
    </row>
    <row r="46" ht="24.75" customHeight="1" spans="1:19">
      <c r="A46" s="4"/>
      <c r="B46" s="20" t="s">
        <v>33</v>
      </c>
      <c r="C46" s="21">
        <v>3</v>
      </c>
      <c r="D46" s="26"/>
      <c r="E46" s="93">
        <f>SUM(E43:E45)</f>
        <v>729985.583333333</v>
      </c>
      <c r="F46" s="93">
        <f t="shared" ref="F46:Q46" si="27">SUM(F43:F45)</f>
        <v>0</v>
      </c>
      <c r="G46" s="93">
        <f t="shared" si="27"/>
        <v>300000</v>
      </c>
      <c r="H46" s="93">
        <f t="shared" si="27"/>
        <v>0</v>
      </c>
      <c r="I46" s="93">
        <f t="shared" si="27"/>
        <v>0</v>
      </c>
      <c r="J46" s="771">
        <f t="shared" si="27"/>
        <v>1029985.58333333</v>
      </c>
      <c r="K46" s="93">
        <f t="shared" si="27"/>
        <v>0</v>
      </c>
      <c r="L46" s="93">
        <f t="shared" si="27"/>
        <v>50000</v>
      </c>
      <c r="M46" s="93">
        <f t="shared" si="27"/>
        <v>0</v>
      </c>
      <c r="N46" s="93">
        <f t="shared" si="27"/>
        <v>0</v>
      </c>
      <c r="O46" s="93">
        <f t="shared" si="27"/>
        <v>125736.21</v>
      </c>
      <c r="P46" s="93">
        <f t="shared" si="27"/>
        <v>58398.8466666666</v>
      </c>
      <c r="Q46" s="771">
        <f t="shared" si="27"/>
        <v>234135.056666667</v>
      </c>
      <c r="R46" s="93">
        <v>845850.526666666</v>
      </c>
      <c r="S46" s="771">
        <f>SUM(S43:S45)</f>
        <v>795850.526666666</v>
      </c>
    </row>
    <row r="47" customHeight="1" spans="1:19">
      <c r="A47" s="4"/>
      <c r="B47" s="22"/>
      <c r="C47" s="10"/>
      <c r="D47" s="4"/>
      <c r="E47" s="224"/>
      <c r="F47" s="9"/>
      <c r="G47" s="220"/>
      <c r="H47" s="220"/>
      <c r="I47" s="224"/>
      <c r="J47" s="525"/>
      <c r="K47" s="224"/>
      <c r="L47" s="224"/>
      <c r="M47" s="224"/>
      <c r="N47" s="224"/>
      <c r="O47" s="224"/>
      <c r="P47" s="224"/>
      <c r="Q47" s="525"/>
      <c r="R47" s="224"/>
      <c r="S47" s="525"/>
    </row>
    <row r="48" customHeight="1" spans="1:19">
      <c r="A48" s="4"/>
      <c r="B48" s="20" t="s">
        <v>67</v>
      </c>
      <c r="C48" s="21"/>
      <c r="D48" s="21"/>
      <c r="E48" s="146"/>
      <c r="F48" s="146"/>
      <c r="G48" s="220"/>
      <c r="H48" s="220"/>
      <c r="I48" s="146"/>
      <c r="J48" s="517"/>
      <c r="K48" s="146"/>
      <c r="L48" s="146"/>
      <c r="M48" s="146"/>
      <c r="N48" s="146"/>
      <c r="O48" s="146"/>
      <c r="P48" s="146"/>
      <c r="Q48" s="510"/>
      <c r="R48" s="85"/>
      <c r="S48" s="510"/>
    </row>
    <row r="49" customHeight="1" spans="1:19">
      <c r="A49" s="4">
        <v>1</v>
      </c>
      <c r="B49" s="18" t="s">
        <v>68</v>
      </c>
      <c r="C49" s="12" t="s">
        <v>69</v>
      </c>
      <c r="D49" s="15" t="s">
        <v>37</v>
      </c>
      <c r="E49" s="85">
        <v>293029.666666667</v>
      </c>
      <c r="F49" s="85"/>
      <c r="G49" s="220"/>
      <c r="H49" s="220">
        <v>60000</v>
      </c>
      <c r="I49" s="85"/>
      <c r="J49" s="510">
        <f t="shared" ref="J49" si="28">SUM(E49:I49)</f>
        <v>353029.666666667</v>
      </c>
      <c r="K49" s="85"/>
      <c r="L49" s="675"/>
      <c r="M49" s="675"/>
      <c r="O49" s="675">
        <v>43541.87</v>
      </c>
      <c r="P49" s="676">
        <v>23442.3733333333</v>
      </c>
      <c r="Q49" s="510">
        <f>O49+N49+M49+L49+K49+P49</f>
        <v>66984.2433333333</v>
      </c>
      <c r="R49" s="85">
        <v>286045.423333334</v>
      </c>
      <c r="S49" s="510">
        <f t="shared" ref="S49" si="29">J49-Q49</f>
        <v>286045.423333334</v>
      </c>
    </row>
    <row r="50" ht="28.5" customHeight="1" spans="1:19">
      <c r="A50" s="4"/>
      <c r="B50" s="20" t="s">
        <v>33</v>
      </c>
      <c r="C50" s="26" t="s">
        <v>70</v>
      </c>
      <c r="D50" s="15"/>
      <c r="E50" s="93">
        <f>SUM(E49:E49)</f>
        <v>293029.666666667</v>
      </c>
      <c r="F50" s="93">
        <f t="shared" ref="F50:Q50" si="30">SUM(F49:F49)</f>
        <v>0</v>
      </c>
      <c r="G50" s="93">
        <f t="shared" si="30"/>
        <v>0</v>
      </c>
      <c r="H50" s="93">
        <f t="shared" si="30"/>
        <v>60000</v>
      </c>
      <c r="I50" s="93">
        <f t="shared" si="30"/>
        <v>0</v>
      </c>
      <c r="J50" s="771">
        <f t="shared" si="30"/>
        <v>353029.666666667</v>
      </c>
      <c r="K50" s="93">
        <f t="shared" si="30"/>
        <v>0</v>
      </c>
      <c r="L50" s="93">
        <f t="shared" si="30"/>
        <v>0</v>
      </c>
      <c r="M50" s="93">
        <f t="shared" si="30"/>
        <v>0</v>
      </c>
      <c r="N50" s="93">
        <f t="shared" si="30"/>
        <v>0</v>
      </c>
      <c r="O50" s="93">
        <f t="shared" si="30"/>
        <v>43541.87</v>
      </c>
      <c r="P50" s="93">
        <f t="shared" si="30"/>
        <v>23442.3733333333</v>
      </c>
      <c r="Q50" s="771">
        <f t="shared" si="30"/>
        <v>66984.2433333333</v>
      </c>
      <c r="R50" s="93">
        <v>286045.423333334</v>
      </c>
      <c r="S50" s="771">
        <f>SUM(S49:S49)</f>
        <v>286045.423333334</v>
      </c>
    </row>
    <row r="51" customHeight="1" spans="1:19">
      <c r="A51" s="4"/>
      <c r="B51" s="22"/>
      <c r="C51" s="26"/>
      <c r="D51" s="15"/>
      <c r="E51" s="146"/>
      <c r="F51" s="146"/>
      <c r="G51" s="220"/>
      <c r="H51" s="220"/>
      <c r="I51" s="146"/>
      <c r="J51" s="517"/>
      <c r="K51" s="146"/>
      <c r="L51" s="146"/>
      <c r="M51" s="146"/>
      <c r="N51" s="146"/>
      <c r="O51" s="146"/>
      <c r="P51" s="146"/>
      <c r="Q51" s="517"/>
      <c r="R51" s="146"/>
      <c r="S51" s="517"/>
    </row>
    <row r="52" customHeight="1" spans="1:19">
      <c r="A52" s="4"/>
      <c r="B52" s="20" t="s">
        <v>71</v>
      </c>
      <c r="C52" s="12"/>
      <c r="D52" s="15"/>
      <c r="E52" s="85"/>
      <c r="F52" s="85"/>
      <c r="G52" s="220"/>
      <c r="H52" s="220"/>
      <c r="I52" s="85"/>
      <c r="J52" s="510"/>
      <c r="K52" s="85"/>
      <c r="L52" s="85"/>
      <c r="M52" s="85"/>
      <c r="N52" s="85"/>
      <c r="O52" s="85"/>
      <c r="P52" s="85"/>
      <c r="Q52" s="510"/>
      <c r="R52" s="85"/>
      <c r="S52" s="510"/>
    </row>
    <row r="53" ht="18.75" customHeight="1" spans="1:19">
      <c r="A53" s="10">
        <v>1</v>
      </c>
      <c r="B53" s="18" t="s">
        <v>72</v>
      </c>
      <c r="C53" s="4" t="s">
        <v>73</v>
      </c>
      <c r="D53" s="10" t="s">
        <v>24</v>
      </c>
      <c r="E53" s="85">
        <v>255849</v>
      </c>
      <c r="F53" s="85"/>
      <c r="G53" s="220"/>
      <c r="H53" s="220">
        <f>60000</f>
        <v>60000</v>
      </c>
      <c r="I53" s="85"/>
      <c r="J53" s="510">
        <f t="shared" ref="J53" si="31">E53+F53+G53+H53+I53</f>
        <v>315849</v>
      </c>
      <c r="K53" s="85"/>
      <c r="L53" s="85"/>
      <c r="M53" s="85"/>
      <c r="N53" s="85"/>
      <c r="O53" s="85">
        <v>36790.6881066667</v>
      </c>
      <c r="P53" s="85">
        <v>20467.92</v>
      </c>
      <c r="Q53" s="510">
        <f>O53+N53+M53+L53+K53+P53</f>
        <v>57258.6081066667</v>
      </c>
      <c r="R53" s="85">
        <v>258590.391893333</v>
      </c>
      <c r="S53" s="510">
        <f t="shared" ref="S53:S55" si="32">J53-Q53</f>
        <v>258590.391893333</v>
      </c>
    </row>
    <row r="54" customHeight="1" spans="1:19">
      <c r="A54" s="10">
        <v>2</v>
      </c>
      <c r="B54" s="18" t="s">
        <v>74</v>
      </c>
      <c r="C54" s="12" t="s">
        <v>75</v>
      </c>
      <c r="D54" s="15" t="s">
        <v>30</v>
      </c>
      <c r="E54" s="85">
        <f>218287.583333333</f>
        <v>218287.583333333</v>
      </c>
      <c r="F54" s="85"/>
      <c r="G54" s="220"/>
      <c r="H54" s="220">
        <f>50000</f>
        <v>50000</v>
      </c>
      <c r="I54" s="85"/>
      <c r="J54" s="510">
        <f t="shared" ref="J54" si="33">SUM(E54:I54)</f>
        <v>268287.583333333</v>
      </c>
      <c r="K54" s="85"/>
      <c r="L54" s="675"/>
      <c r="M54" s="675"/>
      <c r="O54" s="675">
        <v>29305.1955466666</v>
      </c>
      <c r="P54" s="676">
        <v>17463.0066666666</v>
      </c>
      <c r="Q54" s="510">
        <f>O54+N54+M54+L54+K54+P54</f>
        <v>46768.2022133332</v>
      </c>
      <c r="R54" s="85">
        <v>221519.38112</v>
      </c>
      <c r="S54" s="510">
        <f t="shared" si="32"/>
        <v>221519.38112</v>
      </c>
    </row>
    <row r="55" customHeight="1" spans="1:19">
      <c r="A55" s="10">
        <v>3</v>
      </c>
      <c r="B55" s="18" t="s">
        <v>76</v>
      </c>
      <c r="C55" s="12" t="s">
        <v>77</v>
      </c>
      <c r="D55" s="15" t="s">
        <v>30</v>
      </c>
      <c r="E55" s="85">
        <v>218287.583333333</v>
      </c>
      <c r="F55" s="85"/>
      <c r="G55" s="220"/>
      <c r="H55" s="220">
        <v>50000</v>
      </c>
      <c r="I55" s="85"/>
      <c r="J55" s="510">
        <f t="shared" ref="J55" si="34">SUM(E55:I55)</f>
        <v>268287.583333333</v>
      </c>
      <c r="K55" s="85"/>
      <c r="L55" s="675"/>
      <c r="M55" s="675"/>
      <c r="O55" s="675">
        <v>29305.1955466666</v>
      </c>
      <c r="P55" s="676">
        <v>17463.0066666666</v>
      </c>
      <c r="Q55" s="510">
        <f>O55+N55+M55+L55+K55+P55</f>
        <v>46768.2022133332</v>
      </c>
      <c r="R55" s="85">
        <v>221519.38112</v>
      </c>
      <c r="S55" s="510">
        <f t="shared" si="32"/>
        <v>221519.38112</v>
      </c>
    </row>
    <row r="56" customHeight="1" spans="1:19">
      <c r="A56" s="10">
        <v>4</v>
      </c>
      <c r="B56" s="18" t="s">
        <v>78</v>
      </c>
      <c r="C56" s="12" t="s">
        <v>77</v>
      </c>
      <c r="D56" s="15" t="s">
        <v>30</v>
      </c>
      <c r="E56" s="85">
        <v>218287.583333333</v>
      </c>
      <c r="F56" s="85"/>
      <c r="G56" s="220"/>
      <c r="H56" s="220">
        <v>50000</v>
      </c>
      <c r="I56" s="85"/>
      <c r="J56" s="510">
        <f t="shared" ref="J56" si="35">SUM(E56:I56)</f>
        <v>268287.583333333</v>
      </c>
      <c r="K56" s="85"/>
      <c r="L56" s="675"/>
      <c r="M56" s="675"/>
      <c r="O56" s="675">
        <v>29305.1955466666</v>
      </c>
      <c r="P56" s="676">
        <v>17463.0066666666</v>
      </c>
      <c r="Q56" s="510">
        <f>O56+N56+M56+L56+K56+P56</f>
        <v>46768.2022133332</v>
      </c>
      <c r="R56" s="85">
        <v>221519.38112</v>
      </c>
      <c r="S56" s="510">
        <f t="shared" ref="S56" si="36">J56-Q56</f>
        <v>221519.38112</v>
      </c>
    </row>
    <row r="57" ht="30.75" customHeight="1" spans="1:19">
      <c r="A57" s="27"/>
      <c r="B57" s="8" t="s">
        <v>33</v>
      </c>
      <c r="C57" s="28" t="s">
        <v>79</v>
      </c>
      <c r="D57" s="29"/>
      <c r="E57" s="93">
        <f>SUM(E53:E56)</f>
        <v>910711.749999999</v>
      </c>
      <c r="F57" s="93">
        <f t="shared" ref="F57:Q57" si="37">SUM(F53:F56)</f>
        <v>0</v>
      </c>
      <c r="G57" s="93">
        <f t="shared" si="37"/>
        <v>0</v>
      </c>
      <c r="H57" s="93">
        <f t="shared" si="37"/>
        <v>210000</v>
      </c>
      <c r="I57" s="93">
        <f t="shared" si="37"/>
        <v>0</v>
      </c>
      <c r="J57" s="93">
        <f t="shared" si="37"/>
        <v>1120711.75</v>
      </c>
      <c r="K57" s="93">
        <f t="shared" si="37"/>
        <v>0</v>
      </c>
      <c r="L57" s="93">
        <f t="shared" si="37"/>
        <v>0</v>
      </c>
      <c r="M57" s="93">
        <f t="shared" si="37"/>
        <v>0</v>
      </c>
      <c r="N57" s="93">
        <f t="shared" si="37"/>
        <v>0</v>
      </c>
      <c r="O57" s="93">
        <f t="shared" si="37"/>
        <v>124706.274746666</v>
      </c>
      <c r="P57" s="93">
        <f t="shared" si="37"/>
        <v>72856.9399999998</v>
      </c>
      <c r="Q57" s="93">
        <f t="shared" si="37"/>
        <v>197563.214746666</v>
      </c>
      <c r="R57" s="93">
        <v>923148.535253333</v>
      </c>
      <c r="S57" s="93">
        <f>SUM(S53:S56)</f>
        <v>923148.535253333</v>
      </c>
    </row>
    <row r="58" ht="35.25" customHeight="1" spans="1:19">
      <c r="A58" s="4"/>
      <c r="B58" s="30" t="s">
        <v>80</v>
      </c>
      <c r="C58" s="31">
        <f>C57+C50+C46+C40+C36+C32+C27+C21+C16+C12</f>
        <v>22</v>
      </c>
      <c r="D58" s="32"/>
      <c r="E58" s="227">
        <f t="shared" ref="E58:Q58" si="38">E57+E50+E46+E40+E36+E32+E27+E21+E16+E12</f>
        <v>6563729.25</v>
      </c>
      <c r="F58" s="227">
        <f t="shared" si="38"/>
        <v>0</v>
      </c>
      <c r="G58" s="227">
        <f t="shared" si="38"/>
        <v>1190000</v>
      </c>
      <c r="H58" s="227">
        <f t="shared" si="38"/>
        <v>680000</v>
      </c>
      <c r="I58" s="227">
        <f t="shared" si="38"/>
        <v>0</v>
      </c>
      <c r="J58" s="227">
        <f t="shared" si="38"/>
        <v>8723553.55</v>
      </c>
      <c r="K58" s="227">
        <f t="shared" si="38"/>
        <v>0</v>
      </c>
      <c r="L58" s="227">
        <f t="shared" si="38"/>
        <v>792000</v>
      </c>
      <c r="M58" s="227">
        <f t="shared" si="38"/>
        <v>50000</v>
      </c>
      <c r="N58" s="227">
        <f t="shared" si="38"/>
        <v>0</v>
      </c>
      <c r="O58" s="227">
        <f t="shared" si="38"/>
        <v>1029577.73543914</v>
      </c>
      <c r="P58" s="227">
        <f t="shared" si="38"/>
        <v>525098.34</v>
      </c>
      <c r="Q58" s="227">
        <f t="shared" si="38"/>
        <v>2396676.07543914</v>
      </c>
      <c r="R58" s="227">
        <v>6261075.14112</v>
      </c>
      <c r="S58" s="227">
        <f>S57+S50+S46+S40+S36+S32+S27+S21+S16+S12</f>
        <v>6326877.47456086</v>
      </c>
    </row>
    <row r="59" ht="18.95" customHeight="1" spans="2:19">
      <c r="B59" s="33"/>
      <c r="D59" s="34"/>
      <c r="E59" s="34"/>
      <c r="F59" s="34"/>
      <c r="G59" s="228"/>
      <c r="H59" s="228"/>
      <c r="I59" s="228"/>
      <c r="J59" s="228"/>
      <c r="K59" s="228"/>
      <c r="L59" s="228"/>
      <c r="M59" s="228"/>
      <c r="N59" s="228"/>
      <c r="O59" s="229"/>
      <c r="P59" s="229"/>
      <c r="Q59" s="229"/>
      <c r="R59" s="229"/>
      <c r="S59" s="229"/>
    </row>
    <row r="60" ht="36.75" customHeight="1" spans="2:19">
      <c r="B60" s="33"/>
      <c r="C60" s="34"/>
      <c r="D60" s="34"/>
      <c r="E60" s="34"/>
      <c r="F60" s="34"/>
      <c r="G60" s="228"/>
      <c r="H60" s="228"/>
      <c r="J60" s="228" t="s">
        <v>81</v>
      </c>
      <c r="K60" s="228"/>
      <c r="L60" s="228"/>
      <c r="M60" s="228"/>
      <c r="N60" s="228"/>
      <c r="O60" s="229"/>
      <c r="P60" s="229"/>
      <c r="Q60" s="229"/>
      <c r="R60" s="229"/>
      <c r="S60" s="35"/>
    </row>
    <row r="61" customHeight="1" spans="17:19">
      <c r="Q61" s="35"/>
      <c r="S61" s="335"/>
    </row>
    <row r="62" customHeight="1" spans="19:19">
      <c r="S62" s="35"/>
    </row>
    <row r="63" customHeight="1" spans="10:10">
      <c r="J63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33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4"/>
  <sheetViews>
    <sheetView tabSelected="1" zoomScale="91" zoomScaleNormal="91" topLeftCell="A44" workbookViewId="0">
      <selection activeCell="I53" sqref="I53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5.4272727272727" customWidth="1"/>
    <col min="8" max="8" width="24.7090909090909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9" customHeight="1" spans="2:8">
      <c r="B1" s="747"/>
      <c r="C1" s="747"/>
      <c r="D1" s="747"/>
      <c r="E1" s="747"/>
      <c r="F1" s="747"/>
      <c r="G1" s="747"/>
      <c r="H1" s="747"/>
    </row>
    <row r="2" ht="29.25" customHeight="1" spans="1:8">
      <c r="A2" s="748" t="s">
        <v>0</v>
      </c>
      <c r="B2" s="748"/>
      <c r="C2" s="748"/>
      <c r="D2" s="748"/>
      <c r="E2" s="748"/>
      <c r="F2" s="748"/>
      <c r="G2" s="748"/>
      <c r="H2" s="748"/>
    </row>
    <row r="3" ht="27" customHeight="1" spans="1:8">
      <c r="A3" s="748" t="s">
        <v>82</v>
      </c>
      <c r="B3" s="748"/>
      <c r="C3" s="748"/>
      <c r="D3" s="748"/>
      <c r="E3" s="748"/>
      <c r="F3" s="748"/>
      <c r="G3" s="748"/>
      <c r="H3" s="748"/>
    </row>
    <row r="4" ht="15.6" hidden="1" customHeight="1" spans="1:8">
      <c r="A4" s="749" t="s">
        <v>83</v>
      </c>
      <c r="B4" s="749"/>
      <c r="C4" s="749"/>
      <c r="D4" s="749"/>
      <c r="E4" s="749"/>
      <c r="F4" s="749"/>
      <c r="G4" s="750"/>
      <c r="H4" s="750"/>
    </row>
    <row r="5" ht="9.6" hidden="1" customHeight="1" spans="1:8">
      <c r="A5" s="749" t="s">
        <v>84</v>
      </c>
      <c r="B5" s="749"/>
      <c r="C5" s="749"/>
      <c r="D5" s="749"/>
      <c r="E5" s="749"/>
      <c r="F5" s="749"/>
      <c r="G5" s="750"/>
      <c r="H5" s="750"/>
    </row>
    <row r="6" ht="29.25" hidden="1" customHeight="1" spans="1:8">
      <c r="A6" s="749" t="s">
        <v>85</v>
      </c>
      <c r="B6" s="749"/>
      <c r="C6" s="749"/>
      <c r="D6" s="749"/>
      <c r="E6" s="749"/>
      <c r="F6" s="749"/>
      <c r="G6" s="750"/>
      <c r="H6" s="750"/>
    </row>
    <row r="7" ht="25.15" hidden="1" customHeight="1" spans="1:8">
      <c r="A7" s="749" t="s">
        <v>86</v>
      </c>
      <c r="B7" s="749"/>
      <c r="C7" s="749"/>
      <c r="D7" s="749"/>
      <c r="E7" s="749"/>
      <c r="F7" s="750"/>
      <c r="G7" s="750"/>
      <c r="H7" s="750"/>
    </row>
    <row r="8" ht="24.75" hidden="1" customHeight="1" spans="1:8">
      <c r="A8" s="750"/>
      <c r="B8" s="750"/>
      <c r="C8" s="750"/>
      <c r="D8" s="750"/>
      <c r="E8" s="750"/>
      <c r="F8" s="750"/>
      <c r="G8" s="750"/>
      <c r="H8" s="750"/>
    </row>
    <row r="9" ht="24" hidden="1" customHeight="1" spans="1:8">
      <c r="A9" s="751" t="s">
        <v>87</v>
      </c>
      <c r="B9" s="751"/>
      <c r="C9" s="751"/>
      <c r="D9" s="751"/>
      <c r="E9" s="751"/>
      <c r="F9" s="751"/>
      <c r="G9" s="750"/>
      <c r="H9" s="750"/>
    </row>
    <row r="10" ht="13.15" hidden="1" customHeight="1" spans="1:8">
      <c r="A10" s="749" t="s">
        <v>88</v>
      </c>
      <c r="B10" s="749"/>
      <c r="C10" s="749"/>
      <c r="D10" s="749"/>
      <c r="E10" s="749"/>
      <c r="F10" s="749"/>
      <c r="G10" s="749"/>
      <c r="H10" s="749"/>
    </row>
    <row r="11" ht="18" hidden="1" customHeight="1" spans="1:8">
      <c r="A11" s="752"/>
      <c r="B11" s="750"/>
      <c r="C11" s="750"/>
      <c r="D11" s="750"/>
      <c r="E11" s="750"/>
      <c r="F11" s="750"/>
      <c r="G11" s="750"/>
      <c r="H11" s="750"/>
    </row>
    <row r="12" ht="18.75" hidden="1" customHeight="1" spans="1:8">
      <c r="A12" s="752"/>
      <c r="B12" s="750"/>
      <c r="C12" s="750"/>
      <c r="D12" s="750"/>
      <c r="E12" s="750"/>
      <c r="F12" s="750"/>
      <c r="G12" s="750"/>
      <c r="H12" s="750"/>
    </row>
    <row r="13" ht="19.5" customHeight="1" spans="1:8">
      <c r="A13" s="181" t="s">
        <v>89</v>
      </c>
      <c r="B13" s="181"/>
      <c r="C13" s="181" t="s">
        <v>90</v>
      </c>
      <c r="D13" s="181"/>
      <c r="E13" s="181"/>
      <c r="F13" s="753"/>
      <c r="G13" s="754"/>
      <c r="H13" s="750"/>
    </row>
    <row r="14" ht="20.25" customHeight="1" spans="1:8">
      <c r="A14" s="181" t="s">
        <v>91</v>
      </c>
      <c r="B14" s="753"/>
      <c r="C14" s="181" t="s">
        <v>92</v>
      </c>
      <c r="D14" s="181"/>
      <c r="E14" s="181"/>
      <c r="F14" s="181"/>
      <c r="G14" s="46"/>
      <c r="H14" s="750"/>
    </row>
    <row r="15" ht="21" customHeight="1" spans="1:8">
      <c r="A15" s="181" t="s">
        <v>93</v>
      </c>
      <c r="B15" s="181"/>
      <c r="C15" s="181" t="s">
        <v>94</v>
      </c>
      <c r="D15" s="181"/>
      <c r="E15" s="181"/>
      <c r="F15" s="181"/>
      <c r="G15" s="46"/>
      <c r="H15" s="750"/>
    </row>
    <row r="16" ht="21" customHeight="1" spans="1:8">
      <c r="A16" s="181" t="s">
        <v>95</v>
      </c>
      <c r="B16" s="181"/>
      <c r="C16" s="181" t="s">
        <v>96</v>
      </c>
      <c r="D16" s="181"/>
      <c r="E16" s="753"/>
      <c r="F16" s="753"/>
      <c r="G16" s="754"/>
      <c r="H16" s="750"/>
    </row>
    <row r="17" ht="14.25" customHeight="1" spans="1:8">
      <c r="A17" s="46"/>
      <c r="B17" s="46"/>
      <c r="C17" s="46"/>
      <c r="D17" s="46"/>
      <c r="E17" s="754"/>
      <c r="F17" s="754"/>
      <c r="G17" s="754"/>
      <c r="H17" s="750"/>
    </row>
    <row r="18" ht="24" customHeight="1" spans="1:8">
      <c r="A18" s="258" t="s">
        <v>97</v>
      </c>
      <c r="B18" s="258"/>
      <c r="C18" s="755"/>
      <c r="D18" s="755"/>
      <c r="E18" s="755"/>
      <c r="F18" s="755"/>
      <c r="G18" s="754"/>
      <c r="H18" s="750"/>
    </row>
    <row r="19" ht="30.75" customHeight="1" spans="1:8">
      <c r="A19" s="46" t="s">
        <v>98</v>
      </c>
      <c r="B19" s="46"/>
      <c r="C19" s="754"/>
      <c r="D19" s="754"/>
      <c r="E19" s="754"/>
      <c r="F19" s="754"/>
      <c r="G19" s="628" t="s">
        <v>99</v>
      </c>
      <c r="H19" s="628" t="s">
        <v>99</v>
      </c>
    </row>
    <row r="20" ht="21" customHeight="1" spans="1:10">
      <c r="A20" s="756" t="s">
        <v>100</v>
      </c>
      <c r="B20" s="756"/>
      <c r="C20" s="756"/>
      <c r="D20" s="756"/>
      <c r="E20" s="756"/>
      <c r="F20" s="756"/>
      <c r="G20" s="756"/>
      <c r="H20" s="757">
        <f>'MARCH 2025 NEW'!J58</f>
        <v>8723553.55</v>
      </c>
      <c r="J20" s="409"/>
    </row>
    <row r="21" ht="6.75" customHeight="1" spans="1:10">
      <c r="A21" s="756"/>
      <c r="B21" s="756"/>
      <c r="C21" s="756"/>
      <c r="D21" s="756"/>
      <c r="E21" s="756"/>
      <c r="F21" s="756"/>
      <c r="G21" s="756"/>
      <c r="H21" s="757"/>
      <c r="J21" s="409"/>
    </row>
    <row r="22" ht="21.75" customHeight="1" spans="1:9">
      <c r="A22" s="106" t="s">
        <v>101</v>
      </c>
      <c r="B22" s="106"/>
      <c r="C22" s="106"/>
      <c r="D22" s="106"/>
      <c r="E22" s="106"/>
      <c r="F22" s="106"/>
      <c r="G22" s="758"/>
      <c r="H22" s="46"/>
      <c r="I22" s="409"/>
    </row>
    <row r="23" ht="18.75" customHeight="1" spans="1:10">
      <c r="A23" s="759" t="s">
        <v>102</v>
      </c>
      <c r="B23" s="759"/>
      <c r="C23" s="759"/>
      <c r="D23" s="759"/>
      <c r="E23" s="759"/>
      <c r="F23" s="759"/>
      <c r="G23" s="156">
        <f>'MARCH 2025 NEW'!L58</f>
        <v>792000</v>
      </c>
      <c r="H23" s="46"/>
      <c r="J23" s="409"/>
    </row>
    <row r="24" ht="19.5" customHeight="1" spans="1:8">
      <c r="A24" s="759" t="s">
        <v>103</v>
      </c>
      <c r="B24" s="759"/>
      <c r="C24" s="759"/>
      <c r="D24" s="759"/>
      <c r="E24" s="759"/>
      <c r="F24" s="759"/>
      <c r="G24" s="156">
        <f>'MARCH 2025 NEW'!M58</f>
        <v>50000</v>
      </c>
      <c r="H24" s="46"/>
    </row>
    <row r="25" ht="20.25" customHeight="1" spans="1:8">
      <c r="A25" s="760" t="s">
        <v>104</v>
      </c>
      <c r="B25" s="760"/>
      <c r="C25" s="760"/>
      <c r="D25" s="760"/>
      <c r="E25" s="760"/>
      <c r="F25" s="760"/>
      <c r="G25" s="156">
        <f>'MARCH 2025 NEW'!N58</f>
        <v>0</v>
      </c>
      <c r="H25" s="46"/>
    </row>
    <row r="26" ht="20.25" customHeight="1" spans="1:8">
      <c r="A26" s="759" t="s">
        <v>105</v>
      </c>
      <c r="B26" s="759"/>
      <c r="C26" s="759"/>
      <c r="D26" s="759"/>
      <c r="E26" s="759"/>
      <c r="F26" s="759"/>
      <c r="G26" s="156">
        <f>'MARCH 2025 NEW'!O58</f>
        <v>1029577.73543914</v>
      </c>
      <c r="H26" s="46"/>
    </row>
    <row r="27" ht="21" customHeight="1" spans="1:8">
      <c r="A27" s="759" t="s">
        <v>106</v>
      </c>
      <c r="B27" s="759"/>
      <c r="C27" s="759"/>
      <c r="D27" s="759"/>
      <c r="E27" s="759"/>
      <c r="F27" s="759"/>
      <c r="G27" s="761">
        <f>'MARCH 2025 NEW'!P58</f>
        <v>525098.34</v>
      </c>
      <c r="H27" s="46"/>
    </row>
    <row r="28" ht="28.5" customHeight="1" spans="1:9">
      <c r="A28" s="759" t="s">
        <v>107</v>
      </c>
      <c r="B28" s="759"/>
      <c r="C28" s="759"/>
      <c r="D28" s="759"/>
      <c r="E28" s="759"/>
      <c r="F28" s="759"/>
      <c r="G28" s="156"/>
      <c r="H28" s="762">
        <f>'MARCH 2025 NEW'!Q58</f>
        <v>2396676.07543914</v>
      </c>
      <c r="I28" s="411"/>
    </row>
    <row r="29" ht="20.25" customHeight="1" spans="1:9">
      <c r="A29" s="759" t="s">
        <v>108</v>
      </c>
      <c r="B29" s="759"/>
      <c r="C29" s="759"/>
      <c r="D29" s="759"/>
      <c r="E29" s="759"/>
      <c r="F29" s="759"/>
      <c r="G29" s="258"/>
      <c r="H29" s="150">
        <f>H20-H28</f>
        <v>6326877.47456086</v>
      </c>
      <c r="I29" s="213"/>
    </row>
    <row r="30" ht="21" customHeight="1" spans="1:8">
      <c r="A30" s="759" t="s">
        <v>109</v>
      </c>
      <c r="B30" s="759"/>
      <c r="C30" s="759"/>
      <c r="D30" s="759"/>
      <c r="E30" s="759"/>
      <c r="F30" s="759"/>
      <c r="G30" s="258"/>
      <c r="H30" s="763">
        <f>'MARCH 2025 NEW'!R58</f>
        <v>6261075.14112</v>
      </c>
    </row>
    <row r="31" ht="21" customHeight="1" spans="1:8">
      <c r="A31" s="759" t="s">
        <v>110</v>
      </c>
      <c r="B31" s="759"/>
      <c r="C31" s="759"/>
      <c r="D31" s="759"/>
      <c r="E31" s="759"/>
      <c r="F31" s="759"/>
      <c r="G31" s="258"/>
      <c r="H31" s="764">
        <f>H29-H30</f>
        <v>65802.3334408607</v>
      </c>
    </row>
    <row r="32" ht="14.1" customHeight="1" spans="1:8">
      <c r="A32" s="759"/>
      <c r="B32" s="759"/>
      <c r="C32" s="759"/>
      <c r="D32" s="759"/>
      <c r="E32" s="759"/>
      <c r="F32" s="759"/>
      <c r="G32" s="258"/>
      <c r="H32" s="765"/>
    </row>
    <row r="33" ht="21" customHeight="1" spans="1:8">
      <c r="A33" s="756" t="s">
        <v>111</v>
      </c>
      <c r="B33" s="756"/>
      <c r="C33" s="756"/>
      <c r="D33" s="756"/>
      <c r="E33" s="756"/>
      <c r="F33" s="756"/>
      <c r="G33" s="756"/>
      <c r="H33" s="46"/>
    </row>
    <row r="34" ht="21" customHeight="1" spans="1:8">
      <c r="A34" s="759" t="s">
        <v>112</v>
      </c>
      <c r="B34" s="759"/>
      <c r="C34" s="759"/>
      <c r="D34" s="759"/>
      <c r="E34" s="759"/>
      <c r="F34" s="759"/>
      <c r="G34" s="759"/>
      <c r="H34" s="766">
        <f>394000</f>
        <v>394000</v>
      </c>
    </row>
    <row r="35" ht="21" customHeight="1" spans="1:8">
      <c r="A35" s="759" t="s">
        <v>113</v>
      </c>
      <c r="B35" s="759"/>
      <c r="C35" s="759"/>
      <c r="D35" s="759"/>
      <c r="E35" s="759"/>
      <c r="F35" s="759"/>
      <c r="G35" s="759"/>
      <c r="H35" s="766">
        <v>-459802.33</v>
      </c>
    </row>
    <row r="36" ht="23.1" customHeight="1" spans="8:9">
      <c r="H36" s="767">
        <f>SUM(H34:H35)</f>
        <v>-65802.33</v>
      </c>
      <c r="I36" s="411"/>
    </row>
    <row r="37" ht="11.45" customHeight="1" spans="1:8">
      <c r="A37" s="759"/>
      <c r="B37" s="759"/>
      <c r="C37" s="759"/>
      <c r="D37" s="759"/>
      <c r="E37" s="759"/>
      <c r="F37" s="759"/>
      <c r="G37" s="258"/>
      <c r="H37" s="765"/>
    </row>
    <row r="38" ht="11.1" customHeight="1" spans="1:8">
      <c r="A38" s="759"/>
      <c r="B38" s="759"/>
      <c r="C38" s="759"/>
      <c r="D38" s="759"/>
      <c r="E38" s="759"/>
      <c r="F38" s="759"/>
      <c r="G38" s="258"/>
      <c r="H38" s="765"/>
    </row>
    <row r="39" ht="9.6" customHeight="1" spans="1:17">
      <c r="A39" s="759"/>
      <c r="B39" s="759"/>
      <c r="C39" s="759"/>
      <c r="D39" s="759"/>
      <c r="E39" s="759"/>
      <c r="F39" s="759"/>
      <c r="G39" s="759"/>
      <c r="H39" s="765"/>
      <c r="I39" s="411"/>
      <c r="J39" s="407"/>
      <c r="K39" s="409"/>
      <c r="L39" s="407"/>
      <c r="M39" s="407"/>
      <c r="N39" s="409"/>
      <c r="P39" s="770"/>
      <c r="Q39" s="409"/>
    </row>
    <row r="40" ht="28.5" customHeight="1" spans="1:11">
      <c r="A40" s="46"/>
      <c r="B40" s="46"/>
      <c r="C40" s="46"/>
      <c r="D40" s="46"/>
      <c r="E40" s="68" t="s">
        <v>17</v>
      </c>
      <c r="F40" s="68"/>
      <c r="G40" s="68" t="s">
        <v>18</v>
      </c>
      <c r="H40" s="68"/>
      <c r="I40" s="411"/>
      <c r="J40" s="411"/>
      <c r="K40" s="409"/>
    </row>
    <row r="41" ht="18.6" customHeight="1" spans="1:10">
      <c r="A41" s="46"/>
      <c r="B41" s="46"/>
      <c r="C41" s="46"/>
      <c r="D41" s="46"/>
      <c r="E41" s="68" t="s">
        <v>114</v>
      </c>
      <c r="F41" s="114" t="s">
        <v>19</v>
      </c>
      <c r="G41" s="68" t="s">
        <v>114</v>
      </c>
      <c r="H41" s="114" t="s">
        <v>19</v>
      </c>
      <c r="I41" s="411"/>
      <c r="J41" s="411"/>
    </row>
    <row r="42" ht="28.5" customHeight="1" spans="1:10">
      <c r="A42" s="50">
        <v>1</v>
      </c>
      <c r="B42" s="171" t="s">
        <v>115</v>
      </c>
      <c r="C42" s="759"/>
      <c r="D42" s="759"/>
      <c r="E42" s="49">
        <v>6</v>
      </c>
      <c r="F42" s="51">
        <f>'MARCH 2025 NEW'!R12</f>
        <v>1114809.93792</v>
      </c>
      <c r="G42" s="49">
        <f>'MARCH 2025 NEW'!C12</f>
        <v>5</v>
      </c>
      <c r="H42" s="51">
        <f>'MARCH 2025 NEW'!S12</f>
        <v>1118809.93792</v>
      </c>
      <c r="I42" s="411"/>
      <c r="J42" s="411"/>
    </row>
    <row r="43" ht="21.75" customHeight="1" spans="1:10">
      <c r="A43" s="50">
        <v>2</v>
      </c>
      <c r="B43" s="171" t="s">
        <v>116</v>
      </c>
      <c r="C43" s="759"/>
      <c r="D43" s="759"/>
      <c r="E43" s="49">
        <v>1</v>
      </c>
      <c r="F43" s="51">
        <f>'MARCH 2025 NEW'!R16</f>
        <v>186045.423333334</v>
      </c>
      <c r="G43" s="49">
        <f>'MARCH 2025 NEW'!C16</f>
        <v>1</v>
      </c>
      <c r="H43" s="51">
        <f>'MARCH 2025 NEW'!S16</f>
        <v>186045.423333334</v>
      </c>
      <c r="I43" s="411"/>
      <c r="J43" s="411"/>
    </row>
    <row r="44" ht="24.75" customHeight="1" spans="1:10">
      <c r="A44" s="50">
        <v>3</v>
      </c>
      <c r="B44" s="759" t="s">
        <v>117</v>
      </c>
      <c r="C44" s="759"/>
      <c r="D44" s="759"/>
      <c r="E44" s="49">
        <v>2</v>
      </c>
      <c r="F44" s="51">
        <f>'MARCH 2025 NEW'!R21</f>
        <v>691812.208666667</v>
      </c>
      <c r="G44" s="49">
        <f>'MARCH 2025 NEW'!C21</f>
        <v>2</v>
      </c>
      <c r="H44" s="51">
        <f>'MARCH 2025 NEW'!S21</f>
        <v>691812.208666667</v>
      </c>
      <c r="I44" s="411"/>
      <c r="J44" s="411"/>
    </row>
    <row r="45" ht="23.25" customHeight="1" spans="1:10">
      <c r="A45" s="50">
        <v>4</v>
      </c>
      <c r="B45" s="759" t="s">
        <v>118</v>
      </c>
      <c r="C45" s="759"/>
      <c r="D45" s="768"/>
      <c r="E45" s="49">
        <v>0</v>
      </c>
      <c r="F45" s="51">
        <v>0</v>
      </c>
      <c r="G45" s="49">
        <v>0</v>
      </c>
      <c r="H45" s="51">
        <v>0</v>
      </c>
      <c r="I45" s="411"/>
      <c r="J45" s="411"/>
    </row>
    <row r="46" ht="24" customHeight="1" spans="1:10">
      <c r="A46" s="50">
        <v>5</v>
      </c>
      <c r="B46" s="759" t="s">
        <v>119</v>
      </c>
      <c r="C46" s="759"/>
      <c r="D46" s="768"/>
      <c r="E46" s="49">
        <v>1</v>
      </c>
      <c r="F46" s="51">
        <f>'MARCH 2025 NEW'!R27</f>
        <v>992865.777893334</v>
      </c>
      <c r="G46" s="49">
        <f>'MARCH 2025 NEW'!C27</f>
        <v>2</v>
      </c>
      <c r="H46" s="51">
        <f>'MARCH 2025 NEW'!S27</f>
        <v>1102668.11133419</v>
      </c>
      <c r="I46" s="411"/>
      <c r="J46" s="411"/>
    </row>
    <row r="47" ht="21" customHeight="1" spans="1:10">
      <c r="A47" s="50">
        <v>6</v>
      </c>
      <c r="B47" s="759" t="s">
        <v>120</v>
      </c>
      <c r="C47" s="759"/>
      <c r="D47" s="768"/>
      <c r="E47" s="49">
        <v>2</v>
      </c>
      <c r="F47" s="51">
        <f>'MARCH 2025 NEW'!R32</f>
        <v>671508.154693333</v>
      </c>
      <c r="G47" s="49">
        <f>'MARCH 2025 NEW'!C32</f>
        <v>2</v>
      </c>
      <c r="H47" s="51">
        <f>'MARCH 2025 NEW'!S32</f>
        <v>671508.154693333</v>
      </c>
      <c r="I47" s="411"/>
      <c r="J47" s="411"/>
    </row>
    <row r="48" ht="23.25" customHeight="1" spans="1:10">
      <c r="A48" s="50">
        <v>7</v>
      </c>
      <c r="B48" s="759" t="s">
        <v>121</v>
      </c>
      <c r="C48" s="759"/>
      <c r="D48" s="759"/>
      <c r="E48" s="49">
        <v>1</v>
      </c>
      <c r="F48" s="51">
        <f>'MARCH 2025 NEW'!R36</f>
        <v>331000.385333333</v>
      </c>
      <c r="G48" s="49">
        <f>'MARCH 2025 NEW'!C36</f>
        <v>1</v>
      </c>
      <c r="H48" s="51">
        <f>'MARCH 2025 NEW'!S36</f>
        <v>333000.385333333</v>
      </c>
      <c r="I48" s="411"/>
      <c r="J48" s="411"/>
    </row>
    <row r="49" ht="25.5" customHeight="1" spans="1:10">
      <c r="A49" s="50">
        <v>8</v>
      </c>
      <c r="B49" s="759" t="s">
        <v>122</v>
      </c>
      <c r="C49" s="759"/>
      <c r="D49" s="759"/>
      <c r="E49" s="49">
        <v>1</v>
      </c>
      <c r="F49" s="51">
        <f>'MARCH 2025 NEW'!R40</f>
        <v>217988.768026667</v>
      </c>
      <c r="G49" s="49">
        <f>'MARCH 2025 NEW'!C40</f>
        <v>1</v>
      </c>
      <c r="H49" s="51">
        <f>'MARCH 2025 NEW'!S40</f>
        <v>217988.768026667</v>
      </c>
      <c r="I49" s="411"/>
      <c r="J49" s="411"/>
    </row>
    <row r="50" ht="21.75" customHeight="1" spans="1:10">
      <c r="A50" s="50">
        <v>9</v>
      </c>
      <c r="B50" s="759" t="s">
        <v>123</v>
      </c>
      <c r="C50" s="759"/>
      <c r="D50" s="759"/>
      <c r="E50" s="49">
        <v>0</v>
      </c>
      <c r="F50" s="51">
        <v>0</v>
      </c>
      <c r="G50" s="49">
        <v>0</v>
      </c>
      <c r="H50" s="51">
        <v>0</v>
      </c>
      <c r="I50" s="411"/>
      <c r="J50" s="411"/>
    </row>
    <row r="51" ht="21.75" customHeight="1" spans="1:10">
      <c r="A51" s="50">
        <v>10</v>
      </c>
      <c r="B51" s="759" t="s">
        <v>124</v>
      </c>
      <c r="C51" s="759"/>
      <c r="D51" s="759"/>
      <c r="E51" s="49">
        <v>4</v>
      </c>
      <c r="F51" s="51">
        <f>'MARCH 2025 NEW'!R46</f>
        <v>845850.526666666</v>
      </c>
      <c r="G51" s="49">
        <f>'MARCH 2025 NEW'!C46</f>
        <v>3</v>
      </c>
      <c r="H51" s="51">
        <f>'MARCH 2025 NEW'!S46</f>
        <v>795850.526666666</v>
      </c>
      <c r="I51" s="411"/>
      <c r="J51" s="411"/>
    </row>
    <row r="52" ht="24.75" customHeight="1" spans="1:10">
      <c r="A52" s="50">
        <v>11</v>
      </c>
      <c r="B52" s="759" t="s">
        <v>125</v>
      </c>
      <c r="C52" s="759"/>
      <c r="D52" s="759"/>
      <c r="E52" s="49">
        <v>1</v>
      </c>
      <c r="F52" s="51">
        <f>'MARCH 2025 NEW'!R50</f>
        <v>286045.423333334</v>
      </c>
      <c r="G52" s="769" t="str">
        <f>'MARCH 2025 NEW'!C50</f>
        <v>1</v>
      </c>
      <c r="H52" s="51">
        <f>'MARCH 2025 NEW'!S50</f>
        <v>286045.423333334</v>
      </c>
      <c r="I52" s="411"/>
      <c r="J52" s="411"/>
    </row>
    <row r="53" ht="24.75" customHeight="1" spans="1:10">
      <c r="A53" s="50">
        <v>12</v>
      </c>
      <c r="B53" s="759" t="s">
        <v>126</v>
      </c>
      <c r="C53" s="759"/>
      <c r="D53" s="759"/>
      <c r="E53" s="49">
        <v>3</v>
      </c>
      <c r="F53" s="51">
        <f>'MARCH 2025 NEW'!R57</f>
        <v>923148.535253333</v>
      </c>
      <c r="G53" s="769" t="str">
        <f>'MARCH 2025 NEW'!C57</f>
        <v>4</v>
      </c>
      <c r="H53" s="51">
        <f>'MARCH 2025 NEW'!S57</f>
        <v>923148.535253333</v>
      </c>
      <c r="I53" s="411"/>
      <c r="J53" s="411"/>
    </row>
    <row r="54" ht="24" customHeight="1" spans="1:10">
      <c r="A54" s="46"/>
      <c r="B54" s="46"/>
      <c r="C54" s="46"/>
      <c r="D54" s="46"/>
      <c r="E54" s="68">
        <f>SUM(E42:E53)</f>
        <v>22</v>
      </c>
      <c r="F54" s="56">
        <f>SUM(F42:F53)</f>
        <v>6261075.14112</v>
      </c>
      <c r="G54" s="68">
        <v>22</v>
      </c>
      <c r="H54" s="56">
        <f>SUM(H42:H53)</f>
        <v>6326877.47456086</v>
      </c>
      <c r="I54" s="411"/>
      <c r="J54" s="411"/>
    </row>
    <row r="55" ht="0.75" customHeight="1" spans="1:10">
      <c r="A55" s="46"/>
      <c r="B55" s="46"/>
      <c r="C55" s="46"/>
      <c r="D55" s="46"/>
      <c r="E55" s="41"/>
      <c r="F55" s="757"/>
      <c r="G55" s="41"/>
      <c r="H55" s="757"/>
      <c r="I55" s="411"/>
      <c r="J55" s="411"/>
    </row>
    <row r="56" ht="56.45" customHeight="1" spans="1:14">
      <c r="A56" s="760" t="s">
        <v>127</v>
      </c>
      <c r="B56" s="760"/>
      <c r="C56" s="760"/>
      <c r="D56" s="760"/>
      <c r="E56" s="760"/>
      <c r="F56" s="760"/>
      <c r="G56" s="760"/>
      <c r="H56" s="760"/>
      <c r="I56" s="46"/>
      <c r="J56" s="156"/>
      <c r="K56" s="156"/>
      <c r="L56" s="46"/>
      <c r="M56" s="46"/>
      <c r="N56" s="46"/>
    </row>
    <row r="57" ht="4.5" customHeight="1" spans="1:14">
      <c r="A57" s="760"/>
      <c r="B57" s="760"/>
      <c r="C57" s="760"/>
      <c r="D57" s="760"/>
      <c r="E57" s="760"/>
      <c r="F57" s="760"/>
      <c r="G57" s="760"/>
      <c r="H57" s="760"/>
      <c r="I57" s="46"/>
      <c r="J57" s="46"/>
      <c r="K57" s="46"/>
      <c r="L57" s="46"/>
      <c r="M57" s="46"/>
      <c r="N57" s="46"/>
    </row>
    <row r="58" ht="2.25" hidden="1" customHeight="1" spans="1:14">
      <c r="A58" s="760"/>
      <c r="B58" s="760"/>
      <c r="C58" s="760"/>
      <c r="D58" s="760"/>
      <c r="E58" s="760"/>
      <c r="F58" s="760"/>
      <c r="G58" s="760"/>
      <c r="H58" s="760"/>
      <c r="I58" s="46"/>
      <c r="J58" s="46"/>
      <c r="K58" s="46"/>
      <c r="L58" s="46"/>
      <c r="M58" s="46"/>
      <c r="N58" s="46"/>
    </row>
    <row r="59" ht="49.5" customHeight="1" spans="6:8">
      <c r="F59" s="46"/>
      <c r="G59" s="46"/>
      <c r="H59" s="46"/>
    </row>
    <row r="60" ht="17.25" customHeight="1" spans="1:11">
      <c r="A60" s="756" t="s">
        <v>128</v>
      </c>
      <c r="B60" s="756"/>
      <c r="C60" s="756"/>
      <c r="D60" s="756"/>
      <c r="E60" s="756"/>
      <c r="F60" s="46"/>
      <c r="G60" s="46"/>
      <c r="H60" s="46"/>
      <c r="I60" s="213"/>
      <c r="K60" s="407"/>
    </row>
    <row r="61" ht="13" spans="1:11">
      <c r="A61" s="263"/>
      <c r="B61" s="263"/>
      <c r="C61" s="263"/>
      <c r="D61" s="263" t="s">
        <v>129</v>
      </c>
      <c r="E61" s="263"/>
      <c r="F61" s="263"/>
      <c r="G61" s="263"/>
      <c r="H61" s="263"/>
      <c r="I61" s="213"/>
      <c r="K61" s="407"/>
    </row>
    <row r="62" spans="11:11">
      <c r="K62" s="407"/>
    </row>
    <row r="63" spans="11:11">
      <c r="K63" s="407"/>
    </row>
    <row r="66" spans="3:3">
      <c r="C66" t="s">
        <v>130</v>
      </c>
    </row>
    <row r="164" spans="3:3">
      <c r="C164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3:G33"/>
    <mergeCell ref="E40:F40"/>
    <mergeCell ref="G40:H40"/>
    <mergeCell ref="B42:D42"/>
    <mergeCell ref="B44:D44"/>
    <mergeCell ref="B45:D45"/>
    <mergeCell ref="B46:D46"/>
    <mergeCell ref="B47:D47"/>
    <mergeCell ref="B53:D53"/>
    <mergeCell ref="A56:H56"/>
    <mergeCell ref="A60:E60"/>
  </mergeCells>
  <pageMargins left="0.45" right="0" top="0" bottom="0" header="0" footer="0"/>
  <pageSetup paperSize="9" scale="6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G5" sqref="G5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131</v>
      </c>
      <c r="B2" s="257"/>
      <c r="C2" s="236"/>
      <c r="D2" s="236"/>
      <c r="E2" s="78"/>
    </row>
    <row r="3" ht="9.75" customHeight="1"/>
    <row r="4" ht="49.5" customHeight="1" spans="1:5">
      <c r="A4" s="520"/>
      <c r="B4" s="744" t="s">
        <v>2</v>
      </c>
      <c r="C4" s="745" t="s">
        <v>3</v>
      </c>
      <c r="D4" s="746" t="s">
        <v>4</v>
      </c>
      <c r="E4" s="724" t="s">
        <v>132</v>
      </c>
    </row>
    <row r="5" ht="17.25" customHeight="1" spans="3:5">
      <c r="C5" s="8"/>
      <c r="D5" s="8"/>
      <c r="E5" s="726" t="s">
        <v>19</v>
      </c>
    </row>
    <row r="6" customHeight="1" spans="1:5">
      <c r="A6" s="9" t="s">
        <v>20</v>
      </c>
      <c r="B6" s="8" t="s">
        <v>21</v>
      </c>
      <c r="C6" s="8"/>
      <c r="D6" s="8"/>
      <c r="E6" s="726"/>
    </row>
    <row r="7" ht="18.75" customHeight="1" spans="1:5">
      <c r="A7" s="10">
        <v>1</v>
      </c>
      <c r="B7" s="18" t="s">
        <v>22</v>
      </c>
      <c r="C7" s="4" t="s">
        <v>23</v>
      </c>
      <c r="D7" s="10" t="s">
        <v>24</v>
      </c>
      <c r="E7" s="729">
        <v>54000</v>
      </c>
    </row>
    <row r="8" ht="18.75" customHeight="1" spans="1:5">
      <c r="A8" s="10">
        <v>2</v>
      </c>
      <c r="B8" s="18" t="s">
        <v>25</v>
      </c>
      <c r="C8" s="4" t="s">
        <v>23</v>
      </c>
      <c r="D8" s="10" t="s">
        <v>24</v>
      </c>
      <c r="E8" s="729">
        <v>54000</v>
      </c>
    </row>
    <row r="9" ht="18.75" customHeight="1" spans="1:5">
      <c r="A9" s="10">
        <v>3</v>
      </c>
      <c r="B9" s="18" t="s">
        <v>26</v>
      </c>
      <c r="C9" s="4" t="s">
        <v>27</v>
      </c>
      <c r="D9" s="10" t="s">
        <v>24</v>
      </c>
      <c r="E9" s="729">
        <v>54000</v>
      </c>
    </row>
    <row r="10" customHeight="1" spans="1:5">
      <c r="A10" s="10">
        <v>4</v>
      </c>
      <c r="B10" s="18" t="s">
        <v>28</v>
      </c>
      <c r="C10" s="12" t="s">
        <v>29</v>
      </c>
      <c r="D10" s="15" t="s">
        <v>30</v>
      </c>
      <c r="E10" s="729">
        <v>54000</v>
      </c>
    </row>
    <row r="11" customHeight="1" spans="1:5">
      <c r="A11" s="10">
        <v>5</v>
      </c>
      <c r="B11" s="18" t="s">
        <v>31</v>
      </c>
      <c r="C11" s="12" t="s">
        <v>32</v>
      </c>
      <c r="D11" s="15" t="s">
        <v>30</v>
      </c>
      <c r="E11" s="729">
        <v>54000</v>
      </c>
    </row>
    <row r="12" ht="26.25" customHeight="1" spans="1:5">
      <c r="A12" s="10"/>
      <c r="B12" s="20" t="s">
        <v>33</v>
      </c>
      <c r="C12" s="21">
        <v>5</v>
      </c>
      <c r="D12" s="15"/>
      <c r="E12" s="731">
        <f>SUM(E7:E11)</f>
        <v>270000</v>
      </c>
    </row>
    <row r="13" ht="18.75" customHeight="1" spans="1:5">
      <c r="A13" s="10"/>
      <c r="B13" s="22"/>
      <c r="C13" s="4"/>
      <c r="D13" s="15"/>
      <c r="E13" s="221"/>
    </row>
    <row r="14" ht="18.75" customHeight="1" spans="1:5">
      <c r="A14" s="10"/>
      <c r="B14" s="20" t="s">
        <v>34</v>
      </c>
      <c r="C14" s="4"/>
      <c r="D14" s="15"/>
      <c r="E14" s="85"/>
    </row>
    <row r="15" customHeight="1" spans="1:5">
      <c r="A15" s="4">
        <v>1</v>
      </c>
      <c r="B15" s="18" t="s">
        <v>35</v>
      </c>
      <c r="C15" s="12" t="s">
        <v>36</v>
      </c>
      <c r="D15" s="15" t="s">
        <v>37</v>
      </c>
      <c r="E15" s="85">
        <v>68000</v>
      </c>
    </row>
    <row r="16" ht="19.5" customHeight="1" spans="1:5">
      <c r="A16" s="10"/>
      <c r="B16" s="14"/>
      <c r="C16" s="21">
        <v>1</v>
      </c>
      <c r="D16" s="10"/>
      <c r="E16" s="221">
        <f>SUM(E15:E15)</f>
        <v>68000</v>
      </c>
    </row>
    <row r="17" customHeight="1" spans="1:5">
      <c r="A17" s="10"/>
      <c r="B17" s="14"/>
      <c r="C17" s="4"/>
      <c r="D17" s="10"/>
      <c r="E17" s="221"/>
    </row>
    <row r="18" customHeight="1" spans="1:5">
      <c r="A18" s="10"/>
      <c r="B18" s="23" t="s">
        <v>38</v>
      </c>
      <c r="C18" s="5"/>
      <c r="D18" s="24"/>
      <c r="E18" s="221"/>
    </row>
    <row r="19" customHeight="1" spans="1:5">
      <c r="A19" s="27">
        <v>1</v>
      </c>
      <c r="B19" s="18" t="s">
        <v>39</v>
      </c>
      <c r="C19" s="4" t="s">
        <v>40</v>
      </c>
      <c r="D19" s="15" t="s">
        <v>41</v>
      </c>
      <c r="E19" s="220">
        <v>68000</v>
      </c>
    </row>
    <row r="20" customHeight="1" spans="1:5">
      <c r="A20" s="27">
        <v>2</v>
      </c>
      <c r="B20" s="11" t="s">
        <v>42</v>
      </c>
      <c r="C20" s="4" t="s">
        <v>43</v>
      </c>
      <c r="D20" s="10" t="s">
        <v>37</v>
      </c>
      <c r="E20" s="220">
        <v>68000</v>
      </c>
    </row>
    <row r="21" ht="25.5" customHeight="1" spans="1:5">
      <c r="A21" s="10"/>
      <c r="B21" s="20" t="s">
        <v>33</v>
      </c>
      <c r="C21" s="21">
        <v>2</v>
      </c>
      <c r="D21" s="21"/>
      <c r="E21" s="93">
        <f>SUM(E19:E20)</f>
        <v>136000</v>
      </c>
    </row>
    <row r="22" customHeight="1" spans="1:5">
      <c r="A22" s="10"/>
      <c r="B22" s="22"/>
      <c r="C22" s="21"/>
      <c r="D22" s="21"/>
      <c r="E22" s="146"/>
    </row>
    <row r="23" customHeight="1" spans="1:5">
      <c r="A23" s="10"/>
      <c r="B23" s="20" t="s">
        <v>44</v>
      </c>
      <c r="C23" s="21"/>
      <c r="D23" s="21"/>
      <c r="E23" s="146"/>
    </row>
    <row r="24" customHeight="1" spans="1:5">
      <c r="A24" s="10">
        <v>1</v>
      </c>
      <c r="B24" s="18" t="s">
        <v>45</v>
      </c>
      <c r="C24" s="17" t="s">
        <v>46</v>
      </c>
      <c r="D24" s="15" t="s">
        <v>47</v>
      </c>
      <c r="E24" s="85">
        <v>90000</v>
      </c>
    </row>
    <row r="25" customHeight="1" spans="1:5">
      <c r="A25" s="10">
        <v>2</v>
      </c>
      <c r="B25" s="14" t="s">
        <v>49</v>
      </c>
      <c r="C25" s="17" t="s">
        <v>50</v>
      </c>
      <c r="D25" s="10" t="s">
        <v>41</v>
      </c>
      <c r="E25" s="85">
        <v>68000</v>
      </c>
    </row>
    <row r="26" customHeight="1" spans="1:5">
      <c r="A26" s="10">
        <v>3</v>
      </c>
      <c r="B26" s="14" t="s">
        <v>48</v>
      </c>
      <c r="C26" s="17" t="s">
        <v>46</v>
      </c>
      <c r="D26" s="15" t="s">
        <v>47</v>
      </c>
      <c r="E26" s="85">
        <v>90000</v>
      </c>
    </row>
    <row r="27" ht="27" customHeight="1" spans="1:5">
      <c r="A27" s="10"/>
      <c r="B27" s="20" t="s">
        <v>33</v>
      </c>
      <c r="C27" s="21">
        <v>2</v>
      </c>
      <c r="D27" s="21"/>
      <c r="E27" s="93">
        <f>SUM(E24:E26)</f>
        <v>248000</v>
      </c>
    </row>
    <row r="28" customHeight="1" spans="1:5">
      <c r="A28" s="10"/>
      <c r="B28" s="22"/>
      <c r="C28" s="21"/>
      <c r="D28" s="21"/>
      <c r="E28" s="146"/>
    </row>
    <row r="29" customHeight="1" spans="1:5">
      <c r="A29" s="10"/>
      <c r="B29" s="20" t="s">
        <v>51</v>
      </c>
      <c r="C29" s="21"/>
      <c r="D29" s="21"/>
      <c r="E29" s="146"/>
    </row>
    <row r="30" customHeight="1" spans="1:5">
      <c r="A30" s="10">
        <v>1</v>
      </c>
      <c r="B30" s="11" t="s">
        <v>52</v>
      </c>
      <c r="C30" s="4" t="s">
        <v>53</v>
      </c>
      <c r="D30" s="15" t="s">
        <v>47</v>
      </c>
      <c r="E30" s="85">
        <v>90000</v>
      </c>
    </row>
    <row r="31" customHeight="1" spans="1:5">
      <c r="A31" s="10">
        <v>2</v>
      </c>
      <c r="B31" s="18" t="s">
        <v>54</v>
      </c>
      <c r="C31" s="12" t="s">
        <v>55</v>
      </c>
      <c r="D31" s="15" t="s">
        <v>30</v>
      </c>
      <c r="E31" s="85">
        <v>54000</v>
      </c>
    </row>
    <row r="32" customHeight="1" spans="1:5">
      <c r="A32" s="10"/>
      <c r="B32" s="20" t="s">
        <v>33</v>
      </c>
      <c r="C32" s="21">
        <v>2</v>
      </c>
      <c r="D32" s="21"/>
      <c r="E32" s="93">
        <f>SUM(E30:E31)</f>
        <v>144000</v>
      </c>
    </row>
    <row r="33" customHeight="1" spans="1:5">
      <c r="A33" s="10"/>
      <c r="B33" s="20"/>
      <c r="C33" s="21"/>
      <c r="D33" s="21"/>
      <c r="E33" s="146"/>
    </row>
    <row r="34" customHeight="1" spans="1:5">
      <c r="A34" s="10"/>
      <c r="B34" s="20" t="s">
        <v>56</v>
      </c>
      <c r="C34" s="25"/>
      <c r="D34" s="21"/>
      <c r="E34" s="146"/>
    </row>
    <row r="35" customHeight="1" spans="1:5">
      <c r="A35" s="27">
        <v>1</v>
      </c>
      <c r="B35" s="18" t="s">
        <v>57</v>
      </c>
      <c r="C35" s="4" t="s">
        <v>40</v>
      </c>
      <c r="D35" s="15" t="s">
        <v>41</v>
      </c>
      <c r="E35" s="220">
        <v>68000</v>
      </c>
    </row>
    <row r="36" customHeight="1" spans="1:5">
      <c r="A36" s="10"/>
      <c r="B36" s="20" t="s">
        <v>33</v>
      </c>
      <c r="C36" s="21">
        <v>1</v>
      </c>
      <c r="D36" s="21"/>
      <c r="E36" s="93">
        <f>SUM(E35)</f>
        <v>68000</v>
      </c>
    </row>
    <row r="37" customHeight="1" spans="1:5">
      <c r="A37" s="10"/>
      <c r="B37" s="22"/>
      <c r="C37" s="21"/>
      <c r="D37" s="21"/>
      <c r="E37" s="146"/>
    </row>
    <row r="38" customHeight="1" spans="1:5">
      <c r="A38" s="10"/>
      <c r="B38" s="20" t="s">
        <v>58</v>
      </c>
      <c r="C38" s="21"/>
      <c r="D38" s="21"/>
      <c r="E38" s="146"/>
    </row>
    <row r="39" customHeight="1" spans="1:5">
      <c r="A39" s="10">
        <v>1</v>
      </c>
      <c r="B39" s="11" t="s">
        <v>59</v>
      </c>
      <c r="C39" s="4" t="s">
        <v>60</v>
      </c>
      <c r="D39" s="15" t="s">
        <v>47</v>
      </c>
      <c r="E39" s="85">
        <v>90000</v>
      </c>
    </row>
    <row r="40" customHeight="1" spans="1:5">
      <c r="A40" s="4"/>
      <c r="B40" s="20" t="s">
        <v>33</v>
      </c>
      <c r="C40" s="21">
        <v>1</v>
      </c>
      <c r="D40" s="26"/>
      <c r="E40" s="93">
        <f>SUM(E39:E39)</f>
        <v>90000</v>
      </c>
    </row>
    <row r="41" customHeight="1" spans="1:5">
      <c r="A41" s="4"/>
      <c r="B41" s="20"/>
      <c r="C41" s="21"/>
      <c r="D41" s="4"/>
      <c r="E41" s="223"/>
    </row>
    <row r="42" customHeight="1" spans="1:5">
      <c r="A42" s="10"/>
      <c r="B42" s="20" t="s">
        <v>61</v>
      </c>
      <c r="C42" s="21"/>
      <c r="D42" s="21"/>
      <c r="E42" s="146"/>
    </row>
    <row r="43" ht="18.75" customHeight="1" spans="1:5">
      <c r="A43" s="10">
        <v>1</v>
      </c>
      <c r="B43" s="18" t="s">
        <v>62</v>
      </c>
      <c r="C43" s="4" t="s">
        <v>63</v>
      </c>
      <c r="D43" s="10" t="s">
        <v>24</v>
      </c>
      <c r="E43" s="85">
        <v>54000</v>
      </c>
    </row>
    <row r="44" ht="18.75" customHeight="1" spans="1:5">
      <c r="A44" s="10">
        <v>2</v>
      </c>
      <c r="B44" s="18" t="s">
        <v>64</v>
      </c>
      <c r="C44" s="4" t="s">
        <v>63</v>
      </c>
      <c r="D44" s="10" t="s">
        <v>24</v>
      </c>
      <c r="E44" s="85">
        <v>54000</v>
      </c>
    </row>
    <row r="45" customHeight="1" spans="1:5">
      <c r="A45" s="10">
        <v>3</v>
      </c>
      <c r="B45" s="18" t="s">
        <v>65</v>
      </c>
      <c r="C45" s="12" t="s">
        <v>66</v>
      </c>
      <c r="D45" s="15" t="s">
        <v>30</v>
      </c>
      <c r="E45" s="85">
        <v>54000</v>
      </c>
    </row>
    <row r="46" ht="24.75" customHeight="1" spans="1:5">
      <c r="A46" s="4"/>
      <c r="B46" s="20" t="s">
        <v>33</v>
      </c>
      <c r="C46" s="21">
        <v>3</v>
      </c>
      <c r="D46" s="26"/>
      <c r="E46" s="93">
        <f>SUM(E43:E45)</f>
        <v>162000</v>
      </c>
    </row>
    <row r="47" customHeight="1" spans="1:5">
      <c r="A47" s="4"/>
      <c r="B47" s="22"/>
      <c r="C47" s="10"/>
      <c r="D47" s="4"/>
      <c r="E47" s="224"/>
    </row>
    <row r="48" customHeight="1" spans="1:5">
      <c r="A48" s="4"/>
      <c r="B48" s="20" t="s">
        <v>67</v>
      </c>
      <c r="C48" s="21"/>
      <c r="D48" s="21"/>
      <c r="E48" s="146"/>
    </row>
    <row r="49" customHeight="1" spans="1:5">
      <c r="A49" s="4">
        <v>1</v>
      </c>
      <c r="B49" s="18" t="s">
        <v>68</v>
      </c>
      <c r="C49" s="12" t="s">
        <v>69</v>
      </c>
      <c r="D49" s="15" t="s">
        <v>37</v>
      </c>
      <c r="E49" s="85">
        <v>68000</v>
      </c>
    </row>
    <row r="50" ht="28.5" customHeight="1" spans="1:5">
      <c r="A50" s="4"/>
      <c r="B50" s="20" t="s">
        <v>33</v>
      </c>
      <c r="C50" s="26" t="s">
        <v>70</v>
      </c>
      <c r="D50" s="15"/>
      <c r="E50" s="93">
        <f>SUM(E49:E49)</f>
        <v>68000</v>
      </c>
    </row>
    <row r="51" customHeight="1" spans="1:5">
      <c r="A51" s="4"/>
      <c r="B51" s="22"/>
      <c r="C51" s="26"/>
      <c r="D51" s="15"/>
      <c r="E51" s="146"/>
    </row>
    <row r="52" customHeight="1" spans="1:5">
      <c r="A52" s="4"/>
      <c r="B52" s="20" t="s">
        <v>71</v>
      </c>
      <c r="C52" s="12"/>
      <c r="D52" s="15"/>
      <c r="E52" s="85"/>
    </row>
    <row r="53" ht="18.75" customHeight="1" spans="1:5">
      <c r="A53" s="10">
        <v>1</v>
      </c>
      <c r="B53" s="18" t="s">
        <v>72</v>
      </c>
      <c r="C53" s="4" t="s">
        <v>73</v>
      </c>
      <c r="D53" s="10" t="s">
        <v>24</v>
      </c>
      <c r="E53" s="85">
        <v>54000</v>
      </c>
    </row>
    <row r="54" customHeight="1" spans="1:5">
      <c r="A54" s="10">
        <v>2</v>
      </c>
      <c r="B54" s="18" t="s">
        <v>74</v>
      </c>
      <c r="C54" s="12" t="s">
        <v>75</v>
      </c>
      <c r="D54" s="15" t="s">
        <v>30</v>
      </c>
      <c r="E54" s="85">
        <v>54000</v>
      </c>
    </row>
    <row r="55" customHeight="1" spans="1:5">
      <c r="A55" s="10">
        <v>3</v>
      </c>
      <c r="B55" s="18" t="s">
        <v>76</v>
      </c>
      <c r="C55" s="12" t="s">
        <v>77</v>
      </c>
      <c r="D55" s="15" t="s">
        <v>30</v>
      </c>
      <c r="E55" s="85">
        <v>54000</v>
      </c>
    </row>
    <row r="56" customHeight="1" spans="1:5">
      <c r="A56" s="10">
        <v>3</v>
      </c>
      <c r="B56" s="18" t="s">
        <v>78</v>
      </c>
      <c r="C56" s="12" t="s">
        <v>77</v>
      </c>
      <c r="D56" s="15" t="s">
        <v>30</v>
      </c>
      <c r="E56" s="85">
        <v>54000</v>
      </c>
    </row>
    <row r="57" ht="30.75" customHeight="1" spans="1:5">
      <c r="A57" s="27"/>
      <c r="B57" s="8" t="s">
        <v>33</v>
      </c>
      <c r="C57" s="28" t="s">
        <v>133</v>
      </c>
      <c r="D57" s="29"/>
      <c r="E57" s="93">
        <f>SUM(E53:E56)</f>
        <v>216000</v>
      </c>
    </row>
    <row r="58" ht="35.25" customHeight="1" spans="1:5">
      <c r="A58" s="4"/>
      <c r="B58" s="30" t="s">
        <v>80</v>
      </c>
      <c r="C58" s="31">
        <f>C57+C50+C46+C40+C36+C32+C27+C21+C16+C12</f>
        <v>21</v>
      </c>
      <c r="D58" s="32"/>
      <c r="E58" s="227">
        <f>E57+E50+E46+E40+E36+E32+E27+E21+E16+E12</f>
        <v>1470000</v>
      </c>
    </row>
    <row r="59" ht="38.25" customHeight="1" spans="2:5">
      <c r="B59" s="33"/>
      <c r="D59" s="34"/>
      <c r="E59" s="34"/>
    </row>
    <row r="60" ht="36.75" customHeight="1" spans="2:5">
      <c r="B60" s="33"/>
      <c r="C60" s="34"/>
      <c r="D60" s="34"/>
      <c r="E60" s="34"/>
    </row>
  </sheetData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36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view="pageBreakPreview" zoomScale="50" zoomScaleNormal="100" workbookViewId="0">
      <pane xSplit="3" ySplit="6" topLeftCell="D7" activePane="bottomRight" state="frozen"/>
      <selection/>
      <selection pane="topRight"/>
      <selection pane="bottomLeft"/>
      <selection pane="bottomRight" activeCell="F4" sqref="F4:F57"/>
    </sheetView>
  </sheetViews>
  <sheetFormatPr defaultColWidth="9.13636363636364" defaultRowHeight="20.1" customHeight="1" outlineLevelCol="5"/>
  <cols>
    <col min="1" max="1" width="5.42727272727273" style="1" customWidth="1"/>
    <col min="2" max="2" width="34.4272727272727" style="1" customWidth="1"/>
    <col min="3" max="3" width="39.4272727272727" style="1" customWidth="1"/>
    <col min="4" max="4" width="10.5727272727273" style="1" customWidth="1"/>
    <col min="5" max="5" width="16.4272727272727" style="1" customWidth="1"/>
    <col min="6" max="6" width="15.5727272727273" style="1" customWidth="1"/>
    <col min="7" max="16384" width="9.13636363636364" style="1"/>
  </cols>
  <sheetData>
    <row r="1" ht="27" customHeight="1" spans="1:6">
      <c r="A1" s="609" t="s">
        <v>0</v>
      </c>
      <c r="B1" s="609"/>
      <c r="C1" s="609"/>
      <c r="D1" s="609"/>
      <c r="E1" s="723"/>
      <c r="F1" s="76"/>
    </row>
    <row r="2" ht="33.75" customHeight="1" spans="1:6">
      <c r="A2" s="609" t="s">
        <v>134</v>
      </c>
      <c r="B2" s="609"/>
      <c r="C2" s="609"/>
      <c r="D2" s="609"/>
      <c r="E2" s="609"/>
      <c r="F2" s="216"/>
    </row>
    <row r="3" ht="9.75" customHeight="1" spans="6:6">
      <c r="F3" s="217"/>
    </row>
    <row r="4" ht="49.5" customHeight="1" spans="1:6">
      <c r="A4" s="4"/>
      <c r="B4" s="5" t="s">
        <v>2</v>
      </c>
      <c r="C4" s="6" t="s">
        <v>3</v>
      </c>
      <c r="D4" s="80" t="s">
        <v>4</v>
      </c>
      <c r="E4" s="724" t="s">
        <v>9</v>
      </c>
      <c r="F4" s="725" t="s">
        <v>135</v>
      </c>
    </row>
    <row r="5" ht="17.25" customHeight="1" spans="3:6">
      <c r="C5" s="8"/>
      <c r="D5" s="8"/>
      <c r="E5" s="726" t="s">
        <v>19</v>
      </c>
      <c r="F5" s="727" t="s">
        <v>19</v>
      </c>
    </row>
    <row r="6" customHeight="1" spans="1:6">
      <c r="A6" s="9" t="s">
        <v>20</v>
      </c>
      <c r="B6" s="8" t="s">
        <v>21</v>
      </c>
      <c r="C6" s="8"/>
      <c r="D6" s="8"/>
      <c r="E6" s="726"/>
      <c r="F6" s="728"/>
    </row>
    <row r="7" ht="18.75" customHeight="1" spans="1:6">
      <c r="A7" s="10">
        <v>1</v>
      </c>
      <c r="B7" s="18" t="s">
        <v>22</v>
      </c>
      <c r="C7" s="4" t="s">
        <v>23</v>
      </c>
      <c r="D7" s="10" t="s">
        <v>24</v>
      </c>
      <c r="E7" s="729">
        <v>315849</v>
      </c>
      <c r="F7" s="730">
        <f>E7/2</f>
        <v>157924.5</v>
      </c>
    </row>
    <row r="8" ht="18.75" customHeight="1" spans="1:6">
      <c r="A8" s="10">
        <v>2</v>
      </c>
      <c r="B8" s="18" t="s">
        <v>25</v>
      </c>
      <c r="C8" s="4" t="s">
        <v>23</v>
      </c>
      <c r="D8" s="10" t="s">
        <v>24</v>
      </c>
      <c r="E8" s="729">
        <v>315849</v>
      </c>
      <c r="F8" s="730">
        <f>E8/2</f>
        <v>157924.5</v>
      </c>
    </row>
    <row r="9" ht="18.75" customHeight="1" spans="1:6">
      <c r="A9" s="10">
        <v>3</v>
      </c>
      <c r="B9" s="18" t="s">
        <v>26</v>
      </c>
      <c r="C9" s="4" t="s">
        <v>27</v>
      </c>
      <c r="D9" s="10" t="s">
        <v>24</v>
      </c>
      <c r="E9" s="729">
        <v>315849</v>
      </c>
      <c r="F9" s="730">
        <f>E9/2</f>
        <v>157924.5</v>
      </c>
    </row>
    <row r="10" customHeight="1" spans="1:6">
      <c r="A10" s="10">
        <v>4</v>
      </c>
      <c r="B10" s="18" t="s">
        <v>28</v>
      </c>
      <c r="C10" s="12" t="s">
        <v>29</v>
      </c>
      <c r="D10" s="15" t="s">
        <v>30</v>
      </c>
      <c r="E10" s="729">
        <v>268287.583333333</v>
      </c>
      <c r="F10" s="730">
        <f>E10/2</f>
        <v>134143.791666667</v>
      </c>
    </row>
    <row r="11" customHeight="1" spans="1:6">
      <c r="A11" s="10">
        <v>5</v>
      </c>
      <c r="B11" s="18" t="s">
        <v>31</v>
      </c>
      <c r="C11" s="12" t="s">
        <v>32</v>
      </c>
      <c r="D11" s="15" t="s">
        <v>30</v>
      </c>
      <c r="E11" s="729">
        <v>268287.583333333</v>
      </c>
      <c r="F11" s="730">
        <f>E11/2</f>
        <v>134143.791666667</v>
      </c>
    </row>
    <row r="12" ht="26.25" customHeight="1" spans="1:6">
      <c r="A12" s="10"/>
      <c r="B12" s="20" t="s">
        <v>33</v>
      </c>
      <c r="C12" s="21">
        <v>5</v>
      </c>
      <c r="D12" s="15"/>
      <c r="E12" s="731">
        <v>1484122.16666667</v>
      </c>
      <c r="F12" s="732">
        <f>SUM(F7:F11)</f>
        <v>742061.083333333</v>
      </c>
    </row>
    <row r="13" ht="18.75" customHeight="1" spans="1:6">
      <c r="A13" s="10"/>
      <c r="B13" s="22"/>
      <c r="C13" s="4"/>
      <c r="D13" s="15"/>
      <c r="E13" s="731"/>
      <c r="F13" s="732"/>
    </row>
    <row r="14" ht="18.75" customHeight="1" spans="1:6">
      <c r="A14" s="10"/>
      <c r="B14" s="20" t="s">
        <v>34</v>
      </c>
      <c r="C14" s="4"/>
      <c r="D14" s="15"/>
      <c r="E14" s="729"/>
      <c r="F14" s="730"/>
    </row>
    <row r="15" customHeight="1" spans="1:6">
      <c r="A15" s="4">
        <v>1</v>
      </c>
      <c r="B15" s="18" t="s">
        <v>35</v>
      </c>
      <c r="C15" s="12" t="s">
        <v>36</v>
      </c>
      <c r="D15" s="15" t="s">
        <v>37</v>
      </c>
      <c r="E15" s="729">
        <v>353029.666666667</v>
      </c>
      <c r="F15" s="730">
        <f>E15/2</f>
        <v>176514.833333333</v>
      </c>
    </row>
    <row r="16" ht="19.5" customHeight="1" spans="1:6">
      <c r="A16" s="10"/>
      <c r="B16" s="14"/>
      <c r="C16" s="21">
        <v>1</v>
      </c>
      <c r="D16" s="10"/>
      <c r="E16" s="731">
        <v>353029.666666667</v>
      </c>
      <c r="F16" s="732">
        <f>SUM(F15:F15)</f>
        <v>176514.833333333</v>
      </c>
    </row>
    <row r="17" customHeight="1" spans="1:6">
      <c r="A17" s="10"/>
      <c r="B17" s="14"/>
      <c r="C17" s="4"/>
      <c r="D17" s="10"/>
      <c r="E17" s="731"/>
      <c r="F17" s="732"/>
    </row>
    <row r="18" customHeight="1" spans="1:6">
      <c r="A18" s="10"/>
      <c r="B18" s="23" t="s">
        <v>38</v>
      </c>
      <c r="C18" s="5"/>
      <c r="D18" s="24"/>
      <c r="E18" s="731"/>
      <c r="F18" s="732"/>
    </row>
    <row r="19" customHeight="1" spans="1:6">
      <c r="A19" s="27">
        <v>1</v>
      </c>
      <c r="B19" s="18" t="s">
        <v>39</v>
      </c>
      <c r="C19" s="4" t="s">
        <v>40</v>
      </c>
      <c r="D19" s="15" t="s">
        <v>41</v>
      </c>
      <c r="E19" s="733">
        <v>463512.5</v>
      </c>
      <c r="F19" s="730">
        <f>E19/2</f>
        <v>231756.25</v>
      </c>
    </row>
    <row r="20" customHeight="1" spans="1:6">
      <c r="A20" s="27">
        <v>2</v>
      </c>
      <c r="B20" s="11" t="s">
        <v>42</v>
      </c>
      <c r="C20" s="4" t="s">
        <v>43</v>
      </c>
      <c r="D20" s="10" t="s">
        <v>37</v>
      </c>
      <c r="E20" s="729">
        <v>393029.666666667</v>
      </c>
      <c r="F20" s="730">
        <f>E20/2</f>
        <v>196514.833333333</v>
      </c>
    </row>
    <row r="21" ht="25.5" customHeight="1" spans="1:6">
      <c r="A21" s="10"/>
      <c r="B21" s="20" t="s">
        <v>33</v>
      </c>
      <c r="C21" s="21">
        <v>2</v>
      </c>
      <c r="D21" s="21"/>
      <c r="E21" s="734">
        <v>856542.166666667</v>
      </c>
      <c r="F21" s="735">
        <f>SUM(F19:F20)</f>
        <v>428271.083333333</v>
      </c>
    </row>
    <row r="22" customHeight="1" spans="1:6">
      <c r="A22" s="10"/>
      <c r="B22" s="22"/>
      <c r="C22" s="21"/>
      <c r="D22" s="21"/>
      <c r="E22" s="736"/>
      <c r="F22" s="737"/>
    </row>
    <row r="23" customHeight="1" spans="1:6">
      <c r="A23" s="10"/>
      <c r="B23" s="20" t="s">
        <v>44</v>
      </c>
      <c r="C23" s="21"/>
      <c r="D23" s="21"/>
      <c r="E23" s="736"/>
      <c r="F23" s="737"/>
    </row>
    <row r="24" customHeight="1" spans="1:6">
      <c r="A24" s="10">
        <v>1</v>
      </c>
      <c r="B24" s="18" t="s">
        <v>45</v>
      </c>
      <c r="C24" s="17" t="s">
        <v>46</v>
      </c>
      <c r="D24" s="15" t="s">
        <v>47</v>
      </c>
      <c r="E24" s="729">
        <v>510248.916666667</v>
      </c>
      <c r="F24" s="730">
        <f>E24/2</f>
        <v>255124.458333333</v>
      </c>
    </row>
    <row r="25" customHeight="1" spans="1:6">
      <c r="A25" s="10">
        <v>2</v>
      </c>
      <c r="B25" s="14" t="s">
        <v>49</v>
      </c>
      <c r="C25" s="17" t="s">
        <v>50</v>
      </c>
      <c r="D25" s="10" t="s">
        <v>41</v>
      </c>
      <c r="E25" s="729">
        <v>463512.5</v>
      </c>
      <c r="F25" s="730">
        <f>E25/2</f>
        <v>231756.25</v>
      </c>
    </row>
    <row r="26" ht="27" customHeight="1" spans="1:6">
      <c r="A26" s="10"/>
      <c r="B26" s="20" t="s">
        <v>33</v>
      </c>
      <c r="C26" s="21">
        <v>2</v>
      </c>
      <c r="D26" s="21"/>
      <c r="E26" s="734">
        <v>973761.416666667</v>
      </c>
      <c r="F26" s="735">
        <f>SUM(F24:F25)</f>
        <v>486880.708333333</v>
      </c>
    </row>
    <row r="27" customHeight="1" spans="1:6">
      <c r="A27" s="10"/>
      <c r="B27" s="22"/>
      <c r="C27" s="21"/>
      <c r="D27" s="21"/>
      <c r="E27" s="736"/>
      <c r="F27" s="737"/>
    </row>
    <row r="28" customHeight="1" spans="1:6">
      <c r="A28" s="10"/>
      <c r="B28" s="20" t="s">
        <v>51</v>
      </c>
      <c r="C28" s="21"/>
      <c r="D28" s="21"/>
      <c r="E28" s="736"/>
      <c r="F28" s="737"/>
    </row>
    <row r="29" customHeight="1" spans="1:6">
      <c r="A29" s="10">
        <v>1</v>
      </c>
      <c r="B29" s="11" t="s">
        <v>52</v>
      </c>
      <c r="C29" s="4" t="s">
        <v>53</v>
      </c>
      <c r="D29" s="15" t="s">
        <v>47</v>
      </c>
      <c r="E29" s="729">
        <v>510248.916666667</v>
      </c>
      <c r="F29" s="730">
        <f>E29/2</f>
        <v>255124.458333333</v>
      </c>
    </row>
    <row r="30" customHeight="1" spans="1:6">
      <c r="A30" s="10">
        <v>2</v>
      </c>
      <c r="B30" s="18" t="s">
        <v>54</v>
      </c>
      <c r="C30" s="12" t="s">
        <v>55</v>
      </c>
      <c r="D30" s="15" t="s">
        <v>30</v>
      </c>
      <c r="E30" s="729">
        <v>318287.583333333</v>
      </c>
      <c r="F30" s="730">
        <f>E30/2</f>
        <v>159143.791666667</v>
      </c>
    </row>
    <row r="31" ht="26.1" customHeight="1" spans="1:6">
      <c r="A31" s="10"/>
      <c r="B31" s="20" t="s">
        <v>33</v>
      </c>
      <c r="C31" s="21">
        <v>2</v>
      </c>
      <c r="D31" s="21"/>
      <c r="E31" s="734">
        <v>828536.5</v>
      </c>
      <c r="F31" s="735">
        <f>SUM(F29:F30)</f>
        <v>414268.25</v>
      </c>
    </row>
    <row r="32" customHeight="1" spans="1:6">
      <c r="A32" s="10"/>
      <c r="B32" s="20"/>
      <c r="C32" s="21"/>
      <c r="D32" s="21"/>
      <c r="E32" s="736"/>
      <c r="F32" s="737"/>
    </row>
    <row r="33" customHeight="1" spans="1:6">
      <c r="A33" s="10"/>
      <c r="B33" s="20" t="s">
        <v>56</v>
      </c>
      <c r="C33" s="25"/>
      <c r="D33" s="21"/>
      <c r="E33" s="736"/>
      <c r="F33" s="737"/>
    </row>
    <row r="34" customHeight="1" spans="1:6">
      <c r="A34" s="27">
        <v>1</v>
      </c>
      <c r="B34" s="18" t="s">
        <v>57</v>
      </c>
      <c r="C34" s="4" t="s">
        <v>40</v>
      </c>
      <c r="D34" s="15" t="s">
        <v>41</v>
      </c>
      <c r="E34" s="733">
        <v>463512.5</v>
      </c>
      <c r="F34" s="730">
        <f>E34/2</f>
        <v>231756.25</v>
      </c>
    </row>
    <row r="35" ht="27" customHeight="1" spans="1:6">
      <c r="A35" s="10"/>
      <c r="B35" s="20" t="s">
        <v>33</v>
      </c>
      <c r="C35" s="21">
        <v>1</v>
      </c>
      <c r="D35" s="21"/>
      <c r="E35" s="734">
        <v>463512.5</v>
      </c>
      <c r="F35" s="735">
        <f>SUM(F34)</f>
        <v>231756.25</v>
      </c>
    </row>
    <row r="36" customHeight="1" spans="1:6">
      <c r="A36" s="10"/>
      <c r="B36" s="22"/>
      <c r="C36" s="21"/>
      <c r="D36" s="21"/>
      <c r="E36" s="736"/>
      <c r="F36" s="737"/>
    </row>
    <row r="37" customHeight="1" spans="1:6">
      <c r="A37" s="10"/>
      <c r="B37" s="20" t="s">
        <v>58</v>
      </c>
      <c r="C37" s="21"/>
      <c r="D37" s="21"/>
      <c r="E37" s="736"/>
      <c r="F37" s="737"/>
    </row>
    <row r="38" customHeight="1" spans="1:6">
      <c r="A38" s="10">
        <v>1</v>
      </c>
      <c r="B38" s="11" t="s">
        <v>59</v>
      </c>
      <c r="C38" s="4" t="s">
        <v>60</v>
      </c>
      <c r="D38" s="15" t="s">
        <v>47</v>
      </c>
      <c r="E38" s="729">
        <v>460248.916666667</v>
      </c>
      <c r="F38" s="730">
        <f>E38/2</f>
        <v>230124.458333333</v>
      </c>
    </row>
    <row r="39" ht="23.1" customHeight="1" spans="1:6">
      <c r="A39" s="4"/>
      <c r="B39" s="20" t="s">
        <v>33</v>
      </c>
      <c r="C39" s="21">
        <v>1</v>
      </c>
      <c r="D39" s="26"/>
      <c r="E39" s="734">
        <v>460248.916666667</v>
      </c>
      <c r="F39" s="735">
        <f>SUM(F38:F38)</f>
        <v>230124.458333333</v>
      </c>
    </row>
    <row r="40" customHeight="1" spans="1:6">
      <c r="A40" s="4"/>
      <c r="B40" s="20"/>
      <c r="C40" s="21"/>
      <c r="D40" s="4"/>
      <c r="E40" s="738"/>
      <c r="F40" s="739"/>
    </row>
    <row r="41" customHeight="1" spans="1:6">
      <c r="A41" s="10"/>
      <c r="B41" s="20" t="s">
        <v>61</v>
      </c>
      <c r="C41" s="21"/>
      <c r="D41" s="21"/>
      <c r="E41" s="736"/>
      <c r="F41" s="737"/>
    </row>
    <row r="42" ht="18.75" customHeight="1" spans="1:6">
      <c r="A42" s="10">
        <v>1</v>
      </c>
      <c r="B42" s="18" t="s">
        <v>62</v>
      </c>
      <c r="C42" s="4" t="s">
        <v>63</v>
      </c>
      <c r="D42" s="10" t="s">
        <v>24</v>
      </c>
      <c r="E42" s="729">
        <v>355849</v>
      </c>
      <c r="F42" s="730">
        <f>E42/2</f>
        <v>177924.5</v>
      </c>
    </row>
    <row r="43" ht="18.75" customHeight="1" spans="1:6">
      <c r="A43" s="10">
        <v>2</v>
      </c>
      <c r="B43" s="18" t="s">
        <v>64</v>
      </c>
      <c r="C43" s="4" t="s">
        <v>63</v>
      </c>
      <c r="D43" s="10" t="s">
        <v>24</v>
      </c>
      <c r="E43" s="729">
        <v>358160.16</v>
      </c>
      <c r="F43" s="730">
        <f>E43/2</f>
        <v>179080.08</v>
      </c>
    </row>
    <row r="44" customHeight="1" spans="1:6">
      <c r="A44" s="10">
        <v>3</v>
      </c>
      <c r="B44" s="18" t="s">
        <v>65</v>
      </c>
      <c r="C44" s="12" t="s">
        <v>66</v>
      </c>
      <c r="D44" s="15" t="s">
        <v>30</v>
      </c>
      <c r="E44" s="729">
        <v>318287.583333333</v>
      </c>
      <c r="F44" s="730">
        <f>E44/2</f>
        <v>159143.791666667</v>
      </c>
    </row>
    <row r="45" ht="24.75" customHeight="1" spans="1:6">
      <c r="A45" s="4"/>
      <c r="B45" s="20" t="s">
        <v>33</v>
      </c>
      <c r="C45" s="21">
        <v>3</v>
      </c>
      <c r="D45" s="26"/>
      <c r="E45" s="734">
        <v>1032296.74333333</v>
      </c>
      <c r="F45" s="735">
        <f>SUM(F42:F44)</f>
        <v>516148.371666666</v>
      </c>
    </row>
    <row r="46" customHeight="1" spans="1:6">
      <c r="A46" s="4"/>
      <c r="B46" s="22"/>
      <c r="C46" s="10"/>
      <c r="D46" s="4"/>
      <c r="E46" s="740"/>
      <c r="F46" s="741"/>
    </row>
    <row r="47" customHeight="1" spans="1:6">
      <c r="A47" s="4"/>
      <c r="B47" s="20" t="s">
        <v>67</v>
      </c>
      <c r="C47" s="21"/>
      <c r="D47" s="21"/>
      <c r="E47" s="736"/>
      <c r="F47" s="737"/>
    </row>
    <row r="48" customHeight="1" spans="1:6">
      <c r="A48" s="4">
        <v>1</v>
      </c>
      <c r="B48" s="18" t="s">
        <v>68</v>
      </c>
      <c r="C48" s="12" t="s">
        <v>69</v>
      </c>
      <c r="D48" s="15" t="s">
        <v>37</v>
      </c>
      <c r="E48" s="729">
        <v>353029.666666667</v>
      </c>
      <c r="F48" s="730">
        <f>E48/2</f>
        <v>176514.833333333</v>
      </c>
    </row>
    <row r="49" ht="28.5" customHeight="1" spans="1:6">
      <c r="A49" s="4"/>
      <c r="B49" s="20" t="s">
        <v>33</v>
      </c>
      <c r="C49" s="26" t="s">
        <v>70</v>
      </c>
      <c r="D49" s="15"/>
      <c r="E49" s="734">
        <v>353029.666666667</v>
      </c>
      <c r="F49" s="735">
        <f>SUM(F48:F48)</f>
        <v>176514.833333333</v>
      </c>
    </row>
    <row r="50" customHeight="1" spans="1:6">
      <c r="A50" s="4"/>
      <c r="B50" s="22"/>
      <c r="C50" s="26"/>
      <c r="D50" s="15"/>
      <c r="E50" s="736"/>
      <c r="F50" s="737"/>
    </row>
    <row r="51" customHeight="1" spans="1:6">
      <c r="A51" s="4"/>
      <c r="B51" s="20" t="s">
        <v>71</v>
      </c>
      <c r="C51" s="12"/>
      <c r="D51" s="15"/>
      <c r="E51" s="729"/>
      <c r="F51" s="730"/>
    </row>
    <row r="52" ht="18.75" customHeight="1" spans="1:6">
      <c r="A52" s="10">
        <v>1</v>
      </c>
      <c r="B52" s="18" t="s">
        <v>72</v>
      </c>
      <c r="C52" s="4" t="s">
        <v>73</v>
      </c>
      <c r="D52" s="10" t="s">
        <v>24</v>
      </c>
      <c r="E52" s="729">
        <v>315849</v>
      </c>
      <c r="F52" s="730">
        <f>E52/2</f>
        <v>157924.5</v>
      </c>
    </row>
    <row r="53" customHeight="1" spans="1:6">
      <c r="A53" s="10">
        <v>2</v>
      </c>
      <c r="B53" s="18" t="s">
        <v>74</v>
      </c>
      <c r="C53" s="12" t="s">
        <v>75</v>
      </c>
      <c r="D53" s="15" t="s">
        <v>30</v>
      </c>
      <c r="E53" s="729">
        <v>268287.583333333</v>
      </c>
      <c r="F53" s="730">
        <f>E53/2</f>
        <v>134143.791666667</v>
      </c>
    </row>
    <row r="54" customHeight="1" spans="1:6">
      <c r="A54" s="10">
        <v>3</v>
      </c>
      <c r="B54" s="18" t="s">
        <v>76</v>
      </c>
      <c r="C54" s="12" t="s">
        <v>77</v>
      </c>
      <c r="D54" s="15" t="s">
        <v>30</v>
      </c>
      <c r="E54" s="729">
        <v>268287.583333333</v>
      </c>
      <c r="F54" s="730">
        <f>E54/2</f>
        <v>134143.791666667</v>
      </c>
    </row>
    <row r="55" customHeight="1" spans="1:6">
      <c r="A55" s="10">
        <v>3</v>
      </c>
      <c r="B55" s="18" t="s">
        <v>78</v>
      </c>
      <c r="C55" s="12" t="s">
        <v>77</v>
      </c>
      <c r="D55" s="15" t="s">
        <v>30</v>
      </c>
      <c r="E55" s="729">
        <v>268287.583333333</v>
      </c>
      <c r="F55" s="730">
        <f>E55/2</f>
        <v>134143.791666667</v>
      </c>
    </row>
    <row r="56" ht="30.75" customHeight="1" spans="1:6">
      <c r="A56" s="27"/>
      <c r="B56" s="8" t="s">
        <v>33</v>
      </c>
      <c r="C56" s="28" t="s">
        <v>133</v>
      </c>
      <c r="D56" s="28"/>
      <c r="E56" s="734">
        <f>SUM(E52:E55)</f>
        <v>1120711.75</v>
      </c>
      <c r="F56" s="735">
        <f>SUM(F52:F55)</f>
        <v>560355.875</v>
      </c>
    </row>
    <row r="57" ht="35.25" customHeight="1" spans="1:6">
      <c r="A57" s="4"/>
      <c r="B57" s="30" t="s">
        <v>80</v>
      </c>
      <c r="C57" s="31">
        <f>C56+C49+C45+C39+C35+C31+C26+C21+C16+C12</f>
        <v>21</v>
      </c>
      <c r="D57" s="31"/>
      <c r="E57" s="742">
        <f>E56+E49+E45+E39+E35+E31+E26+E21+E16+E12</f>
        <v>7925791.49333333</v>
      </c>
      <c r="F57" s="743">
        <f>F56+F49+F45+F39+F35+F31+F26+F21+F16+F12</f>
        <v>3962895.74666667</v>
      </c>
    </row>
    <row r="58" ht="38.25" customHeight="1" spans="2:6">
      <c r="B58" s="33"/>
      <c r="E58" s="34"/>
      <c r="F58" s="34"/>
    </row>
    <row r="59" ht="36.75" customHeight="1" spans="2:6">
      <c r="B59" s="33"/>
      <c r="C59" s="34"/>
      <c r="D59" s="34"/>
      <c r="E59" s="34"/>
      <c r="F59" s="34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1" manualBreakCount="1">
    <brk id="35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opLeftCell="B4" workbookViewId="0">
      <selection activeCell="F15" sqref="F15"/>
    </sheetView>
  </sheetViews>
  <sheetFormatPr defaultColWidth="9" defaultRowHeight="12.5"/>
  <cols>
    <col min="1" max="1" width="4.57272727272727" customWidth="1"/>
    <col min="2" max="2" width="13.5727272727273" customWidth="1"/>
    <col min="3" max="3" width="22.1363636363636" customWidth="1"/>
    <col min="5" max="5" width="15.4272727272727" customWidth="1"/>
    <col min="8" max="8" width="13.2818181818182" customWidth="1"/>
    <col min="9" max="9" width="13" customWidth="1"/>
    <col min="10" max="10" width="14.4272727272727" customWidth="1"/>
    <col min="11" max="11" width="14.8545454545455" customWidth="1"/>
    <col min="12" max="12" width="15" customWidth="1"/>
    <col min="13" max="13" width="15.7090909090909" customWidth="1"/>
  </cols>
  <sheetData>
    <row r="1" ht="25" spans="1:11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1"/>
    </row>
    <row r="2" ht="25.5" spans="1:11">
      <c r="A2" s="76" t="s">
        <v>136</v>
      </c>
      <c r="B2" s="77"/>
      <c r="C2" s="76"/>
      <c r="D2" s="76"/>
      <c r="E2" s="216"/>
      <c r="F2" s="216"/>
      <c r="G2" s="299"/>
      <c r="H2" s="299"/>
      <c r="I2" s="299"/>
      <c r="J2" s="299"/>
      <c r="K2" s="78"/>
    </row>
    <row r="3" ht="18" spans="1:11">
      <c r="A3" s="1"/>
      <c r="B3" s="1"/>
      <c r="C3" s="1"/>
      <c r="D3" s="1"/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1"/>
    </row>
    <row r="4" ht="23" spans="1:13">
      <c r="A4" s="711"/>
      <c r="B4" s="712" t="s">
        <v>2</v>
      </c>
      <c r="C4" s="712" t="s">
        <v>3</v>
      </c>
      <c r="D4" s="713" t="s">
        <v>4</v>
      </c>
      <c r="E4" s="714" t="s">
        <v>137</v>
      </c>
      <c r="F4" s="715" t="s">
        <v>6</v>
      </c>
      <c r="G4" s="715" t="s">
        <v>7</v>
      </c>
      <c r="H4" s="714" t="s">
        <v>138</v>
      </c>
      <c r="I4" s="715" t="s">
        <v>8</v>
      </c>
      <c r="J4" s="722" t="s">
        <v>139</v>
      </c>
      <c r="K4" s="714" t="s">
        <v>14</v>
      </c>
      <c r="L4" s="714" t="s">
        <v>140</v>
      </c>
      <c r="M4" s="714" t="s">
        <v>141</v>
      </c>
    </row>
    <row r="5" ht="18" spans="1:13">
      <c r="A5" s="1"/>
      <c r="B5" s="1"/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307" t="s">
        <v>19</v>
      </c>
      <c r="K5" s="82"/>
      <c r="L5" s="82"/>
      <c r="M5" s="82"/>
    </row>
    <row r="6" ht="17.5" spans="1:13">
      <c r="A6" s="9"/>
      <c r="B6" s="8"/>
      <c r="C6" s="8"/>
      <c r="D6" s="8"/>
      <c r="E6" s="82"/>
      <c r="F6" s="82"/>
      <c r="G6" s="82"/>
      <c r="H6" s="82"/>
      <c r="I6" s="82"/>
      <c r="J6" s="307"/>
      <c r="K6" s="82"/>
      <c r="L6" s="82"/>
      <c r="M6" s="82"/>
    </row>
    <row r="7" ht="28" spans="1:13">
      <c r="A7" s="10"/>
      <c r="B7" s="716" t="s">
        <v>35</v>
      </c>
      <c r="C7" s="717" t="s">
        <v>36</v>
      </c>
      <c r="D7" s="718" t="s">
        <v>30</v>
      </c>
      <c r="E7" s="85">
        <f>218287.583333333*(13/31)</f>
        <v>91539.9543010751</v>
      </c>
      <c r="F7" s="85"/>
      <c r="G7" s="220"/>
      <c r="H7" s="220">
        <f>50000*(13/31)</f>
        <v>20967.7419354839</v>
      </c>
      <c r="I7" s="85"/>
      <c r="J7" s="509">
        <f>E7+H7</f>
        <v>112507.696236559</v>
      </c>
      <c r="K7" s="85"/>
      <c r="L7" s="85"/>
      <c r="M7" s="85"/>
    </row>
    <row r="8" ht="28" spans="1:13">
      <c r="A8" s="10"/>
      <c r="B8" s="716" t="s">
        <v>35</v>
      </c>
      <c r="C8" s="717" t="s">
        <v>36</v>
      </c>
      <c r="D8" s="718" t="s">
        <v>37</v>
      </c>
      <c r="E8" s="85">
        <f>293029.666666667*(18/31)</f>
        <v>170146.258064516</v>
      </c>
      <c r="F8" s="85"/>
      <c r="G8" s="220"/>
      <c r="H8" s="220">
        <f>60000*(18/31)</f>
        <v>34838.7096774194</v>
      </c>
      <c r="I8" s="85"/>
      <c r="J8" s="509">
        <f>E8+H8</f>
        <v>204984.967741936</v>
      </c>
      <c r="K8" s="85"/>
      <c r="L8" s="85"/>
      <c r="M8" s="85"/>
    </row>
    <row r="9" ht="30" customHeight="1" spans="1:13">
      <c r="A9" s="10"/>
      <c r="B9" s="719" t="s">
        <v>33</v>
      </c>
      <c r="C9" s="720"/>
      <c r="D9" s="721"/>
      <c r="E9" s="221">
        <f>SUM(E7:E8)</f>
        <v>261686.212365591</v>
      </c>
      <c r="F9" s="221">
        <f t="shared" ref="F9:J9" si="0">SUM(F7:F8)</f>
        <v>0</v>
      </c>
      <c r="G9" s="221">
        <f t="shared" si="0"/>
        <v>0</v>
      </c>
      <c r="H9" s="221">
        <f t="shared" si="0"/>
        <v>55806.4516129032</v>
      </c>
      <c r="I9" s="221">
        <f t="shared" si="0"/>
        <v>0</v>
      </c>
      <c r="J9" s="221">
        <f t="shared" si="0"/>
        <v>317492.663978495</v>
      </c>
      <c r="K9" s="221">
        <f>37571.65</f>
        <v>37571.65</v>
      </c>
      <c r="L9" s="676">
        <v>17463.0066666666</v>
      </c>
      <c r="M9" s="514">
        <f>J9-K9-L9</f>
        <v>262458.007311828</v>
      </c>
    </row>
    <row r="10" ht="18" spans="1:13">
      <c r="A10" s="10"/>
      <c r="B10" s="14"/>
      <c r="C10" s="4"/>
      <c r="D10" s="10"/>
      <c r="E10" s="221"/>
      <c r="F10" s="221"/>
      <c r="G10" s="221"/>
      <c r="H10" s="221"/>
      <c r="I10" s="221"/>
      <c r="J10" s="310"/>
      <c r="K10" s="221"/>
      <c r="L10" s="221"/>
      <c r="M10" s="221"/>
    </row>
    <row r="11" ht="18" spans="1:11">
      <c r="A11" s="1"/>
      <c r="B11" s="33"/>
      <c r="C11" s="1"/>
      <c r="D11" s="34"/>
      <c r="E11" s="34"/>
      <c r="F11" s="34"/>
      <c r="G11" s="34"/>
      <c r="H11" s="34"/>
      <c r="I11" s="228"/>
      <c r="J11" s="228"/>
      <c r="K11" s="229"/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"/>
  <sheetViews>
    <sheetView topLeftCell="C21" workbookViewId="0">
      <selection activeCell="C33" sqref="C33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142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144</v>
      </c>
      <c r="B4" s="462" t="s">
        <v>145</v>
      </c>
      <c r="C4" s="463" t="s">
        <v>146</v>
      </c>
      <c r="D4" s="462" t="s">
        <v>147</v>
      </c>
      <c r="E4" s="463" t="s">
        <v>148</v>
      </c>
      <c r="F4" s="463" t="s">
        <v>149</v>
      </c>
      <c r="G4" s="463" t="s">
        <v>150</v>
      </c>
      <c r="H4" s="463" t="s">
        <v>151</v>
      </c>
      <c r="I4" s="463" t="s">
        <v>152</v>
      </c>
      <c r="J4" s="463"/>
      <c r="K4" s="463"/>
      <c r="L4" s="463"/>
      <c r="M4" s="463" t="s">
        <v>153</v>
      </c>
      <c r="N4" s="463" t="s">
        <v>154</v>
      </c>
      <c r="O4" s="463" t="s">
        <v>155</v>
      </c>
      <c r="P4" s="463" t="s">
        <v>156</v>
      </c>
      <c r="Q4" s="463" t="s">
        <v>157</v>
      </c>
      <c r="R4" s="463" t="s">
        <v>158</v>
      </c>
      <c r="S4" s="463" t="s">
        <v>159</v>
      </c>
      <c r="T4" s="463" t="s">
        <v>160</v>
      </c>
      <c r="U4" s="463" t="s">
        <v>161</v>
      </c>
      <c r="V4" s="463" t="s">
        <v>162</v>
      </c>
      <c r="W4" s="463"/>
      <c r="X4" s="463" t="s">
        <v>163</v>
      </c>
      <c r="Y4" s="463" t="s">
        <v>164</v>
      </c>
      <c r="Z4" s="476" t="s">
        <v>165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4" t="s">
        <v>49</v>
      </c>
      <c r="C6" s="465">
        <v>261891.25</v>
      </c>
      <c r="D6" s="466">
        <v>12</v>
      </c>
      <c r="E6" s="467">
        <f>C6*D6</f>
        <v>3142695</v>
      </c>
      <c r="F6" s="467"/>
      <c r="G6" s="467">
        <v>209556.08</v>
      </c>
      <c r="H6" s="467"/>
      <c r="I6" s="467">
        <f t="shared" ref="I6:I13" si="0">E6-F6-G6-H6</f>
        <v>2933138.92</v>
      </c>
      <c r="J6" s="467">
        <v>200000</v>
      </c>
      <c r="K6" s="467">
        <v>0.2</v>
      </c>
      <c r="L6" s="467">
        <f t="shared" ref="L6:L13" si="1">I6*K6</f>
        <v>586627.784</v>
      </c>
      <c r="M6" s="467">
        <f t="shared" ref="M6:M13" si="2">J6+L6</f>
        <v>786627.784</v>
      </c>
      <c r="N6" s="467">
        <f t="shared" ref="N6:N13" si="3">F6+G6+H6+M6</f>
        <v>996183.864</v>
      </c>
      <c r="O6" s="467">
        <f t="shared" ref="O6:O13" si="4">E6-N6</f>
        <v>2146511.136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114767.33856</v>
      </c>
      <c r="U6" s="467"/>
      <c r="V6" s="467">
        <f t="shared" ref="V6:V13" si="10">P6+Q6+R6+S6+T6+U6</f>
        <v>338767.33856</v>
      </c>
      <c r="W6" s="474">
        <v>12</v>
      </c>
      <c r="X6" s="467">
        <f t="shared" ref="X6:X13" si="11">V6/W6</f>
        <v>28230.6115466667</v>
      </c>
      <c r="Y6" s="467"/>
      <c r="Z6" s="478">
        <f t="shared" ref="Z6:Z13" si="12">X6</f>
        <v>28230.6115466667</v>
      </c>
      <c r="AA6" s="479"/>
      <c r="AB6" s="479"/>
      <c r="AC6" s="479"/>
    </row>
    <row r="7" s="615" customFormat="1" ht="18" spans="1:29">
      <c r="A7" s="616">
        <v>4</v>
      </c>
      <c r="B7" s="18" t="s">
        <v>22</v>
      </c>
      <c r="C7" s="618">
        <v>231622.6</v>
      </c>
      <c r="D7" s="619">
        <v>12</v>
      </c>
      <c r="E7" s="620">
        <f t="shared" ref="E7:E13" si="13">C7*D7</f>
        <v>2779471.2</v>
      </c>
      <c r="F7" s="620"/>
      <c r="G7" s="620">
        <v>374638.96</v>
      </c>
      <c r="H7" s="620"/>
      <c r="I7" s="620">
        <f t="shared" si="0"/>
        <v>2404832.24</v>
      </c>
      <c r="J7" s="620">
        <v>200000</v>
      </c>
      <c r="K7" s="620">
        <v>0.2</v>
      </c>
      <c r="L7" s="620">
        <f t="shared" si="1"/>
        <v>480966.448</v>
      </c>
      <c r="M7" s="620">
        <f t="shared" si="2"/>
        <v>680966.448</v>
      </c>
      <c r="N7" s="620">
        <f t="shared" si="3"/>
        <v>1055605.408</v>
      </c>
      <c r="O7" s="620">
        <f t="shared" si="4"/>
        <v>1723865.792</v>
      </c>
      <c r="P7" s="620">
        <f t="shared" si="5"/>
        <v>21000</v>
      </c>
      <c r="Q7" s="620">
        <f t="shared" si="6"/>
        <v>33000</v>
      </c>
      <c r="R7" s="620">
        <f t="shared" si="7"/>
        <v>75000</v>
      </c>
      <c r="S7" s="620">
        <f t="shared" si="8"/>
        <v>95000</v>
      </c>
      <c r="T7" s="620">
        <f t="shared" si="9"/>
        <v>26011.81632</v>
      </c>
      <c r="U7" s="620"/>
      <c r="V7" s="620">
        <f t="shared" si="10"/>
        <v>250011.81632</v>
      </c>
      <c r="W7" s="623">
        <v>12</v>
      </c>
      <c r="X7" s="620">
        <f t="shared" si="11"/>
        <v>20834.3180266667</v>
      </c>
      <c r="Y7" s="620"/>
      <c r="Z7" s="478">
        <f t="shared" si="12"/>
        <v>20834.3180266667</v>
      </c>
      <c r="AA7" s="624"/>
      <c r="AB7" s="624"/>
      <c r="AC7" s="624"/>
    </row>
    <row r="8" s="615" customFormat="1" ht="18" spans="1:29">
      <c r="A8" s="616">
        <v>5</v>
      </c>
      <c r="B8" s="18" t="s">
        <v>25</v>
      </c>
      <c r="C8" s="618">
        <v>231622.6</v>
      </c>
      <c r="D8" s="619">
        <v>12</v>
      </c>
      <c r="E8" s="620">
        <f t="shared" si="13"/>
        <v>2779471.2</v>
      </c>
      <c r="F8" s="620"/>
      <c r="G8" s="620">
        <v>245615.04</v>
      </c>
      <c r="H8" s="620"/>
      <c r="I8" s="620">
        <f t="shared" si="0"/>
        <v>2533856.16</v>
      </c>
      <c r="J8" s="620">
        <v>200000</v>
      </c>
      <c r="K8" s="620">
        <v>0.2</v>
      </c>
      <c r="L8" s="620">
        <f t="shared" si="1"/>
        <v>506771.232</v>
      </c>
      <c r="M8" s="620">
        <f t="shared" si="2"/>
        <v>706771.232</v>
      </c>
      <c r="N8" s="620">
        <f t="shared" si="3"/>
        <v>952386.272</v>
      </c>
      <c r="O8" s="620">
        <f t="shared" si="4"/>
        <v>1827084.928</v>
      </c>
      <c r="P8" s="620">
        <f t="shared" si="5"/>
        <v>21000</v>
      </c>
      <c r="Q8" s="620">
        <f t="shared" si="6"/>
        <v>33000</v>
      </c>
      <c r="R8" s="620">
        <f t="shared" si="7"/>
        <v>75000</v>
      </c>
      <c r="S8" s="620">
        <f t="shared" si="8"/>
        <v>95000</v>
      </c>
      <c r="T8" s="620">
        <f t="shared" si="9"/>
        <v>47687.83488</v>
      </c>
      <c r="U8" s="620"/>
      <c r="V8" s="620">
        <f t="shared" si="10"/>
        <v>271687.83488</v>
      </c>
      <c r="W8" s="623">
        <v>12</v>
      </c>
      <c r="X8" s="620">
        <f t="shared" si="11"/>
        <v>22640.6529066667</v>
      </c>
      <c r="Y8" s="620"/>
      <c r="Z8" s="478">
        <f t="shared" si="12"/>
        <v>22640.6529066667</v>
      </c>
      <c r="AA8" s="624"/>
      <c r="AB8" s="624"/>
      <c r="AC8" s="624"/>
    </row>
    <row r="9" ht="18" spans="1:29">
      <c r="A9" s="464">
        <v>6</v>
      </c>
      <c r="B9" s="18" t="s">
        <v>26</v>
      </c>
      <c r="C9" s="465">
        <v>315849</v>
      </c>
      <c r="D9" s="466">
        <v>12</v>
      </c>
      <c r="E9" s="467">
        <f t="shared" si="13"/>
        <v>3790188</v>
      </c>
      <c r="F9" s="467"/>
      <c r="G9" s="467">
        <v>209556.08</v>
      </c>
      <c r="H9" s="467"/>
      <c r="I9" s="467">
        <f t="shared" si="0"/>
        <v>3580631.92</v>
      </c>
      <c r="J9" s="467">
        <v>200000</v>
      </c>
      <c r="K9" s="467">
        <v>0.2</v>
      </c>
      <c r="L9" s="467">
        <f t="shared" si="1"/>
        <v>716126.384</v>
      </c>
      <c r="M9" s="467">
        <f t="shared" si="2"/>
        <v>916126.384</v>
      </c>
      <c r="N9" s="467">
        <f t="shared" si="3"/>
        <v>1125682.464</v>
      </c>
      <c r="O9" s="467">
        <f t="shared" si="4"/>
        <v>2664505.536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223546.16256</v>
      </c>
      <c r="U9" s="467"/>
      <c r="V9" s="467">
        <f t="shared" si="10"/>
        <v>447546.16256</v>
      </c>
      <c r="W9" s="474">
        <v>12</v>
      </c>
      <c r="X9" s="467">
        <f t="shared" si="11"/>
        <v>37295.5135466667</v>
      </c>
      <c r="Y9" s="467"/>
      <c r="Z9" s="478">
        <f t="shared" si="12"/>
        <v>37295.5135466667</v>
      </c>
      <c r="AA9" s="479"/>
      <c r="AB9" s="479"/>
      <c r="AC9" s="479"/>
    </row>
    <row r="10" s="615" customFormat="1" ht="18" spans="1:29">
      <c r="A10" s="616">
        <v>7</v>
      </c>
      <c r="B10" s="18" t="s">
        <v>28</v>
      </c>
      <c r="C10" s="618">
        <v>169915.469444444</v>
      </c>
      <c r="D10" s="619">
        <v>12</v>
      </c>
      <c r="E10" s="620">
        <f t="shared" si="13"/>
        <v>2038985.63333333</v>
      </c>
      <c r="F10" s="620"/>
      <c r="G10" s="620">
        <v>281308.48</v>
      </c>
      <c r="H10" s="620"/>
      <c r="I10" s="620">
        <f t="shared" si="0"/>
        <v>1757677.15333333</v>
      </c>
      <c r="J10" s="620">
        <v>200000</v>
      </c>
      <c r="K10" s="620">
        <v>0.2</v>
      </c>
      <c r="L10" s="620">
        <f t="shared" si="1"/>
        <v>351535.430666666</v>
      </c>
      <c r="M10" s="620">
        <f t="shared" si="2"/>
        <v>551535.430666666</v>
      </c>
      <c r="N10" s="620">
        <f t="shared" si="3"/>
        <v>832843.910666666</v>
      </c>
      <c r="O10" s="620">
        <f t="shared" si="4"/>
        <v>1206141.72266666</v>
      </c>
      <c r="P10" s="620">
        <f t="shared" si="5"/>
        <v>21000</v>
      </c>
      <c r="Q10" s="620">
        <f t="shared" si="6"/>
        <v>33000</v>
      </c>
      <c r="R10" s="620">
        <f t="shared" si="7"/>
        <v>75000</v>
      </c>
      <c r="S10" s="620">
        <f t="shared" si="8"/>
        <v>20166.9273066659</v>
      </c>
      <c r="T10" s="620">
        <f t="shared" si="9"/>
        <v>0</v>
      </c>
      <c r="U10" s="620"/>
      <c r="V10" s="620">
        <f t="shared" si="10"/>
        <v>149166.927306666</v>
      </c>
      <c r="W10" s="623">
        <v>12</v>
      </c>
      <c r="X10" s="620">
        <f t="shared" si="11"/>
        <v>12430.5772755555</v>
      </c>
      <c r="Y10" s="620"/>
      <c r="Z10" s="478">
        <f t="shared" si="12"/>
        <v>12430.5772755555</v>
      </c>
      <c r="AA10" s="624"/>
      <c r="AB10" s="624"/>
      <c r="AC10" s="624"/>
    </row>
    <row r="11" s="615" customFormat="1" ht="18" spans="1:29">
      <c r="A11" s="616">
        <v>8</v>
      </c>
      <c r="B11" s="18" t="s">
        <v>31</v>
      </c>
      <c r="C11" s="618">
        <v>196744.227777778</v>
      </c>
      <c r="D11" s="619">
        <v>12</v>
      </c>
      <c r="E11" s="620">
        <f t="shared" si="13"/>
        <v>2360930.73333334</v>
      </c>
      <c r="F11" s="620"/>
      <c r="G11" s="620">
        <v>374638.96</v>
      </c>
      <c r="H11" s="620"/>
      <c r="I11" s="620">
        <f t="shared" si="0"/>
        <v>1986291.77333334</v>
      </c>
      <c r="J11" s="620">
        <v>200000</v>
      </c>
      <c r="K11" s="620">
        <v>0.2</v>
      </c>
      <c r="L11" s="620">
        <f t="shared" si="1"/>
        <v>397258.354666667</v>
      </c>
      <c r="M11" s="620">
        <f t="shared" si="2"/>
        <v>597258.354666667</v>
      </c>
      <c r="N11" s="620">
        <f t="shared" si="3"/>
        <v>971897.314666667</v>
      </c>
      <c r="O11" s="620">
        <f t="shared" si="4"/>
        <v>1389033.41866667</v>
      </c>
      <c r="P11" s="620">
        <f t="shared" si="5"/>
        <v>21000</v>
      </c>
      <c r="Q11" s="620">
        <f t="shared" si="6"/>
        <v>33000</v>
      </c>
      <c r="R11" s="620">
        <f t="shared" si="7"/>
        <v>75000</v>
      </c>
      <c r="S11" s="620">
        <f t="shared" si="8"/>
        <v>54916.3495466671</v>
      </c>
      <c r="T11" s="620">
        <f t="shared" si="9"/>
        <v>0</v>
      </c>
      <c r="U11" s="620"/>
      <c r="V11" s="620">
        <f t="shared" si="10"/>
        <v>183916.349546667</v>
      </c>
      <c r="W11" s="623">
        <v>12</v>
      </c>
      <c r="X11" s="620">
        <f t="shared" si="11"/>
        <v>15326.3624622223</v>
      </c>
      <c r="Y11" s="620"/>
      <c r="Z11" s="478">
        <f t="shared" si="12"/>
        <v>15326.3624622223</v>
      </c>
      <c r="AA11" s="624"/>
      <c r="AB11" s="624"/>
      <c r="AC11" s="624"/>
    </row>
    <row r="12" ht="18" spans="1:29">
      <c r="A12" s="464"/>
      <c r="B12" s="11"/>
      <c r="C12" s="465"/>
      <c r="D12" s="466"/>
      <c r="E12" s="467"/>
      <c r="F12" s="467"/>
      <c r="G12" s="467"/>
      <c r="H12" s="467"/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74"/>
      <c r="X12" s="467"/>
      <c r="Y12" s="467"/>
      <c r="Z12" s="478"/>
      <c r="AA12" s="479"/>
      <c r="AB12" s="479"/>
      <c r="AC12" s="479"/>
    </row>
    <row r="13" s="615" customFormat="1" ht="18" spans="1:29">
      <c r="A13" s="616">
        <v>10</v>
      </c>
      <c r="B13" s="11" t="s">
        <v>35</v>
      </c>
      <c r="C13" s="618">
        <v>268287.583333333</v>
      </c>
      <c r="D13" s="619">
        <v>12</v>
      </c>
      <c r="E13" s="620">
        <f t="shared" si="13"/>
        <v>3219451</v>
      </c>
      <c r="F13" s="620"/>
      <c r="G13" s="620">
        <v>209556.08</v>
      </c>
      <c r="H13" s="620"/>
      <c r="I13" s="620">
        <f t="shared" si="0"/>
        <v>3009894.92</v>
      </c>
      <c r="J13" s="620">
        <v>200000</v>
      </c>
      <c r="K13" s="620">
        <v>0.2</v>
      </c>
      <c r="L13" s="620">
        <f t="shared" si="1"/>
        <v>601978.983999999</v>
      </c>
      <c r="M13" s="620">
        <f t="shared" si="2"/>
        <v>801978.983999999</v>
      </c>
      <c r="N13" s="620">
        <f t="shared" si="3"/>
        <v>1011535.064</v>
      </c>
      <c r="O13" s="620">
        <f t="shared" si="4"/>
        <v>2207915.936</v>
      </c>
      <c r="P13" s="620">
        <f t="shared" si="5"/>
        <v>21000</v>
      </c>
      <c r="Q13" s="620">
        <f t="shared" si="6"/>
        <v>33000</v>
      </c>
      <c r="R13" s="620">
        <f t="shared" si="7"/>
        <v>75000</v>
      </c>
      <c r="S13" s="620">
        <f t="shared" si="8"/>
        <v>95000</v>
      </c>
      <c r="T13" s="620">
        <f t="shared" si="9"/>
        <v>127662.346559999</v>
      </c>
      <c r="U13" s="620"/>
      <c r="V13" s="620">
        <f t="shared" si="10"/>
        <v>351662.346559999</v>
      </c>
      <c r="W13" s="623">
        <v>12</v>
      </c>
      <c r="X13" s="620">
        <f t="shared" si="11"/>
        <v>29305.1955466666</v>
      </c>
      <c r="Y13" s="620"/>
      <c r="Z13" s="478">
        <f t="shared" si="12"/>
        <v>29305.1955466666</v>
      </c>
      <c r="AA13" s="624"/>
      <c r="AB13" s="624"/>
      <c r="AC13" s="624"/>
    </row>
    <row r="14" ht="18" spans="1:26">
      <c r="A14" s="464"/>
      <c r="B14" s="11"/>
      <c r="C14" s="465"/>
      <c r="D14" s="466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67"/>
      <c r="Q14" s="467"/>
      <c r="R14" s="467"/>
      <c r="S14" s="467"/>
      <c r="T14" s="467"/>
      <c r="U14" s="467"/>
      <c r="V14" s="467"/>
      <c r="W14" s="474"/>
      <c r="X14" s="467"/>
      <c r="Y14" s="467"/>
      <c r="Z14" s="478"/>
    </row>
    <row r="15" ht="18" spans="1:26">
      <c r="A15" s="616">
        <v>4</v>
      </c>
      <c r="B15" s="18" t="s">
        <v>39</v>
      </c>
      <c r="C15" s="618">
        <v>293557.916666667</v>
      </c>
      <c r="D15" s="619">
        <v>12</v>
      </c>
      <c r="E15" s="620">
        <f t="shared" ref="E15:E21" si="14">C15*D15</f>
        <v>3522695</v>
      </c>
      <c r="F15" s="620"/>
      <c r="G15" s="620">
        <v>374638.96</v>
      </c>
      <c r="H15" s="620"/>
      <c r="I15" s="620">
        <f t="shared" ref="I15:I29" si="15">E15-F15-G15-H15</f>
        <v>3148056.04</v>
      </c>
      <c r="J15" s="620">
        <v>200000</v>
      </c>
      <c r="K15" s="620">
        <v>0.2</v>
      </c>
      <c r="L15" s="620">
        <f t="shared" ref="L15:L16" si="16">I15*K15</f>
        <v>629611.208000001</v>
      </c>
      <c r="M15" s="620">
        <f t="shared" ref="M15:M16" si="17">J15+L15</f>
        <v>829611.208000001</v>
      </c>
      <c r="N15" s="620">
        <f t="shared" ref="N15:N29" si="18">F15+G15+H15+M15</f>
        <v>1204250.168</v>
      </c>
      <c r="O15" s="620">
        <f t="shared" ref="O15:O29" si="19">E15-N15</f>
        <v>2318444.832</v>
      </c>
      <c r="P15" s="620">
        <f t="shared" ref="P15:P16" si="20">IF(O15&lt;300000,0.07*O15,21000)</f>
        <v>21000</v>
      </c>
      <c r="Q15" s="620">
        <f t="shared" ref="Q15:Q16" si="21">IF((O15-300000)&lt;0,0,IF((O15-300000)&lt;300000,0.11*(O15-300000),33000))</f>
        <v>33000</v>
      </c>
      <c r="R15" s="620">
        <f t="shared" ref="R15:R16" si="22">IF((O15-600000)&lt;0,0,IF((O15-600000)&lt;500000,0.15*(O15-600000),75000))</f>
        <v>75000</v>
      </c>
      <c r="S15" s="620">
        <f t="shared" ref="S15:S16" si="23">IF((O15-1100000)&lt;0,0,IF((O15-1100000)&lt;500000,0.19*(O15-1100000),95000))</f>
        <v>95000</v>
      </c>
      <c r="T15" s="620">
        <f t="shared" ref="T15:T16" si="24">IF((O15-1600000)&lt;0,0,IF((O15-1600000)&lt;1600000,0.21*(O15-1600000),336000))</f>
        <v>150873.414720001</v>
      </c>
      <c r="U15" s="620"/>
      <c r="V15" s="620">
        <f t="shared" ref="V15:V16" si="25">P15+Q15+R15+S15+T15+U15</f>
        <v>374873.414720001</v>
      </c>
      <c r="W15" s="623">
        <v>12</v>
      </c>
      <c r="X15" s="620">
        <f t="shared" ref="X15:X16" si="26">V15/W15</f>
        <v>31239.4512266667</v>
      </c>
      <c r="Y15" s="620"/>
      <c r="Z15" s="478">
        <f t="shared" ref="Z15:Z16" si="27">X15</f>
        <v>31239.4512266667</v>
      </c>
    </row>
    <row r="16" ht="36" spans="1:26">
      <c r="A16" s="616">
        <v>5</v>
      </c>
      <c r="B16" s="11" t="s">
        <v>42</v>
      </c>
      <c r="C16" s="618">
        <v>248918.788888889</v>
      </c>
      <c r="D16" s="619">
        <v>12</v>
      </c>
      <c r="E16" s="620">
        <f t="shared" si="14"/>
        <v>2987025.46666667</v>
      </c>
      <c r="F16" s="620"/>
      <c r="G16" s="620">
        <v>245615.04</v>
      </c>
      <c r="H16" s="620"/>
      <c r="I16" s="620">
        <f t="shared" si="15"/>
        <v>2741410.42666667</v>
      </c>
      <c r="J16" s="620">
        <v>200000</v>
      </c>
      <c r="K16" s="620">
        <v>0.2</v>
      </c>
      <c r="L16" s="620">
        <f t="shared" si="16"/>
        <v>548282.085333334</v>
      </c>
      <c r="M16" s="620">
        <f t="shared" si="17"/>
        <v>748282.085333334</v>
      </c>
      <c r="N16" s="620">
        <f t="shared" si="18"/>
        <v>993897.125333334</v>
      </c>
      <c r="O16" s="620">
        <f t="shared" si="19"/>
        <v>1993128.34133333</v>
      </c>
      <c r="P16" s="620">
        <f t="shared" si="20"/>
        <v>21000</v>
      </c>
      <c r="Q16" s="620">
        <f t="shared" si="21"/>
        <v>33000</v>
      </c>
      <c r="R16" s="620">
        <f t="shared" si="22"/>
        <v>75000</v>
      </c>
      <c r="S16" s="620">
        <f t="shared" si="23"/>
        <v>95000</v>
      </c>
      <c r="T16" s="620">
        <f t="shared" si="24"/>
        <v>82556.9516800002</v>
      </c>
      <c r="U16" s="620"/>
      <c r="V16" s="620">
        <f t="shared" si="25"/>
        <v>306556.95168</v>
      </c>
      <c r="W16" s="623">
        <v>12</v>
      </c>
      <c r="X16" s="620">
        <f t="shared" si="26"/>
        <v>25546.41264</v>
      </c>
      <c r="Y16" s="620"/>
      <c r="Z16" s="478">
        <f t="shared" si="27"/>
        <v>25546.41264</v>
      </c>
    </row>
    <row r="17" ht="18" spans="1:26">
      <c r="A17" s="464"/>
      <c r="B17" s="11"/>
      <c r="C17" s="465"/>
      <c r="D17" s="466"/>
      <c r="E17" s="467"/>
      <c r="F17" s="467"/>
      <c r="G17" s="467"/>
      <c r="H17" s="467"/>
      <c r="I17" s="467"/>
      <c r="J17" s="467"/>
      <c r="K17" s="467"/>
      <c r="L17" s="467"/>
      <c r="M17" s="467"/>
      <c r="N17" s="467"/>
      <c r="O17" s="467"/>
      <c r="P17" s="467"/>
      <c r="Q17" s="467"/>
      <c r="R17" s="467"/>
      <c r="S17" s="467"/>
      <c r="T17" s="467"/>
      <c r="U17" s="467"/>
      <c r="V17" s="467"/>
      <c r="W17" s="474"/>
      <c r="X17" s="467"/>
      <c r="Y17" s="467"/>
      <c r="Z17" s="478"/>
    </row>
    <row r="18" ht="18" spans="1:26">
      <c r="A18" s="616">
        <v>7</v>
      </c>
      <c r="B18" s="18" t="s">
        <v>45</v>
      </c>
      <c r="C18" s="618">
        <v>374182.538888889</v>
      </c>
      <c r="D18" s="619">
        <v>12</v>
      </c>
      <c r="E18" s="620">
        <f t="shared" si="14"/>
        <v>4490190.46666667</v>
      </c>
      <c r="F18" s="620"/>
      <c r="G18" s="620">
        <v>281308.48</v>
      </c>
      <c r="H18" s="620"/>
      <c r="I18" s="620">
        <f t="shared" si="15"/>
        <v>4208881.98666667</v>
      </c>
      <c r="J18" s="620">
        <v>200000</v>
      </c>
      <c r="K18" s="620">
        <v>0.2</v>
      </c>
      <c r="L18" s="620">
        <f t="shared" ref="L18:L23" si="28">I18*K18</f>
        <v>841776.397333334</v>
      </c>
      <c r="M18" s="620">
        <f t="shared" ref="M18:M23" si="29">J18+L18</f>
        <v>1041776.39733333</v>
      </c>
      <c r="N18" s="620">
        <f t="shared" si="18"/>
        <v>1323084.87733333</v>
      </c>
      <c r="O18" s="620">
        <f t="shared" si="19"/>
        <v>3167105.58933333</v>
      </c>
      <c r="P18" s="620">
        <f t="shared" ref="P18:P23" si="30">IF(O18&lt;300000,0.07*O18,21000)</f>
        <v>21000</v>
      </c>
      <c r="Q18" s="620">
        <f t="shared" ref="Q18:Q23" si="31">IF((O18-300000)&lt;0,0,IF((O18-300000)&lt;300000,0.11*(O18-300000),33000))</f>
        <v>33000</v>
      </c>
      <c r="R18" s="620">
        <f t="shared" ref="R18:R23" si="32">IF((O18-600000)&lt;0,0,IF((O18-600000)&lt;500000,0.15*(O18-600000),75000))</f>
        <v>75000</v>
      </c>
      <c r="S18" s="620">
        <f t="shared" ref="S18:S23" si="33">IF((O18-1100000)&lt;0,0,IF((O18-1100000)&lt;500000,0.19*(O18-1100000),95000))</f>
        <v>95000</v>
      </c>
      <c r="T18" s="620">
        <f t="shared" ref="T18:T23" si="34">IF((O18-1600000)&lt;0,0,IF((O18-1600000)&lt;1600000,0.21*(O18-1600000),336000))</f>
        <v>329092.17376</v>
      </c>
      <c r="U18" s="467"/>
      <c r="V18" s="620">
        <f t="shared" ref="V18:V23" si="35">P18+Q18+R18+S18+T18+U18</f>
        <v>553092.17376</v>
      </c>
      <c r="W18" s="623">
        <v>12</v>
      </c>
      <c r="X18" s="620">
        <f t="shared" ref="X18:X23" si="36">V18/W18</f>
        <v>46091.01448</v>
      </c>
      <c r="Y18" s="620"/>
      <c r="Z18" s="478">
        <f t="shared" ref="Z18:Z23" si="37">X18</f>
        <v>46091.01448</v>
      </c>
    </row>
    <row r="19" ht="18" spans="1:26">
      <c r="A19" s="616"/>
      <c r="B19" s="11"/>
      <c r="C19" s="618"/>
      <c r="D19" s="619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467"/>
      <c r="V19" s="620"/>
      <c r="W19" s="623"/>
      <c r="X19" s="620"/>
      <c r="Y19" s="620"/>
      <c r="Z19" s="478"/>
    </row>
    <row r="20" ht="18" spans="1:26">
      <c r="A20" s="464">
        <v>9</v>
      </c>
      <c r="B20" s="11" t="s">
        <v>52</v>
      </c>
      <c r="C20" s="465">
        <v>374182.538888889</v>
      </c>
      <c r="D20" s="466">
        <v>12</v>
      </c>
      <c r="E20" s="467">
        <f t="shared" si="14"/>
        <v>4490190.46666667</v>
      </c>
      <c r="F20" s="467"/>
      <c r="G20" s="467">
        <v>209556.08</v>
      </c>
      <c r="H20" s="467"/>
      <c r="I20" s="467">
        <f t="shared" si="15"/>
        <v>4280634.38666667</v>
      </c>
      <c r="J20" s="467">
        <v>200000</v>
      </c>
      <c r="K20" s="467">
        <v>0.2</v>
      </c>
      <c r="L20" s="467">
        <f t="shared" si="28"/>
        <v>856126.877333334</v>
      </c>
      <c r="M20" s="467">
        <f t="shared" si="29"/>
        <v>1056126.87733333</v>
      </c>
      <c r="N20" s="467">
        <f t="shared" si="18"/>
        <v>1265682.95733333</v>
      </c>
      <c r="O20" s="467">
        <f t="shared" si="19"/>
        <v>3224507.50933333</v>
      </c>
      <c r="P20" s="467">
        <f t="shared" si="30"/>
        <v>21000</v>
      </c>
      <c r="Q20" s="467">
        <f t="shared" si="31"/>
        <v>33000</v>
      </c>
      <c r="R20" s="467">
        <f t="shared" si="32"/>
        <v>75000</v>
      </c>
      <c r="S20" s="467">
        <f t="shared" si="33"/>
        <v>95000</v>
      </c>
      <c r="T20" s="467">
        <f t="shared" si="34"/>
        <v>336000</v>
      </c>
      <c r="U20" s="467">
        <f t="shared" ref="U20" si="38">24%*(O20-3200000)</f>
        <v>5881.80224000037</v>
      </c>
      <c r="V20" s="467">
        <f t="shared" si="35"/>
        <v>565881.80224</v>
      </c>
      <c r="W20" s="474">
        <v>12</v>
      </c>
      <c r="X20" s="467">
        <f t="shared" si="36"/>
        <v>47156.8168533334</v>
      </c>
      <c r="Y20" s="467"/>
      <c r="Z20" s="478">
        <f t="shared" si="37"/>
        <v>47156.8168533334</v>
      </c>
    </row>
    <row r="21" ht="18" spans="1:26">
      <c r="A21" s="616">
        <v>10</v>
      </c>
      <c r="B21" s="18" t="s">
        <v>54</v>
      </c>
      <c r="C21" s="618">
        <v>233410.894444444</v>
      </c>
      <c r="D21" s="619">
        <v>12</v>
      </c>
      <c r="E21" s="620">
        <f t="shared" si="14"/>
        <v>2800930.73333333</v>
      </c>
      <c r="F21" s="620"/>
      <c r="G21" s="620">
        <v>209556.08</v>
      </c>
      <c r="H21" s="620"/>
      <c r="I21" s="620">
        <f t="shared" si="15"/>
        <v>2591374.65333333</v>
      </c>
      <c r="J21" s="620">
        <v>200000</v>
      </c>
      <c r="K21" s="620">
        <v>0.2</v>
      </c>
      <c r="L21" s="620">
        <f t="shared" si="28"/>
        <v>518274.930666666</v>
      </c>
      <c r="M21" s="620">
        <f t="shared" si="29"/>
        <v>718274.930666666</v>
      </c>
      <c r="N21" s="620">
        <f t="shared" si="18"/>
        <v>927831.010666666</v>
      </c>
      <c r="O21" s="620">
        <f t="shared" si="19"/>
        <v>1873099.72266666</v>
      </c>
      <c r="P21" s="620">
        <f t="shared" si="30"/>
        <v>21000</v>
      </c>
      <c r="Q21" s="620">
        <f t="shared" si="31"/>
        <v>33000</v>
      </c>
      <c r="R21" s="620">
        <f t="shared" si="32"/>
        <v>75000</v>
      </c>
      <c r="S21" s="620">
        <f t="shared" si="33"/>
        <v>95000</v>
      </c>
      <c r="T21" s="620">
        <f t="shared" si="34"/>
        <v>57350.9417599992</v>
      </c>
      <c r="U21" s="467"/>
      <c r="V21" s="620">
        <f t="shared" si="35"/>
        <v>281350.941759999</v>
      </c>
      <c r="W21" s="623">
        <v>12</v>
      </c>
      <c r="X21" s="620">
        <f t="shared" si="36"/>
        <v>23445.9118133333</v>
      </c>
      <c r="Y21" s="620"/>
      <c r="Z21" s="478">
        <f t="shared" si="37"/>
        <v>23445.9118133333</v>
      </c>
    </row>
    <row r="22" ht="18" spans="1:26">
      <c r="A22" s="464"/>
      <c r="B22" s="11"/>
      <c r="C22" s="465"/>
      <c r="D22" s="466"/>
      <c r="E22" s="467"/>
      <c r="F22" s="467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7"/>
      <c r="R22" s="467"/>
      <c r="S22" s="467"/>
      <c r="T22" s="467"/>
      <c r="U22" s="467"/>
      <c r="V22" s="467"/>
      <c r="W22" s="474"/>
      <c r="X22" s="467"/>
      <c r="Y22" s="467"/>
      <c r="Z22" s="478"/>
    </row>
    <row r="23" ht="18" spans="1:26">
      <c r="A23" s="616">
        <v>4</v>
      </c>
      <c r="B23" s="18" t="s">
        <v>57</v>
      </c>
      <c r="C23" s="618">
        <v>216305.833333333</v>
      </c>
      <c r="D23" s="619">
        <v>12</v>
      </c>
      <c r="E23" s="620">
        <f t="shared" ref="E23:E35" si="39">C23*D23</f>
        <v>2595670</v>
      </c>
      <c r="F23" s="620"/>
      <c r="G23" s="620">
        <v>374638.96</v>
      </c>
      <c r="H23" s="620"/>
      <c r="I23" s="620">
        <f t="shared" si="15"/>
        <v>2221031.04</v>
      </c>
      <c r="J23" s="620">
        <v>200000</v>
      </c>
      <c r="K23" s="620">
        <v>0.2</v>
      </c>
      <c r="L23" s="620">
        <f t="shared" si="28"/>
        <v>444206.207999999</v>
      </c>
      <c r="M23" s="620">
        <f t="shared" si="29"/>
        <v>644206.207999999</v>
      </c>
      <c r="N23" s="620">
        <f t="shared" si="18"/>
        <v>1018845.168</v>
      </c>
      <c r="O23" s="620">
        <f t="shared" si="19"/>
        <v>1576824.832</v>
      </c>
      <c r="P23" s="620">
        <f t="shared" si="30"/>
        <v>21000</v>
      </c>
      <c r="Q23" s="620">
        <f t="shared" si="31"/>
        <v>33000</v>
      </c>
      <c r="R23" s="620">
        <f t="shared" si="32"/>
        <v>75000</v>
      </c>
      <c r="S23" s="620">
        <f t="shared" si="33"/>
        <v>90596.7180799994</v>
      </c>
      <c r="T23" s="620">
        <f t="shared" si="34"/>
        <v>0</v>
      </c>
      <c r="U23" s="467"/>
      <c r="V23" s="620">
        <f t="shared" si="35"/>
        <v>219596.718079999</v>
      </c>
      <c r="W23" s="623">
        <v>12</v>
      </c>
      <c r="X23" s="620">
        <f t="shared" si="36"/>
        <v>18299.7265066666</v>
      </c>
      <c r="Y23" s="620"/>
      <c r="Z23" s="478">
        <f t="shared" si="37"/>
        <v>18299.7265066666</v>
      </c>
    </row>
    <row r="24" ht="18" spans="1:26">
      <c r="A24" s="616"/>
      <c r="B24" s="11"/>
      <c r="C24" s="618"/>
      <c r="D24" s="619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0"/>
      <c r="P24" s="620"/>
      <c r="Q24" s="620"/>
      <c r="R24" s="620"/>
      <c r="S24" s="620"/>
      <c r="T24" s="620"/>
      <c r="U24" s="467"/>
      <c r="V24" s="620"/>
      <c r="W24" s="623"/>
      <c r="X24" s="620"/>
      <c r="Y24" s="620"/>
      <c r="Z24" s="478"/>
    </row>
    <row r="25" ht="18" spans="1:26">
      <c r="A25" s="464">
        <v>6</v>
      </c>
      <c r="B25" s="11" t="s">
        <v>59</v>
      </c>
      <c r="C25" s="465">
        <v>337515.872222222</v>
      </c>
      <c r="D25" s="466">
        <v>12</v>
      </c>
      <c r="E25" s="467">
        <f t="shared" si="39"/>
        <v>4050190.46666666</v>
      </c>
      <c r="F25" s="467"/>
      <c r="G25" s="467">
        <v>209556.08</v>
      </c>
      <c r="H25" s="467"/>
      <c r="I25" s="467">
        <f t="shared" si="15"/>
        <v>3840634.38666666</v>
      </c>
      <c r="J25" s="467">
        <v>200000</v>
      </c>
      <c r="K25" s="467">
        <v>0.2</v>
      </c>
      <c r="L25" s="467">
        <f>I25*K25</f>
        <v>768126.877333333</v>
      </c>
      <c r="M25" s="467">
        <f>J25+L25</f>
        <v>968126.877333333</v>
      </c>
      <c r="N25" s="467">
        <f t="shared" si="18"/>
        <v>1177682.95733333</v>
      </c>
      <c r="O25" s="467">
        <f t="shared" si="19"/>
        <v>2872507.50933333</v>
      </c>
      <c r="P25" s="467">
        <f>IF(O25&lt;300000,0.07*O25,21000)</f>
        <v>21000</v>
      </c>
      <c r="Q25" s="467">
        <f>IF((O25-300000)&lt;0,0,IF((O25-300000)&lt;300000,0.11*(O25-300000),33000))</f>
        <v>33000</v>
      </c>
      <c r="R25" s="467">
        <f>IF((O25-600000)&lt;0,0,IF((O25-600000)&lt;500000,0.15*(O25-600000),75000))</f>
        <v>75000</v>
      </c>
      <c r="S25" s="467">
        <f>IF((O25-1100000)&lt;0,0,IF((O25-1100000)&lt;500000,0.19*(O25-1100000),95000))</f>
        <v>95000</v>
      </c>
      <c r="T25" s="467">
        <f>IF((O25-1600000)&lt;0,0,IF((O25-1600000)&lt;1600000,0.21*(O25-1600000),336000))</f>
        <v>267226.57696</v>
      </c>
      <c r="U25" s="467"/>
      <c r="V25" s="467">
        <f>P25+Q25+R25+S25+T25+U25</f>
        <v>491226.57696</v>
      </c>
      <c r="W25" s="474">
        <v>12</v>
      </c>
      <c r="X25" s="467">
        <f>V25/W25</f>
        <v>40935.54808</v>
      </c>
      <c r="Y25" s="467"/>
      <c r="Z25" s="478">
        <f>X25</f>
        <v>40935.54808</v>
      </c>
    </row>
    <row r="26" ht="18" spans="1:26">
      <c r="A26" s="616"/>
      <c r="B26" s="11"/>
      <c r="C26" s="618"/>
      <c r="D26" s="619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467"/>
      <c r="V26" s="620"/>
      <c r="W26" s="623"/>
      <c r="X26" s="620"/>
      <c r="Y26" s="620"/>
      <c r="Z26" s="478"/>
    </row>
    <row r="27" ht="18" spans="1:26">
      <c r="A27" s="616">
        <v>8</v>
      </c>
      <c r="B27" s="18" t="s">
        <v>62</v>
      </c>
      <c r="C27" s="618">
        <v>260955.933333333</v>
      </c>
      <c r="D27" s="619">
        <v>12</v>
      </c>
      <c r="E27" s="620">
        <f t="shared" si="39"/>
        <v>3131471.2</v>
      </c>
      <c r="F27" s="620"/>
      <c r="G27" s="620">
        <v>374638.96</v>
      </c>
      <c r="H27" s="620"/>
      <c r="I27" s="620">
        <f t="shared" si="15"/>
        <v>2756832.24</v>
      </c>
      <c r="J27" s="620">
        <v>200000</v>
      </c>
      <c r="K27" s="620">
        <v>0.2</v>
      </c>
      <c r="L27" s="620">
        <f t="shared" ref="L27:L29" si="40">I27*K27</f>
        <v>551366.447999999</v>
      </c>
      <c r="M27" s="620">
        <f t="shared" ref="M27:M29" si="41">J27+L27</f>
        <v>751366.447999999</v>
      </c>
      <c r="N27" s="620">
        <f t="shared" si="18"/>
        <v>1126005.408</v>
      </c>
      <c r="O27" s="620">
        <f t="shared" si="19"/>
        <v>2005465.792</v>
      </c>
      <c r="P27" s="620">
        <f t="shared" ref="P27:P29" si="42">IF(O27&lt;300000,0.07*O27,21000)</f>
        <v>21000</v>
      </c>
      <c r="Q27" s="620">
        <f t="shared" ref="Q27:Q29" si="43">IF((O27-300000)&lt;0,0,IF((O27-300000)&lt;300000,0.11*(O27-300000),33000))</f>
        <v>33000</v>
      </c>
      <c r="R27" s="620">
        <f t="shared" ref="R27:R29" si="44">IF((O27-600000)&lt;0,0,IF((O27-600000)&lt;500000,0.15*(O27-600000),75000))</f>
        <v>75000</v>
      </c>
      <c r="S27" s="620">
        <f t="shared" ref="S27:S29" si="45">IF((O27-1100000)&lt;0,0,IF((O27-1100000)&lt;500000,0.19*(O27-1100000),95000))</f>
        <v>95000</v>
      </c>
      <c r="T27" s="620">
        <f t="shared" ref="T27:T29" si="46">IF((O27-1600000)&lt;0,0,IF((O27-1600000)&lt;1600000,0.21*(O27-1600000),336000))</f>
        <v>85147.8163199993</v>
      </c>
      <c r="U27" s="467"/>
      <c r="V27" s="620">
        <f t="shared" ref="V27:V29" si="47">P27+Q27+R27+S27+T27+U27</f>
        <v>309147.816319999</v>
      </c>
      <c r="W27" s="623">
        <v>12</v>
      </c>
      <c r="X27" s="620">
        <f t="shared" ref="X27:X29" si="48">V27/W27</f>
        <v>25762.3180266666</v>
      </c>
      <c r="Y27" s="620"/>
      <c r="Z27" s="478">
        <f t="shared" ref="Z27:Z29" si="49">X27</f>
        <v>25762.3180266666</v>
      </c>
    </row>
    <row r="28" ht="36" spans="1:26">
      <c r="A28" s="464">
        <v>9</v>
      </c>
      <c r="B28" s="18" t="s">
        <v>64</v>
      </c>
      <c r="C28" s="465">
        <v>260955.933333333</v>
      </c>
      <c r="D28" s="466">
        <v>12</v>
      </c>
      <c r="E28" s="467">
        <f t="shared" si="39"/>
        <v>3131471.2</v>
      </c>
      <c r="F28" s="467"/>
      <c r="G28" s="467">
        <v>209556.08</v>
      </c>
      <c r="H28" s="467"/>
      <c r="I28" s="467">
        <f t="shared" si="15"/>
        <v>2921915.12</v>
      </c>
      <c r="J28" s="467">
        <v>200000</v>
      </c>
      <c r="K28" s="467">
        <v>0.2</v>
      </c>
      <c r="L28" s="467">
        <f t="shared" si="40"/>
        <v>584383.023999999</v>
      </c>
      <c r="M28" s="467">
        <f t="shared" si="41"/>
        <v>784383.023999999</v>
      </c>
      <c r="N28" s="467">
        <f t="shared" si="18"/>
        <v>993939.103999999</v>
      </c>
      <c r="O28" s="467">
        <f t="shared" si="19"/>
        <v>2137532.096</v>
      </c>
      <c r="P28" s="467">
        <f t="shared" si="42"/>
        <v>21000</v>
      </c>
      <c r="Q28" s="467">
        <f t="shared" si="43"/>
        <v>33000</v>
      </c>
      <c r="R28" s="467">
        <f t="shared" si="44"/>
        <v>75000</v>
      </c>
      <c r="S28" s="467">
        <f t="shared" si="45"/>
        <v>95000</v>
      </c>
      <c r="T28" s="467">
        <f t="shared" si="46"/>
        <v>112881.740159999</v>
      </c>
      <c r="U28" s="467"/>
      <c r="V28" s="467">
        <f t="shared" si="47"/>
        <v>336881.740159999</v>
      </c>
      <c r="W28" s="474">
        <v>12</v>
      </c>
      <c r="X28" s="467">
        <f t="shared" si="48"/>
        <v>28073.4783466666</v>
      </c>
      <c r="Y28" s="467"/>
      <c r="Z28" s="478">
        <f t="shared" si="49"/>
        <v>28073.4783466666</v>
      </c>
    </row>
    <row r="29" ht="18" spans="1:26">
      <c r="A29" s="616">
        <v>10</v>
      </c>
      <c r="B29" s="18" t="s">
        <v>65</v>
      </c>
      <c r="C29" s="618">
        <v>212191.722222222</v>
      </c>
      <c r="D29" s="619">
        <v>12</v>
      </c>
      <c r="E29" s="620">
        <f t="shared" si="39"/>
        <v>2546300.66666666</v>
      </c>
      <c r="F29" s="620"/>
      <c r="G29" s="620">
        <v>209556.08</v>
      </c>
      <c r="H29" s="620"/>
      <c r="I29" s="620">
        <f t="shared" si="15"/>
        <v>2336744.58666666</v>
      </c>
      <c r="J29" s="620">
        <v>200000</v>
      </c>
      <c r="K29" s="620">
        <v>0.2</v>
      </c>
      <c r="L29" s="620">
        <f t="shared" si="40"/>
        <v>467348.917333333</v>
      </c>
      <c r="M29" s="620">
        <f t="shared" si="41"/>
        <v>667348.917333333</v>
      </c>
      <c r="N29" s="620">
        <f t="shared" si="18"/>
        <v>876904.997333333</v>
      </c>
      <c r="O29" s="620">
        <f t="shared" si="19"/>
        <v>1669395.66933333</v>
      </c>
      <c r="P29" s="620">
        <f t="shared" si="42"/>
        <v>21000</v>
      </c>
      <c r="Q29" s="620">
        <f t="shared" si="43"/>
        <v>33000</v>
      </c>
      <c r="R29" s="620">
        <f t="shared" si="44"/>
        <v>75000</v>
      </c>
      <c r="S29" s="620">
        <f t="shared" si="45"/>
        <v>95000</v>
      </c>
      <c r="T29" s="620">
        <f t="shared" si="46"/>
        <v>14573.0905599995</v>
      </c>
      <c r="U29" s="467"/>
      <c r="V29" s="620">
        <f t="shared" si="47"/>
        <v>238573.090559999</v>
      </c>
      <c r="W29" s="623">
        <v>12</v>
      </c>
      <c r="X29" s="620">
        <f t="shared" si="48"/>
        <v>19881.09088</v>
      </c>
      <c r="Y29" s="620"/>
      <c r="Z29" s="478">
        <f t="shared" si="49"/>
        <v>19881.09088</v>
      </c>
    </row>
    <row r="30" ht="18" spans="1:26">
      <c r="A30" s="464"/>
      <c r="B30" s="11"/>
      <c r="C30" s="465"/>
      <c r="D30" s="466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74"/>
      <c r="X30" s="467"/>
      <c r="Y30" s="467"/>
      <c r="Z30" s="478"/>
    </row>
    <row r="31" ht="18" spans="1:26">
      <c r="A31" s="616">
        <v>7</v>
      </c>
      <c r="B31" s="18" t="s">
        <v>68</v>
      </c>
      <c r="C31" s="618">
        <v>196744.227777778</v>
      </c>
      <c r="D31" s="619">
        <v>12</v>
      </c>
      <c r="E31" s="620">
        <f t="shared" si="39"/>
        <v>2360930.73333334</v>
      </c>
      <c r="F31" s="620"/>
      <c r="G31" s="620">
        <v>281308.48</v>
      </c>
      <c r="H31" s="620"/>
      <c r="I31" s="620">
        <f t="shared" ref="I31:I35" si="50">E31-F31-G31-H31</f>
        <v>2079622.25333334</v>
      </c>
      <c r="J31" s="620">
        <v>200000</v>
      </c>
      <c r="K31" s="620">
        <v>0.2</v>
      </c>
      <c r="L31" s="620">
        <f t="shared" ref="L31:L35" si="51">I31*K31</f>
        <v>415924.450666667</v>
      </c>
      <c r="M31" s="620">
        <f t="shared" ref="M31:M35" si="52">J31+L31</f>
        <v>615924.450666667</v>
      </c>
      <c r="N31" s="620">
        <f t="shared" ref="N31:N35" si="53">F31+G31+H31+M31</f>
        <v>897232.930666667</v>
      </c>
      <c r="O31" s="620">
        <f t="shared" ref="O31:O35" si="54">E31-N31</f>
        <v>1463697.80266667</v>
      </c>
      <c r="P31" s="620">
        <f t="shared" ref="P31:P35" si="55">IF(O31&lt;300000,0.07*O31,21000)</f>
        <v>21000</v>
      </c>
      <c r="Q31" s="620">
        <f t="shared" ref="Q31:Q35" si="56">IF((O31-300000)&lt;0,0,IF((O31-300000)&lt;300000,0.11*(O31-300000),33000))</f>
        <v>33000</v>
      </c>
      <c r="R31" s="620">
        <f t="shared" ref="R31:R35" si="57">IF((O31-600000)&lt;0,0,IF((O31-600000)&lt;500000,0.15*(O31-600000),75000))</f>
        <v>75000</v>
      </c>
      <c r="S31" s="620">
        <f t="shared" ref="S31:S35" si="58">IF((O31-1100000)&lt;0,0,IF((O31-1100000)&lt;500000,0.19*(O31-1100000),95000))</f>
        <v>69102.5825066671</v>
      </c>
      <c r="T31" s="620">
        <f t="shared" ref="T31:T35" si="59">IF((O31-1600000)&lt;0,0,IF((O31-1600000)&lt;1600000,0.21*(O31-1600000),336000))</f>
        <v>0</v>
      </c>
      <c r="U31" s="467"/>
      <c r="V31" s="620">
        <f t="shared" ref="V31:V35" si="60">P31+Q31+R31+S31+T31+U31</f>
        <v>198102.582506667</v>
      </c>
      <c r="W31" s="623">
        <v>12</v>
      </c>
      <c r="X31" s="620">
        <f t="shared" ref="X31:X35" si="61">V31/W31</f>
        <v>16508.5485422223</v>
      </c>
      <c r="Y31" s="620"/>
      <c r="Z31" s="478">
        <f t="shared" ref="Z31:Z35" si="62">X31</f>
        <v>16508.5485422223</v>
      </c>
    </row>
    <row r="32" ht="18" spans="1:26">
      <c r="A32" s="616"/>
      <c r="B32" s="11"/>
      <c r="C32" s="618"/>
      <c r="D32" s="619"/>
      <c r="E32" s="620"/>
      <c r="F32" s="620"/>
      <c r="G32" s="620"/>
      <c r="H32" s="620"/>
      <c r="I32" s="620"/>
      <c r="J32" s="620"/>
      <c r="K32" s="620"/>
      <c r="L32" s="620"/>
      <c r="M32" s="620"/>
      <c r="N32" s="620"/>
      <c r="O32" s="620"/>
      <c r="P32" s="620"/>
      <c r="Q32" s="620"/>
      <c r="R32" s="620"/>
      <c r="S32" s="620"/>
      <c r="T32" s="620"/>
      <c r="U32" s="467"/>
      <c r="V32" s="620"/>
      <c r="W32" s="623"/>
      <c r="X32" s="620"/>
      <c r="Y32" s="620"/>
      <c r="Z32" s="478"/>
    </row>
    <row r="33" ht="18" spans="1:26">
      <c r="A33" s="464">
        <v>9</v>
      </c>
      <c r="B33" s="18" t="s">
        <v>72</v>
      </c>
      <c r="C33" s="465">
        <v>353029.67</v>
      </c>
      <c r="D33" s="466">
        <v>12</v>
      </c>
      <c r="E33" s="467">
        <f t="shared" si="39"/>
        <v>4236356.04</v>
      </c>
      <c r="F33" s="467"/>
      <c r="G33" s="467">
        <v>209556.08</v>
      </c>
      <c r="H33" s="467"/>
      <c r="I33" s="467">
        <f t="shared" si="50"/>
        <v>4026799.96</v>
      </c>
      <c r="J33" s="467">
        <v>200000</v>
      </c>
      <c r="K33" s="467">
        <v>0.2</v>
      </c>
      <c r="L33" s="467">
        <f t="shared" si="51"/>
        <v>805359.992</v>
      </c>
      <c r="M33" s="467">
        <f t="shared" si="52"/>
        <v>1005359.992</v>
      </c>
      <c r="N33" s="467">
        <f t="shared" si="53"/>
        <v>1214916.072</v>
      </c>
      <c r="O33" s="467">
        <f t="shared" si="54"/>
        <v>3021439.968</v>
      </c>
      <c r="P33" s="467">
        <f t="shared" si="55"/>
        <v>21000</v>
      </c>
      <c r="Q33" s="467">
        <f t="shared" si="56"/>
        <v>33000</v>
      </c>
      <c r="R33" s="467">
        <f t="shared" si="57"/>
        <v>75000</v>
      </c>
      <c r="S33" s="467">
        <f t="shared" si="58"/>
        <v>95000</v>
      </c>
      <c r="T33" s="467">
        <f t="shared" si="59"/>
        <v>298502.39328</v>
      </c>
      <c r="U33" s="467"/>
      <c r="V33" s="467">
        <f t="shared" si="60"/>
        <v>522502.39328</v>
      </c>
      <c r="W33" s="474">
        <v>12</v>
      </c>
      <c r="X33" s="467">
        <f t="shared" si="61"/>
        <v>43541.8661066667</v>
      </c>
      <c r="Y33" s="467"/>
      <c r="Z33" s="478">
        <f t="shared" si="62"/>
        <v>43541.8661066667</v>
      </c>
    </row>
    <row r="34" ht="18" spans="1:26">
      <c r="A34" s="616">
        <v>10</v>
      </c>
      <c r="B34" s="18" t="s">
        <v>74</v>
      </c>
      <c r="C34" s="618">
        <v>169915.469444444</v>
      </c>
      <c r="D34" s="619">
        <v>12</v>
      </c>
      <c r="E34" s="620">
        <f t="shared" si="39"/>
        <v>2038985.63333333</v>
      </c>
      <c r="F34" s="620"/>
      <c r="G34" s="620">
        <v>209556.08</v>
      </c>
      <c r="H34" s="620"/>
      <c r="I34" s="620">
        <f t="shared" si="50"/>
        <v>1829429.55333333</v>
      </c>
      <c r="J34" s="620">
        <v>200000</v>
      </c>
      <c r="K34" s="620">
        <v>0.2</v>
      </c>
      <c r="L34" s="620">
        <f t="shared" si="51"/>
        <v>365885.910666666</v>
      </c>
      <c r="M34" s="620">
        <f t="shared" si="52"/>
        <v>565885.910666666</v>
      </c>
      <c r="N34" s="620">
        <f t="shared" si="53"/>
        <v>775441.990666665</v>
      </c>
      <c r="O34" s="620">
        <f t="shared" si="54"/>
        <v>1263543.64266666</v>
      </c>
      <c r="P34" s="620">
        <f t="shared" si="55"/>
        <v>21000</v>
      </c>
      <c r="Q34" s="620">
        <f t="shared" si="56"/>
        <v>33000</v>
      </c>
      <c r="R34" s="620">
        <f t="shared" si="57"/>
        <v>75000</v>
      </c>
      <c r="S34" s="620">
        <f t="shared" si="58"/>
        <v>31073.2921066659</v>
      </c>
      <c r="T34" s="620">
        <f t="shared" si="59"/>
        <v>0</v>
      </c>
      <c r="U34" s="467"/>
      <c r="V34" s="620">
        <f t="shared" si="60"/>
        <v>160073.292106666</v>
      </c>
      <c r="W34" s="623">
        <v>12</v>
      </c>
      <c r="X34" s="620">
        <f t="shared" si="61"/>
        <v>13339.4410088888</v>
      </c>
      <c r="Y34" s="620"/>
      <c r="Z34" s="478">
        <f t="shared" si="62"/>
        <v>13339.4410088888</v>
      </c>
    </row>
    <row r="35" ht="18" spans="1:26">
      <c r="A35" s="464">
        <v>3</v>
      </c>
      <c r="B35" s="18" t="s">
        <v>76</v>
      </c>
      <c r="C35" s="465">
        <v>268287.583333333</v>
      </c>
      <c r="D35" s="466">
        <v>12</v>
      </c>
      <c r="E35" s="467">
        <f t="shared" si="39"/>
        <v>3219451</v>
      </c>
      <c r="F35" s="467"/>
      <c r="G35" s="467">
        <v>209556.08</v>
      </c>
      <c r="H35" s="467"/>
      <c r="I35" s="467">
        <f t="shared" si="50"/>
        <v>3009894.92</v>
      </c>
      <c r="J35" s="467">
        <v>200000</v>
      </c>
      <c r="K35" s="467">
        <v>0.2</v>
      </c>
      <c r="L35" s="467">
        <f t="shared" si="51"/>
        <v>601978.983999999</v>
      </c>
      <c r="M35" s="467">
        <f t="shared" si="52"/>
        <v>801978.983999999</v>
      </c>
      <c r="N35" s="467">
        <f t="shared" si="53"/>
        <v>1011535.064</v>
      </c>
      <c r="O35" s="467">
        <f t="shared" si="54"/>
        <v>2207915.936</v>
      </c>
      <c r="P35" s="467">
        <f t="shared" si="55"/>
        <v>21000</v>
      </c>
      <c r="Q35" s="467">
        <f t="shared" si="56"/>
        <v>33000</v>
      </c>
      <c r="R35" s="467">
        <f t="shared" si="57"/>
        <v>75000</v>
      </c>
      <c r="S35" s="467">
        <f t="shared" si="58"/>
        <v>95000</v>
      </c>
      <c r="T35" s="467">
        <f t="shared" si="59"/>
        <v>127662.346559999</v>
      </c>
      <c r="U35" s="467"/>
      <c r="V35" s="467">
        <f t="shared" si="60"/>
        <v>351662.346559999</v>
      </c>
      <c r="W35" s="474">
        <v>12</v>
      </c>
      <c r="X35" s="467">
        <f t="shared" si="61"/>
        <v>29305.1955466666</v>
      </c>
      <c r="Y35" s="467"/>
      <c r="Z35" s="478">
        <f t="shared" si="62"/>
        <v>29305.1955466666</v>
      </c>
    </row>
    <row r="37" ht="13" spans="22:26">
      <c r="V37" s="296" t="s">
        <v>166</v>
      </c>
      <c r="X37" s="710">
        <f>SUM(X6:X36)</f>
        <v>575190.051368888</v>
      </c>
      <c r="Y37" s="710">
        <f t="shared" ref="Y37:Z37" si="63">SUM(Y6:Y36)</f>
        <v>0</v>
      </c>
      <c r="Z37" s="710">
        <f t="shared" si="63"/>
        <v>575190.051368888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F14" sqref="F14"/>
    </sheetView>
  </sheetViews>
  <sheetFormatPr defaultColWidth="9" defaultRowHeight="12.5" outlineLevelRow="4"/>
  <cols>
    <col min="1" max="1" width="5.42727272727273" customWidth="1"/>
    <col min="2" max="2" width="23.4272727272727" customWidth="1"/>
    <col min="3" max="3" width="20.4272727272727" customWidth="1"/>
    <col min="5" max="5" width="12.1363636363636" customWidth="1"/>
    <col min="7" max="7" width="12.1363636363636" customWidth="1"/>
    <col min="10" max="10" width="12.1363636363636" customWidth="1"/>
    <col min="15" max="17" width="11" customWidth="1"/>
    <col min="18" max="19" width="12.1363636363636" customWidth="1"/>
  </cols>
  <sheetData>
    <row r="1" s="1" customFormat="1" ht="49.5" customHeight="1" spans="1:19">
      <c r="A1" s="281"/>
      <c r="B1" s="696" t="s">
        <v>2</v>
      </c>
      <c r="C1" s="697" t="s">
        <v>3</v>
      </c>
      <c r="D1" s="698" t="s">
        <v>4</v>
      </c>
      <c r="E1" s="699" t="s">
        <v>5</v>
      </c>
      <c r="F1" s="699" t="s">
        <v>6</v>
      </c>
      <c r="G1" s="699" t="s">
        <v>7</v>
      </c>
      <c r="H1" s="699" t="s">
        <v>7</v>
      </c>
      <c r="I1" s="699" t="s">
        <v>8</v>
      </c>
      <c r="J1" s="704" t="s">
        <v>9</v>
      </c>
      <c r="K1" s="699" t="s">
        <v>10</v>
      </c>
      <c r="L1" s="699" t="s">
        <v>11</v>
      </c>
      <c r="M1" s="699" t="s">
        <v>12</v>
      </c>
      <c r="N1" s="699" t="s">
        <v>13</v>
      </c>
      <c r="O1" s="705" t="s">
        <v>14</v>
      </c>
      <c r="P1" s="699" t="s">
        <v>15</v>
      </c>
      <c r="Q1" s="704" t="s">
        <v>16</v>
      </c>
      <c r="R1" s="707" t="s">
        <v>167</v>
      </c>
      <c r="S1" s="708" t="s">
        <v>168</v>
      </c>
    </row>
    <row r="2" s="1" customFormat="1" ht="17.25" customHeight="1" spans="1:19">
      <c r="A2" s="700"/>
      <c r="B2" s="700"/>
      <c r="C2" s="701"/>
      <c r="D2" s="701"/>
      <c r="E2" s="702" t="s">
        <v>19</v>
      </c>
      <c r="F2" s="702" t="s">
        <v>19</v>
      </c>
      <c r="G2" s="702" t="s">
        <v>19</v>
      </c>
      <c r="H2" s="702" t="s">
        <v>19</v>
      </c>
      <c r="I2" s="702" t="s">
        <v>19</v>
      </c>
      <c r="J2" s="706" t="s">
        <v>19</v>
      </c>
      <c r="K2" s="702" t="s">
        <v>19</v>
      </c>
      <c r="L2" s="702" t="s">
        <v>19</v>
      </c>
      <c r="M2" s="702" t="s">
        <v>19</v>
      </c>
      <c r="N2" s="702" t="s">
        <v>19</v>
      </c>
      <c r="O2" s="702" t="s">
        <v>19</v>
      </c>
      <c r="P2" s="702" t="s">
        <v>19</v>
      </c>
      <c r="Q2" s="706" t="s">
        <v>19</v>
      </c>
      <c r="R2" s="702" t="s">
        <v>19</v>
      </c>
      <c r="S2" s="706" t="s">
        <v>19</v>
      </c>
    </row>
    <row r="5" s="1" customFormat="1" ht="20.1" customHeight="1" spans="1:20">
      <c r="A5" s="703">
        <v>1</v>
      </c>
      <c r="B5" s="351" t="s">
        <v>39</v>
      </c>
      <c r="C5" s="86" t="s">
        <v>40</v>
      </c>
      <c r="D5" s="645" t="s">
        <v>41</v>
      </c>
      <c r="E5" s="647">
        <f>353512.5</f>
        <v>353512.5</v>
      </c>
      <c r="F5" s="646"/>
      <c r="G5" s="647">
        <f>110000</f>
        <v>110000</v>
      </c>
      <c r="H5" s="647"/>
      <c r="I5" s="646"/>
      <c r="J5" s="657">
        <f t="shared" ref="J5" si="0">SUM(E5:I5)</f>
        <v>463512.5</v>
      </c>
      <c r="K5" s="646"/>
      <c r="L5" s="646"/>
      <c r="M5" s="646"/>
      <c r="N5" s="646"/>
      <c r="O5" s="646">
        <v>62231.1146666667</v>
      </c>
      <c r="P5" s="646">
        <v>28281</v>
      </c>
      <c r="Q5" s="657">
        <f t="shared" ref="Q5" si="1">O5+N5+M5+L5+K5+P5</f>
        <v>90512.1146666667</v>
      </c>
      <c r="R5" s="646">
        <v>262318.46544</v>
      </c>
      <c r="S5" s="709">
        <v>262318.47</v>
      </c>
      <c r="T5" s="13"/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C15" sqref="C15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690" t="s">
        <v>2</v>
      </c>
      <c r="C4" s="691" t="s">
        <v>3</v>
      </c>
      <c r="D4" s="692" t="s">
        <v>4</v>
      </c>
      <c r="E4" s="682" t="s">
        <v>5</v>
      </c>
      <c r="F4" s="682" t="s">
        <v>7</v>
      </c>
      <c r="G4" s="682" t="s">
        <v>8</v>
      </c>
      <c r="H4" s="693" t="s">
        <v>9</v>
      </c>
      <c r="I4" s="682" t="s">
        <v>169</v>
      </c>
      <c r="J4" s="682" t="s">
        <v>15</v>
      </c>
      <c r="K4" s="694" t="s">
        <v>16</v>
      </c>
      <c r="L4" s="695" t="s">
        <v>170</v>
      </c>
    </row>
    <row r="5" s="1" customFormat="1" ht="37.5" customHeight="1" spans="1:13">
      <c r="A5" s="1">
        <v>1</v>
      </c>
      <c r="B5" s="351" t="s">
        <v>171</v>
      </c>
      <c r="C5" s="83" t="s">
        <v>172</v>
      </c>
      <c r="D5" s="15" t="s">
        <v>173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2:12">
      <c r="B6" s="351" t="s">
        <v>174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2">
      <c r="A7" s="1">
        <v>2</v>
      </c>
      <c r="B7" s="351" t="s">
        <v>175</v>
      </c>
      <c r="C7" s="83" t="s">
        <v>176</v>
      </c>
      <c r="D7" s="15" t="s">
        <v>177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 t="e">
        <f>'MARCH 2025 NEW'!#REF!</f>
        <v>#REF!</v>
      </c>
      <c r="K7" s="510" t="e">
        <f>I7+J7</f>
        <v>#REF!</v>
      </c>
      <c r="L7" s="509" t="e">
        <f t="shared" si="1"/>
        <v>#REF!</v>
      </c>
    </row>
    <row r="8" ht="28.5" customHeight="1" spans="1:12">
      <c r="A8" s="1"/>
      <c r="B8" s="22" t="s">
        <v>33</v>
      </c>
      <c r="C8" s="12"/>
      <c r="D8" s="15"/>
      <c r="E8" s="85"/>
      <c r="F8" s="220"/>
      <c r="G8" s="85"/>
      <c r="H8" s="509"/>
      <c r="I8" s="85"/>
      <c r="J8" s="85"/>
      <c r="K8" s="510"/>
      <c r="L8" s="516" t="e">
        <f>SUM(L6:L7)</f>
        <v>#REF!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7" t="s">
        <v>178</v>
      </c>
      <c r="B1" s="687"/>
      <c r="C1" s="687"/>
      <c r="D1" s="687"/>
      <c r="E1" s="687"/>
      <c r="F1" s="687"/>
    </row>
    <row r="2" ht="48.95" customHeight="1" spans="1:6">
      <c r="A2" s="68" t="s">
        <v>20</v>
      </c>
      <c r="B2" s="42" t="s">
        <v>145</v>
      </c>
      <c r="C2" s="688" t="s">
        <v>4</v>
      </c>
      <c r="D2" s="259" t="s">
        <v>179</v>
      </c>
      <c r="E2" s="259" t="s">
        <v>180</v>
      </c>
      <c r="F2" s="259" t="s">
        <v>181</v>
      </c>
    </row>
    <row r="3" ht="30" customHeight="1" spans="1:6">
      <c r="A3" s="49">
        <v>1</v>
      </c>
      <c r="B3" s="43" t="s">
        <v>182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183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184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185</v>
      </c>
      <c r="C6" s="773" t="s">
        <v>186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187</v>
      </c>
      <c r="C7" s="773" t="s">
        <v>188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189</v>
      </c>
      <c r="C8" s="773" t="s">
        <v>188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190</v>
      </c>
      <c r="C9" s="773" t="s">
        <v>188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191</v>
      </c>
      <c r="C10" s="773" t="s">
        <v>188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33</v>
      </c>
      <c r="C11" s="42"/>
      <c r="D11" s="689">
        <f>SUM(D3:D10)</f>
        <v>4760000</v>
      </c>
      <c r="E11" s="689">
        <f t="shared" ref="E11:F11" si="3">SUM(E3:E10)</f>
        <v>725370.68</v>
      </c>
      <c r="F11" s="689">
        <f t="shared" si="3"/>
        <v>4034629.32</v>
      </c>
    </row>
    <row r="14" ht="52.5" spans="1:6">
      <c r="A14" s="68" t="s">
        <v>20</v>
      </c>
      <c r="B14" s="42" t="s">
        <v>145</v>
      </c>
      <c r="C14" s="688" t="s">
        <v>4</v>
      </c>
      <c r="D14" s="259" t="s">
        <v>179</v>
      </c>
      <c r="E14" s="259" t="s">
        <v>180</v>
      </c>
      <c r="F14" s="259" t="s">
        <v>181</v>
      </c>
    </row>
    <row r="15" ht="36" spans="2:6">
      <c r="B15" s="198" t="s">
        <v>192</v>
      </c>
      <c r="C15" s="773" t="s">
        <v>186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2:6">
      <c r="B16" s="198" t="s">
        <v>193</v>
      </c>
      <c r="C16" s="773" t="s">
        <v>194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33</v>
      </c>
      <c r="C17" s="42"/>
      <c r="D17" s="689">
        <f>SUM(D15:D16)</f>
        <v>840000</v>
      </c>
      <c r="E17" s="689">
        <f t="shared" ref="E17:F17" si="8">SUM(E15:E16)</f>
        <v>117459.55</v>
      </c>
      <c r="F17" s="689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C16" sqref="C16"/>
    </sheetView>
  </sheetViews>
  <sheetFormatPr defaultColWidth="9" defaultRowHeight="12.5"/>
  <cols>
    <col min="1" max="1" width="5" customWidth="1"/>
    <col min="2" max="2" width="26.2818181818182" customWidth="1"/>
    <col min="3" max="3" width="17.1363636363636" customWidth="1"/>
    <col min="4" max="4" width="14.5727272727273" customWidth="1"/>
    <col min="5" max="5" width="15.5727272727273" customWidth="1"/>
    <col min="6" max="6" width="14.5727272727273" customWidth="1"/>
    <col min="8" max="8" width="15.5727272727273" customWidth="1"/>
    <col min="9" max="9" width="13.2818181818182" customWidth="1"/>
    <col min="10" max="10" width="9.85454545454546" customWidth="1"/>
    <col min="11" max="11" width="13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69" t="s">
        <v>20</v>
      </c>
      <c r="B1" s="90" t="s">
        <v>2</v>
      </c>
      <c r="C1" s="90" t="s">
        <v>3</v>
      </c>
      <c r="D1" s="670" t="s">
        <v>4</v>
      </c>
      <c r="E1" s="90" t="s">
        <v>195</v>
      </c>
      <c r="F1" s="670" t="s">
        <v>196</v>
      </c>
      <c r="G1" s="670" t="s">
        <v>197</v>
      </c>
      <c r="H1" s="670" t="s">
        <v>9</v>
      </c>
      <c r="I1" s="680" t="s">
        <v>101</v>
      </c>
      <c r="J1" s="680"/>
      <c r="K1" s="680"/>
      <c r="L1" s="680"/>
      <c r="M1" s="680"/>
      <c r="N1" s="681" t="s">
        <v>198</v>
      </c>
    </row>
    <row r="2" ht="54.95" customHeight="1" spans="1:14">
      <c r="A2" s="669"/>
      <c r="B2" s="90"/>
      <c r="C2" s="90"/>
      <c r="D2" s="90"/>
      <c r="E2" s="90"/>
      <c r="F2" s="670"/>
      <c r="G2" s="670"/>
      <c r="H2" s="90"/>
      <c r="I2" s="682" t="s">
        <v>199</v>
      </c>
      <c r="J2" s="682" t="s">
        <v>200</v>
      </c>
      <c r="K2" s="682" t="s">
        <v>201</v>
      </c>
      <c r="L2" s="682" t="s">
        <v>202</v>
      </c>
      <c r="M2" s="682" t="s">
        <v>16</v>
      </c>
      <c r="N2" s="681"/>
    </row>
    <row r="3" ht="17.5" spans="1:14">
      <c r="A3" s="9"/>
      <c r="B3" s="5"/>
      <c r="C3" s="5"/>
      <c r="D3" s="5"/>
      <c r="E3" s="5"/>
      <c r="F3" s="671"/>
      <c r="G3" s="671"/>
      <c r="H3" s="5"/>
      <c r="I3" s="671"/>
      <c r="J3" s="671"/>
      <c r="K3" s="671"/>
      <c r="L3" s="671"/>
      <c r="M3" s="671"/>
      <c r="N3" s="683"/>
    </row>
    <row r="4" ht="18" spans="1:14">
      <c r="A4" s="4"/>
      <c r="B4" s="4"/>
      <c r="C4" s="4"/>
      <c r="D4" s="4"/>
      <c r="E4" s="672" t="s">
        <v>19</v>
      </c>
      <c r="F4" s="672" t="s">
        <v>19</v>
      </c>
      <c r="G4" s="672" t="s">
        <v>19</v>
      </c>
      <c r="H4" s="672" t="s">
        <v>19</v>
      </c>
      <c r="I4" s="672" t="s">
        <v>19</v>
      </c>
      <c r="J4" s="672" t="s">
        <v>19</v>
      </c>
      <c r="K4" s="672" t="s">
        <v>19</v>
      </c>
      <c r="L4" s="672" t="s">
        <v>19</v>
      </c>
      <c r="M4" s="672" t="s">
        <v>19</v>
      </c>
      <c r="N4" s="684" t="s">
        <v>19</v>
      </c>
    </row>
    <row r="5" ht="18" spans="1:14">
      <c r="A5" s="4">
        <v>1</v>
      </c>
      <c r="B5" s="11" t="s">
        <v>203</v>
      </c>
      <c r="C5" s="43" t="s">
        <v>204</v>
      </c>
      <c r="D5" s="43" t="s">
        <v>30</v>
      </c>
      <c r="E5" s="673">
        <f>'[2]Annual &amp; Monthly'!$H$36</f>
        <v>218287.583333333</v>
      </c>
      <c r="F5" s="674">
        <v>50000</v>
      </c>
      <c r="G5" s="674"/>
      <c r="H5" s="675">
        <f t="shared" ref="H5:H12" si="0">E5+F5+G5</f>
        <v>268287.583333333</v>
      </c>
      <c r="I5" s="675">
        <f>50000</f>
        <v>50000</v>
      </c>
      <c r="J5" s="675"/>
      <c r="K5" s="675">
        <v>29305.1955466667</v>
      </c>
      <c r="L5" s="676">
        <f>218287.583333333*0.08</f>
        <v>17463.0066666666</v>
      </c>
      <c r="M5" s="676">
        <f>I5+J5+K5+L5</f>
        <v>96768.2022133333</v>
      </c>
      <c r="N5" s="685">
        <f t="shared" ref="N5:N12" si="1">H5-M5</f>
        <v>171519.38112</v>
      </c>
    </row>
    <row r="6" ht="18" spans="1:14">
      <c r="A6" s="4">
        <v>2</v>
      </c>
      <c r="B6" s="11" t="s">
        <v>183</v>
      </c>
      <c r="C6" s="43" t="s">
        <v>205</v>
      </c>
      <c r="D6" s="43" t="s">
        <v>47</v>
      </c>
      <c r="E6" s="673">
        <f>'[2]Annual &amp; Monthly'!$H$40</f>
        <v>390248.916666667</v>
      </c>
      <c r="F6" s="674">
        <f>70000</f>
        <v>70000</v>
      </c>
      <c r="G6" s="674"/>
      <c r="H6" s="676">
        <f t="shared" si="0"/>
        <v>460248.916666667</v>
      </c>
      <c r="I6" s="675">
        <v>50000</v>
      </c>
      <c r="J6" s="675"/>
      <c r="K6" s="675">
        <v>61040.2353066667</v>
      </c>
      <c r="L6" s="85">
        <f>390248.916666667*0.08</f>
        <v>31219.9133333334</v>
      </c>
      <c r="M6" s="676">
        <f t="shared" ref="M6:M12" si="2">I6+J6+K6+L6</f>
        <v>142260.14864</v>
      </c>
      <c r="N6" s="685">
        <f t="shared" si="1"/>
        <v>317988.768026667</v>
      </c>
    </row>
    <row r="7" ht="18" spans="1:14">
      <c r="A7" s="4">
        <v>3</v>
      </c>
      <c r="B7" s="11" t="s">
        <v>206</v>
      </c>
      <c r="C7" s="43" t="s">
        <v>207</v>
      </c>
      <c r="D7" s="43" t="s">
        <v>24</v>
      </c>
      <c r="E7" s="673">
        <f>'[2]Annual &amp; Monthly'!$H$37</f>
        <v>255849</v>
      </c>
      <c r="F7" s="674">
        <f>60000</f>
        <v>60000</v>
      </c>
      <c r="G7" s="674"/>
      <c r="H7" s="676">
        <f t="shared" si="0"/>
        <v>315849</v>
      </c>
      <c r="I7" s="675">
        <v>20000</v>
      </c>
      <c r="J7" s="675"/>
      <c r="K7" s="675">
        <v>36790.6881066667</v>
      </c>
      <c r="L7" s="676">
        <f>255849*0.08</f>
        <v>20467.92</v>
      </c>
      <c r="M7" s="676">
        <f t="shared" si="2"/>
        <v>77258.6081066667</v>
      </c>
      <c r="N7" s="685">
        <f t="shared" si="1"/>
        <v>238590.391893333</v>
      </c>
    </row>
    <row r="8" ht="36" spans="1:14">
      <c r="A8" s="4">
        <v>4</v>
      </c>
      <c r="B8" s="11" t="s">
        <v>208</v>
      </c>
      <c r="C8" s="43" t="s">
        <v>209</v>
      </c>
      <c r="D8" s="43" t="s">
        <v>30</v>
      </c>
      <c r="E8" s="673">
        <v>218287.583333333</v>
      </c>
      <c r="F8" s="674">
        <f>50000</f>
        <v>50000</v>
      </c>
      <c r="G8" s="674"/>
      <c r="H8" s="676">
        <f t="shared" si="0"/>
        <v>268287.583333333</v>
      </c>
      <c r="I8" s="675">
        <v>100000</v>
      </c>
      <c r="J8" s="675"/>
      <c r="K8" s="675">
        <v>29305.1955466667</v>
      </c>
      <c r="L8" s="676">
        <f>218287.583333333*0.08</f>
        <v>17463.0066666666</v>
      </c>
      <c r="M8" s="676">
        <f t="shared" si="2"/>
        <v>146768.202213333</v>
      </c>
      <c r="N8" s="685">
        <f t="shared" si="1"/>
        <v>121519.38112</v>
      </c>
    </row>
    <row r="9" ht="18" spans="1:14">
      <c r="A9" s="4">
        <v>5</v>
      </c>
      <c r="B9" s="11" t="s">
        <v>210</v>
      </c>
      <c r="C9" s="43" t="s">
        <v>211</v>
      </c>
      <c r="D9" s="43" t="s">
        <v>37</v>
      </c>
      <c r="E9" s="673">
        <f>'[2]Annual &amp; Monthly'!$H$38</f>
        <v>293029.666666667</v>
      </c>
      <c r="F9" s="674">
        <f>60000</f>
        <v>60000</v>
      </c>
      <c r="G9" s="674"/>
      <c r="H9" s="676">
        <f t="shared" si="0"/>
        <v>353029.666666667</v>
      </c>
      <c r="I9" s="675">
        <v>40000</v>
      </c>
      <c r="J9" s="675"/>
      <c r="K9" s="675">
        <v>42537.3319466667</v>
      </c>
      <c r="L9" s="676">
        <f>293029.666666667*0.08</f>
        <v>23442.3733333334</v>
      </c>
      <c r="M9" s="676">
        <f t="shared" si="2"/>
        <v>105979.70528</v>
      </c>
      <c r="N9" s="685">
        <f t="shared" si="1"/>
        <v>247049.961386667</v>
      </c>
    </row>
    <row r="10" ht="36" spans="1:14">
      <c r="A10" s="4">
        <v>6</v>
      </c>
      <c r="B10" s="11" t="s">
        <v>212</v>
      </c>
      <c r="C10" s="43" t="s">
        <v>213</v>
      </c>
      <c r="D10" s="43" t="s">
        <v>47</v>
      </c>
      <c r="E10" s="673">
        <v>390248.916666667</v>
      </c>
      <c r="F10" s="674">
        <f>120000</f>
        <v>120000</v>
      </c>
      <c r="G10" s="674"/>
      <c r="H10" s="676">
        <f t="shared" si="0"/>
        <v>510248.916666667</v>
      </c>
      <c r="I10" s="675"/>
      <c r="J10" s="675"/>
      <c r="K10" s="675">
        <v>70640.2353066667</v>
      </c>
      <c r="L10" s="85">
        <f>390248.916666667*0.08</f>
        <v>31219.9133333334</v>
      </c>
      <c r="M10" s="676">
        <f t="shared" si="2"/>
        <v>101860.14864</v>
      </c>
      <c r="N10" s="685">
        <f t="shared" si="1"/>
        <v>408388.768026667</v>
      </c>
    </row>
    <row r="11" ht="18" spans="1:14">
      <c r="A11" s="4">
        <v>7</v>
      </c>
      <c r="B11" s="11" t="s">
        <v>190</v>
      </c>
      <c r="C11" s="43" t="s">
        <v>214</v>
      </c>
      <c r="D11" s="43" t="s">
        <v>30</v>
      </c>
      <c r="E11" s="673">
        <f>218287.583333333</f>
        <v>218287.583333333</v>
      </c>
      <c r="F11" s="677">
        <f>50000</f>
        <v>50000</v>
      </c>
      <c r="G11" s="677"/>
      <c r="H11" s="676">
        <f t="shared" si="0"/>
        <v>268287.583333333</v>
      </c>
      <c r="I11" s="675"/>
      <c r="J11" s="675"/>
      <c r="K11" s="675">
        <v>29305.1955466666</v>
      </c>
      <c r="L11" s="676">
        <f t="shared" ref="L11:L12" si="3">218287.583333333*0.08</f>
        <v>17463.0066666666</v>
      </c>
      <c r="M11" s="676">
        <f t="shared" si="2"/>
        <v>46768.2022133332</v>
      </c>
      <c r="N11" s="685">
        <f t="shared" si="1"/>
        <v>221519.38112</v>
      </c>
    </row>
    <row r="12" ht="36" spans="1:14">
      <c r="A12" s="4">
        <v>8</v>
      </c>
      <c r="B12" s="11" t="s">
        <v>191</v>
      </c>
      <c r="C12" s="43" t="s">
        <v>214</v>
      </c>
      <c r="D12" s="43" t="s">
        <v>30</v>
      </c>
      <c r="E12" s="673">
        <f>218287.583333333</f>
        <v>218287.583333333</v>
      </c>
      <c r="F12" s="677">
        <f>50000</f>
        <v>50000</v>
      </c>
      <c r="G12" s="677"/>
      <c r="H12" s="676">
        <f t="shared" si="0"/>
        <v>268287.583333333</v>
      </c>
      <c r="I12" s="675"/>
      <c r="J12" s="675"/>
      <c r="K12" s="675">
        <v>29305.1955466666</v>
      </c>
      <c r="L12" s="676">
        <f t="shared" si="3"/>
        <v>17463.0066666666</v>
      </c>
      <c r="M12" s="676">
        <f t="shared" si="2"/>
        <v>46768.2022133332</v>
      </c>
      <c r="N12" s="685">
        <f t="shared" si="1"/>
        <v>221519.38112</v>
      </c>
    </row>
    <row r="13" ht="24" customHeight="1" spans="1:14">
      <c r="A13" s="10"/>
      <c r="B13" s="678" t="s">
        <v>33</v>
      </c>
      <c r="C13" s="20"/>
      <c r="D13" s="20"/>
      <c r="E13" s="679">
        <f>SUM(E5:E12)</f>
        <v>2202526.83333333</v>
      </c>
      <c r="F13" s="679">
        <f t="shared" ref="F13:N13" si="4">SUM(F5:F12)</f>
        <v>510000</v>
      </c>
      <c r="G13" s="679">
        <f t="shared" si="4"/>
        <v>0</v>
      </c>
      <c r="H13" s="679">
        <f t="shared" si="4"/>
        <v>2712526.83333333</v>
      </c>
      <c r="I13" s="679">
        <f t="shared" si="4"/>
        <v>260000</v>
      </c>
      <c r="J13" s="679">
        <f t="shared" si="4"/>
        <v>0</v>
      </c>
      <c r="K13" s="679">
        <f t="shared" si="4"/>
        <v>328229.272853333</v>
      </c>
      <c r="L13" s="679">
        <f t="shared" si="4"/>
        <v>176202.146666667</v>
      </c>
      <c r="M13" s="679">
        <f t="shared" si="4"/>
        <v>764431.41952</v>
      </c>
      <c r="N13" s="686">
        <f t="shared" si="4"/>
        <v>1948095.41381333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A4" workbookViewId="0">
      <selection activeCell="G16" sqref="G1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142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144</v>
      </c>
      <c r="B4" s="462" t="s">
        <v>145</v>
      </c>
      <c r="C4" s="463" t="s">
        <v>146</v>
      </c>
      <c r="D4" s="462" t="s">
        <v>147</v>
      </c>
      <c r="E4" s="463" t="s">
        <v>148</v>
      </c>
      <c r="F4" s="463" t="s">
        <v>149</v>
      </c>
      <c r="G4" s="463" t="s">
        <v>150</v>
      </c>
      <c r="H4" s="463" t="s">
        <v>151</v>
      </c>
      <c r="I4" s="463" t="s">
        <v>152</v>
      </c>
      <c r="J4" s="463"/>
      <c r="K4" s="463"/>
      <c r="L4" s="463"/>
      <c r="M4" s="463" t="s">
        <v>153</v>
      </c>
      <c r="N4" s="463" t="s">
        <v>154</v>
      </c>
      <c r="O4" s="463" t="s">
        <v>155</v>
      </c>
      <c r="P4" s="463" t="s">
        <v>156</v>
      </c>
      <c r="Q4" s="463" t="s">
        <v>157</v>
      </c>
      <c r="R4" s="463" t="s">
        <v>158</v>
      </c>
      <c r="S4" s="463" t="s">
        <v>159</v>
      </c>
      <c r="T4" s="463" t="s">
        <v>160</v>
      </c>
      <c r="U4" s="463" t="s">
        <v>161</v>
      </c>
      <c r="V4" s="463" t="s">
        <v>162</v>
      </c>
      <c r="W4" s="463"/>
      <c r="X4" s="463" t="s">
        <v>163</v>
      </c>
      <c r="Y4" s="463" t="s">
        <v>164</v>
      </c>
      <c r="Z4" s="476" t="s">
        <v>165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1" t="s">
        <v>203</v>
      </c>
      <c r="C6" s="465">
        <v>268287.583333333</v>
      </c>
      <c r="D6" s="466">
        <v>12</v>
      </c>
      <c r="E6" s="467">
        <f>C6*D6</f>
        <v>3219451</v>
      </c>
      <c r="F6" s="467"/>
      <c r="G6" s="467">
        <v>209556.08</v>
      </c>
      <c r="H6" s="467"/>
      <c r="I6" s="467">
        <f t="shared" ref="I6:I13" si="0">E6-F6-G6-H6</f>
        <v>3009894.92</v>
      </c>
      <c r="J6" s="467">
        <v>200000</v>
      </c>
      <c r="K6" s="467">
        <v>0.2</v>
      </c>
      <c r="L6" s="467">
        <f t="shared" ref="L6:L13" si="1">I6*K6</f>
        <v>601978.983999999</v>
      </c>
      <c r="M6" s="467">
        <f t="shared" ref="M6:M13" si="2">J6+L6</f>
        <v>801978.983999999</v>
      </c>
      <c r="N6" s="467">
        <f t="shared" ref="N6:N13" si="3">F6+G6+H6+M6</f>
        <v>1011535.064</v>
      </c>
      <c r="O6" s="467">
        <f t="shared" ref="O6:O13" si="4">E6-N6</f>
        <v>2207915.936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127662.346559999</v>
      </c>
      <c r="U6" s="467"/>
      <c r="V6" s="467">
        <f t="shared" ref="V6:V13" si="10">P6+Q6+R6+S6+T6+U6</f>
        <v>351662.346559999</v>
      </c>
      <c r="W6" s="474">
        <v>12</v>
      </c>
      <c r="X6" s="467">
        <f t="shared" ref="X6:X13" si="11">V6/W6</f>
        <v>29305.1955466666</v>
      </c>
      <c r="Y6" s="467"/>
      <c r="Z6" s="478">
        <f t="shared" ref="Z6:Z13" si="12">X6</f>
        <v>29305.1955466666</v>
      </c>
      <c r="AA6" s="479"/>
      <c r="AB6" s="479"/>
      <c r="AC6" s="479"/>
    </row>
    <row r="7" s="615" customFormat="1" ht="18" spans="1:29">
      <c r="A7" s="616">
        <v>4</v>
      </c>
      <c r="B7" s="11" t="s">
        <v>183</v>
      </c>
      <c r="C7" s="618">
        <v>460248.916666667</v>
      </c>
      <c r="D7" s="619">
        <v>12</v>
      </c>
      <c r="E7" s="620">
        <f t="shared" ref="E7:E13" si="13">C7*D7</f>
        <v>5522987</v>
      </c>
      <c r="F7" s="620"/>
      <c r="G7" s="620">
        <v>374638.96</v>
      </c>
      <c r="H7" s="620"/>
      <c r="I7" s="620">
        <f t="shared" si="0"/>
        <v>5148348.04</v>
      </c>
      <c r="J7" s="620">
        <v>200000</v>
      </c>
      <c r="K7" s="620">
        <v>0.2</v>
      </c>
      <c r="L7" s="620">
        <f t="shared" si="1"/>
        <v>1029669.608</v>
      </c>
      <c r="M7" s="620">
        <f t="shared" si="2"/>
        <v>1229669.608</v>
      </c>
      <c r="N7" s="620">
        <f t="shared" si="3"/>
        <v>1604308.568</v>
      </c>
      <c r="O7" s="620">
        <f t="shared" si="4"/>
        <v>3918678.432</v>
      </c>
      <c r="P7" s="620">
        <f t="shared" si="5"/>
        <v>21000</v>
      </c>
      <c r="Q7" s="620">
        <f t="shared" si="6"/>
        <v>33000</v>
      </c>
      <c r="R7" s="620">
        <f t="shared" si="7"/>
        <v>75000</v>
      </c>
      <c r="S7" s="620">
        <f t="shared" si="8"/>
        <v>95000</v>
      </c>
      <c r="T7" s="620">
        <f t="shared" si="9"/>
        <v>336000</v>
      </c>
      <c r="U7" s="620">
        <f t="shared" ref="U7:U11" si="14">24%*(O7-3200000)</f>
        <v>172482.823680001</v>
      </c>
      <c r="V7" s="620">
        <f t="shared" si="10"/>
        <v>732482.823680001</v>
      </c>
      <c r="W7" s="623">
        <v>12</v>
      </c>
      <c r="X7" s="620">
        <f t="shared" si="11"/>
        <v>61040.2353066667</v>
      </c>
      <c r="Y7" s="620"/>
      <c r="Z7" s="478">
        <f t="shared" si="12"/>
        <v>61040.2353066667</v>
      </c>
      <c r="AA7" s="624"/>
      <c r="AB7" s="624"/>
      <c r="AC7" s="624"/>
    </row>
    <row r="8" s="615" customFormat="1" ht="18" spans="1:29">
      <c r="A8" s="616">
        <v>5</v>
      </c>
      <c r="B8" s="11" t="s">
        <v>206</v>
      </c>
      <c r="C8" s="618">
        <v>315849</v>
      </c>
      <c r="D8" s="619">
        <v>12</v>
      </c>
      <c r="E8" s="620">
        <f t="shared" si="13"/>
        <v>3790188</v>
      </c>
      <c r="F8" s="620"/>
      <c r="G8" s="620">
        <v>245615.04</v>
      </c>
      <c r="H8" s="620"/>
      <c r="I8" s="620">
        <f t="shared" si="0"/>
        <v>3544572.96</v>
      </c>
      <c r="J8" s="620">
        <v>200000</v>
      </c>
      <c r="K8" s="620">
        <v>0.2</v>
      </c>
      <c r="L8" s="620">
        <f t="shared" si="1"/>
        <v>708914.592</v>
      </c>
      <c r="M8" s="620">
        <f t="shared" si="2"/>
        <v>908914.592</v>
      </c>
      <c r="N8" s="620">
        <f t="shared" si="3"/>
        <v>1154529.632</v>
      </c>
      <c r="O8" s="620">
        <f t="shared" si="4"/>
        <v>2635658.368</v>
      </c>
      <c r="P8" s="620">
        <f t="shared" si="5"/>
        <v>21000</v>
      </c>
      <c r="Q8" s="620">
        <f t="shared" si="6"/>
        <v>33000</v>
      </c>
      <c r="R8" s="620">
        <f t="shared" si="7"/>
        <v>75000</v>
      </c>
      <c r="S8" s="620">
        <f t="shared" si="8"/>
        <v>95000</v>
      </c>
      <c r="T8" s="620">
        <f t="shared" si="9"/>
        <v>217488.25728</v>
      </c>
      <c r="U8" s="620"/>
      <c r="V8" s="620">
        <f t="shared" si="10"/>
        <v>441488.25728</v>
      </c>
      <c r="W8" s="623">
        <v>12</v>
      </c>
      <c r="X8" s="620">
        <f t="shared" si="11"/>
        <v>36790.6881066667</v>
      </c>
      <c r="Y8" s="620"/>
      <c r="Z8" s="478">
        <f t="shared" si="12"/>
        <v>36790.6881066667</v>
      </c>
      <c r="AA8" s="624"/>
      <c r="AB8" s="624"/>
      <c r="AC8" s="624"/>
    </row>
    <row r="9" ht="18" spans="1:29">
      <c r="A9" s="464">
        <v>6</v>
      </c>
      <c r="B9" s="11" t="s">
        <v>208</v>
      </c>
      <c r="C9" s="465">
        <v>268287.583333333</v>
      </c>
      <c r="D9" s="466">
        <v>12</v>
      </c>
      <c r="E9" s="467">
        <f t="shared" si="13"/>
        <v>3219451</v>
      </c>
      <c r="F9" s="467"/>
      <c r="G9" s="467">
        <v>209556.08</v>
      </c>
      <c r="H9" s="467"/>
      <c r="I9" s="467">
        <f t="shared" si="0"/>
        <v>3009894.92</v>
      </c>
      <c r="J9" s="467">
        <v>200000</v>
      </c>
      <c r="K9" s="467">
        <v>0.2</v>
      </c>
      <c r="L9" s="467">
        <f t="shared" si="1"/>
        <v>601978.983999999</v>
      </c>
      <c r="M9" s="467">
        <f t="shared" si="2"/>
        <v>801978.983999999</v>
      </c>
      <c r="N9" s="467">
        <f t="shared" si="3"/>
        <v>1011535.064</v>
      </c>
      <c r="O9" s="467">
        <f t="shared" si="4"/>
        <v>2207915.936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127662.346559999</v>
      </c>
      <c r="U9" s="467"/>
      <c r="V9" s="467">
        <f t="shared" si="10"/>
        <v>351662.346559999</v>
      </c>
      <c r="W9" s="474">
        <v>12</v>
      </c>
      <c r="X9" s="467">
        <f t="shared" si="11"/>
        <v>29305.1955466666</v>
      </c>
      <c r="Y9" s="467"/>
      <c r="Z9" s="478">
        <f t="shared" si="12"/>
        <v>29305.1955466666</v>
      </c>
      <c r="AA9" s="479"/>
      <c r="AB9" s="479"/>
      <c r="AC9" s="479"/>
    </row>
    <row r="10" s="615" customFormat="1" ht="18" spans="1:29">
      <c r="A10" s="616">
        <v>7</v>
      </c>
      <c r="B10" s="11" t="s">
        <v>210</v>
      </c>
      <c r="C10" s="618">
        <v>353029.666666667</v>
      </c>
      <c r="D10" s="619">
        <v>12</v>
      </c>
      <c r="E10" s="620">
        <f t="shared" si="13"/>
        <v>4236356</v>
      </c>
      <c r="F10" s="620"/>
      <c r="G10" s="620">
        <v>281308.48</v>
      </c>
      <c r="H10" s="620"/>
      <c r="I10" s="620">
        <f t="shared" si="0"/>
        <v>3955047.52</v>
      </c>
      <c r="J10" s="620">
        <v>200000</v>
      </c>
      <c r="K10" s="620">
        <v>0.2</v>
      </c>
      <c r="L10" s="620">
        <f t="shared" si="1"/>
        <v>791009.504000001</v>
      </c>
      <c r="M10" s="620">
        <f t="shared" si="2"/>
        <v>991009.504000001</v>
      </c>
      <c r="N10" s="620">
        <f t="shared" si="3"/>
        <v>1272317.984</v>
      </c>
      <c r="O10" s="620">
        <f t="shared" si="4"/>
        <v>2964038.016</v>
      </c>
      <c r="P10" s="620">
        <f t="shared" si="5"/>
        <v>21000</v>
      </c>
      <c r="Q10" s="620">
        <f t="shared" si="6"/>
        <v>33000</v>
      </c>
      <c r="R10" s="620">
        <f t="shared" si="7"/>
        <v>75000</v>
      </c>
      <c r="S10" s="620">
        <f t="shared" si="8"/>
        <v>95000</v>
      </c>
      <c r="T10" s="620">
        <f t="shared" si="9"/>
        <v>286447.983360001</v>
      </c>
      <c r="U10" s="620"/>
      <c r="V10" s="620">
        <f t="shared" si="10"/>
        <v>510447.983360001</v>
      </c>
      <c r="W10" s="623">
        <v>12</v>
      </c>
      <c r="X10" s="620">
        <f t="shared" si="11"/>
        <v>42537.3319466667</v>
      </c>
      <c r="Y10" s="620"/>
      <c r="Z10" s="478">
        <f t="shared" si="12"/>
        <v>42537.3319466667</v>
      </c>
      <c r="AA10" s="624"/>
      <c r="AB10" s="624"/>
      <c r="AC10" s="624"/>
    </row>
    <row r="11" s="615" customFormat="1" ht="18" spans="1:29">
      <c r="A11" s="616">
        <v>8</v>
      </c>
      <c r="B11" s="11" t="s">
        <v>212</v>
      </c>
      <c r="C11" s="618">
        <v>510248.916666667</v>
      </c>
      <c r="D11" s="619">
        <v>12</v>
      </c>
      <c r="E11" s="620">
        <f t="shared" si="13"/>
        <v>6122987</v>
      </c>
      <c r="F11" s="620"/>
      <c r="G11" s="620">
        <v>374638.96</v>
      </c>
      <c r="H11" s="620"/>
      <c r="I11" s="620">
        <f t="shared" si="0"/>
        <v>5748348.04</v>
      </c>
      <c r="J11" s="620">
        <v>200000</v>
      </c>
      <c r="K11" s="620">
        <v>0.2</v>
      </c>
      <c r="L11" s="620">
        <f t="shared" si="1"/>
        <v>1149669.608</v>
      </c>
      <c r="M11" s="620">
        <f t="shared" si="2"/>
        <v>1349669.608</v>
      </c>
      <c r="N11" s="620">
        <f t="shared" si="3"/>
        <v>1724308.568</v>
      </c>
      <c r="O11" s="620">
        <f t="shared" si="4"/>
        <v>4398678.432</v>
      </c>
      <c r="P11" s="620">
        <f t="shared" si="5"/>
        <v>21000</v>
      </c>
      <c r="Q11" s="620">
        <f t="shared" si="6"/>
        <v>33000</v>
      </c>
      <c r="R11" s="620">
        <f t="shared" si="7"/>
        <v>75000</v>
      </c>
      <c r="S11" s="620">
        <f t="shared" si="8"/>
        <v>95000</v>
      </c>
      <c r="T11" s="620">
        <f t="shared" si="9"/>
        <v>336000</v>
      </c>
      <c r="U11" s="620">
        <f t="shared" si="14"/>
        <v>287682.823680001</v>
      </c>
      <c r="V11" s="620">
        <f t="shared" si="10"/>
        <v>847682.823680001</v>
      </c>
      <c r="W11" s="623">
        <v>12</v>
      </c>
      <c r="X11" s="620">
        <f t="shared" si="11"/>
        <v>70640.2353066667</v>
      </c>
      <c r="Y11" s="620"/>
      <c r="Z11" s="478">
        <f t="shared" si="12"/>
        <v>70640.2353066667</v>
      </c>
      <c r="AA11" s="624"/>
      <c r="AB11" s="624"/>
      <c r="AC11" s="624"/>
    </row>
    <row r="12" ht="18" spans="1:29">
      <c r="A12" s="464">
        <v>9</v>
      </c>
      <c r="B12" s="11" t="s">
        <v>190</v>
      </c>
      <c r="C12" s="465">
        <v>268287.583333333</v>
      </c>
      <c r="D12" s="466">
        <v>12</v>
      </c>
      <c r="E12" s="467">
        <f t="shared" si="13"/>
        <v>3219451</v>
      </c>
      <c r="F12" s="467"/>
      <c r="G12" s="467">
        <v>209556.08</v>
      </c>
      <c r="H12" s="467"/>
      <c r="I12" s="467">
        <f t="shared" si="0"/>
        <v>3009894.92</v>
      </c>
      <c r="J12" s="467">
        <v>200000</v>
      </c>
      <c r="K12" s="467">
        <v>0.2</v>
      </c>
      <c r="L12" s="467">
        <f t="shared" si="1"/>
        <v>601978.983999999</v>
      </c>
      <c r="M12" s="467">
        <f t="shared" si="2"/>
        <v>801978.983999999</v>
      </c>
      <c r="N12" s="467">
        <f t="shared" si="3"/>
        <v>1011535.064</v>
      </c>
      <c r="O12" s="467">
        <f t="shared" si="4"/>
        <v>2207915.936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127662.346559999</v>
      </c>
      <c r="U12" s="467"/>
      <c r="V12" s="467">
        <f t="shared" si="10"/>
        <v>351662.346559999</v>
      </c>
      <c r="W12" s="474">
        <v>12</v>
      </c>
      <c r="X12" s="467">
        <f t="shared" si="11"/>
        <v>29305.1955466666</v>
      </c>
      <c r="Y12" s="467"/>
      <c r="Z12" s="478">
        <f t="shared" si="12"/>
        <v>29305.1955466666</v>
      </c>
      <c r="AA12" s="479"/>
      <c r="AB12" s="479"/>
      <c r="AC12" s="479"/>
    </row>
    <row r="13" s="615" customFormat="1" ht="18" spans="1:29">
      <c r="A13" s="616">
        <v>10</v>
      </c>
      <c r="B13" s="11" t="s">
        <v>191</v>
      </c>
      <c r="C13" s="618">
        <v>268287.583333333</v>
      </c>
      <c r="D13" s="619">
        <v>12</v>
      </c>
      <c r="E13" s="620">
        <f t="shared" si="13"/>
        <v>3219451</v>
      </c>
      <c r="F13" s="620"/>
      <c r="G13" s="620">
        <v>209556.08</v>
      </c>
      <c r="H13" s="620"/>
      <c r="I13" s="620">
        <f t="shared" si="0"/>
        <v>3009894.92</v>
      </c>
      <c r="J13" s="620">
        <v>200000</v>
      </c>
      <c r="K13" s="620">
        <v>0.2</v>
      </c>
      <c r="L13" s="620">
        <f t="shared" si="1"/>
        <v>601978.983999999</v>
      </c>
      <c r="M13" s="620">
        <f t="shared" si="2"/>
        <v>801978.983999999</v>
      </c>
      <c r="N13" s="620">
        <f t="shared" si="3"/>
        <v>1011535.064</v>
      </c>
      <c r="O13" s="620">
        <f t="shared" si="4"/>
        <v>2207915.936</v>
      </c>
      <c r="P13" s="620">
        <f t="shared" si="5"/>
        <v>21000</v>
      </c>
      <c r="Q13" s="620">
        <f t="shared" si="6"/>
        <v>33000</v>
      </c>
      <c r="R13" s="620">
        <f t="shared" si="7"/>
        <v>75000</v>
      </c>
      <c r="S13" s="620">
        <f t="shared" si="8"/>
        <v>95000</v>
      </c>
      <c r="T13" s="620">
        <f t="shared" si="9"/>
        <v>127662.346559999</v>
      </c>
      <c r="U13" s="620"/>
      <c r="V13" s="620">
        <f t="shared" si="10"/>
        <v>351662.346559999</v>
      </c>
      <c r="W13" s="623">
        <v>12</v>
      </c>
      <c r="X13" s="620">
        <f t="shared" si="11"/>
        <v>29305.1955466666</v>
      </c>
      <c r="Y13" s="620"/>
      <c r="Z13" s="478">
        <f t="shared" si="12"/>
        <v>29305.1955466666</v>
      </c>
      <c r="AA13" s="624"/>
      <c r="AB13" s="624"/>
      <c r="AC13" s="624"/>
    </row>
    <row r="14" ht="26.25" customHeight="1" spans="2:26">
      <c r="B14" s="496" t="s">
        <v>215</v>
      </c>
      <c r="C14" s="491"/>
      <c r="D14" s="492"/>
      <c r="E14" s="492"/>
      <c r="F14" s="497"/>
      <c r="G14" s="497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7"/>
      <c r="W14" s="492"/>
      <c r="X14" s="492"/>
      <c r="Y14" s="492"/>
      <c r="Z14" s="494">
        <f>SUM(Z6:Z13)</f>
        <v>328229.272853333</v>
      </c>
    </row>
    <row r="15" ht="26.25" customHeight="1" spans="2:26">
      <c r="B15" s="659"/>
      <c r="C15" s="660"/>
      <c r="D15" s="661"/>
      <c r="E15" s="661"/>
      <c r="F15" s="662"/>
      <c r="G15" s="662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2"/>
      <c r="W15" s="661"/>
      <c r="X15" s="661"/>
      <c r="Y15" s="661"/>
      <c r="Z15" s="661"/>
    </row>
    <row r="16" ht="17.5" spans="2:6">
      <c r="B16" s="33"/>
      <c r="C16" s="296" t="s">
        <v>216</v>
      </c>
      <c r="D16" s="296">
        <v>12</v>
      </c>
      <c r="E16" s="479" t="s">
        <v>217</v>
      </c>
      <c r="F16" s="498"/>
    </row>
    <row r="17" ht="18" spans="1:26">
      <c r="A17" s="664"/>
      <c r="B17" s="11" t="s">
        <v>203</v>
      </c>
      <c r="C17" s="665">
        <f>218287.583333333*0.08</f>
        <v>17463.0066666666</v>
      </c>
      <c r="D17" s="666">
        <v>12</v>
      </c>
      <c r="E17" s="667">
        <f>C17*D17</f>
        <v>209556.08</v>
      </c>
      <c r="F17" s="499"/>
      <c r="Z17" s="494"/>
    </row>
    <row r="18" ht="18" spans="1:5">
      <c r="A18" s="664"/>
      <c r="B18" s="11" t="s">
        <v>183</v>
      </c>
      <c r="C18" s="646">
        <f>390248.916666667*0.08</f>
        <v>31219.9133333334</v>
      </c>
      <c r="D18" s="666">
        <v>12</v>
      </c>
      <c r="E18" s="667">
        <f t="shared" ref="E18:E24" si="15">C18*D18</f>
        <v>374638.96</v>
      </c>
    </row>
    <row r="19" ht="18" spans="1:5">
      <c r="A19" s="664"/>
      <c r="B19" s="11" t="s">
        <v>206</v>
      </c>
      <c r="C19" s="665">
        <f>255849*0.08</f>
        <v>20467.92</v>
      </c>
      <c r="D19" s="666">
        <v>12</v>
      </c>
      <c r="E19" s="667">
        <f t="shared" si="15"/>
        <v>245615.04</v>
      </c>
    </row>
    <row r="20" ht="18" spans="1:5">
      <c r="A20" s="664"/>
      <c r="B20" s="11" t="s">
        <v>208</v>
      </c>
      <c r="C20" s="665">
        <f>218287.583333333*0.08</f>
        <v>17463.0066666666</v>
      </c>
      <c r="D20" s="666">
        <v>12</v>
      </c>
      <c r="E20" s="667">
        <f t="shared" si="15"/>
        <v>209556.08</v>
      </c>
    </row>
    <row r="21" ht="18" spans="1:5">
      <c r="A21" s="664"/>
      <c r="B21" s="11" t="s">
        <v>210</v>
      </c>
      <c r="C21" s="665">
        <f>293029.666666667*0.08</f>
        <v>23442.3733333334</v>
      </c>
      <c r="D21" s="666">
        <v>12</v>
      </c>
      <c r="E21" s="667">
        <f t="shared" si="15"/>
        <v>281308.48</v>
      </c>
    </row>
    <row r="22" ht="18" spans="1:5">
      <c r="A22" s="664"/>
      <c r="B22" s="11" t="s">
        <v>212</v>
      </c>
      <c r="C22" s="646">
        <f>390248.916666667*0.08</f>
        <v>31219.9133333334</v>
      </c>
      <c r="D22" s="666">
        <v>12</v>
      </c>
      <c r="E22" s="667">
        <f t="shared" si="15"/>
        <v>374638.96</v>
      </c>
    </row>
    <row r="23" ht="18" spans="1:5">
      <c r="A23" s="664"/>
      <c r="B23" s="11" t="s">
        <v>190</v>
      </c>
      <c r="C23" s="665">
        <f t="shared" ref="C23:C24" si="16">218287.583333333*0.08</f>
        <v>17463.0066666666</v>
      </c>
      <c r="D23" s="666">
        <v>12</v>
      </c>
      <c r="E23" s="667">
        <f t="shared" si="15"/>
        <v>209556.08</v>
      </c>
    </row>
    <row r="24" ht="18" spans="1:5">
      <c r="A24" s="664"/>
      <c r="B24" s="11" t="s">
        <v>191</v>
      </c>
      <c r="C24" s="665">
        <f t="shared" si="16"/>
        <v>17463.0066666666</v>
      </c>
      <c r="D24" s="666">
        <v>12</v>
      </c>
      <c r="E24" s="667">
        <f t="shared" si="15"/>
        <v>209556.08</v>
      </c>
    </row>
    <row r="25" ht="15.5" spans="3:5">
      <c r="C25" s="668"/>
      <c r="D25" s="668"/>
      <c r="E25" s="668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topLeftCell="D1"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4"/>
      <c r="B3" s="90" t="s">
        <v>2</v>
      </c>
      <c r="C3" s="642" t="s">
        <v>3</v>
      </c>
      <c r="D3" s="79" t="s">
        <v>4</v>
      </c>
      <c r="E3" s="643" t="s">
        <v>5</v>
      </c>
      <c r="F3" s="643" t="s">
        <v>6</v>
      </c>
      <c r="G3" s="643" t="s">
        <v>7</v>
      </c>
      <c r="H3" s="643" t="s">
        <v>7</v>
      </c>
      <c r="I3" s="643" t="s">
        <v>8</v>
      </c>
      <c r="J3" s="650" t="s">
        <v>9</v>
      </c>
      <c r="K3" s="643" t="s">
        <v>10</v>
      </c>
      <c r="L3" s="643" t="s">
        <v>11</v>
      </c>
      <c r="M3" s="643" t="s">
        <v>12</v>
      </c>
      <c r="N3" s="643" t="s">
        <v>13</v>
      </c>
      <c r="O3" s="651" t="s">
        <v>14</v>
      </c>
      <c r="P3" s="643" t="s">
        <v>15</v>
      </c>
      <c r="Q3" s="655" t="s">
        <v>16</v>
      </c>
      <c r="R3" s="319" t="s">
        <v>218</v>
      </c>
      <c r="S3" s="656" t="s">
        <v>219</v>
      </c>
    </row>
    <row r="4" ht="18" spans="1:19">
      <c r="A4" s="1"/>
      <c r="B4" s="1"/>
      <c r="C4" s="8"/>
      <c r="D4" s="8"/>
      <c r="E4" s="82" t="s">
        <v>19</v>
      </c>
      <c r="F4" s="82" t="s">
        <v>19</v>
      </c>
      <c r="G4" s="82" t="s">
        <v>19</v>
      </c>
      <c r="H4" s="82" t="s">
        <v>19</v>
      </c>
      <c r="I4" s="82" t="s">
        <v>19</v>
      </c>
      <c r="J4" s="507" t="s">
        <v>19</v>
      </c>
      <c r="K4" s="82" t="s">
        <v>19</v>
      </c>
      <c r="L4" s="82" t="s">
        <v>19</v>
      </c>
      <c r="M4" s="82" t="s">
        <v>19</v>
      </c>
      <c r="N4" s="82" t="s">
        <v>19</v>
      </c>
      <c r="O4" s="82" t="s">
        <v>19</v>
      </c>
      <c r="P4" s="82" t="s">
        <v>19</v>
      </c>
      <c r="Q4" s="508" t="s">
        <v>19</v>
      </c>
      <c r="R4" s="82" t="s">
        <v>19</v>
      </c>
      <c r="S4" s="507" t="s">
        <v>19</v>
      </c>
    </row>
    <row r="5" s="1" customFormat="1" ht="20.1" customHeight="1" spans="1:20">
      <c r="A5" s="95">
        <v>1</v>
      </c>
      <c r="B5" s="644" t="s">
        <v>220</v>
      </c>
      <c r="C5" s="86" t="s">
        <v>221</v>
      </c>
      <c r="D5" s="645" t="s">
        <v>222</v>
      </c>
      <c r="E5" s="646">
        <v>601396.833333333</v>
      </c>
      <c r="F5" s="646"/>
      <c r="G5" s="647">
        <f>160000</f>
        <v>160000</v>
      </c>
      <c r="H5" s="647"/>
      <c r="I5" s="652">
        <v>0</v>
      </c>
      <c r="J5" s="653">
        <f t="shared" ref="J5:J6" si="0">SUM(E5:I5)</f>
        <v>761396.833333333</v>
      </c>
      <c r="K5" s="646"/>
      <c r="L5" s="646"/>
      <c r="M5" s="646"/>
      <c r="N5" s="646">
        <v>0</v>
      </c>
      <c r="O5" s="646">
        <v>124854.858666667</v>
      </c>
      <c r="P5" s="646"/>
      <c r="Q5" s="657">
        <f t="shared" ref="Q5:Q8" si="1">O5+N5+M5+L5+K5+P5</f>
        <v>124854.858666667</v>
      </c>
      <c r="R5" s="646">
        <v>636541.974666667</v>
      </c>
      <c r="S5" s="653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223</v>
      </c>
      <c r="C6" s="83" t="s">
        <v>224</v>
      </c>
      <c r="D6" s="95" t="s">
        <v>225</v>
      </c>
      <c r="E6" s="646">
        <v>620675.583333333</v>
      </c>
      <c r="F6" s="646"/>
      <c r="G6" s="647">
        <v>160000</v>
      </c>
      <c r="H6" s="647"/>
      <c r="I6" s="652">
        <v>0</v>
      </c>
      <c r="J6" s="653">
        <f t="shared" si="0"/>
        <v>780675.583333333</v>
      </c>
      <c r="K6" s="646"/>
      <c r="L6" s="646">
        <f>50000</f>
        <v>50000</v>
      </c>
      <c r="M6" s="646">
        <f>59583.33</f>
        <v>59583.33</v>
      </c>
      <c r="N6" s="646"/>
      <c r="O6" s="646">
        <f>128556.38</f>
        <v>128556.38</v>
      </c>
      <c r="P6" s="646"/>
      <c r="Q6" s="657">
        <f t="shared" si="1"/>
        <v>238139.71</v>
      </c>
      <c r="R6" s="646">
        <v>542535.873333333</v>
      </c>
      <c r="S6" s="653">
        <f t="shared" si="2"/>
        <v>542535.873333333</v>
      </c>
      <c r="T6" s="13"/>
    </row>
    <row r="7" s="641" customFormat="1" ht="29.1" customHeight="1" spans="1:20">
      <c r="A7" s="95">
        <v>3</v>
      </c>
      <c r="B7" s="644" t="s">
        <v>226</v>
      </c>
      <c r="C7" s="83" t="s">
        <v>227</v>
      </c>
      <c r="D7" s="645" t="s">
        <v>228</v>
      </c>
      <c r="E7" s="646">
        <v>582118.083333333</v>
      </c>
      <c r="F7" s="646"/>
      <c r="G7" s="647"/>
      <c r="H7" s="647">
        <f>80000</f>
        <v>80000</v>
      </c>
      <c r="I7" s="646">
        <v>0</v>
      </c>
      <c r="J7" s="653">
        <f t="shared" ref="J7" si="3">SUM(E7:I7)</f>
        <v>662118.083333333</v>
      </c>
      <c r="K7" s="646"/>
      <c r="L7" s="646">
        <f>100000</f>
        <v>100000</v>
      </c>
      <c r="M7" s="646">
        <f>103000</f>
        <v>103000</v>
      </c>
      <c r="N7" s="646">
        <v>0</v>
      </c>
      <c r="O7" s="646">
        <v>105793.338666667</v>
      </c>
      <c r="P7" s="646"/>
      <c r="Q7" s="657">
        <f t="shared" si="1"/>
        <v>308793.338666667</v>
      </c>
      <c r="R7" s="646">
        <v>353324.744666667</v>
      </c>
      <c r="S7" s="653">
        <f t="shared" si="2"/>
        <v>353324.744666666</v>
      </c>
      <c r="T7" s="658"/>
    </row>
    <row r="8" s="641" customFormat="1" ht="20.1" customHeight="1" spans="1:20">
      <c r="A8" s="95">
        <v>4</v>
      </c>
      <c r="B8" s="648" t="s">
        <v>229</v>
      </c>
      <c r="C8" s="83" t="s">
        <v>230</v>
      </c>
      <c r="D8" s="645" t="s">
        <v>231</v>
      </c>
      <c r="E8" s="646">
        <v>762373.166666667</v>
      </c>
      <c r="F8" s="646"/>
      <c r="G8" s="647"/>
      <c r="H8" s="647">
        <v>90000</v>
      </c>
      <c r="I8" s="646"/>
      <c r="J8" s="653">
        <f t="shared" ref="J8" si="4">SUM(E8:I8)</f>
        <v>852373.166666667</v>
      </c>
      <c r="K8" s="646"/>
      <c r="L8" s="654">
        <v>50000</v>
      </c>
      <c r="M8" s="654">
        <v>200000</v>
      </c>
      <c r="O8" s="646">
        <v>142322.314666667</v>
      </c>
      <c r="P8" s="646"/>
      <c r="Q8" s="657">
        <f t="shared" si="1"/>
        <v>392322.314666667</v>
      </c>
      <c r="R8" s="646">
        <v>460050.852</v>
      </c>
      <c r="S8" s="653">
        <f t="shared" si="2"/>
        <v>460050.852</v>
      </c>
      <c r="T8" s="658"/>
    </row>
    <row r="9" ht="29.1" customHeight="1" spans="5:19">
      <c r="E9" s="649">
        <f>SUM(E5:E8)</f>
        <v>2566563.66666667</v>
      </c>
      <c r="F9" s="649">
        <f t="shared" ref="F9:S9" si="5">SUM(F5:F8)</f>
        <v>0</v>
      </c>
      <c r="G9" s="649">
        <f t="shared" si="5"/>
        <v>320000</v>
      </c>
      <c r="H9" s="649">
        <f t="shared" si="5"/>
        <v>170000</v>
      </c>
      <c r="I9" s="649">
        <f t="shared" si="5"/>
        <v>0</v>
      </c>
      <c r="J9" s="649">
        <f t="shared" si="5"/>
        <v>3056563.66666667</v>
      </c>
      <c r="K9" s="649">
        <f t="shared" si="5"/>
        <v>0</v>
      </c>
      <c r="L9" s="649">
        <f t="shared" si="5"/>
        <v>200000</v>
      </c>
      <c r="M9" s="649">
        <f t="shared" si="5"/>
        <v>362583.33</v>
      </c>
      <c r="N9" s="649">
        <f t="shared" si="5"/>
        <v>0</v>
      </c>
      <c r="O9" s="649">
        <f t="shared" si="5"/>
        <v>501526.892000001</v>
      </c>
      <c r="P9" s="649">
        <f t="shared" si="5"/>
        <v>0</v>
      </c>
      <c r="Q9" s="649">
        <f t="shared" si="5"/>
        <v>1064110.222</v>
      </c>
      <c r="R9" s="649">
        <f t="shared" si="5"/>
        <v>1992453.44466667</v>
      </c>
      <c r="S9" s="649">
        <f t="shared" si="5"/>
        <v>1992453.44466667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11</v>
      </c>
      <c r="M3" s="218" t="s">
        <v>12</v>
      </c>
      <c r="N3" s="218" t="s">
        <v>13</v>
      </c>
      <c r="O3" s="24" t="s">
        <v>14</v>
      </c>
      <c r="P3" s="218" t="s">
        <v>15</v>
      </c>
      <c r="Q3" s="506" t="s">
        <v>16</v>
      </c>
      <c r="R3" s="80" t="s">
        <v>218</v>
      </c>
      <c r="S3" s="640" t="s">
        <v>219</v>
      </c>
    </row>
    <row r="4" ht="18" spans="1:19">
      <c r="A4" s="1"/>
      <c r="B4" s="1"/>
      <c r="C4" s="8"/>
      <c r="D4" s="8"/>
      <c r="E4" s="82" t="s">
        <v>19</v>
      </c>
      <c r="F4" s="82" t="s">
        <v>19</v>
      </c>
      <c r="G4" s="82" t="s">
        <v>19</v>
      </c>
      <c r="H4" s="82" t="s">
        <v>19</v>
      </c>
      <c r="I4" s="82" t="s">
        <v>19</v>
      </c>
      <c r="J4" s="507" t="s">
        <v>19</v>
      </c>
      <c r="K4" s="82" t="s">
        <v>19</v>
      </c>
      <c r="L4" s="82" t="s">
        <v>19</v>
      </c>
      <c r="M4" s="82" t="s">
        <v>19</v>
      </c>
      <c r="N4" s="82" t="s">
        <v>19</v>
      </c>
      <c r="O4" s="82" t="s">
        <v>19</v>
      </c>
      <c r="P4" s="82" t="s">
        <v>19</v>
      </c>
      <c r="Q4" s="508" t="s">
        <v>19</v>
      </c>
      <c r="R4" s="82" t="s">
        <v>19</v>
      </c>
      <c r="S4" s="507" t="s">
        <v>19</v>
      </c>
    </row>
    <row r="5" s="1" customFormat="1" ht="20.1" customHeight="1" spans="1:20">
      <c r="A5" s="10">
        <v>6</v>
      </c>
      <c r="B5" s="18" t="s">
        <v>232</v>
      </c>
      <c r="C5" s="17" t="s">
        <v>233</v>
      </c>
      <c r="D5" s="10" t="s">
        <v>234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235</v>
      </c>
      <c r="B2" s="257"/>
      <c r="C2" s="236"/>
      <c r="D2" s="236"/>
      <c r="E2" s="78"/>
    </row>
    <row r="3" ht="9.75" customHeight="1"/>
    <row r="4" ht="49.5" customHeight="1" spans="1:5">
      <c r="A4" s="4"/>
      <c r="B4" s="5" t="s">
        <v>2</v>
      </c>
      <c r="C4" s="6" t="s">
        <v>3</v>
      </c>
      <c r="D4" s="7" t="s">
        <v>4</v>
      </c>
      <c r="E4" s="321" t="s">
        <v>132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236</v>
      </c>
      <c r="C7" s="12" t="s">
        <v>237</v>
      </c>
      <c r="D7" s="12" t="s">
        <v>238</v>
      </c>
      <c r="E7" s="633">
        <v>540000</v>
      </c>
      <c r="F7" s="13"/>
    </row>
    <row r="8" customHeight="1" spans="1:6">
      <c r="A8" s="10">
        <v>2</v>
      </c>
      <c r="B8" s="11" t="s">
        <v>239</v>
      </c>
      <c r="C8" s="12" t="s">
        <v>240</v>
      </c>
      <c r="D8" s="10" t="s">
        <v>234</v>
      </c>
      <c r="E8" s="633">
        <v>180000</v>
      </c>
      <c r="F8" s="13"/>
    </row>
    <row r="9" customHeight="1" spans="1:6">
      <c r="A9" s="10">
        <v>3</v>
      </c>
      <c r="B9" s="14" t="s">
        <v>241</v>
      </c>
      <c r="C9" s="4" t="s">
        <v>242</v>
      </c>
      <c r="D9" s="10" t="s">
        <v>234</v>
      </c>
      <c r="E9" s="633">
        <v>180000</v>
      </c>
      <c r="F9" s="13"/>
    </row>
    <row r="10" customHeight="1" spans="1:6">
      <c r="A10" s="10">
        <v>4</v>
      </c>
      <c r="B10" s="11" t="s">
        <v>243</v>
      </c>
      <c r="C10" s="17" t="s">
        <v>244</v>
      </c>
      <c r="D10" s="10" t="s">
        <v>234</v>
      </c>
      <c r="E10" s="633">
        <v>180000</v>
      </c>
      <c r="F10" s="13"/>
    </row>
    <row r="11" customHeight="1" spans="1:6">
      <c r="A11" s="10">
        <v>5</v>
      </c>
      <c r="B11" s="14" t="s">
        <v>245</v>
      </c>
      <c r="C11" s="4" t="s">
        <v>246</v>
      </c>
      <c r="D11" s="10" t="s">
        <v>234</v>
      </c>
      <c r="E11" s="633">
        <v>180000</v>
      </c>
      <c r="F11" s="13"/>
    </row>
    <row r="12" customHeight="1" spans="1:6">
      <c r="A12" s="10">
        <v>6</v>
      </c>
      <c r="B12" s="18" t="s">
        <v>232</v>
      </c>
      <c r="C12" s="17" t="s">
        <v>233</v>
      </c>
      <c r="D12" s="10" t="s">
        <v>234</v>
      </c>
      <c r="E12" s="633">
        <v>180000</v>
      </c>
      <c r="F12" s="13"/>
    </row>
    <row r="13" customHeight="1" spans="1:6">
      <c r="A13" s="10">
        <v>7</v>
      </c>
      <c r="B13" s="11" t="s">
        <v>247</v>
      </c>
      <c r="C13" s="12" t="s">
        <v>248</v>
      </c>
      <c r="D13" s="15" t="s">
        <v>249</v>
      </c>
      <c r="E13" s="633">
        <v>126000</v>
      </c>
      <c r="F13" s="13"/>
    </row>
    <row r="14" customHeight="1" spans="1:6">
      <c r="A14" s="10">
        <v>8</v>
      </c>
      <c r="B14" s="11" t="s">
        <v>250</v>
      </c>
      <c r="C14" s="4" t="s">
        <v>251</v>
      </c>
      <c r="D14" s="10" t="s">
        <v>228</v>
      </c>
      <c r="E14" s="633">
        <v>126000</v>
      </c>
      <c r="F14" s="13"/>
    </row>
    <row r="15" customHeight="1" spans="1:6">
      <c r="A15" s="10">
        <v>9</v>
      </c>
      <c r="B15" s="11" t="s">
        <v>252</v>
      </c>
      <c r="C15" s="4" t="s">
        <v>253</v>
      </c>
      <c r="D15" s="15" t="s">
        <v>254</v>
      </c>
      <c r="E15" s="633">
        <v>90000</v>
      </c>
      <c r="F15" s="13"/>
    </row>
    <row r="16" customHeight="1" spans="1:6">
      <c r="A16" s="10">
        <v>10</v>
      </c>
      <c r="B16" s="14" t="s">
        <v>255</v>
      </c>
      <c r="C16" s="17" t="s">
        <v>256</v>
      </c>
      <c r="D16" s="15" t="s">
        <v>257</v>
      </c>
      <c r="E16" s="633">
        <v>90000</v>
      </c>
      <c r="F16" s="13"/>
    </row>
    <row r="17" customHeight="1" spans="1:6">
      <c r="A17" s="10">
        <v>11</v>
      </c>
      <c r="B17" s="11" t="s">
        <v>258</v>
      </c>
      <c r="C17" s="4" t="s">
        <v>259</v>
      </c>
      <c r="D17" s="10" t="s">
        <v>260</v>
      </c>
      <c r="E17" s="633">
        <v>90000</v>
      </c>
      <c r="F17" s="13"/>
    </row>
    <row r="18" customHeight="1" spans="1:5">
      <c r="A18" s="10">
        <v>12</v>
      </c>
      <c r="B18" s="11" t="s">
        <v>261</v>
      </c>
      <c r="C18" s="4" t="s">
        <v>262</v>
      </c>
      <c r="D18" s="10" t="s">
        <v>263</v>
      </c>
      <c r="E18" s="633">
        <v>90000</v>
      </c>
    </row>
    <row r="19" customHeight="1" spans="1:6">
      <c r="A19" s="10">
        <v>13</v>
      </c>
      <c r="B19" s="11" t="s">
        <v>264</v>
      </c>
      <c r="C19" s="12" t="s">
        <v>265</v>
      </c>
      <c r="D19" s="15" t="s">
        <v>266</v>
      </c>
      <c r="E19" s="633">
        <v>90000</v>
      </c>
      <c r="F19" s="13"/>
    </row>
    <row r="20" customHeight="1" spans="1:6">
      <c r="A20" s="10">
        <v>14</v>
      </c>
      <c r="B20" s="18" t="s">
        <v>267</v>
      </c>
      <c r="C20" s="4" t="s">
        <v>268</v>
      </c>
      <c r="D20" s="15" t="s">
        <v>269</v>
      </c>
      <c r="E20" s="633">
        <v>90000</v>
      </c>
      <c r="F20" s="13"/>
    </row>
    <row r="21" ht="18.75" customHeight="1" spans="1:6">
      <c r="A21" s="10">
        <v>15</v>
      </c>
      <c r="B21" s="11" t="s">
        <v>270</v>
      </c>
      <c r="C21" s="12" t="s">
        <v>50</v>
      </c>
      <c r="D21" s="15" t="s">
        <v>271</v>
      </c>
      <c r="E21" s="633">
        <v>68000</v>
      </c>
      <c r="F21" s="13"/>
    </row>
    <row r="22" customHeight="1" spans="1:6">
      <c r="A22" s="10">
        <v>16</v>
      </c>
      <c r="B22" s="14" t="s">
        <v>272</v>
      </c>
      <c r="C22" s="17" t="s">
        <v>273</v>
      </c>
      <c r="D22" s="10" t="s">
        <v>41</v>
      </c>
      <c r="E22" s="633">
        <v>68000</v>
      </c>
      <c r="F22" s="13"/>
    </row>
    <row r="23" ht="21.6" customHeight="1" spans="1:6">
      <c r="A23" s="10">
        <v>17</v>
      </c>
      <c r="B23" s="11" t="s">
        <v>274</v>
      </c>
      <c r="C23" s="17" t="s">
        <v>275</v>
      </c>
      <c r="D23" s="15" t="s">
        <v>41</v>
      </c>
      <c r="E23" s="633">
        <v>68000</v>
      </c>
      <c r="F23" s="13"/>
    </row>
    <row r="24" customHeight="1" spans="1:6">
      <c r="A24" s="10">
        <v>18</v>
      </c>
      <c r="B24" s="14" t="s">
        <v>276</v>
      </c>
      <c r="C24" s="17" t="s">
        <v>277</v>
      </c>
      <c r="D24" s="10" t="s">
        <v>37</v>
      </c>
      <c r="E24" s="633">
        <v>68000</v>
      </c>
      <c r="F24" s="13"/>
    </row>
    <row r="25" ht="18.75" customHeight="1" spans="1:6">
      <c r="A25" s="10">
        <v>19</v>
      </c>
      <c r="B25" s="4" t="s">
        <v>278</v>
      </c>
      <c r="C25" s="4" t="s">
        <v>176</v>
      </c>
      <c r="D25" s="10" t="s">
        <v>279</v>
      </c>
      <c r="E25" s="633">
        <v>54000</v>
      </c>
      <c r="F25" s="13"/>
    </row>
    <row r="26" ht="18.75" customHeight="1" spans="1:6">
      <c r="A26" s="10">
        <v>20</v>
      </c>
      <c r="B26" s="18" t="s">
        <v>280</v>
      </c>
      <c r="C26" s="12" t="s">
        <v>176</v>
      </c>
      <c r="D26" s="15" t="s">
        <v>279</v>
      </c>
      <c r="E26" s="633">
        <v>54000</v>
      </c>
      <c r="F26" s="13"/>
    </row>
    <row r="27" customHeight="1" spans="1:6">
      <c r="A27" s="10">
        <v>21</v>
      </c>
      <c r="B27" s="11" t="s">
        <v>281</v>
      </c>
      <c r="C27" s="17" t="s">
        <v>273</v>
      </c>
      <c r="D27" s="10" t="s">
        <v>279</v>
      </c>
      <c r="E27" s="633">
        <v>54000</v>
      </c>
      <c r="F27" s="13"/>
    </row>
    <row r="28" ht="18.75" customHeight="1" spans="1:6">
      <c r="A28" s="10">
        <v>22</v>
      </c>
      <c r="B28" s="18" t="s">
        <v>282</v>
      </c>
      <c r="C28" s="12" t="s">
        <v>27</v>
      </c>
      <c r="D28" s="15" t="s">
        <v>283</v>
      </c>
      <c r="E28" s="633">
        <v>54000</v>
      </c>
      <c r="F28" s="13"/>
    </row>
    <row r="29" ht="18.75" customHeight="1" spans="1:6">
      <c r="A29" s="10">
        <v>23</v>
      </c>
      <c r="B29" s="18" t="s">
        <v>284</v>
      </c>
      <c r="C29" s="4" t="s">
        <v>285</v>
      </c>
      <c r="D29" s="10" t="s">
        <v>24</v>
      </c>
      <c r="E29" s="633">
        <v>54000</v>
      </c>
      <c r="F29" s="13"/>
    </row>
    <row r="30" ht="18.75" customHeight="1" spans="1:6">
      <c r="A30" s="10">
        <v>24</v>
      </c>
      <c r="B30" s="18" t="s">
        <v>286</v>
      </c>
      <c r="C30" s="4" t="s">
        <v>285</v>
      </c>
      <c r="D30" s="10" t="s">
        <v>24</v>
      </c>
      <c r="E30" s="633">
        <v>54000</v>
      </c>
      <c r="F30" s="13"/>
    </row>
    <row r="31" ht="18.75" customHeight="1" spans="1:6">
      <c r="A31" s="10">
        <v>25</v>
      </c>
      <c r="B31" s="18" t="s">
        <v>287</v>
      </c>
      <c r="C31" s="17" t="s">
        <v>288</v>
      </c>
      <c r="D31" s="15" t="s">
        <v>279</v>
      </c>
      <c r="E31" s="633">
        <v>54000</v>
      </c>
      <c r="F31" s="13"/>
    </row>
    <row r="32" ht="18.75" customHeight="1" spans="1:6">
      <c r="A32" s="10">
        <v>26</v>
      </c>
      <c r="B32" s="18" t="s">
        <v>289</v>
      </c>
      <c r="C32" s="4" t="s">
        <v>290</v>
      </c>
      <c r="D32" s="10" t="s">
        <v>291</v>
      </c>
      <c r="E32" s="633">
        <v>54000</v>
      </c>
      <c r="F32" s="13"/>
    </row>
    <row r="33" ht="18.75" customHeight="1" spans="1:6">
      <c r="A33" s="10">
        <v>27</v>
      </c>
      <c r="B33" s="18" t="s">
        <v>292</v>
      </c>
      <c r="C33" s="12" t="s">
        <v>293</v>
      </c>
      <c r="D33" s="15" t="s">
        <v>294</v>
      </c>
      <c r="E33" s="633">
        <v>54000</v>
      </c>
      <c r="F33" s="13"/>
    </row>
    <row r="34" ht="21" customHeight="1" spans="1:6">
      <c r="A34" s="10"/>
      <c r="B34" s="20" t="s">
        <v>33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34"/>
      <c r="F35" s="13"/>
    </row>
    <row r="36" ht="18.75" customHeight="1" spans="1:6">
      <c r="A36" s="10"/>
      <c r="B36" s="20" t="s">
        <v>34</v>
      </c>
      <c r="C36" s="4"/>
      <c r="D36" s="15"/>
      <c r="E36" s="633"/>
      <c r="F36" s="13"/>
    </row>
    <row r="37" ht="18.75" customHeight="1" spans="1:6">
      <c r="A37" s="10">
        <v>1</v>
      </c>
      <c r="B37" s="18" t="s">
        <v>295</v>
      </c>
      <c r="C37" s="4" t="s">
        <v>296</v>
      </c>
      <c r="D37" s="10" t="s">
        <v>297</v>
      </c>
      <c r="E37" s="633">
        <v>270000</v>
      </c>
      <c r="F37" s="13"/>
    </row>
    <row r="38" ht="18.75" customHeight="1" spans="1:6">
      <c r="A38" s="10">
        <v>2</v>
      </c>
      <c r="B38" s="18" t="s">
        <v>298</v>
      </c>
      <c r="C38" s="4" t="s">
        <v>299</v>
      </c>
      <c r="D38" s="10" t="s">
        <v>37</v>
      </c>
      <c r="E38" s="633">
        <v>68000</v>
      </c>
      <c r="F38" s="13"/>
    </row>
    <row r="39" ht="18.75" customHeight="1" spans="1:6">
      <c r="A39" s="10">
        <v>3</v>
      </c>
      <c r="B39" s="11" t="s">
        <v>300</v>
      </c>
      <c r="C39" s="4" t="s">
        <v>299</v>
      </c>
      <c r="D39" s="15" t="s">
        <v>301</v>
      </c>
      <c r="E39" s="633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33"/>
      <c r="F41" s="13"/>
    </row>
    <row r="42" customHeight="1" spans="1:6">
      <c r="A42" s="10"/>
      <c r="B42" s="23" t="s">
        <v>38</v>
      </c>
      <c r="C42" s="5"/>
      <c r="D42" s="24"/>
      <c r="E42" s="633"/>
      <c r="F42" s="13"/>
    </row>
    <row r="43" customHeight="1" spans="1:6">
      <c r="A43" s="10">
        <v>1</v>
      </c>
      <c r="B43" s="11" t="s">
        <v>302</v>
      </c>
      <c r="C43" s="4" t="s">
        <v>303</v>
      </c>
      <c r="D43" s="10" t="s">
        <v>297</v>
      </c>
      <c r="E43" s="633">
        <v>270000</v>
      </c>
      <c r="F43" s="13"/>
    </row>
    <row r="44" customHeight="1" spans="1:6">
      <c r="A44" s="10">
        <v>2</v>
      </c>
      <c r="B44" s="11" t="s">
        <v>304</v>
      </c>
      <c r="C44" s="4" t="s">
        <v>305</v>
      </c>
      <c r="D44" s="10" t="s">
        <v>249</v>
      </c>
      <c r="E44" s="633">
        <v>126000</v>
      </c>
      <c r="F44" s="13"/>
    </row>
    <row r="45" customHeight="1" spans="1:6">
      <c r="A45" s="10">
        <v>3</v>
      </c>
      <c r="B45" s="11" t="s">
        <v>306</v>
      </c>
      <c r="C45" s="4" t="s">
        <v>307</v>
      </c>
      <c r="D45" s="10" t="s">
        <v>308</v>
      </c>
      <c r="E45" s="633">
        <v>180000</v>
      </c>
      <c r="F45" s="13"/>
    </row>
    <row r="46" customHeight="1" spans="1:6">
      <c r="A46" s="10">
        <v>4</v>
      </c>
      <c r="B46" s="11" t="s">
        <v>309</v>
      </c>
      <c r="C46" s="4" t="s">
        <v>310</v>
      </c>
      <c r="D46" s="10" t="s">
        <v>249</v>
      </c>
      <c r="E46" s="633">
        <v>126000</v>
      </c>
      <c r="F46" s="13"/>
    </row>
    <row r="47" customHeight="1" spans="1:6">
      <c r="A47" s="10">
        <v>5</v>
      </c>
      <c r="B47" s="11" t="s">
        <v>311</v>
      </c>
      <c r="C47" s="4" t="s">
        <v>310</v>
      </c>
      <c r="D47" s="10" t="s">
        <v>249</v>
      </c>
      <c r="E47" s="633">
        <v>126000</v>
      </c>
      <c r="F47" s="13"/>
    </row>
    <row r="48" customHeight="1" spans="1:6">
      <c r="A48" s="10">
        <v>6</v>
      </c>
      <c r="B48" s="11" t="s">
        <v>312</v>
      </c>
      <c r="C48" s="4" t="s">
        <v>310</v>
      </c>
      <c r="D48" s="10" t="s">
        <v>228</v>
      </c>
      <c r="E48" s="633">
        <v>126000</v>
      </c>
      <c r="F48" s="13"/>
    </row>
    <row r="49" customHeight="1" spans="1:6">
      <c r="A49" s="10">
        <v>7</v>
      </c>
      <c r="B49" s="14" t="s">
        <v>313</v>
      </c>
      <c r="C49" s="4" t="s">
        <v>256</v>
      </c>
      <c r="D49" s="16" t="s">
        <v>257</v>
      </c>
      <c r="E49" s="633">
        <v>90000</v>
      </c>
      <c r="F49" s="13"/>
    </row>
    <row r="50" customHeight="1" spans="1:6">
      <c r="A50" s="10">
        <v>8</v>
      </c>
      <c r="B50" s="11" t="s">
        <v>314</v>
      </c>
      <c r="C50" s="4" t="s">
        <v>63</v>
      </c>
      <c r="D50" s="10" t="s">
        <v>301</v>
      </c>
      <c r="E50" s="633">
        <v>68000</v>
      </c>
      <c r="F50" s="13"/>
    </row>
    <row r="51" customHeight="1" spans="1:6">
      <c r="A51" s="10">
        <v>9</v>
      </c>
      <c r="B51" s="11" t="s">
        <v>315</v>
      </c>
      <c r="C51" s="4" t="s">
        <v>63</v>
      </c>
      <c r="D51" s="10" t="s">
        <v>283</v>
      </c>
      <c r="E51" s="633">
        <v>54000</v>
      </c>
      <c r="F51" s="13"/>
    </row>
    <row r="52" customHeight="1" spans="1:6">
      <c r="A52" s="10">
        <v>10</v>
      </c>
      <c r="B52" s="11" t="s">
        <v>316</v>
      </c>
      <c r="C52" s="4" t="s">
        <v>63</v>
      </c>
      <c r="D52" s="10" t="s">
        <v>283</v>
      </c>
      <c r="E52" s="633">
        <v>54000</v>
      </c>
      <c r="F52" s="13"/>
    </row>
    <row r="53" customHeight="1" spans="1:6">
      <c r="A53" s="10">
        <v>11</v>
      </c>
      <c r="B53" s="11" t="s">
        <v>317</v>
      </c>
      <c r="C53" s="4" t="s">
        <v>63</v>
      </c>
      <c r="D53" s="10" t="s">
        <v>283</v>
      </c>
      <c r="E53" s="633">
        <v>54000</v>
      </c>
      <c r="F53" s="13"/>
    </row>
    <row r="54" ht="25.5" customHeight="1" spans="1:6">
      <c r="A54" s="10"/>
      <c r="B54" s="20" t="s">
        <v>33</v>
      </c>
      <c r="C54" s="21">
        <v>11</v>
      </c>
      <c r="D54" s="21"/>
      <c r="E54" s="635">
        <f>SUM(E43:E53)</f>
        <v>1274000</v>
      </c>
      <c r="F54" s="13"/>
    </row>
    <row r="55" customHeight="1" spans="1:6">
      <c r="A55" s="10"/>
      <c r="B55" s="22"/>
      <c r="C55" s="21"/>
      <c r="D55" s="21"/>
      <c r="E55" s="636"/>
      <c r="F55" s="13"/>
    </row>
    <row r="56" customHeight="1" spans="1:6">
      <c r="A56" s="10"/>
      <c r="B56" s="20" t="s">
        <v>318</v>
      </c>
      <c r="C56" s="21"/>
      <c r="D56" s="21"/>
      <c r="E56" s="636"/>
      <c r="F56" s="13"/>
    </row>
    <row r="57" customHeight="1" spans="1:6">
      <c r="A57" s="10">
        <v>1</v>
      </c>
      <c r="B57" s="11" t="s">
        <v>319</v>
      </c>
      <c r="C57" s="12" t="s">
        <v>320</v>
      </c>
      <c r="D57" s="15" t="s">
        <v>297</v>
      </c>
      <c r="E57" s="633">
        <v>270000</v>
      </c>
      <c r="F57" s="13"/>
    </row>
    <row r="58" customHeight="1" spans="1:6">
      <c r="A58" s="10">
        <v>2</v>
      </c>
      <c r="B58" s="11" t="s">
        <v>321</v>
      </c>
      <c r="C58" s="12" t="s">
        <v>322</v>
      </c>
      <c r="D58" s="15" t="s">
        <v>225</v>
      </c>
      <c r="E58" s="633">
        <v>126000</v>
      </c>
      <c r="F58" s="13"/>
    </row>
    <row r="59" customHeight="1" spans="1:6">
      <c r="A59" s="10"/>
      <c r="B59" s="20" t="s">
        <v>33</v>
      </c>
      <c r="C59" s="21">
        <v>2</v>
      </c>
      <c r="D59" s="21"/>
      <c r="E59" s="635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6"/>
      <c r="F60" s="13"/>
    </row>
    <row r="61" customHeight="1" spans="1:6">
      <c r="A61" s="10"/>
      <c r="B61" s="20" t="s">
        <v>44</v>
      </c>
      <c r="C61" s="21"/>
      <c r="D61" s="21"/>
      <c r="E61" s="636"/>
      <c r="F61" s="13"/>
    </row>
    <row r="62" customHeight="1" spans="1:6">
      <c r="A62" s="10">
        <v>1</v>
      </c>
      <c r="B62" s="11" t="s">
        <v>323</v>
      </c>
      <c r="C62" s="17" t="s">
        <v>324</v>
      </c>
      <c r="D62" s="10" t="s">
        <v>297</v>
      </c>
      <c r="E62" s="633">
        <v>270000</v>
      </c>
      <c r="F62" s="13"/>
    </row>
    <row r="63" customHeight="1" spans="1:6">
      <c r="A63" s="10">
        <v>2</v>
      </c>
      <c r="B63" s="351" t="s">
        <v>325</v>
      </c>
      <c r="C63" s="17" t="s">
        <v>326</v>
      </c>
      <c r="D63" s="15" t="s">
        <v>327</v>
      </c>
      <c r="E63" s="633">
        <v>126000</v>
      </c>
      <c r="F63" s="13"/>
    </row>
    <row r="64" customHeight="1" spans="1:6">
      <c r="A64" s="10">
        <v>3</v>
      </c>
      <c r="B64" s="11" t="s">
        <v>328</v>
      </c>
      <c r="C64" s="4" t="s">
        <v>256</v>
      </c>
      <c r="D64" s="10" t="s">
        <v>260</v>
      </c>
      <c r="E64" s="633">
        <v>90000</v>
      </c>
      <c r="F64" s="13"/>
    </row>
    <row r="65" customHeight="1" spans="1:6">
      <c r="A65" s="10">
        <v>4</v>
      </c>
      <c r="B65" s="18" t="s">
        <v>329</v>
      </c>
      <c r="C65" s="17" t="s">
        <v>46</v>
      </c>
      <c r="D65" s="15" t="s">
        <v>266</v>
      </c>
      <c r="E65" s="633">
        <v>90000</v>
      </c>
      <c r="F65" s="13"/>
    </row>
    <row r="66" customHeight="1" spans="1:6">
      <c r="A66" s="10">
        <v>5</v>
      </c>
      <c r="B66" s="14" t="s">
        <v>330</v>
      </c>
      <c r="C66" s="17" t="s">
        <v>256</v>
      </c>
      <c r="D66" s="15" t="s">
        <v>254</v>
      </c>
      <c r="E66" s="633">
        <v>90000</v>
      </c>
      <c r="F66" s="13"/>
    </row>
    <row r="67" customHeight="1" spans="1:6">
      <c r="A67" s="10">
        <v>7</v>
      </c>
      <c r="B67" s="11" t="s">
        <v>331</v>
      </c>
      <c r="C67" s="4" t="s">
        <v>63</v>
      </c>
      <c r="D67" s="10" t="s">
        <v>332</v>
      </c>
      <c r="E67" s="633">
        <v>68000</v>
      </c>
      <c r="F67" s="13"/>
    </row>
    <row r="68" customHeight="1" spans="1:6">
      <c r="A68" s="10">
        <v>8</v>
      </c>
      <c r="B68" s="11" t="s">
        <v>333</v>
      </c>
      <c r="C68" s="17" t="s">
        <v>275</v>
      </c>
      <c r="D68" s="10" t="s">
        <v>332</v>
      </c>
      <c r="E68" s="633">
        <v>68000</v>
      </c>
      <c r="F68" s="13"/>
    </row>
    <row r="69" customHeight="1" spans="1:6">
      <c r="A69" s="10">
        <v>9</v>
      </c>
      <c r="B69" s="11" t="s">
        <v>334</v>
      </c>
      <c r="C69" s="17" t="s">
        <v>275</v>
      </c>
      <c r="D69" s="10" t="s">
        <v>332</v>
      </c>
      <c r="E69" s="633">
        <v>68000</v>
      </c>
      <c r="F69" s="13"/>
    </row>
    <row r="70" customHeight="1" spans="1:6">
      <c r="A70" s="10">
        <v>10</v>
      </c>
      <c r="B70" s="11" t="s">
        <v>335</v>
      </c>
      <c r="C70" s="4" t="s">
        <v>336</v>
      </c>
      <c r="D70" s="10" t="s">
        <v>271</v>
      </c>
      <c r="E70" s="633">
        <v>68000</v>
      </c>
      <c r="F70" s="13"/>
    </row>
    <row r="71" ht="21.6" customHeight="1" spans="1:5">
      <c r="A71" s="10">
        <v>11</v>
      </c>
      <c r="B71" s="11" t="s">
        <v>337</v>
      </c>
      <c r="C71" s="4" t="s">
        <v>63</v>
      </c>
      <c r="D71" s="10" t="s">
        <v>301</v>
      </c>
      <c r="E71" s="633">
        <v>68000</v>
      </c>
    </row>
    <row r="72" ht="27" customHeight="1" spans="1:6">
      <c r="A72" s="10"/>
      <c r="B72" s="20" t="s">
        <v>33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6"/>
      <c r="F73" s="13"/>
    </row>
    <row r="74" customHeight="1" spans="1:6">
      <c r="A74" s="10"/>
      <c r="B74" s="20" t="s">
        <v>51</v>
      </c>
      <c r="C74" s="21"/>
      <c r="D74" s="21"/>
      <c r="E74" s="636"/>
      <c r="F74" s="13"/>
    </row>
    <row r="75" customHeight="1" spans="1:6">
      <c r="A75" s="10">
        <v>1</v>
      </c>
      <c r="B75" s="11" t="s">
        <v>338</v>
      </c>
      <c r="C75" s="4" t="s">
        <v>339</v>
      </c>
      <c r="D75" s="10" t="s">
        <v>297</v>
      </c>
      <c r="E75" s="633">
        <v>270000</v>
      </c>
      <c r="F75" s="13"/>
    </row>
    <row r="76" customHeight="1" spans="1:6">
      <c r="A76" s="10">
        <v>2</v>
      </c>
      <c r="B76" s="14" t="s">
        <v>220</v>
      </c>
      <c r="C76" s="4" t="s">
        <v>221</v>
      </c>
      <c r="D76" s="15" t="s">
        <v>222</v>
      </c>
      <c r="E76" s="633">
        <v>126000</v>
      </c>
      <c r="F76" s="13"/>
    </row>
    <row r="77" customHeight="1" spans="1:6">
      <c r="A77" s="10">
        <v>3</v>
      </c>
      <c r="B77" s="18" t="s">
        <v>223</v>
      </c>
      <c r="C77" s="12" t="s">
        <v>224</v>
      </c>
      <c r="D77" s="10" t="s">
        <v>225</v>
      </c>
      <c r="E77" s="633">
        <v>126000</v>
      </c>
      <c r="F77" s="13"/>
    </row>
    <row r="78" customHeight="1" spans="1:6">
      <c r="A78" s="10">
        <v>4</v>
      </c>
      <c r="B78" s="11" t="s">
        <v>340</v>
      </c>
      <c r="C78" s="4" t="s">
        <v>341</v>
      </c>
      <c r="D78" s="15" t="s">
        <v>342</v>
      </c>
      <c r="E78" s="633">
        <v>90000</v>
      </c>
      <c r="F78" s="13"/>
    </row>
    <row r="79" customHeight="1" spans="1:6">
      <c r="A79" s="10">
        <v>5</v>
      </c>
      <c r="B79" s="11" t="s">
        <v>343</v>
      </c>
      <c r="C79" s="4" t="s">
        <v>344</v>
      </c>
      <c r="D79" s="10" t="s">
        <v>345</v>
      </c>
      <c r="E79" s="633">
        <v>68000</v>
      </c>
      <c r="F79" s="13"/>
    </row>
    <row r="80" customHeight="1" spans="1:6">
      <c r="A80" s="10">
        <v>6</v>
      </c>
      <c r="B80" s="11" t="s">
        <v>346</v>
      </c>
      <c r="C80" s="4" t="s">
        <v>344</v>
      </c>
      <c r="D80" s="10" t="s">
        <v>283</v>
      </c>
      <c r="E80" s="633">
        <v>54000</v>
      </c>
      <c r="F80" s="13"/>
    </row>
    <row r="81" customHeight="1" spans="1:6">
      <c r="A81" s="10">
        <v>7</v>
      </c>
      <c r="B81" s="11" t="s">
        <v>347</v>
      </c>
      <c r="C81" s="4" t="s">
        <v>348</v>
      </c>
      <c r="D81" s="10" t="s">
        <v>294</v>
      </c>
      <c r="E81" s="633">
        <v>54000</v>
      </c>
      <c r="F81" s="13"/>
    </row>
    <row r="82" customHeight="1" spans="1:6">
      <c r="A82" s="10"/>
      <c r="B82" s="20" t="s">
        <v>33</v>
      </c>
      <c r="C82" s="21">
        <v>7</v>
      </c>
      <c r="D82" s="21"/>
      <c r="E82" s="635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33"/>
      <c r="F83" s="13"/>
    </row>
    <row r="84" customHeight="1" spans="1:6">
      <c r="A84" s="10"/>
      <c r="B84" s="20" t="s">
        <v>56</v>
      </c>
      <c r="C84" s="25"/>
      <c r="D84" s="21"/>
      <c r="E84" s="633"/>
      <c r="F84" s="13"/>
    </row>
    <row r="85" customHeight="1" spans="1:6">
      <c r="A85" s="10">
        <v>1</v>
      </c>
      <c r="B85" s="11" t="s">
        <v>349</v>
      </c>
      <c r="C85" s="4" t="s">
        <v>310</v>
      </c>
      <c r="D85" s="10" t="s">
        <v>249</v>
      </c>
      <c r="E85" s="633">
        <v>126000</v>
      </c>
      <c r="F85" s="13"/>
    </row>
    <row r="86" customHeight="1" spans="1:6">
      <c r="A86" s="10">
        <v>2</v>
      </c>
      <c r="B86" s="11" t="s">
        <v>350</v>
      </c>
      <c r="C86" s="4" t="s">
        <v>310</v>
      </c>
      <c r="D86" s="10" t="s">
        <v>249</v>
      </c>
      <c r="E86" s="633">
        <v>126000</v>
      </c>
      <c r="F86" s="13"/>
    </row>
    <row r="87" customHeight="1" spans="1:6">
      <c r="A87" s="10">
        <v>3</v>
      </c>
      <c r="B87" s="11" t="s">
        <v>351</v>
      </c>
      <c r="C87" s="4" t="s">
        <v>310</v>
      </c>
      <c r="D87" s="10" t="s">
        <v>228</v>
      </c>
      <c r="E87" s="633">
        <v>126000</v>
      </c>
      <c r="F87" s="13"/>
    </row>
    <row r="88" ht="21.6" customHeight="1" spans="1:6">
      <c r="A88" s="10">
        <v>4</v>
      </c>
      <c r="B88" s="11" t="s">
        <v>352</v>
      </c>
      <c r="C88" s="4" t="s">
        <v>353</v>
      </c>
      <c r="D88" s="15" t="s">
        <v>263</v>
      </c>
      <c r="E88" s="633">
        <v>90000</v>
      </c>
      <c r="F88" s="13"/>
    </row>
    <row r="89" ht="21.6" customHeight="1" spans="1:6">
      <c r="A89" s="10">
        <v>5</v>
      </c>
      <c r="B89" s="11" t="s">
        <v>354</v>
      </c>
      <c r="C89" s="12" t="s">
        <v>46</v>
      </c>
      <c r="D89" s="15" t="s">
        <v>266</v>
      </c>
      <c r="E89" s="633">
        <v>90000</v>
      </c>
      <c r="F89" s="13"/>
    </row>
    <row r="90" ht="21.6" customHeight="1" spans="1:6">
      <c r="A90" s="10">
        <v>6</v>
      </c>
      <c r="B90" s="11" t="s">
        <v>355</v>
      </c>
      <c r="C90" s="12" t="s">
        <v>256</v>
      </c>
      <c r="D90" s="15" t="s">
        <v>356</v>
      </c>
      <c r="E90" s="633">
        <v>90000</v>
      </c>
      <c r="F90" s="13"/>
    </row>
    <row r="91" ht="21.6" customHeight="1" spans="1:6">
      <c r="A91" s="10">
        <v>7</v>
      </c>
      <c r="B91" s="11" t="s">
        <v>357</v>
      </c>
      <c r="C91" s="17" t="s">
        <v>275</v>
      </c>
      <c r="D91" s="15" t="s">
        <v>332</v>
      </c>
      <c r="E91" s="633">
        <v>68000</v>
      </c>
      <c r="F91" s="13"/>
    </row>
    <row r="92" ht="21.6" customHeight="1" spans="1:6">
      <c r="A92" s="10">
        <v>8</v>
      </c>
      <c r="B92" s="11" t="s">
        <v>358</v>
      </c>
      <c r="C92" s="17" t="s">
        <v>46</v>
      </c>
      <c r="D92" s="15" t="s">
        <v>47</v>
      </c>
      <c r="E92" s="633">
        <v>90000</v>
      </c>
      <c r="F92" s="13"/>
    </row>
    <row r="93" ht="21.6" customHeight="1" spans="1:6">
      <c r="A93" s="10">
        <v>9</v>
      </c>
      <c r="B93" s="11" t="s">
        <v>359</v>
      </c>
      <c r="C93" s="4" t="s">
        <v>360</v>
      </c>
      <c r="D93" s="10" t="s">
        <v>301</v>
      </c>
      <c r="E93" s="633">
        <v>68000</v>
      </c>
      <c r="F93" s="13"/>
    </row>
    <row r="94" ht="21.6" customHeight="1" spans="1:6">
      <c r="A94" s="10">
        <v>10</v>
      </c>
      <c r="B94" s="11" t="s">
        <v>361</v>
      </c>
      <c r="C94" s="17" t="s">
        <v>362</v>
      </c>
      <c r="D94" s="15" t="s">
        <v>291</v>
      </c>
      <c r="E94" s="633">
        <v>54000</v>
      </c>
      <c r="F94" s="13"/>
    </row>
    <row r="95" customHeight="1" spans="1:6">
      <c r="A95" s="10"/>
      <c r="B95" s="20" t="s">
        <v>33</v>
      </c>
      <c r="C95" s="21">
        <v>11</v>
      </c>
      <c r="D95" s="21"/>
      <c r="E95" s="635">
        <f>SUM(E85:E94)</f>
        <v>928000</v>
      </c>
      <c r="F95" s="13"/>
    </row>
    <row r="96" customHeight="1" spans="1:6">
      <c r="A96" s="10"/>
      <c r="B96" s="22"/>
      <c r="C96" s="21"/>
      <c r="D96" s="21"/>
      <c r="E96" s="636"/>
      <c r="F96" s="13"/>
    </row>
    <row r="97" customHeight="1" spans="1:6">
      <c r="A97" s="10"/>
      <c r="B97" s="20" t="s">
        <v>58</v>
      </c>
      <c r="C97" s="21"/>
      <c r="D97" s="21"/>
      <c r="E97" s="636"/>
      <c r="F97" s="13"/>
    </row>
    <row r="98" customHeight="1" spans="1:6">
      <c r="A98" s="10">
        <v>1</v>
      </c>
      <c r="B98" s="14" t="s">
        <v>363</v>
      </c>
      <c r="C98" s="4" t="s">
        <v>364</v>
      </c>
      <c r="D98" s="16" t="s">
        <v>365</v>
      </c>
      <c r="E98" s="633">
        <v>270000</v>
      </c>
      <c r="F98" s="13"/>
    </row>
    <row r="99" customHeight="1" spans="1:6">
      <c r="A99" s="10">
        <v>2</v>
      </c>
      <c r="B99" s="11" t="s">
        <v>366</v>
      </c>
      <c r="C99" s="4" t="s">
        <v>367</v>
      </c>
      <c r="D99" s="15" t="s">
        <v>342</v>
      </c>
      <c r="E99" s="633">
        <v>90000</v>
      </c>
      <c r="F99" s="13"/>
    </row>
    <row r="100" customHeight="1" spans="1:6">
      <c r="A100" s="10">
        <v>3</v>
      </c>
      <c r="B100" s="11" t="s">
        <v>368</v>
      </c>
      <c r="C100" s="4" t="s">
        <v>369</v>
      </c>
      <c r="D100" s="15" t="s">
        <v>271</v>
      </c>
      <c r="E100" s="633">
        <v>68000</v>
      </c>
      <c r="F100" s="13"/>
    </row>
    <row r="101" customHeight="1" spans="1:6">
      <c r="A101" s="10">
        <v>4</v>
      </c>
      <c r="B101" s="11" t="s">
        <v>370</v>
      </c>
      <c r="C101" s="4" t="s">
        <v>371</v>
      </c>
      <c r="D101" s="15" t="s">
        <v>301</v>
      </c>
      <c r="E101" s="633">
        <v>68000</v>
      </c>
      <c r="F101" s="13"/>
    </row>
    <row r="102" customHeight="1" spans="1:6">
      <c r="A102" s="4"/>
      <c r="B102" s="20" t="s">
        <v>33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6"/>
      <c r="F103" s="13"/>
    </row>
    <row r="104" customHeight="1" spans="1:6">
      <c r="A104" s="4"/>
      <c r="B104" s="20" t="s">
        <v>372</v>
      </c>
      <c r="C104" s="4"/>
      <c r="D104" s="4"/>
      <c r="E104" s="637"/>
      <c r="F104" s="13"/>
    </row>
    <row r="105" customHeight="1" spans="1:6">
      <c r="A105" s="4">
        <v>1</v>
      </c>
      <c r="B105" s="11" t="s">
        <v>373</v>
      </c>
      <c r="C105" s="12" t="s">
        <v>374</v>
      </c>
      <c r="D105" s="15" t="s">
        <v>297</v>
      </c>
      <c r="E105" s="633">
        <v>270000</v>
      </c>
      <c r="F105" s="13"/>
    </row>
    <row r="106" customHeight="1" spans="1:6">
      <c r="A106" s="4">
        <v>2</v>
      </c>
      <c r="B106" s="11" t="s">
        <v>375</v>
      </c>
      <c r="C106" s="4" t="s">
        <v>376</v>
      </c>
      <c r="D106" s="16" t="s">
        <v>231</v>
      </c>
      <c r="E106" s="633">
        <v>180000</v>
      </c>
      <c r="F106" s="13"/>
    </row>
    <row r="107" customHeight="1" spans="1:6">
      <c r="A107" s="4">
        <v>3</v>
      </c>
      <c r="B107" s="11" t="s">
        <v>377</v>
      </c>
      <c r="C107" s="4" t="s">
        <v>378</v>
      </c>
      <c r="D107" s="10" t="s">
        <v>263</v>
      </c>
      <c r="E107" s="633">
        <v>90000</v>
      </c>
      <c r="F107" s="13"/>
    </row>
    <row r="108" customHeight="1" spans="1:6">
      <c r="A108" s="4">
        <v>4</v>
      </c>
      <c r="B108" s="11" t="s">
        <v>379</v>
      </c>
      <c r="C108" s="4" t="s">
        <v>378</v>
      </c>
      <c r="D108" s="10" t="s">
        <v>263</v>
      </c>
      <c r="E108" s="633">
        <v>90000</v>
      </c>
      <c r="F108" s="13"/>
    </row>
    <row r="109" customHeight="1" spans="1:6">
      <c r="A109" s="4">
        <v>5</v>
      </c>
      <c r="B109" s="11" t="s">
        <v>380</v>
      </c>
      <c r="C109" s="4" t="s">
        <v>381</v>
      </c>
      <c r="D109" s="15" t="s">
        <v>382</v>
      </c>
      <c r="E109" s="633">
        <v>54000</v>
      </c>
      <c r="F109" s="13"/>
    </row>
    <row r="110" customHeight="1" spans="1:6">
      <c r="A110" s="4">
        <v>6</v>
      </c>
      <c r="B110" s="18" t="s">
        <v>383</v>
      </c>
      <c r="C110" s="4" t="s">
        <v>381</v>
      </c>
      <c r="D110" s="10" t="s">
        <v>384</v>
      </c>
      <c r="E110" s="633">
        <v>54000</v>
      </c>
      <c r="F110" s="13"/>
    </row>
    <row r="111" customHeight="1" spans="1:6">
      <c r="A111" s="4">
        <v>7</v>
      </c>
      <c r="B111" s="18" t="s">
        <v>385</v>
      </c>
      <c r="C111" s="4" t="s">
        <v>381</v>
      </c>
      <c r="D111" s="15" t="s">
        <v>291</v>
      </c>
      <c r="E111" s="633">
        <v>54000</v>
      </c>
      <c r="F111" s="13"/>
    </row>
    <row r="112" ht="25.5" customHeight="1" spans="1:6">
      <c r="A112" s="4"/>
      <c r="B112" s="20" t="s">
        <v>33</v>
      </c>
      <c r="C112" s="21">
        <v>7</v>
      </c>
      <c r="D112" s="4"/>
      <c r="E112" s="638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8"/>
      <c r="F113" s="13"/>
    </row>
    <row r="114" customHeight="1" spans="1:6">
      <c r="A114" s="10"/>
      <c r="B114" s="20" t="s">
        <v>61</v>
      </c>
      <c r="C114" s="21"/>
      <c r="D114" s="21"/>
      <c r="E114" s="636"/>
      <c r="F114" s="13"/>
    </row>
    <row r="115" customHeight="1" spans="1:6">
      <c r="A115" s="10">
        <v>1</v>
      </c>
      <c r="B115" s="14" t="s">
        <v>386</v>
      </c>
      <c r="C115" s="4" t="s">
        <v>310</v>
      </c>
      <c r="D115" s="10" t="s">
        <v>327</v>
      </c>
      <c r="E115" s="633">
        <v>126000</v>
      </c>
      <c r="F115" s="13"/>
    </row>
    <row r="116" ht="18.75" customHeight="1" spans="1:6">
      <c r="A116" s="10">
        <v>2</v>
      </c>
      <c r="B116" s="11" t="s">
        <v>387</v>
      </c>
      <c r="C116" s="4" t="s">
        <v>388</v>
      </c>
      <c r="D116" s="15" t="s">
        <v>271</v>
      </c>
      <c r="E116" s="633">
        <v>68000</v>
      </c>
      <c r="F116" s="13"/>
    </row>
    <row r="117" customHeight="1" spans="1:6">
      <c r="A117" s="10">
        <v>3</v>
      </c>
      <c r="B117" s="11" t="s">
        <v>389</v>
      </c>
      <c r="C117" s="12" t="s">
        <v>390</v>
      </c>
      <c r="D117" s="15" t="s">
        <v>391</v>
      </c>
      <c r="E117" s="633">
        <v>68000</v>
      </c>
      <c r="F117" s="13"/>
    </row>
    <row r="118" ht="24.75" customHeight="1" spans="1:6">
      <c r="A118" s="4"/>
      <c r="B118" s="20" t="s">
        <v>33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9"/>
      <c r="F119" s="13"/>
    </row>
    <row r="120" customHeight="1" spans="1:6">
      <c r="A120" s="4"/>
      <c r="B120" s="20" t="s">
        <v>67</v>
      </c>
      <c r="C120" s="21"/>
      <c r="D120" s="21"/>
      <c r="E120" s="633"/>
      <c r="F120" s="13"/>
    </row>
    <row r="121" customHeight="1" spans="1:6">
      <c r="A121" s="4">
        <v>1</v>
      </c>
      <c r="B121" s="11" t="s">
        <v>392</v>
      </c>
      <c r="C121" s="12" t="s">
        <v>393</v>
      </c>
      <c r="D121" s="15" t="s">
        <v>297</v>
      </c>
      <c r="E121" s="633">
        <v>270000</v>
      </c>
      <c r="F121" s="13"/>
    </row>
    <row r="122" customHeight="1" spans="1:6">
      <c r="A122" s="4">
        <v>2</v>
      </c>
      <c r="B122" s="11" t="s">
        <v>128</v>
      </c>
      <c r="C122" s="12" t="s">
        <v>394</v>
      </c>
      <c r="D122" s="15" t="s">
        <v>308</v>
      </c>
      <c r="E122" s="633">
        <v>180000</v>
      </c>
      <c r="F122" s="13"/>
    </row>
    <row r="123" customHeight="1" spans="1:6">
      <c r="A123" s="4">
        <v>3</v>
      </c>
      <c r="B123" s="14" t="s">
        <v>395</v>
      </c>
      <c r="C123" s="12" t="s">
        <v>227</v>
      </c>
      <c r="D123" s="15" t="s">
        <v>249</v>
      </c>
      <c r="E123" s="633">
        <v>126000</v>
      </c>
      <c r="F123" s="13"/>
    </row>
    <row r="124" customHeight="1" spans="1:6">
      <c r="A124" s="4">
        <v>4</v>
      </c>
      <c r="B124" s="14" t="s">
        <v>226</v>
      </c>
      <c r="C124" s="12" t="s">
        <v>227</v>
      </c>
      <c r="D124" s="15" t="s">
        <v>228</v>
      </c>
      <c r="E124" s="633">
        <v>126000</v>
      </c>
      <c r="F124" s="13"/>
    </row>
    <row r="125" customHeight="1" spans="1:6">
      <c r="A125" s="4">
        <v>5</v>
      </c>
      <c r="B125" s="11" t="s">
        <v>396</v>
      </c>
      <c r="C125" s="12" t="s">
        <v>397</v>
      </c>
      <c r="D125" s="15" t="s">
        <v>257</v>
      </c>
      <c r="E125" s="633">
        <v>90000</v>
      </c>
      <c r="F125" s="13"/>
    </row>
    <row r="126" customHeight="1" spans="1:6">
      <c r="A126" s="4">
        <v>6</v>
      </c>
      <c r="B126" s="11" t="s">
        <v>398</v>
      </c>
      <c r="C126" s="12" t="s">
        <v>399</v>
      </c>
      <c r="D126" s="15" t="s">
        <v>260</v>
      </c>
      <c r="E126" s="633">
        <v>90000</v>
      </c>
      <c r="F126" s="13"/>
    </row>
    <row r="127" customHeight="1" spans="1:6">
      <c r="A127" s="4">
        <v>7</v>
      </c>
      <c r="B127" s="11" t="s">
        <v>400</v>
      </c>
      <c r="C127" s="12" t="s">
        <v>397</v>
      </c>
      <c r="D127" s="15" t="s">
        <v>342</v>
      </c>
      <c r="E127" s="633">
        <v>90000</v>
      </c>
      <c r="F127" s="13"/>
    </row>
    <row r="128" customHeight="1" spans="1:6">
      <c r="A128" s="4">
        <v>8</v>
      </c>
      <c r="B128" s="11" t="s">
        <v>401</v>
      </c>
      <c r="C128" s="12" t="s">
        <v>402</v>
      </c>
      <c r="D128" s="10" t="s">
        <v>279</v>
      </c>
      <c r="E128" s="633">
        <v>54000</v>
      </c>
      <c r="F128" s="13"/>
    </row>
    <row r="129" customHeight="1" spans="1:6">
      <c r="A129" s="4">
        <v>9</v>
      </c>
      <c r="B129" s="18" t="s">
        <v>403</v>
      </c>
      <c r="C129" s="12" t="s">
        <v>404</v>
      </c>
      <c r="D129" s="15" t="s">
        <v>294</v>
      </c>
      <c r="E129" s="633">
        <v>54000</v>
      </c>
      <c r="F129" s="13"/>
    </row>
    <row r="130" customHeight="1" spans="1:6">
      <c r="A130" s="4">
        <v>10</v>
      </c>
      <c r="B130" s="18" t="s">
        <v>405</v>
      </c>
      <c r="C130" s="12" t="s">
        <v>69</v>
      </c>
      <c r="D130" s="15" t="s">
        <v>294</v>
      </c>
      <c r="E130" s="633">
        <v>54000</v>
      </c>
      <c r="F130" s="13"/>
    </row>
    <row r="131" ht="28.5" customHeight="1" spans="1:6">
      <c r="A131" s="4"/>
      <c r="B131" s="20" t="s">
        <v>33</v>
      </c>
      <c r="C131" s="26" t="s">
        <v>406</v>
      </c>
      <c r="D131" s="15"/>
      <c r="E131" s="636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6"/>
      <c r="F132" s="13"/>
    </row>
    <row r="133" customHeight="1" spans="1:6">
      <c r="A133" s="4"/>
      <c r="B133" s="20" t="s">
        <v>71</v>
      </c>
      <c r="C133" s="12"/>
      <c r="D133" s="15"/>
      <c r="E133" s="633"/>
      <c r="F133" s="13"/>
    </row>
    <row r="134" customHeight="1" spans="1:6">
      <c r="A134" s="27">
        <v>1</v>
      </c>
      <c r="B134" s="11" t="s">
        <v>407</v>
      </c>
      <c r="C134" s="12" t="s">
        <v>408</v>
      </c>
      <c r="D134" s="15" t="s">
        <v>297</v>
      </c>
      <c r="E134" s="633">
        <v>270000</v>
      </c>
      <c r="F134" s="13"/>
    </row>
    <row r="135" customHeight="1" spans="1:6">
      <c r="A135" s="27">
        <v>2</v>
      </c>
      <c r="B135" s="11" t="s">
        <v>229</v>
      </c>
      <c r="C135" s="12" t="s">
        <v>230</v>
      </c>
      <c r="D135" s="15" t="s">
        <v>231</v>
      </c>
      <c r="E135" s="633">
        <v>180000</v>
      </c>
      <c r="F135" s="13"/>
    </row>
    <row r="136" customHeight="1" spans="1:6">
      <c r="A136" s="27">
        <v>3</v>
      </c>
      <c r="B136" s="14" t="s">
        <v>409</v>
      </c>
      <c r="C136" s="4" t="s">
        <v>410</v>
      </c>
      <c r="D136" s="16" t="s">
        <v>231</v>
      </c>
      <c r="E136" s="633">
        <v>180000</v>
      </c>
      <c r="F136" s="13"/>
    </row>
    <row r="137" customHeight="1" spans="1:6">
      <c r="A137" s="27">
        <v>4</v>
      </c>
      <c r="B137" s="11" t="s">
        <v>411</v>
      </c>
      <c r="C137" s="12" t="s">
        <v>412</v>
      </c>
      <c r="D137" s="15" t="s">
        <v>254</v>
      </c>
      <c r="E137" s="633">
        <v>90000</v>
      </c>
      <c r="F137" s="13"/>
    </row>
    <row r="138" customHeight="1" spans="1:6">
      <c r="A138" s="27">
        <v>5</v>
      </c>
      <c r="B138" s="11" t="s">
        <v>413</v>
      </c>
      <c r="C138" s="4" t="s">
        <v>414</v>
      </c>
      <c r="D138" s="15" t="s">
        <v>254</v>
      </c>
      <c r="E138" s="633">
        <v>90000</v>
      </c>
      <c r="F138" s="13"/>
    </row>
    <row r="139" customHeight="1" spans="1:6">
      <c r="A139" s="27">
        <v>6</v>
      </c>
      <c r="B139" s="11" t="s">
        <v>415</v>
      </c>
      <c r="C139" s="4" t="s">
        <v>414</v>
      </c>
      <c r="D139" s="15" t="s">
        <v>254</v>
      </c>
      <c r="E139" s="633">
        <v>90000</v>
      </c>
      <c r="F139" s="13"/>
    </row>
    <row r="140" customHeight="1" spans="1:6">
      <c r="A140" s="27">
        <v>7</v>
      </c>
      <c r="B140" s="11" t="s">
        <v>416</v>
      </c>
      <c r="C140" s="12" t="s">
        <v>417</v>
      </c>
      <c r="D140" s="15" t="s">
        <v>391</v>
      </c>
      <c r="E140" s="633">
        <v>68000</v>
      </c>
      <c r="F140" s="13"/>
    </row>
    <row r="141" customHeight="1" spans="1:6">
      <c r="A141" s="27">
        <v>8</v>
      </c>
      <c r="B141" s="11" t="s">
        <v>418</v>
      </c>
      <c r="C141" s="12" t="s">
        <v>417</v>
      </c>
      <c r="D141" s="15" t="s">
        <v>391</v>
      </c>
      <c r="E141" s="633">
        <v>68000</v>
      </c>
      <c r="F141" s="13"/>
    </row>
    <row r="142" customHeight="1" spans="1:6">
      <c r="A142" s="27">
        <v>9</v>
      </c>
      <c r="B142" s="11" t="s">
        <v>419</v>
      </c>
      <c r="C142" s="4" t="s">
        <v>420</v>
      </c>
      <c r="D142" s="15" t="s">
        <v>391</v>
      </c>
      <c r="E142" s="633">
        <v>68000</v>
      </c>
      <c r="F142" s="13"/>
    </row>
    <row r="143" customHeight="1" spans="1:6">
      <c r="A143" s="27">
        <v>10</v>
      </c>
      <c r="B143" s="11" t="s">
        <v>421</v>
      </c>
      <c r="C143" s="12" t="s">
        <v>422</v>
      </c>
      <c r="D143" s="15" t="s">
        <v>271</v>
      </c>
      <c r="E143" s="633">
        <v>68000</v>
      </c>
      <c r="F143" s="13"/>
    </row>
    <row r="144" customHeight="1" spans="1:6">
      <c r="A144" s="27">
        <v>11</v>
      </c>
      <c r="B144" s="11" t="s">
        <v>423</v>
      </c>
      <c r="C144" s="12" t="s">
        <v>424</v>
      </c>
      <c r="D144" s="15" t="s">
        <v>332</v>
      </c>
      <c r="E144" s="633">
        <v>68000</v>
      </c>
      <c r="F144" s="13"/>
    </row>
    <row r="145" customHeight="1" spans="1:6">
      <c r="A145" s="27">
        <v>12</v>
      </c>
      <c r="B145" s="11" t="s">
        <v>425</v>
      </c>
      <c r="C145" s="12" t="s">
        <v>426</v>
      </c>
      <c r="D145" s="15" t="s">
        <v>391</v>
      </c>
      <c r="E145" s="633">
        <v>68000</v>
      </c>
      <c r="F145" s="13"/>
    </row>
    <row r="146" customHeight="1" spans="1:6">
      <c r="A146" s="27">
        <v>13</v>
      </c>
      <c r="B146" s="18" t="s">
        <v>427</v>
      </c>
      <c r="C146" s="4" t="s">
        <v>428</v>
      </c>
      <c r="D146" s="15" t="s">
        <v>41</v>
      </c>
      <c r="E146" s="633">
        <v>68000</v>
      </c>
      <c r="F146" s="13"/>
    </row>
    <row r="147" customHeight="1" spans="1:6">
      <c r="A147" s="27">
        <v>14</v>
      </c>
      <c r="B147" s="11" t="s">
        <v>429</v>
      </c>
      <c r="C147" s="4" t="s">
        <v>430</v>
      </c>
      <c r="D147" s="15" t="s">
        <v>345</v>
      </c>
      <c r="E147" s="633">
        <v>68000</v>
      </c>
      <c r="F147" s="13"/>
    </row>
    <row r="148" customHeight="1" spans="1:6">
      <c r="A148" s="27">
        <v>15</v>
      </c>
      <c r="B148" s="11" t="s">
        <v>431</v>
      </c>
      <c r="C148" s="4" t="s">
        <v>430</v>
      </c>
      <c r="D148" s="15" t="s">
        <v>432</v>
      </c>
      <c r="E148" s="633">
        <v>68000</v>
      </c>
      <c r="F148" s="13"/>
    </row>
    <row r="149" customHeight="1" spans="1:6">
      <c r="A149" s="27">
        <v>16</v>
      </c>
      <c r="B149" s="11" t="s">
        <v>433</v>
      </c>
      <c r="C149" s="4" t="s">
        <v>430</v>
      </c>
      <c r="D149" s="15" t="s">
        <v>432</v>
      </c>
      <c r="E149" s="633">
        <v>68000</v>
      </c>
      <c r="F149" s="13"/>
    </row>
    <row r="150" customHeight="1" spans="1:6">
      <c r="A150" s="27">
        <v>17</v>
      </c>
      <c r="B150" s="11" t="s">
        <v>434</v>
      </c>
      <c r="C150" s="12" t="s">
        <v>435</v>
      </c>
      <c r="D150" s="15" t="s">
        <v>301</v>
      </c>
      <c r="E150" s="633">
        <v>68000</v>
      </c>
      <c r="F150" s="13"/>
    </row>
    <row r="151" customHeight="1" spans="1:6">
      <c r="A151" s="27">
        <v>18</v>
      </c>
      <c r="B151" s="11" t="s">
        <v>436</v>
      </c>
      <c r="C151" s="12" t="s">
        <v>437</v>
      </c>
      <c r="D151" s="10" t="s">
        <v>283</v>
      </c>
      <c r="E151" s="633">
        <v>54000</v>
      </c>
      <c r="F151" s="13"/>
    </row>
    <row r="152" customHeight="1" spans="1:6">
      <c r="A152" s="27">
        <v>19</v>
      </c>
      <c r="B152" s="11" t="s">
        <v>438</v>
      </c>
      <c r="C152" s="12" t="s">
        <v>439</v>
      </c>
      <c r="D152" s="15" t="s">
        <v>345</v>
      </c>
      <c r="E152" s="633">
        <v>68000</v>
      </c>
      <c r="F152" s="13"/>
    </row>
    <row r="153" customHeight="1" spans="1:6">
      <c r="A153" s="27">
        <v>20</v>
      </c>
      <c r="B153" s="11" t="s">
        <v>440</v>
      </c>
      <c r="C153" s="12" t="s">
        <v>441</v>
      </c>
      <c r="D153" s="15" t="s">
        <v>279</v>
      </c>
      <c r="E153" s="633">
        <v>54000</v>
      </c>
      <c r="F153" s="13"/>
    </row>
    <row r="154" customHeight="1" spans="1:6">
      <c r="A154" s="27">
        <v>21</v>
      </c>
      <c r="B154" s="11" t="s">
        <v>442</v>
      </c>
      <c r="C154" s="12" t="s">
        <v>443</v>
      </c>
      <c r="D154" s="15" t="s">
        <v>345</v>
      </c>
      <c r="E154" s="633">
        <v>68000</v>
      </c>
      <c r="F154" s="13"/>
    </row>
    <row r="155" customHeight="1" spans="1:6">
      <c r="A155" s="27">
        <v>22</v>
      </c>
      <c r="B155" s="11" t="s">
        <v>444</v>
      </c>
      <c r="C155" s="12" t="s">
        <v>445</v>
      </c>
      <c r="D155" s="15" t="s">
        <v>279</v>
      </c>
      <c r="E155" s="633">
        <v>54000</v>
      </c>
      <c r="F155" s="13"/>
    </row>
    <row r="156" customHeight="1" spans="1:6">
      <c r="A156" s="27">
        <v>23</v>
      </c>
      <c r="B156" s="18" t="s">
        <v>446</v>
      </c>
      <c r="C156" s="12" t="s">
        <v>447</v>
      </c>
      <c r="D156" s="15" t="s">
        <v>24</v>
      </c>
      <c r="E156" s="633">
        <v>54000</v>
      </c>
      <c r="F156" s="13"/>
    </row>
    <row r="157" customHeight="1" spans="1:6">
      <c r="A157" s="27">
        <v>24</v>
      </c>
      <c r="B157" s="18" t="s">
        <v>448</v>
      </c>
      <c r="C157" s="12" t="s">
        <v>449</v>
      </c>
      <c r="D157" s="15" t="s">
        <v>294</v>
      </c>
      <c r="E157" s="633">
        <v>54000</v>
      </c>
      <c r="F157" s="13"/>
    </row>
    <row r="158" customHeight="1" spans="1:6">
      <c r="A158" s="27">
        <v>25</v>
      </c>
      <c r="B158" s="18" t="s">
        <v>450</v>
      </c>
      <c r="C158" s="12" t="s">
        <v>451</v>
      </c>
      <c r="D158" s="15" t="s">
        <v>294</v>
      </c>
      <c r="E158" s="633">
        <v>54000</v>
      </c>
      <c r="F158" s="13"/>
    </row>
    <row r="159" customHeight="1" spans="1:6">
      <c r="A159" s="27">
        <v>26</v>
      </c>
      <c r="B159" s="18" t="s">
        <v>452</v>
      </c>
      <c r="C159" s="12" t="s">
        <v>453</v>
      </c>
      <c r="D159" s="15" t="s">
        <v>294</v>
      </c>
      <c r="E159" s="633">
        <v>54000</v>
      </c>
      <c r="F159" s="13"/>
    </row>
    <row r="160" customHeight="1" spans="1:6">
      <c r="A160" s="27">
        <v>27</v>
      </c>
      <c r="B160" s="18" t="s">
        <v>454</v>
      </c>
      <c r="C160" s="12" t="s">
        <v>455</v>
      </c>
      <c r="D160" s="15" t="s">
        <v>291</v>
      </c>
      <c r="E160" s="633">
        <v>54000</v>
      </c>
      <c r="F160" s="13"/>
    </row>
    <row r="161" customHeight="1" spans="1:6">
      <c r="A161" s="27">
        <v>28</v>
      </c>
      <c r="B161" s="18" t="s">
        <v>456</v>
      </c>
      <c r="C161" s="12" t="s">
        <v>451</v>
      </c>
      <c r="D161" s="15" t="s">
        <v>294</v>
      </c>
      <c r="E161" s="633">
        <v>54000</v>
      </c>
      <c r="F161" s="13"/>
    </row>
    <row r="162" customHeight="1" spans="1:6">
      <c r="A162" s="27">
        <v>29</v>
      </c>
      <c r="B162" s="11" t="s">
        <v>457</v>
      </c>
      <c r="C162" s="12" t="s">
        <v>458</v>
      </c>
      <c r="D162" s="15" t="s">
        <v>459</v>
      </c>
      <c r="E162" s="633">
        <v>36000</v>
      </c>
      <c r="F162" s="13"/>
    </row>
    <row r="163" customHeight="1" spans="1:6">
      <c r="A163" s="27">
        <v>30</v>
      </c>
      <c r="B163" s="11" t="s">
        <v>460</v>
      </c>
      <c r="C163" s="12" t="s">
        <v>458</v>
      </c>
      <c r="D163" s="15" t="s">
        <v>459</v>
      </c>
      <c r="E163" s="633">
        <v>36000</v>
      </c>
      <c r="F163" s="13"/>
    </row>
    <row r="164" customHeight="1" spans="1:6">
      <c r="A164" s="27">
        <v>31</v>
      </c>
      <c r="B164" s="11" t="s">
        <v>461</v>
      </c>
      <c r="C164" s="12" t="s">
        <v>458</v>
      </c>
      <c r="D164" s="15" t="s">
        <v>459</v>
      </c>
      <c r="E164" s="633">
        <v>36000</v>
      </c>
      <c r="F164" s="13"/>
    </row>
    <row r="165" customHeight="1" spans="1:6">
      <c r="A165" s="27">
        <v>32</v>
      </c>
      <c r="B165" s="11" t="s">
        <v>462</v>
      </c>
      <c r="C165" s="12" t="s">
        <v>458</v>
      </c>
      <c r="D165" s="15" t="s">
        <v>459</v>
      </c>
      <c r="E165" s="633">
        <v>36000</v>
      </c>
      <c r="F165" s="13"/>
    </row>
    <row r="166" customHeight="1" spans="1:6">
      <c r="A166" s="27">
        <v>33</v>
      </c>
      <c r="B166" s="11" t="s">
        <v>463</v>
      </c>
      <c r="C166" s="12" t="s">
        <v>458</v>
      </c>
      <c r="D166" s="15" t="s">
        <v>459</v>
      </c>
      <c r="E166" s="633">
        <v>36000</v>
      </c>
      <c r="F166" s="13"/>
    </row>
    <row r="167" customHeight="1" spans="1:6">
      <c r="A167" s="27">
        <v>34</v>
      </c>
      <c r="B167" s="11" t="s">
        <v>464</v>
      </c>
      <c r="C167" s="12" t="s">
        <v>458</v>
      </c>
      <c r="D167" s="15" t="s">
        <v>465</v>
      </c>
      <c r="E167" s="633">
        <v>36000</v>
      </c>
      <c r="F167" s="13"/>
    </row>
    <row r="168" customHeight="1" spans="1:6">
      <c r="A168" s="27">
        <v>35</v>
      </c>
      <c r="B168" s="11" t="s">
        <v>466</v>
      </c>
      <c r="C168" s="12" t="s">
        <v>458</v>
      </c>
      <c r="D168" s="15" t="s">
        <v>465</v>
      </c>
      <c r="E168" s="633">
        <v>36000</v>
      </c>
      <c r="F168" s="13"/>
    </row>
    <row r="169" customHeight="1" spans="1:6">
      <c r="A169" s="27">
        <v>36</v>
      </c>
      <c r="B169" s="14" t="s">
        <v>467</v>
      </c>
      <c r="C169" s="12" t="s">
        <v>458</v>
      </c>
      <c r="D169" s="15" t="s">
        <v>465</v>
      </c>
      <c r="E169" s="633">
        <v>36000</v>
      </c>
      <c r="F169" s="13"/>
    </row>
    <row r="170" customHeight="1" spans="1:6">
      <c r="A170" s="27">
        <v>37</v>
      </c>
      <c r="B170" s="11" t="s">
        <v>468</v>
      </c>
      <c r="C170" s="12" t="s">
        <v>458</v>
      </c>
      <c r="D170" s="15" t="s">
        <v>465</v>
      </c>
      <c r="E170" s="633">
        <v>36000</v>
      </c>
      <c r="F170" s="13"/>
    </row>
    <row r="171" customHeight="1" spans="1:6">
      <c r="A171" s="27">
        <v>38</v>
      </c>
      <c r="B171" s="18" t="s">
        <v>469</v>
      </c>
      <c r="C171" s="12" t="s">
        <v>458</v>
      </c>
      <c r="D171" s="15" t="s">
        <v>465</v>
      </c>
      <c r="E171" s="633">
        <v>36000</v>
      </c>
      <c r="F171" s="13"/>
    </row>
    <row r="172" customHeight="1" spans="1:6">
      <c r="A172" s="27">
        <v>39</v>
      </c>
      <c r="B172" s="18" t="s">
        <v>470</v>
      </c>
      <c r="C172" s="12" t="s">
        <v>458</v>
      </c>
      <c r="D172" s="15" t="s">
        <v>465</v>
      </c>
      <c r="E172" s="633">
        <v>36000</v>
      </c>
      <c r="F172" s="13"/>
    </row>
    <row r="173" customHeight="1" spans="1:6">
      <c r="A173" s="27">
        <v>40</v>
      </c>
      <c r="B173" s="11" t="s">
        <v>471</v>
      </c>
      <c r="C173" s="12" t="s">
        <v>472</v>
      </c>
      <c r="D173" s="15" t="s">
        <v>473</v>
      </c>
      <c r="E173" s="633">
        <v>36000</v>
      </c>
      <c r="F173" s="13"/>
    </row>
    <row r="174" customHeight="1" spans="1:6">
      <c r="A174" s="27">
        <v>41</v>
      </c>
      <c r="B174" s="11" t="s">
        <v>474</v>
      </c>
      <c r="C174" s="12" t="s">
        <v>472</v>
      </c>
      <c r="D174" s="15" t="s">
        <v>473</v>
      </c>
      <c r="E174" s="633">
        <v>36000</v>
      </c>
      <c r="F174" s="13"/>
    </row>
    <row r="175" customHeight="1" spans="1:6">
      <c r="A175" s="27">
        <v>42</v>
      </c>
      <c r="B175" s="18" t="s">
        <v>475</v>
      </c>
      <c r="C175" s="12" t="s">
        <v>472</v>
      </c>
      <c r="D175" s="15" t="s">
        <v>476</v>
      </c>
      <c r="E175" s="633">
        <v>36000</v>
      </c>
      <c r="F175" s="13"/>
    </row>
    <row r="176" customHeight="1" spans="1:6">
      <c r="A176" s="27">
        <v>43</v>
      </c>
      <c r="B176" s="11" t="s">
        <v>477</v>
      </c>
      <c r="C176" s="12" t="s">
        <v>478</v>
      </c>
      <c r="D176" s="15" t="s">
        <v>479</v>
      </c>
      <c r="E176" s="633">
        <v>36000</v>
      </c>
      <c r="F176" s="13"/>
    </row>
    <row r="177" customHeight="1" spans="1:6">
      <c r="A177" s="27">
        <v>44</v>
      </c>
      <c r="B177" s="11" t="s">
        <v>480</v>
      </c>
      <c r="C177" s="12" t="s">
        <v>481</v>
      </c>
      <c r="D177" s="15" t="s">
        <v>482</v>
      </c>
      <c r="E177" s="633">
        <v>36000</v>
      </c>
      <c r="F177" s="13"/>
    </row>
    <row r="178" customHeight="1" spans="1:6">
      <c r="A178" s="27">
        <v>45</v>
      </c>
      <c r="B178" s="11" t="s">
        <v>483</v>
      </c>
      <c r="C178" s="12" t="s">
        <v>481</v>
      </c>
      <c r="D178" s="15" t="s">
        <v>482</v>
      </c>
      <c r="E178" s="633">
        <v>36000</v>
      </c>
      <c r="F178" s="13"/>
    </row>
    <row r="179" customHeight="1" spans="1:6">
      <c r="A179" s="27">
        <v>46</v>
      </c>
      <c r="B179" s="11" t="s">
        <v>484</v>
      </c>
      <c r="C179" s="12" t="s">
        <v>481</v>
      </c>
      <c r="D179" s="15" t="s">
        <v>482</v>
      </c>
      <c r="E179" s="633">
        <v>36000</v>
      </c>
      <c r="F179" s="13"/>
    </row>
    <row r="180" customHeight="1" spans="1:6">
      <c r="A180" s="27">
        <v>47</v>
      </c>
      <c r="B180" s="11" t="s">
        <v>485</v>
      </c>
      <c r="C180" s="12" t="s">
        <v>481</v>
      </c>
      <c r="D180" s="15" t="s">
        <v>482</v>
      </c>
      <c r="E180" s="633">
        <v>36000</v>
      </c>
      <c r="F180" s="13"/>
    </row>
    <row r="181" customHeight="1" spans="1:6">
      <c r="A181" s="27">
        <v>48</v>
      </c>
      <c r="B181" s="11" t="s">
        <v>486</v>
      </c>
      <c r="C181" s="12" t="s">
        <v>481</v>
      </c>
      <c r="D181" s="15" t="s">
        <v>482</v>
      </c>
      <c r="E181" s="633">
        <v>36000</v>
      </c>
      <c r="F181" s="13"/>
    </row>
    <row r="182" customHeight="1" spans="1:6">
      <c r="A182" s="27">
        <v>49</v>
      </c>
      <c r="B182" s="18" t="s">
        <v>487</v>
      </c>
      <c r="C182" s="12" t="s">
        <v>481</v>
      </c>
      <c r="D182" s="15" t="s">
        <v>482</v>
      </c>
      <c r="E182" s="633">
        <v>36000</v>
      </c>
      <c r="F182" s="13"/>
    </row>
    <row r="183" customHeight="1" spans="1:6">
      <c r="A183" s="27">
        <v>50</v>
      </c>
      <c r="B183" s="18" t="s">
        <v>488</v>
      </c>
      <c r="C183" s="12" t="s">
        <v>481</v>
      </c>
      <c r="D183" s="15" t="s">
        <v>482</v>
      </c>
      <c r="E183" s="633">
        <v>36000</v>
      </c>
      <c r="F183" s="13"/>
    </row>
    <row r="184" customHeight="1" spans="1:6">
      <c r="A184" s="27">
        <v>51</v>
      </c>
      <c r="B184" s="11" t="s">
        <v>489</v>
      </c>
      <c r="C184" s="12" t="s">
        <v>478</v>
      </c>
      <c r="D184" s="15" t="s">
        <v>482</v>
      </c>
      <c r="E184" s="633">
        <v>36000</v>
      </c>
      <c r="F184" s="13"/>
    </row>
    <row r="185" customHeight="1" spans="1:6">
      <c r="A185" s="27">
        <v>52</v>
      </c>
      <c r="B185" s="11" t="s">
        <v>490</v>
      </c>
      <c r="C185" s="12" t="s">
        <v>478</v>
      </c>
      <c r="D185" s="15" t="s">
        <v>482</v>
      </c>
      <c r="E185" s="633">
        <v>36000</v>
      </c>
      <c r="F185" s="13"/>
    </row>
    <row r="186" customHeight="1" spans="1:6">
      <c r="A186" s="27">
        <v>53</v>
      </c>
      <c r="B186" s="18" t="s">
        <v>491</v>
      </c>
      <c r="C186" s="12" t="s">
        <v>172</v>
      </c>
      <c r="D186" s="15" t="s">
        <v>492</v>
      </c>
      <c r="E186" s="633">
        <v>36000</v>
      </c>
      <c r="F186" s="13"/>
    </row>
    <row r="187" customHeight="1" spans="1:6">
      <c r="A187" s="27">
        <v>54</v>
      </c>
      <c r="B187" s="18" t="s">
        <v>493</v>
      </c>
      <c r="C187" s="12" t="s">
        <v>481</v>
      </c>
      <c r="D187" s="15" t="s">
        <v>494</v>
      </c>
      <c r="E187" s="633">
        <v>36000</v>
      </c>
      <c r="F187" s="13"/>
    </row>
    <row r="188" customHeight="1" spans="1:6">
      <c r="A188" s="27">
        <v>55</v>
      </c>
      <c r="B188" s="18" t="s">
        <v>495</v>
      </c>
      <c r="C188" s="12" t="s">
        <v>496</v>
      </c>
      <c r="D188" s="15" t="s">
        <v>497</v>
      </c>
      <c r="E188" s="633">
        <v>36000</v>
      </c>
      <c r="F188" s="13"/>
    </row>
    <row r="189" customHeight="1" spans="1:6">
      <c r="A189" s="27">
        <v>56</v>
      </c>
      <c r="B189" s="18" t="s">
        <v>498</v>
      </c>
      <c r="C189" s="12" t="s">
        <v>496</v>
      </c>
      <c r="D189" s="15" t="s">
        <v>497</v>
      </c>
      <c r="E189" s="633">
        <v>36000</v>
      </c>
      <c r="F189" s="13"/>
    </row>
    <row r="190" customHeight="1" spans="1:6">
      <c r="A190" s="27">
        <v>57</v>
      </c>
      <c r="B190" s="18" t="s">
        <v>499</v>
      </c>
      <c r="C190" s="12" t="s">
        <v>496</v>
      </c>
      <c r="D190" s="15" t="s">
        <v>497</v>
      </c>
      <c r="E190" s="633">
        <v>36000</v>
      </c>
      <c r="F190" s="13"/>
    </row>
    <row r="191" customHeight="1" spans="1:6">
      <c r="A191" s="27">
        <v>58</v>
      </c>
      <c r="B191" s="18" t="s">
        <v>500</v>
      </c>
      <c r="C191" s="12" t="s">
        <v>501</v>
      </c>
      <c r="D191" s="15" t="s">
        <v>502</v>
      </c>
      <c r="E191" s="633">
        <v>36000</v>
      </c>
      <c r="F191" s="13"/>
    </row>
    <row r="192" customHeight="1" spans="1:6">
      <c r="A192" s="27">
        <v>59</v>
      </c>
      <c r="B192" s="18" t="s">
        <v>503</v>
      </c>
      <c r="C192" s="12" t="s">
        <v>501</v>
      </c>
      <c r="D192" s="15" t="s">
        <v>502</v>
      </c>
      <c r="E192" s="633">
        <v>36000</v>
      </c>
      <c r="F192" s="13"/>
    </row>
    <row r="193" ht="30.75" customHeight="1" spans="1:6">
      <c r="A193" s="27"/>
      <c r="B193" s="8" t="s">
        <v>33</v>
      </c>
      <c r="C193" s="28" t="s">
        <v>504</v>
      </c>
      <c r="D193" s="29"/>
      <c r="E193" s="635">
        <f t="shared" ref="E193" si="7">SUM(E134:E192)</f>
        <v>3386000</v>
      </c>
      <c r="F193" s="13"/>
    </row>
    <row r="194" ht="35.25" customHeight="1" spans="1:6">
      <c r="A194" s="4"/>
      <c r="B194" s="30" t="s">
        <v>80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2:6">
      <c r="B195" s="33"/>
      <c r="D195" s="34"/>
      <c r="E195" s="103"/>
      <c r="F195" s="35"/>
    </row>
    <row r="196" ht="36.75" customHeight="1" spans="2:5">
      <c r="B196" s="33"/>
      <c r="C196" s="34"/>
      <c r="D196" s="34"/>
      <c r="E196" s="35"/>
    </row>
    <row r="197" customHeight="1" spans="5:5">
      <c r="E197" s="335"/>
    </row>
    <row r="198" customHeight="1" spans="5:5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30">
        <v>1</v>
      </c>
      <c r="B2" s="630" t="s">
        <v>505</v>
      </c>
      <c r="C2" s="631">
        <f>'Welfare June'!E194</f>
        <v>13858000</v>
      </c>
      <c r="D2" s="630"/>
      <c r="E2" s="630"/>
    </row>
    <row r="3" ht="20.5" spans="1:5">
      <c r="A3" s="630">
        <v>2</v>
      </c>
      <c r="B3" s="630" t="s">
        <v>207</v>
      </c>
      <c r="C3" s="631">
        <f>'[3]CONTRACT Welfare'!$E$26</f>
        <v>1688000</v>
      </c>
      <c r="D3" s="630"/>
      <c r="E3" s="630"/>
    </row>
    <row r="4" ht="20.5" spans="1:5">
      <c r="A4" s="630">
        <v>3</v>
      </c>
      <c r="B4" s="630" t="s">
        <v>506</v>
      </c>
      <c r="C4" s="631">
        <f>'[3]CAS. SABB. NYSC Welfare'!$D$58</f>
        <v>1791000</v>
      </c>
      <c r="D4" s="630"/>
      <c r="E4" s="630"/>
    </row>
    <row r="5" ht="20.5" spans="1:5">
      <c r="A5" s="630">
        <v>4</v>
      </c>
      <c r="B5" s="630" t="s">
        <v>507</v>
      </c>
      <c r="C5" s="631">
        <f>'[3]CONSULTANCY Welfare'!$D$31</f>
        <v>1746000</v>
      </c>
      <c r="D5" s="630"/>
      <c r="E5" s="630"/>
    </row>
    <row r="6" ht="20.5" spans="1:5">
      <c r="A6" s="630">
        <v>5</v>
      </c>
      <c r="B6" s="630" t="s">
        <v>508</v>
      </c>
      <c r="C6" s="631">
        <f>'[3]Welfare Others'!$C$92</f>
        <v>1225000</v>
      </c>
      <c r="D6" s="630"/>
      <c r="E6" s="630"/>
    </row>
    <row r="7" ht="27" customHeight="1" spans="1:5">
      <c r="A7" s="630"/>
      <c r="B7" s="630"/>
      <c r="C7" s="632">
        <f>SUM(C2:C6)</f>
        <v>20308000</v>
      </c>
      <c r="D7" s="630"/>
      <c r="E7" s="630"/>
    </row>
    <row r="8" ht="20.5" spans="1:5">
      <c r="A8" s="630"/>
      <c r="B8" s="630"/>
      <c r="C8" s="630"/>
      <c r="D8" s="630"/>
      <c r="E8" s="630"/>
    </row>
    <row r="9" ht="20.5" spans="1:5">
      <c r="A9" s="630"/>
      <c r="B9" s="630"/>
      <c r="C9" s="630"/>
      <c r="D9" s="630"/>
      <c r="E9" s="630"/>
    </row>
    <row r="10" ht="20.5" spans="1:5">
      <c r="A10" s="630"/>
      <c r="B10" s="630"/>
      <c r="C10" s="630"/>
      <c r="D10" s="630"/>
      <c r="E10" s="630"/>
    </row>
    <row r="11" ht="20.5" spans="1:5">
      <c r="A11" s="630"/>
      <c r="B11" s="630"/>
      <c r="C11" s="630"/>
      <c r="D11" s="630"/>
      <c r="E11" s="630"/>
    </row>
    <row r="12" ht="20.5" spans="1:5">
      <c r="A12" s="630"/>
      <c r="B12" s="630"/>
      <c r="C12" s="630"/>
      <c r="D12" s="630"/>
      <c r="E12" s="630"/>
    </row>
    <row r="13" ht="20.5" spans="1:5">
      <c r="A13" s="630"/>
      <c r="B13" s="630"/>
      <c r="C13" s="630"/>
      <c r="D13" s="630"/>
      <c r="E13" s="630"/>
    </row>
    <row r="14" ht="20.5" spans="1:5">
      <c r="A14" s="630"/>
      <c r="B14" s="630"/>
      <c r="C14" s="630"/>
      <c r="D14" s="630"/>
      <c r="E14" s="630"/>
    </row>
    <row r="15" ht="20.5" spans="1:5">
      <c r="A15" s="630"/>
      <c r="B15" s="630"/>
      <c r="C15" s="630"/>
      <c r="D15" s="630"/>
      <c r="E15" s="630"/>
    </row>
    <row r="16" ht="20.5" spans="1:5">
      <c r="A16" s="630"/>
      <c r="B16" s="630"/>
      <c r="C16" s="630"/>
      <c r="D16" s="630"/>
      <c r="E16" s="630"/>
    </row>
    <row r="17" ht="20.5" spans="1:5">
      <c r="A17" s="630"/>
      <c r="B17" s="630"/>
      <c r="C17" s="630"/>
      <c r="D17" s="630"/>
      <c r="E17" s="630"/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28" t="s">
        <v>509</v>
      </c>
      <c r="E1" s="629" t="s">
        <v>510</v>
      </c>
      <c r="F1" s="629" t="s">
        <v>511</v>
      </c>
      <c r="G1" s="629" t="s">
        <v>512</v>
      </c>
      <c r="H1" s="629" t="s">
        <v>513</v>
      </c>
      <c r="I1" s="629" t="s">
        <v>514</v>
      </c>
    </row>
    <row r="2" s="1" customFormat="1" ht="33" customHeight="1" spans="1:9">
      <c r="A2" s="18" t="s">
        <v>223</v>
      </c>
      <c r="B2" s="18" t="s">
        <v>224</v>
      </c>
      <c r="C2" s="10" t="s">
        <v>225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515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4" t="s">
        <v>516</v>
      </c>
      <c r="Q4" s="24" t="s">
        <v>511</v>
      </c>
      <c r="R4" s="218" t="s">
        <v>15</v>
      </c>
      <c r="S4" s="347" t="s">
        <v>16</v>
      </c>
      <c r="T4" s="80" t="s">
        <v>517</v>
      </c>
      <c r="U4" s="321" t="s">
        <v>518</v>
      </c>
    </row>
    <row r="5" ht="17.25" customHeight="1" spans="3:21"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3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  <c r="R5" s="82" t="s">
        <v>19</v>
      </c>
      <c r="S5" s="449" t="s">
        <v>19</v>
      </c>
      <c r="T5" s="82" t="s">
        <v>19</v>
      </c>
      <c r="U5" s="230" t="s">
        <v>19</v>
      </c>
    </row>
    <row r="6" customHeight="1" spans="1:21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307"/>
      <c r="K6" s="82"/>
      <c r="L6" s="82"/>
      <c r="M6" s="82"/>
      <c r="N6" s="82"/>
      <c r="O6" s="82"/>
      <c r="P6" s="82"/>
      <c r="Q6" s="82"/>
      <c r="R6" s="82"/>
      <c r="S6" s="449"/>
      <c r="T6" s="82"/>
      <c r="U6" s="230"/>
    </row>
    <row r="7" customHeight="1" spans="1:22">
      <c r="A7" s="10">
        <v>1</v>
      </c>
      <c r="B7" s="11" t="s">
        <v>239</v>
      </c>
      <c r="C7" s="12" t="s">
        <v>240</v>
      </c>
      <c r="D7" s="10" t="s">
        <v>234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39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241</v>
      </c>
      <c r="C8" s="4" t="s">
        <v>242</v>
      </c>
      <c r="D8" s="10" t="s">
        <v>234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39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245</v>
      </c>
      <c r="C9" s="4" t="s">
        <v>246</v>
      </c>
      <c r="D9" s="10" t="s">
        <v>234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'[4]OCTOBER 2023 '!$D$193</f>
        <v>230499.8</v>
      </c>
      <c r="N9" s="85">
        <v>1066.32925</v>
      </c>
      <c r="O9" s="85">
        <v>159207.527610667</v>
      </c>
      <c r="P9" s="85">
        <f>'March New PAYE '!Z10</f>
        <v>178407.527610667</v>
      </c>
      <c r="Q9" s="85">
        <f t="shared" si="3"/>
        <v>19200.0000000003</v>
      </c>
      <c r="R9" s="85">
        <v>60989.8533333333</v>
      </c>
      <c r="S9" s="339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232</v>
      </c>
      <c r="C10" s="10" t="s">
        <v>233</v>
      </c>
      <c r="D10" s="10" t="s">
        <v>234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19199.9999999997</v>
      </c>
      <c r="R10" s="85"/>
      <c r="S10" s="339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349</v>
      </c>
      <c r="C11" s="4" t="s">
        <v>310</v>
      </c>
      <c r="D11" s="10" t="s">
        <v>249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39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250</v>
      </c>
      <c r="C12" s="4" t="s">
        <v>251</v>
      </c>
      <c r="D12" s="10" t="s">
        <v>228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39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258</v>
      </c>
      <c r="C13" s="4" t="s">
        <v>259</v>
      </c>
      <c r="D13" s="10" t="s">
        <v>260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39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267</v>
      </c>
      <c r="C14" s="4" t="s">
        <v>268</v>
      </c>
      <c r="D14" s="15" t="s">
        <v>269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39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272</v>
      </c>
      <c r="C15" s="17" t="s">
        <v>273</v>
      </c>
      <c r="D15" s="10" t="s">
        <v>41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39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276</v>
      </c>
      <c r="C16" s="17" t="s">
        <v>277</v>
      </c>
      <c r="D16" s="10" t="s">
        <v>37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39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33</v>
      </c>
      <c r="C17" s="28" t="s">
        <v>406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1441037.18469867</v>
      </c>
      <c r="Q17" s="93">
        <f t="shared" si="5"/>
        <v>191999.999999999</v>
      </c>
      <c r="R17" s="93">
        <v>1130905.06</v>
      </c>
      <c r="S17" s="627" t="e">
        <f>SUM(#REF!)</f>
        <v>#REF!</v>
      </c>
      <c r="T17" s="93">
        <v>11108681.2189053</v>
      </c>
      <c r="U17" s="322" t="e">
        <f>SUM(#REF!)</f>
        <v>#REF!</v>
      </c>
      <c r="V17" s="13"/>
    </row>
    <row r="18" ht="38.25" customHeight="1" spans="2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2:21">
      <c r="B19" s="33"/>
      <c r="C19" s="34"/>
      <c r="D19" s="34"/>
      <c r="E19" s="34"/>
      <c r="F19" s="34"/>
      <c r="G19" s="228"/>
      <c r="H19" s="228"/>
      <c r="J19" s="228" t="s">
        <v>519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9:21">
      <c r="S20" s="35"/>
      <c r="U20" s="335"/>
    </row>
    <row r="21" customHeight="1" spans="21:21">
      <c r="U21" s="35"/>
    </row>
    <row r="22" customHeight="1" spans="10:10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S4" workbookViewId="0">
      <selection activeCell="U6" sqref="U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142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144</v>
      </c>
      <c r="B4" s="462" t="s">
        <v>145</v>
      </c>
      <c r="C4" s="463" t="s">
        <v>146</v>
      </c>
      <c r="D4" s="462" t="s">
        <v>147</v>
      </c>
      <c r="E4" s="463" t="s">
        <v>148</v>
      </c>
      <c r="F4" s="463" t="s">
        <v>149</v>
      </c>
      <c r="G4" s="463" t="s">
        <v>150</v>
      </c>
      <c r="H4" s="463" t="s">
        <v>151</v>
      </c>
      <c r="I4" s="463" t="s">
        <v>152</v>
      </c>
      <c r="J4" s="463"/>
      <c r="K4" s="463"/>
      <c r="L4" s="463"/>
      <c r="M4" s="463" t="s">
        <v>153</v>
      </c>
      <c r="N4" s="463" t="s">
        <v>154</v>
      </c>
      <c r="O4" s="463" t="s">
        <v>155</v>
      </c>
      <c r="P4" s="463" t="s">
        <v>156</v>
      </c>
      <c r="Q4" s="463" t="s">
        <v>157</v>
      </c>
      <c r="R4" s="463" t="s">
        <v>158</v>
      </c>
      <c r="S4" s="463" t="s">
        <v>159</v>
      </c>
      <c r="T4" s="463" t="s">
        <v>160</v>
      </c>
      <c r="U4" s="463" t="s">
        <v>161</v>
      </c>
      <c r="V4" s="463" t="s">
        <v>162</v>
      </c>
      <c r="W4" s="463"/>
      <c r="X4" s="463" t="s">
        <v>163</v>
      </c>
      <c r="Y4" s="463" t="s">
        <v>164</v>
      </c>
      <c r="Z4" s="476" t="s">
        <v>165</v>
      </c>
      <c r="AA4" s="477"/>
      <c r="AB4" s="477" t="s">
        <v>520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236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s="615" customFormat="1" ht="18" spans="1:31">
      <c r="A7" s="616">
        <v>4</v>
      </c>
      <c r="B7" s="617" t="s">
        <v>239</v>
      </c>
      <c r="C7" s="618">
        <f>852373.166666667+100000</f>
        <v>952373.166666667</v>
      </c>
      <c r="D7" s="619">
        <v>12</v>
      </c>
      <c r="E7" s="620">
        <f t="shared" ref="E7:E32" si="14">C7*D7</f>
        <v>11428478</v>
      </c>
      <c r="F7" s="620"/>
      <c r="G7" s="620">
        <v>731878.24</v>
      </c>
      <c r="H7" s="620"/>
      <c r="I7" s="620">
        <f t="shared" si="0"/>
        <v>10696599.76</v>
      </c>
      <c r="J7" s="620">
        <v>200000</v>
      </c>
      <c r="K7" s="620">
        <v>0.2</v>
      </c>
      <c r="L7" s="620">
        <f t="shared" si="1"/>
        <v>2139319.952</v>
      </c>
      <c r="M7" s="620">
        <f t="shared" si="2"/>
        <v>2339319.952</v>
      </c>
      <c r="N7" s="620">
        <f t="shared" si="3"/>
        <v>3071198.192</v>
      </c>
      <c r="O7" s="620">
        <f t="shared" si="4"/>
        <v>8357279.808</v>
      </c>
      <c r="P7" s="620">
        <f t="shared" si="5"/>
        <v>21000</v>
      </c>
      <c r="Q7" s="620">
        <f t="shared" si="6"/>
        <v>33000</v>
      </c>
      <c r="R7" s="620">
        <f t="shared" si="7"/>
        <v>75000</v>
      </c>
      <c r="S7" s="620">
        <f t="shared" si="8"/>
        <v>95000</v>
      </c>
      <c r="T7" s="620">
        <f t="shared" si="9"/>
        <v>336000</v>
      </c>
      <c r="U7" s="620">
        <f t="shared" si="10"/>
        <v>1237747.15392</v>
      </c>
      <c r="V7" s="620">
        <f t="shared" si="11"/>
        <v>1797747.15392</v>
      </c>
      <c r="W7" s="623">
        <v>12</v>
      </c>
      <c r="X7" s="620">
        <f t="shared" si="12"/>
        <v>149812.262826667</v>
      </c>
      <c r="Y7" s="620"/>
      <c r="Z7" s="620">
        <f t="shared" si="13"/>
        <v>149812.262826667</v>
      </c>
      <c r="AA7" s="624">
        <v>82627.9514186667</v>
      </c>
      <c r="AB7" s="624">
        <f t="shared" ref="AB7:AB32" si="15">Z7-AA7</f>
        <v>67184.311408</v>
      </c>
      <c r="AC7" s="624"/>
      <c r="AD7" s="624"/>
      <c r="AE7" s="624"/>
    </row>
    <row r="8" s="615" customFormat="1" ht="18" spans="1:31">
      <c r="A8" s="616">
        <v>5</v>
      </c>
      <c r="B8" s="621" t="s">
        <v>241</v>
      </c>
      <c r="C8" s="618">
        <f>1052373.16666667+100000</f>
        <v>1152373.16666667</v>
      </c>
      <c r="D8" s="619">
        <v>12</v>
      </c>
      <c r="E8" s="620">
        <f t="shared" si="14"/>
        <v>13828478</v>
      </c>
      <c r="F8" s="620"/>
      <c r="G8" s="620">
        <v>0</v>
      </c>
      <c r="H8" s="620"/>
      <c r="I8" s="620">
        <f t="shared" si="0"/>
        <v>13828478</v>
      </c>
      <c r="J8" s="620">
        <v>200000</v>
      </c>
      <c r="K8" s="620">
        <v>0.2</v>
      </c>
      <c r="L8" s="620">
        <f t="shared" si="1"/>
        <v>2765695.60000001</v>
      </c>
      <c r="M8" s="620">
        <f t="shared" si="2"/>
        <v>2965695.60000001</v>
      </c>
      <c r="N8" s="620">
        <f t="shared" si="3"/>
        <v>2965695.60000001</v>
      </c>
      <c r="O8" s="620">
        <f t="shared" si="4"/>
        <v>10862782.4</v>
      </c>
      <c r="P8" s="620">
        <f t="shared" si="5"/>
        <v>21000</v>
      </c>
      <c r="Q8" s="620">
        <f t="shared" si="6"/>
        <v>33000</v>
      </c>
      <c r="R8" s="620">
        <f t="shared" si="7"/>
        <v>75000</v>
      </c>
      <c r="S8" s="620">
        <f t="shared" si="8"/>
        <v>95000</v>
      </c>
      <c r="T8" s="620">
        <f t="shared" si="9"/>
        <v>336000</v>
      </c>
      <c r="U8" s="620">
        <f t="shared" si="10"/>
        <v>1839067.77600001</v>
      </c>
      <c r="V8" s="620">
        <f t="shared" si="11"/>
        <v>2399067.77600001</v>
      </c>
      <c r="W8" s="623">
        <v>12</v>
      </c>
      <c r="X8" s="620">
        <f t="shared" si="12"/>
        <v>199922.314666667</v>
      </c>
      <c r="Y8" s="620"/>
      <c r="Z8" s="620">
        <f t="shared" si="13"/>
        <v>199922.314666667</v>
      </c>
      <c r="AA8" s="624">
        <v>121027.951418667</v>
      </c>
      <c r="AB8" s="624">
        <f t="shared" si="15"/>
        <v>78894.3632480003</v>
      </c>
      <c r="AC8" s="624"/>
      <c r="AD8" s="624"/>
      <c r="AE8" s="624"/>
    </row>
    <row r="9" ht="18" spans="1:31">
      <c r="A9" s="464">
        <v>6</v>
      </c>
      <c r="B9" s="11" t="s">
        <v>243</v>
      </c>
      <c r="C9" s="465">
        <v>942373.166666667</v>
      </c>
      <c r="D9" s="466">
        <v>12</v>
      </c>
      <c r="E9" s="467">
        <f t="shared" si="14"/>
        <v>11308478</v>
      </c>
      <c r="F9" s="467">
        <f>'[5]JANUARY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s="615" customFormat="1" ht="18" spans="1:31">
      <c r="A10" s="616">
        <v>7</v>
      </c>
      <c r="B10" s="621" t="s">
        <v>245</v>
      </c>
      <c r="C10" s="618">
        <f>1002373.16666667+100000</f>
        <v>1102373.16666667</v>
      </c>
      <c r="D10" s="619">
        <v>12</v>
      </c>
      <c r="E10" s="620">
        <f t="shared" si="14"/>
        <v>13228478</v>
      </c>
      <c r="F10" s="620">
        <f>'[5]JANUARY 2024'!$V$10*12</f>
        <v>12795.951</v>
      </c>
      <c r="G10" s="620">
        <v>731878.24</v>
      </c>
      <c r="H10" s="620"/>
      <c r="I10" s="620">
        <f t="shared" si="0"/>
        <v>12483803.809</v>
      </c>
      <c r="J10" s="620">
        <v>200000</v>
      </c>
      <c r="K10" s="620">
        <v>0.2</v>
      </c>
      <c r="L10" s="620">
        <f t="shared" si="1"/>
        <v>2496760.76180001</v>
      </c>
      <c r="M10" s="620">
        <f t="shared" si="2"/>
        <v>2696760.76180001</v>
      </c>
      <c r="N10" s="620">
        <f t="shared" si="3"/>
        <v>3441434.95280001</v>
      </c>
      <c r="O10" s="620">
        <f t="shared" si="4"/>
        <v>9787043.04720003</v>
      </c>
      <c r="P10" s="620">
        <f t="shared" si="5"/>
        <v>21000</v>
      </c>
      <c r="Q10" s="620">
        <f t="shared" si="6"/>
        <v>33000</v>
      </c>
      <c r="R10" s="620">
        <f t="shared" si="7"/>
        <v>75000</v>
      </c>
      <c r="S10" s="620">
        <f t="shared" si="8"/>
        <v>95000</v>
      </c>
      <c r="T10" s="620">
        <f t="shared" si="9"/>
        <v>336000</v>
      </c>
      <c r="U10" s="620">
        <f t="shared" si="10"/>
        <v>1580890.33132801</v>
      </c>
      <c r="V10" s="620">
        <f t="shared" si="11"/>
        <v>2140890.33132801</v>
      </c>
      <c r="W10" s="623">
        <v>12</v>
      </c>
      <c r="X10" s="620">
        <f t="shared" si="12"/>
        <v>178407.527610667</v>
      </c>
      <c r="Y10" s="620"/>
      <c r="Z10" s="620">
        <f t="shared" si="13"/>
        <v>178407.527610667</v>
      </c>
      <c r="AA10" s="624">
        <v>111223.216202667</v>
      </c>
      <c r="AB10" s="624">
        <f t="shared" si="15"/>
        <v>67184.3114080003</v>
      </c>
      <c r="AC10" s="624"/>
      <c r="AD10" s="624"/>
      <c r="AE10" s="624"/>
    </row>
    <row r="11" s="615" customFormat="1" ht="18" spans="1:31">
      <c r="A11" s="616">
        <v>8</v>
      </c>
      <c r="B11" s="622" t="s">
        <v>232</v>
      </c>
      <c r="C11" s="618">
        <f>952373.166666667+100000</f>
        <v>1052373.16666667</v>
      </c>
      <c r="D11" s="619">
        <v>12</v>
      </c>
      <c r="E11" s="620">
        <f t="shared" si="14"/>
        <v>12628478</v>
      </c>
      <c r="F11" s="620"/>
      <c r="G11" s="620">
        <v>0</v>
      </c>
      <c r="H11" s="620"/>
      <c r="I11" s="620">
        <f t="shared" si="0"/>
        <v>12628478</v>
      </c>
      <c r="J11" s="620">
        <v>200000</v>
      </c>
      <c r="K11" s="620">
        <v>0.2</v>
      </c>
      <c r="L11" s="620">
        <f t="shared" si="1"/>
        <v>2525695.6</v>
      </c>
      <c r="M11" s="620">
        <f t="shared" si="2"/>
        <v>2725695.6</v>
      </c>
      <c r="N11" s="620">
        <f t="shared" si="3"/>
        <v>2725695.6</v>
      </c>
      <c r="O11" s="620">
        <f t="shared" si="4"/>
        <v>9902782.4</v>
      </c>
      <c r="P11" s="620">
        <f t="shared" si="5"/>
        <v>21000</v>
      </c>
      <c r="Q11" s="620">
        <f t="shared" si="6"/>
        <v>33000</v>
      </c>
      <c r="R11" s="620">
        <f t="shared" si="7"/>
        <v>75000</v>
      </c>
      <c r="S11" s="620">
        <f t="shared" si="8"/>
        <v>95000</v>
      </c>
      <c r="T11" s="620">
        <f t="shared" si="9"/>
        <v>336000</v>
      </c>
      <c r="U11" s="620">
        <f t="shared" si="10"/>
        <v>1608667.776</v>
      </c>
      <c r="V11" s="620">
        <f t="shared" si="11"/>
        <v>2168667.776</v>
      </c>
      <c r="W11" s="623">
        <v>12</v>
      </c>
      <c r="X11" s="620">
        <f t="shared" si="12"/>
        <v>180722.314666667</v>
      </c>
      <c r="Y11" s="620"/>
      <c r="Z11" s="620">
        <f t="shared" si="13"/>
        <v>180722.314666667</v>
      </c>
      <c r="AA11" s="624">
        <v>101827.951418667</v>
      </c>
      <c r="AB11" s="624">
        <f t="shared" si="15"/>
        <v>78894.3632479997</v>
      </c>
      <c r="AC11" s="624"/>
      <c r="AD11" s="624"/>
      <c r="AE11" s="624"/>
    </row>
    <row r="12" ht="18" spans="1:31">
      <c r="A12" s="464">
        <v>9</v>
      </c>
      <c r="B12" s="11" t="s">
        <v>247</v>
      </c>
      <c r="C12" s="465">
        <v>750675.583333333</v>
      </c>
      <c r="D12" s="466">
        <v>12</v>
      </c>
      <c r="E12" s="467">
        <f t="shared" si="14"/>
        <v>9008107</v>
      </c>
      <c r="F12" s="467">
        <f>'[5]JANUARY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s="615" customFormat="1" ht="18" spans="1:31">
      <c r="A13" s="616">
        <v>10</v>
      </c>
      <c r="B13" s="617" t="s">
        <v>250</v>
      </c>
      <c r="C13" s="618">
        <f>842118.083333333+100000</f>
        <v>942118.083333333</v>
      </c>
      <c r="D13" s="619">
        <v>12</v>
      </c>
      <c r="E13" s="620">
        <f t="shared" si="14"/>
        <v>11305417</v>
      </c>
      <c r="F13" s="620">
        <f>'[5]JANUARY 2024'!$V$14*12</f>
        <v>9305.952</v>
      </c>
      <c r="G13" s="620">
        <v>558833.36</v>
      </c>
      <c r="H13" s="620"/>
      <c r="I13" s="620">
        <f t="shared" si="0"/>
        <v>10737277.688</v>
      </c>
      <c r="J13" s="620">
        <v>200000</v>
      </c>
      <c r="K13" s="620">
        <v>0.2</v>
      </c>
      <c r="L13" s="620">
        <f t="shared" si="1"/>
        <v>2147455.5376</v>
      </c>
      <c r="M13" s="620">
        <f t="shared" si="2"/>
        <v>2347455.5376</v>
      </c>
      <c r="N13" s="620">
        <f t="shared" si="3"/>
        <v>2915594.8496</v>
      </c>
      <c r="O13" s="620">
        <f t="shared" si="4"/>
        <v>8389822.1504</v>
      </c>
      <c r="P13" s="620">
        <f t="shared" si="5"/>
        <v>21000</v>
      </c>
      <c r="Q13" s="620">
        <f t="shared" si="6"/>
        <v>33000</v>
      </c>
      <c r="R13" s="620">
        <f t="shared" si="7"/>
        <v>75000</v>
      </c>
      <c r="S13" s="620">
        <f t="shared" si="8"/>
        <v>95000</v>
      </c>
      <c r="T13" s="620">
        <f t="shared" si="9"/>
        <v>336000</v>
      </c>
      <c r="U13" s="620">
        <f t="shared" si="10"/>
        <v>1245557.316096</v>
      </c>
      <c r="V13" s="620">
        <f t="shared" si="11"/>
        <v>1805557.316096</v>
      </c>
      <c r="W13" s="623">
        <v>12</v>
      </c>
      <c r="X13" s="620">
        <f t="shared" si="12"/>
        <v>150463.109674667</v>
      </c>
      <c r="Y13" s="620"/>
      <c r="Z13" s="620">
        <f t="shared" si="13"/>
        <v>150463.109674667</v>
      </c>
      <c r="AA13" s="624">
        <v>94625.7820586667</v>
      </c>
      <c r="AB13" s="624">
        <f t="shared" si="15"/>
        <v>55837.3276159999</v>
      </c>
      <c r="AC13" s="624"/>
      <c r="AD13" s="624"/>
      <c r="AE13" s="624"/>
    </row>
    <row r="14" ht="18" spans="1:31">
      <c r="A14" s="464">
        <v>11</v>
      </c>
      <c r="B14" s="11" t="s">
        <v>252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255</v>
      </c>
      <c r="C15" s="465">
        <f>660498</f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s="615" customFormat="1" ht="18" spans="1:31">
      <c r="A16" s="616">
        <v>13</v>
      </c>
      <c r="B16" s="617" t="s">
        <v>258</v>
      </c>
      <c r="C16" s="618">
        <f>732746.5+100000</f>
        <v>832746.5</v>
      </c>
      <c r="D16" s="619">
        <v>12</v>
      </c>
      <c r="E16" s="620">
        <f t="shared" si="14"/>
        <v>9992958</v>
      </c>
      <c r="F16" s="620"/>
      <c r="G16" s="620">
        <v>425036.64</v>
      </c>
      <c r="H16" s="620"/>
      <c r="I16" s="620">
        <f t="shared" si="0"/>
        <v>9567921.36</v>
      </c>
      <c r="J16" s="620">
        <v>200000</v>
      </c>
      <c r="K16" s="620">
        <v>0.2</v>
      </c>
      <c r="L16" s="620">
        <f t="shared" si="1"/>
        <v>1913584.272</v>
      </c>
      <c r="M16" s="620">
        <f t="shared" si="2"/>
        <v>2113584.272</v>
      </c>
      <c r="N16" s="620">
        <f t="shared" si="3"/>
        <v>2538620.912</v>
      </c>
      <c r="O16" s="620">
        <f t="shared" si="4"/>
        <v>7454337.088</v>
      </c>
      <c r="P16" s="620">
        <f t="shared" si="5"/>
        <v>21000</v>
      </c>
      <c r="Q16" s="620">
        <f t="shared" si="6"/>
        <v>33000</v>
      </c>
      <c r="R16" s="620">
        <f t="shared" si="7"/>
        <v>75000</v>
      </c>
      <c r="S16" s="620">
        <f t="shared" si="8"/>
        <v>95000</v>
      </c>
      <c r="T16" s="620">
        <f t="shared" si="9"/>
        <v>336000</v>
      </c>
      <c r="U16" s="620">
        <f t="shared" si="10"/>
        <v>1021040.90112</v>
      </c>
      <c r="V16" s="620">
        <f t="shared" si="11"/>
        <v>1581040.90112</v>
      </c>
      <c r="W16" s="623">
        <v>12</v>
      </c>
      <c r="X16" s="620">
        <f t="shared" si="12"/>
        <v>131753.408426667</v>
      </c>
      <c r="Y16" s="620"/>
      <c r="Z16" s="620">
        <f t="shared" si="13"/>
        <v>131753.408426667</v>
      </c>
      <c r="AA16" s="624">
        <v>46666.6666666667</v>
      </c>
      <c r="AB16" s="624">
        <f t="shared" si="15"/>
        <v>85086.74176</v>
      </c>
      <c r="AC16" s="624"/>
      <c r="AD16" s="624"/>
      <c r="AE16" s="624"/>
    </row>
    <row r="17" ht="18" spans="1:31">
      <c r="A17" s="464">
        <v>14</v>
      </c>
      <c r="B17" s="11" t="s">
        <v>261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264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s="615" customFormat="1" ht="18" spans="1:31">
      <c r="A19" s="616">
        <v>16</v>
      </c>
      <c r="B19" s="622" t="s">
        <v>267</v>
      </c>
      <c r="C19" s="618">
        <f>636026.916666667+100000</f>
        <v>736026.916666667</v>
      </c>
      <c r="D19" s="619">
        <v>12</v>
      </c>
      <c r="E19" s="620">
        <f t="shared" si="14"/>
        <v>8832323</v>
      </c>
      <c r="F19" s="620">
        <f>618.53*12</f>
        <v>7422.36</v>
      </c>
      <c r="G19" s="620">
        <v>399385.84</v>
      </c>
      <c r="H19" s="620"/>
      <c r="I19" s="620">
        <f t="shared" si="0"/>
        <v>8425514.8</v>
      </c>
      <c r="J19" s="620">
        <v>200000</v>
      </c>
      <c r="K19" s="620">
        <v>0.2</v>
      </c>
      <c r="L19" s="620">
        <f t="shared" si="1"/>
        <v>1685102.96</v>
      </c>
      <c r="M19" s="620">
        <f t="shared" si="2"/>
        <v>1885102.96</v>
      </c>
      <c r="N19" s="620">
        <f t="shared" si="3"/>
        <v>2291911.16</v>
      </c>
      <c r="O19" s="620">
        <f t="shared" si="4"/>
        <v>6540411.84</v>
      </c>
      <c r="P19" s="620">
        <f t="shared" si="5"/>
        <v>21000</v>
      </c>
      <c r="Q19" s="620">
        <f t="shared" si="6"/>
        <v>33000</v>
      </c>
      <c r="R19" s="620">
        <f t="shared" si="7"/>
        <v>75000</v>
      </c>
      <c r="S19" s="620">
        <f t="shared" si="8"/>
        <v>95000</v>
      </c>
      <c r="T19" s="620">
        <f t="shared" si="9"/>
        <v>336000</v>
      </c>
      <c r="U19" s="620">
        <f t="shared" si="10"/>
        <v>801698.841600001</v>
      </c>
      <c r="V19" s="620">
        <f t="shared" si="11"/>
        <v>1361698.8416</v>
      </c>
      <c r="W19" s="623">
        <v>12</v>
      </c>
      <c r="X19" s="620">
        <f t="shared" si="12"/>
        <v>113474.903466667</v>
      </c>
      <c r="Y19" s="620"/>
      <c r="Z19" s="620">
        <f t="shared" si="13"/>
        <v>113474.903466667</v>
      </c>
      <c r="AA19" s="624">
        <v>46666.6666666667</v>
      </c>
      <c r="AB19" s="624">
        <f t="shared" si="15"/>
        <v>66808.2368</v>
      </c>
      <c r="AC19" s="624"/>
      <c r="AD19" s="624"/>
      <c r="AE19" s="624"/>
    </row>
    <row r="20" ht="18" spans="1:31">
      <c r="A20" s="464">
        <v>17</v>
      </c>
      <c r="B20" s="11" t="s">
        <v>270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s="615" customFormat="1" ht="18" spans="1:31">
      <c r="A21" s="616">
        <v>18</v>
      </c>
      <c r="B21" s="621" t="s">
        <v>272</v>
      </c>
      <c r="C21" s="618">
        <f>553512.5+100000</f>
        <v>653512.5</v>
      </c>
      <c r="D21" s="619">
        <v>12</v>
      </c>
      <c r="E21" s="620">
        <f t="shared" si="14"/>
        <v>7842150</v>
      </c>
      <c r="F21" s="620"/>
      <c r="G21" s="620">
        <v>339372</v>
      </c>
      <c r="H21" s="620"/>
      <c r="I21" s="620">
        <f t="shared" si="0"/>
        <v>7502778</v>
      </c>
      <c r="J21" s="620">
        <v>200000</v>
      </c>
      <c r="K21" s="620">
        <v>0.2</v>
      </c>
      <c r="L21" s="620">
        <f t="shared" si="1"/>
        <v>1500555.6</v>
      </c>
      <c r="M21" s="620">
        <f t="shared" si="2"/>
        <v>1700555.6</v>
      </c>
      <c r="N21" s="620">
        <f t="shared" si="3"/>
        <v>2039927.6</v>
      </c>
      <c r="O21" s="620">
        <f t="shared" si="4"/>
        <v>5802222.4</v>
      </c>
      <c r="P21" s="620">
        <f t="shared" si="5"/>
        <v>21000</v>
      </c>
      <c r="Q21" s="620">
        <f t="shared" si="6"/>
        <v>33000</v>
      </c>
      <c r="R21" s="620">
        <f t="shared" si="7"/>
        <v>75000</v>
      </c>
      <c r="S21" s="620">
        <f t="shared" si="8"/>
        <v>95000</v>
      </c>
      <c r="T21" s="620">
        <f t="shared" si="9"/>
        <v>336000</v>
      </c>
      <c r="U21" s="620">
        <f t="shared" si="10"/>
        <v>624533.376</v>
      </c>
      <c r="V21" s="620">
        <f t="shared" si="11"/>
        <v>1184533.376</v>
      </c>
      <c r="W21" s="623">
        <v>12</v>
      </c>
      <c r="X21" s="620">
        <f t="shared" si="12"/>
        <v>98711.1146666667</v>
      </c>
      <c r="Y21" s="620"/>
      <c r="Z21" s="620">
        <f t="shared" si="13"/>
        <v>98711.1146666667</v>
      </c>
      <c r="AA21" s="624">
        <v>46666.6666666667</v>
      </c>
      <c r="AB21" s="624">
        <f t="shared" si="15"/>
        <v>52044.448</v>
      </c>
      <c r="AC21" s="624"/>
      <c r="AD21" s="624"/>
      <c r="AE21" s="624"/>
    </row>
    <row r="22" ht="18" spans="1:31">
      <c r="A22" s="464">
        <v>19</v>
      </c>
      <c r="B22" s="11" t="s">
        <v>274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s="615" customFormat="1" ht="18" spans="1:31">
      <c r="A23" s="616">
        <v>20</v>
      </c>
      <c r="B23" s="621" t="s">
        <v>276</v>
      </c>
      <c r="C23" s="618">
        <f>453029.666666667+100000</f>
        <v>553029.666666667</v>
      </c>
      <c r="D23" s="619">
        <v>12</v>
      </c>
      <c r="E23" s="620">
        <f t="shared" si="14"/>
        <v>6636356</v>
      </c>
      <c r="F23" s="620"/>
      <c r="G23" s="620">
        <v>281308.48</v>
      </c>
      <c r="H23" s="620"/>
      <c r="I23" s="620">
        <f t="shared" si="0"/>
        <v>6355047.52</v>
      </c>
      <c r="J23" s="620">
        <v>200000</v>
      </c>
      <c r="K23" s="620">
        <v>0.2</v>
      </c>
      <c r="L23" s="620">
        <f t="shared" si="1"/>
        <v>1271009.504</v>
      </c>
      <c r="M23" s="620">
        <f t="shared" si="2"/>
        <v>1471009.504</v>
      </c>
      <c r="N23" s="620">
        <f t="shared" si="3"/>
        <v>1752317.984</v>
      </c>
      <c r="O23" s="620">
        <f t="shared" si="4"/>
        <v>4884038.016</v>
      </c>
      <c r="P23" s="620">
        <f t="shared" si="5"/>
        <v>21000</v>
      </c>
      <c r="Q23" s="620">
        <f t="shared" si="6"/>
        <v>33000</v>
      </c>
      <c r="R23" s="620">
        <f t="shared" si="7"/>
        <v>75000</v>
      </c>
      <c r="S23" s="620">
        <f t="shared" si="8"/>
        <v>95000</v>
      </c>
      <c r="T23" s="620">
        <f t="shared" si="9"/>
        <v>336000</v>
      </c>
      <c r="U23" s="620">
        <f t="shared" si="10"/>
        <v>404169.123840001</v>
      </c>
      <c r="V23" s="620">
        <f t="shared" si="11"/>
        <v>964169.123840001</v>
      </c>
      <c r="W23" s="623">
        <v>12</v>
      </c>
      <c r="X23" s="620">
        <f t="shared" si="12"/>
        <v>80347.4269866667</v>
      </c>
      <c r="Y23" s="620"/>
      <c r="Z23" s="620">
        <f t="shared" si="13"/>
        <v>80347.4269866667</v>
      </c>
      <c r="AA23" s="624">
        <v>42371.8157286667</v>
      </c>
      <c r="AB23" s="624">
        <f t="shared" si="15"/>
        <v>37975.611258</v>
      </c>
      <c r="AC23" s="624"/>
      <c r="AD23" s="624"/>
      <c r="AE23" s="624"/>
    </row>
    <row r="24" ht="18" spans="1:31">
      <c r="A24" s="464">
        <v>21</v>
      </c>
      <c r="B24" s="4" t="s">
        <v>278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280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281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282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284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286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287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289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292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34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295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298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300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38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302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304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306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309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311</v>
      </c>
      <c r="C44" s="467">
        <v>780675.583333333</v>
      </c>
      <c r="D44" s="466">
        <v>12</v>
      </c>
      <c r="E44" s="467">
        <f t="shared" si="34"/>
        <v>9368107</v>
      </c>
      <c r="F44" s="467">
        <f>'[5]JANUARY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312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313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314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315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316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317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318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521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321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44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323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325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328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329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330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331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333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334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335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337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51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338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220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223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340</v>
      </c>
      <c r="C73" s="467">
        <v>596622.25</v>
      </c>
      <c r="D73" s="466">
        <v>12</v>
      </c>
      <c r="E73" s="467">
        <f t="shared" si="55"/>
        <v>7159467</v>
      </c>
      <c r="F73" s="467">
        <f>'[5]JANUARY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343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346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347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33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56</v>
      </c>
      <c r="C79" s="467"/>
      <c r="Z79" s="481"/>
      <c r="AB79" s="296" t="s">
        <v>522</v>
      </c>
      <c r="AC79" s="479"/>
      <c r="AD79" s="479"/>
      <c r="AE79" s="479"/>
    </row>
    <row r="80" s="615" customFormat="1" ht="18" spans="1:31">
      <c r="A80" s="616">
        <v>68</v>
      </c>
      <c r="B80" s="617" t="s">
        <v>349</v>
      </c>
      <c r="C80" s="620">
        <f>880675.583333333+100000</f>
        <v>980675.583333333</v>
      </c>
      <c r="D80" s="619">
        <v>12</v>
      </c>
      <c r="E80" s="620">
        <f>C80*D80</f>
        <v>11768107</v>
      </c>
      <c r="F80" s="620"/>
      <c r="G80" s="625">
        <v>595848.56</v>
      </c>
      <c r="H80" s="626"/>
      <c r="I80" s="620">
        <f t="shared" ref="I80:I89" si="67">E80-F80-G80-H80</f>
        <v>11172258.44</v>
      </c>
      <c r="J80" s="620">
        <v>200000</v>
      </c>
      <c r="K80" s="620">
        <v>0.2</v>
      </c>
      <c r="L80" s="620">
        <f t="shared" ref="L80:L89" si="68">I80*K80</f>
        <v>2234451.688</v>
      </c>
      <c r="M80" s="620">
        <f t="shared" ref="M80:M89" si="69">J80+L80</f>
        <v>2434451.688</v>
      </c>
      <c r="N80" s="620">
        <f t="shared" ref="N80:N89" si="70">F80+G80+H80+M80</f>
        <v>3030300.248</v>
      </c>
      <c r="O80" s="620">
        <f t="shared" ref="O80:O89" si="71">E80-N80</f>
        <v>8737806.752</v>
      </c>
      <c r="P80" s="620">
        <f t="shared" ref="P80:P89" si="72">IF(O80&lt;300000,0.07*O80,21000)</f>
        <v>21000</v>
      </c>
      <c r="Q80" s="620">
        <f t="shared" ref="Q80:Q89" si="73">IF((O80-300000)&lt;0,0,IF((O80-300000)&lt;300000,0.11*(O80-300000),33000))</f>
        <v>33000</v>
      </c>
      <c r="R80" s="620">
        <f t="shared" ref="R80:R89" si="74">IF((O80-600000)&lt;0,0,IF((O80-600000)&lt;500000,0.15*(O80-600000),75000))</f>
        <v>75000</v>
      </c>
      <c r="S80" s="620">
        <f t="shared" ref="S80:S89" si="75">IF((O80-1100000)&lt;0,0,IF((O80-1100000)&lt;500000,0.19*(O80-1100000),95000))</f>
        <v>95000</v>
      </c>
      <c r="T80" s="620">
        <f t="shared" ref="T80:T89" si="76">IF((O80-1600000)&lt;0,0,IF((O80-1600000)&lt;1600000,0.21*(O80-1600000),336000))</f>
        <v>336000</v>
      </c>
      <c r="U80" s="620">
        <f t="shared" ref="U80:U88" si="77">24%*(O80-3200000)</f>
        <v>1329073.62048</v>
      </c>
      <c r="V80" s="620">
        <f t="shared" ref="V80:V89" si="78">P80+Q80+R80+S80+T80+U80</f>
        <v>1889073.62048</v>
      </c>
      <c r="W80" s="623">
        <v>12</v>
      </c>
      <c r="X80" s="620">
        <f t="shared" ref="X80:X89" si="79">V80/W80</f>
        <v>157422.801706667</v>
      </c>
      <c r="Y80" s="626"/>
      <c r="Z80" s="620">
        <f t="shared" ref="Z80:Z89" si="80">X80</f>
        <v>157422.801706667</v>
      </c>
      <c r="AA80" s="620">
        <v>99156.9391466667</v>
      </c>
      <c r="AB80" s="624">
        <f>Z80-AA80</f>
        <v>58265.8625599999</v>
      </c>
      <c r="AC80" s="624" t="s">
        <v>349</v>
      </c>
      <c r="AD80" s="624"/>
      <c r="AE80" s="624"/>
    </row>
    <row r="81" ht="18" spans="1:31">
      <c r="A81" s="464">
        <v>69</v>
      </c>
      <c r="B81" s="11" t="s">
        <v>350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'[5]JANUARY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350</v>
      </c>
      <c r="AD81" s="479"/>
      <c r="AE81" s="479"/>
    </row>
    <row r="82" ht="36" spans="1:31">
      <c r="A82" s="464">
        <v>70</v>
      </c>
      <c r="B82" s="11" t="s">
        <v>351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351</v>
      </c>
      <c r="AD82" s="479"/>
      <c r="AE82" s="479"/>
    </row>
    <row r="83" ht="18" spans="1:31">
      <c r="A83" s="464">
        <v>71</v>
      </c>
      <c r="B83" s="11" t="s">
        <v>352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352</v>
      </c>
      <c r="AD83" s="479"/>
      <c r="AE83" s="479"/>
    </row>
    <row r="84" ht="18" spans="1:31">
      <c r="A84" s="464">
        <v>72</v>
      </c>
      <c r="B84" s="11" t="s">
        <v>354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354</v>
      </c>
      <c r="AD84" s="479"/>
      <c r="AE84" s="479"/>
    </row>
    <row r="85" ht="36" spans="1:31">
      <c r="A85" s="464">
        <v>73</v>
      </c>
      <c r="B85" s="11" t="s">
        <v>355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355</v>
      </c>
      <c r="AD85" s="479"/>
      <c r="AE85" s="479"/>
    </row>
    <row r="86" ht="18" spans="1:31">
      <c r="A86" s="464">
        <v>74</v>
      </c>
      <c r="B86" s="11" t="s">
        <v>357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357</v>
      </c>
      <c r="AD86" s="479"/>
      <c r="AE86" s="479"/>
    </row>
    <row r="87" ht="24" customHeight="1" spans="1:31">
      <c r="A87" s="464">
        <v>75</v>
      </c>
      <c r="B87" s="11" t="s">
        <v>358</v>
      </c>
      <c r="C87" s="467">
        <v>510248.916666667</v>
      </c>
      <c r="D87" s="466">
        <v>12</v>
      </c>
      <c r="E87" s="467">
        <f t="shared" si="81"/>
        <v>6122987</v>
      </c>
      <c r="F87" s="467">
        <f>'[5]JANUARY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358</v>
      </c>
      <c r="AD87" s="479"/>
      <c r="AE87" s="479"/>
    </row>
    <row r="88" ht="18" spans="1:31">
      <c r="A88" s="464">
        <v>76</v>
      </c>
      <c r="B88" s="11" t="s">
        <v>359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359</v>
      </c>
      <c r="AD88" s="479"/>
      <c r="AE88" s="479"/>
    </row>
    <row r="89" ht="18" spans="1:31">
      <c r="A89" s="464"/>
      <c r="B89" s="11" t="s">
        <v>361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361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58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363</v>
      </c>
      <c r="C93" s="467">
        <v>1452042.67</v>
      </c>
      <c r="D93" s="466">
        <v>12</v>
      </c>
      <c r="E93" s="467">
        <f>C93*D93</f>
        <v>17424512.04</v>
      </c>
      <c r="F93" s="467">
        <f>'[5]JANUARY 2024'!$V$98*12</f>
        <v>12795.951</v>
      </c>
      <c r="G93" s="468">
        <f>(0.08*1352042.67)*12</f>
        <v>1297960.9632</v>
      </c>
      <c r="H93" s="470"/>
      <c r="I93" s="467">
        <f>E93-F93-G93-H93</f>
        <v>16113755.1258</v>
      </c>
      <c r="J93" s="467">
        <v>200000</v>
      </c>
      <c r="K93" s="467">
        <v>0.2</v>
      </c>
      <c r="L93" s="467">
        <f>I93*K93</f>
        <v>3222751.02516</v>
      </c>
      <c r="M93" s="467">
        <f>J93+L93</f>
        <v>3422751.02516</v>
      </c>
      <c r="N93" s="467">
        <f>F93+G93+H93+M93</f>
        <v>4733507.93936</v>
      </c>
      <c r="O93" s="467">
        <f>E93-N93</f>
        <v>12691004.10064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2277840.9841536</v>
      </c>
      <c r="V93" s="467">
        <f>P93+Q93+R93+S93+T93+U93</f>
        <v>2837840.9841536</v>
      </c>
      <c r="W93" s="474">
        <v>12</v>
      </c>
      <c r="X93" s="467">
        <f>V93/W93</f>
        <v>236486.748679467</v>
      </c>
      <c r="Y93" s="470"/>
      <c r="Z93" s="478">
        <f>X93</f>
        <v>236486.748679467</v>
      </c>
      <c r="AA93" s="479">
        <v>82423.2162026667</v>
      </c>
      <c r="AB93" s="479">
        <f>Z93-AA93</f>
        <v>154063.5324768</v>
      </c>
      <c r="AC93" s="479" t="s">
        <v>363</v>
      </c>
      <c r="AD93" s="479"/>
      <c r="AE93" s="479"/>
    </row>
    <row r="94" ht="18" spans="1:31">
      <c r="A94" s="464">
        <v>80</v>
      </c>
      <c r="B94" s="11" t="s">
        <v>366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366</v>
      </c>
      <c r="AD94" s="479"/>
      <c r="AE94" s="479"/>
    </row>
    <row r="95" ht="18" spans="1:31">
      <c r="A95" s="464">
        <v>81</v>
      </c>
      <c r="B95" s="11" t="s">
        <v>368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368</v>
      </c>
      <c r="AD95" s="479"/>
      <c r="AE95" s="479"/>
    </row>
    <row r="96" ht="18" spans="1:31">
      <c r="A96" s="464"/>
      <c r="B96" s="11" t="s">
        <v>370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370</v>
      </c>
      <c r="AD96" s="479"/>
      <c r="AE96" s="479"/>
    </row>
    <row r="97" ht="17.5" spans="1:31">
      <c r="A97" s="464"/>
      <c r="B97" s="20" t="s">
        <v>33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372</v>
      </c>
      <c r="C99" s="467"/>
      <c r="G99" s="296">
        <v>0</v>
      </c>
      <c r="Z99" s="481"/>
      <c r="AB99" s="296" t="s">
        <v>520</v>
      </c>
      <c r="AC99" s="479"/>
      <c r="AD99" s="479"/>
      <c r="AE99" s="479"/>
    </row>
    <row r="100" ht="18" spans="1:31">
      <c r="A100" s="464">
        <v>85</v>
      </c>
      <c r="B100" s="11" t="s">
        <v>373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373</v>
      </c>
      <c r="AD100" s="479"/>
      <c r="AE100" s="479"/>
    </row>
    <row r="101" ht="18" spans="1:31">
      <c r="A101" s="464">
        <v>86</v>
      </c>
      <c r="B101" s="11" t="s">
        <v>375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'[5]JANUARY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375</v>
      </c>
      <c r="AD101" s="479"/>
      <c r="AE101" s="479"/>
    </row>
    <row r="102" ht="18" spans="1:31">
      <c r="A102" s="464">
        <v>87</v>
      </c>
      <c r="B102" s="11" t="s">
        <v>377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'[5]JANUARY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377</v>
      </c>
      <c r="AD102" s="479"/>
      <c r="AE102" s="479"/>
    </row>
    <row r="103" ht="18" spans="1:31">
      <c r="A103" s="464">
        <v>88</v>
      </c>
      <c r="B103" s="11" t="s">
        <v>379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379</v>
      </c>
      <c r="AD103" s="479"/>
      <c r="AE103" s="479"/>
    </row>
    <row r="104" ht="18" spans="1:31">
      <c r="A104" s="464">
        <v>89</v>
      </c>
      <c r="B104" s="11" t="s">
        <v>380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380</v>
      </c>
      <c r="AD104" s="479"/>
      <c r="AE104" s="479"/>
    </row>
    <row r="105" ht="36" spans="1:31">
      <c r="A105" s="464"/>
      <c r="B105" s="18" t="s">
        <v>383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383</v>
      </c>
      <c r="AD105" s="479"/>
      <c r="AE105" s="479"/>
    </row>
    <row r="106" ht="18" spans="1:31">
      <c r="A106" s="464"/>
      <c r="B106" s="18" t="s">
        <v>385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385</v>
      </c>
      <c r="AD106" s="479"/>
      <c r="AE106" s="479"/>
    </row>
    <row r="107" ht="17.5" spans="1:31">
      <c r="A107" s="464"/>
      <c r="B107" s="20" t="s">
        <v>33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61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386</v>
      </c>
      <c r="C110" s="467">
        <v>761396.833333333</v>
      </c>
      <c r="D110" s="466">
        <v>12</v>
      </c>
      <c r="E110" s="467">
        <f>C110*D110</f>
        <v>9136762</v>
      </c>
      <c r="F110" s="467">
        <f>'[5]JANUARY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387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389</v>
      </c>
      <c r="C112" s="473">
        <v>450086.5</v>
      </c>
      <c r="D112" s="466">
        <v>12</v>
      </c>
      <c r="E112" s="467">
        <f t="shared" si="104"/>
        <v>5401038</v>
      </c>
      <c r="F112" s="467">
        <f>'[5]JANUARY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67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392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128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395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226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396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398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400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401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403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405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33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71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407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229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409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411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413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415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416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418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419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421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423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425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427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429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431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433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434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436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438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440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442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444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446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448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450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452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454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456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457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460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461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462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463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464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466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467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468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469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470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471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474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475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477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480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483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484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485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486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487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488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489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490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491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493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495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498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499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500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503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523</v>
      </c>
      <c r="C188" s="491">
        <f>SUM(C6:C187)</f>
        <v>80811797.3894384</v>
      </c>
      <c r="D188" s="492"/>
      <c r="E188" s="493"/>
      <c r="F188" s="494">
        <f>SUM(F6:F187)</f>
        <v>276375.747</v>
      </c>
      <c r="G188" s="494">
        <f>SUM(G6:G187)</f>
        <v>55339851.6032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139208884.235259</v>
      </c>
      <c r="W188" s="494"/>
      <c r="X188" s="494">
        <f t="shared" ref="X188" si="137">SUM(X6:X187)</f>
        <v>11600740.3529383</v>
      </c>
      <c r="Y188" s="494"/>
      <c r="Z188" s="494">
        <f t="shared" ref="Z188" si="138">SUM(Z6:Z187)</f>
        <v>11600740.3529383</v>
      </c>
      <c r="AA188" s="495"/>
      <c r="AB188" s="495"/>
    </row>
    <row r="189" ht="26.25" customHeight="1" spans="2:28">
      <c r="B189" s="496" t="s">
        <v>215</v>
      </c>
      <c r="C189" s="491"/>
      <c r="D189" s="492"/>
      <c r="E189" s="492"/>
      <c r="F189" s="497">
        <f>F188/12</f>
        <v>23031.31225</v>
      </c>
      <c r="G189" s="497">
        <f>G188/12</f>
        <v>4611654.30026666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11600740.3529383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524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347" t="s">
        <v>16</v>
      </c>
      <c r="R4" s="80" t="s">
        <v>517</v>
      </c>
      <c r="S4" s="321" t="s">
        <v>518</v>
      </c>
    </row>
    <row r="5" ht="17.25" customHeight="1" spans="3:19"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3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449" t="s">
        <v>19</v>
      </c>
      <c r="R5" s="82" t="s">
        <v>19</v>
      </c>
      <c r="S5" s="230" t="s">
        <v>19</v>
      </c>
    </row>
    <row r="6" customHeight="1" spans="1:20">
      <c r="A6" s="10"/>
      <c r="B6" s="20" t="s">
        <v>58</v>
      </c>
      <c r="C6" s="21"/>
      <c r="D6" s="21"/>
      <c r="E6" s="146"/>
      <c r="F6" s="146"/>
      <c r="G6" s="220"/>
      <c r="H6" s="220"/>
      <c r="I6" s="146"/>
      <c r="J6" s="146"/>
      <c r="K6" s="146"/>
      <c r="L6" s="146"/>
      <c r="M6" s="146"/>
      <c r="N6" s="146"/>
      <c r="O6" s="146"/>
      <c r="P6" s="146"/>
      <c r="Q6" s="450"/>
      <c r="R6" s="146"/>
      <c r="S6" s="233"/>
      <c r="T6" s="13"/>
    </row>
    <row r="7" customHeight="1" spans="1:20">
      <c r="A7" s="10">
        <v>1</v>
      </c>
      <c r="B7" s="14" t="s">
        <v>363</v>
      </c>
      <c r="C7" s="4" t="s">
        <v>364</v>
      </c>
      <c r="D7" s="16" t="s">
        <v>231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39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363</v>
      </c>
      <c r="C8" s="4" t="s">
        <v>364</v>
      </c>
      <c r="D8" s="15" t="s">
        <v>365</v>
      </c>
      <c r="E8" s="85">
        <f>'[2]Annual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39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-439722.532264533</v>
      </c>
    </row>
    <row r="9" ht="35.25" customHeight="1" spans="1:20">
      <c r="A9" s="4"/>
      <c r="B9" s="30" t="s">
        <v>511</v>
      </c>
      <c r="C9" s="31" t="e">
        <f>#REF!+#REF!+#REF!+#REF!+#REF!+#REF!+#REF!+#REF!+#REF!+#REF!+#REF!</f>
        <v>#REF!</v>
      </c>
      <c r="D9" s="32"/>
      <c r="E9" s="227">
        <f>E8-E7</f>
        <v>589669.5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439722.532264533</v>
      </c>
      <c r="T9" s="13"/>
    </row>
    <row r="10" ht="38.25" customHeight="1" spans="2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2:19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7:19">
      <c r="Q12" s="35"/>
      <c r="S12" s="335"/>
    </row>
    <row r="13" customHeight="1" spans="19:19">
      <c r="S13" s="35"/>
    </row>
    <row r="14" customHeight="1" spans="10:1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  <c r="G1" s="75"/>
    </row>
    <row r="2" ht="20.25" customHeight="1" spans="1:7">
      <c r="A2" s="75" t="s">
        <v>525</v>
      </c>
      <c r="B2" s="75"/>
      <c r="C2" s="75"/>
      <c r="D2" s="75"/>
      <c r="E2" s="75"/>
      <c r="F2" s="75"/>
      <c r="G2" s="75"/>
    </row>
    <row r="3" ht="9.75" customHeight="1" spans="1:7">
      <c r="A3" s="75"/>
      <c r="B3" s="75"/>
      <c r="C3" s="75"/>
      <c r="D3" s="75"/>
      <c r="E3" s="75"/>
      <c r="F3" s="75"/>
      <c r="G3" s="75"/>
    </row>
    <row r="4" ht="13.5" customHeight="1" spans="5:7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526</v>
      </c>
      <c r="F5" s="218" t="s">
        <v>527</v>
      </c>
      <c r="G5" s="218" t="s">
        <v>528</v>
      </c>
      <c r="H5" s="218" t="s">
        <v>529</v>
      </c>
      <c r="I5" s="218" t="s">
        <v>511</v>
      </c>
    </row>
    <row r="6" ht="17.25" customHeight="1" spans="3:9">
      <c r="C6" s="8"/>
      <c r="D6" s="8"/>
      <c r="E6" s="82" t="s">
        <v>19</v>
      </c>
      <c r="F6" s="82" t="s">
        <v>19</v>
      </c>
      <c r="G6" s="82" t="s">
        <v>19</v>
      </c>
      <c r="H6" s="82" t="s">
        <v>19</v>
      </c>
      <c r="I6" s="82" t="s">
        <v>19</v>
      </c>
    </row>
    <row r="7" ht="20.1" customHeight="1" spans="1:9">
      <c r="A7" s="9" t="s">
        <v>20</v>
      </c>
      <c r="B7" s="8" t="s">
        <v>21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236</v>
      </c>
      <c r="C8" s="12" t="s">
        <v>237</v>
      </c>
      <c r="D8" s="12" t="s">
        <v>238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239</v>
      </c>
      <c r="C9" s="12" t="s">
        <v>240</v>
      </c>
      <c r="D9" s="10" t="s">
        <v>234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241</v>
      </c>
      <c r="C10" s="4" t="s">
        <v>242</v>
      </c>
      <c r="D10" s="10" t="s">
        <v>234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243</v>
      </c>
      <c r="C11" s="17" t="s">
        <v>244</v>
      </c>
      <c r="D11" s="10" t="s">
        <v>234</v>
      </c>
      <c r="E11" s="85">
        <f>'[6]NASS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245</v>
      </c>
      <c r="C12" s="4" t="s">
        <v>530</v>
      </c>
      <c r="D12" s="10" t="s">
        <v>234</v>
      </c>
      <c r="E12" s="85">
        <f>'[6]NASS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232</v>
      </c>
      <c r="C13" s="10" t="s">
        <v>233</v>
      </c>
      <c r="D13" s="10" t="s">
        <v>234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247</v>
      </c>
      <c r="C14" s="12" t="s">
        <v>248</v>
      </c>
      <c r="D14" s="15" t="s">
        <v>249</v>
      </c>
      <c r="E14" s="85">
        <f>'[6]NASS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250</v>
      </c>
      <c r="C15" s="4" t="s">
        <v>251</v>
      </c>
      <c r="D15" s="10" t="s">
        <v>228</v>
      </c>
      <c r="E15" s="85">
        <f>'[6]NASS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252</v>
      </c>
      <c r="C16" s="4" t="s">
        <v>253</v>
      </c>
      <c r="D16" s="15" t="s">
        <v>254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255</v>
      </c>
      <c r="C17" s="17" t="s">
        <v>256</v>
      </c>
      <c r="D17" s="15" t="s">
        <v>257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258</v>
      </c>
      <c r="C18" s="4" t="s">
        <v>259</v>
      </c>
      <c r="D18" s="10" t="s">
        <v>260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261</v>
      </c>
      <c r="C19" s="4" t="s">
        <v>262</v>
      </c>
      <c r="D19" s="10" t="s">
        <v>263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264</v>
      </c>
      <c r="C20" s="12" t="s">
        <v>265</v>
      </c>
      <c r="D20" s="15" t="s">
        <v>266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267</v>
      </c>
      <c r="C21" s="4" t="s">
        <v>531</v>
      </c>
      <c r="D21" s="15" t="s">
        <v>269</v>
      </c>
      <c r="E21" s="85">
        <f>'[6]NASS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270</v>
      </c>
      <c r="C22" s="12" t="s">
        <v>50</v>
      </c>
      <c r="D22" s="15" t="s">
        <v>271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272</v>
      </c>
      <c r="C23" s="17" t="s">
        <v>532</v>
      </c>
      <c r="D23" s="10" t="s">
        <v>41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274</v>
      </c>
      <c r="C24" s="17" t="s">
        <v>275</v>
      </c>
      <c r="D24" s="15" t="s">
        <v>41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276</v>
      </c>
      <c r="C25" s="17" t="s">
        <v>277</v>
      </c>
      <c r="D25" s="10" t="s">
        <v>37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278</v>
      </c>
      <c r="C26" s="4" t="s">
        <v>176</v>
      </c>
      <c r="D26" s="10" t="s">
        <v>279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280</v>
      </c>
      <c r="C27" s="12" t="s">
        <v>176</v>
      </c>
      <c r="D27" s="15" t="s">
        <v>279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281</v>
      </c>
      <c r="C28" s="17" t="s">
        <v>273</v>
      </c>
      <c r="D28" s="10" t="s">
        <v>279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282</v>
      </c>
      <c r="C29" s="12" t="s">
        <v>27</v>
      </c>
      <c r="D29" s="15" t="s">
        <v>283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284</v>
      </c>
      <c r="C30" s="4" t="s">
        <v>285</v>
      </c>
      <c r="D30" s="10" t="s">
        <v>24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286</v>
      </c>
      <c r="C31" s="4" t="s">
        <v>285</v>
      </c>
      <c r="D31" s="10" t="s">
        <v>24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287</v>
      </c>
      <c r="C32" s="17" t="s">
        <v>288</v>
      </c>
      <c r="D32" s="15" t="s">
        <v>279</v>
      </c>
      <c r="E32" s="85">
        <f>'[7]NASS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289</v>
      </c>
      <c r="C33" s="4" t="s">
        <v>290</v>
      </c>
      <c r="D33" s="10" t="s">
        <v>291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292</v>
      </c>
      <c r="C34" s="12" t="s">
        <v>293</v>
      </c>
      <c r="D34" s="15" t="s">
        <v>294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33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46087.3333333333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34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295</v>
      </c>
      <c r="C38" s="4" t="s">
        <v>296</v>
      </c>
      <c r="D38" s="10" t="s">
        <v>297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298</v>
      </c>
      <c r="C39" s="4" t="s">
        <v>533</v>
      </c>
      <c r="D39" s="10" t="s">
        <v>37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300</v>
      </c>
      <c r="C40" s="12" t="s">
        <v>534</v>
      </c>
      <c r="D40" s="15" t="s">
        <v>301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38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302</v>
      </c>
      <c r="C44" s="4" t="s">
        <v>303</v>
      </c>
      <c r="D44" s="10" t="s">
        <v>297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304</v>
      </c>
      <c r="C45" s="4" t="s">
        <v>305</v>
      </c>
      <c r="D45" s="10" t="s">
        <v>249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306</v>
      </c>
      <c r="C46" s="4" t="s">
        <v>307</v>
      </c>
      <c r="D46" s="10" t="s">
        <v>308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309</v>
      </c>
      <c r="C47" s="4" t="s">
        <v>310</v>
      </c>
      <c r="D47" s="10" t="s">
        <v>249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311</v>
      </c>
      <c r="C48" s="4" t="s">
        <v>310</v>
      </c>
      <c r="D48" s="10" t="s">
        <v>249</v>
      </c>
      <c r="E48" s="85">
        <f>'[6]NASS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312</v>
      </c>
      <c r="C49" s="4" t="s">
        <v>310</v>
      </c>
      <c r="D49" s="10" t="s">
        <v>228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313</v>
      </c>
      <c r="C50" s="4" t="s">
        <v>256</v>
      </c>
      <c r="D50" s="16" t="s">
        <v>257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314</v>
      </c>
      <c r="C51" s="4" t="s">
        <v>63</v>
      </c>
      <c r="D51" s="10" t="s">
        <v>301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315</v>
      </c>
      <c r="C52" s="4" t="s">
        <v>63</v>
      </c>
      <c r="D52" s="10" t="s">
        <v>283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316</v>
      </c>
      <c r="C53" s="4" t="s">
        <v>63</v>
      </c>
      <c r="D53" s="10" t="s">
        <v>283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317</v>
      </c>
      <c r="C54" s="4" t="s">
        <v>63</v>
      </c>
      <c r="D54" s="10" t="s">
        <v>283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33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46"/>
      <c r="F56" s="146"/>
      <c r="G56" s="146"/>
      <c r="H56" s="146"/>
      <c r="I56" s="146"/>
    </row>
    <row r="57" ht="20.1" customHeight="1" spans="1:9">
      <c r="A57" s="10"/>
      <c r="B57" s="20" t="s">
        <v>318</v>
      </c>
      <c r="C57" s="21"/>
      <c r="D57" s="21"/>
      <c r="E57" s="146"/>
      <c r="F57" s="146"/>
      <c r="G57" s="146"/>
      <c r="H57" s="146"/>
      <c r="I57" s="146"/>
    </row>
    <row r="58" ht="20.1" customHeight="1" spans="1:9">
      <c r="A58" s="10">
        <v>1</v>
      </c>
      <c r="B58" s="11" t="s">
        <v>319</v>
      </c>
      <c r="C58" s="12" t="s">
        <v>320</v>
      </c>
      <c r="D58" s="15" t="s">
        <v>297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321</v>
      </c>
      <c r="C59" s="12" t="s">
        <v>322</v>
      </c>
      <c r="D59" s="15" t="s">
        <v>225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33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46"/>
      <c r="F61" s="146"/>
      <c r="G61" s="146"/>
      <c r="H61" s="146"/>
      <c r="I61" s="146"/>
    </row>
    <row r="62" ht="20.1" customHeight="1" spans="1:9">
      <c r="A62" s="10"/>
      <c r="B62" s="20" t="s">
        <v>44</v>
      </c>
      <c r="C62" s="21"/>
      <c r="D62" s="21"/>
      <c r="E62" s="146"/>
      <c r="F62" s="146"/>
      <c r="G62" s="146"/>
      <c r="H62" s="146"/>
      <c r="I62" s="146"/>
    </row>
    <row r="63" ht="20.1" customHeight="1" spans="1:9">
      <c r="A63" s="10">
        <v>1</v>
      </c>
      <c r="B63" s="11" t="s">
        <v>323</v>
      </c>
      <c r="C63" s="17" t="s">
        <v>324</v>
      </c>
      <c r="D63" s="10" t="s">
        <v>297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325</v>
      </c>
      <c r="C64" s="17" t="s">
        <v>326</v>
      </c>
      <c r="D64" s="15" t="s">
        <v>327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328</v>
      </c>
      <c r="C65" s="4" t="s">
        <v>256</v>
      </c>
      <c r="D65" s="10" t="s">
        <v>260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329</v>
      </c>
      <c r="C66" s="17" t="s">
        <v>46</v>
      </c>
      <c r="D66" s="15" t="s">
        <v>266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330</v>
      </c>
      <c r="C67" s="17" t="s">
        <v>256</v>
      </c>
      <c r="D67" s="15" t="s">
        <v>254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331</v>
      </c>
      <c r="C68" s="4" t="s">
        <v>63</v>
      </c>
      <c r="D68" s="10" t="s">
        <v>332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333</v>
      </c>
      <c r="C69" s="17" t="s">
        <v>275</v>
      </c>
      <c r="D69" s="10" t="s">
        <v>332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334</v>
      </c>
      <c r="C70" s="17" t="s">
        <v>275</v>
      </c>
      <c r="D70" s="10" t="s">
        <v>332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335</v>
      </c>
      <c r="C71" s="4" t="s">
        <v>336</v>
      </c>
      <c r="D71" s="10" t="s">
        <v>271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337</v>
      </c>
      <c r="C72" s="4" t="s">
        <v>63</v>
      </c>
      <c r="D72" s="10" t="s">
        <v>301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33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46"/>
      <c r="F74" s="146"/>
      <c r="G74" s="146"/>
      <c r="H74" s="146"/>
      <c r="I74" s="146"/>
    </row>
    <row r="75" ht="20.1" customHeight="1" spans="1:9">
      <c r="A75" s="10"/>
      <c r="B75" s="20" t="s">
        <v>51</v>
      </c>
      <c r="C75" s="21"/>
      <c r="D75" s="21"/>
      <c r="E75" s="146"/>
      <c r="F75" s="146"/>
      <c r="G75" s="146"/>
      <c r="H75" s="146"/>
      <c r="I75" s="146"/>
    </row>
    <row r="76" ht="20.1" customHeight="1" spans="1:9">
      <c r="A76" s="10">
        <v>1</v>
      </c>
      <c r="B76" s="11" t="s">
        <v>338</v>
      </c>
      <c r="C76" s="4" t="s">
        <v>339</v>
      </c>
      <c r="D76" s="10" t="s">
        <v>297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220</v>
      </c>
      <c r="C77" s="4" t="s">
        <v>221</v>
      </c>
      <c r="D77" s="15" t="s">
        <v>222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223</v>
      </c>
      <c r="C78" s="12" t="s">
        <v>224</v>
      </c>
      <c r="D78" s="10" t="s">
        <v>225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340</v>
      </c>
      <c r="C79" s="4" t="s">
        <v>341</v>
      </c>
      <c r="D79" s="15" t="s">
        <v>342</v>
      </c>
      <c r="E79" s="85">
        <f>'[6]NASS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343</v>
      </c>
      <c r="C80" s="4" t="s">
        <v>344</v>
      </c>
      <c r="D80" s="10" t="s">
        <v>345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346</v>
      </c>
      <c r="C81" s="4" t="s">
        <v>344</v>
      </c>
      <c r="D81" s="10" t="s">
        <v>283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347</v>
      </c>
      <c r="C82" s="4" t="s">
        <v>348</v>
      </c>
      <c r="D82" s="10" t="s">
        <v>294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33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46"/>
      <c r="F84" s="146"/>
      <c r="G84" s="146"/>
      <c r="H84" s="146"/>
      <c r="I84" s="146"/>
    </row>
    <row r="85" ht="20.1" customHeight="1" spans="1:9">
      <c r="A85" s="10"/>
      <c r="B85" s="20" t="s">
        <v>56</v>
      </c>
      <c r="C85" s="25"/>
      <c r="D85" s="21"/>
      <c r="E85" s="146"/>
      <c r="F85" s="146"/>
      <c r="G85" s="146"/>
      <c r="H85" s="146"/>
      <c r="I85" s="146"/>
    </row>
    <row r="86" ht="20.1" customHeight="1" spans="1:9">
      <c r="A86" s="10">
        <v>1</v>
      </c>
      <c r="B86" s="11" t="s">
        <v>349</v>
      </c>
      <c r="C86" s="4" t="s">
        <v>310</v>
      </c>
      <c r="D86" s="10" t="s">
        <v>249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350</v>
      </c>
      <c r="C87" s="4" t="s">
        <v>310</v>
      </c>
      <c r="D87" s="10" t="s">
        <v>249</v>
      </c>
      <c r="E87" s="85">
        <f>'[6]NASS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351</v>
      </c>
      <c r="C88" s="4" t="s">
        <v>310</v>
      </c>
      <c r="D88" s="10" t="s">
        <v>228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352</v>
      </c>
      <c r="C89" s="4" t="s">
        <v>353</v>
      </c>
      <c r="D89" s="15" t="s">
        <v>263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354</v>
      </c>
      <c r="C90" s="12" t="s">
        <v>46</v>
      </c>
      <c r="D90" s="15" t="s">
        <v>266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355</v>
      </c>
      <c r="C91" s="12" t="s">
        <v>256</v>
      </c>
      <c r="D91" s="15" t="s">
        <v>356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357</v>
      </c>
      <c r="C92" s="17" t="s">
        <v>275</v>
      </c>
      <c r="D92" s="15" t="s">
        <v>332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358</v>
      </c>
      <c r="C93" s="17" t="s">
        <v>46</v>
      </c>
      <c r="D93" s="15" t="s">
        <v>47</v>
      </c>
      <c r="E93" s="85">
        <f>'[6]NASS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359</v>
      </c>
      <c r="C94" s="4" t="s">
        <v>360</v>
      </c>
      <c r="D94" s="10" t="s">
        <v>301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361</v>
      </c>
      <c r="C95" s="17" t="s">
        <v>362</v>
      </c>
      <c r="D95" s="15" t="s">
        <v>291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33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46"/>
      <c r="F97" s="146"/>
      <c r="G97" s="146"/>
      <c r="H97" s="146"/>
      <c r="I97" s="146"/>
    </row>
    <row r="98" ht="20.1" customHeight="1" spans="1:9">
      <c r="A98" s="10"/>
      <c r="B98" s="20" t="s">
        <v>58</v>
      </c>
      <c r="C98" s="21"/>
      <c r="D98" s="21"/>
      <c r="E98" s="146"/>
      <c r="F98" s="146"/>
      <c r="G98" s="146"/>
      <c r="H98" s="146"/>
      <c r="I98" s="146"/>
    </row>
    <row r="99" ht="20.1" customHeight="1" spans="1:9">
      <c r="A99" s="10">
        <v>1</v>
      </c>
      <c r="B99" s="14" t="s">
        <v>363</v>
      </c>
      <c r="C99" s="4" t="s">
        <v>364</v>
      </c>
      <c r="D99" s="16" t="s">
        <v>231</v>
      </c>
      <c r="E99" s="85">
        <f>'[6]NASS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366</v>
      </c>
      <c r="C100" s="4" t="s">
        <v>367</v>
      </c>
      <c r="D100" s="15" t="s">
        <v>342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368</v>
      </c>
      <c r="C101" s="4" t="s">
        <v>369</v>
      </c>
      <c r="D101" s="15" t="s">
        <v>271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370</v>
      </c>
      <c r="C102" s="4" t="s">
        <v>371</v>
      </c>
      <c r="D102" s="15" t="s">
        <v>301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33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46"/>
      <c r="F104" s="146"/>
      <c r="G104" s="146"/>
      <c r="H104" s="146"/>
      <c r="I104" s="146"/>
    </row>
    <row r="105" ht="20.1" customHeight="1" spans="1:9">
      <c r="A105" s="4"/>
      <c r="B105" s="20" t="s">
        <v>372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373</v>
      </c>
      <c r="C106" s="12" t="s">
        <v>374</v>
      </c>
      <c r="D106" s="15" t="s">
        <v>297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375</v>
      </c>
      <c r="C107" s="4" t="s">
        <v>376</v>
      </c>
      <c r="D107" s="16" t="s">
        <v>231</v>
      </c>
      <c r="E107" s="85">
        <f>'[6]NASS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377</v>
      </c>
      <c r="C108" s="4" t="s">
        <v>378</v>
      </c>
      <c r="D108" s="10" t="s">
        <v>263</v>
      </c>
      <c r="E108" s="85">
        <f>'[6]NASS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379</v>
      </c>
      <c r="C109" s="4" t="s">
        <v>378</v>
      </c>
      <c r="D109" s="10" t="s">
        <v>263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380</v>
      </c>
      <c r="C110" s="4" t="s">
        <v>381</v>
      </c>
      <c r="D110" s="15" t="s">
        <v>382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383</v>
      </c>
      <c r="C111" s="4" t="s">
        <v>381</v>
      </c>
      <c r="D111" s="10" t="s">
        <v>384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385</v>
      </c>
      <c r="C112" s="4" t="s">
        <v>381</v>
      </c>
      <c r="D112" s="15" t="s">
        <v>291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33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61</v>
      </c>
      <c r="C115" s="21"/>
      <c r="D115" s="21"/>
      <c r="E115" s="146"/>
      <c r="F115" s="146"/>
      <c r="G115" s="146"/>
      <c r="H115" s="146"/>
      <c r="I115" s="146"/>
    </row>
    <row r="116" ht="20.1" customHeight="1" spans="1:9">
      <c r="A116" s="10">
        <v>1</v>
      </c>
      <c r="B116" s="14" t="s">
        <v>386</v>
      </c>
      <c r="C116" s="4" t="s">
        <v>310</v>
      </c>
      <c r="D116" s="10" t="s">
        <v>327</v>
      </c>
      <c r="E116" s="85">
        <f>'[6]NASS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387</v>
      </c>
      <c r="C117" s="4" t="s">
        <v>388</v>
      </c>
      <c r="D117" s="15" t="s">
        <v>271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389</v>
      </c>
      <c r="C118" s="12" t="s">
        <v>390</v>
      </c>
      <c r="D118" s="15" t="s">
        <v>391</v>
      </c>
      <c r="E118" s="85">
        <f>'[6]NASS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33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67</v>
      </c>
      <c r="C121" s="21"/>
      <c r="D121" s="21"/>
      <c r="E121" s="146"/>
      <c r="F121" s="146"/>
      <c r="G121" s="146"/>
      <c r="H121" s="146"/>
      <c r="I121" s="146"/>
    </row>
    <row r="122" ht="20.1" customHeight="1" spans="1:9">
      <c r="A122" s="4">
        <v>1</v>
      </c>
      <c r="B122" s="11" t="s">
        <v>392</v>
      </c>
      <c r="C122" s="12" t="s">
        <v>393</v>
      </c>
      <c r="D122" s="15" t="s">
        <v>297</v>
      </c>
      <c r="E122" s="85">
        <f>'[6]NASS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128</v>
      </c>
      <c r="C123" s="12" t="s">
        <v>394</v>
      </c>
      <c r="D123" s="15" t="s">
        <v>308</v>
      </c>
      <c r="E123" s="85">
        <f>'[6]NASS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395</v>
      </c>
      <c r="C124" s="12" t="s">
        <v>227</v>
      </c>
      <c r="D124" s="15" t="s">
        <v>249</v>
      </c>
      <c r="E124" s="85">
        <f>'[6]NASS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226</v>
      </c>
      <c r="C125" s="12" t="s">
        <v>227</v>
      </c>
      <c r="D125" s="15" t="s">
        <v>228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396</v>
      </c>
      <c r="C126" s="12" t="s">
        <v>397</v>
      </c>
      <c r="D126" s="15" t="s">
        <v>257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398</v>
      </c>
      <c r="C127" s="12" t="s">
        <v>399</v>
      </c>
      <c r="D127" s="15" t="s">
        <v>260</v>
      </c>
      <c r="E127" s="85">
        <f>'[6]NASS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400</v>
      </c>
      <c r="C128" s="12" t="s">
        <v>397</v>
      </c>
      <c r="D128" s="15" t="s">
        <v>342</v>
      </c>
      <c r="E128" s="85">
        <f>'[6]NASS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401</v>
      </c>
      <c r="C129" s="12" t="s">
        <v>402</v>
      </c>
      <c r="D129" s="10" t="s">
        <v>279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403</v>
      </c>
      <c r="C130" s="12" t="s">
        <v>404</v>
      </c>
      <c r="D130" s="15" t="s">
        <v>294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405</v>
      </c>
      <c r="C131" s="12" t="s">
        <v>69</v>
      </c>
      <c r="D131" s="15" t="s">
        <v>294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33</v>
      </c>
      <c r="C132" s="26" t="s">
        <v>406</v>
      </c>
      <c r="D132" s="15"/>
      <c r="E132" s="146">
        <f>SUM(E122:E131)</f>
        <v>23936251</v>
      </c>
      <c r="F132" s="146">
        <f>SUM(F122:F131)</f>
        <v>1994687.58333333</v>
      </c>
      <c r="G132" s="146">
        <f t="shared" ref="G132:I132" si="37">SUM(G122:G131)</f>
        <v>49867.1895833333</v>
      </c>
      <c r="H132" s="146">
        <f t="shared" si="37"/>
        <v>5224.799</v>
      </c>
      <c r="I132" s="146">
        <f t="shared" si="37"/>
        <v>44642.3905833333</v>
      </c>
    </row>
    <row r="133" ht="20.1" customHeight="1" spans="1:9">
      <c r="A133" s="4"/>
      <c r="B133" s="22"/>
      <c r="C133" s="26"/>
      <c r="D133" s="15"/>
      <c r="E133" s="146"/>
      <c r="F133" s="146"/>
      <c r="G133" s="146"/>
      <c r="H133" s="146"/>
      <c r="I133" s="146"/>
    </row>
    <row r="134" ht="20.1" customHeight="1" spans="1:9">
      <c r="A134" s="4"/>
      <c r="B134" s="20" t="s">
        <v>71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407</v>
      </c>
      <c r="C135" s="12" t="s">
        <v>408</v>
      </c>
      <c r="D135" s="15" t="s">
        <v>297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229</v>
      </c>
      <c r="C136" s="12" t="s">
        <v>230</v>
      </c>
      <c r="D136" s="15" t="s">
        <v>231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409</v>
      </c>
      <c r="C137" s="4" t="s">
        <v>410</v>
      </c>
      <c r="D137" s="16" t="s">
        <v>231</v>
      </c>
      <c r="E137" s="85">
        <f>'[6]NASS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411</v>
      </c>
      <c r="C138" s="12" t="s">
        <v>412</v>
      </c>
      <c r="D138" s="15" t="s">
        <v>254</v>
      </c>
      <c r="E138" s="85">
        <f>'[6]NASS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413</v>
      </c>
      <c r="C139" s="4" t="s">
        <v>414</v>
      </c>
      <c r="D139" s="15" t="s">
        <v>254</v>
      </c>
      <c r="E139" s="85">
        <f>'[6]NASS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415</v>
      </c>
      <c r="C140" s="4" t="s">
        <v>414</v>
      </c>
      <c r="D140" s="15" t="s">
        <v>254</v>
      </c>
      <c r="E140" s="85">
        <f>'[6]NASS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416</v>
      </c>
      <c r="C141" s="12" t="s">
        <v>417</v>
      </c>
      <c r="D141" s="15" t="s">
        <v>391</v>
      </c>
      <c r="E141" s="85">
        <f>'[6]NASS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418</v>
      </c>
      <c r="C142" s="12" t="s">
        <v>417</v>
      </c>
      <c r="D142" s="15" t="s">
        <v>391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419</v>
      </c>
      <c r="C143" s="4" t="s">
        <v>420</v>
      </c>
      <c r="D143" s="15" t="s">
        <v>391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421</v>
      </c>
      <c r="C144" s="12" t="s">
        <v>422</v>
      </c>
      <c r="D144" s="15" t="s">
        <v>271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423</v>
      </c>
      <c r="C145" s="12" t="s">
        <v>424</v>
      </c>
      <c r="D145" s="15" t="s">
        <v>332</v>
      </c>
      <c r="E145" s="85">
        <f>'[6]NASS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425</v>
      </c>
      <c r="C146" s="12" t="s">
        <v>426</v>
      </c>
      <c r="D146" s="15" t="s">
        <v>391</v>
      </c>
      <c r="E146" s="85">
        <f>'[6]NASS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427</v>
      </c>
      <c r="C147" s="4" t="s">
        <v>428</v>
      </c>
      <c r="D147" s="15" t="s">
        <v>41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429</v>
      </c>
      <c r="C148" s="4" t="s">
        <v>430</v>
      </c>
      <c r="D148" s="15" t="s">
        <v>345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431</v>
      </c>
      <c r="C149" s="4" t="s">
        <v>430</v>
      </c>
      <c r="D149" s="15" t="s">
        <v>432</v>
      </c>
      <c r="E149" s="220">
        <f>'[6]NASS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433</v>
      </c>
      <c r="C150" s="4" t="s">
        <v>430</v>
      </c>
      <c r="D150" s="15" t="s">
        <v>432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434</v>
      </c>
      <c r="C151" s="12" t="s">
        <v>435</v>
      </c>
      <c r="D151" s="15" t="s">
        <v>301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436</v>
      </c>
      <c r="C152" s="12" t="s">
        <v>437</v>
      </c>
      <c r="D152" s="10" t="s">
        <v>283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438</v>
      </c>
      <c r="C153" s="12" t="s">
        <v>439</v>
      </c>
      <c r="D153" s="15" t="s">
        <v>345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440</v>
      </c>
      <c r="C154" s="12" t="s">
        <v>441</v>
      </c>
      <c r="D154" s="15" t="s">
        <v>279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442</v>
      </c>
      <c r="C155" s="12" t="s">
        <v>443</v>
      </c>
      <c r="D155" s="15" t="s">
        <v>345</v>
      </c>
      <c r="E155" s="220">
        <f>'[6]NASS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444</v>
      </c>
      <c r="C156" s="12" t="s">
        <v>445</v>
      </c>
      <c r="D156" s="15" t="s">
        <v>279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446</v>
      </c>
      <c r="C157" s="12" t="s">
        <v>447</v>
      </c>
      <c r="D157" s="15" t="s">
        <v>24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448</v>
      </c>
      <c r="C158" s="12" t="s">
        <v>449</v>
      </c>
      <c r="D158" s="15" t="s">
        <v>294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450</v>
      </c>
      <c r="C159" s="12" t="s">
        <v>451</v>
      </c>
      <c r="D159" s="15" t="s">
        <v>294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452</v>
      </c>
      <c r="C160" s="12" t="s">
        <v>453</v>
      </c>
      <c r="D160" s="15" t="s">
        <v>294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454</v>
      </c>
      <c r="C161" s="12" t="s">
        <v>455</v>
      </c>
      <c r="D161" s="15" t="s">
        <v>291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456</v>
      </c>
      <c r="C162" s="12" t="s">
        <v>451</v>
      </c>
      <c r="D162" s="15" t="s">
        <v>294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457</v>
      </c>
      <c r="C163" s="12" t="s">
        <v>458</v>
      </c>
      <c r="D163" s="15" t="s">
        <v>459</v>
      </c>
      <c r="E163" s="226">
        <f>'[6]NASS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460</v>
      </c>
      <c r="C164" s="12" t="s">
        <v>458</v>
      </c>
      <c r="D164" s="15" t="s">
        <v>459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461</v>
      </c>
      <c r="C165" s="12" t="s">
        <v>458</v>
      </c>
      <c r="D165" s="15" t="s">
        <v>459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462</v>
      </c>
      <c r="C166" s="12" t="s">
        <v>458</v>
      </c>
      <c r="D166" s="15" t="s">
        <v>459</v>
      </c>
      <c r="E166" s="226">
        <f>'[6]NASS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463</v>
      </c>
      <c r="C167" s="12" t="s">
        <v>458</v>
      </c>
      <c r="D167" s="15" t="s">
        <v>459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464</v>
      </c>
      <c r="C168" s="12" t="s">
        <v>458</v>
      </c>
      <c r="D168" s="15" t="s">
        <v>465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466</v>
      </c>
      <c r="C169" s="12" t="s">
        <v>458</v>
      </c>
      <c r="D169" s="15" t="s">
        <v>465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467</v>
      </c>
      <c r="C170" s="12" t="s">
        <v>458</v>
      </c>
      <c r="D170" s="15" t="s">
        <v>465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468</v>
      </c>
      <c r="C171" s="12" t="s">
        <v>458</v>
      </c>
      <c r="D171" s="15" t="s">
        <v>465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469</v>
      </c>
      <c r="C172" s="12" t="s">
        <v>458</v>
      </c>
      <c r="D172" s="15" t="s">
        <v>465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470</v>
      </c>
      <c r="C173" s="12" t="s">
        <v>458</v>
      </c>
      <c r="D173" s="15" t="s">
        <v>465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471</v>
      </c>
      <c r="C174" s="12" t="s">
        <v>472</v>
      </c>
      <c r="D174" s="15" t="s">
        <v>473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474</v>
      </c>
      <c r="C175" s="12" t="s">
        <v>472</v>
      </c>
      <c r="D175" s="15" t="s">
        <v>473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475</v>
      </c>
      <c r="C176" s="12" t="s">
        <v>472</v>
      </c>
      <c r="D176" s="15" t="s">
        <v>476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477</v>
      </c>
      <c r="C177" s="12" t="s">
        <v>478</v>
      </c>
      <c r="D177" s="15" t="s">
        <v>479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480</v>
      </c>
      <c r="C178" s="12" t="s">
        <v>481</v>
      </c>
      <c r="D178" s="15" t="s">
        <v>482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483</v>
      </c>
      <c r="C179" s="12" t="s">
        <v>481</v>
      </c>
      <c r="D179" s="15" t="s">
        <v>482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484</v>
      </c>
      <c r="C180" s="12" t="s">
        <v>481</v>
      </c>
      <c r="D180" s="15" t="s">
        <v>482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485</v>
      </c>
      <c r="C181" s="12" t="s">
        <v>481</v>
      </c>
      <c r="D181" s="15" t="s">
        <v>482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486</v>
      </c>
      <c r="C182" s="12" t="s">
        <v>481</v>
      </c>
      <c r="D182" s="15" t="s">
        <v>482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487</v>
      </c>
      <c r="C183" s="12" t="s">
        <v>481</v>
      </c>
      <c r="D183" s="15" t="s">
        <v>482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488</v>
      </c>
      <c r="C184" s="12" t="s">
        <v>481</v>
      </c>
      <c r="D184" s="15" t="s">
        <v>482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489</v>
      </c>
      <c r="C185" s="12" t="s">
        <v>478</v>
      </c>
      <c r="D185" s="15" t="s">
        <v>482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490</v>
      </c>
      <c r="C186" s="12" t="s">
        <v>478</v>
      </c>
      <c r="D186" s="15" t="s">
        <v>482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491</v>
      </c>
      <c r="C187" s="12" t="s">
        <v>172</v>
      </c>
      <c r="D187" s="15" t="s">
        <v>492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493</v>
      </c>
      <c r="C188" s="12" t="s">
        <v>481</v>
      </c>
      <c r="D188" s="15" t="s">
        <v>494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495</v>
      </c>
      <c r="C189" s="12" t="s">
        <v>496</v>
      </c>
      <c r="D189" s="15" t="s">
        <v>497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498</v>
      </c>
      <c r="C190" s="12" t="s">
        <v>496</v>
      </c>
      <c r="D190" s="15" t="s">
        <v>497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499</v>
      </c>
      <c r="C191" s="12" t="s">
        <v>496</v>
      </c>
      <c r="D191" s="15" t="s">
        <v>497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500</v>
      </c>
      <c r="C192" s="12" t="s">
        <v>501</v>
      </c>
      <c r="D192" s="15" t="s">
        <v>502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9">
      <c r="A193" s="27">
        <v>59</v>
      </c>
      <c r="B193" s="18" t="s">
        <v>503</v>
      </c>
      <c r="C193" s="12" t="s">
        <v>501</v>
      </c>
      <c r="D193" s="15" t="s">
        <v>502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9">
      <c r="A194" s="27"/>
      <c r="B194" s="8" t="s">
        <v>33</v>
      </c>
      <c r="C194" s="28" t="s">
        <v>504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80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2:8">
      <c r="B196" s="33"/>
      <c r="D196" s="34"/>
      <c r="E196" s="34"/>
      <c r="F196" s="34"/>
      <c r="G196" s="34"/>
      <c r="H196" s="35"/>
    </row>
    <row r="197" ht="36.75" customHeight="1" spans="2:7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10" t="s">
        <v>535</v>
      </c>
      <c r="E1" s="610" t="s">
        <v>14</v>
      </c>
      <c r="F1" s="611"/>
      <c r="G1" s="611"/>
    </row>
    <row r="2" ht="36" customHeight="1" spans="1:7">
      <c r="A2" s="18" t="s">
        <v>292</v>
      </c>
      <c r="B2" s="12" t="s">
        <v>293</v>
      </c>
      <c r="C2" s="612" t="s">
        <v>30</v>
      </c>
      <c r="D2" s="610">
        <f>'[5]JANUARY 2024'!$R$33</f>
        <v>173329.0495</v>
      </c>
      <c r="E2" s="610">
        <f>'[5]JANUARY 2024'!$W$33</f>
        <v>16512.6821906667</v>
      </c>
      <c r="F2" s="611"/>
      <c r="G2" s="611"/>
    </row>
    <row r="3" ht="36" spans="1:7">
      <c r="A3" s="18" t="s">
        <v>292</v>
      </c>
      <c r="B3" s="12" t="s">
        <v>293</v>
      </c>
      <c r="C3" s="612" t="s">
        <v>294</v>
      </c>
      <c r="D3" s="610">
        <f>'[5]JANUARY 2024'!$R$38</f>
        <v>176816.1</v>
      </c>
      <c r="E3" s="610">
        <f>'[5]JANUARY 2024'!$W$38</f>
        <v>17042.7138666667</v>
      </c>
      <c r="F3" s="611"/>
      <c r="G3" s="611"/>
    </row>
    <row r="4" ht="25.5" customHeight="1" spans="1:7">
      <c r="A4" s="294" t="s">
        <v>520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4:7">
      <c r="D5" s="611"/>
      <c r="E5" s="611"/>
      <c r="F5" s="611"/>
      <c r="G5" s="611"/>
    </row>
    <row r="6" ht="15.5" spans="4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536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132</v>
      </c>
    </row>
    <row r="5" ht="17.25" customHeight="1" spans="3:5">
      <c r="C5" s="8"/>
      <c r="D5" s="8"/>
      <c r="E5" s="358" t="s">
        <v>19</v>
      </c>
    </row>
    <row r="6" customHeight="1" spans="1:5">
      <c r="A6" s="9" t="s">
        <v>20</v>
      </c>
      <c r="B6" s="8" t="s">
        <v>21</v>
      </c>
      <c r="C6" s="8"/>
      <c r="D6" s="8"/>
      <c r="E6" s="82"/>
    </row>
    <row r="7" customHeight="1" spans="1:5">
      <c r="A7" s="10">
        <v>1</v>
      </c>
      <c r="B7" s="11" t="s">
        <v>236</v>
      </c>
      <c r="C7" s="12" t="s">
        <v>237</v>
      </c>
      <c r="D7" s="12" t="s">
        <v>238</v>
      </c>
      <c r="E7" s="85">
        <v>540000</v>
      </c>
    </row>
    <row r="8" customHeight="1" spans="1:5">
      <c r="A8" s="10">
        <v>2</v>
      </c>
      <c r="B8" s="11" t="s">
        <v>239</v>
      </c>
      <c r="C8" s="12" t="s">
        <v>240</v>
      </c>
      <c r="D8" s="10" t="s">
        <v>234</v>
      </c>
      <c r="E8" s="85">
        <v>180000</v>
      </c>
    </row>
    <row r="9" customHeight="1" spans="1:5">
      <c r="A9" s="10">
        <v>3</v>
      </c>
      <c r="B9" s="14" t="s">
        <v>241</v>
      </c>
      <c r="C9" s="4" t="s">
        <v>242</v>
      </c>
      <c r="D9" s="10" t="s">
        <v>234</v>
      </c>
      <c r="E9" s="85">
        <v>180000</v>
      </c>
    </row>
    <row r="10" customHeight="1" spans="1:5">
      <c r="A10" s="10">
        <v>4</v>
      </c>
      <c r="B10" s="11" t="s">
        <v>243</v>
      </c>
      <c r="C10" s="17" t="s">
        <v>244</v>
      </c>
      <c r="D10" s="10" t="s">
        <v>234</v>
      </c>
      <c r="E10" s="85">
        <v>180000</v>
      </c>
    </row>
    <row r="11" customHeight="1" spans="1:5">
      <c r="A11" s="10">
        <v>5</v>
      </c>
      <c r="B11" s="14" t="s">
        <v>245</v>
      </c>
      <c r="C11" s="4" t="s">
        <v>246</v>
      </c>
      <c r="D11" s="10" t="s">
        <v>234</v>
      </c>
      <c r="E11" s="85">
        <v>180000</v>
      </c>
    </row>
    <row r="12" customHeight="1" spans="1:5">
      <c r="A12" s="10">
        <v>6</v>
      </c>
      <c r="B12" s="18" t="s">
        <v>232</v>
      </c>
      <c r="C12" s="10" t="s">
        <v>233</v>
      </c>
      <c r="D12" s="10" t="s">
        <v>234</v>
      </c>
      <c r="E12" s="85">
        <v>180000</v>
      </c>
    </row>
    <row r="13" customHeight="1" spans="1:5">
      <c r="A13" s="10">
        <v>7</v>
      </c>
      <c r="B13" s="11" t="s">
        <v>247</v>
      </c>
      <c r="C13" s="12" t="s">
        <v>248</v>
      </c>
      <c r="D13" s="15" t="s">
        <v>249</v>
      </c>
      <c r="E13" s="85">
        <v>126000</v>
      </c>
    </row>
    <row r="14" customHeight="1" spans="1:5">
      <c r="A14" s="10">
        <v>8</v>
      </c>
      <c r="B14" s="11" t="s">
        <v>250</v>
      </c>
      <c r="C14" s="4" t="s">
        <v>251</v>
      </c>
      <c r="D14" s="10" t="s">
        <v>228</v>
      </c>
      <c r="E14" s="85">
        <v>126000</v>
      </c>
    </row>
    <row r="15" customHeight="1" spans="1:5">
      <c r="A15" s="10">
        <v>9</v>
      </c>
      <c r="B15" s="11" t="s">
        <v>252</v>
      </c>
      <c r="C15" s="4" t="s">
        <v>253</v>
      </c>
      <c r="D15" s="15" t="s">
        <v>254</v>
      </c>
      <c r="E15" s="85">
        <v>90000</v>
      </c>
    </row>
    <row r="16" customHeight="1" spans="1:5">
      <c r="A16" s="10">
        <v>10</v>
      </c>
      <c r="B16" s="14" t="s">
        <v>255</v>
      </c>
      <c r="C16" s="17" t="s">
        <v>256</v>
      </c>
      <c r="D16" s="15" t="s">
        <v>257</v>
      </c>
      <c r="E16" s="85">
        <v>90000</v>
      </c>
    </row>
    <row r="17" customHeight="1" spans="1:5">
      <c r="A17" s="10">
        <v>11</v>
      </c>
      <c r="B17" s="11" t="s">
        <v>258</v>
      </c>
      <c r="C17" s="4" t="s">
        <v>259</v>
      </c>
      <c r="D17" s="10" t="s">
        <v>260</v>
      </c>
      <c r="E17" s="85">
        <v>90000</v>
      </c>
    </row>
    <row r="18" customHeight="1" spans="1:5">
      <c r="A18" s="10">
        <v>12</v>
      </c>
      <c r="B18" s="11" t="s">
        <v>261</v>
      </c>
      <c r="C18" s="4" t="s">
        <v>262</v>
      </c>
      <c r="D18" s="10" t="s">
        <v>263</v>
      </c>
      <c r="E18" s="85">
        <v>90000</v>
      </c>
    </row>
    <row r="19" customHeight="1" spans="1:5">
      <c r="A19" s="10">
        <v>13</v>
      </c>
      <c r="B19" s="11" t="s">
        <v>264</v>
      </c>
      <c r="C19" s="12" t="s">
        <v>265</v>
      </c>
      <c r="D19" s="15" t="s">
        <v>266</v>
      </c>
      <c r="E19" s="85">
        <v>90000</v>
      </c>
    </row>
    <row r="20" customHeight="1" spans="1:5">
      <c r="A20" s="10">
        <v>14</v>
      </c>
      <c r="B20" s="18" t="s">
        <v>267</v>
      </c>
      <c r="C20" s="4" t="s">
        <v>268</v>
      </c>
      <c r="D20" s="15" t="s">
        <v>269</v>
      </c>
      <c r="E20" s="85">
        <v>90000</v>
      </c>
    </row>
    <row r="21" ht="18.75" customHeight="1" spans="1:5">
      <c r="A21" s="10">
        <v>15</v>
      </c>
      <c r="B21" s="11" t="s">
        <v>270</v>
      </c>
      <c r="C21" s="12" t="s">
        <v>50</v>
      </c>
      <c r="D21" s="15" t="s">
        <v>271</v>
      </c>
      <c r="E21" s="85">
        <v>68000</v>
      </c>
    </row>
    <row r="22" customHeight="1" spans="1:5">
      <c r="A22" s="10">
        <v>16</v>
      </c>
      <c r="B22" s="14" t="s">
        <v>272</v>
      </c>
      <c r="C22" s="17" t="s">
        <v>273</v>
      </c>
      <c r="D22" s="10" t="s">
        <v>41</v>
      </c>
      <c r="E22" s="85">
        <v>68000</v>
      </c>
    </row>
    <row r="23" ht="21.6" customHeight="1" spans="1:5">
      <c r="A23" s="10">
        <v>17</v>
      </c>
      <c r="B23" s="11" t="s">
        <v>274</v>
      </c>
      <c r="C23" s="17" t="s">
        <v>275</v>
      </c>
      <c r="D23" s="15" t="s">
        <v>41</v>
      </c>
      <c r="E23" s="85">
        <v>68000</v>
      </c>
    </row>
    <row r="24" customHeight="1" spans="1:5">
      <c r="A24" s="10">
        <v>18</v>
      </c>
      <c r="B24" s="14" t="s">
        <v>276</v>
      </c>
      <c r="C24" s="17" t="s">
        <v>277</v>
      </c>
      <c r="D24" s="10" t="s">
        <v>37</v>
      </c>
      <c r="E24" s="85">
        <v>68000</v>
      </c>
    </row>
    <row r="25" ht="18.75" customHeight="1" spans="1:5">
      <c r="A25" s="10">
        <v>19</v>
      </c>
      <c r="B25" s="4" t="s">
        <v>278</v>
      </c>
      <c r="C25" s="4" t="s">
        <v>176</v>
      </c>
      <c r="D25" s="10" t="s">
        <v>279</v>
      </c>
      <c r="E25" s="85">
        <v>54000</v>
      </c>
    </row>
    <row r="26" ht="18.75" customHeight="1" spans="1:5">
      <c r="A26" s="10">
        <v>20</v>
      </c>
      <c r="B26" s="18" t="s">
        <v>280</v>
      </c>
      <c r="C26" s="12" t="s">
        <v>176</v>
      </c>
      <c r="D26" s="15" t="s">
        <v>279</v>
      </c>
      <c r="E26" s="85">
        <v>54000</v>
      </c>
    </row>
    <row r="27" customHeight="1" spans="1:5">
      <c r="A27" s="10">
        <v>21</v>
      </c>
      <c r="B27" s="11" t="s">
        <v>281</v>
      </c>
      <c r="C27" s="17" t="s">
        <v>273</v>
      </c>
      <c r="D27" s="10" t="s">
        <v>279</v>
      </c>
      <c r="E27" s="85">
        <v>54000</v>
      </c>
    </row>
    <row r="28" ht="18.75" customHeight="1" spans="1:5">
      <c r="A28" s="10">
        <v>22</v>
      </c>
      <c r="B28" s="18" t="s">
        <v>282</v>
      </c>
      <c r="C28" s="12" t="s">
        <v>27</v>
      </c>
      <c r="D28" s="15" t="s">
        <v>283</v>
      </c>
      <c r="E28" s="85">
        <v>54000</v>
      </c>
    </row>
    <row r="29" ht="18.75" customHeight="1" spans="1:5">
      <c r="A29" s="10">
        <v>23</v>
      </c>
      <c r="B29" s="18" t="s">
        <v>284</v>
      </c>
      <c r="C29" s="4" t="s">
        <v>285</v>
      </c>
      <c r="D29" s="10" t="s">
        <v>24</v>
      </c>
      <c r="E29" s="85">
        <v>54000</v>
      </c>
    </row>
    <row r="30" ht="18.75" customHeight="1" spans="1:5">
      <c r="A30" s="10">
        <v>24</v>
      </c>
      <c r="B30" s="18" t="s">
        <v>286</v>
      </c>
      <c r="C30" s="4" t="s">
        <v>285</v>
      </c>
      <c r="D30" s="10" t="s">
        <v>24</v>
      </c>
      <c r="E30" s="85">
        <v>54000</v>
      </c>
    </row>
    <row r="31" ht="18.75" customHeight="1" spans="1:5">
      <c r="A31" s="10">
        <v>25</v>
      </c>
      <c r="B31" s="18" t="s">
        <v>287</v>
      </c>
      <c r="C31" s="17" t="s">
        <v>288</v>
      </c>
      <c r="D31" s="15" t="s">
        <v>279</v>
      </c>
      <c r="E31" s="85">
        <v>54000</v>
      </c>
    </row>
    <row r="32" ht="18.75" customHeight="1" spans="1:5">
      <c r="A32" s="10">
        <v>26</v>
      </c>
      <c r="B32" s="18" t="s">
        <v>289</v>
      </c>
      <c r="C32" s="4" t="s">
        <v>290</v>
      </c>
      <c r="D32" s="10" t="s">
        <v>291</v>
      </c>
      <c r="E32" s="85">
        <v>54000</v>
      </c>
    </row>
    <row r="33" ht="18.75" customHeight="1" spans="1:5">
      <c r="A33" s="10">
        <v>27</v>
      </c>
      <c r="B33" s="18" t="s">
        <v>292</v>
      </c>
      <c r="C33" s="12" t="s">
        <v>293</v>
      </c>
      <c r="D33" s="15" t="s">
        <v>294</v>
      </c>
      <c r="E33" s="85">
        <v>54000</v>
      </c>
    </row>
    <row r="34" ht="26.25" customHeight="1" spans="1:5">
      <c r="A34" s="10"/>
      <c r="B34" s="20" t="s">
        <v>33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34</v>
      </c>
      <c r="C36" s="4"/>
      <c r="D36" s="15"/>
      <c r="E36" s="85"/>
    </row>
    <row r="37" ht="18.75" customHeight="1" spans="1:5">
      <c r="A37" s="10">
        <v>1</v>
      </c>
      <c r="B37" s="18" t="s">
        <v>295</v>
      </c>
      <c r="C37" s="4" t="s">
        <v>296</v>
      </c>
      <c r="D37" s="10" t="s">
        <v>297</v>
      </c>
      <c r="E37" s="85">
        <v>270000</v>
      </c>
    </row>
    <row r="38" ht="18.75" customHeight="1" spans="1:5">
      <c r="A38" s="10">
        <v>2</v>
      </c>
      <c r="B38" s="18" t="s">
        <v>298</v>
      </c>
      <c r="C38" s="4" t="s">
        <v>537</v>
      </c>
      <c r="D38" s="10" t="s">
        <v>37</v>
      </c>
      <c r="E38" s="85">
        <v>68000</v>
      </c>
    </row>
    <row r="39" ht="18.75" customHeight="1" spans="1:5">
      <c r="A39" s="10">
        <v>3</v>
      </c>
      <c r="B39" s="11" t="s">
        <v>300</v>
      </c>
      <c r="C39" s="12" t="s">
        <v>534</v>
      </c>
      <c r="D39" s="15" t="s">
        <v>301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38</v>
      </c>
      <c r="C42" s="5"/>
      <c r="D42" s="24"/>
      <c r="E42" s="221"/>
    </row>
    <row r="43" customHeight="1" spans="1:5">
      <c r="A43" s="10">
        <v>1</v>
      </c>
      <c r="B43" s="11" t="s">
        <v>302</v>
      </c>
      <c r="C43" s="4" t="s">
        <v>303</v>
      </c>
      <c r="D43" s="10" t="s">
        <v>297</v>
      </c>
      <c r="E43" s="85">
        <v>270000</v>
      </c>
    </row>
    <row r="44" customHeight="1" spans="1:5">
      <c r="A44" s="10">
        <v>2</v>
      </c>
      <c r="B44" s="11" t="s">
        <v>304</v>
      </c>
      <c r="C44" s="4" t="s">
        <v>305</v>
      </c>
      <c r="D44" s="10" t="s">
        <v>249</v>
      </c>
      <c r="E44" s="85">
        <v>126000</v>
      </c>
    </row>
    <row r="45" customHeight="1" spans="1:5">
      <c r="A45" s="10">
        <v>3</v>
      </c>
      <c r="B45" s="11" t="s">
        <v>306</v>
      </c>
      <c r="C45" s="4" t="s">
        <v>307</v>
      </c>
      <c r="D45" s="10" t="s">
        <v>308</v>
      </c>
      <c r="E45" s="85">
        <v>180000</v>
      </c>
    </row>
    <row r="46" customHeight="1" spans="1:5">
      <c r="A46" s="10">
        <v>4</v>
      </c>
      <c r="B46" s="11" t="s">
        <v>309</v>
      </c>
      <c r="C46" s="4" t="s">
        <v>310</v>
      </c>
      <c r="D46" s="10" t="s">
        <v>249</v>
      </c>
      <c r="E46" s="85">
        <v>126000</v>
      </c>
    </row>
    <row r="47" customHeight="1" spans="1:5">
      <c r="A47" s="10">
        <v>5</v>
      </c>
      <c r="B47" s="11" t="s">
        <v>311</v>
      </c>
      <c r="C47" s="4" t="s">
        <v>310</v>
      </c>
      <c r="D47" s="10" t="s">
        <v>249</v>
      </c>
      <c r="E47" s="85">
        <v>126000</v>
      </c>
    </row>
    <row r="48" customHeight="1" spans="1:5">
      <c r="A48" s="10">
        <v>6</v>
      </c>
      <c r="B48" s="11" t="s">
        <v>312</v>
      </c>
      <c r="C48" s="4" t="s">
        <v>310</v>
      </c>
      <c r="D48" s="10" t="s">
        <v>228</v>
      </c>
      <c r="E48" s="85">
        <v>126000</v>
      </c>
    </row>
    <row r="49" customHeight="1" spans="1:5">
      <c r="A49" s="10">
        <v>7</v>
      </c>
      <c r="B49" s="14" t="s">
        <v>313</v>
      </c>
      <c r="C49" s="4" t="s">
        <v>256</v>
      </c>
      <c r="D49" s="16" t="s">
        <v>257</v>
      </c>
      <c r="E49" s="85">
        <v>90000</v>
      </c>
    </row>
    <row r="50" customHeight="1" spans="1:5">
      <c r="A50" s="10">
        <v>8</v>
      </c>
      <c r="B50" s="11" t="s">
        <v>314</v>
      </c>
      <c r="C50" s="4" t="s">
        <v>63</v>
      </c>
      <c r="D50" s="10" t="s">
        <v>301</v>
      </c>
      <c r="E50" s="85">
        <v>68000</v>
      </c>
    </row>
    <row r="51" customHeight="1" spans="1:5">
      <c r="A51" s="10">
        <v>9</v>
      </c>
      <c r="B51" s="11" t="s">
        <v>315</v>
      </c>
      <c r="C51" s="4" t="s">
        <v>63</v>
      </c>
      <c r="D51" s="10" t="s">
        <v>283</v>
      </c>
      <c r="E51" s="85">
        <v>54000</v>
      </c>
    </row>
    <row r="52" customHeight="1" spans="1:5">
      <c r="A52" s="10">
        <v>10</v>
      </c>
      <c r="B52" s="11" t="s">
        <v>316</v>
      </c>
      <c r="C52" s="4" t="s">
        <v>63</v>
      </c>
      <c r="D52" s="10" t="s">
        <v>283</v>
      </c>
      <c r="E52" s="85">
        <v>54000</v>
      </c>
    </row>
    <row r="53" customHeight="1" spans="1:5">
      <c r="A53" s="10">
        <v>11</v>
      </c>
      <c r="B53" s="11" t="s">
        <v>317</v>
      </c>
      <c r="C53" s="4" t="s">
        <v>63</v>
      </c>
      <c r="D53" s="10" t="s">
        <v>283</v>
      </c>
      <c r="E53" s="85">
        <v>54000</v>
      </c>
    </row>
    <row r="54" ht="25.5" customHeight="1" spans="1:5">
      <c r="A54" s="10"/>
      <c r="B54" s="20" t="s">
        <v>33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46"/>
    </row>
    <row r="56" customHeight="1" spans="1:5">
      <c r="A56" s="10"/>
      <c r="B56" s="20" t="s">
        <v>318</v>
      </c>
      <c r="C56" s="21"/>
      <c r="D56" s="21"/>
      <c r="E56" s="146"/>
    </row>
    <row r="57" customHeight="1" spans="1:5">
      <c r="A57" s="10">
        <v>1</v>
      </c>
      <c r="B57" s="11" t="s">
        <v>319</v>
      </c>
      <c r="C57" s="12" t="s">
        <v>320</v>
      </c>
      <c r="D57" s="15" t="s">
        <v>297</v>
      </c>
      <c r="E57" s="85">
        <v>270000</v>
      </c>
    </row>
    <row r="58" customHeight="1" spans="1:5">
      <c r="A58" s="10">
        <v>2</v>
      </c>
      <c r="B58" s="11" t="s">
        <v>321</v>
      </c>
      <c r="C58" s="12" t="s">
        <v>322</v>
      </c>
      <c r="D58" s="15" t="s">
        <v>225</v>
      </c>
      <c r="E58" s="85">
        <v>126000</v>
      </c>
    </row>
    <row r="59" customHeight="1" spans="1:5">
      <c r="A59" s="10"/>
      <c r="B59" s="20" t="s">
        <v>33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46"/>
    </row>
    <row r="61" customHeight="1" spans="1:5">
      <c r="A61" s="10"/>
      <c r="B61" s="20" t="s">
        <v>44</v>
      </c>
      <c r="C61" s="21"/>
      <c r="D61" s="21"/>
      <c r="E61" s="146"/>
    </row>
    <row r="62" customHeight="1" spans="1:5">
      <c r="A62" s="10">
        <v>1</v>
      </c>
      <c r="B62" s="11" t="s">
        <v>323</v>
      </c>
      <c r="C62" s="17" t="s">
        <v>324</v>
      </c>
      <c r="D62" s="10" t="s">
        <v>297</v>
      </c>
      <c r="E62" s="85">
        <v>270000</v>
      </c>
    </row>
    <row r="63" customHeight="1" spans="1:5">
      <c r="A63" s="10">
        <v>2</v>
      </c>
      <c r="B63" s="351" t="s">
        <v>325</v>
      </c>
      <c r="C63" s="17" t="s">
        <v>326</v>
      </c>
      <c r="D63" s="15" t="s">
        <v>327</v>
      </c>
      <c r="E63" s="85">
        <v>126000</v>
      </c>
    </row>
    <row r="64" customHeight="1" spans="1:5">
      <c r="A64" s="10">
        <v>3</v>
      </c>
      <c r="B64" s="11" t="s">
        <v>328</v>
      </c>
      <c r="C64" s="4" t="s">
        <v>256</v>
      </c>
      <c r="D64" s="10" t="s">
        <v>260</v>
      </c>
      <c r="E64" s="85">
        <v>90000</v>
      </c>
    </row>
    <row r="65" customHeight="1" spans="1:5">
      <c r="A65" s="10">
        <v>4</v>
      </c>
      <c r="B65" s="18" t="s">
        <v>329</v>
      </c>
      <c r="C65" s="17" t="s">
        <v>46</v>
      </c>
      <c r="D65" s="15" t="s">
        <v>266</v>
      </c>
      <c r="E65" s="85">
        <v>90000</v>
      </c>
    </row>
    <row r="66" customHeight="1" spans="1:5">
      <c r="A66" s="10">
        <v>5</v>
      </c>
      <c r="B66" s="14" t="s">
        <v>330</v>
      </c>
      <c r="C66" s="17" t="s">
        <v>256</v>
      </c>
      <c r="D66" s="15" t="s">
        <v>254</v>
      </c>
      <c r="E66" s="85">
        <v>90000</v>
      </c>
    </row>
    <row r="67" customHeight="1" spans="1:5">
      <c r="A67" s="10">
        <v>7</v>
      </c>
      <c r="B67" s="11" t="s">
        <v>331</v>
      </c>
      <c r="C67" s="4" t="s">
        <v>63</v>
      </c>
      <c r="D67" s="10" t="s">
        <v>332</v>
      </c>
      <c r="E67" s="85">
        <v>68000</v>
      </c>
    </row>
    <row r="68" customHeight="1" spans="1:5">
      <c r="A68" s="10">
        <v>8</v>
      </c>
      <c r="B68" s="11" t="s">
        <v>333</v>
      </c>
      <c r="C68" s="17" t="s">
        <v>275</v>
      </c>
      <c r="D68" s="10" t="s">
        <v>332</v>
      </c>
      <c r="E68" s="85">
        <v>68000</v>
      </c>
    </row>
    <row r="69" customHeight="1" spans="1:5">
      <c r="A69" s="10">
        <v>9</v>
      </c>
      <c r="B69" s="11" t="s">
        <v>334</v>
      </c>
      <c r="C69" s="17" t="s">
        <v>275</v>
      </c>
      <c r="D69" s="10" t="s">
        <v>332</v>
      </c>
      <c r="E69" s="85">
        <v>68000</v>
      </c>
    </row>
    <row r="70" customHeight="1" spans="1:5">
      <c r="A70" s="10">
        <v>10</v>
      </c>
      <c r="B70" s="11" t="s">
        <v>335</v>
      </c>
      <c r="C70" s="4" t="s">
        <v>336</v>
      </c>
      <c r="D70" s="10" t="s">
        <v>271</v>
      </c>
      <c r="E70" s="85">
        <v>68000</v>
      </c>
    </row>
    <row r="71" ht="21.6" customHeight="1" spans="1:5">
      <c r="A71" s="10">
        <v>11</v>
      </c>
      <c r="B71" s="11" t="s">
        <v>337</v>
      </c>
      <c r="C71" s="4" t="s">
        <v>63</v>
      </c>
      <c r="D71" s="10" t="s">
        <v>301</v>
      </c>
      <c r="E71" s="85">
        <v>68000</v>
      </c>
    </row>
    <row r="72" ht="27" customHeight="1" spans="1:5">
      <c r="A72" s="10"/>
      <c r="B72" s="20" t="s">
        <v>33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46"/>
    </row>
    <row r="74" customHeight="1" spans="1:5">
      <c r="A74" s="10"/>
      <c r="B74" s="20" t="s">
        <v>51</v>
      </c>
      <c r="C74" s="21"/>
      <c r="D74" s="21"/>
      <c r="E74" s="146"/>
    </row>
    <row r="75" customHeight="1" spans="1:5">
      <c r="A75" s="10">
        <v>1</v>
      </c>
      <c r="B75" s="11" t="s">
        <v>338</v>
      </c>
      <c r="C75" s="4" t="s">
        <v>339</v>
      </c>
      <c r="D75" s="10" t="s">
        <v>297</v>
      </c>
      <c r="E75" s="85">
        <v>270000</v>
      </c>
    </row>
    <row r="76" customHeight="1" spans="1:5">
      <c r="A76" s="10">
        <v>2</v>
      </c>
      <c r="B76" s="14" t="s">
        <v>220</v>
      </c>
      <c r="C76" s="4" t="s">
        <v>221</v>
      </c>
      <c r="D76" s="15" t="s">
        <v>222</v>
      </c>
      <c r="E76" s="85">
        <v>126000</v>
      </c>
    </row>
    <row r="77" customHeight="1" spans="1:5">
      <c r="A77" s="10">
        <v>3</v>
      </c>
      <c r="B77" s="18" t="s">
        <v>223</v>
      </c>
      <c r="C77" s="12" t="s">
        <v>224</v>
      </c>
      <c r="D77" s="10" t="s">
        <v>225</v>
      </c>
      <c r="E77" s="85">
        <v>126000</v>
      </c>
    </row>
    <row r="78" customHeight="1" spans="1:5">
      <c r="A78" s="10">
        <v>4</v>
      </c>
      <c r="B78" s="11" t="s">
        <v>340</v>
      </c>
      <c r="C78" s="4" t="s">
        <v>341</v>
      </c>
      <c r="D78" s="15" t="s">
        <v>342</v>
      </c>
      <c r="E78" s="85">
        <v>90000</v>
      </c>
    </row>
    <row r="79" customHeight="1" spans="1:5">
      <c r="A79" s="10">
        <v>5</v>
      </c>
      <c r="B79" s="11" t="s">
        <v>343</v>
      </c>
      <c r="C79" s="4" t="s">
        <v>344</v>
      </c>
      <c r="D79" s="10" t="s">
        <v>345</v>
      </c>
      <c r="E79" s="85">
        <v>68000</v>
      </c>
    </row>
    <row r="80" customHeight="1" spans="1:5">
      <c r="A80" s="10">
        <v>6</v>
      </c>
      <c r="B80" s="11" t="s">
        <v>346</v>
      </c>
      <c r="C80" s="4" t="s">
        <v>344</v>
      </c>
      <c r="D80" s="10" t="s">
        <v>283</v>
      </c>
      <c r="E80" s="85">
        <v>54000</v>
      </c>
    </row>
    <row r="81" customHeight="1" spans="1:5">
      <c r="A81" s="10">
        <v>7</v>
      </c>
      <c r="B81" s="11" t="s">
        <v>347</v>
      </c>
      <c r="C81" s="4" t="s">
        <v>348</v>
      </c>
      <c r="D81" s="10" t="s">
        <v>294</v>
      </c>
      <c r="E81" s="85">
        <v>54000</v>
      </c>
    </row>
    <row r="82" customHeight="1" spans="1:5">
      <c r="A82" s="10"/>
      <c r="B82" s="20" t="s">
        <v>33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46"/>
    </row>
    <row r="84" customHeight="1" spans="1:5">
      <c r="A84" s="10"/>
      <c r="B84" s="20" t="s">
        <v>56</v>
      </c>
      <c r="C84" s="25"/>
      <c r="D84" s="21"/>
      <c r="E84" s="146"/>
    </row>
    <row r="85" customHeight="1" spans="1:5">
      <c r="A85" s="10">
        <v>1</v>
      </c>
      <c r="B85" s="11" t="s">
        <v>349</v>
      </c>
      <c r="C85" s="4" t="s">
        <v>310</v>
      </c>
      <c r="D85" s="10" t="s">
        <v>249</v>
      </c>
      <c r="E85" s="85">
        <v>126000</v>
      </c>
    </row>
    <row r="86" customHeight="1" spans="1:5">
      <c r="A86" s="10">
        <v>2</v>
      </c>
      <c r="B86" s="11" t="s">
        <v>350</v>
      </c>
      <c r="C86" s="4" t="s">
        <v>310</v>
      </c>
      <c r="D86" s="10" t="s">
        <v>249</v>
      </c>
      <c r="E86" s="85">
        <v>126000</v>
      </c>
    </row>
    <row r="87" customHeight="1" spans="1:5">
      <c r="A87" s="10">
        <v>3</v>
      </c>
      <c r="B87" s="11" t="s">
        <v>351</v>
      </c>
      <c r="C87" s="4" t="s">
        <v>310</v>
      </c>
      <c r="D87" s="10" t="s">
        <v>228</v>
      </c>
      <c r="E87" s="85">
        <v>126000</v>
      </c>
    </row>
    <row r="88" ht="21.6" customHeight="1" spans="1:5">
      <c r="A88" s="10">
        <v>4</v>
      </c>
      <c r="B88" s="11" t="s">
        <v>352</v>
      </c>
      <c r="C88" s="4" t="s">
        <v>353</v>
      </c>
      <c r="D88" s="15" t="s">
        <v>263</v>
      </c>
      <c r="E88" s="85">
        <v>90000</v>
      </c>
    </row>
    <row r="89" ht="21.6" customHeight="1" spans="1:5">
      <c r="A89" s="10">
        <v>5</v>
      </c>
      <c r="B89" s="11" t="s">
        <v>354</v>
      </c>
      <c r="C89" s="12" t="s">
        <v>46</v>
      </c>
      <c r="D89" s="15" t="s">
        <v>266</v>
      </c>
      <c r="E89" s="85">
        <v>90000</v>
      </c>
    </row>
    <row r="90" ht="21.6" customHeight="1" spans="1:5">
      <c r="A90" s="10">
        <v>6</v>
      </c>
      <c r="B90" s="11" t="s">
        <v>355</v>
      </c>
      <c r="C90" s="12" t="s">
        <v>256</v>
      </c>
      <c r="D90" s="15" t="s">
        <v>356</v>
      </c>
      <c r="E90" s="85">
        <v>90000</v>
      </c>
    </row>
    <row r="91" ht="21.6" customHeight="1" spans="1:5">
      <c r="A91" s="10">
        <v>7</v>
      </c>
      <c r="B91" s="11" t="s">
        <v>357</v>
      </c>
      <c r="C91" s="17" t="s">
        <v>275</v>
      </c>
      <c r="D91" s="15" t="s">
        <v>332</v>
      </c>
      <c r="E91" s="85">
        <v>68000</v>
      </c>
    </row>
    <row r="92" ht="21.6" customHeight="1" spans="1:5">
      <c r="A92" s="10">
        <v>8</v>
      </c>
      <c r="B92" s="11" t="s">
        <v>358</v>
      </c>
      <c r="C92" s="17" t="s">
        <v>46</v>
      </c>
      <c r="D92" s="15" t="s">
        <v>47</v>
      </c>
      <c r="E92" s="85">
        <v>90000</v>
      </c>
    </row>
    <row r="93" ht="21.6" customHeight="1" spans="1:5">
      <c r="A93" s="10">
        <v>9</v>
      </c>
      <c r="B93" s="11" t="s">
        <v>359</v>
      </c>
      <c r="C93" s="4" t="s">
        <v>360</v>
      </c>
      <c r="D93" s="10" t="s">
        <v>301</v>
      </c>
      <c r="E93" s="220">
        <v>66000</v>
      </c>
    </row>
    <row r="94" ht="21.6" customHeight="1" spans="1:5">
      <c r="A94" s="10">
        <v>10</v>
      </c>
      <c r="B94" s="11" t="s">
        <v>361</v>
      </c>
      <c r="C94" s="17" t="s">
        <v>362</v>
      </c>
      <c r="D94" s="15" t="s">
        <v>291</v>
      </c>
      <c r="E94" s="220">
        <v>54000</v>
      </c>
    </row>
    <row r="95" customHeight="1" spans="1:5">
      <c r="A95" s="10"/>
      <c r="B95" s="20" t="s">
        <v>33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46"/>
    </row>
    <row r="97" customHeight="1" spans="1:5">
      <c r="A97" s="10"/>
      <c r="B97" s="20" t="s">
        <v>58</v>
      </c>
      <c r="C97" s="21"/>
      <c r="D97" s="21"/>
      <c r="E97" s="146"/>
    </row>
    <row r="98" customHeight="1" spans="1:5">
      <c r="A98" s="10">
        <v>1</v>
      </c>
      <c r="B98" s="14" t="s">
        <v>363</v>
      </c>
      <c r="C98" s="4" t="s">
        <v>364</v>
      </c>
      <c r="D98" s="16" t="s">
        <v>365</v>
      </c>
      <c r="E98" s="85">
        <v>270000</v>
      </c>
    </row>
    <row r="99" customHeight="1" spans="1:5">
      <c r="A99" s="10">
        <v>2</v>
      </c>
      <c r="B99" s="11" t="s">
        <v>366</v>
      </c>
      <c r="C99" s="4" t="s">
        <v>367</v>
      </c>
      <c r="D99" s="15" t="s">
        <v>342</v>
      </c>
      <c r="E99" s="85">
        <v>90000</v>
      </c>
    </row>
    <row r="100" customHeight="1" spans="1:5">
      <c r="A100" s="10">
        <v>3</v>
      </c>
      <c r="B100" s="11" t="s">
        <v>368</v>
      </c>
      <c r="C100" s="4" t="s">
        <v>369</v>
      </c>
      <c r="D100" s="15" t="s">
        <v>271</v>
      </c>
      <c r="E100" s="85">
        <v>68000</v>
      </c>
    </row>
    <row r="101" customHeight="1" spans="1:5">
      <c r="A101" s="10">
        <v>4</v>
      </c>
      <c r="B101" s="11" t="s">
        <v>370</v>
      </c>
      <c r="C101" s="4" t="s">
        <v>371</v>
      </c>
      <c r="D101" s="15" t="s">
        <v>301</v>
      </c>
      <c r="E101" s="85">
        <v>68000</v>
      </c>
    </row>
    <row r="102" customHeight="1" spans="1:5">
      <c r="A102" s="4"/>
      <c r="B102" s="20" t="s">
        <v>33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46"/>
    </row>
    <row r="104" customHeight="1" spans="1:5">
      <c r="A104" s="4"/>
      <c r="B104" s="20" t="s">
        <v>372</v>
      </c>
      <c r="C104" s="4"/>
      <c r="D104" s="4"/>
      <c r="E104" s="4"/>
    </row>
    <row r="105" customHeight="1" spans="1:5">
      <c r="A105" s="4">
        <v>1</v>
      </c>
      <c r="B105" s="11" t="s">
        <v>373</v>
      </c>
      <c r="C105" s="12" t="s">
        <v>374</v>
      </c>
      <c r="D105" s="15" t="s">
        <v>297</v>
      </c>
      <c r="E105" s="85">
        <v>270000</v>
      </c>
    </row>
    <row r="106" customHeight="1" spans="1:5">
      <c r="A106" s="4">
        <v>2</v>
      </c>
      <c r="B106" s="11" t="s">
        <v>375</v>
      </c>
      <c r="C106" s="4" t="s">
        <v>376</v>
      </c>
      <c r="D106" s="16" t="s">
        <v>231</v>
      </c>
      <c r="E106" s="85">
        <v>180000</v>
      </c>
    </row>
    <row r="107" customHeight="1" spans="1:5">
      <c r="A107" s="4">
        <v>3</v>
      </c>
      <c r="B107" s="11" t="s">
        <v>377</v>
      </c>
      <c r="C107" s="4" t="s">
        <v>378</v>
      </c>
      <c r="D107" s="10" t="s">
        <v>263</v>
      </c>
      <c r="E107" s="85">
        <v>90000</v>
      </c>
    </row>
    <row r="108" customHeight="1" spans="1:5">
      <c r="A108" s="4">
        <v>4</v>
      </c>
      <c r="B108" s="11" t="s">
        <v>379</v>
      </c>
      <c r="C108" s="4" t="s">
        <v>378</v>
      </c>
      <c r="D108" s="10" t="s">
        <v>263</v>
      </c>
      <c r="E108" s="85">
        <v>90000</v>
      </c>
    </row>
    <row r="109" customHeight="1" spans="1:5">
      <c r="A109" s="4">
        <v>5</v>
      </c>
      <c r="B109" s="11" t="s">
        <v>380</v>
      </c>
      <c r="C109" s="4" t="s">
        <v>381</v>
      </c>
      <c r="D109" s="15" t="s">
        <v>382</v>
      </c>
      <c r="E109" s="220">
        <v>54000</v>
      </c>
    </row>
    <row r="110" customHeight="1" spans="1:5">
      <c r="A110" s="4">
        <v>6</v>
      </c>
      <c r="B110" s="18" t="s">
        <v>383</v>
      </c>
      <c r="C110" s="4" t="s">
        <v>381</v>
      </c>
      <c r="D110" s="10" t="s">
        <v>384</v>
      </c>
      <c r="E110" s="220">
        <v>54000</v>
      </c>
    </row>
    <row r="111" customHeight="1" spans="1:5">
      <c r="A111" s="4">
        <v>7</v>
      </c>
      <c r="B111" s="18" t="s">
        <v>385</v>
      </c>
      <c r="C111" s="4" t="s">
        <v>381</v>
      </c>
      <c r="D111" s="15" t="s">
        <v>291</v>
      </c>
      <c r="E111" s="220">
        <v>54000</v>
      </c>
    </row>
    <row r="112" ht="25.5" customHeight="1" spans="1:5">
      <c r="A112" s="4"/>
      <c r="B112" s="20" t="s">
        <v>33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61</v>
      </c>
      <c r="C114" s="21"/>
      <c r="D114" s="21"/>
      <c r="E114" s="146"/>
    </row>
    <row r="115" customHeight="1" spans="1:5">
      <c r="A115" s="10">
        <v>1</v>
      </c>
      <c r="B115" s="14" t="s">
        <v>386</v>
      </c>
      <c r="C115" s="4" t="s">
        <v>310</v>
      </c>
      <c r="D115" s="10" t="s">
        <v>327</v>
      </c>
      <c r="E115" s="85">
        <v>126000</v>
      </c>
    </row>
    <row r="116" ht="18.75" customHeight="1" spans="1:5">
      <c r="A116" s="10">
        <v>2</v>
      </c>
      <c r="B116" s="11" t="s">
        <v>387</v>
      </c>
      <c r="C116" s="4" t="s">
        <v>388</v>
      </c>
      <c r="D116" s="15" t="s">
        <v>271</v>
      </c>
      <c r="E116" s="85">
        <v>68000</v>
      </c>
    </row>
    <row r="117" customHeight="1" spans="1:5">
      <c r="A117" s="10">
        <v>3</v>
      </c>
      <c r="B117" s="11" t="s">
        <v>389</v>
      </c>
      <c r="C117" s="12" t="s">
        <v>390</v>
      </c>
      <c r="D117" s="15" t="s">
        <v>391</v>
      </c>
      <c r="E117" s="85">
        <v>68000</v>
      </c>
    </row>
    <row r="118" ht="24.75" customHeight="1" spans="1:5">
      <c r="A118" s="4"/>
      <c r="B118" s="20" t="s">
        <v>33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67</v>
      </c>
      <c r="C120" s="21"/>
      <c r="D120" s="21"/>
      <c r="E120" s="146"/>
    </row>
    <row r="121" customHeight="1" spans="1:5">
      <c r="A121" s="4">
        <v>1</v>
      </c>
      <c r="B121" s="11" t="s">
        <v>392</v>
      </c>
      <c r="C121" s="12" t="s">
        <v>393</v>
      </c>
      <c r="D121" s="15" t="s">
        <v>297</v>
      </c>
      <c r="E121" s="85">
        <v>270000</v>
      </c>
    </row>
    <row r="122" customHeight="1" spans="1:5">
      <c r="A122" s="4">
        <v>2</v>
      </c>
      <c r="B122" s="11" t="s">
        <v>128</v>
      </c>
      <c r="C122" s="12" t="s">
        <v>394</v>
      </c>
      <c r="D122" s="15" t="s">
        <v>308</v>
      </c>
      <c r="E122" s="85">
        <v>180000</v>
      </c>
    </row>
    <row r="123" customHeight="1" spans="1:5">
      <c r="A123" s="4">
        <v>3</v>
      </c>
      <c r="B123" s="14" t="s">
        <v>395</v>
      </c>
      <c r="C123" s="12" t="s">
        <v>227</v>
      </c>
      <c r="D123" s="15" t="s">
        <v>249</v>
      </c>
      <c r="E123" s="85">
        <v>126000</v>
      </c>
    </row>
    <row r="124" customHeight="1" spans="1:5">
      <c r="A124" s="4">
        <v>4</v>
      </c>
      <c r="B124" s="14" t="s">
        <v>226</v>
      </c>
      <c r="C124" s="12" t="s">
        <v>227</v>
      </c>
      <c r="D124" s="15" t="s">
        <v>228</v>
      </c>
      <c r="E124" s="85">
        <v>126000</v>
      </c>
    </row>
    <row r="125" customHeight="1" spans="1:5">
      <c r="A125" s="4">
        <v>5</v>
      </c>
      <c r="B125" s="11" t="s">
        <v>396</v>
      </c>
      <c r="C125" s="12" t="s">
        <v>397</v>
      </c>
      <c r="D125" s="15" t="s">
        <v>257</v>
      </c>
      <c r="E125" s="85">
        <v>90000</v>
      </c>
    </row>
    <row r="126" customHeight="1" spans="1:5">
      <c r="A126" s="4">
        <v>6</v>
      </c>
      <c r="B126" s="11" t="s">
        <v>398</v>
      </c>
      <c r="C126" s="12" t="s">
        <v>399</v>
      </c>
      <c r="D126" s="15" t="s">
        <v>260</v>
      </c>
      <c r="E126" s="85">
        <v>90000</v>
      </c>
    </row>
    <row r="127" customHeight="1" spans="1:5">
      <c r="A127" s="4">
        <v>7</v>
      </c>
      <c r="B127" s="11" t="s">
        <v>400</v>
      </c>
      <c r="C127" s="12" t="s">
        <v>397</v>
      </c>
      <c r="D127" s="15" t="s">
        <v>342</v>
      </c>
      <c r="E127" s="85">
        <v>90000</v>
      </c>
    </row>
    <row r="128" customHeight="1" spans="1:5">
      <c r="A128" s="4">
        <v>8</v>
      </c>
      <c r="B128" s="11" t="s">
        <v>401</v>
      </c>
      <c r="C128" s="12" t="s">
        <v>402</v>
      </c>
      <c r="D128" s="10" t="s">
        <v>279</v>
      </c>
      <c r="E128" s="85">
        <v>54000</v>
      </c>
    </row>
    <row r="129" customHeight="1" spans="1:5">
      <c r="A129" s="4">
        <v>9</v>
      </c>
      <c r="B129" s="18" t="s">
        <v>403</v>
      </c>
      <c r="C129" s="12" t="s">
        <v>404</v>
      </c>
      <c r="D129" s="15" t="s">
        <v>294</v>
      </c>
      <c r="E129" s="85">
        <v>54000</v>
      </c>
    </row>
    <row r="130" customHeight="1" spans="1:5">
      <c r="A130" s="4">
        <v>10</v>
      </c>
      <c r="B130" s="18" t="s">
        <v>405</v>
      </c>
      <c r="C130" s="12" t="s">
        <v>69</v>
      </c>
      <c r="D130" s="15" t="s">
        <v>294</v>
      </c>
      <c r="E130" s="85">
        <v>54000</v>
      </c>
    </row>
    <row r="131" ht="28.5" customHeight="1" spans="1:5">
      <c r="A131" s="4"/>
      <c r="B131" s="20" t="s">
        <v>33</v>
      </c>
      <c r="C131" s="26" t="s">
        <v>406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46"/>
    </row>
    <row r="133" customHeight="1" spans="1:5">
      <c r="A133" s="4"/>
      <c r="B133" s="20" t="s">
        <v>71</v>
      </c>
      <c r="C133" s="12"/>
      <c r="D133" s="15"/>
      <c r="E133" s="85"/>
    </row>
    <row r="134" customHeight="1" spans="1:5">
      <c r="A134" s="27">
        <v>1</v>
      </c>
      <c r="B134" s="11" t="s">
        <v>407</v>
      </c>
      <c r="C134" s="12" t="s">
        <v>408</v>
      </c>
      <c r="D134" s="15" t="s">
        <v>297</v>
      </c>
      <c r="E134" s="85">
        <v>270000</v>
      </c>
    </row>
    <row r="135" customHeight="1" spans="1:5">
      <c r="A135" s="27">
        <v>2</v>
      </c>
      <c r="B135" s="11" t="s">
        <v>229</v>
      </c>
      <c r="C135" s="12" t="s">
        <v>230</v>
      </c>
      <c r="D135" s="15" t="s">
        <v>231</v>
      </c>
      <c r="E135" s="85">
        <v>180000</v>
      </c>
    </row>
    <row r="136" customHeight="1" spans="1:5">
      <c r="A136" s="27">
        <v>3</v>
      </c>
      <c r="B136" s="14" t="s">
        <v>409</v>
      </c>
      <c r="C136" s="4" t="s">
        <v>410</v>
      </c>
      <c r="D136" s="16" t="s">
        <v>231</v>
      </c>
      <c r="E136" s="85">
        <v>180000</v>
      </c>
    </row>
    <row r="137" customHeight="1" spans="1:5">
      <c r="A137" s="27">
        <v>4</v>
      </c>
      <c r="B137" s="11" t="s">
        <v>411</v>
      </c>
      <c r="C137" s="12" t="s">
        <v>412</v>
      </c>
      <c r="D137" s="15" t="s">
        <v>254</v>
      </c>
      <c r="E137" s="85">
        <v>90000</v>
      </c>
    </row>
    <row r="138" customHeight="1" spans="1:5">
      <c r="A138" s="27">
        <v>5</v>
      </c>
      <c r="B138" s="11" t="s">
        <v>413</v>
      </c>
      <c r="C138" s="4" t="s">
        <v>414</v>
      </c>
      <c r="D138" s="15" t="s">
        <v>254</v>
      </c>
      <c r="E138" s="85">
        <v>90000</v>
      </c>
    </row>
    <row r="139" customHeight="1" spans="1:5">
      <c r="A139" s="27">
        <v>6</v>
      </c>
      <c r="B139" s="11" t="s">
        <v>415</v>
      </c>
      <c r="C139" s="4" t="s">
        <v>414</v>
      </c>
      <c r="D139" s="15" t="s">
        <v>254</v>
      </c>
      <c r="E139" s="85">
        <v>90000</v>
      </c>
    </row>
    <row r="140" customHeight="1" spans="1:5">
      <c r="A140" s="27">
        <v>7</v>
      </c>
      <c r="B140" s="11" t="s">
        <v>416</v>
      </c>
      <c r="C140" s="12" t="s">
        <v>417</v>
      </c>
      <c r="D140" s="15" t="s">
        <v>391</v>
      </c>
      <c r="E140" s="85">
        <v>68000</v>
      </c>
    </row>
    <row r="141" customHeight="1" spans="1:5">
      <c r="A141" s="27">
        <v>8</v>
      </c>
      <c r="B141" s="11" t="s">
        <v>418</v>
      </c>
      <c r="C141" s="12" t="s">
        <v>417</v>
      </c>
      <c r="D141" s="15" t="s">
        <v>391</v>
      </c>
      <c r="E141" s="85">
        <v>68000</v>
      </c>
    </row>
    <row r="142" customHeight="1" spans="1:5">
      <c r="A142" s="27">
        <v>9</v>
      </c>
      <c r="B142" s="11" t="s">
        <v>419</v>
      </c>
      <c r="C142" s="4" t="s">
        <v>420</v>
      </c>
      <c r="D142" s="15" t="s">
        <v>391</v>
      </c>
      <c r="E142" s="85">
        <v>68000</v>
      </c>
    </row>
    <row r="143" customHeight="1" spans="1:5">
      <c r="A143" s="27">
        <v>10</v>
      </c>
      <c r="B143" s="11" t="s">
        <v>421</v>
      </c>
      <c r="C143" s="12" t="s">
        <v>422</v>
      </c>
      <c r="D143" s="15" t="s">
        <v>271</v>
      </c>
      <c r="E143" s="85">
        <v>68000</v>
      </c>
    </row>
    <row r="144" customHeight="1" spans="1:5">
      <c r="A144" s="27">
        <v>11</v>
      </c>
      <c r="B144" s="11" t="s">
        <v>423</v>
      </c>
      <c r="C144" s="12" t="s">
        <v>424</v>
      </c>
      <c r="D144" s="15" t="s">
        <v>332</v>
      </c>
      <c r="E144" s="85">
        <v>68000</v>
      </c>
    </row>
    <row r="145" customHeight="1" spans="1:5">
      <c r="A145" s="27">
        <v>12</v>
      </c>
      <c r="B145" s="11" t="s">
        <v>425</v>
      </c>
      <c r="C145" s="12" t="s">
        <v>426</v>
      </c>
      <c r="D145" s="15" t="s">
        <v>391</v>
      </c>
      <c r="E145" s="85">
        <v>68000</v>
      </c>
    </row>
    <row r="146" customHeight="1" spans="1:5">
      <c r="A146" s="27">
        <v>13</v>
      </c>
      <c r="B146" s="18" t="s">
        <v>427</v>
      </c>
      <c r="C146" s="4" t="s">
        <v>428</v>
      </c>
      <c r="D146" s="15" t="s">
        <v>41</v>
      </c>
      <c r="E146" s="85">
        <v>68000</v>
      </c>
    </row>
    <row r="147" customHeight="1" spans="1:5">
      <c r="A147" s="27">
        <v>14</v>
      </c>
      <c r="B147" s="11" t="s">
        <v>429</v>
      </c>
      <c r="C147" s="4" t="s">
        <v>430</v>
      </c>
      <c r="D147" s="15" t="s">
        <v>345</v>
      </c>
      <c r="E147" s="85">
        <v>68000</v>
      </c>
    </row>
    <row r="148" customHeight="1" spans="1:5">
      <c r="A148" s="27">
        <v>15</v>
      </c>
      <c r="B148" s="11" t="s">
        <v>431</v>
      </c>
      <c r="C148" s="4" t="s">
        <v>430</v>
      </c>
      <c r="D148" s="15" t="s">
        <v>432</v>
      </c>
      <c r="E148" s="85">
        <v>68000</v>
      </c>
    </row>
    <row r="149" customHeight="1" spans="1:5">
      <c r="A149" s="27">
        <v>16</v>
      </c>
      <c r="B149" s="11" t="s">
        <v>433</v>
      </c>
      <c r="C149" s="4" t="s">
        <v>430</v>
      </c>
      <c r="D149" s="15" t="s">
        <v>432</v>
      </c>
      <c r="E149" s="85">
        <v>68000</v>
      </c>
    </row>
    <row r="150" customHeight="1" spans="1:5">
      <c r="A150" s="27">
        <v>17</v>
      </c>
      <c r="B150" s="11" t="s">
        <v>434</v>
      </c>
      <c r="C150" s="12" t="s">
        <v>435</v>
      </c>
      <c r="D150" s="15" t="s">
        <v>301</v>
      </c>
      <c r="E150" s="85">
        <v>68000</v>
      </c>
    </row>
    <row r="151" customHeight="1" spans="1:5">
      <c r="A151" s="27">
        <v>18</v>
      </c>
      <c r="B151" s="11" t="s">
        <v>436</v>
      </c>
      <c r="C151" s="12" t="s">
        <v>437</v>
      </c>
      <c r="D151" s="10" t="s">
        <v>283</v>
      </c>
      <c r="E151" s="85">
        <v>54000</v>
      </c>
    </row>
    <row r="152" customHeight="1" spans="1:5">
      <c r="A152" s="27">
        <v>19</v>
      </c>
      <c r="B152" s="11" t="s">
        <v>438</v>
      </c>
      <c r="C152" s="12" t="s">
        <v>439</v>
      </c>
      <c r="D152" s="15" t="s">
        <v>345</v>
      </c>
      <c r="E152" s="220">
        <v>68000</v>
      </c>
    </row>
    <row r="153" customHeight="1" spans="1:5">
      <c r="A153" s="27">
        <v>20</v>
      </c>
      <c r="B153" s="11" t="s">
        <v>440</v>
      </c>
      <c r="C153" s="12" t="s">
        <v>441</v>
      </c>
      <c r="D153" s="15" t="s">
        <v>279</v>
      </c>
      <c r="E153" s="220">
        <v>54000</v>
      </c>
    </row>
    <row r="154" customHeight="1" spans="1:5">
      <c r="A154" s="27">
        <v>21</v>
      </c>
      <c r="B154" s="11" t="s">
        <v>442</v>
      </c>
      <c r="C154" s="12" t="s">
        <v>443</v>
      </c>
      <c r="D154" s="15" t="s">
        <v>345</v>
      </c>
      <c r="E154" s="220">
        <v>68000</v>
      </c>
    </row>
    <row r="155" customHeight="1" spans="1:5">
      <c r="A155" s="27">
        <v>22</v>
      </c>
      <c r="B155" s="11" t="s">
        <v>444</v>
      </c>
      <c r="C155" s="12" t="s">
        <v>445</v>
      </c>
      <c r="D155" s="15" t="s">
        <v>279</v>
      </c>
      <c r="E155" s="220">
        <v>54000</v>
      </c>
    </row>
    <row r="156" customHeight="1" spans="1:5">
      <c r="A156" s="27">
        <v>23</v>
      </c>
      <c r="B156" s="18" t="s">
        <v>446</v>
      </c>
      <c r="C156" s="12" t="s">
        <v>447</v>
      </c>
      <c r="D156" s="15" t="s">
        <v>24</v>
      </c>
      <c r="E156" s="220">
        <v>54000</v>
      </c>
    </row>
    <row r="157" customHeight="1" spans="1:5">
      <c r="A157" s="27">
        <v>24</v>
      </c>
      <c r="B157" s="18" t="s">
        <v>448</v>
      </c>
      <c r="C157" s="12" t="s">
        <v>449</v>
      </c>
      <c r="D157" s="15" t="s">
        <v>294</v>
      </c>
      <c r="E157" s="220">
        <v>54000</v>
      </c>
    </row>
    <row r="158" customHeight="1" spans="1:5">
      <c r="A158" s="27">
        <v>25</v>
      </c>
      <c r="B158" s="18" t="s">
        <v>450</v>
      </c>
      <c r="C158" s="12" t="s">
        <v>451</v>
      </c>
      <c r="D158" s="15" t="s">
        <v>294</v>
      </c>
      <c r="E158" s="220">
        <v>54000</v>
      </c>
    </row>
    <row r="159" customHeight="1" spans="1:5">
      <c r="A159" s="27">
        <v>26</v>
      </c>
      <c r="B159" s="18" t="s">
        <v>452</v>
      </c>
      <c r="C159" s="12" t="s">
        <v>453</v>
      </c>
      <c r="D159" s="15" t="s">
        <v>294</v>
      </c>
      <c r="E159" s="220">
        <v>54000</v>
      </c>
    </row>
    <row r="160" customHeight="1" spans="1:5">
      <c r="A160" s="27">
        <v>27</v>
      </c>
      <c r="B160" s="18" t="s">
        <v>454</v>
      </c>
      <c r="C160" s="12" t="s">
        <v>455</v>
      </c>
      <c r="D160" s="15" t="s">
        <v>291</v>
      </c>
      <c r="E160" s="220">
        <v>54000</v>
      </c>
    </row>
    <row r="161" customHeight="1" spans="1:5">
      <c r="A161" s="27">
        <v>28</v>
      </c>
      <c r="B161" s="18" t="s">
        <v>456</v>
      </c>
      <c r="C161" s="12" t="s">
        <v>451</v>
      </c>
      <c r="D161" s="15" t="s">
        <v>294</v>
      </c>
      <c r="E161" s="220">
        <v>54000</v>
      </c>
    </row>
    <row r="162" customHeight="1" spans="1:5">
      <c r="A162" s="27">
        <v>29</v>
      </c>
      <c r="B162" s="11" t="s">
        <v>457</v>
      </c>
      <c r="C162" s="12" t="s">
        <v>458</v>
      </c>
      <c r="D162" s="15" t="s">
        <v>459</v>
      </c>
      <c r="E162" s="226">
        <v>36000</v>
      </c>
    </row>
    <row r="163" customHeight="1" spans="1:5">
      <c r="A163" s="27">
        <v>30</v>
      </c>
      <c r="B163" s="11" t="s">
        <v>460</v>
      </c>
      <c r="C163" s="12" t="s">
        <v>458</v>
      </c>
      <c r="D163" s="15" t="s">
        <v>459</v>
      </c>
      <c r="E163" s="226">
        <v>36000</v>
      </c>
    </row>
    <row r="164" customHeight="1" spans="1:5">
      <c r="A164" s="27">
        <v>31</v>
      </c>
      <c r="B164" s="11" t="s">
        <v>461</v>
      </c>
      <c r="C164" s="12" t="s">
        <v>458</v>
      </c>
      <c r="D164" s="15" t="s">
        <v>459</v>
      </c>
      <c r="E164" s="226">
        <v>36000</v>
      </c>
    </row>
    <row r="165" customHeight="1" spans="1:5">
      <c r="A165" s="27">
        <v>32</v>
      </c>
      <c r="B165" s="11" t="s">
        <v>462</v>
      </c>
      <c r="C165" s="12" t="s">
        <v>458</v>
      </c>
      <c r="D165" s="15" t="s">
        <v>459</v>
      </c>
      <c r="E165" s="226">
        <v>36000</v>
      </c>
    </row>
    <row r="166" customHeight="1" spans="1:5">
      <c r="A166" s="27">
        <v>33</v>
      </c>
      <c r="B166" s="11" t="s">
        <v>463</v>
      </c>
      <c r="C166" s="12" t="s">
        <v>458</v>
      </c>
      <c r="D166" s="15" t="s">
        <v>459</v>
      </c>
      <c r="E166" s="226">
        <v>36000</v>
      </c>
    </row>
    <row r="167" customHeight="1" spans="1:5">
      <c r="A167" s="27">
        <v>34</v>
      </c>
      <c r="B167" s="11" t="s">
        <v>464</v>
      </c>
      <c r="C167" s="12" t="s">
        <v>458</v>
      </c>
      <c r="D167" s="15" t="s">
        <v>465</v>
      </c>
      <c r="E167" s="226">
        <v>36000</v>
      </c>
    </row>
    <row r="168" customHeight="1" spans="1:5">
      <c r="A168" s="27">
        <v>35</v>
      </c>
      <c r="B168" s="11" t="s">
        <v>466</v>
      </c>
      <c r="C168" s="12" t="s">
        <v>458</v>
      </c>
      <c r="D168" s="15" t="s">
        <v>465</v>
      </c>
      <c r="E168" s="226">
        <v>36000</v>
      </c>
    </row>
    <row r="169" customHeight="1" spans="1:5">
      <c r="A169" s="27">
        <v>36</v>
      </c>
      <c r="B169" s="14" t="s">
        <v>467</v>
      </c>
      <c r="C169" s="12" t="s">
        <v>458</v>
      </c>
      <c r="D169" s="15" t="s">
        <v>465</v>
      </c>
      <c r="E169" s="226">
        <v>36000</v>
      </c>
    </row>
    <row r="170" customHeight="1" spans="1:5">
      <c r="A170" s="27">
        <v>37</v>
      </c>
      <c r="B170" s="11" t="s">
        <v>468</v>
      </c>
      <c r="C170" s="12" t="s">
        <v>458</v>
      </c>
      <c r="D170" s="15" t="s">
        <v>465</v>
      </c>
      <c r="E170" s="226">
        <v>36000</v>
      </c>
    </row>
    <row r="171" customHeight="1" spans="1:5">
      <c r="A171" s="27">
        <v>38</v>
      </c>
      <c r="B171" s="18" t="s">
        <v>469</v>
      </c>
      <c r="C171" s="12" t="s">
        <v>458</v>
      </c>
      <c r="D171" s="15" t="s">
        <v>465</v>
      </c>
      <c r="E171" s="226">
        <v>36000</v>
      </c>
    </row>
    <row r="172" customHeight="1" spans="1:5">
      <c r="A172" s="27">
        <v>39</v>
      </c>
      <c r="B172" s="18" t="s">
        <v>470</v>
      </c>
      <c r="C172" s="12" t="s">
        <v>458</v>
      </c>
      <c r="D172" s="15" t="s">
        <v>465</v>
      </c>
      <c r="E172" s="226">
        <v>36000</v>
      </c>
    </row>
    <row r="173" customHeight="1" spans="1:5">
      <c r="A173" s="27">
        <v>40</v>
      </c>
      <c r="B173" s="11" t="s">
        <v>471</v>
      </c>
      <c r="C173" s="12" t="s">
        <v>472</v>
      </c>
      <c r="D173" s="15" t="s">
        <v>473</v>
      </c>
      <c r="E173" s="226">
        <v>36000</v>
      </c>
    </row>
    <row r="174" customHeight="1" spans="1:5">
      <c r="A174" s="27">
        <v>41</v>
      </c>
      <c r="B174" s="11" t="s">
        <v>474</v>
      </c>
      <c r="C174" s="12" t="s">
        <v>472</v>
      </c>
      <c r="D174" s="15" t="s">
        <v>473</v>
      </c>
      <c r="E174" s="226">
        <v>36000</v>
      </c>
    </row>
    <row r="175" customHeight="1" spans="1:5">
      <c r="A175" s="27">
        <v>42</v>
      </c>
      <c r="B175" s="18" t="s">
        <v>475</v>
      </c>
      <c r="C175" s="12" t="s">
        <v>472</v>
      </c>
      <c r="D175" s="15" t="s">
        <v>476</v>
      </c>
      <c r="E175" s="226">
        <v>36000</v>
      </c>
    </row>
    <row r="176" customHeight="1" spans="1:5">
      <c r="A176" s="27">
        <v>43</v>
      </c>
      <c r="B176" s="11" t="s">
        <v>477</v>
      </c>
      <c r="C176" s="12" t="s">
        <v>478</v>
      </c>
      <c r="D176" s="15" t="s">
        <v>479</v>
      </c>
      <c r="E176" s="85">
        <v>36000</v>
      </c>
    </row>
    <row r="177" customHeight="1" spans="1:5">
      <c r="A177" s="27">
        <v>44</v>
      </c>
      <c r="B177" s="11" t="s">
        <v>480</v>
      </c>
      <c r="C177" s="12" t="s">
        <v>481</v>
      </c>
      <c r="D177" s="15" t="s">
        <v>482</v>
      </c>
      <c r="E177" s="85">
        <v>36000</v>
      </c>
    </row>
    <row r="178" customHeight="1" spans="1:5">
      <c r="A178" s="27">
        <v>45</v>
      </c>
      <c r="B178" s="11" t="s">
        <v>483</v>
      </c>
      <c r="C178" s="12" t="s">
        <v>481</v>
      </c>
      <c r="D178" s="15" t="s">
        <v>482</v>
      </c>
      <c r="E178" s="85">
        <v>36000</v>
      </c>
    </row>
    <row r="179" customHeight="1" spans="1:5">
      <c r="A179" s="27">
        <v>46</v>
      </c>
      <c r="B179" s="11" t="s">
        <v>484</v>
      </c>
      <c r="C179" s="12" t="s">
        <v>481</v>
      </c>
      <c r="D179" s="15" t="s">
        <v>482</v>
      </c>
      <c r="E179" s="85">
        <v>36000</v>
      </c>
    </row>
    <row r="180" customHeight="1" spans="1:5">
      <c r="A180" s="27">
        <v>47</v>
      </c>
      <c r="B180" s="11" t="s">
        <v>485</v>
      </c>
      <c r="C180" s="12" t="s">
        <v>481</v>
      </c>
      <c r="D180" s="15" t="s">
        <v>482</v>
      </c>
      <c r="E180" s="85">
        <v>36000</v>
      </c>
    </row>
    <row r="181" customHeight="1" spans="1:5">
      <c r="A181" s="27">
        <v>48</v>
      </c>
      <c r="B181" s="11" t="s">
        <v>486</v>
      </c>
      <c r="C181" s="12" t="s">
        <v>481</v>
      </c>
      <c r="D181" s="15" t="s">
        <v>482</v>
      </c>
      <c r="E181" s="85">
        <v>36000</v>
      </c>
    </row>
    <row r="182" customHeight="1" spans="1:5">
      <c r="A182" s="27">
        <v>49</v>
      </c>
      <c r="B182" s="18" t="s">
        <v>487</v>
      </c>
      <c r="C182" s="12" t="s">
        <v>481</v>
      </c>
      <c r="D182" s="15" t="s">
        <v>482</v>
      </c>
      <c r="E182" s="85">
        <v>36000</v>
      </c>
    </row>
    <row r="183" customHeight="1" spans="1:5">
      <c r="A183" s="27">
        <v>50</v>
      </c>
      <c r="B183" s="18" t="s">
        <v>488</v>
      </c>
      <c r="C183" s="12" t="s">
        <v>481</v>
      </c>
      <c r="D183" s="15" t="s">
        <v>482</v>
      </c>
      <c r="E183" s="85">
        <v>36000</v>
      </c>
    </row>
    <row r="184" customHeight="1" spans="1:5">
      <c r="A184" s="27">
        <v>51</v>
      </c>
      <c r="B184" s="11" t="s">
        <v>489</v>
      </c>
      <c r="C184" s="12" t="s">
        <v>478</v>
      </c>
      <c r="D184" s="15" t="s">
        <v>482</v>
      </c>
      <c r="E184" s="85">
        <v>36000</v>
      </c>
    </row>
    <row r="185" customHeight="1" spans="1:5">
      <c r="A185" s="27">
        <v>52</v>
      </c>
      <c r="B185" s="11" t="s">
        <v>490</v>
      </c>
      <c r="C185" s="12" t="s">
        <v>478</v>
      </c>
      <c r="D185" s="15" t="s">
        <v>482</v>
      </c>
      <c r="E185" s="85">
        <v>36000</v>
      </c>
    </row>
    <row r="186" customHeight="1" spans="1:5">
      <c r="A186" s="27">
        <v>53</v>
      </c>
      <c r="B186" s="18" t="s">
        <v>491</v>
      </c>
      <c r="C186" s="12" t="s">
        <v>172</v>
      </c>
      <c r="D186" s="15" t="s">
        <v>492</v>
      </c>
      <c r="E186" s="85">
        <v>36000</v>
      </c>
    </row>
    <row r="187" customHeight="1" spans="1:5">
      <c r="A187" s="27">
        <v>54</v>
      </c>
      <c r="B187" s="18" t="s">
        <v>493</v>
      </c>
      <c r="C187" s="12" t="s">
        <v>481</v>
      </c>
      <c r="D187" s="15" t="s">
        <v>494</v>
      </c>
      <c r="E187" s="85">
        <v>36000</v>
      </c>
    </row>
    <row r="188" customHeight="1" spans="1:5">
      <c r="A188" s="27">
        <v>55</v>
      </c>
      <c r="B188" s="18" t="s">
        <v>495</v>
      </c>
      <c r="C188" s="12" t="s">
        <v>496</v>
      </c>
      <c r="D188" s="15" t="s">
        <v>497</v>
      </c>
      <c r="E188" s="85">
        <v>36000</v>
      </c>
    </row>
    <row r="189" customHeight="1" spans="1:5">
      <c r="A189" s="27">
        <v>56</v>
      </c>
      <c r="B189" s="18" t="s">
        <v>498</v>
      </c>
      <c r="C189" s="12" t="s">
        <v>496</v>
      </c>
      <c r="D189" s="15" t="s">
        <v>497</v>
      </c>
      <c r="E189" s="85">
        <v>36000</v>
      </c>
    </row>
    <row r="190" customHeight="1" spans="1:5">
      <c r="A190" s="27">
        <v>57</v>
      </c>
      <c r="B190" s="18" t="s">
        <v>499</v>
      </c>
      <c r="C190" s="12" t="s">
        <v>496</v>
      </c>
      <c r="D190" s="15" t="s">
        <v>497</v>
      </c>
      <c r="E190" s="85">
        <v>36000</v>
      </c>
    </row>
    <row r="191" customHeight="1" spans="1:5">
      <c r="A191" s="27">
        <v>58</v>
      </c>
      <c r="B191" s="18" t="s">
        <v>500</v>
      </c>
      <c r="C191" s="12" t="s">
        <v>501</v>
      </c>
      <c r="D191" s="15" t="s">
        <v>502</v>
      </c>
      <c r="E191" s="85">
        <v>36000</v>
      </c>
    </row>
    <row r="192" customHeight="1" spans="1:5">
      <c r="A192" s="27">
        <v>59</v>
      </c>
      <c r="B192" s="18" t="s">
        <v>503</v>
      </c>
      <c r="C192" s="12" t="s">
        <v>501</v>
      </c>
      <c r="D192" s="15" t="s">
        <v>502</v>
      </c>
      <c r="E192" s="85">
        <v>36000</v>
      </c>
    </row>
    <row r="193" ht="30.75" customHeight="1" spans="1:5">
      <c r="A193" s="27"/>
      <c r="B193" s="8" t="s">
        <v>33</v>
      </c>
      <c r="C193" s="28" t="s">
        <v>504</v>
      </c>
      <c r="D193" s="29"/>
      <c r="E193" s="93">
        <f>SUM(E134:E192)</f>
        <v>3386000</v>
      </c>
    </row>
    <row r="194" ht="42.75" customHeight="1" spans="1:5">
      <c r="A194" s="4"/>
      <c r="B194" s="30" t="s">
        <v>80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2:5">
      <c r="B195" s="33"/>
      <c r="D195" s="34"/>
      <c r="E195" s="34"/>
    </row>
    <row r="196" ht="36.75" customHeight="1" spans="2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538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195</v>
      </c>
      <c r="F4" s="218" t="s">
        <v>539</v>
      </c>
      <c r="G4" s="218" t="s">
        <v>540</v>
      </c>
      <c r="H4" s="218" t="s">
        <v>541</v>
      </c>
      <c r="I4" s="218" t="s">
        <v>8</v>
      </c>
      <c r="J4" s="505" t="s">
        <v>542</v>
      </c>
      <c r="K4" s="505" t="s">
        <v>543</v>
      </c>
      <c r="L4" s="505" t="s">
        <v>544</v>
      </c>
      <c r="M4" s="506" t="s">
        <v>545</v>
      </c>
      <c r="N4" s="568" t="s">
        <v>546</v>
      </c>
      <c r="O4" s="568" t="s">
        <v>547</v>
      </c>
      <c r="P4" s="569"/>
      <c r="Q4" s="587" t="s">
        <v>548</v>
      </c>
    </row>
    <row r="5" ht="17.25" customHeight="1" spans="3:17">
      <c r="C5" s="8"/>
      <c r="D5" s="8"/>
      <c r="L5" s="369" t="s">
        <v>549</v>
      </c>
      <c r="O5" s="570" t="s">
        <v>550</v>
      </c>
      <c r="P5" s="571"/>
      <c r="Q5" s="369" t="s">
        <v>551</v>
      </c>
    </row>
    <row r="6" ht="20.1" customHeight="1" spans="1:17">
      <c r="A6" s="9" t="s">
        <v>20</v>
      </c>
      <c r="B6" s="8" t="s">
        <v>21</v>
      </c>
      <c r="C6" s="8"/>
      <c r="D6" s="8"/>
      <c r="E6" s="82" t="s">
        <v>19</v>
      </c>
      <c r="F6" s="82" t="s">
        <v>19</v>
      </c>
      <c r="G6" s="82" t="s">
        <v>19</v>
      </c>
      <c r="H6" s="82" t="s">
        <v>19</v>
      </c>
      <c r="I6" s="82" t="s">
        <v>19</v>
      </c>
      <c r="J6" s="82" t="s">
        <v>19</v>
      </c>
      <c r="K6" s="82" t="s">
        <v>19</v>
      </c>
      <c r="L6" s="82" t="s">
        <v>19</v>
      </c>
      <c r="M6" s="82" t="s">
        <v>19</v>
      </c>
      <c r="N6" s="572" t="s">
        <v>19</v>
      </c>
      <c r="O6" s="572" t="s">
        <v>19</v>
      </c>
      <c r="P6" s="573"/>
      <c r="Q6" s="588" t="s">
        <v>19</v>
      </c>
    </row>
    <row r="7" ht="20.1" customHeight="1" spans="1:17">
      <c r="A7" s="10">
        <v>1</v>
      </c>
      <c r="B7" s="11" t="s">
        <v>236</v>
      </c>
      <c r="C7" s="12" t="s">
        <v>237</v>
      </c>
      <c r="D7" s="12" t="s">
        <v>238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4">
        <v>201165.835946667</v>
      </c>
      <c r="O7" s="575">
        <f>M7-N7</f>
        <v>149018.174784</v>
      </c>
      <c r="P7" s="576"/>
      <c r="Q7" s="589">
        <f>L7-O7</f>
        <v>627118.152216</v>
      </c>
    </row>
    <row r="8" ht="20.1" customHeight="1" spans="1:17">
      <c r="A8" s="10">
        <v>2</v>
      </c>
      <c r="B8" s="11" t="s">
        <v>239</v>
      </c>
      <c r="C8" s="12" t="s">
        <v>240</v>
      </c>
      <c r="D8" s="10" t="s">
        <v>234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4">
        <v>82627.9514186667</v>
      </c>
      <c r="O8" s="575">
        <f t="shared" ref="O8:O33" si="2">M8-N8</f>
        <v>47984.3114080003</v>
      </c>
      <c r="P8" s="576"/>
      <c r="Q8" s="589">
        <f t="shared" ref="Q8:Q33" si="3">L8-O8</f>
        <v>262923.830508667</v>
      </c>
    </row>
    <row r="9" ht="20.1" customHeight="1" spans="1:17">
      <c r="A9" s="10">
        <v>3</v>
      </c>
      <c r="B9" s="14" t="s">
        <v>241</v>
      </c>
      <c r="C9" s="4" t="s">
        <v>242</v>
      </c>
      <c r="D9" s="10" t="s">
        <v>234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4">
        <v>121027.951418667</v>
      </c>
      <c r="O9" s="575">
        <f t="shared" si="2"/>
        <v>59694.363248</v>
      </c>
      <c r="P9" s="576"/>
      <c r="Q9" s="589">
        <f t="shared" si="3"/>
        <v>251213.778668667</v>
      </c>
    </row>
    <row r="10" ht="20.1" customHeight="1" spans="1:17">
      <c r="A10" s="10">
        <v>4</v>
      </c>
      <c r="B10" s="11" t="s">
        <v>243</v>
      </c>
      <c r="C10" s="17" t="s">
        <v>244</v>
      </c>
      <c r="D10" s="10" t="s">
        <v>234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4">
        <v>99703.2162026667</v>
      </c>
      <c r="O10" s="575">
        <f t="shared" si="2"/>
        <v>47984.3114080003</v>
      </c>
      <c r="P10" s="576"/>
      <c r="Q10" s="589">
        <f t="shared" si="3"/>
        <v>262923.830508667</v>
      </c>
    </row>
    <row r="11" ht="20.1" customHeight="1" spans="1:17">
      <c r="A11" s="10">
        <v>5</v>
      </c>
      <c r="B11" s="14" t="s">
        <v>245</v>
      </c>
      <c r="C11" s="4" t="s">
        <v>530</v>
      </c>
      <c r="D11" s="10" t="s">
        <v>234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4">
        <v>111223.216202667</v>
      </c>
      <c r="O11" s="575">
        <f t="shared" si="2"/>
        <v>47984.311408</v>
      </c>
      <c r="P11" s="576"/>
      <c r="Q11" s="589">
        <f t="shared" si="3"/>
        <v>262923.830508667</v>
      </c>
    </row>
    <row r="12" ht="20.1" customHeight="1" spans="1:17">
      <c r="A12" s="10">
        <v>6</v>
      </c>
      <c r="B12" s="18" t="s">
        <v>232</v>
      </c>
      <c r="C12" s="10" t="s">
        <v>233</v>
      </c>
      <c r="D12" s="10" t="s">
        <v>234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4">
        <v>101827.951418667</v>
      </c>
      <c r="O12" s="575">
        <f t="shared" si="2"/>
        <v>59694.363248</v>
      </c>
      <c r="P12" s="576"/>
      <c r="Q12" s="589">
        <f t="shared" si="3"/>
        <v>251213.778668667</v>
      </c>
    </row>
    <row r="13" ht="20.1" customHeight="1" spans="1:17">
      <c r="A13" s="10">
        <v>7</v>
      </c>
      <c r="B13" s="11" t="s">
        <v>247</v>
      </c>
      <c r="C13" s="12" t="s">
        <v>248</v>
      </c>
      <c r="D13" s="15" t="s">
        <v>249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4">
        <v>74036.1031466667</v>
      </c>
      <c r="O13" s="575">
        <f t="shared" si="2"/>
        <v>39065.8625600003</v>
      </c>
      <c r="P13" s="576"/>
      <c r="Q13" s="589">
        <f t="shared" si="3"/>
        <v>214056.218273333</v>
      </c>
    </row>
    <row r="14" ht="20.1" customHeight="1" spans="1:17">
      <c r="A14" s="10">
        <v>8</v>
      </c>
      <c r="B14" s="11" t="s">
        <v>250</v>
      </c>
      <c r="C14" s="4" t="s">
        <v>251</v>
      </c>
      <c r="D14" s="10" t="s">
        <v>228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4">
        <v>94625.7820586667</v>
      </c>
      <c r="O14" s="575">
        <f t="shared" si="2"/>
        <v>36637.3276160003</v>
      </c>
      <c r="P14" s="576"/>
      <c r="Q14" s="589">
        <f t="shared" si="3"/>
        <v>200751.533717333</v>
      </c>
    </row>
    <row r="15" ht="20.1" customHeight="1" spans="1:17">
      <c r="A15" s="10">
        <v>9</v>
      </c>
      <c r="B15" s="11" t="s">
        <v>252</v>
      </c>
      <c r="C15" s="4" t="s">
        <v>253</v>
      </c>
      <c r="D15" s="15" t="s">
        <v>254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4">
        <v>44846.6165886667</v>
      </c>
      <c r="O15" s="575">
        <f t="shared" si="2"/>
        <v>32819.829278</v>
      </c>
      <c r="P15" s="576"/>
      <c r="Q15" s="589">
        <f t="shared" si="3"/>
        <v>178220.885472</v>
      </c>
    </row>
    <row r="16" ht="20.1" customHeight="1" spans="1:17">
      <c r="A16" s="10">
        <v>10</v>
      </c>
      <c r="B16" s="14" t="s">
        <v>255</v>
      </c>
      <c r="C16" s="17" t="s">
        <v>256</v>
      </c>
      <c r="D16" s="15" t="s">
        <v>257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4">
        <v>67626.6094346667</v>
      </c>
      <c r="O16" s="575">
        <f t="shared" si="2"/>
        <v>30628.823952</v>
      </c>
      <c r="P16" s="576"/>
      <c r="Q16" s="589">
        <f t="shared" si="3"/>
        <v>166536.140798</v>
      </c>
    </row>
    <row r="17" ht="20.1" customHeight="1" spans="1:17">
      <c r="A17" s="10">
        <v>11</v>
      </c>
      <c r="B17" s="11" t="s">
        <v>258</v>
      </c>
      <c r="C17" s="4" t="s">
        <v>259</v>
      </c>
      <c r="D17" s="10" t="s">
        <v>260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4">
        <v>83731.2492266667</v>
      </c>
      <c r="O17" s="575">
        <f t="shared" si="2"/>
        <v>28822.1592000003</v>
      </c>
      <c r="P17" s="576"/>
      <c r="Q17" s="589">
        <f t="shared" si="3"/>
        <v>156712.9733</v>
      </c>
    </row>
    <row r="18" ht="20.1" customHeight="1" spans="1:17">
      <c r="A18" s="10">
        <v>12</v>
      </c>
      <c r="B18" s="11" t="s">
        <v>261</v>
      </c>
      <c r="C18" s="4" t="s">
        <v>262</v>
      </c>
      <c r="D18" s="10" t="s">
        <v>263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4">
        <v>42046.0636866667</v>
      </c>
      <c r="O18" s="575">
        <f t="shared" si="2"/>
        <v>28101.02346</v>
      </c>
      <c r="P18" s="576"/>
      <c r="Q18" s="589">
        <f t="shared" si="3"/>
        <v>157040.815706667</v>
      </c>
    </row>
    <row r="19" ht="20.1" customHeight="1" spans="1:17">
      <c r="A19" s="10">
        <v>13</v>
      </c>
      <c r="B19" s="11" t="s">
        <v>264</v>
      </c>
      <c r="C19" s="12" t="s">
        <v>265</v>
      </c>
      <c r="D19" s="15" t="s">
        <v>266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4">
        <v>49548.7761866667</v>
      </c>
      <c r="O19" s="575">
        <f t="shared" si="2"/>
        <v>27921.598</v>
      </c>
      <c r="P19" s="576"/>
      <c r="Q19" s="589">
        <f t="shared" si="3"/>
        <v>151816.664916667</v>
      </c>
    </row>
    <row r="20" ht="20.1" customHeight="1" spans="1:17">
      <c r="A20" s="10">
        <v>14</v>
      </c>
      <c r="B20" s="18" t="s">
        <v>267</v>
      </c>
      <c r="C20" s="4" t="s">
        <v>531</v>
      </c>
      <c r="D20" s="15" t="s">
        <v>269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4">
        <v>67370.8702826667</v>
      </c>
      <c r="O20" s="575">
        <f t="shared" si="2"/>
        <v>26904.033184</v>
      </c>
      <c r="P20" s="576"/>
      <c r="Q20" s="589">
        <f t="shared" si="3"/>
        <v>147121.822982667</v>
      </c>
    </row>
    <row r="21" ht="18.75" customHeight="1" spans="1:17">
      <c r="A21" s="10">
        <v>15</v>
      </c>
      <c r="B21" s="11" t="s">
        <v>270</v>
      </c>
      <c r="C21" s="12" t="s">
        <v>50</v>
      </c>
      <c r="D21" s="15" t="s">
        <v>271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4">
        <v>52497.7703786666</v>
      </c>
      <c r="O21" s="575">
        <f t="shared" si="2"/>
        <v>23640.2985280001</v>
      </c>
      <c r="P21" s="576"/>
      <c r="Q21" s="589">
        <f t="shared" si="3"/>
        <v>129717.869638667</v>
      </c>
    </row>
    <row r="22" ht="20.1" customHeight="1" spans="1:17">
      <c r="A22" s="10">
        <v>16</v>
      </c>
      <c r="B22" s="14" t="s">
        <v>272</v>
      </c>
      <c r="C22" s="17" t="s">
        <v>532</v>
      </c>
      <c r="D22" s="10" t="s">
        <v>41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4">
        <v>55538.1050666667</v>
      </c>
      <c r="O22" s="575">
        <f t="shared" si="2"/>
        <v>23973.0096</v>
      </c>
      <c r="P22" s="576"/>
      <c r="Q22" s="589">
        <f t="shared" si="3"/>
        <v>129167.4154</v>
      </c>
    </row>
    <row r="23" ht="21.6" customHeight="1" spans="1:17">
      <c r="A23" s="10">
        <v>17</v>
      </c>
      <c r="B23" s="11" t="s">
        <v>274</v>
      </c>
      <c r="C23" s="17" t="s">
        <v>275</v>
      </c>
      <c r="D23" s="15" t="s">
        <v>41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4">
        <v>40149.1752666667</v>
      </c>
      <c r="O23" s="575">
        <f t="shared" si="2"/>
        <v>22081.9394</v>
      </c>
      <c r="P23" s="576"/>
      <c r="Q23" s="589">
        <f t="shared" si="3"/>
        <v>126058.4856</v>
      </c>
    </row>
    <row r="24" ht="20.1" customHeight="1" spans="1:17">
      <c r="A24" s="10">
        <v>18</v>
      </c>
      <c r="B24" s="14" t="s">
        <v>276</v>
      </c>
      <c r="C24" s="17" t="s">
        <v>277</v>
      </c>
      <c r="D24" s="10" t="s">
        <v>37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4">
        <v>42371.8157286667</v>
      </c>
      <c r="O24" s="575">
        <f t="shared" si="2"/>
        <v>18775.611258</v>
      </c>
      <c r="P24" s="576"/>
      <c r="Q24" s="589">
        <f t="shared" si="3"/>
        <v>105651.977658667</v>
      </c>
    </row>
    <row r="25" ht="18.75" customHeight="1" spans="1:17">
      <c r="A25" s="10">
        <v>19</v>
      </c>
      <c r="B25" s="4" t="s">
        <v>278</v>
      </c>
      <c r="C25" s="4" t="s">
        <v>176</v>
      </c>
      <c r="D25" s="10" t="s">
        <v>279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4">
        <v>23036.0123466667</v>
      </c>
      <c r="O25" s="575">
        <f t="shared" si="2"/>
        <v>16016.30072</v>
      </c>
      <c r="P25" s="576"/>
      <c r="Q25" s="589">
        <f t="shared" si="3"/>
        <v>100957.355946667</v>
      </c>
    </row>
    <row r="26" ht="18.75" customHeight="1" spans="1:17">
      <c r="A26" s="10">
        <v>20</v>
      </c>
      <c r="B26" s="18" t="s">
        <v>280</v>
      </c>
      <c r="C26" s="12" t="s">
        <v>176</v>
      </c>
      <c r="D26" s="15" t="s">
        <v>279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4">
        <v>23036.0123466667</v>
      </c>
      <c r="O26" s="575">
        <f t="shared" si="2"/>
        <v>16016.30072</v>
      </c>
      <c r="P26" s="576"/>
      <c r="Q26" s="589">
        <f t="shared" si="3"/>
        <v>100957.355946667</v>
      </c>
    </row>
    <row r="27" ht="20.1" customHeight="1" spans="1:17">
      <c r="A27" s="10">
        <v>21</v>
      </c>
      <c r="B27" s="11" t="s">
        <v>281</v>
      </c>
      <c r="C27" s="17" t="s">
        <v>273</v>
      </c>
      <c r="D27" s="10" t="s">
        <v>279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4">
        <v>29756.0123466667</v>
      </c>
      <c r="O27" s="575">
        <f t="shared" si="2"/>
        <v>16016.30072</v>
      </c>
      <c r="P27" s="576"/>
      <c r="Q27" s="589">
        <f t="shared" si="3"/>
        <v>100957.355946667</v>
      </c>
    </row>
    <row r="28" ht="18.75" customHeight="1" spans="1:17">
      <c r="A28" s="10">
        <v>22</v>
      </c>
      <c r="B28" s="18" t="s">
        <v>282</v>
      </c>
      <c r="C28" s="12" t="s">
        <v>27</v>
      </c>
      <c r="D28" s="15" t="s">
        <v>283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4">
        <v>22338.4826046667</v>
      </c>
      <c r="O28" s="575">
        <f t="shared" si="2"/>
        <v>15583.017982</v>
      </c>
      <c r="P28" s="576"/>
      <c r="Q28" s="589">
        <f t="shared" si="3"/>
        <v>98226.268101333</v>
      </c>
    </row>
    <row r="29" ht="18.75" customHeight="1" spans="1:17">
      <c r="A29" s="10">
        <v>23</v>
      </c>
      <c r="B29" s="18" t="s">
        <v>284</v>
      </c>
      <c r="C29" s="4" t="s">
        <v>285</v>
      </c>
      <c r="D29" s="10" t="s">
        <v>24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4">
        <v>21640.9528626667</v>
      </c>
      <c r="O29" s="575">
        <f t="shared" si="2"/>
        <v>15149.735244</v>
      </c>
      <c r="P29" s="576"/>
      <c r="Q29" s="589">
        <f t="shared" si="3"/>
        <v>95495.180256</v>
      </c>
    </row>
    <row r="30" ht="18.75" customHeight="1" spans="1:17">
      <c r="A30" s="10">
        <v>24</v>
      </c>
      <c r="B30" s="18" t="s">
        <v>286</v>
      </c>
      <c r="C30" s="4" t="s">
        <v>285</v>
      </c>
      <c r="D30" s="10" t="s">
        <v>24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4">
        <v>21640.9528626667</v>
      </c>
      <c r="O30" s="575">
        <f t="shared" si="2"/>
        <v>15149.735244</v>
      </c>
      <c r="P30" s="576"/>
      <c r="Q30" s="589">
        <f t="shared" si="3"/>
        <v>95495.180256</v>
      </c>
    </row>
    <row r="31" ht="18.75" customHeight="1" spans="1:17">
      <c r="A31" s="10">
        <v>25</v>
      </c>
      <c r="B31" s="18" t="s">
        <v>287</v>
      </c>
      <c r="C31" s="17" t="s">
        <v>288</v>
      </c>
      <c r="D31" s="15" t="s">
        <v>279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77">
        <v>22338.4826046667</v>
      </c>
      <c r="O31" s="575">
        <f t="shared" si="2"/>
        <v>16713.830462</v>
      </c>
      <c r="P31" s="576"/>
      <c r="Q31" s="589">
        <f t="shared" si="3"/>
        <v>104411.788954667</v>
      </c>
    </row>
    <row r="32" ht="18.75" customHeight="1" spans="1:17">
      <c r="A32" s="10">
        <v>26</v>
      </c>
      <c r="B32" s="18" t="s">
        <v>289</v>
      </c>
      <c r="C32" s="4" t="s">
        <v>290</v>
      </c>
      <c r="D32" s="10" t="s">
        <v>291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4">
        <v>17572.8850026667</v>
      </c>
      <c r="O32" s="575">
        <f t="shared" si="2"/>
        <v>13640.250704</v>
      </c>
      <c r="P32" s="576"/>
      <c r="Q32" s="589">
        <f t="shared" si="3"/>
        <v>86687.597962667</v>
      </c>
    </row>
    <row r="33" ht="18.75" customHeight="1" spans="1:17">
      <c r="A33" s="10">
        <v>27</v>
      </c>
      <c r="B33" s="18" t="s">
        <v>292</v>
      </c>
      <c r="C33" s="12" t="s">
        <v>293</v>
      </c>
      <c r="D33" s="15" t="s">
        <v>294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4">
        <v>16512.6821906667</v>
      </c>
      <c r="O33" s="575">
        <f t="shared" si="2"/>
        <v>13746.483436</v>
      </c>
      <c r="P33" s="576"/>
      <c r="Q33" s="589">
        <f t="shared" si="3"/>
        <v>87384.217064</v>
      </c>
    </row>
    <row r="34" ht="26.25" customHeight="1" spans="1:17">
      <c r="A34" s="10"/>
      <c r="B34" s="20" t="s">
        <v>33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78"/>
      <c r="Q34" s="590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79"/>
      <c r="O35" s="579"/>
      <c r="P35" s="578"/>
      <c r="Q35" s="591"/>
    </row>
    <row r="36" ht="18.75" customHeight="1" spans="1:17">
      <c r="A36" s="10"/>
      <c r="B36" s="20" t="s">
        <v>34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4"/>
      <c r="O36" s="574"/>
      <c r="P36" s="580"/>
      <c r="Q36" s="592"/>
    </row>
    <row r="37" ht="18.75" customHeight="1" spans="1:17">
      <c r="A37" s="10">
        <v>1</v>
      </c>
      <c r="B37" s="18" t="s">
        <v>295</v>
      </c>
      <c r="C37" s="4" t="s">
        <v>296</v>
      </c>
      <c r="D37" s="10" t="s">
        <v>297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4">
        <v>161106.806858667</v>
      </c>
      <c r="O37" s="575">
        <f>M37-N37</f>
        <v>90365.440608</v>
      </c>
      <c r="P37" s="576"/>
      <c r="Q37" s="589">
        <f>L37-O37</f>
        <v>495145.495892</v>
      </c>
    </row>
    <row r="38" ht="18.75" customHeight="1" spans="1:17">
      <c r="A38" s="10">
        <v>2</v>
      </c>
      <c r="B38" s="18" t="s">
        <v>298</v>
      </c>
      <c r="C38" s="4" t="s">
        <v>533</v>
      </c>
      <c r="D38" s="10" t="s">
        <v>37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4">
        <v>17042.7138666667</v>
      </c>
      <c r="O38" s="575">
        <f>M38-N38</f>
        <v>25494.61808</v>
      </c>
      <c r="P38" s="576"/>
      <c r="Q38" s="589">
        <f t="shared" ref="Q38:Q39" si="12">L38-O38</f>
        <v>150718.948586667</v>
      </c>
    </row>
    <row r="39" ht="18.75" customHeight="1" spans="1:17">
      <c r="A39" s="10">
        <v>3</v>
      </c>
      <c r="B39" s="11" t="s">
        <v>300</v>
      </c>
      <c r="C39" s="12" t="s">
        <v>534</v>
      </c>
      <c r="D39" s="15" t="s">
        <v>301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4">
        <v>26339.0784066667</v>
      </c>
      <c r="O39" s="575">
        <f>M39-N39</f>
        <v>17424.82882</v>
      </c>
      <c r="P39" s="576"/>
      <c r="Q39" s="58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1">
        <v>204488.599132</v>
      </c>
      <c r="O40" s="581">
        <f t="shared" si="13"/>
        <v>133284.887508</v>
      </c>
      <c r="P40" s="578"/>
      <c r="Q40" s="590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79"/>
      <c r="O41" s="579"/>
      <c r="P41" s="578"/>
      <c r="Q41" s="591"/>
    </row>
    <row r="42" ht="20.1" customHeight="1" spans="1:17">
      <c r="A42" s="10"/>
      <c r="B42" s="23" t="s">
        <v>38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4"/>
      <c r="O42" s="574"/>
      <c r="P42" s="580"/>
      <c r="Q42" s="592"/>
    </row>
    <row r="43" ht="20.1" customHeight="1" spans="1:17">
      <c r="A43" s="10">
        <v>1</v>
      </c>
      <c r="B43" s="11" t="s">
        <v>302</v>
      </c>
      <c r="C43" s="4" t="s">
        <v>303</v>
      </c>
      <c r="D43" s="10" t="s">
        <v>297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4">
        <v>180306.806858667</v>
      </c>
      <c r="O43" s="575">
        <f t="shared" ref="O43:O53" si="14">M43-N43</f>
        <v>90365.440608</v>
      </c>
      <c r="P43" s="576"/>
      <c r="Q43" s="589">
        <f>L43-O43</f>
        <v>495145.495892</v>
      </c>
    </row>
    <row r="44" ht="20.1" customHeight="1" spans="1:17">
      <c r="A44" s="10">
        <v>2</v>
      </c>
      <c r="B44" s="11" t="s">
        <v>304</v>
      </c>
      <c r="C44" s="4" t="s">
        <v>305</v>
      </c>
      <c r="D44" s="10" t="s">
        <v>249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4">
        <v>79956.9391466667</v>
      </c>
      <c r="O44" s="575">
        <f t="shared" si="14"/>
        <v>39065.8625600003</v>
      </c>
      <c r="P44" s="576"/>
      <c r="Q44" s="589">
        <f t="shared" ref="Q44:Q53" si="17">L44-O44</f>
        <v>214056.218273333</v>
      </c>
    </row>
    <row r="45" ht="20.1" customHeight="1" spans="1:17">
      <c r="A45" s="10">
        <v>3</v>
      </c>
      <c r="B45" s="11" t="s">
        <v>306</v>
      </c>
      <c r="C45" s="4" t="s">
        <v>307</v>
      </c>
      <c r="D45" s="10" t="s">
        <v>308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4">
        <v>97273.5138506667</v>
      </c>
      <c r="O45" s="575">
        <f t="shared" si="14"/>
        <v>46526.0737760003</v>
      </c>
      <c r="P45" s="576"/>
      <c r="Q45" s="589">
        <f t="shared" si="17"/>
        <v>254933.513807333</v>
      </c>
    </row>
    <row r="46" ht="20.1" customHeight="1" spans="1:17">
      <c r="A46" s="10">
        <v>4</v>
      </c>
      <c r="B46" s="11" t="s">
        <v>309</v>
      </c>
      <c r="C46" s="4" t="s">
        <v>310</v>
      </c>
      <c r="D46" s="10" t="s">
        <v>249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4">
        <v>79956.9391466667</v>
      </c>
      <c r="O46" s="575">
        <f t="shared" si="14"/>
        <v>39065.8625600003</v>
      </c>
      <c r="P46" s="576"/>
      <c r="Q46" s="589">
        <f t="shared" si="17"/>
        <v>214056.218273333</v>
      </c>
    </row>
    <row r="47" ht="20.1" customHeight="1" spans="1:17">
      <c r="A47" s="10">
        <v>5</v>
      </c>
      <c r="B47" s="11" t="s">
        <v>311</v>
      </c>
      <c r="C47" s="4" t="s">
        <v>310</v>
      </c>
      <c r="D47" s="10" t="s">
        <v>249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4">
        <v>79796.1031466666</v>
      </c>
      <c r="O47" s="575">
        <f t="shared" si="14"/>
        <v>39065.8625600004</v>
      </c>
      <c r="P47" s="576"/>
      <c r="Q47" s="589">
        <f t="shared" si="17"/>
        <v>214056.218273333</v>
      </c>
    </row>
    <row r="48" ht="20.1" customHeight="1" spans="1:17">
      <c r="A48" s="10">
        <v>6</v>
      </c>
      <c r="B48" s="11" t="s">
        <v>312</v>
      </c>
      <c r="C48" s="4" t="s">
        <v>310</v>
      </c>
      <c r="D48" s="10" t="s">
        <v>228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4">
        <v>75572.9156906667</v>
      </c>
      <c r="O48" s="575">
        <f t="shared" si="14"/>
        <v>36639.0892160003</v>
      </c>
      <c r="P48" s="576"/>
      <c r="Q48" s="589">
        <f t="shared" si="17"/>
        <v>200758.947117333</v>
      </c>
    </row>
    <row r="49" ht="20.1" customHeight="1" spans="1:17">
      <c r="A49" s="10">
        <v>7</v>
      </c>
      <c r="B49" s="14" t="s">
        <v>313</v>
      </c>
      <c r="C49" s="4" t="s">
        <v>256</v>
      </c>
      <c r="D49" s="16" t="s">
        <v>257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4">
        <v>58026.6094346667</v>
      </c>
      <c r="O49" s="575">
        <f t="shared" si="14"/>
        <v>30628.823952</v>
      </c>
      <c r="P49" s="576"/>
      <c r="Q49" s="589">
        <f t="shared" si="17"/>
        <v>166536.140798</v>
      </c>
    </row>
    <row r="50" ht="20.1" customHeight="1" spans="1:17">
      <c r="A50" s="10">
        <v>8</v>
      </c>
      <c r="B50" s="11" t="s">
        <v>314</v>
      </c>
      <c r="C50" s="4" t="s">
        <v>63</v>
      </c>
      <c r="D50" s="10" t="s">
        <v>301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4">
        <v>33059.0784066667</v>
      </c>
      <c r="O50" s="575">
        <f t="shared" si="14"/>
        <v>17970.1489</v>
      </c>
      <c r="P50" s="576"/>
      <c r="Q50" s="589">
        <f t="shared" si="17"/>
        <v>109826.316933333</v>
      </c>
    </row>
    <row r="51" ht="20.1" customHeight="1" spans="1:17">
      <c r="A51" s="10">
        <v>9</v>
      </c>
      <c r="B51" s="11" t="s">
        <v>315</v>
      </c>
      <c r="C51" s="4" t="s">
        <v>63</v>
      </c>
      <c r="D51" s="10" t="s">
        <v>283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4">
        <v>29058.4826046667</v>
      </c>
      <c r="O51" s="575">
        <f t="shared" si="14"/>
        <v>15583.017982</v>
      </c>
      <c r="P51" s="576"/>
      <c r="Q51" s="589">
        <f t="shared" si="17"/>
        <v>98226.268101333</v>
      </c>
    </row>
    <row r="52" ht="20.1" customHeight="1" spans="1:17">
      <c r="A52" s="10">
        <v>10</v>
      </c>
      <c r="B52" s="11" t="s">
        <v>316</v>
      </c>
      <c r="C52" s="4" t="s">
        <v>63</v>
      </c>
      <c r="D52" s="10" t="s">
        <v>283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4">
        <v>28360.9528626667</v>
      </c>
      <c r="O52" s="575">
        <f t="shared" si="14"/>
        <v>16280.547724</v>
      </c>
      <c r="P52" s="576"/>
      <c r="Q52" s="589">
        <f t="shared" si="17"/>
        <v>97528.738359333</v>
      </c>
    </row>
    <row r="53" ht="20.1" customHeight="1" spans="1:17">
      <c r="A53" s="10">
        <v>11</v>
      </c>
      <c r="B53" s="11" t="s">
        <v>317</v>
      </c>
      <c r="C53" s="4" t="s">
        <v>63</v>
      </c>
      <c r="D53" s="10" t="s">
        <v>283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4">
        <v>29058.4826046667</v>
      </c>
      <c r="O53" s="575">
        <f t="shared" si="14"/>
        <v>15583.017982</v>
      </c>
      <c r="P53" s="576"/>
      <c r="Q53" s="589">
        <f t="shared" si="17"/>
        <v>98226.268101333</v>
      </c>
    </row>
    <row r="54" ht="25.5" customHeight="1" spans="1:17">
      <c r="A54" s="10"/>
      <c r="B54" s="20" t="s">
        <v>33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2">
        <v>770426.823753333</v>
      </c>
      <c r="O54" s="582">
        <f t="shared" si="18"/>
        <v>386773.747820002</v>
      </c>
      <c r="P54" s="583"/>
      <c r="Q54" s="593">
        <f>SUM(Q43:Q53)</f>
        <v>2163350.34393</v>
      </c>
    </row>
    <row r="55" ht="20.1" customHeight="1" spans="1:17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84"/>
      <c r="O55" s="584"/>
      <c r="P55" s="585"/>
      <c r="Q55" s="594"/>
    </row>
    <row r="56" ht="20.1" customHeight="1" spans="1:17">
      <c r="A56" s="10"/>
      <c r="B56" s="20" t="s">
        <v>318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84"/>
      <c r="O56" s="584"/>
      <c r="P56" s="585"/>
      <c r="Q56" s="594"/>
    </row>
    <row r="57" ht="20.1" customHeight="1" spans="1:17">
      <c r="A57" s="10">
        <v>1</v>
      </c>
      <c r="B57" s="11" t="s">
        <v>319</v>
      </c>
      <c r="C57" s="12" t="s">
        <v>320</v>
      </c>
      <c r="D57" s="15" t="s">
        <v>297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86">
        <v>180306.806858667</v>
      </c>
      <c r="O57" s="575">
        <f>M57-N57</f>
        <v>90365.440608</v>
      </c>
      <c r="P57" s="576"/>
      <c r="Q57" s="589">
        <f>L57-O57</f>
        <v>495145.495892</v>
      </c>
    </row>
    <row r="58" ht="20.1" customHeight="1" spans="1:17">
      <c r="A58" s="10">
        <v>2</v>
      </c>
      <c r="B58" s="11" t="s">
        <v>321</v>
      </c>
      <c r="C58" s="12" t="s">
        <v>322</v>
      </c>
      <c r="D58" s="15" t="s">
        <v>225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86">
        <v>64596.9391466667</v>
      </c>
      <c r="O58" s="575">
        <f>M58-N58</f>
        <v>39065.8625600003</v>
      </c>
      <c r="P58" s="576"/>
      <c r="Q58" s="589">
        <f>L58-O58</f>
        <v>214056.218273333</v>
      </c>
    </row>
    <row r="59" ht="20.1" customHeight="1" spans="1:17">
      <c r="A59" s="10"/>
      <c r="B59" s="20" t="s">
        <v>33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2">
        <v>244903.746005333</v>
      </c>
      <c r="O59" s="582">
        <f t="shared" si="19"/>
        <v>129431.303168</v>
      </c>
      <c r="P59" s="583"/>
      <c r="Q59" s="593">
        <f>SUM(Q57:Q58)</f>
        <v>709201.714165333</v>
      </c>
    </row>
    <row r="60" ht="20.1" customHeight="1" spans="1:17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84"/>
      <c r="O60" s="584"/>
      <c r="P60" s="585"/>
      <c r="Q60" s="594"/>
    </row>
    <row r="61" ht="20.1" customHeight="1" spans="1:17">
      <c r="A61" s="10"/>
      <c r="B61" s="20" t="s">
        <v>44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84"/>
      <c r="O61" s="584"/>
      <c r="P61" s="585"/>
      <c r="Q61" s="594"/>
    </row>
    <row r="62" ht="20.1" customHeight="1" spans="1:17">
      <c r="A62" s="10">
        <v>1</v>
      </c>
      <c r="B62" s="11" t="s">
        <v>323</v>
      </c>
      <c r="C62" s="17" t="s">
        <v>324</v>
      </c>
      <c r="D62" s="10" t="s">
        <v>297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4">
        <v>180306.806858667</v>
      </c>
      <c r="O62" s="575">
        <f t="shared" ref="O62:O71" si="20">M62-N62</f>
        <v>112418.099808</v>
      </c>
      <c r="P62" s="576"/>
      <c r="Q62" s="589">
        <f>L62-O62</f>
        <v>473092.836692</v>
      </c>
    </row>
    <row r="63" ht="20.1" customHeight="1" spans="1:17">
      <c r="A63" s="10">
        <v>2</v>
      </c>
      <c r="B63" s="351" t="s">
        <v>325</v>
      </c>
      <c r="C63" s="17" t="s">
        <v>326</v>
      </c>
      <c r="D63" s="15" t="s">
        <v>327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4">
        <v>77764.9802666667</v>
      </c>
      <c r="O63" s="575">
        <f t="shared" si="20"/>
        <v>37852.4230400003</v>
      </c>
      <c r="P63" s="576"/>
      <c r="Q63" s="589">
        <f t="shared" ref="Q63:Q71" si="23">L63-O63</f>
        <v>207407.360293333</v>
      </c>
    </row>
    <row r="64" ht="20.1" customHeight="1" spans="1:17">
      <c r="A64" s="10">
        <v>3</v>
      </c>
      <c r="B64" s="11" t="s">
        <v>328</v>
      </c>
      <c r="C64" s="4" t="s">
        <v>256</v>
      </c>
      <c r="D64" s="10" t="s">
        <v>260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4">
        <v>54931.2492266667</v>
      </c>
      <c r="O64" s="575">
        <f t="shared" si="20"/>
        <v>28822.1591999999</v>
      </c>
      <c r="P64" s="576"/>
      <c r="Q64" s="589">
        <f t="shared" si="23"/>
        <v>156712.9733</v>
      </c>
    </row>
    <row r="65" ht="20.1" customHeight="1" spans="1:17">
      <c r="A65" s="10">
        <v>4</v>
      </c>
      <c r="B65" s="18" t="s">
        <v>329</v>
      </c>
      <c r="C65" s="17" t="s">
        <v>46</v>
      </c>
      <c r="D65" s="15" t="s">
        <v>266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4">
        <v>49548.7761866667</v>
      </c>
      <c r="O65" s="575">
        <f t="shared" si="20"/>
        <v>27921.598</v>
      </c>
      <c r="P65" s="576"/>
      <c r="Q65" s="589">
        <f t="shared" si="23"/>
        <v>151816.664916667</v>
      </c>
    </row>
    <row r="66" ht="20.1" customHeight="1" spans="1:17">
      <c r="A66" s="10">
        <v>5</v>
      </c>
      <c r="B66" s="14" t="s">
        <v>330</v>
      </c>
      <c r="C66" s="17" t="s">
        <v>256</v>
      </c>
      <c r="D66" s="15" t="s">
        <v>254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4">
        <v>59574.3159626667</v>
      </c>
      <c r="O66" s="575">
        <f t="shared" si="20"/>
        <v>31532.129904</v>
      </c>
      <c r="P66" s="576"/>
      <c r="Q66" s="589">
        <f t="shared" si="23"/>
        <v>171447.613346</v>
      </c>
    </row>
    <row r="67" ht="20.1" customHeight="1" spans="1:17">
      <c r="A67" s="10">
        <v>7</v>
      </c>
      <c r="B67" s="11" t="s">
        <v>331</v>
      </c>
      <c r="C67" s="4" t="s">
        <v>63</v>
      </c>
      <c r="D67" s="10" t="s">
        <v>332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4">
        <v>41338.9510986667</v>
      </c>
      <c r="O67" s="575">
        <f t="shared" si="20"/>
        <v>23045.640688</v>
      </c>
      <c r="P67" s="576"/>
      <c r="Q67" s="589">
        <f t="shared" si="23"/>
        <v>130204.118645333</v>
      </c>
    </row>
    <row r="68" ht="20.1" customHeight="1" spans="1:17">
      <c r="A68" s="10">
        <v>8</v>
      </c>
      <c r="B68" s="11" t="s">
        <v>333</v>
      </c>
      <c r="C68" s="17" t="s">
        <v>275</v>
      </c>
      <c r="D68" s="10" t="s">
        <v>332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4">
        <v>41338.9510986667</v>
      </c>
      <c r="O68" s="575">
        <f t="shared" si="20"/>
        <v>23045.640688</v>
      </c>
      <c r="P68" s="576"/>
      <c r="Q68" s="589">
        <f t="shared" si="23"/>
        <v>130204.118645333</v>
      </c>
    </row>
    <row r="69" ht="20.1" customHeight="1" spans="1:17">
      <c r="A69" s="10">
        <v>9</v>
      </c>
      <c r="B69" s="11" t="s">
        <v>334</v>
      </c>
      <c r="C69" s="17" t="s">
        <v>275</v>
      </c>
      <c r="D69" s="10" t="s">
        <v>332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4">
        <v>41338.9510986667</v>
      </c>
      <c r="O69" s="575">
        <f t="shared" si="20"/>
        <v>23045.640688</v>
      </c>
      <c r="P69" s="576"/>
      <c r="Q69" s="589">
        <f t="shared" si="23"/>
        <v>130204.118645333</v>
      </c>
    </row>
    <row r="70" ht="20.1" customHeight="1" spans="1:17">
      <c r="A70" s="10">
        <v>10</v>
      </c>
      <c r="B70" s="11" t="s">
        <v>335</v>
      </c>
      <c r="C70" s="4" t="s">
        <v>336</v>
      </c>
      <c r="D70" s="10" t="s">
        <v>271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4">
        <v>43368.8824146667</v>
      </c>
      <c r="O70" s="575">
        <f t="shared" si="20"/>
        <v>23169.186492</v>
      </c>
      <c r="P70" s="576"/>
      <c r="Q70" s="589">
        <f t="shared" si="23"/>
        <v>130188.981674667</v>
      </c>
    </row>
    <row r="71" ht="21.6" customHeight="1" spans="1:17">
      <c r="A71" s="10">
        <v>11</v>
      </c>
      <c r="B71" s="11" t="s">
        <v>337</v>
      </c>
      <c r="C71" s="4" t="s">
        <v>63</v>
      </c>
      <c r="D71" s="10" t="s">
        <v>301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4">
        <v>33825.9865626667</v>
      </c>
      <c r="O71" s="575">
        <f t="shared" si="20"/>
        <v>17203.240744</v>
      </c>
      <c r="P71" s="576"/>
      <c r="Q71" s="589">
        <f t="shared" si="23"/>
        <v>106028.295589333</v>
      </c>
    </row>
    <row r="72" ht="27" customHeight="1" spans="1:17">
      <c r="A72" s="10"/>
      <c r="B72" s="20" t="s">
        <v>33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2">
        <v>623337.850774667</v>
      </c>
      <c r="O72" s="582">
        <f t="shared" si="26"/>
        <v>348055.759252</v>
      </c>
      <c r="P72" s="583"/>
      <c r="Q72" s="593">
        <f>SUM(Q62:Q71)</f>
        <v>1787307.081748</v>
      </c>
    </row>
    <row r="73" ht="20.1" customHeight="1" spans="1:17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84"/>
      <c r="O73" s="584"/>
      <c r="P73" s="585"/>
      <c r="Q73" s="594"/>
    </row>
    <row r="74" ht="20.1" customHeight="1" spans="1:17">
      <c r="A74" s="10"/>
      <c r="B74" s="20" t="s">
        <v>51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84"/>
      <c r="O74" s="584"/>
      <c r="P74" s="585"/>
      <c r="Q74" s="594"/>
    </row>
    <row r="75" ht="20.1" customHeight="1" spans="1:17">
      <c r="A75" s="10">
        <v>1</v>
      </c>
      <c r="B75" s="11" t="s">
        <v>338</v>
      </c>
      <c r="C75" s="4" t="s">
        <v>339</v>
      </c>
      <c r="D75" s="10" t="s">
        <v>297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4">
        <v>180306.806858667</v>
      </c>
      <c r="O75" s="575">
        <f t="shared" ref="O75:O81" si="27">M75-N75</f>
        <v>90365.440608</v>
      </c>
      <c r="P75" s="576"/>
      <c r="Q75" s="589">
        <f>L75-O75</f>
        <v>495145.495892</v>
      </c>
    </row>
    <row r="76" ht="20.1" customHeight="1" spans="1:17">
      <c r="A76" s="10">
        <v>2</v>
      </c>
      <c r="B76" s="14" t="s">
        <v>220</v>
      </c>
      <c r="C76" s="4" t="s">
        <v>221</v>
      </c>
      <c r="D76" s="15" t="s">
        <v>222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4">
        <v>77764.9802666667</v>
      </c>
      <c r="O76" s="575">
        <f t="shared" si="27"/>
        <v>47089.8784000003</v>
      </c>
      <c r="P76" s="576"/>
      <c r="Q76" s="589">
        <f t="shared" ref="Q76:Q81" si="30">L76-O76</f>
        <v>198169.904933333</v>
      </c>
    </row>
    <row r="77" ht="20.1" customHeight="1" spans="1:17">
      <c r="A77" s="10">
        <v>3</v>
      </c>
      <c r="B77" s="18" t="s">
        <v>223</v>
      </c>
      <c r="C77" s="12" t="s">
        <v>224</v>
      </c>
      <c r="D77" s="10" t="s">
        <v>225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4">
        <v>64596.9391466667</v>
      </c>
      <c r="O77" s="575">
        <f t="shared" si="27"/>
        <v>48599.4395200003</v>
      </c>
      <c r="P77" s="576"/>
      <c r="Q77" s="589">
        <f t="shared" si="30"/>
        <v>204522.641313333</v>
      </c>
    </row>
    <row r="78" ht="20.1" customHeight="1" spans="1:17">
      <c r="A78" s="10">
        <v>4</v>
      </c>
      <c r="B78" s="11" t="s">
        <v>340</v>
      </c>
      <c r="C78" s="4" t="s">
        <v>341</v>
      </c>
      <c r="D78" s="15" t="s">
        <v>342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4">
        <v>56350.5861866667</v>
      </c>
      <c r="O78" s="575">
        <f t="shared" si="27"/>
        <v>29725.518</v>
      </c>
      <c r="P78" s="576"/>
      <c r="Q78" s="589">
        <f t="shared" si="30"/>
        <v>161624.66825</v>
      </c>
    </row>
    <row r="79" ht="20.1" customHeight="1" spans="1:17">
      <c r="A79" s="10">
        <v>5</v>
      </c>
      <c r="B79" s="11" t="s">
        <v>343</v>
      </c>
      <c r="C79" s="4" t="s">
        <v>344</v>
      </c>
      <c r="D79" s="10" t="s">
        <v>345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4">
        <v>33059.0784066667</v>
      </c>
      <c r="O79" s="575">
        <f t="shared" si="27"/>
        <v>19371.94922</v>
      </c>
      <c r="P79" s="576"/>
      <c r="Q79" s="589">
        <f t="shared" si="30"/>
        <v>116360.43328</v>
      </c>
    </row>
    <row r="80" ht="20.1" customHeight="1" spans="1:17">
      <c r="A80" s="10">
        <v>6</v>
      </c>
      <c r="B80" s="11" t="s">
        <v>346</v>
      </c>
      <c r="C80" s="4" t="s">
        <v>344</v>
      </c>
      <c r="D80" s="10" t="s">
        <v>283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4">
        <v>29058.4826046667</v>
      </c>
      <c r="O80" s="575">
        <f t="shared" si="27"/>
        <v>15583.017982</v>
      </c>
      <c r="P80" s="576"/>
      <c r="Q80" s="589">
        <f t="shared" si="30"/>
        <v>98226.268101333</v>
      </c>
    </row>
    <row r="81" ht="20.1" customHeight="1" spans="1:17">
      <c r="A81" s="10">
        <v>7</v>
      </c>
      <c r="B81" s="11" t="s">
        <v>347</v>
      </c>
      <c r="C81" s="4" t="s">
        <v>348</v>
      </c>
      <c r="D81" s="10" t="s">
        <v>294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4">
        <v>24751.1704626667</v>
      </c>
      <c r="O81" s="575">
        <f t="shared" si="27"/>
        <v>13907.995164</v>
      </c>
      <c r="P81" s="576"/>
      <c r="Q81" s="589">
        <f t="shared" si="30"/>
        <v>86834.470336</v>
      </c>
    </row>
    <row r="82" ht="20.1" customHeight="1" spans="1:17">
      <c r="A82" s="10"/>
      <c r="B82" s="20" t="s">
        <v>33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2">
        <v>465888.043932667</v>
      </c>
      <c r="O82" s="582">
        <f t="shared" si="31"/>
        <v>264643.238894001</v>
      </c>
      <c r="P82" s="583"/>
      <c r="Q82" s="593">
        <f>SUM(Q75:Q81)</f>
        <v>1360883.882106</v>
      </c>
    </row>
    <row r="83" ht="20.1" customHeight="1" spans="1:17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84"/>
      <c r="O83" s="584"/>
      <c r="P83" s="585"/>
      <c r="Q83" s="594"/>
    </row>
    <row r="84" ht="20.1" customHeight="1" spans="1:17">
      <c r="A84" s="10"/>
      <c r="B84" s="20" t="s">
        <v>56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84"/>
      <c r="O84" s="584"/>
      <c r="P84" s="585"/>
      <c r="Q84" s="594"/>
    </row>
    <row r="85" ht="20.1" customHeight="1" spans="1:17">
      <c r="A85" s="10">
        <v>1</v>
      </c>
      <c r="B85" s="11" t="s">
        <v>349</v>
      </c>
      <c r="C85" s="4" t="s">
        <v>310</v>
      </c>
      <c r="D85" s="10" t="s">
        <v>249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4">
        <v>99156.9391466667</v>
      </c>
      <c r="O85" s="575">
        <f t="shared" ref="O85:O94" si="32">M85-N85</f>
        <v>39065.8625600003</v>
      </c>
      <c r="P85" s="576"/>
      <c r="Q85" s="589">
        <f>L85-O85</f>
        <v>214056.218273333</v>
      </c>
    </row>
    <row r="86" ht="20.1" customHeight="1" spans="1:17">
      <c r="A86" s="10">
        <v>2</v>
      </c>
      <c r="B86" s="11" t="s">
        <v>350</v>
      </c>
      <c r="C86" s="4" t="s">
        <v>310</v>
      </c>
      <c r="D86" s="10" t="s">
        <v>249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4">
        <v>79796.1031466666</v>
      </c>
      <c r="O86" s="575">
        <f t="shared" si="32"/>
        <v>39065.8625600004</v>
      </c>
      <c r="P86" s="576"/>
      <c r="Q86" s="589">
        <f t="shared" ref="Q86:Q94" si="35">L86-O86</f>
        <v>214056.218273333</v>
      </c>
    </row>
    <row r="87" ht="20.1" customHeight="1" spans="1:17">
      <c r="A87" s="10">
        <v>3</v>
      </c>
      <c r="B87" s="11" t="s">
        <v>351</v>
      </c>
      <c r="C87" s="4" t="s">
        <v>310</v>
      </c>
      <c r="D87" s="10" t="s">
        <v>228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4">
        <v>75574.6772906667</v>
      </c>
      <c r="O87" s="575">
        <f t="shared" si="32"/>
        <v>36637.3276160003</v>
      </c>
      <c r="P87" s="576"/>
      <c r="Q87" s="589">
        <f t="shared" si="35"/>
        <v>200751.533717333</v>
      </c>
    </row>
    <row r="88" ht="21.6" customHeight="1" spans="1:17">
      <c r="A88" s="10">
        <v>4</v>
      </c>
      <c r="B88" s="11" t="s">
        <v>352</v>
      </c>
      <c r="C88" s="4" t="s">
        <v>353</v>
      </c>
      <c r="D88" s="15" t="s">
        <v>263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4">
        <v>50985.9775466667</v>
      </c>
      <c r="O88" s="575">
        <f t="shared" si="32"/>
        <v>28761.1096</v>
      </c>
      <c r="P88" s="576"/>
      <c r="Q88" s="589">
        <f t="shared" si="35"/>
        <v>156380.729566667</v>
      </c>
    </row>
    <row r="89" ht="21.6" customHeight="1" spans="1:17">
      <c r="A89" s="10">
        <v>5</v>
      </c>
      <c r="B89" s="11" t="s">
        <v>354</v>
      </c>
      <c r="C89" s="12" t="s">
        <v>46</v>
      </c>
      <c r="D89" s="15" t="s">
        <v>266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4">
        <v>49548.7761866667</v>
      </c>
      <c r="O89" s="575">
        <f t="shared" si="32"/>
        <v>27921.598</v>
      </c>
      <c r="P89" s="576"/>
      <c r="Q89" s="589">
        <f t="shared" si="35"/>
        <v>151816.664916667</v>
      </c>
    </row>
    <row r="90" ht="21.6" customHeight="1" spans="1:17">
      <c r="A90" s="10">
        <v>6</v>
      </c>
      <c r="B90" s="11" t="s">
        <v>355</v>
      </c>
      <c r="C90" s="12" t="s">
        <v>256</v>
      </c>
      <c r="D90" s="15" t="s">
        <v>356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4">
        <v>53384.0535626667</v>
      </c>
      <c r="O90" s="575">
        <f t="shared" si="32"/>
        <v>27918.342384</v>
      </c>
      <c r="P90" s="576"/>
      <c r="Q90" s="589">
        <f t="shared" si="35"/>
        <v>151799.350866</v>
      </c>
    </row>
    <row r="91" ht="21.6" customHeight="1" spans="1:17">
      <c r="A91" s="10">
        <v>7</v>
      </c>
      <c r="B91" s="11" t="s">
        <v>357</v>
      </c>
      <c r="C91" s="17" t="s">
        <v>275</v>
      </c>
      <c r="D91" s="15" t="s">
        <v>332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4">
        <v>41338.9510986667</v>
      </c>
      <c r="O91" s="575">
        <f t="shared" si="32"/>
        <v>23045.640688</v>
      </c>
      <c r="P91" s="576"/>
      <c r="Q91" s="589">
        <f t="shared" si="35"/>
        <v>130204.118645333</v>
      </c>
    </row>
    <row r="92" ht="21.6" customHeight="1" spans="1:17">
      <c r="A92" s="10">
        <v>8</v>
      </c>
      <c r="B92" s="11" t="s">
        <v>358</v>
      </c>
      <c r="C92" s="17" t="s">
        <v>46</v>
      </c>
      <c r="D92" s="15" t="s">
        <v>47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4">
        <v>45317.5412946667</v>
      </c>
      <c r="O92" s="575">
        <f t="shared" si="32"/>
        <v>25211.93406</v>
      </c>
      <c r="P92" s="576"/>
      <c r="Q92" s="589">
        <f t="shared" si="35"/>
        <v>138323.949356667</v>
      </c>
    </row>
    <row r="93" ht="21.6" customHeight="1" spans="1:17">
      <c r="A93" s="10">
        <v>9</v>
      </c>
      <c r="B93" s="11" t="s">
        <v>359</v>
      </c>
      <c r="C93" s="4" t="s">
        <v>360</v>
      </c>
      <c r="D93" s="10" t="s">
        <v>301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4">
        <v>33825.9865626667</v>
      </c>
      <c r="O93" s="575">
        <f t="shared" si="32"/>
        <v>17203.240744</v>
      </c>
      <c r="P93" s="576"/>
      <c r="Q93" s="589">
        <f t="shared" si="35"/>
        <v>106028.295589333</v>
      </c>
    </row>
    <row r="94" ht="21.6" customHeight="1" spans="1:17">
      <c r="A94" s="10">
        <v>10</v>
      </c>
      <c r="B94" s="11" t="s">
        <v>361</v>
      </c>
      <c r="C94" s="17" t="s">
        <v>362</v>
      </c>
      <c r="D94" s="15" t="s">
        <v>291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4">
        <v>29984.8709254267</v>
      </c>
      <c r="O94" s="575">
        <f t="shared" si="32"/>
        <v>9628.26478124</v>
      </c>
      <c r="P94" s="576"/>
      <c r="Q94" s="602">
        <f t="shared" si="35"/>
        <v>66133.388440427</v>
      </c>
    </row>
    <row r="95" ht="20.1" customHeight="1" spans="1:17">
      <c r="A95" s="10"/>
      <c r="B95" s="20" t="s">
        <v>33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2">
        <v>558913.876761427</v>
      </c>
      <c r="O95" s="582">
        <f t="shared" si="39"/>
        <v>274459.182993241</v>
      </c>
      <c r="P95" s="583"/>
      <c r="Q95" s="593">
        <f>SUM(Q85:Q94)</f>
        <v>1529550.46764509</v>
      </c>
    </row>
    <row r="96" ht="20.1" customHeight="1" spans="1:17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84"/>
      <c r="O96" s="584"/>
      <c r="P96" s="585"/>
      <c r="Q96" s="594"/>
    </row>
    <row r="97" ht="20.1" customHeight="1" spans="1:17">
      <c r="A97" s="10"/>
      <c r="B97" s="20" t="s">
        <v>58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84"/>
      <c r="O97" s="584"/>
      <c r="P97" s="585"/>
      <c r="Q97" s="594"/>
    </row>
    <row r="98" ht="20.1" customHeight="1" spans="1:17">
      <c r="A98" s="10">
        <v>1</v>
      </c>
      <c r="B98" s="14" t="s">
        <v>363</v>
      </c>
      <c r="C98" s="4" t="s">
        <v>364</v>
      </c>
      <c r="D98" s="16" t="s">
        <v>231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4">
        <v>82423.2162026667</v>
      </c>
      <c r="O98" s="575">
        <f>M98-N98</f>
        <v>47984.3114080003</v>
      </c>
      <c r="P98" s="576"/>
      <c r="Q98" s="589">
        <f>L98-O98</f>
        <v>262923.830508667</v>
      </c>
    </row>
    <row r="99" ht="20.1" customHeight="1" spans="1:17">
      <c r="A99" s="10">
        <v>2</v>
      </c>
      <c r="B99" s="11" t="s">
        <v>366</v>
      </c>
      <c r="C99" s="4" t="s">
        <v>367</v>
      </c>
      <c r="D99" s="15" t="s">
        <v>342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4">
        <v>43492.3733766667</v>
      </c>
      <c r="O99" s="575">
        <f>M99-N99</f>
        <v>29272.04753</v>
      </c>
      <c r="P99" s="576"/>
      <c r="Q99" s="589">
        <f t="shared" ref="Q99:Q101" si="42">L99-O99</f>
        <v>162078.13872</v>
      </c>
    </row>
    <row r="100" ht="20.1" customHeight="1" spans="1:17">
      <c r="A100" s="10">
        <v>3</v>
      </c>
      <c r="B100" s="11" t="s">
        <v>368</v>
      </c>
      <c r="C100" s="4" t="s">
        <v>369</v>
      </c>
      <c r="D100" s="15" t="s">
        <v>271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4">
        <v>34968.8824146667</v>
      </c>
      <c r="O100" s="575">
        <f>M100-N100</f>
        <v>21969.186492</v>
      </c>
      <c r="P100" s="576"/>
      <c r="Q100" s="589">
        <f t="shared" si="42"/>
        <v>131388.981674667</v>
      </c>
    </row>
    <row r="101" ht="20.1" customHeight="1" spans="1:17">
      <c r="A101" s="10">
        <v>4</v>
      </c>
      <c r="B101" s="11" t="s">
        <v>370</v>
      </c>
      <c r="C101" s="4" t="s">
        <v>371</v>
      </c>
      <c r="D101" s="15" t="s">
        <v>301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4">
        <v>27105.9865626667</v>
      </c>
      <c r="O101" s="575">
        <f>M101-N101</f>
        <v>16657.920664</v>
      </c>
      <c r="P101" s="576"/>
      <c r="Q101" s="589">
        <f t="shared" si="42"/>
        <v>106573.615669333</v>
      </c>
    </row>
    <row r="102" ht="20.1" customHeight="1" spans="1:17">
      <c r="A102" s="4"/>
      <c r="B102" s="20" t="s">
        <v>33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2">
        <v>187990.458556667</v>
      </c>
      <c r="O102" s="582">
        <f t="shared" si="43"/>
        <v>115883.466094</v>
      </c>
      <c r="P102" s="583"/>
      <c r="Q102" s="593">
        <f>SUM(Q98:Q101)</f>
        <v>662964.566572667</v>
      </c>
    </row>
    <row r="103" ht="20.1" customHeight="1" spans="1:17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84"/>
      <c r="O103" s="584"/>
      <c r="P103" s="585"/>
      <c r="Q103" s="594"/>
    </row>
    <row r="104" ht="20.1" customHeight="1" spans="1:17">
      <c r="A104" s="4"/>
      <c r="B104" s="20" t="s">
        <v>372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95"/>
      <c r="O104" s="595"/>
      <c r="P104" s="596"/>
      <c r="Q104" s="603"/>
    </row>
    <row r="105" ht="20.1" customHeight="1" spans="1:17">
      <c r="A105" s="4">
        <v>1</v>
      </c>
      <c r="B105" s="11" t="s">
        <v>373</v>
      </c>
      <c r="C105" s="12" t="s">
        <v>374</v>
      </c>
      <c r="D105" s="15" t="s">
        <v>297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4">
        <v>180306.806858667</v>
      </c>
      <c r="O105" s="575">
        <f t="shared" ref="O105:O111" si="44">M105-N105</f>
        <v>90365.440608</v>
      </c>
      <c r="P105" s="576"/>
      <c r="Q105" s="589">
        <f>L105-O105</f>
        <v>495145.495892</v>
      </c>
    </row>
    <row r="106" ht="20.1" customHeight="1" spans="1:17">
      <c r="A106" s="4">
        <v>2</v>
      </c>
      <c r="B106" s="11" t="s">
        <v>375</v>
      </c>
      <c r="C106" s="4" t="s">
        <v>376</v>
      </c>
      <c r="D106" s="16" t="s">
        <v>231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4">
        <v>99703.2162026667</v>
      </c>
      <c r="O106" s="575">
        <f t="shared" si="44"/>
        <v>47984.3114080003</v>
      </c>
      <c r="P106" s="576"/>
      <c r="Q106" s="589">
        <f t="shared" ref="Q106:Q111" si="47">L106-O106</f>
        <v>262923.830508667</v>
      </c>
    </row>
    <row r="107" ht="20.1" customHeight="1" spans="1:17">
      <c r="A107" s="4">
        <v>3</v>
      </c>
      <c r="B107" s="11" t="s">
        <v>377</v>
      </c>
      <c r="C107" s="4" t="s">
        <v>378</v>
      </c>
      <c r="D107" s="10" t="s">
        <v>263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4">
        <v>58814.6731034667</v>
      </c>
      <c r="O107" s="575">
        <f t="shared" si="44"/>
        <v>28761.1096</v>
      </c>
      <c r="P107" s="576"/>
      <c r="Q107" s="589">
        <f t="shared" si="47"/>
        <v>156380.729566667</v>
      </c>
    </row>
    <row r="108" ht="20.1" customHeight="1" spans="1:17">
      <c r="A108" s="4">
        <v>4</v>
      </c>
      <c r="B108" s="11" t="s">
        <v>379</v>
      </c>
      <c r="C108" s="4" t="s">
        <v>378</v>
      </c>
      <c r="D108" s="10" t="s">
        <v>263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4">
        <v>58631.4399444267</v>
      </c>
      <c r="O108" s="575">
        <f t="shared" si="44"/>
        <v>28761.1096</v>
      </c>
      <c r="P108" s="576"/>
      <c r="Q108" s="589">
        <f t="shared" si="47"/>
        <v>156380.729566667</v>
      </c>
    </row>
    <row r="109" ht="20.1" customHeight="1" spans="1:17">
      <c r="A109" s="4">
        <v>5</v>
      </c>
      <c r="B109" s="11" t="s">
        <v>380</v>
      </c>
      <c r="C109" s="4" t="s">
        <v>381</v>
      </c>
      <c r="D109" s="15" t="s">
        <v>382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4">
        <v>31871.3352033067</v>
      </c>
      <c r="O109" s="575">
        <f t="shared" si="44"/>
        <v>14868.92969952</v>
      </c>
      <c r="P109" s="576"/>
      <c r="Q109" s="589">
        <f t="shared" si="47"/>
        <v>93513.716967147</v>
      </c>
    </row>
    <row r="110" ht="20.1" customHeight="1" spans="1:17">
      <c r="A110" s="4">
        <v>6</v>
      </c>
      <c r="B110" s="18" t="s">
        <v>383</v>
      </c>
      <c r="C110" s="4" t="s">
        <v>381</v>
      </c>
      <c r="D110" s="10" t="s">
        <v>384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4">
        <v>31221.1455546667</v>
      </c>
      <c r="O110" s="575">
        <f t="shared" si="44"/>
        <v>14491.49184</v>
      </c>
      <c r="P110" s="576"/>
      <c r="Q110" s="589">
        <f t="shared" si="47"/>
        <v>91205.48816</v>
      </c>
    </row>
    <row r="111" ht="20.1" customHeight="1" spans="1:17">
      <c r="A111" s="4">
        <v>7</v>
      </c>
      <c r="B111" s="18" t="s">
        <v>385</v>
      </c>
      <c r="C111" s="4" t="s">
        <v>381</v>
      </c>
      <c r="D111" s="15" t="s">
        <v>291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4">
        <v>29984.8709254267</v>
      </c>
      <c r="O111" s="575">
        <f t="shared" si="44"/>
        <v>13755.385616</v>
      </c>
      <c r="P111" s="576"/>
      <c r="Q111" s="589">
        <f t="shared" si="47"/>
        <v>86572.463050667</v>
      </c>
    </row>
    <row r="112" ht="25.5" customHeight="1" spans="1:17">
      <c r="A112" s="4"/>
      <c r="B112" s="20" t="s">
        <v>33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7">
        <v>490533.487792627</v>
      </c>
      <c r="O112" s="597">
        <f t="shared" si="49"/>
        <v>238987.77837152</v>
      </c>
      <c r="P112" s="598"/>
      <c r="Q112" s="604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99"/>
      <c r="O113" s="599"/>
      <c r="P113" s="598"/>
      <c r="Q113" s="605"/>
    </row>
    <row r="114" ht="20.1" customHeight="1" spans="1:17">
      <c r="A114" s="10"/>
      <c r="B114" s="20" t="s">
        <v>61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84"/>
      <c r="O114" s="584"/>
      <c r="P114" s="585"/>
      <c r="Q114" s="594"/>
    </row>
    <row r="115" ht="20.1" customHeight="1" spans="1:17">
      <c r="A115" s="10">
        <v>1</v>
      </c>
      <c r="B115" s="14" t="s">
        <v>386</v>
      </c>
      <c r="C115" s="4" t="s">
        <v>310</v>
      </c>
      <c r="D115" s="10" t="s">
        <v>327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4">
        <v>77610.1169066667</v>
      </c>
      <c r="O115" s="575">
        <f>M115-N115</f>
        <v>37852.4230400003</v>
      </c>
      <c r="P115" s="576"/>
      <c r="Q115" s="589">
        <f>L115-O115</f>
        <v>207407.360293333</v>
      </c>
    </row>
    <row r="116" ht="18.75" customHeight="1" spans="1:17">
      <c r="A116" s="10">
        <v>2</v>
      </c>
      <c r="B116" s="11" t="s">
        <v>387</v>
      </c>
      <c r="C116" s="4" t="s">
        <v>388</v>
      </c>
      <c r="D116" s="15" t="s">
        <v>271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4">
        <v>43368.8824146667</v>
      </c>
      <c r="O116" s="575">
        <f>M116-N116</f>
        <v>23169.186492</v>
      </c>
      <c r="P116" s="576"/>
      <c r="Q116" s="589">
        <f t="shared" ref="Q116:Q117" si="52">L116-O116</f>
        <v>130188.981674667</v>
      </c>
    </row>
    <row r="117" ht="20.1" customHeight="1" spans="1:17">
      <c r="A117" s="10">
        <v>3</v>
      </c>
      <c r="B117" s="11" t="s">
        <v>389</v>
      </c>
      <c r="C117" s="12" t="s">
        <v>390</v>
      </c>
      <c r="D117" s="15" t="s">
        <v>391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4">
        <v>35221.9540866667</v>
      </c>
      <c r="O117" s="575">
        <f>M117-N117</f>
        <v>23758.88066</v>
      </c>
      <c r="P117" s="576"/>
      <c r="Q117" s="589">
        <f t="shared" si="52"/>
        <v>139707.62059</v>
      </c>
    </row>
    <row r="118" ht="24.75" customHeight="1" spans="1:17">
      <c r="A118" s="4"/>
      <c r="B118" s="20" t="s">
        <v>33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2">
        <v>156200.953408</v>
      </c>
      <c r="O118" s="582">
        <f t="shared" si="53"/>
        <v>84780.4901920003</v>
      </c>
      <c r="P118" s="583"/>
      <c r="Q118" s="593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0"/>
      <c r="O119" s="600"/>
      <c r="P119" s="601"/>
      <c r="Q119" s="606"/>
    </row>
    <row r="120" ht="20.1" customHeight="1" spans="1:17">
      <c r="A120" s="4"/>
      <c r="B120" s="20" t="s">
        <v>67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84"/>
      <c r="O120" s="584"/>
      <c r="P120" s="585"/>
      <c r="Q120" s="594"/>
    </row>
    <row r="121" ht="20.1" customHeight="1" spans="1:17">
      <c r="A121" s="4">
        <v>1</v>
      </c>
      <c r="B121" s="11" t="s">
        <v>392</v>
      </c>
      <c r="C121" s="12" t="s">
        <v>393</v>
      </c>
      <c r="D121" s="15" t="s">
        <v>297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4">
        <v>179914.454762667</v>
      </c>
      <c r="O121" s="575">
        <f t="shared" ref="O121:O130" si="54">M121-N121</f>
        <v>90365.440608</v>
      </c>
      <c r="P121" s="576"/>
      <c r="Q121" s="589">
        <f>L121-O121</f>
        <v>495145.495892</v>
      </c>
    </row>
    <row r="122" ht="20.1" customHeight="1" spans="1:17">
      <c r="A122" s="4">
        <v>2</v>
      </c>
      <c r="B122" s="11" t="s">
        <v>128</v>
      </c>
      <c r="C122" s="12" t="s">
        <v>394</v>
      </c>
      <c r="D122" s="15" t="s">
        <v>308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4">
        <v>98995.9569386667</v>
      </c>
      <c r="O122" s="575">
        <f t="shared" si="54"/>
        <v>46526.0737760003</v>
      </c>
      <c r="P122" s="576"/>
      <c r="Q122" s="589">
        <f t="shared" ref="Q122:Q130" si="57">L122-O122</f>
        <v>254933.513807333</v>
      </c>
    </row>
    <row r="123" ht="20.1" customHeight="1" spans="1:17">
      <c r="A123" s="4">
        <v>3</v>
      </c>
      <c r="B123" s="14" t="s">
        <v>395</v>
      </c>
      <c r="C123" s="12" t="s">
        <v>227</v>
      </c>
      <c r="D123" s="15" t="s">
        <v>249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4">
        <v>89396.1031466666</v>
      </c>
      <c r="O123" s="575">
        <f t="shared" si="54"/>
        <v>39065.8625600004</v>
      </c>
      <c r="P123" s="576"/>
      <c r="Q123" s="589">
        <f t="shared" si="57"/>
        <v>214056.218273333</v>
      </c>
    </row>
    <row r="124" ht="20.1" customHeight="1" spans="1:17">
      <c r="A124" s="4">
        <v>4</v>
      </c>
      <c r="B124" s="14" t="s">
        <v>226</v>
      </c>
      <c r="C124" s="12" t="s">
        <v>227</v>
      </c>
      <c r="D124" s="15" t="s">
        <v>228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4">
        <v>60214.6772906667</v>
      </c>
      <c r="O124" s="575">
        <f t="shared" si="54"/>
        <v>45578.6613760003</v>
      </c>
      <c r="P124" s="576"/>
      <c r="Q124" s="589">
        <f t="shared" si="57"/>
        <v>191810.199957333</v>
      </c>
    </row>
    <row r="125" ht="20.1" customHeight="1" spans="1:17">
      <c r="A125" s="4">
        <v>5</v>
      </c>
      <c r="B125" s="11" t="s">
        <v>396</v>
      </c>
      <c r="C125" s="12" t="s">
        <v>397</v>
      </c>
      <c r="D125" s="15" t="s">
        <v>257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4">
        <v>44846.6165886667</v>
      </c>
      <c r="O125" s="575">
        <f t="shared" si="54"/>
        <v>30368.816798</v>
      </c>
      <c r="P125" s="576"/>
      <c r="Q125" s="589">
        <f t="shared" si="57"/>
        <v>166796.147952</v>
      </c>
    </row>
    <row r="126" ht="20.1" customHeight="1" spans="1:17">
      <c r="A126" s="4">
        <v>6</v>
      </c>
      <c r="B126" s="11" t="s">
        <v>398</v>
      </c>
      <c r="C126" s="12" t="s">
        <v>399</v>
      </c>
      <c r="D126" s="15" t="s">
        <v>260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4">
        <v>42029.5891866667</v>
      </c>
      <c r="O126" s="575">
        <f t="shared" si="54"/>
        <v>28159.71956</v>
      </c>
      <c r="P126" s="576"/>
      <c r="Q126" s="589">
        <f t="shared" si="57"/>
        <v>157375.41294</v>
      </c>
    </row>
    <row r="127" ht="20.1" customHeight="1" spans="1:17">
      <c r="A127" s="4">
        <v>7</v>
      </c>
      <c r="B127" s="11" t="s">
        <v>400</v>
      </c>
      <c r="C127" s="12" t="s">
        <v>397</v>
      </c>
      <c r="D127" s="15" t="s">
        <v>342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4">
        <v>43380.0962466667</v>
      </c>
      <c r="O127" s="575">
        <f t="shared" si="54"/>
        <v>29256.00794</v>
      </c>
      <c r="P127" s="576"/>
      <c r="Q127" s="589">
        <f t="shared" si="57"/>
        <v>162094.17831</v>
      </c>
    </row>
    <row r="128" ht="20.1" customHeight="1" spans="1:17">
      <c r="A128" s="4">
        <v>8</v>
      </c>
      <c r="B128" s="11" t="s">
        <v>401</v>
      </c>
      <c r="C128" s="12" t="s">
        <v>402</v>
      </c>
      <c r="D128" s="10" t="s">
        <v>279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4">
        <v>23036.0123466667</v>
      </c>
      <c r="O128" s="575">
        <f t="shared" si="54"/>
        <v>16016.30072</v>
      </c>
      <c r="P128" s="576"/>
      <c r="Q128" s="589">
        <f t="shared" si="57"/>
        <v>100957.355946667</v>
      </c>
    </row>
    <row r="129" ht="20.1" customHeight="1" spans="1:17">
      <c r="A129" s="4">
        <v>9</v>
      </c>
      <c r="B129" s="18" t="s">
        <v>403</v>
      </c>
      <c r="C129" s="12" t="s">
        <v>404</v>
      </c>
      <c r="D129" s="15" t="s">
        <v>294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4">
        <v>17042.7138666667</v>
      </c>
      <c r="O129" s="575">
        <f t="shared" si="54"/>
        <v>13216.45176</v>
      </c>
      <c r="P129" s="576"/>
      <c r="Q129" s="589">
        <f t="shared" si="57"/>
        <v>84427.19824</v>
      </c>
    </row>
    <row r="130" ht="20.1" customHeight="1" spans="1:17">
      <c r="A130" s="4">
        <v>10</v>
      </c>
      <c r="B130" s="18" t="s">
        <v>405</v>
      </c>
      <c r="C130" s="12" t="s">
        <v>69</v>
      </c>
      <c r="D130" s="15" t="s">
        <v>294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4">
        <v>17042.7138666667</v>
      </c>
      <c r="O130" s="575">
        <f t="shared" si="54"/>
        <v>13216.45176</v>
      </c>
      <c r="P130" s="576"/>
      <c r="Q130" s="589">
        <f t="shared" si="57"/>
        <v>84427.19824</v>
      </c>
    </row>
    <row r="131" ht="28.5" customHeight="1" spans="1:17">
      <c r="A131" s="4"/>
      <c r="B131" s="20" t="s">
        <v>33</v>
      </c>
      <c r="C131" s="26" t="s">
        <v>406</v>
      </c>
      <c r="D131" s="15"/>
      <c r="E131" s="146">
        <f>SUM(E121:E130)</f>
        <v>5466985.16666667</v>
      </c>
      <c r="F131" s="146">
        <f t="shared" ref="F131:O131" si="59">SUM(F121:F130)</f>
        <v>0</v>
      </c>
      <c r="G131" s="146">
        <f t="shared" si="59"/>
        <v>0</v>
      </c>
      <c r="H131" s="146">
        <f t="shared" si="59"/>
        <v>720000</v>
      </c>
      <c r="I131" s="146">
        <f t="shared" si="59"/>
        <v>330000</v>
      </c>
      <c r="J131" s="146">
        <f t="shared" si="59"/>
        <v>6516985.16666667</v>
      </c>
      <c r="K131" s="146">
        <v>4253192.46025</v>
      </c>
      <c r="L131" s="146">
        <f t="shared" si="59"/>
        <v>2263792.70641667</v>
      </c>
      <c r="M131" s="146">
        <f t="shared" si="59"/>
        <v>967668.721098668</v>
      </c>
      <c r="N131" s="607">
        <v>615898.934240667</v>
      </c>
      <c r="O131" s="607">
        <f t="shared" si="59"/>
        <v>351769.786858001</v>
      </c>
      <c r="P131" s="585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84"/>
      <c r="O132" s="584"/>
      <c r="P132" s="585"/>
      <c r="Q132" s="594"/>
    </row>
    <row r="133" ht="20.1" customHeight="1" spans="1:17">
      <c r="A133" s="4"/>
      <c r="B133" s="20" t="s">
        <v>71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4"/>
      <c r="O133" s="574"/>
      <c r="P133" s="580"/>
      <c r="Q133" s="592"/>
    </row>
    <row r="134" ht="20.1" customHeight="1" spans="1:17">
      <c r="A134" s="27">
        <v>1</v>
      </c>
      <c r="B134" s="11" t="s">
        <v>407</v>
      </c>
      <c r="C134" s="12" t="s">
        <v>408</v>
      </c>
      <c r="D134" s="15" t="s">
        <v>297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4">
        <v>161106.806858667</v>
      </c>
      <c r="O134" s="575">
        <f t="shared" ref="O134:O192" si="60">M134-N134</f>
        <v>90365.440608</v>
      </c>
      <c r="P134" s="576"/>
      <c r="Q134" s="589">
        <f>L134-O134</f>
        <v>495145.495892</v>
      </c>
    </row>
    <row r="135" ht="20.1" customHeight="1" spans="1:17">
      <c r="A135" s="27">
        <v>2</v>
      </c>
      <c r="B135" s="11" t="s">
        <v>229</v>
      </c>
      <c r="C135" s="12" t="s">
        <v>230</v>
      </c>
      <c r="D135" s="15" t="s">
        <v>231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4">
        <v>82627.9514186667</v>
      </c>
      <c r="O135" s="575">
        <f t="shared" si="60"/>
        <v>59694.3632480003</v>
      </c>
      <c r="P135" s="576"/>
      <c r="Q135" s="589">
        <f t="shared" ref="Q135:Q192" si="63">L135-O135</f>
        <v>251213.778668667</v>
      </c>
    </row>
    <row r="136" ht="20.1" customHeight="1" spans="1:17">
      <c r="A136" s="27">
        <v>3</v>
      </c>
      <c r="B136" s="14" t="s">
        <v>409</v>
      </c>
      <c r="C136" s="4" t="s">
        <v>410</v>
      </c>
      <c r="D136" s="16" t="s">
        <v>231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4">
        <v>92023.2162026667</v>
      </c>
      <c r="O136" s="575">
        <f t="shared" si="60"/>
        <v>47984.3114080003</v>
      </c>
      <c r="P136" s="576"/>
      <c r="Q136" s="589">
        <f t="shared" si="63"/>
        <v>262923.830508667</v>
      </c>
    </row>
    <row r="137" ht="20.1" customHeight="1" spans="1:17">
      <c r="A137" s="27">
        <v>4</v>
      </c>
      <c r="B137" s="11" t="s">
        <v>411</v>
      </c>
      <c r="C137" s="12" t="s">
        <v>412</v>
      </c>
      <c r="D137" s="15" t="s">
        <v>254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4">
        <v>46081.2025986667</v>
      </c>
      <c r="O137" s="575">
        <f t="shared" si="60"/>
        <v>31448.49218</v>
      </c>
      <c r="P137" s="576"/>
      <c r="Q137" s="589">
        <f t="shared" si="63"/>
        <v>171531.25107</v>
      </c>
    </row>
    <row r="138" ht="20.1" customHeight="1" spans="1:17">
      <c r="A138" s="27">
        <v>5</v>
      </c>
      <c r="B138" s="11" t="s">
        <v>413</v>
      </c>
      <c r="C138" s="4" t="s">
        <v>414</v>
      </c>
      <c r="D138" s="15" t="s">
        <v>254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4">
        <v>46081.2025986667</v>
      </c>
      <c r="O138" s="575">
        <f t="shared" si="60"/>
        <v>31448.49218</v>
      </c>
      <c r="P138" s="576"/>
      <c r="Q138" s="589">
        <f t="shared" si="63"/>
        <v>171531.25107</v>
      </c>
    </row>
    <row r="139" ht="20.1" customHeight="1" spans="1:17">
      <c r="A139" s="27">
        <v>6</v>
      </c>
      <c r="B139" s="11" t="s">
        <v>415</v>
      </c>
      <c r="C139" s="4" t="s">
        <v>414</v>
      </c>
      <c r="D139" s="15" t="s">
        <v>254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4">
        <v>46081.2025986667</v>
      </c>
      <c r="O139" s="575">
        <f t="shared" si="60"/>
        <v>31448.49218</v>
      </c>
      <c r="P139" s="576"/>
      <c r="Q139" s="589">
        <f t="shared" si="63"/>
        <v>171531.25107</v>
      </c>
    </row>
    <row r="140" ht="20.1" customHeight="1" spans="1:17">
      <c r="A140" s="27">
        <v>7</v>
      </c>
      <c r="B140" s="11" t="s">
        <v>416</v>
      </c>
      <c r="C140" s="12" t="s">
        <v>417</v>
      </c>
      <c r="D140" s="15" t="s">
        <v>391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4">
        <v>35221.9540866667</v>
      </c>
      <c r="O140" s="575">
        <f t="shared" si="60"/>
        <v>23758.88066</v>
      </c>
      <c r="P140" s="576"/>
      <c r="Q140" s="589">
        <f t="shared" si="63"/>
        <v>139707.62059</v>
      </c>
    </row>
    <row r="141" ht="20.1" customHeight="1" spans="1:17">
      <c r="A141" s="27">
        <v>8</v>
      </c>
      <c r="B141" s="11" t="s">
        <v>418</v>
      </c>
      <c r="C141" s="12" t="s">
        <v>417</v>
      </c>
      <c r="D141" s="15" t="s">
        <v>391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4">
        <v>35318.8264566667</v>
      </c>
      <c r="O141" s="575">
        <f t="shared" si="60"/>
        <v>23772.71957</v>
      </c>
      <c r="P141" s="576"/>
      <c r="Q141" s="589">
        <f t="shared" si="63"/>
        <v>139693.78168</v>
      </c>
    </row>
    <row r="142" ht="20.1" customHeight="1" spans="1:17">
      <c r="A142" s="27">
        <v>9</v>
      </c>
      <c r="B142" s="11" t="s">
        <v>419</v>
      </c>
      <c r="C142" s="4" t="s">
        <v>420</v>
      </c>
      <c r="D142" s="15" t="s">
        <v>391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4">
        <v>35318.8264566667</v>
      </c>
      <c r="O142" s="575">
        <f t="shared" si="60"/>
        <v>23772.71957</v>
      </c>
      <c r="P142" s="576"/>
      <c r="Q142" s="589">
        <f t="shared" si="63"/>
        <v>139693.78168</v>
      </c>
    </row>
    <row r="143" ht="20.1" customHeight="1" spans="1:17">
      <c r="A143" s="27">
        <v>10</v>
      </c>
      <c r="B143" s="11" t="s">
        <v>421</v>
      </c>
      <c r="C143" s="12" t="s">
        <v>422</v>
      </c>
      <c r="D143" s="15" t="s">
        <v>271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4">
        <v>34968.8824146667</v>
      </c>
      <c r="O143" s="575">
        <f t="shared" si="60"/>
        <v>21969.186492</v>
      </c>
      <c r="P143" s="576"/>
      <c r="Q143" s="589">
        <f t="shared" si="63"/>
        <v>131388.981674667</v>
      </c>
    </row>
    <row r="144" ht="20.1" customHeight="1" spans="1:17">
      <c r="A144" s="27">
        <v>11</v>
      </c>
      <c r="B144" s="11" t="s">
        <v>423</v>
      </c>
      <c r="C144" s="12" t="s">
        <v>424</v>
      </c>
      <c r="D144" s="15" t="s">
        <v>332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4">
        <v>32848.5634026667</v>
      </c>
      <c r="O144" s="575">
        <f t="shared" si="60"/>
        <v>21832.72816</v>
      </c>
      <c r="P144" s="576"/>
      <c r="Q144" s="589">
        <f t="shared" si="63"/>
        <v>131417.031173333</v>
      </c>
    </row>
    <row r="145" ht="20.1" customHeight="1" spans="1:17">
      <c r="A145" s="27">
        <v>12</v>
      </c>
      <c r="B145" s="11" t="s">
        <v>425</v>
      </c>
      <c r="C145" s="12" t="s">
        <v>426</v>
      </c>
      <c r="D145" s="15" t="s">
        <v>391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4">
        <v>35221.9540866667</v>
      </c>
      <c r="O145" s="575">
        <f t="shared" si="60"/>
        <v>23758.88066</v>
      </c>
      <c r="P145" s="576"/>
      <c r="Q145" s="589">
        <f t="shared" si="63"/>
        <v>139707.62059</v>
      </c>
    </row>
    <row r="146" ht="20.1" customHeight="1" spans="1:17">
      <c r="A146" s="27">
        <v>13</v>
      </c>
      <c r="B146" s="18" t="s">
        <v>427</v>
      </c>
      <c r="C146" s="4" t="s">
        <v>428</v>
      </c>
      <c r="D146" s="15" t="s">
        <v>41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4">
        <v>31749.1752666667</v>
      </c>
      <c r="O146" s="575">
        <f t="shared" si="60"/>
        <v>20881.9394</v>
      </c>
      <c r="P146" s="576"/>
      <c r="Q146" s="589">
        <f t="shared" si="63"/>
        <v>127258.4856</v>
      </c>
    </row>
    <row r="147" ht="20.1" customHeight="1" spans="1:17">
      <c r="A147" s="27">
        <v>14</v>
      </c>
      <c r="B147" s="11" t="s">
        <v>429</v>
      </c>
      <c r="C147" s="4" t="s">
        <v>430</v>
      </c>
      <c r="D147" s="15" t="s">
        <v>345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4">
        <v>27105.9865626667</v>
      </c>
      <c r="O147" s="575">
        <f t="shared" si="60"/>
        <v>17884.495944</v>
      </c>
      <c r="P147" s="576"/>
      <c r="Q147" s="589">
        <f t="shared" si="63"/>
        <v>113282.957056</v>
      </c>
    </row>
    <row r="148" ht="20.1" customHeight="1" spans="1:17">
      <c r="A148" s="27">
        <v>15</v>
      </c>
      <c r="B148" s="11" t="s">
        <v>431</v>
      </c>
      <c r="C148" s="4" t="s">
        <v>430</v>
      </c>
      <c r="D148" s="15" t="s">
        <v>432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4">
        <v>27794.2066266667</v>
      </c>
      <c r="O148" s="575">
        <f t="shared" si="60"/>
        <v>18343.9781</v>
      </c>
      <c r="P148" s="576"/>
      <c r="Q148" s="589">
        <f t="shared" si="63"/>
        <v>116193.361066667</v>
      </c>
    </row>
    <row r="149" ht="20.1" customHeight="1" spans="1:17">
      <c r="A149" s="27">
        <v>16</v>
      </c>
      <c r="B149" s="11" t="s">
        <v>433</v>
      </c>
      <c r="C149" s="4" t="s">
        <v>430</v>
      </c>
      <c r="D149" s="15" t="s">
        <v>432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4">
        <v>27873.0796866667</v>
      </c>
      <c r="O149" s="575">
        <f t="shared" si="60"/>
        <v>18343.9781</v>
      </c>
      <c r="P149" s="576"/>
      <c r="Q149" s="589">
        <f t="shared" si="63"/>
        <v>116193.361066667</v>
      </c>
    </row>
    <row r="150" ht="20.1" customHeight="1" spans="1:17">
      <c r="A150" s="27">
        <v>17</v>
      </c>
      <c r="B150" s="11" t="s">
        <v>434</v>
      </c>
      <c r="C150" s="12" t="s">
        <v>435</v>
      </c>
      <c r="D150" s="15" t="s">
        <v>301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4">
        <v>27105.9865626667</v>
      </c>
      <c r="O150" s="575">
        <f t="shared" si="60"/>
        <v>16657.920664</v>
      </c>
      <c r="P150" s="576"/>
      <c r="Q150" s="589">
        <f t="shared" si="63"/>
        <v>106573.615669333</v>
      </c>
    </row>
    <row r="151" ht="20.1" customHeight="1" spans="1:17">
      <c r="A151" s="27">
        <v>18</v>
      </c>
      <c r="B151" s="11" t="s">
        <v>436</v>
      </c>
      <c r="C151" s="12" t="s">
        <v>437</v>
      </c>
      <c r="D151" s="10" t="s">
        <v>283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4">
        <v>22338.4826046667</v>
      </c>
      <c r="O151" s="575">
        <f t="shared" si="60"/>
        <v>15583.017982</v>
      </c>
      <c r="P151" s="576"/>
      <c r="Q151" s="589">
        <f t="shared" si="63"/>
        <v>98226.268101333</v>
      </c>
    </row>
    <row r="152" ht="20.1" customHeight="1" spans="1:17">
      <c r="A152" s="27">
        <v>19</v>
      </c>
      <c r="B152" s="11" t="s">
        <v>438</v>
      </c>
      <c r="C152" s="12" t="s">
        <v>439</v>
      </c>
      <c r="D152" s="15" t="s">
        <v>345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4">
        <v>27105.9865626667</v>
      </c>
      <c r="O152" s="575">
        <f t="shared" si="60"/>
        <v>17884.495944</v>
      </c>
      <c r="P152" s="576"/>
      <c r="Q152" s="589">
        <f t="shared" si="63"/>
        <v>113282.957056</v>
      </c>
    </row>
    <row r="153" ht="20.1" customHeight="1" spans="1:17">
      <c r="A153" s="27">
        <v>20</v>
      </c>
      <c r="B153" s="11" t="s">
        <v>440</v>
      </c>
      <c r="C153" s="12" t="s">
        <v>441</v>
      </c>
      <c r="D153" s="15" t="s">
        <v>279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4">
        <v>23036.0123466667</v>
      </c>
      <c r="O153" s="575">
        <f t="shared" si="60"/>
        <v>16016.30072</v>
      </c>
      <c r="P153" s="576"/>
      <c r="Q153" s="589">
        <f t="shared" si="63"/>
        <v>100957.355946667</v>
      </c>
    </row>
    <row r="154" ht="20.1" customHeight="1" spans="1:17">
      <c r="A154" s="27">
        <v>21</v>
      </c>
      <c r="B154" s="11" t="s">
        <v>442</v>
      </c>
      <c r="C154" s="12" t="s">
        <v>443</v>
      </c>
      <c r="D154" s="15" t="s">
        <v>345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4">
        <v>27029.2036746667</v>
      </c>
      <c r="O154" s="575">
        <f t="shared" si="60"/>
        <v>17884.495944</v>
      </c>
      <c r="P154" s="576"/>
      <c r="Q154" s="589">
        <f t="shared" si="63"/>
        <v>113282.957056</v>
      </c>
    </row>
    <row r="155" ht="20.1" customHeight="1" spans="1:17">
      <c r="A155" s="27">
        <v>22</v>
      </c>
      <c r="B155" s="11" t="s">
        <v>444</v>
      </c>
      <c r="C155" s="12" t="s">
        <v>445</v>
      </c>
      <c r="D155" s="15" t="s">
        <v>279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4">
        <v>22338.4826046667</v>
      </c>
      <c r="O155" s="575">
        <f t="shared" si="60"/>
        <v>16713.830462</v>
      </c>
      <c r="P155" s="576"/>
      <c r="Q155" s="589">
        <f t="shared" si="63"/>
        <v>104411.788954667</v>
      </c>
    </row>
    <row r="156" ht="20.1" customHeight="1" spans="1:17">
      <c r="A156" s="27">
        <v>23</v>
      </c>
      <c r="B156" s="18" t="s">
        <v>446</v>
      </c>
      <c r="C156" s="12" t="s">
        <v>447</v>
      </c>
      <c r="D156" s="15" t="s">
        <v>24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4">
        <v>21640.9528626667</v>
      </c>
      <c r="O156" s="575">
        <f t="shared" si="60"/>
        <v>15149.735244</v>
      </c>
      <c r="P156" s="576"/>
      <c r="Q156" s="589">
        <f t="shared" si="63"/>
        <v>95495.180256</v>
      </c>
    </row>
    <row r="157" ht="20.1" customHeight="1" spans="1:17">
      <c r="A157" s="27">
        <v>24</v>
      </c>
      <c r="B157" s="18" t="s">
        <v>448</v>
      </c>
      <c r="C157" s="12" t="s">
        <v>449</v>
      </c>
      <c r="D157" s="15" t="s">
        <v>294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4">
        <v>17042.7138666667</v>
      </c>
      <c r="O157" s="575">
        <f t="shared" si="60"/>
        <v>13216.45176</v>
      </c>
      <c r="P157" s="576"/>
      <c r="Q157" s="589">
        <f t="shared" si="63"/>
        <v>84427.19824</v>
      </c>
    </row>
    <row r="158" ht="20.1" customHeight="1" spans="1:17">
      <c r="A158" s="27">
        <v>25</v>
      </c>
      <c r="B158" s="18" t="s">
        <v>450</v>
      </c>
      <c r="C158" s="12" t="s">
        <v>451</v>
      </c>
      <c r="D158" s="15" t="s">
        <v>294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4">
        <v>17042.7138666667</v>
      </c>
      <c r="O158" s="575">
        <f t="shared" si="60"/>
        <v>13216.45176</v>
      </c>
      <c r="P158" s="576"/>
      <c r="Q158" s="589">
        <f t="shared" si="63"/>
        <v>84427.19824</v>
      </c>
    </row>
    <row r="159" ht="20.1" customHeight="1" spans="1:17">
      <c r="A159" s="27">
        <v>26</v>
      </c>
      <c r="B159" s="18" t="s">
        <v>452</v>
      </c>
      <c r="C159" s="12" t="s">
        <v>453</v>
      </c>
      <c r="D159" s="15" t="s">
        <v>294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4">
        <v>17042.7138666667</v>
      </c>
      <c r="O159" s="575">
        <f t="shared" si="60"/>
        <v>13216.45176</v>
      </c>
      <c r="P159" s="576"/>
      <c r="Q159" s="589">
        <f t="shared" si="63"/>
        <v>84427.19824</v>
      </c>
    </row>
    <row r="160" ht="20.1" customHeight="1" spans="1:17">
      <c r="A160" s="27">
        <v>27</v>
      </c>
      <c r="B160" s="18" t="s">
        <v>454</v>
      </c>
      <c r="C160" s="12" t="s">
        <v>455</v>
      </c>
      <c r="D160" s="15" t="s">
        <v>291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4">
        <v>17572.8850026667</v>
      </c>
      <c r="O160" s="575">
        <f t="shared" si="60"/>
        <v>13640.250704</v>
      </c>
      <c r="P160" s="576"/>
      <c r="Q160" s="589">
        <f t="shared" si="63"/>
        <v>86687.597962667</v>
      </c>
    </row>
    <row r="161" ht="20.1" customHeight="1" spans="1:17">
      <c r="A161" s="27">
        <v>28</v>
      </c>
      <c r="B161" s="18" t="s">
        <v>456</v>
      </c>
      <c r="C161" s="12" t="s">
        <v>451</v>
      </c>
      <c r="D161" s="15" t="s">
        <v>294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4">
        <v>17042.7138666667</v>
      </c>
      <c r="O161" s="575">
        <f t="shared" si="60"/>
        <v>13216.45176</v>
      </c>
      <c r="P161" s="576"/>
      <c r="Q161" s="589">
        <f t="shared" si="63"/>
        <v>84427.19824</v>
      </c>
    </row>
    <row r="162" ht="20.1" customHeight="1" spans="1:17">
      <c r="A162" s="27">
        <v>29</v>
      </c>
      <c r="B162" s="11" t="s">
        <v>457</v>
      </c>
      <c r="C162" s="12" t="s">
        <v>458</v>
      </c>
      <c r="D162" s="15" t="s">
        <v>459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4">
        <v>10739.3048</v>
      </c>
      <c r="O162" s="575">
        <f t="shared" si="60"/>
        <v>8153.6785866667</v>
      </c>
      <c r="P162" s="576"/>
      <c r="Q162" s="589">
        <f t="shared" si="63"/>
        <v>58853.7580800003</v>
      </c>
    </row>
    <row r="163" ht="20.1" customHeight="1" spans="1:17">
      <c r="A163" s="27">
        <v>30</v>
      </c>
      <c r="B163" s="11" t="s">
        <v>460</v>
      </c>
      <c r="C163" s="12" t="s">
        <v>458</v>
      </c>
      <c r="D163" s="15" t="s">
        <v>459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4">
        <v>11232.4576266667</v>
      </c>
      <c r="O163" s="575">
        <f t="shared" si="60"/>
        <v>8208.74168</v>
      </c>
      <c r="P163" s="576"/>
      <c r="Q163" s="589">
        <f t="shared" si="63"/>
        <v>58798.694986667</v>
      </c>
    </row>
    <row r="164" ht="20.1" customHeight="1" spans="1:17">
      <c r="A164" s="27">
        <v>31</v>
      </c>
      <c r="B164" s="11" t="s">
        <v>461</v>
      </c>
      <c r="C164" s="12" t="s">
        <v>458</v>
      </c>
      <c r="D164" s="15" t="s">
        <v>459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4">
        <v>10776.4576266667</v>
      </c>
      <c r="O164" s="575">
        <f t="shared" si="60"/>
        <v>8160.74168</v>
      </c>
      <c r="P164" s="576"/>
      <c r="Q164" s="589">
        <f t="shared" si="63"/>
        <v>58846.694986667</v>
      </c>
    </row>
    <row r="165" ht="20.1" customHeight="1" spans="1:17">
      <c r="A165" s="27">
        <v>32</v>
      </c>
      <c r="B165" s="11" t="s">
        <v>462</v>
      </c>
      <c r="C165" s="12" t="s">
        <v>458</v>
      </c>
      <c r="D165" s="15" t="s">
        <v>459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4">
        <v>10739.3048</v>
      </c>
      <c r="O165" s="575">
        <f t="shared" si="60"/>
        <v>8153.6785866667</v>
      </c>
      <c r="P165" s="576"/>
      <c r="Q165" s="589">
        <f t="shared" si="63"/>
        <v>58853.7580800003</v>
      </c>
    </row>
    <row r="166" ht="20.1" customHeight="1" spans="1:17">
      <c r="A166" s="27">
        <v>33</v>
      </c>
      <c r="B166" s="11" t="s">
        <v>463</v>
      </c>
      <c r="C166" s="12" t="s">
        <v>458</v>
      </c>
      <c r="D166" s="15" t="s">
        <v>459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4">
        <v>10776.4576266667</v>
      </c>
      <c r="O166" s="575">
        <f t="shared" si="60"/>
        <v>8160.74168</v>
      </c>
      <c r="P166" s="576"/>
      <c r="Q166" s="589">
        <f t="shared" si="63"/>
        <v>58846.694986667</v>
      </c>
    </row>
    <row r="167" ht="20.1" customHeight="1" spans="1:17">
      <c r="A167" s="27">
        <v>34</v>
      </c>
      <c r="B167" s="11" t="s">
        <v>464</v>
      </c>
      <c r="C167" s="12" t="s">
        <v>458</v>
      </c>
      <c r="D167" s="15" t="s">
        <v>465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4">
        <v>11232.4576266667</v>
      </c>
      <c r="O167" s="575">
        <f t="shared" si="60"/>
        <v>7399.2318133333</v>
      </c>
      <c r="P167" s="576"/>
      <c r="Q167" s="589">
        <f t="shared" si="63"/>
        <v>54346.8715199997</v>
      </c>
    </row>
    <row r="168" ht="20.1" customHeight="1" spans="1:17">
      <c r="A168" s="27">
        <v>35</v>
      </c>
      <c r="B168" s="11" t="s">
        <v>466</v>
      </c>
      <c r="C168" s="12" t="s">
        <v>458</v>
      </c>
      <c r="D168" s="15" t="s">
        <v>465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4">
        <v>10776.4576266667</v>
      </c>
      <c r="O168" s="575">
        <f t="shared" si="60"/>
        <v>7399.2318133333</v>
      </c>
      <c r="P168" s="576"/>
      <c r="Q168" s="589">
        <f t="shared" si="63"/>
        <v>54346.8715199997</v>
      </c>
    </row>
    <row r="169" ht="20.1" customHeight="1" spans="1:17">
      <c r="A169" s="27">
        <v>36</v>
      </c>
      <c r="B169" s="14" t="s">
        <v>467</v>
      </c>
      <c r="C169" s="12" t="s">
        <v>458</v>
      </c>
      <c r="D169" s="15" t="s">
        <v>465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4">
        <v>11232.4576266667</v>
      </c>
      <c r="O169" s="575">
        <f t="shared" si="60"/>
        <v>7399.2318133333</v>
      </c>
      <c r="P169" s="576"/>
      <c r="Q169" s="589">
        <f t="shared" si="63"/>
        <v>54346.8715199997</v>
      </c>
    </row>
    <row r="170" ht="20.1" customHeight="1" spans="1:17">
      <c r="A170" s="27">
        <v>37</v>
      </c>
      <c r="B170" s="11" t="s">
        <v>468</v>
      </c>
      <c r="C170" s="12" t="s">
        <v>458</v>
      </c>
      <c r="D170" s="15" t="s">
        <v>465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4">
        <v>10776.4576266667</v>
      </c>
      <c r="O170" s="575">
        <f t="shared" si="60"/>
        <v>7399.2318133333</v>
      </c>
      <c r="P170" s="576"/>
      <c r="Q170" s="589">
        <f t="shared" si="63"/>
        <v>54346.8715199997</v>
      </c>
    </row>
    <row r="171" ht="20.1" customHeight="1" spans="1:17">
      <c r="A171" s="27">
        <v>38</v>
      </c>
      <c r="B171" s="18" t="s">
        <v>469</v>
      </c>
      <c r="C171" s="12" t="s">
        <v>458</v>
      </c>
      <c r="D171" s="15" t="s">
        <v>465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4">
        <v>10776.4576266667</v>
      </c>
      <c r="O171" s="575">
        <f t="shared" si="60"/>
        <v>7399.2318133333</v>
      </c>
      <c r="P171" s="576"/>
      <c r="Q171" s="589">
        <f t="shared" si="63"/>
        <v>54346.8715199997</v>
      </c>
    </row>
    <row r="172" ht="20.1" customHeight="1" spans="1:17">
      <c r="A172" s="27">
        <v>39</v>
      </c>
      <c r="B172" s="18" t="s">
        <v>470</v>
      </c>
      <c r="C172" s="12" t="s">
        <v>458</v>
      </c>
      <c r="D172" s="15" t="s">
        <v>465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4">
        <v>11232.4576266667</v>
      </c>
      <c r="O172" s="575">
        <f t="shared" si="60"/>
        <v>7399.2318133333</v>
      </c>
      <c r="P172" s="576"/>
      <c r="Q172" s="589">
        <f t="shared" si="63"/>
        <v>54346.8715199997</v>
      </c>
    </row>
    <row r="173" ht="20.1" customHeight="1" spans="1:17">
      <c r="A173" s="27">
        <v>40</v>
      </c>
      <c r="B173" s="11" t="s">
        <v>471</v>
      </c>
      <c r="C173" s="12" t="s">
        <v>472</v>
      </c>
      <c r="D173" s="15" t="s">
        <v>473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4">
        <v>9152.59979</v>
      </c>
      <c r="O173" s="575">
        <f t="shared" si="60"/>
        <v>8007.5999433333</v>
      </c>
      <c r="P173" s="576"/>
      <c r="Q173" s="589">
        <f t="shared" si="63"/>
        <v>59701.5684733337</v>
      </c>
    </row>
    <row r="174" ht="20.1" customHeight="1" spans="1:17">
      <c r="A174" s="27">
        <v>41</v>
      </c>
      <c r="B174" s="11" t="s">
        <v>474</v>
      </c>
      <c r="C174" s="12" t="s">
        <v>472</v>
      </c>
      <c r="D174" s="15" t="s">
        <v>473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4">
        <v>9152.59979</v>
      </c>
      <c r="O174" s="575">
        <f t="shared" si="60"/>
        <v>8007.5999433333</v>
      </c>
      <c r="P174" s="576"/>
      <c r="Q174" s="589">
        <f t="shared" si="63"/>
        <v>59701.5684733337</v>
      </c>
    </row>
    <row r="175" ht="20.1" customHeight="1" spans="1:17">
      <c r="A175" s="27">
        <v>42</v>
      </c>
      <c r="B175" s="18" t="s">
        <v>475</v>
      </c>
      <c r="C175" s="12" t="s">
        <v>472</v>
      </c>
      <c r="D175" s="15" t="s">
        <v>476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4">
        <v>9504.20414</v>
      </c>
      <c r="O175" s="575">
        <f t="shared" si="60"/>
        <v>8391.7404466667</v>
      </c>
      <c r="P175" s="576"/>
      <c r="Q175" s="589">
        <f t="shared" si="63"/>
        <v>61648.7250533333</v>
      </c>
    </row>
    <row r="176" ht="20.1" customHeight="1" spans="1:17">
      <c r="A176" s="27">
        <v>43</v>
      </c>
      <c r="B176" s="11" t="s">
        <v>477</v>
      </c>
      <c r="C176" s="12" t="s">
        <v>478</v>
      </c>
      <c r="D176" s="15" t="s">
        <v>479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4">
        <v>4365.33075466667</v>
      </c>
      <c r="O176" s="575">
        <f t="shared" si="60"/>
        <v>3768.36004533333</v>
      </c>
      <c r="P176" s="576"/>
      <c r="Q176" s="589">
        <f t="shared" si="63"/>
        <v>35574.3889546667</v>
      </c>
    </row>
    <row r="177" ht="20.1" customHeight="1" spans="1:17">
      <c r="A177" s="27">
        <v>44</v>
      </c>
      <c r="B177" s="11" t="s">
        <v>480</v>
      </c>
      <c r="C177" s="12" t="s">
        <v>481</v>
      </c>
      <c r="D177" s="15" t="s">
        <v>482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4">
        <v>4227.52372266667</v>
      </c>
      <c r="O177" s="575">
        <f t="shared" si="60"/>
        <v>3624.89547733333</v>
      </c>
      <c r="P177" s="576"/>
      <c r="Q177" s="589">
        <f t="shared" si="63"/>
        <v>34736.0925226667</v>
      </c>
    </row>
    <row r="178" ht="20.1" customHeight="1" spans="1:17">
      <c r="A178" s="27">
        <v>45</v>
      </c>
      <c r="B178" s="11" t="s">
        <v>483</v>
      </c>
      <c r="C178" s="12" t="s">
        <v>481</v>
      </c>
      <c r="D178" s="15" t="s">
        <v>482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4">
        <v>3963.52372266667</v>
      </c>
      <c r="O178" s="575">
        <f t="shared" si="60"/>
        <v>3528.89547733333</v>
      </c>
      <c r="P178" s="576"/>
      <c r="Q178" s="589">
        <f t="shared" si="63"/>
        <v>34832.0925226667</v>
      </c>
    </row>
    <row r="179" ht="20.1" customHeight="1" spans="1:17">
      <c r="A179" s="27">
        <v>46</v>
      </c>
      <c r="B179" s="11" t="s">
        <v>484</v>
      </c>
      <c r="C179" s="12" t="s">
        <v>481</v>
      </c>
      <c r="D179" s="15" t="s">
        <v>482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4">
        <v>4227.52372266667</v>
      </c>
      <c r="O179" s="575">
        <f t="shared" si="60"/>
        <v>3624.89547733333</v>
      </c>
      <c r="P179" s="576"/>
      <c r="Q179" s="589">
        <f t="shared" si="63"/>
        <v>34736.0925226667</v>
      </c>
    </row>
    <row r="180" ht="20.1" customHeight="1" spans="1:17">
      <c r="A180" s="27">
        <v>47</v>
      </c>
      <c r="B180" s="11" t="s">
        <v>485</v>
      </c>
      <c r="C180" s="12" t="s">
        <v>481</v>
      </c>
      <c r="D180" s="15" t="s">
        <v>482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4">
        <v>3963.52372266667</v>
      </c>
      <c r="O180" s="575">
        <f t="shared" si="60"/>
        <v>3528.89547733333</v>
      </c>
      <c r="P180" s="576"/>
      <c r="Q180" s="589">
        <f t="shared" si="63"/>
        <v>34832.0925226667</v>
      </c>
    </row>
    <row r="181" ht="20.1" customHeight="1" spans="1:17">
      <c r="A181" s="27">
        <v>48</v>
      </c>
      <c r="B181" s="11" t="s">
        <v>486</v>
      </c>
      <c r="C181" s="12" t="s">
        <v>481</v>
      </c>
      <c r="D181" s="15" t="s">
        <v>482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4">
        <v>4227.52372266667</v>
      </c>
      <c r="O181" s="575">
        <f t="shared" si="60"/>
        <v>3624.89547733333</v>
      </c>
      <c r="P181" s="576"/>
      <c r="Q181" s="589">
        <f t="shared" si="63"/>
        <v>34736.0925226667</v>
      </c>
    </row>
    <row r="182" ht="20.1" customHeight="1" spans="1:17">
      <c r="A182" s="27">
        <v>49</v>
      </c>
      <c r="B182" s="18" t="s">
        <v>487</v>
      </c>
      <c r="C182" s="12" t="s">
        <v>481</v>
      </c>
      <c r="D182" s="15" t="s">
        <v>482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4">
        <v>3963.52372266667</v>
      </c>
      <c r="O182" s="575">
        <f t="shared" si="60"/>
        <v>3528.89547733333</v>
      </c>
      <c r="P182" s="576"/>
      <c r="Q182" s="589">
        <f t="shared" si="63"/>
        <v>34832.0925226667</v>
      </c>
    </row>
    <row r="183" ht="20.1" customHeight="1" spans="1:17">
      <c r="A183" s="27">
        <v>50</v>
      </c>
      <c r="B183" s="18" t="s">
        <v>488</v>
      </c>
      <c r="C183" s="12" t="s">
        <v>481</v>
      </c>
      <c r="D183" s="15" t="s">
        <v>482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4">
        <v>4227.52372266667</v>
      </c>
      <c r="O183" s="575">
        <f t="shared" si="60"/>
        <v>3624.89547733333</v>
      </c>
      <c r="P183" s="576"/>
      <c r="Q183" s="589">
        <f t="shared" si="63"/>
        <v>34736.0925226667</v>
      </c>
    </row>
    <row r="184" ht="20.1" customHeight="1" spans="1:17">
      <c r="A184" s="27">
        <v>51</v>
      </c>
      <c r="B184" s="11" t="s">
        <v>489</v>
      </c>
      <c r="C184" s="12" t="s">
        <v>478</v>
      </c>
      <c r="D184" s="15" t="s">
        <v>482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4">
        <v>4089.71669066667</v>
      </c>
      <c r="O184" s="575">
        <f t="shared" si="60"/>
        <v>3762.70250933333</v>
      </c>
      <c r="P184" s="576"/>
      <c r="Q184" s="589">
        <f t="shared" si="63"/>
        <v>36164.2744906667</v>
      </c>
    </row>
    <row r="185" ht="20.1" customHeight="1" spans="1:17">
      <c r="A185" s="27">
        <v>52</v>
      </c>
      <c r="B185" s="11" t="s">
        <v>490</v>
      </c>
      <c r="C185" s="12" t="s">
        <v>478</v>
      </c>
      <c r="D185" s="15" t="s">
        <v>482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4">
        <v>4227.52372266667</v>
      </c>
      <c r="O185" s="575">
        <f t="shared" si="60"/>
        <v>3624.89547733333</v>
      </c>
      <c r="P185" s="576"/>
      <c r="Q185" s="589">
        <f t="shared" si="63"/>
        <v>34736.0925226667</v>
      </c>
    </row>
    <row r="186" ht="20.1" customHeight="1" spans="1:17">
      <c r="A186" s="27">
        <v>53</v>
      </c>
      <c r="B186" s="18" t="s">
        <v>491</v>
      </c>
      <c r="C186" s="12" t="s">
        <v>172</v>
      </c>
      <c r="D186" s="15" t="s">
        <v>492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4">
        <v>4089.71669066667</v>
      </c>
      <c r="O186" s="575">
        <f t="shared" si="60"/>
        <v>3481.43090933333</v>
      </c>
      <c r="P186" s="576"/>
      <c r="Q186" s="589">
        <f t="shared" si="63"/>
        <v>33897.7960906667</v>
      </c>
    </row>
    <row r="187" ht="20.1" customHeight="1" spans="1:17">
      <c r="A187" s="27">
        <v>54</v>
      </c>
      <c r="B187" s="18" t="s">
        <v>493</v>
      </c>
      <c r="C187" s="12" t="s">
        <v>481</v>
      </c>
      <c r="D187" s="15" t="s">
        <v>494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4">
        <v>3210.15440486667</v>
      </c>
      <c r="O187" s="575">
        <f t="shared" si="60"/>
        <v>2864.17719513333</v>
      </c>
      <c r="P187" s="576"/>
      <c r="Q187" s="589">
        <f t="shared" si="63"/>
        <v>31386.7424465334</v>
      </c>
    </row>
    <row r="188" ht="20.1" customHeight="1" spans="1:17">
      <c r="A188" s="27">
        <v>55</v>
      </c>
      <c r="B188" s="18" t="s">
        <v>495</v>
      </c>
      <c r="C188" s="12" t="s">
        <v>496</v>
      </c>
      <c r="D188" s="15" t="s">
        <v>497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4">
        <v>2708.91364066667</v>
      </c>
      <c r="O188" s="575">
        <f t="shared" si="60"/>
        <v>2521.18515933333</v>
      </c>
      <c r="P188" s="576"/>
      <c r="Q188" s="589">
        <f t="shared" si="63"/>
        <v>30039.4855906667</v>
      </c>
    </row>
    <row r="189" ht="20.1" customHeight="1" spans="1:17">
      <c r="A189" s="27">
        <v>56</v>
      </c>
      <c r="B189" s="18" t="s">
        <v>498</v>
      </c>
      <c r="C189" s="12" t="s">
        <v>496</v>
      </c>
      <c r="D189" s="15" t="s">
        <v>497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4">
        <v>2708.91364066667</v>
      </c>
      <c r="O189" s="575">
        <f t="shared" si="60"/>
        <v>2521.18515933333</v>
      </c>
      <c r="P189" s="576"/>
      <c r="Q189" s="589">
        <f t="shared" si="63"/>
        <v>30039.4855906667</v>
      </c>
    </row>
    <row r="190" ht="20.1" customHeight="1" spans="1:17">
      <c r="A190" s="27">
        <v>57</v>
      </c>
      <c r="B190" s="18" t="s">
        <v>499</v>
      </c>
      <c r="C190" s="12" t="s">
        <v>496</v>
      </c>
      <c r="D190" s="15" t="s">
        <v>497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4">
        <v>2708.91364066667</v>
      </c>
      <c r="O190" s="575">
        <f t="shared" si="60"/>
        <v>2521.18515933333</v>
      </c>
      <c r="P190" s="576"/>
      <c r="Q190" s="589">
        <f t="shared" si="63"/>
        <v>30039.4855906667</v>
      </c>
    </row>
    <row r="191" ht="20.1" customHeight="1" spans="1:17">
      <c r="A191" s="27">
        <v>58</v>
      </c>
      <c r="B191" s="18" t="s">
        <v>500</v>
      </c>
      <c r="C191" s="12" t="s">
        <v>501</v>
      </c>
      <c r="D191" s="15" t="s">
        <v>502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4">
        <v>3511.79662266667</v>
      </c>
      <c r="O191" s="575">
        <f t="shared" si="60"/>
        <v>3178.07937733333</v>
      </c>
      <c r="P191" s="576"/>
      <c r="Q191" s="589">
        <f t="shared" si="63"/>
        <v>33220.6711226667</v>
      </c>
    </row>
    <row r="192" ht="20.1" customHeight="1" spans="1:17">
      <c r="A192" s="27">
        <v>59</v>
      </c>
      <c r="B192" s="18" t="s">
        <v>503</v>
      </c>
      <c r="C192" s="12" t="s">
        <v>501</v>
      </c>
      <c r="D192" s="15" t="s">
        <v>502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4">
        <v>3511.79662266667</v>
      </c>
      <c r="O192" s="575">
        <f t="shared" si="60"/>
        <v>3178.07937733333</v>
      </c>
      <c r="P192" s="576"/>
      <c r="Q192" s="589">
        <f t="shared" si="63"/>
        <v>33220.6711226667</v>
      </c>
    </row>
    <row r="193" ht="20.1" customHeight="1" spans="1:17">
      <c r="A193" s="27"/>
      <c r="B193" s="8" t="s">
        <v>33</v>
      </c>
      <c r="C193" s="28" t="s">
        <v>504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2">
        <v>1265795.4594602</v>
      </c>
      <c r="O193" s="582">
        <f t="shared" si="68"/>
        <v>855252.415301134</v>
      </c>
      <c r="P193" s="583"/>
      <c r="Q193" s="593">
        <f>SUM(Q134:Q192)</f>
        <v>5348132.78784053</v>
      </c>
    </row>
    <row r="194" ht="30.75" customHeight="1" spans="1:17">
      <c r="A194" s="4"/>
      <c r="B194" s="30" t="s">
        <v>80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2:17">
      <c r="B195" s="33"/>
      <c r="D195" s="34"/>
      <c r="E195" s="34"/>
      <c r="F195" s="34"/>
      <c r="G195" s="228"/>
      <c r="H195" s="228"/>
      <c r="I195" s="228"/>
      <c r="J195" s="228"/>
      <c r="K195" s="228" t="s">
        <v>552</v>
      </c>
      <c r="L195" s="228"/>
      <c r="M195" s="228"/>
      <c r="N195" s="228"/>
      <c r="O195" s="228"/>
      <c r="P195" s="228"/>
      <c r="Q195" s="35"/>
    </row>
    <row r="196" ht="36.75" customHeight="1" spans="2:16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0:13">
      <c r="J197" s="35"/>
      <c r="K197" s="35"/>
      <c r="M197" s="35"/>
    </row>
    <row r="198" ht="20.1" customHeight="1" spans="10:10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50"/>
    </row>
    <row r="2" ht="13" hidden="1" spans="1:26">
      <c r="A2" s="539" t="s">
        <v>142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50"/>
    </row>
    <row r="3" ht="13.75" hidden="1" spans="1:26">
      <c r="A3" s="540" t="s">
        <v>143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50"/>
    </row>
    <row r="4" ht="83.25" customHeight="1" spans="1:28">
      <c r="A4" s="541" t="s">
        <v>144</v>
      </c>
      <c r="B4" s="542" t="s">
        <v>145</v>
      </c>
      <c r="C4" s="543" t="s">
        <v>146</v>
      </c>
      <c r="D4" s="542" t="s">
        <v>147</v>
      </c>
      <c r="E4" s="543" t="s">
        <v>148</v>
      </c>
      <c r="F4" s="543" t="s">
        <v>149</v>
      </c>
      <c r="G4" s="543" t="s">
        <v>150</v>
      </c>
      <c r="H4" s="543" t="s">
        <v>151</v>
      </c>
      <c r="I4" s="543" t="s">
        <v>152</v>
      </c>
      <c r="J4" s="543"/>
      <c r="K4" s="543"/>
      <c r="L4" s="543"/>
      <c r="M4" s="543" t="s">
        <v>153</v>
      </c>
      <c r="N4" s="543" t="s">
        <v>154</v>
      </c>
      <c r="O4" s="543" t="s">
        <v>155</v>
      </c>
      <c r="P4" s="543" t="s">
        <v>156</v>
      </c>
      <c r="Q4" s="543" t="s">
        <v>157</v>
      </c>
      <c r="R4" s="543" t="s">
        <v>158</v>
      </c>
      <c r="S4" s="543" t="s">
        <v>159</v>
      </c>
      <c r="T4" s="543" t="s">
        <v>160</v>
      </c>
      <c r="U4" s="543" t="s">
        <v>161</v>
      </c>
      <c r="V4" s="543" t="s">
        <v>162</v>
      </c>
      <c r="W4" s="543"/>
      <c r="X4" s="543" t="s">
        <v>163</v>
      </c>
      <c r="Y4" s="543" t="s">
        <v>164</v>
      </c>
      <c r="Z4" s="543" t="s">
        <v>165</v>
      </c>
      <c r="AA4" s="551"/>
      <c r="AB4" s="551" t="s">
        <v>520</v>
      </c>
    </row>
    <row r="5" ht="17.5" spans="1:31">
      <c r="A5" s="544">
        <v>1</v>
      </c>
      <c r="B5" s="8" t="s">
        <v>21</v>
      </c>
      <c r="C5" s="545"/>
      <c r="D5" s="546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9"/>
      <c r="X5" s="547"/>
      <c r="Y5" s="547"/>
      <c r="Z5" s="547"/>
      <c r="AA5" s="213"/>
      <c r="AB5" s="213"/>
      <c r="AC5" s="213"/>
      <c r="AD5" s="213"/>
      <c r="AE5" s="213"/>
    </row>
    <row r="6" ht="18" spans="1:31">
      <c r="A6" s="544">
        <v>3</v>
      </c>
      <c r="B6" s="11" t="s">
        <v>236</v>
      </c>
      <c r="C6" s="465">
        <v>1158849.84</v>
      </c>
      <c r="D6" s="466">
        <v>12</v>
      </c>
      <c r="E6" s="467">
        <f>C6*D6</f>
        <v>13906198.08</v>
      </c>
      <c r="F6" s="467"/>
      <c r="G6" s="467"/>
      <c r="H6" s="467"/>
      <c r="I6" s="467">
        <f t="shared" ref="I6:I75" si="0">E6-F6-G6-H6</f>
        <v>13906198.08</v>
      </c>
      <c r="J6" s="467">
        <v>200000</v>
      </c>
      <c r="K6" s="467">
        <v>0.2</v>
      </c>
      <c r="L6" s="467">
        <f t="shared" ref="L6:L75" si="1">I6*K6</f>
        <v>2781239.616</v>
      </c>
      <c r="M6" s="467">
        <f t="shared" ref="M6:M75" si="2">J6+L6</f>
        <v>2981239.616</v>
      </c>
      <c r="N6" s="467">
        <f t="shared" ref="N6:N75" si="3">F6+G6+H6+M6</f>
        <v>2981239.616</v>
      </c>
      <c r="O6" s="467">
        <f t="shared" ref="O6:O75" si="4">E6-N6</f>
        <v>10924958.464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1853990.03136</v>
      </c>
      <c r="V6" s="467">
        <f t="shared" ref="V6:V75" si="11">P6+Q6+R6+S6+T6+U6</f>
        <v>2413990.03136</v>
      </c>
      <c r="W6" s="474">
        <v>12</v>
      </c>
      <c r="X6" s="467">
        <f t="shared" ref="X6:X75" si="12">V6/W6</f>
        <v>201165.835946667</v>
      </c>
      <c r="Y6" s="467"/>
      <c r="Z6" s="467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4">
        <v>4</v>
      </c>
      <c r="B7" s="11" t="s">
        <v>239</v>
      </c>
      <c r="C7" s="465">
        <v>541465.02475</v>
      </c>
      <c r="D7" s="466">
        <v>12</v>
      </c>
      <c r="E7" s="467">
        <f t="shared" ref="E7:E32" si="14">C7*D7</f>
        <v>6497580.297</v>
      </c>
      <c r="F7" s="467"/>
      <c r="G7" s="467"/>
      <c r="H7" s="467"/>
      <c r="I7" s="467">
        <f t="shared" si="0"/>
        <v>6497580.297</v>
      </c>
      <c r="J7" s="467">
        <v>200000</v>
      </c>
      <c r="K7" s="467">
        <v>0.2</v>
      </c>
      <c r="L7" s="467">
        <f t="shared" si="1"/>
        <v>1299516.0594</v>
      </c>
      <c r="M7" s="467">
        <f t="shared" si="2"/>
        <v>1499516.0594</v>
      </c>
      <c r="N7" s="467">
        <f t="shared" si="3"/>
        <v>1499516.0594</v>
      </c>
      <c r="O7" s="467">
        <f t="shared" si="4"/>
        <v>4998064.2376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431535.417024</v>
      </c>
      <c r="V7" s="467">
        <f t="shared" si="11"/>
        <v>991535.417024</v>
      </c>
      <c r="W7" s="474">
        <v>12</v>
      </c>
      <c r="X7" s="467">
        <f t="shared" si="12"/>
        <v>82627.9514186667</v>
      </c>
      <c r="Y7" s="467"/>
      <c r="Z7" s="467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4">
        <v>5</v>
      </c>
      <c r="B8" s="14" t="s">
        <v>241</v>
      </c>
      <c r="C8" s="465">
        <v>741465.02475</v>
      </c>
      <c r="D8" s="466">
        <v>12</v>
      </c>
      <c r="E8" s="467">
        <f t="shared" si="14"/>
        <v>8897580.297</v>
      </c>
      <c r="F8" s="467"/>
      <c r="G8" s="467"/>
      <c r="H8" s="467"/>
      <c r="I8" s="467">
        <f t="shared" si="0"/>
        <v>8897580.297</v>
      </c>
      <c r="J8" s="467">
        <v>200000</v>
      </c>
      <c r="K8" s="467">
        <v>0.2</v>
      </c>
      <c r="L8" s="467">
        <f t="shared" si="1"/>
        <v>1779516.0594</v>
      </c>
      <c r="M8" s="467">
        <f t="shared" si="2"/>
        <v>1979516.0594</v>
      </c>
      <c r="N8" s="467">
        <f t="shared" si="3"/>
        <v>1979516.0594</v>
      </c>
      <c r="O8" s="467">
        <f t="shared" si="4"/>
        <v>6918064.2376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892335.417024</v>
      </c>
      <c r="V8" s="467">
        <f t="shared" si="11"/>
        <v>1452335.417024</v>
      </c>
      <c r="W8" s="474">
        <v>12</v>
      </c>
      <c r="X8" s="467">
        <f t="shared" si="12"/>
        <v>121027.951418667</v>
      </c>
      <c r="Y8" s="467"/>
      <c r="Z8" s="467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4">
        <v>6</v>
      </c>
      <c r="B9" s="11" t="s">
        <v>243</v>
      </c>
      <c r="C9" s="465">
        <v>631465.02475</v>
      </c>
      <c r="D9" s="466">
        <v>12</v>
      </c>
      <c r="E9" s="467">
        <f t="shared" si="14"/>
        <v>7577580.297</v>
      </c>
      <c r="F9" s="467">
        <f>'[5]JANUARY 2024'!$V$10*12</f>
        <v>12795.951</v>
      </c>
      <c r="G9" s="467"/>
      <c r="H9" s="467"/>
      <c r="I9" s="467">
        <f t="shared" si="0"/>
        <v>7564784.346</v>
      </c>
      <c r="J9" s="467">
        <v>200000</v>
      </c>
      <c r="K9" s="467">
        <v>0.2</v>
      </c>
      <c r="L9" s="467">
        <f t="shared" si="1"/>
        <v>1512956.8692</v>
      </c>
      <c r="M9" s="467">
        <f t="shared" si="2"/>
        <v>1712956.8692</v>
      </c>
      <c r="N9" s="467">
        <f t="shared" si="3"/>
        <v>1725752.8202</v>
      </c>
      <c r="O9" s="467">
        <f t="shared" si="4"/>
        <v>5851827.4768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636438.594432</v>
      </c>
      <c r="V9" s="467">
        <f t="shared" si="11"/>
        <v>1196438.594432</v>
      </c>
      <c r="W9" s="474">
        <v>12</v>
      </c>
      <c r="X9" s="467">
        <f t="shared" si="12"/>
        <v>99703.2162026667</v>
      </c>
      <c r="Y9" s="467"/>
      <c r="Z9" s="467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4">
        <v>7</v>
      </c>
      <c r="B10" s="14" t="s">
        <v>245</v>
      </c>
      <c r="C10" s="465">
        <v>691465.02475</v>
      </c>
      <c r="D10" s="466">
        <v>12</v>
      </c>
      <c r="E10" s="467">
        <f t="shared" si="14"/>
        <v>8297580.297</v>
      </c>
      <c r="F10" s="467">
        <f>'[5]JANUARY 2024'!$V$10*12</f>
        <v>12795.951</v>
      </c>
      <c r="G10" s="467"/>
      <c r="H10" s="467"/>
      <c r="I10" s="467">
        <f t="shared" si="0"/>
        <v>8284784.346</v>
      </c>
      <c r="J10" s="467">
        <v>200000</v>
      </c>
      <c r="K10" s="467">
        <v>0.2</v>
      </c>
      <c r="L10" s="467">
        <f t="shared" si="1"/>
        <v>1656956.8692</v>
      </c>
      <c r="M10" s="467">
        <f t="shared" si="2"/>
        <v>1856956.8692</v>
      </c>
      <c r="N10" s="467">
        <f t="shared" si="3"/>
        <v>1869752.8202</v>
      </c>
      <c r="O10" s="467">
        <f t="shared" si="4"/>
        <v>6427827.4768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774678.594432</v>
      </c>
      <c r="V10" s="467">
        <f t="shared" si="11"/>
        <v>1334678.594432</v>
      </c>
      <c r="W10" s="474">
        <v>12</v>
      </c>
      <c r="X10" s="467">
        <f t="shared" si="12"/>
        <v>111223.216202667</v>
      </c>
      <c r="Y10" s="467"/>
      <c r="Z10" s="467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4">
        <v>8</v>
      </c>
      <c r="B11" s="18" t="s">
        <v>232</v>
      </c>
      <c r="C11" s="465">
        <v>641465.02475</v>
      </c>
      <c r="D11" s="466">
        <v>12</v>
      </c>
      <c r="E11" s="467">
        <f t="shared" si="14"/>
        <v>7697580.297</v>
      </c>
      <c r="F11" s="467"/>
      <c r="G11" s="467"/>
      <c r="H11" s="467"/>
      <c r="I11" s="467">
        <f t="shared" si="0"/>
        <v>7697580.297</v>
      </c>
      <c r="J11" s="467">
        <v>200000</v>
      </c>
      <c r="K11" s="467">
        <v>0.2</v>
      </c>
      <c r="L11" s="467">
        <f t="shared" si="1"/>
        <v>1539516.0594</v>
      </c>
      <c r="M11" s="467">
        <f t="shared" si="2"/>
        <v>1739516.0594</v>
      </c>
      <c r="N11" s="467">
        <f t="shared" si="3"/>
        <v>1739516.0594</v>
      </c>
      <c r="O11" s="467">
        <f t="shared" si="4"/>
        <v>5958064.2376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661935.417024</v>
      </c>
      <c r="V11" s="467">
        <f t="shared" si="11"/>
        <v>1221935.417024</v>
      </c>
      <c r="W11" s="474">
        <v>12</v>
      </c>
      <c r="X11" s="467">
        <f t="shared" si="12"/>
        <v>101827.951418667</v>
      </c>
      <c r="Y11" s="467"/>
      <c r="Z11" s="467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4">
        <v>9</v>
      </c>
      <c r="B12" s="11" t="s">
        <v>247</v>
      </c>
      <c r="C12" s="465">
        <v>497553.5025</v>
      </c>
      <c r="D12" s="466">
        <v>12</v>
      </c>
      <c r="E12" s="467">
        <f t="shared" si="14"/>
        <v>5970642.03</v>
      </c>
      <c r="F12" s="467">
        <f>'[5]JANUARY 2024'!$V$13*12</f>
        <v>10052.25</v>
      </c>
      <c r="G12" s="467"/>
      <c r="H12" s="467"/>
      <c r="I12" s="467">
        <f t="shared" si="0"/>
        <v>5960589.78</v>
      </c>
      <c r="J12" s="467">
        <v>200000</v>
      </c>
      <c r="K12" s="467">
        <v>0.2</v>
      </c>
      <c r="L12" s="467">
        <f t="shared" si="1"/>
        <v>1192117.956</v>
      </c>
      <c r="M12" s="467">
        <f t="shared" si="2"/>
        <v>1392117.956</v>
      </c>
      <c r="N12" s="467">
        <f t="shared" si="3"/>
        <v>1402170.206</v>
      </c>
      <c r="O12" s="467">
        <f t="shared" si="4"/>
        <v>4568471.824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328433.23776</v>
      </c>
      <c r="V12" s="467">
        <f t="shared" si="11"/>
        <v>888433.23776</v>
      </c>
      <c r="W12" s="474">
        <v>12</v>
      </c>
      <c r="X12" s="467">
        <f t="shared" si="12"/>
        <v>74036.1031466667</v>
      </c>
      <c r="Y12" s="467"/>
      <c r="Z12" s="467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4">
        <v>10</v>
      </c>
      <c r="B13" s="11" t="s">
        <v>250</v>
      </c>
      <c r="C13" s="465">
        <v>604729.222</v>
      </c>
      <c r="D13" s="466">
        <v>12</v>
      </c>
      <c r="E13" s="467">
        <f t="shared" si="14"/>
        <v>7256750.664</v>
      </c>
      <c r="F13" s="467">
        <f>'[5]JANUARY 2024'!$V$14*12</f>
        <v>9305.952</v>
      </c>
      <c r="G13" s="467"/>
      <c r="H13" s="467"/>
      <c r="I13" s="467">
        <f t="shared" si="0"/>
        <v>7247444.712</v>
      </c>
      <c r="J13" s="467">
        <v>200000</v>
      </c>
      <c r="K13" s="467">
        <v>0.2</v>
      </c>
      <c r="L13" s="467">
        <f t="shared" si="1"/>
        <v>1449488.9424</v>
      </c>
      <c r="M13" s="467">
        <f t="shared" si="2"/>
        <v>1649488.9424</v>
      </c>
      <c r="N13" s="467">
        <f t="shared" si="3"/>
        <v>1658794.8944</v>
      </c>
      <c r="O13" s="467">
        <f t="shared" si="4"/>
        <v>5597955.7696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575509.384704</v>
      </c>
      <c r="V13" s="467">
        <f t="shared" si="11"/>
        <v>1135509.384704</v>
      </c>
      <c r="W13" s="474">
        <v>12</v>
      </c>
      <c r="X13" s="467">
        <f t="shared" si="12"/>
        <v>94625.7820586666</v>
      </c>
      <c r="Y13" s="467"/>
      <c r="Z13" s="467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4">
        <v>11</v>
      </c>
      <c r="B14" s="11" t="s">
        <v>252</v>
      </c>
      <c r="C14" s="465">
        <v>343333.03525</v>
      </c>
      <c r="D14" s="466">
        <v>12</v>
      </c>
      <c r="E14" s="467">
        <f t="shared" si="14"/>
        <v>4119996.423</v>
      </c>
      <c r="F14" s="467"/>
      <c r="G14" s="467"/>
      <c r="H14" s="467"/>
      <c r="I14" s="467">
        <f t="shared" si="0"/>
        <v>4119996.423</v>
      </c>
      <c r="J14" s="467">
        <v>200000</v>
      </c>
      <c r="K14" s="467">
        <v>0.2</v>
      </c>
      <c r="L14" s="467">
        <f t="shared" si="1"/>
        <v>823999.2846</v>
      </c>
      <c r="M14" s="467">
        <f t="shared" si="2"/>
        <v>1023999.2846</v>
      </c>
      <c r="N14" s="467">
        <f t="shared" si="3"/>
        <v>1023999.2846</v>
      </c>
      <c r="O14" s="467">
        <f t="shared" si="4"/>
        <v>3095997.1384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314159.399064</v>
      </c>
      <c r="U14" s="467"/>
      <c r="V14" s="467">
        <f t="shared" si="11"/>
        <v>538159.399064</v>
      </c>
      <c r="W14" s="474">
        <v>12</v>
      </c>
      <c r="X14" s="467">
        <f t="shared" si="12"/>
        <v>44846.6165886667</v>
      </c>
      <c r="Y14" s="467"/>
      <c r="Z14" s="467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4">
        <v>12</v>
      </c>
      <c r="B15" s="14" t="s">
        <v>255</v>
      </c>
      <c r="C15" s="465">
        <v>463333.03525</v>
      </c>
      <c r="D15" s="466">
        <v>12</v>
      </c>
      <c r="E15" s="467">
        <f t="shared" si="14"/>
        <v>5559996.423</v>
      </c>
      <c r="F15" s="467"/>
      <c r="G15" s="467"/>
      <c r="H15" s="467"/>
      <c r="I15" s="467">
        <f t="shared" si="0"/>
        <v>5559996.423</v>
      </c>
      <c r="J15" s="467">
        <v>200000</v>
      </c>
      <c r="K15" s="467">
        <v>0.2</v>
      </c>
      <c r="L15" s="467">
        <f t="shared" si="1"/>
        <v>1111999.2846</v>
      </c>
      <c r="M15" s="467">
        <f t="shared" si="2"/>
        <v>1311999.2846</v>
      </c>
      <c r="N15" s="467">
        <f t="shared" si="3"/>
        <v>1311999.2846</v>
      </c>
      <c r="O15" s="467">
        <f t="shared" si="4"/>
        <v>4247997.1384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251519.313216</v>
      </c>
      <c r="V15" s="467">
        <f t="shared" si="11"/>
        <v>811519.313216</v>
      </c>
      <c r="W15" s="474">
        <v>12</v>
      </c>
      <c r="X15" s="467">
        <f t="shared" si="12"/>
        <v>67626.6094346667</v>
      </c>
      <c r="Y15" s="467"/>
      <c r="Z15" s="552">
        <f t="shared" si="13"/>
        <v>67626.6094346667</v>
      </c>
      <c r="AA15" s="553">
        <v>46666.6666666667</v>
      </c>
      <c r="AB15" s="553">
        <f t="shared" si="15"/>
        <v>20959.942768</v>
      </c>
      <c r="AC15" s="213"/>
      <c r="AD15" s="213"/>
      <c r="AE15" s="213"/>
    </row>
    <row r="16" ht="18" spans="1:31">
      <c r="A16" s="544">
        <v>13</v>
      </c>
      <c r="B16" s="11" t="s">
        <v>258</v>
      </c>
      <c r="C16" s="465">
        <v>547211.3675</v>
      </c>
      <c r="D16" s="466">
        <v>12</v>
      </c>
      <c r="E16" s="467">
        <f t="shared" si="14"/>
        <v>6566536.41</v>
      </c>
      <c r="F16" s="467"/>
      <c r="G16" s="467"/>
      <c r="H16" s="467"/>
      <c r="I16" s="467">
        <f t="shared" si="0"/>
        <v>6566536.41</v>
      </c>
      <c r="J16" s="467">
        <v>200000</v>
      </c>
      <c r="K16" s="467">
        <v>0.2</v>
      </c>
      <c r="L16" s="467">
        <f t="shared" si="1"/>
        <v>1313307.282</v>
      </c>
      <c r="M16" s="467">
        <f t="shared" si="2"/>
        <v>1513307.282</v>
      </c>
      <c r="N16" s="467">
        <f t="shared" si="3"/>
        <v>1513307.282</v>
      </c>
      <c r="O16" s="467">
        <f t="shared" si="4"/>
        <v>5053229.128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444774.99072</v>
      </c>
      <c r="V16" s="467">
        <f t="shared" si="11"/>
        <v>1004774.99072</v>
      </c>
      <c r="W16" s="474">
        <v>12</v>
      </c>
      <c r="X16" s="467">
        <f t="shared" si="12"/>
        <v>83731.2492266667</v>
      </c>
      <c r="Y16" s="467"/>
      <c r="Z16" s="552">
        <f t="shared" si="13"/>
        <v>83731.2492266667</v>
      </c>
      <c r="AA16" s="553">
        <v>46666.6666666667</v>
      </c>
      <c r="AB16" s="553">
        <f t="shared" si="15"/>
        <v>37064.58256</v>
      </c>
      <c r="AC16" s="213"/>
      <c r="AD16" s="213"/>
      <c r="AE16" s="213"/>
    </row>
    <row r="17" ht="18" spans="1:31">
      <c r="A17" s="544">
        <v>14</v>
      </c>
      <c r="B17" s="11" t="s">
        <v>261</v>
      </c>
      <c r="C17" s="465">
        <v>326663.0775</v>
      </c>
      <c r="D17" s="466">
        <v>12</v>
      </c>
      <c r="E17" s="467">
        <f t="shared" si="14"/>
        <v>3919956.93</v>
      </c>
      <c r="F17" s="467"/>
      <c r="G17" s="467"/>
      <c r="H17" s="467"/>
      <c r="I17" s="467">
        <f t="shared" si="0"/>
        <v>3919956.93</v>
      </c>
      <c r="J17" s="467">
        <v>200000</v>
      </c>
      <c r="K17" s="467">
        <v>0.2</v>
      </c>
      <c r="L17" s="467">
        <f t="shared" si="1"/>
        <v>783991.386</v>
      </c>
      <c r="M17" s="467">
        <f t="shared" si="2"/>
        <v>983991.386</v>
      </c>
      <c r="N17" s="467">
        <f t="shared" si="3"/>
        <v>983991.386</v>
      </c>
      <c r="O17" s="467">
        <f t="shared" si="4"/>
        <v>2935965.544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280552.76424</v>
      </c>
      <c r="U17" s="467"/>
      <c r="V17" s="467">
        <f t="shared" si="11"/>
        <v>504552.76424</v>
      </c>
      <c r="W17" s="474">
        <v>12</v>
      </c>
      <c r="X17" s="467">
        <f t="shared" si="12"/>
        <v>42046.0636866667</v>
      </c>
      <c r="Y17" s="467"/>
      <c r="Z17" s="467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4">
        <v>15</v>
      </c>
      <c r="B18" s="11" t="s">
        <v>264</v>
      </c>
      <c r="C18" s="465">
        <v>369177.65375</v>
      </c>
      <c r="D18" s="466">
        <v>12</v>
      </c>
      <c r="E18" s="467">
        <f t="shared" si="14"/>
        <v>4430131.845</v>
      </c>
      <c r="F18" s="467"/>
      <c r="G18" s="467"/>
      <c r="H18" s="467"/>
      <c r="I18" s="467">
        <f t="shared" si="0"/>
        <v>4430131.845</v>
      </c>
      <c r="J18" s="467">
        <v>200000</v>
      </c>
      <c r="K18" s="467">
        <v>0.2</v>
      </c>
      <c r="L18" s="467">
        <f t="shared" si="1"/>
        <v>886026.369</v>
      </c>
      <c r="M18" s="467">
        <f t="shared" si="2"/>
        <v>1086026.369</v>
      </c>
      <c r="N18" s="467">
        <f t="shared" si="3"/>
        <v>1086026.369</v>
      </c>
      <c r="O18" s="467">
        <f t="shared" si="4"/>
        <v>3344105.476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34585.3142399999</v>
      </c>
      <c r="V18" s="467">
        <f t="shared" si="11"/>
        <v>594585.31424</v>
      </c>
      <c r="W18" s="474">
        <v>12</v>
      </c>
      <c r="X18" s="467">
        <f t="shared" si="12"/>
        <v>49548.7761866667</v>
      </c>
      <c r="Y18" s="467"/>
      <c r="Z18" s="552">
        <f t="shared" si="13"/>
        <v>49548.7761866667</v>
      </c>
      <c r="AA18" s="553">
        <v>46666.6666666667</v>
      </c>
      <c r="AB18" s="553">
        <f t="shared" si="15"/>
        <v>2882.10951999996</v>
      </c>
      <c r="AC18" s="213"/>
      <c r="AD18" s="213"/>
      <c r="AE18" s="213"/>
    </row>
    <row r="19" ht="18" spans="1:31">
      <c r="A19" s="544">
        <v>16</v>
      </c>
      <c r="B19" s="18" t="s">
        <v>267</v>
      </c>
      <c r="C19" s="465">
        <v>462001.0605</v>
      </c>
      <c r="D19" s="466">
        <v>12</v>
      </c>
      <c r="E19" s="467">
        <f t="shared" si="14"/>
        <v>5544012.726</v>
      </c>
      <c r="F19" s="467"/>
      <c r="G19" s="467"/>
      <c r="H19" s="467"/>
      <c r="I19" s="467">
        <f t="shared" si="0"/>
        <v>5544012.726</v>
      </c>
      <c r="J19" s="467">
        <v>200000</v>
      </c>
      <c r="K19" s="467">
        <v>0.2</v>
      </c>
      <c r="L19" s="467">
        <f t="shared" si="1"/>
        <v>1108802.5452</v>
      </c>
      <c r="M19" s="467">
        <f t="shared" si="2"/>
        <v>1308802.5452</v>
      </c>
      <c r="N19" s="467">
        <f t="shared" si="3"/>
        <v>1308802.5452</v>
      </c>
      <c r="O19" s="467">
        <f t="shared" si="4"/>
        <v>4235210.1808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248450.443392</v>
      </c>
      <c r="V19" s="467">
        <f t="shared" si="11"/>
        <v>808450.443392</v>
      </c>
      <c r="W19" s="474">
        <v>12</v>
      </c>
      <c r="X19" s="467">
        <f t="shared" si="12"/>
        <v>67370.8702826667</v>
      </c>
      <c r="Y19" s="467"/>
      <c r="Z19" s="552">
        <f t="shared" si="13"/>
        <v>67370.8702826667</v>
      </c>
      <c r="AA19" s="553">
        <v>46666.6666666667</v>
      </c>
      <c r="AB19" s="553">
        <f t="shared" si="15"/>
        <v>20704.203616</v>
      </c>
      <c r="AC19" s="213"/>
      <c r="AD19" s="213"/>
      <c r="AE19" s="213"/>
    </row>
    <row r="20" ht="18" spans="1:31">
      <c r="A20" s="544">
        <v>17</v>
      </c>
      <c r="B20" s="11" t="s">
        <v>270</v>
      </c>
      <c r="C20" s="465">
        <v>384536.9985</v>
      </c>
      <c r="D20" s="466">
        <v>12</v>
      </c>
      <c r="E20" s="467">
        <f t="shared" si="14"/>
        <v>4614443.982</v>
      </c>
      <c r="F20" s="467"/>
      <c r="G20" s="467"/>
      <c r="H20" s="467"/>
      <c r="I20" s="467">
        <f t="shared" si="0"/>
        <v>4614443.982</v>
      </c>
      <c r="J20" s="467">
        <v>200000</v>
      </c>
      <c r="K20" s="467">
        <v>0.2</v>
      </c>
      <c r="L20" s="467">
        <f t="shared" si="1"/>
        <v>922888.7964</v>
      </c>
      <c r="M20" s="467">
        <f t="shared" si="2"/>
        <v>1122888.7964</v>
      </c>
      <c r="N20" s="467">
        <f t="shared" si="3"/>
        <v>1122888.7964</v>
      </c>
      <c r="O20" s="467">
        <f t="shared" si="4"/>
        <v>3491555.1856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69973.244544</v>
      </c>
      <c r="V20" s="467">
        <f t="shared" si="11"/>
        <v>629973.244544</v>
      </c>
      <c r="W20" s="474">
        <v>12</v>
      </c>
      <c r="X20" s="467">
        <f t="shared" si="12"/>
        <v>52497.7703786667</v>
      </c>
      <c r="Y20" s="467"/>
      <c r="Z20" s="467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4">
        <v>18</v>
      </c>
      <c r="B21" s="14" t="s">
        <v>272</v>
      </c>
      <c r="C21" s="465">
        <v>400372.075</v>
      </c>
      <c r="D21" s="466">
        <v>12</v>
      </c>
      <c r="E21" s="467">
        <f t="shared" si="14"/>
        <v>4804464.9</v>
      </c>
      <c r="F21" s="467"/>
      <c r="G21" s="467"/>
      <c r="H21" s="467"/>
      <c r="I21" s="467">
        <f t="shared" si="0"/>
        <v>4804464.9</v>
      </c>
      <c r="J21" s="467">
        <v>200000</v>
      </c>
      <c r="K21" s="467">
        <v>0.2</v>
      </c>
      <c r="L21" s="467">
        <f t="shared" si="1"/>
        <v>960892.98</v>
      </c>
      <c r="M21" s="467">
        <f t="shared" si="2"/>
        <v>1160892.98</v>
      </c>
      <c r="N21" s="467">
        <f t="shared" si="3"/>
        <v>1160892.98</v>
      </c>
      <c r="O21" s="467">
        <f t="shared" si="4"/>
        <v>3643571.92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106457.2608</v>
      </c>
      <c r="V21" s="467">
        <f t="shared" si="11"/>
        <v>666457.2608</v>
      </c>
      <c r="W21" s="474">
        <v>12</v>
      </c>
      <c r="X21" s="467">
        <f t="shared" si="12"/>
        <v>55538.1050666667</v>
      </c>
      <c r="Y21" s="467"/>
      <c r="Z21" s="552">
        <f t="shared" si="13"/>
        <v>55538.1050666667</v>
      </c>
      <c r="AA21" s="553">
        <v>46666.6666666667</v>
      </c>
      <c r="AB21" s="553">
        <f t="shared" si="15"/>
        <v>8871.43839999997</v>
      </c>
      <c r="AC21" s="213"/>
      <c r="AD21" s="213"/>
      <c r="AE21" s="213"/>
    </row>
    <row r="22" ht="18" spans="1:31">
      <c r="A22" s="544">
        <v>19</v>
      </c>
      <c r="B22" s="11" t="s">
        <v>274</v>
      </c>
      <c r="C22" s="465">
        <f>1015372.075-700000</f>
        <v>315372.075</v>
      </c>
      <c r="D22" s="466">
        <v>12</v>
      </c>
      <c r="E22" s="467">
        <f t="shared" si="14"/>
        <v>3784464.9</v>
      </c>
      <c r="F22" s="467"/>
      <c r="G22" s="467"/>
      <c r="H22" s="467"/>
      <c r="I22" s="467">
        <f t="shared" si="0"/>
        <v>3784464.9</v>
      </c>
      <c r="J22" s="467">
        <v>200000</v>
      </c>
      <c r="K22" s="467">
        <v>0.2</v>
      </c>
      <c r="L22" s="467">
        <f t="shared" si="1"/>
        <v>756892.98</v>
      </c>
      <c r="M22" s="467">
        <f t="shared" si="2"/>
        <v>956892.98</v>
      </c>
      <c r="N22" s="467">
        <f t="shared" si="3"/>
        <v>956892.98</v>
      </c>
      <c r="O22" s="467">
        <f t="shared" si="4"/>
        <v>2827571.92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257790.1032</v>
      </c>
      <c r="U22" s="467"/>
      <c r="V22" s="467">
        <f t="shared" si="11"/>
        <v>481790.1032</v>
      </c>
      <c r="W22" s="474">
        <v>12</v>
      </c>
      <c r="X22" s="467">
        <f t="shared" si="12"/>
        <v>40149.1752666667</v>
      </c>
      <c r="Y22" s="467"/>
      <c r="Z22" s="554">
        <f t="shared" si="13"/>
        <v>40149.1752666667</v>
      </c>
      <c r="AA22" s="555">
        <v>46666.6666666667</v>
      </c>
      <c r="AB22" s="555">
        <f t="shared" si="15"/>
        <v>-6517.49140000004</v>
      </c>
      <c r="AC22" s="213" t="s">
        <v>553</v>
      </c>
      <c r="AD22" s="213"/>
      <c r="AE22" s="213"/>
    </row>
    <row r="23" ht="18" spans="1:31">
      <c r="A23" s="544">
        <v>20</v>
      </c>
      <c r="B23" s="14" t="s">
        <v>276</v>
      </c>
      <c r="C23" s="465">
        <v>328602.07775</v>
      </c>
      <c r="D23" s="466">
        <v>12</v>
      </c>
      <c r="E23" s="467">
        <f t="shared" si="14"/>
        <v>3943224.933</v>
      </c>
      <c r="F23" s="467"/>
      <c r="G23" s="467"/>
      <c r="H23" s="467"/>
      <c r="I23" s="467">
        <f t="shared" si="0"/>
        <v>3943224.933</v>
      </c>
      <c r="J23" s="467">
        <v>200000</v>
      </c>
      <c r="K23" s="467">
        <v>0.2</v>
      </c>
      <c r="L23" s="467">
        <f t="shared" si="1"/>
        <v>788644.9866</v>
      </c>
      <c r="M23" s="467">
        <f t="shared" si="2"/>
        <v>988644.9866</v>
      </c>
      <c r="N23" s="467">
        <f t="shared" si="3"/>
        <v>988644.9866</v>
      </c>
      <c r="O23" s="467">
        <f t="shared" si="4"/>
        <v>2954579.9464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284461.788744</v>
      </c>
      <c r="U23" s="467"/>
      <c r="V23" s="467">
        <f t="shared" si="11"/>
        <v>508461.788744</v>
      </c>
      <c r="W23" s="474">
        <v>12</v>
      </c>
      <c r="X23" s="467">
        <f t="shared" si="12"/>
        <v>42371.8157286667</v>
      </c>
      <c r="Y23" s="467"/>
      <c r="Z23" s="467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48">
        <v>21</v>
      </c>
      <c r="B24" s="4" t="s">
        <v>278</v>
      </c>
      <c r="C24" s="465">
        <v>213508.01</v>
      </c>
      <c r="D24" s="466">
        <v>12</v>
      </c>
      <c r="E24" s="467">
        <f t="shared" si="14"/>
        <v>2562096.12</v>
      </c>
      <c r="F24" s="467"/>
      <c r="G24" s="467"/>
      <c r="H24" s="467"/>
      <c r="I24" s="467">
        <f t="shared" si="0"/>
        <v>2562096.12</v>
      </c>
      <c r="J24" s="467">
        <v>200000</v>
      </c>
      <c r="K24" s="467">
        <v>0.2</v>
      </c>
      <c r="L24" s="467">
        <f t="shared" si="1"/>
        <v>512419.224</v>
      </c>
      <c r="M24" s="467">
        <f t="shared" si="2"/>
        <v>712419.224</v>
      </c>
      <c r="N24" s="467">
        <f t="shared" si="3"/>
        <v>712419.224</v>
      </c>
      <c r="O24" s="467">
        <f t="shared" si="4"/>
        <v>1849676.896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52432.14816</v>
      </c>
      <c r="U24" s="467"/>
      <c r="V24" s="467">
        <f t="shared" si="11"/>
        <v>276432.14816</v>
      </c>
      <c r="W24" s="474">
        <v>12</v>
      </c>
      <c r="X24" s="467">
        <f t="shared" si="12"/>
        <v>23036.0123466667</v>
      </c>
      <c r="Y24" s="467"/>
      <c r="Z24" s="467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4">
        <v>22</v>
      </c>
      <c r="B25" s="18" t="s">
        <v>280</v>
      </c>
      <c r="C25" s="465">
        <v>213508.01</v>
      </c>
      <c r="D25" s="466">
        <v>12</v>
      </c>
      <c r="E25" s="467">
        <f t="shared" si="14"/>
        <v>2562096.12</v>
      </c>
      <c r="F25" s="467"/>
      <c r="G25" s="467"/>
      <c r="H25" s="467"/>
      <c r="I25" s="467">
        <f t="shared" si="0"/>
        <v>2562096.12</v>
      </c>
      <c r="J25" s="467">
        <v>200000</v>
      </c>
      <c r="K25" s="467">
        <v>0.2</v>
      </c>
      <c r="L25" s="467">
        <f t="shared" si="1"/>
        <v>512419.224</v>
      </c>
      <c r="M25" s="467">
        <f t="shared" si="2"/>
        <v>712419.224</v>
      </c>
      <c r="N25" s="467">
        <f t="shared" si="3"/>
        <v>712419.224</v>
      </c>
      <c r="O25" s="467">
        <f t="shared" si="4"/>
        <v>1849676.896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52432.14816</v>
      </c>
      <c r="U25" s="467"/>
      <c r="V25" s="467">
        <f t="shared" si="11"/>
        <v>276432.14816</v>
      </c>
      <c r="W25" s="474">
        <v>12</v>
      </c>
      <c r="X25" s="467">
        <f t="shared" si="12"/>
        <v>23036.0123466667</v>
      </c>
      <c r="Y25" s="467"/>
      <c r="Z25" s="467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4">
        <v>23</v>
      </c>
      <c r="B26" s="11" t="s">
        <v>281</v>
      </c>
      <c r="C26" s="465">
        <v>253508.01</v>
      </c>
      <c r="D26" s="466">
        <v>12</v>
      </c>
      <c r="E26" s="467">
        <f t="shared" si="14"/>
        <v>3042096.12</v>
      </c>
      <c r="F26" s="467"/>
      <c r="G26" s="467"/>
      <c r="H26" s="467"/>
      <c r="I26" s="467">
        <f t="shared" si="0"/>
        <v>3042096.12</v>
      </c>
      <c r="J26" s="467">
        <v>200000</v>
      </c>
      <c r="K26" s="467">
        <v>0.2</v>
      </c>
      <c r="L26" s="467">
        <f t="shared" si="1"/>
        <v>608419.224</v>
      </c>
      <c r="M26" s="467">
        <f t="shared" si="2"/>
        <v>808419.224</v>
      </c>
      <c r="N26" s="467">
        <f t="shared" si="3"/>
        <v>808419.224</v>
      </c>
      <c r="O26" s="467">
        <f t="shared" si="4"/>
        <v>2233676.896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133072.14816</v>
      </c>
      <c r="U26" s="467"/>
      <c r="V26" s="467">
        <f t="shared" si="11"/>
        <v>357072.14816</v>
      </c>
      <c r="W26" s="474">
        <v>12</v>
      </c>
      <c r="X26" s="467">
        <f t="shared" si="12"/>
        <v>29756.0123466667</v>
      </c>
      <c r="Y26" s="467"/>
      <c r="Z26" s="467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4">
        <v>24</v>
      </c>
      <c r="B27" s="18" t="s">
        <v>282</v>
      </c>
      <c r="C27" s="465">
        <v>209356.04725</v>
      </c>
      <c r="D27" s="466">
        <v>12</v>
      </c>
      <c r="E27" s="467">
        <f t="shared" si="14"/>
        <v>2512272.567</v>
      </c>
      <c r="F27" s="467"/>
      <c r="G27" s="467"/>
      <c r="H27" s="467"/>
      <c r="I27" s="467">
        <f t="shared" ref="I27" si="16">E27-F27-G27-H27</f>
        <v>2512272.567</v>
      </c>
      <c r="J27" s="467">
        <v>200000</v>
      </c>
      <c r="K27" s="467">
        <v>0.2</v>
      </c>
      <c r="L27" s="467">
        <f t="shared" ref="L27" si="17">I27*K27</f>
        <v>502454.5134</v>
      </c>
      <c r="M27" s="467">
        <f t="shared" ref="M27" si="18">J27+L27</f>
        <v>702454.5134</v>
      </c>
      <c r="N27" s="467">
        <f t="shared" ref="N27" si="19">F27+G27+H27+M27</f>
        <v>702454.5134</v>
      </c>
      <c r="O27" s="467">
        <f t="shared" ref="O27" si="20">E27-N27</f>
        <v>1809818.0536</v>
      </c>
      <c r="P27" s="467">
        <f t="shared" ref="P27" si="21">IF(O27&lt;300000,0.07*O27,21000)</f>
        <v>21000</v>
      </c>
      <c r="Q27" s="467">
        <f t="shared" ref="Q27" si="22">IF((O27-300000)&lt;0,0,IF((O27-300000)&lt;300000,0.11*(O27-300000),33000))</f>
        <v>33000</v>
      </c>
      <c r="R27" s="467">
        <f t="shared" ref="R27" si="23">IF((O27-600000)&lt;0,0,IF((O27-600000)&lt;500000,0.15*(O27-600000),75000))</f>
        <v>75000</v>
      </c>
      <c r="S27" s="467">
        <f t="shared" ref="S27" si="24">IF((O27-1100000)&lt;0,0,IF((O27-1100000)&lt;500000,0.19*(O27-1100000),95000))</f>
        <v>95000</v>
      </c>
      <c r="T27" s="467">
        <f t="shared" ref="T27" si="25">IF((O27-1600000)&lt;0,0,IF((O27-1600000)&lt;1600000,0.21*(O27-1600000),336000))</f>
        <v>44061.7912559999</v>
      </c>
      <c r="U27" s="467"/>
      <c r="V27" s="467">
        <f t="shared" ref="V27" si="26">P27+Q27+R27+S27+T27+U27</f>
        <v>268061.791256</v>
      </c>
      <c r="W27" s="474">
        <v>12</v>
      </c>
      <c r="X27" s="467">
        <f t="shared" ref="X27" si="27">V27/W27</f>
        <v>22338.4826046667</v>
      </c>
      <c r="Y27" s="467"/>
      <c r="Z27" s="467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4">
        <v>25</v>
      </c>
      <c r="B28" s="18" t="s">
        <v>284</v>
      </c>
      <c r="C28" s="465">
        <v>205204.0845</v>
      </c>
      <c r="D28" s="466">
        <v>12</v>
      </c>
      <c r="E28" s="467">
        <f t="shared" si="14"/>
        <v>2462449.014</v>
      </c>
      <c r="F28" s="467"/>
      <c r="G28" s="467"/>
      <c r="H28" s="467"/>
      <c r="I28" s="467">
        <f t="shared" si="0"/>
        <v>2462449.014</v>
      </c>
      <c r="J28" s="467">
        <v>200000</v>
      </c>
      <c r="K28" s="467">
        <v>0.2</v>
      </c>
      <c r="L28" s="467">
        <f t="shared" si="1"/>
        <v>492489.8028</v>
      </c>
      <c r="M28" s="467">
        <f t="shared" si="2"/>
        <v>692489.8028</v>
      </c>
      <c r="N28" s="467">
        <f t="shared" si="3"/>
        <v>692489.8028</v>
      </c>
      <c r="O28" s="467">
        <f t="shared" si="4"/>
        <v>1769959.2112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35691.434352</v>
      </c>
      <c r="U28" s="467"/>
      <c r="V28" s="467">
        <f t="shared" si="11"/>
        <v>259691.434352</v>
      </c>
      <c r="W28" s="474">
        <v>12</v>
      </c>
      <c r="X28" s="467">
        <f t="shared" si="12"/>
        <v>21640.9528626667</v>
      </c>
      <c r="Y28" s="467"/>
      <c r="Z28" s="467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48">
        <v>26</v>
      </c>
      <c r="B29" s="18" t="s">
        <v>286</v>
      </c>
      <c r="C29" s="465">
        <v>205204.0845</v>
      </c>
      <c r="D29" s="466">
        <v>12</v>
      </c>
      <c r="E29" s="467">
        <f t="shared" si="14"/>
        <v>2462449.014</v>
      </c>
      <c r="F29" s="467"/>
      <c r="G29" s="467"/>
      <c r="H29" s="467"/>
      <c r="I29" s="467">
        <f t="shared" si="0"/>
        <v>2462449.014</v>
      </c>
      <c r="J29" s="467">
        <v>200000</v>
      </c>
      <c r="K29" s="467">
        <v>0.2</v>
      </c>
      <c r="L29" s="467">
        <f t="shared" si="1"/>
        <v>492489.8028</v>
      </c>
      <c r="M29" s="467">
        <f t="shared" si="2"/>
        <v>692489.8028</v>
      </c>
      <c r="N29" s="467">
        <f t="shared" si="3"/>
        <v>692489.8028</v>
      </c>
      <c r="O29" s="467">
        <f t="shared" si="4"/>
        <v>1769959.2112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35691.434352</v>
      </c>
      <c r="U29" s="467"/>
      <c r="V29" s="467">
        <f t="shared" si="11"/>
        <v>259691.434352</v>
      </c>
      <c r="W29" s="474">
        <v>12</v>
      </c>
      <c r="X29" s="467">
        <f t="shared" si="12"/>
        <v>21640.9528626667</v>
      </c>
      <c r="Y29" s="467"/>
      <c r="Z29" s="467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48">
        <v>27</v>
      </c>
      <c r="B30" s="18" t="s">
        <v>287</v>
      </c>
      <c r="C30" s="465">
        <v>209356.04725</v>
      </c>
      <c r="D30" s="466">
        <v>12</v>
      </c>
      <c r="E30" s="467">
        <f t="shared" si="14"/>
        <v>2512272.567</v>
      </c>
      <c r="F30" s="467"/>
      <c r="G30" s="467"/>
      <c r="H30" s="467"/>
      <c r="I30" s="467">
        <f t="shared" si="0"/>
        <v>2512272.567</v>
      </c>
      <c r="J30" s="467">
        <v>200000</v>
      </c>
      <c r="K30" s="467">
        <v>0.2</v>
      </c>
      <c r="L30" s="467">
        <f t="shared" si="1"/>
        <v>502454.5134</v>
      </c>
      <c r="M30" s="467">
        <f t="shared" si="2"/>
        <v>702454.5134</v>
      </c>
      <c r="N30" s="467">
        <f t="shared" si="3"/>
        <v>702454.5134</v>
      </c>
      <c r="O30" s="467">
        <f t="shared" si="4"/>
        <v>1809818.0536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44061.7912559999</v>
      </c>
      <c r="U30" s="467"/>
      <c r="V30" s="467">
        <f t="shared" si="11"/>
        <v>268061.791256</v>
      </c>
      <c r="W30" s="474">
        <v>12</v>
      </c>
      <c r="X30" s="467">
        <f t="shared" si="12"/>
        <v>22338.4826046667</v>
      </c>
      <c r="Y30" s="467"/>
      <c r="Z30" s="467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4">
        <v>28</v>
      </c>
      <c r="B31" s="18" t="s">
        <v>289</v>
      </c>
      <c r="C31" s="465">
        <v>180304.068</v>
      </c>
      <c r="D31" s="466">
        <v>12</v>
      </c>
      <c r="E31" s="467">
        <f t="shared" si="14"/>
        <v>2163648.816</v>
      </c>
      <c r="F31" s="467"/>
      <c r="G31" s="467"/>
      <c r="H31" s="467"/>
      <c r="I31" s="467">
        <f t="shared" si="0"/>
        <v>2163648.816</v>
      </c>
      <c r="J31" s="467">
        <v>200000</v>
      </c>
      <c r="K31" s="467">
        <v>0.2</v>
      </c>
      <c r="L31" s="467">
        <f t="shared" si="1"/>
        <v>432729.7632</v>
      </c>
      <c r="M31" s="467">
        <f t="shared" si="2"/>
        <v>632729.7632</v>
      </c>
      <c r="N31" s="467">
        <f t="shared" si="3"/>
        <v>632729.7632</v>
      </c>
      <c r="O31" s="467">
        <f t="shared" si="4"/>
        <v>1530919.0528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81874.620032</v>
      </c>
      <c r="T31" s="467">
        <f t="shared" si="9"/>
        <v>0</v>
      </c>
      <c r="U31" s="467"/>
      <c r="V31" s="467">
        <f t="shared" si="11"/>
        <v>210874.620032</v>
      </c>
      <c r="W31" s="474">
        <v>12</v>
      </c>
      <c r="X31" s="467">
        <f t="shared" si="12"/>
        <v>17572.8850026667</v>
      </c>
      <c r="Y31" s="467"/>
      <c r="Z31" s="467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4">
        <v>29</v>
      </c>
      <c r="B32" s="18" t="s">
        <v>292</v>
      </c>
      <c r="C32" s="465">
        <v>173329.0495</v>
      </c>
      <c r="D32" s="466">
        <v>12</v>
      </c>
      <c r="E32" s="467">
        <f t="shared" si="14"/>
        <v>2079948.594</v>
      </c>
      <c r="F32" s="467"/>
      <c r="G32" s="467"/>
      <c r="H32" s="467"/>
      <c r="I32" s="467">
        <f t="shared" si="0"/>
        <v>2079948.594</v>
      </c>
      <c r="J32" s="467">
        <v>200000</v>
      </c>
      <c r="K32" s="467">
        <v>0.2</v>
      </c>
      <c r="L32" s="467">
        <f t="shared" si="1"/>
        <v>415989.7188</v>
      </c>
      <c r="M32" s="467">
        <f t="shared" si="2"/>
        <v>615989.7188</v>
      </c>
      <c r="N32" s="467">
        <f t="shared" si="3"/>
        <v>615989.7188</v>
      </c>
      <c r="O32" s="467">
        <f t="shared" si="4"/>
        <v>1463958.8752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69152.186288</v>
      </c>
      <c r="T32" s="467">
        <f t="shared" si="9"/>
        <v>0</v>
      </c>
      <c r="U32" s="467"/>
      <c r="V32" s="467">
        <f t="shared" si="11"/>
        <v>198152.186288</v>
      </c>
      <c r="W32" s="474">
        <v>12</v>
      </c>
      <c r="X32" s="467">
        <f t="shared" si="12"/>
        <v>16512.6821906667</v>
      </c>
      <c r="Y32" s="467"/>
      <c r="Z32" s="467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4">
        <v>31</v>
      </c>
      <c r="B33" s="22"/>
      <c r="C33" s="467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4">
        <v>32</v>
      </c>
      <c r="B34" s="20" t="s">
        <v>34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213"/>
      <c r="AB34" s="213"/>
      <c r="AC34" s="213"/>
      <c r="AD34" s="213"/>
      <c r="AE34" s="213"/>
    </row>
    <row r="35" ht="18" spans="1:31">
      <c r="A35" s="544"/>
      <c r="B35" s="18" t="s">
        <v>295</v>
      </c>
      <c r="C35" s="471">
        <v>950209.0635</v>
      </c>
      <c r="D35" s="467">
        <v>12</v>
      </c>
      <c r="E35" s="467">
        <f>C35*D35</f>
        <v>11402508.762</v>
      </c>
      <c r="F35" s="467"/>
      <c r="G35" s="467">
        <f>SUM(G5:G34)</f>
        <v>0</v>
      </c>
      <c r="H35" s="467"/>
      <c r="I35" s="467">
        <f>E35-F35-G35-H35</f>
        <v>11402508.762</v>
      </c>
      <c r="J35" s="467">
        <v>200000</v>
      </c>
      <c r="K35" s="467">
        <v>0.2</v>
      </c>
      <c r="L35" s="467">
        <f>I35*K35</f>
        <v>2280501.7524</v>
      </c>
      <c r="M35" s="467">
        <f>J35+L35</f>
        <v>2480501.7524</v>
      </c>
      <c r="N35" s="467">
        <f>F35+G35+H35+M35</f>
        <v>2480501.7524</v>
      </c>
      <c r="O35" s="467">
        <f>E35-N35</f>
        <v>8922007.0096</v>
      </c>
      <c r="P35" s="467">
        <f t="shared" si="5"/>
        <v>21000</v>
      </c>
      <c r="Q35" s="467">
        <f t="shared" ref="Q35:Q37" si="29">IF((O35-300000)&lt;0,0,IF((O35-300000)&lt;300000,0.11*(O35-300000),33000))</f>
        <v>33000</v>
      </c>
      <c r="R35" s="467">
        <f t="shared" ref="R35:R37" si="30">IF((O35-600000)&lt;0,0,IF((O35-600000)&lt;500000,0.15*(O35-600000),75000))</f>
        <v>75000</v>
      </c>
      <c r="S35" s="467">
        <f t="shared" ref="S35:S37" si="31">IF((O35-1100000)&lt;0,0,IF((O35-1100000)&lt;500000,0.19*(O35-1100000),95000))</f>
        <v>95000</v>
      </c>
      <c r="T35" s="467">
        <f t="shared" ref="T35:T37" si="32">IF((O35-1600000)&lt;0,0,IF((O35-1600000)&lt;1600000,0.21*(O35-1600000),336000))</f>
        <v>336000</v>
      </c>
      <c r="U35" s="467">
        <f t="shared" si="10"/>
        <v>1373281.682304</v>
      </c>
      <c r="V35" s="467">
        <f>P35+Q35+R35+S35+T35+U35</f>
        <v>1933281.682304</v>
      </c>
      <c r="W35" s="467">
        <v>12</v>
      </c>
      <c r="X35" s="467">
        <f>V35/W35</f>
        <v>161106.806858667</v>
      </c>
      <c r="Y35" s="467"/>
      <c r="Z35" s="467">
        <f>X35</f>
        <v>161106.806858667</v>
      </c>
      <c r="AA35" s="547">
        <v>161106.806858667</v>
      </c>
      <c r="AB35" s="547">
        <f>Z35-AA35</f>
        <v>-3.20142135024071e-10</v>
      </c>
      <c r="AC35" s="213"/>
      <c r="AD35" s="213"/>
      <c r="AE35" s="213"/>
    </row>
    <row r="36" ht="18" spans="1:31">
      <c r="A36" s="544"/>
      <c r="B36" s="18" t="s">
        <v>298</v>
      </c>
      <c r="C36" s="467">
        <v>176816.1</v>
      </c>
      <c r="D36" s="466">
        <v>12</v>
      </c>
      <c r="E36" s="467">
        <f t="shared" ref="E36:E37" si="33">C36*D36</f>
        <v>2121793.2</v>
      </c>
      <c r="F36" s="467"/>
      <c r="G36" s="467">
        <f>SUM(G6:G35)</f>
        <v>0</v>
      </c>
      <c r="H36" s="467"/>
      <c r="I36" s="467">
        <f>E36-F36-G36-H36</f>
        <v>2121793.2</v>
      </c>
      <c r="J36" s="467">
        <v>200000</v>
      </c>
      <c r="K36" s="467">
        <v>0.2</v>
      </c>
      <c r="L36" s="467">
        <f>I36*K36</f>
        <v>424358.64</v>
      </c>
      <c r="M36" s="467">
        <f>J36+L36</f>
        <v>624358.64</v>
      </c>
      <c r="N36" s="467">
        <f>F36+G36+H36+M36</f>
        <v>624358.64</v>
      </c>
      <c r="O36" s="467">
        <f>E36-N36</f>
        <v>1497434.56</v>
      </c>
      <c r="P36" s="467">
        <f t="shared" si="5"/>
        <v>21000</v>
      </c>
      <c r="Q36" s="467">
        <f t="shared" si="29"/>
        <v>33000</v>
      </c>
      <c r="R36" s="467">
        <f t="shared" si="30"/>
        <v>75000</v>
      </c>
      <c r="S36" s="467">
        <f t="shared" si="31"/>
        <v>75512.5664</v>
      </c>
      <c r="T36" s="467">
        <f t="shared" si="32"/>
        <v>0</v>
      </c>
      <c r="U36" s="467"/>
      <c r="V36" s="467">
        <f>P36+Q36+R36+S36+T36+U36</f>
        <v>204512.5664</v>
      </c>
      <c r="W36" s="467">
        <v>12</v>
      </c>
      <c r="X36" s="467">
        <f>V36/W36</f>
        <v>17042.7138666667</v>
      </c>
      <c r="Y36" s="467"/>
      <c r="Z36" s="467">
        <f>X36</f>
        <v>17042.7138666667</v>
      </c>
      <c r="AA36" s="213">
        <v>17042.7138666667</v>
      </c>
      <c r="AB36" s="547">
        <f t="shared" ref="AB36:AB37" si="34">Z36-AA36</f>
        <v>-3.27418092638254e-11</v>
      </c>
      <c r="AC36" s="213"/>
      <c r="AD36" s="213"/>
      <c r="AE36" s="213"/>
    </row>
    <row r="37" ht="18" spans="1:31">
      <c r="A37" s="544">
        <v>33</v>
      </c>
      <c r="B37" s="11" t="s">
        <v>300</v>
      </c>
      <c r="C37" s="465">
        <v>233169.1175</v>
      </c>
      <c r="D37" s="466">
        <v>12</v>
      </c>
      <c r="E37" s="467">
        <f t="shared" si="33"/>
        <v>2798029.41</v>
      </c>
      <c r="F37" s="467"/>
      <c r="G37" s="467">
        <f>SUM(G7:G36)</f>
        <v>0</v>
      </c>
      <c r="H37" s="467"/>
      <c r="I37" s="467">
        <f>E37-F37-G37-H37</f>
        <v>2798029.41</v>
      </c>
      <c r="J37" s="467">
        <v>200000</v>
      </c>
      <c r="K37" s="467">
        <v>0.2</v>
      </c>
      <c r="L37" s="467">
        <f>I37*K37</f>
        <v>559605.882</v>
      </c>
      <c r="M37" s="467">
        <f>J37+L37</f>
        <v>759605.882</v>
      </c>
      <c r="N37" s="467">
        <f>F37+G37+H37+M37</f>
        <v>759605.882</v>
      </c>
      <c r="O37" s="467">
        <f>E37-N37</f>
        <v>2038423.528</v>
      </c>
      <c r="P37" s="467">
        <f t="shared" si="5"/>
        <v>21000</v>
      </c>
      <c r="Q37" s="467">
        <f t="shared" si="29"/>
        <v>33000</v>
      </c>
      <c r="R37" s="467">
        <f t="shared" si="30"/>
        <v>75000</v>
      </c>
      <c r="S37" s="467">
        <f t="shared" si="31"/>
        <v>95000</v>
      </c>
      <c r="T37" s="467">
        <f t="shared" si="32"/>
        <v>92068.94088</v>
      </c>
      <c r="U37" s="467"/>
      <c r="V37" s="467">
        <f>P37+Q37+R37+S37+T37+U37</f>
        <v>316068.94088</v>
      </c>
      <c r="W37" s="467">
        <v>12</v>
      </c>
      <c r="X37" s="467">
        <f>V37/W37</f>
        <v>26339.0784066667</v>
      </c>
      <c r="Y37" s="467"/>
      <c r="Z37" s="467">
        <f>X37</f>
        <v>26339.0784066667</v>
      </c>
      <c r="AA37" s="213">
        <v>26339.0784066667</v>
      </c>
      <c r="AB37" s="547">
        <f t="shared" si="34"/>
        <v>-3.27418092638254e-11</v>
      </c>
      <c r="AC37" s="213"/>
      <c r="AD37" s="213"/>
      <c r="AE37" s="213"/>
    </row>
    <row r="38" ht="18" spans="1:31">
      <c r="A38" s="544"/>
      <c r="B38" s="14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213"/>
      <c r="AB38" s="213"/>
      <c r="AC38" s="213"/>
      <c r="AD38" s="213"/>
      <c r="AE38" s="213"/>
    </row>
    <row r="39" ht="17.5" spans="1:31">
      <c r="A39" s="544"/>
      <c r="B39" s="23" t="s">
        <v>38</v>
      </c>
      <c r="C39" s="467"/>
      <c r="D39" s="466"/>
      <c r="E39" s="467"/>
      <c r="F39" s="470"/>
      <c r="G39" s="470"/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213"/>
      <c r="AB39" s="213"/>
      <c r="AC39" s="213"/>
      <c r="AD39" s="213"/>
      <c r="AE39" s="213"/>
    </row>
    <row r="40" ht="36" spans="1:31">
      <c r="A40" s="544">
        <v>35</v>
      </c>
      <c r="B40" s="11" t="s">
        <v>302</v>
      </c>
      <c r="C40" s="465">
        <v>1050209.0635</v>
      </c>
      <c r="D40" s="466">
        <v>12</v>
      </c>
      <c r="E40" s="467">
        <f>C40*D40</f>
        <v>12602508.762</v>
      </c>
      <c r="F40" s="467"/>
      <c r="G40" s="467"/>
      <c r="H40" s="467"/>
      <c r="I40" s="467">
        <f>E40-F40-G40-H40</f>
        <v>12602508.762</v>
      </c>
      <c r="J40" s="467">
        <v>200000</v>
      </c>
      <c r="K40" s="467">
        <v>0.2</v>
      </c>
      <c r="L40" s="467">
        <f>I40*K40</f>
        <v>2520501.7524</v>
      </c>
      <c r="M40" s="467">
        <f>J40+L40</f>
        <v>2720501.7524</v>
      </c>
      <c r="N40" s="467">
        <f>F40+G40+H40+M40</f>
        <v>2720501.7524</v>
      </c>
      <c r="O40" s="467">
        <f>E40-N40</f>
        <v>9882007.0096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1603681.682304</v>
      </c>
      <c r="V40" s="467">
        <f>P40+Q40+R40+S40+T40+U40</f>
        <v>2163681.682304</v>
      </c>
      <c r="W40" s="474">
        <v>12</v>
      </c>
      <c r="X40" s="467">
        <f>V40/W40</f>
        <v>180306.806858667</v>
      </c>
      <c r="Y40" s="467"/>
      <c r="Z40" s="467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4">
        <v>36</v>
      </c>
      <c r="B41" s="11" t="s">
        <v>304</v>
      </c>
      <c r="C41" s="467">
        <v>527553.5025</v>
      </c>
      <c r="D41" s="466">
        <v>12</v>
      </c>
      <c r="E41" s="467">
        <f t="shared" ref="E41:E50" si="35">C41*D41</f>
        <v>6330642.03</v>
      </c>
      <c r="F41" s="470"/>
      <c r="G41" s="470"/>
      <c r="H41" s="470"/>
      <c r="I41" s="467">
        <f t="shared" si="0"/>
        <v>6330642.03</v>
      </c>
      <c r="J41" s="467">
        <v>200000</v>
      </c>
      <c r="K41" s="467">
        <v>0.2</v>
      </c>
      <c r="L41" s="467">
        <f t="shared" si="1"/>
        <v>1266128.406</v>
      </c>
      <c r="M41" s="467">
        <f t="shared" si="2"/>
        <v>1466128.406</v>
      </c>
      <c r="N41" s="467">
        <f t="shared" si="3"/>
        <v>1466128.406</v>
      </c>
      <c r="O41" s="467">
        <f t="shared" si="4"/>
        <v>4864513.624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399483.26976</v>
      </c>
      <c r="V41" s="467">
        <f t="shared" si="11"/>
        <v>959483.26976</v>
      </c>
      <c r="W41" s="474">
        <v>12</v>
      </c>
      <c r="X41" s="467">
        <f t="shared" si="12"/>
        <v>79956.9391466667</v>
      </c>
      <c r="Y41" s="470"/>
      <c r="Z41" s="467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4">
        <v>37</v>
      </c>
      <c r="B42" s="11" t="s">
        <v>306</v>
      </c>
      <c r="C42" s="467">
        <v>617743.99575</v>
      </c>
      <c r="D42" s="466">
        <v>12</v>
      </c>
      <c r="E42" s="467">
        <f t="shared" si="35"/>
        <v>7412927.949</v>
      </c>
      <c r="F42" s="470"/>
      <c r="G42" s="470"/>
      <c r="H42" s="470"/>
      <c r="I42" s="467">
        <f t="shared" si="0"/>
        <v>7412927.949</v>
      </c>
      <c r="J42" s="467">
        <v>200000</v>
      </c>
      <c r="K42" s="467">
        <v>0.2</v>
      </c>
      <c r="L42" s="467">
        <f t="shared" si="1"/>
        <v>1482585.5898</v>
      </c>
      <c r="M42" s="467">
        <f t="shared" si="2"/>
        <v>1682585.5898</v>
      </c>
      <c r="N42" s="467">
        <f t="shared" si="3"/>
        <v>1682585.5898</v>
      </c>
      <c r="O42" s="467">
        <f t="shared" si="4"/>
        <v>5730342.3592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607282.166208</v>
      </c>
      <c r="V42" s="467">
        <f t="shared" si="11"/>
        <v>1167282.166208</v>
      </c>
      <c r="W42" s="474">
        <v>12</v>
      </c>
      <c r="X42" s="467">
        <f t="shared" si="12"/>
        <v>97273.5138506667</v>
      </c>
      <c r="Y42" s="470"/>
      <c r="Z42" s="467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4">
        <v>38</v>
      </c>
      <c r="B43" s="11" t="s">
        <v>309</v>
      </c>
      <c r="C43" s="467">
        <v>527553.5025</v>
      </c>
      <c r="D43" s="466">
        <v>12</v>
      </c>
      <c r="E43" s="467">
        <f t="shared" si="35"/>
        <v>6330642.03</v>
      </c>
      <c r="F43" s="470"/>
      <c r="G43" s="470"/>
      <c r="H43" s="470"/>
      <c r="I43" s="467">
        <f t="shared" si="0"/>
        <v>6330642.03</v>
      </c>
      <c r="J43" s="467">
        <v>200000</v>
      </c>
      <c r="K43" s="467">
        <v>0.2</v>
      </c>
      <c r="L43" s="467">
        <f t="shared" si="1"/>
        <v>1266128.406</v>
      </c>
      <c r="M43" s="467">
        <f t="shared" si="2"/>
        <v>1466128.406</v>
      </c>
      <c r="N43" s="467">
        <f t="shared" si="3"/>
        <v>1466128.406</v>
      </c>
      <c r="O43" s="467">
        <f t="shared" si="4"/>
        <v>4864513.624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399483.26976</v>
      </c>
      <c r="V43" s="467">
        <f t="shared" si="11"/>
        <v>959483.26976</v>
      </c>
      <c r="W43" s="474">
        <v>12</v>
      </c>
      <c r="X43" s="467">
        <f t="shared" si="12"/>
        <v>79956.9391466667</v>
      </c>
      <c r="Y43" s="470"/>
      <c r="Z43" s="467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4">
        <v>39</v>
      </c>
      <c r="B44" s="11" t="s">
        <v>311</v>
      </c>
      <c r="C44" s="467">
        <v>527553.5025</v>
      </c>
      <c r="D44" s="466">
        <v>12</v>
      </c>
      <c r="E44" s="467">
        <f t="shared" si="35"/>
        <v>6330642.03</v>
      </c>
      <c r="F44" s="470">
        <f>'[5]JANUARY 2024'!$V$47*12</f>
        <v>10052.25</v>
      </c>
      <c r="G44" s="470"/>
      <c r="H44" s="470"/>
      <c r="I44" s="467">
        <f t="shared" si="0"/>
        <v>6320589.78</v>
      </c>
      <c r="J44" s="467">
        <v>200000</v>
      </c>
      <c r="K44" s="467">
        <v>0.2</v>
      </c>
      <c r="L44" s="467">
        <f t="shared" si="1"/>
        <v>1264117.956</v>
      </c>
      <c r="M44" s="467">
        <f t="shared" si="2"/>
        <v>1464117.956</v>
      </c>
      <c r="N44" s="467">
        <f t="shared" si="3"/>
        <v>1474170.206</v>
      </c>
      <c r="O44" s="467">
        <f t="shared" si="4"/>
        <v>4856471.824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397553.23776</v>
      </c>
      <c r="V44" s="467">
        <f t="shared" si="11"/>
        <v>957553.23776</v>
      </c>
      <c r="W44" s="474">
        <v>12</v>
      </c>
      <c r="X44" s="467">
        <f t="shared" si="12"/>
        <v>79796.1031466666</v>
      </c>
      <c r="Y44" s="470"/>
      <c r="Z44" s="467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4">
        <v>40</v>
      </c>
      <c r="B45" s="11" t="s">
        <v>312</v>
      </c>
      <c r="C45" s="467">
        <v>504720.047</v>
      </c>
      <c r="D45" s="466">
        <v>12</v>
      </c>
      <c r="E45" s="467">
        <f t="shared" si="35"/>
        <v>6056640.564</v>
      </c>
      <c r="F45" s="467"/>
      <c r="G45" s="470"/>
      <c r="H45" s="470"/>
      <c r="I45" s="467">
        <f t="shared" si="0"/>
        <v>6056640.564</v>
      </c>
      <c r="J45" s="467">
        <v>200000</v>
      </c>
      <c r="K45" s="467">
        <v>0.2</v>
      </c>
      <c r="L45" s="467">
        <f t="shared" si="1"/>
        <v>1211328.1128</v>
      </c>
      <c r="M45" s="467">
        <f t="shared" si="2"/>
        <v>1411328.1128</v>
      </c>
      <c r="N45" s="467">
        <f t="shared" si="3"/>
        <v>1411328.1128</v>
      </c>
      <c r="O45" s="467">
        <f t="shared" si="4"/>
        <v>4645312.4512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346874.988288</v>
      </c>
      <c r="V45" s="467">
        <f t="shared" si="11"/>
        <v>906874.988288</v>
      </c>
      <c r="W45" s="474">
        <v>12</v>
      </c>
      <c r="X45" s="467">
        <f t="shared" si="12"/>
        <v>75572.9156906667</v>
      </c>
      <c r="Y45" s="470"/>
      <c r="Z45" s="467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4">
        <v>41</v>
      </c>
      <c r="B46" s="14" t="s">
        <v>313</v>
      </c>
      <c r="C46" s="467">
        <v>413333.03525</v>
      </c>
      <c r="D46" s="466">
        <v>12</v>
      </c>
      <c r="E46" s="467">
        <f t="shared" si="35"/>
        <v>4959996.423</v>
      </c>
      <c r="F46" s="467"/>
      <c r="G46" s="470"/>
      <c r="H46" s="470"/>
      <c r="I46" s="467">
        <f t="shared" si="0"/>
        <v>4959996.423</v>
      </c>
      <c r="J46" s="467">
        <v>200000</v>
      </c>
      <c r="K46" s="467">
        <v>0.2</v>
      </c>
      <c r="L46" s="467">
        <f t="shared" si="1"/>
        <v>991999.2846</v>
      </c>
      <c r="M46" s="467">
        <f t="shared" si="2"/>
        <v>1191999.2846</v>
      </c>
      <c r="N46" s="467">
        <f t="shared" si="3"/>
        <v>1191999.2846</v>
      </c>
      <c r="O46" s="467">
        <f t="shared" si="4"/>
        <v>3767997.1384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136319.313216</v>
      </c>
      <c r="V46" s="467">
        <f t="shared" si="11"/>
        <v>696319.313216</v>
      </c>
      <c r="W46" s="474">
        <v>12</v>
      </c>
      <c r="X46" s="467">
        <f t="shared" si="12"/>
        <v>58026.6094346667</v>
      </c>
      <c r="Y46" s="470"/>
      <c r="Z46" s="467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4">
        <v>42</v>
      </c>
      <c r="B47" s="11" t="s">
        <v>314</v>
      </c>
      <c r="C47" s="467">
        <v>273169.1175</v>
      </c>
      <c r="D47" s="466">
        <v>12</v>
      </c>
      <c r="E47" s="467">
        <f t="shared" si="35"/>
        <v>3278029.41</v>
      </c>
      <c r="F47" s="467"/>
      <c r="G47" s="470"/>
      <c r="H47" s="470"/>
      <c r="I47" s="467">
        <f t="shared" si="0"/>
        <v>3278029.41</v>
      </c>
      <c r="J47" s="467">
        <v>200000</v>
      </c>
      <c r="K47" s="467">
        <v>0.2</v>
      </c>
      <c r="L47" s="467">
        <f t="shared" si="1"/>
        <v>655605.882</v>
      </c>
      <c r="M47" s="467">
        <f t="shared" si="2"/>
        <v>855605.882</v>
      </c>
      <c r="N47" s="467">
        <f t="shared" si="3"/>
        <v>855605.882</v>
      </c>
      <c r="O47" s="467">
        <f t="shared" si="4"/>
        <v>2422423.528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172708.94088</v>
      </c>
      <c r="U47" s="467"/>
      <c r="V47" s="467">
        <f t="shared" si="11"/>
        <v>396708.94088</v>
      </c>
      <c r="W47" s="474">
        <v>12</v>
      </c>
      <c r="X47" s="467">
        <f t="shared" si="12"/>
        <v>33059.0784066667</v>
      </c>
      <c r="Y47" s="470"/>
      <c r="Z47" s="467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48">
        <v>43</v>
      </c>
      <c r="B48" s="11" t="s">
        <v>315</v>
      </c>
      <c r="C48" s="467">
        <v>249356.04725</v>
      </c>
      <c r="D48" s="466">
        <v>12</v>
      </c>
      <c r="E48" s="467">
        <f t="shared" si="35"/>
        <v>2992272.567</v>
      </c>
      <c r="F48" s="467"/>
      <c r="G48" s="470"/>
      <c r="H48" s="470"/>
      <c r="I48" s="467">
        <f t="shared" si="0"/>
        <v>2992272.567</v>
      </c>
      <c r="J48" s="467">
        <v>200000</v>
      </c>
      <c r="K48" s="467">
        <v>0.2</v>
      </c>
      <c r="L48" s="467">
        <f t="shared" si="1"/>
        <v>598454.5134</v>
      </c>
      <c r="M48" s="467">
        <f t="shared" si="2"/>
        <v>798454.5134</v>
      </c>
      <c r="N48" s="467">
        <f t="shared" si="3"/>
        <v>798454.5134</v>
      </c>
      <c r="O48" s="467">
        <f t="shared" si="4"/>
        <v>2193818.0536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124701.791256</v>
      </c>
      <c r="U48" s="467"/>
      <c r="V48" s="467">
        <f t="shared" si="11"/>
        <v>348701.791256</v>
      </c>
      <c r="W48" s="474">
        <v>12</v>
      </c>
      <c r="X48" s="467">
        <f t="shared" si="12"/>
        <v>29058.4826046667</v>
      </c>
      <c r="Y48" s="470"/>
      <c r="Z48" s="467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4">
        <v>44</v>
      </c>
      <c r="B49" s="11" t="s">
        <v>316</v>
      </c>
      <c r="C49" s="467">
        <v>249356.04725</v>
      </c>
      <c r="D49" s="466">
        <v>12</v>
      </c>
      <c r="E49" s="467">
        <f t="shared" si="35"/>
        <v>2992272.567</v>
      </c>
      <c r="F49" s="467"/>
      <c r="G49" s="470"/>
      <c r="H49" s="470"/>
      <c r="I49" s="467">
        <f t="shared" si="0"/>
        <v>2992272.567</v>
      </c>
      <c r="J49" s="467">
        <v>200000</v>
      </c>
      <c r="K49" s="467">
        <v>0.2</v>
      </c>
      <c r="L49" s="467">
        <f t="shared" si="1"/>
        <v>598454.5134</v>
      </c>
      <c r="M49" s="467">
        <f t="shared" si="2"/>
        <v>798454.5134</v>
      </c>
      <c r="N49" s="467">
        <f t="shared" si="3"/>
        <v>798454.5134</v>
      </c>
      <c r="O49" s="467">
        <f t="shared" si="4"/>
        <v>2193818.0536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124701.791256</v>
      </c>
      <c r="U49" s="467"/>
      <c r="V49" s="467">
        <f t="shared" si="11"/>
        <v>348701.791256</v>
      </c>
      <c r="W49" s="474">
        <v>12</v>
      </c>
      <c r="X49" s="467">
        <v>28360.9528626667</v>
      </c>
      <c r="Y49" s="470"/>
      <c r="Z49" s="467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4">
        <v>45</v>
      </c>
      <c r="B50" s="11" t="s">
        <v>317</v>
      </c>
      <c r="C50" s="467">
        <v>249356.04725</v>
      </c>
      <c r="D50" s="466">
        <v>12</v>
      </c>
      <c r="E50" s="467">
        <f t="shared" si="35"/>
        <v>2992272.567</v>
      </c>
      <c r="F50" s="467"/>
      <c r="G50" s="470"/>
      <c r="H50" s="470"/>
      <c r="I50" s="467">
        <f t="shared" si="0"/>
        <v>2992272.567</v>
      </c>
      <c r="J50" s="467">
        <v>200000</v>
      </c>
      <c r="K50" s="467">
        <v>0.2</v>
      </c>
      <c r="L50" s="467">
        <f t="shared" si="1"/>
        <v>598454.5134</v>
      </c>
      <c r="M50" s="467">
        <f t="shared" si="2"/>
        <v>798454.5134</v>
      </c>
      <c r="N50" s="467">
        <f t="shared" si="3"/>
        <v>798454.5134</v>
      </c>
      <c r="O50" s="467">
        <f t="shared" si="4"/>
        <v>2193818.0536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124701.791256</v>
      </c>
      <c r="U50" s="467"/>
      <c r="V50" s="467">
        <f t="shared" si="11"/>
        <v>348701.791256</v>
      </c>
      <c r="W50" s="474">
        <v>12</v>
      </c>
      <c r="X50" s="467">
        <f t="shared" si="12"/>
        <v>29058.4826046667</v>
      </c>
      <c r="Y50" s="470"/>
      <c r="Z50" s="467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4"/>
      <c r="B51" s="22"/>
      <c r="C51" s="467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213"/>
      <c r="AB51" s="213"/>
      <c r="AC51" s="213"/>
      <c r="AD51" s="213"/>
      <c r="AE51" s="213"/>
    </row>
    <row r="52" ht="17.5" spans="1:31">
      <c r="A52" s="544"/>
      <c r="B52" s="20" t="s">
        <v>318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213"/>
      <c r="AB52" s="213"/>
      <c r="AC52" s="213"/>
      <c r="AD52" s="213"/>
      <c r="AE52" s="213"/>
    </row>
    <row r="53" ht="18" spans="1:31">
      <c r="A53" s="544">
        <v>47</v>
      </c>
      <c r="B53" s="11" t="s">
        <v>319</v>
      </c>
      <c r="C53" s="467">
        <v>1050209.0635</v>
      </c>
      <c r="D53" s="466">
        <v>12</v>
      </c>
      <c r="E53" s="467">
        <f>C53*D53</f>
        <v>12602508.762</v>
      </c>
      <c r="F53" s="467"/>
      <c r="G53" s="470"/>
      <c r="H53" s="470"/>
      <c r="I53" s="467">
        <f t="shared" si="0"/>
        <v>12602508.762</v>
      </c>
      <c r="J53" s="467">
        <v>200000</v>
      </c>
      <c r="K53" s="467">
        <v>0.2</v>
      </c>
      <c r="L53" s="467">
        <f t="shared" si="1"/>
        <v>2520501.7524</v>
      </c>
      <c r="M53" s="467">
        <f t="shared" si="2"/>
        <v>2720501.7524</v>
      </c>
      <c r="N53" s="467">
        <f t="shared" si="3"/>
        <v>2720501.7524</v>
      </c>
      <c r="O53" s="467">
        <f t="shared" si="4"/>
        <v>9882007.0096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1603681.682304</v>
      </c>
      <c r="V53" s="467">
        <f t="shared" si="11"/>
        <v>2163681.682304</v>
      </c>
      <c r="W53" s="474">
        <v>12</v>
      </c>
      <c r="X53" s="467">
        <f t="shared" si="12"/>
        <v>180306.806858667</v>
      </c>
      <c r="Y53" s="470"/>
      <c r="Z53" s="467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4">
        <v>48</v>
      </c>
      <c r="B54" s="11" t="s">
        <v>321</v>
      </c>
      <c r="C54" s="467">
        <v>447553.5025</v>
      </c>
      <c r="D54" s="466">
        <v>12</v>
      </c>
      <c r="E54" s="467">
        <f>C54*D54</f>
        <v>5370642.03</v>
      </c>
      <c r="F54" s="467"/>
      <c r="G54" s="470"/>
      <c r="H54" s="470"/>
      <c r="I54" s="467">
        <f t="shared" si="0"/>
        <v>5370642.03</v>
      </c>
      <c r="J54" s="467">
        <v>200000</v>
      </c>
      <c r="K54" s="467">
        <v>0.2</v>
      </c>
      <c r="L54" s="467">
        <f t="shared" si="1"/>
        <v>1074128.406</v>
      </c>
      <c r="M54" s="467">
        <f t="shared" si="2"/>
        <v>1274128.406</v>
      </c>
      <c r="N54" s="467">
        <f t="shared" si="3"/>
        <v>1274128.406</v>
      </c>
      <c r="O54" s="467">
        <f t="shared" si="4"/>
        <v>4096513.624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215163.26976</v>
      </c>
      <c r="V54" s="467">
        <f t="shared" si="11"/>
        <v>775163.26976</v>
      </c>
      <c r="W54" s="474">
        <v>12</v>
      </c>
      <c r="X54" s="467">
        <f t="shared" si="12"/>
        <v>64596.9391466667</v>
      </c>
      <c r="Y54" s="470"/>
      <c r="Z54" s="467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4"/>
      <c r="B55" s="20"/>
      <c r="C55" s="467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213"/>
      <c r="AB55" s="213"/>
      <c r="AC55" s="213"/>
      <c r="AD55" s="213"/>
      <c r="AE55" s="213"/>
    </row>
    <row r="56" ht="35" spans="1:31">
      <c r="A56" s="544">
        <v>49</v>
      </c>
      <c r="B56" s="20" t="s">
        <v>44</v>
      </c>
      <c r="C56" s="467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213"/>
      <c r="AB56" s="213"/>
      <c r="AC56" s="213"/>
      <c r="AD56" s="213"/>
      <c r="AE56" s="213"/>
    </row>
    <row r="57" ht="18" spans="1:31">
      <c r="A57" s="544">
        <v>50</v>
      </c>
      <c r="B57" s="11" t="s">
        <v>323</v>
      </c>
      <c r="C57" s="467">
        <v>1050209.0635</v>
      </c>
      <c r="D57" s="466">
        <v>12</v>
      </c>
      <c r="E57" s="467">
        <f>C57*D57</f>
        <v>12602508.762</v>
      </c>
      <c r="F57" s="467"/>
      <c r="G57" s="470"/>
      <c r="H57" s="470"/>
      <c r="I57" s="467">
        <f t="shared" si="0"/>
        <v>12602508.762</v>
      </c>
      <c r="J57" s="467">
        <v>200000</v>
      </c>
      <c r="K57" s="467">
        <v>0.2</v>
      </c>
      <c r="L57" s="467">
        <f t="shared" si="1"/>
        <v>2520501.7524</v>
      </c>
      <c r="M57" s="467">
        <f t="shared" si="2"/>
        <v>2720501.7524</v>
      </c>
      <c r="N57" s="467">
        <f t="shared" si="3"/>
        <v>2720501.7524</v>
      </c>
      <c r="O57" s="467">
        <f t="shared" si="4"/>
        <v>9882007.0096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1603681.682304</v>
      </c>
      <c r="V57" s="467">
        <f t="shared" si="11"/>
        <v>2163681.682304</v>
      </c>
      <c r="W57" s="474">
        <v>12</v>
      </c>
      <c r="X57" s="467">
        <f t="shared" si="12"/>
        <v>180306.806858667</v>
      </c>
      <c r="Y57" s="470"/>
      <c r="Z57" s="467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48">
        <v>51</v>
      </c>
      <c r="B58" s="351" t="s">
        <v>325</v>
      </c>
      <c r="C58" s="467">
        <v>516137.05</v>
      </c>
      <c r="D58" s="466">
        <v>12</v>
      </c>
      <c r="E58" s="467">
        <f t="shared" ref="E58:E66" si="37">C58*D58</f>
        <v>6193644.6</v>
      </c>
      <c r="F58" s="467"/>
      <c r="G58" s="470"/>
      <c r="H58" s="470"/>
      <c r="I58" s="467">
        <f t="shared" si="0"/>
        <v>6193644.6</v>
      </c>
      <c r="J58" s="467">
        <v>200000</v>
      </c>
      <c r="K58" s="467">
        <v>0.2</v>
      </c>
      <c r="L58" s="467">
        <f t="shared" si="1"/>
        <v>1238728.92</v>
      </c>
      <c r="M58" s="467">
        <f t="shared" si="2"/>
        <v>1438728.92</v>
      </c>
      <c r="N58" s="467">
        <f t="shared" si="3"/>
        <v>1438728.92</v>
      </c>
      <c r="O58" s="467">
        <f t="shared" si="4"/>
        <v>4754915.68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373179.7632</v>
      </c>
      <c r="V58" s="467">
        <f t="shared" si="11"/>
        <v>933179.7632</v>
      </c>
      <c r="W58" s="474">
        <v>12</v>
      </c>
      <c r="X58" s="467">
        <f t="shared" si="12"/>
        <v>77764.9802666667</v>
      </c>
      <c r="Y58" s="470"/>
      <c r="Z58" s="467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4">
        <v>52</v>
      </c>
      <c r="B59" s="11" t="s">
        <v>328</v>
      </c>
      <c r="C59" s="467">
        <v>397211.3675</v>
      </c>
      <c r="D59" s="466">
        <v>12</v>
      </c>
      <c r="E59" s="467">
        <f t="shared" si="37"/>
        <v>4766536.41</v>
      </c>
      <c r="F59" s="467"/>
      <c r="G59" s="470"/>
      <c r="H59" s="470"/>
      <c r="I59" s="467">
        <f t="shared" si="0"/>
        <v>4766536.41</v>
      </c>
      <c r="J59" s="467">
        <v>200000</v>
      </c>
      <c r="K59" s="467">
        <v>0.2</v>
      </c>
      <c r="L59" s="467">
        <f t="shared" si="1"/>
        <v>953307.282</v>
      </c>
      <c r="M59" s="467">
        <f t="shared" si="2"/>
        <v>1153307.282</v>
      </c>
      <c r="N59" s="467">
        <f t="shared" si="3"/>
        <v>1153307.282</v>
      </c>
      <c r="O59" s="467">
        <f t="shared" si="4"/>
        <v>3613229.128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99174.99072</v>
      </c>
      <c r="V59" s="467">
        <f t="shared" si="11"/>
        <v>659174.99072</v>
      </c>
      <c r="W59" s="474">
        <v>12</v>
      </c>
      <c r="X59" s="467">
        <f t="shared" si="12"/>
        <v>54931.2492266667</v>
      </c>
      <c r="Y59" s="470"/>
      <c r="Z59" s="467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4">
        <v>53</v>
      </c>
      <c r="B60" s="18" t="s">
        <v>329</v>
      </c>
      <c r="C60" s="467">
        <v>369177.65375</v>
      </c>
      <c r="D60" s="466">
        <v>12</v>
      </c>
      <c r="E60" s="467">
        <f t="shared" si="37"/>
        <v>4430131.845</v>
      </c>
      <c r="F60" s="467"/>
      <c r="G60" s="470"/>
      <c r="H60" s="470"/>
      <c r="I60" s="467">
        <f t="shared" si="0"/>
        <v>4430131.845</v>
      </c>
      <c r="J60" s="467">
        <v>200000</v>
      </c>
      <c r="K60" s="467">
        <v>0.2</v>
      </c>
      <c r="L60" s="467">
        <f t="shared" si="1"/>
        <v>886026.369</v>
      </c>
      <c r="M60" s="467">
        <f t="shared" si="2"/>
        <v>1086026.369</v>
      </c>
      <c r="N60" s="467">
        <f t="shared" si="3"/>
        <v>1086026.369</v>
      </c>
      <c r="O60" s="467">
        <f t="shared" si="4"/>
        <v>3344105.476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34585.3142399999</v>
      </c>
      <c r="V60" s="467">
        <f t="shared" si="11"/>
        <v>594585.31424</v>
      </c>
      <c r="W60" s="474">
        <v>12</v>
      </c>
      <c r="X60" s="467">
        <f t="shared" si="12"/>
        <v>49548.7761866667</v>
      </c>
      <c r="Y60" s="470"/>
      <c r="Z60" s="467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4">
        <v>54</v>
      </c>
      <c r="B61" s="14" t="s">
        <v>330</v>
      </c>
      <c r="C61" s="467">
        <v>421394.00675</v>
      </c>
      <c r="D61" s="466">
        <v>12</v>
      </c>
      <c r="E61" s="467">
        <f t="shared" si="37"/>
        <v>5056728.081</v>
      </c>
      <c r="F61" s="467"/>
      <c r="G61" s="470"/>
      <c r="H61" s="470"/>
      <c r="I61" s="467">
        <f t="shared" si="0"/>
        <v>5056728.081</v>
      </c>
      <c r="J61" s="467">
        <v>200000</v>
      </c>
      <c r="K61" s="467">
        <v>0.2</v>
      </c>
      <c r="L61" s="467">
        <f t="shared" si="1"/>
        <v>1011345.6162</v>
      </c>
      <c r="M61" s="467">
        <f t="shared" si="2"/>
        <v>1211345.6162</v>
      </c>
      <c r="N61" s="467">
        <f t="shared" si="3"/>
        <v>1211345.6162</v>
      </c>
      <c r="O61" s="467">
        <f t="shared" si="4"/>
        <v>3845382.4648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154891.791552</v>
      </c>
      <c r="V61" s="467">
        <f t="shared" si="11"/>
        <v>714891.791552</v>
      </c>
      <c r="W61" s="474">
        <v>12</v>
      </c>
      <c r="X61" s="467">
        <f t="shared" si="12"/>
        <v>59574.3159626667</v>
      </c>
      <c r="Y61" s="470"/>
      <c r="Z61" s="557">
        <f t="shared" si="13"/>
        <v>59574.3159626667</v>
      </c>
      <c r="AA61" s="553">
        <v>46666.6666666667</v>
      </c>
      <c r="AB61" s="553">
        <f t="shared" si="38"/>
        <v>12907.649296</v>
      </c>
      <c r="AC61" s="213"/>
      <c r="AD61" s="213"/>
      <c r="AE61" s="213"/>
    </row>
    <row r="62" ht="18" spans="1:31">
      <c r="A62" s="544">
        <v>55</v>
      </c>
      <c r="B62" s="11" t="s">
        <v>331</v>
      </c>
      <c r="C62" s="467">
        <v>322454.074</v>
      </c>
      <c r="D62" s="466">
        <v>12</v>
      </c>
      <c r="E62" s="467">
        <f t="shared" si="37"/>
        <v>3869448.888</v>
      </c>
      <c r="F62" s="467"/>
      <c r="G62" s="470"/>
      <c r="H62" s="470"/>
      <c r="I62" s="467">
        <f t="shared" si="0"/>
        <v>3869448.888</v>
      </c>
      <c r="J62" s="467">
        <v>200000</v>
      </c>
      <c r="K62" s="467">
        <v>0.2</v>
      </c>
      <c r="L62" s="467">
        <f t="shared" si="1"/>
        <v>773889.7776</v>
      </c>
      <c r="M62" s="467">
        <f t="shared" si="2"/>
        <v>973889.7776</v>
      </c>
      <c r="N62" s="467">
        <f t="shared" si="3"/>
        <v>973889.7776</v>
      </c>
      <c r="O62" s="467">
        <f t="shared" si="4"/>
        <v>2895559.1104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272067.413184</v>
      </c>
      <c r="U62" s="467"/>
      <c r="V62" s="467">
        <f t="shared" si="11"/>
        <v>496067.413184</v>
      </c>
      <c r="W62" s="474">
        <v>12</v>
      </c>
      <c r="X62" s="467">
        <f t="shared" si="12"/>
        <v>41338.9510986667</v>
      </c>
      <c r="Y62" s="470"/>
      <c r="Z62" s="467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4">
        <v>56</v>
      </c>
      <c r="B63" s="11" t="s">
        <v>333</v>
      </c>
      <c r="C63" s="467">
        <v>322454.074</v>
      </c>
      <c r="D63" s="466">
        <v>12</v>
      </c>
      <c r="E63" s="467">
        <f t="shared" si="37"/>
        <v>3869448.888</v>
      </c>
      <c r="F63" s="467"/>
      <c r="G63" s="470"/>
      <c r="H63" s="470"/>
      <c r="I63" s="467">
        <f t="shared" si="0"/>
        <v>3869448.888</v>
      </c>
      <c r="J63" s="467">
        <v>200000</v>
      </c>
      <c r="K63" s="467">
        <v>0.2</v>
      </c>
      <c r="L63" s="467">
        <f t="shared" si="1"/>
        <v>773889.7776</v>
      </c>
      <c r="M63" s="467">
        <f t="shared" si="2"/>
        <v>973889.7776</v>
      </c>
      <c r="N63" s="467">
        <f t="shared" si="3"/>
        <v>973889.7776</v>
      </c>
      <c r="O63" s="467">
        <f t="shared" si="4"/>
        <v>2895559.1104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272067.413184</v>
      </c>
      <c r="U63" s="467"/>
      <c r="V63" s="467">
        <f t="shared" si="11"/>
        <v>496067.413184</v>
      </c>
      <c r="W63" s="474">
        <v>12</v>
      </c>
      <c r="X63" s="467">
        <f t="shared" si="12"/>
        <v>41338.9510986667</v>
      </c>
      <c r="Y63" s="470"/>
      <c r="Z63" s="467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4">
        <v>57</v>
      </c>
      <c r="B64" s="11" t="s">
        <v>334</v>
      </c>
      <c r="C64" s="467">
        <v>322454.074</v>
      </c>
      <c r="D64" s="466">
        <v>12</v>
      </c>
      <c r="E64" s="467">
        <f t="shared" si="37"/>
        <v>3869448.888</v>
      </c>
      <c r="F64" s="467"/>
      <c r="G64" s="470"/>
      <c r="H64" s="470"/>
      <c r="I64" s="467">
        <f t="shared" si="0"/>
        <v>3869448.888</v>
      </c>
      <c r="J64" s="467">
        <v>200000</v>
      </c>
      <c r="K64" s="467">
        <v>0.2</v>
      </c>
      <c r="L64" s="467">
        <f t="shared" si="1"/>
        <v>773889.7776</v>
      </c>
      <c r="M64" s="467">
        <f t="shared" si="2"/>
        <v>973889.7776</v>
      </c>
      <c r="N64" s="467">
        <f t="shared" si="3"/>
        <v>973889.7776</v>
      </c>
      <c r="O64" s="467">
        <f t="shared" si="4"/>
        <v>2895559.1104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272067.413184</v>
      </c>
      <c r="U64" s="467"/>
      <c r="V64" s="467">
        <f t="shared" si="11"/>
        <v>496067.413184</v>
      </c>
      <c r="W64" s="474">
        <v>12</v>
      </c>
      <c r="X64" s="467">
        <f t="shared" si="12"/>
        <v>41338.9510986667</v>
      </c>
      <c r="Y64" s="470"/>
      <c r="Z64" s="467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4">
        <v>58</v>
      </c>
      <c r="B65" s="11" t="s">
        <v>335</v>
      </c>
      <c r="C65" s="467">
        <v>334536.9985</v>
      </c>
      <c r="D65" s="466">
        <v>12</v>
      </c>
      <c r="E65" s="467">
        <f t="shared" si="37"/>
        <v>4014443.982</v>
      </c>
      <c r="F65" s="467"/>
      <c r="G65" s="470"/>
      <c r="H65" s="470"/>
      <c r="I65" s="467">
        <f t="shared" si="0"/>
        <v>4014443.982</v>
      </c>
      <c r="J65" s="467">
        <v>200000</v>
      </c>
      <c r="K65" s="467">
        <v>0.2</v>
      </c>
      <c r="L65" s="467">
        <f t="shared" si="1"/>
        <v>802888.7964</v>
      </c>
      <c r="M65" s="467">
        <f t="shared" si="2"/>
        <v>1002888.7964</v>
      </c>
      <c r="N65" s="467">
        <f t="shared" si="3"/>
        <v>1002888.7964</v>
      </c>
      <c r="O65" s="467">
        <f t="shared" si="4"/>
        <v>3011555.1856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296426.588976</v>
      </c>
      <c r="U65" s="467"/>
      <c r="V65" s="467">
        <f t="shared" si="11"/>
        <v>520426.588976</v>
      </c>
      <c r="W65" s="474">
        <v>12</v>
      </c>
      <c r="X65" s="467">
        <f t="shared" si="12"/>
        <v>43368.8824146667</v>
      </c>
      <c r="Y65" s="470"/>
      <c r="Z65" s="467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4">
        <v>59</v>
      </c>
      <c r="B66" s="11" t="s">
        <v>337</v>
      </c>
      <c r="C66" s="467">
        <v>277734.047</v>
      </c>
      <c r="D66" s="466">
        <v>12</v>
      </c>
      <c r="E66" s="467">
        <f t="shared" si="37"/>
        <v>3332808.564</v>
      </c>
      <c r="F66" s="467"/>
      <c r="G66" s="470"/>
      <c r="H66" s="470"/>
      <c r="I66" s="467">
        <f t="shared" si="0"/>
        <v>3332808.564</v>
      </c>
      <c r="J66" s="467">
        <v>200000</v>
      </c>
      <c r="K66" s="467">
        <v>0.2</v>
      </c>
      <c r="L66" s="467">
        <f t="shared" si="1"/>
        <v>666561.7128</v>
      </c>
      <c r="M66" s="467">
        <f t="shared" si="2"/>
        <v>866561.7128</v>
      </c>
      <c r="N66" s="467">
        <f t="shared" si="3"/>
        <v>866561.7128</v>
      </c>
      <c r="O66" s="467">
        <f t="shared" si="4"/>
        <v>2466246.8512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181911.838752</v>
      </c>
      <c r="U66" s="467"/>
      <c r="V66" s="467">
        <f t="shared" si="11"/>
        <v>405911.838752</v>
      </c>
      <c r="W66" s="474">
        <v>12</v>
      </c>
      <c r="X66" s="467">
        <f t="shared" si="12"/>
        <v>33825.9865626667</v>
      </c>
      <c r="Y66" s="470"/>
      <c r="Z66" s="467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213"/>
      <c r="AB67" s="213"/>
      <c r="AC67" s="213"/>
      <c r="AD67" s="213"/>
      <c r="AE67" s="213"/>
    </row>
    <row r="68" ht="17.5" spans="1:31">
      <c r="A68" s="54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213"/>
      <c r="AB68" s="213"/>
      <c r="AC68" s="213"/>
      <c r="AD68" s="213"/>
      <c r="AE68" s="213"/>
    </row>
    <row r="69" ht="17.5" spans="1:31">
      <c r="A69" s="544"/>
      <c r="B69" s="20" t="s">
        <v>51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213"/>
      <c r="AB69" s="213"/>
      <c r="AC69" s="213"/>
      <c r="AD69" s="213"/>
      <c r="AE69" s="213"/>
    </row>
    <row r="70" ht="18" spans="1:31">
      <c r="A70" s="544"/>
      <c r="B70" s="11" t="s">
        <v>338</v>
      </c>
      <c r="C70" s="467">
        <v>1050209.0635</v>
      </c>
      <c r="D70" s="466">
        <v>12</v>
      </c>
      <c r="E70" s="467">
        <f>C70*D70</f>
        <v>12602508.762</v>
      </c>
      <c r="F70" s="467"/>
      <c r="G70" s="470"/>
      <c r="H70" s="470"/>
      <c r="I70" s="467">
        <f t="shared" ref="I70" si="39">E70-F70-G70-H70</f>
        <v>12602508.762</v>
      </c>
      <c r="J70" s="467">
        <v>200000</v>
      </c>
      <c r="K70" s="467">
        <v>0.2</v>
      </c>
      <c r="L70" s="467">
        <f t="shared" ref="L70" si="40">I70*K70</f>
        <v>2520501.7524</v>
      </c>
      <c r="M70" s="467">
        <f t="shared" ref="M70" si="41">J70+L70</f>
        <v>2720501.7524</v>
      </c>
      <c r="N70" s="467">
        <f t="shared" ref="N70" si="42">F70+G70+H70+M70</f>
        <v>2720501.7524</v>
      </c>
      <c r="O70" s="467">
        <f t="shared" ref="O70" si="43">E70-N70</f>
        <v>9882007.0096</v>
      </c>
      <c r="P70" s="467">
        <f t="shared" ref="P70" si="44">IF(O70&lt;300000,0.07*O70,21000)</f>
        <v>21000</v>
      </c>
      <c r="Q70" s="467">
        <f t="shared" ref="Q70" si="45">IF((O70-300000)&lt;0,0,IF((O70-300000)&lt;300000,0.11*(O70-300000),33000))</f>
        <v>33000</v>
      </c>
      <c r="R70" s="467">
        <f t="shared" ref="R70" si="46">IF((O70-600000)&lt;0,0,IF((O70-600000)&lt;500000,0.15*(O70-600000),75000))</f>
        <v>75000</v>
      </c>
      <c r="S70" s="467">
        <f t="shared" ref="S70" si="47">IF((O70-1100000)&lt;0,0,IF((O70-1100000)&lt;500000,0.19*(O70-1100000),95000))</f>
        <v>95000</v>
      </c>
      <c r="T70" s="467">
        <f t="shared" ref="T70" si="48">IF((O70-1600000)&lt;0,0,IF((O70-1600000)&lt;1600000,0.21*(O70-1600000),336000))</f>
        <v>336000</v>
      </c>
      <c r="U70" s="467">
        <f t="shared" ref="U70" si="49">24%*(O70-3200000)</f>
        <v>1603681.682304</v>
      </c>
      <c r="V70" s="467">
        <f t="shared" ref="V70" si="50">P70+Q70+R70+S70+T70+U70</f>
        <v>2163681.682304</v>
      </c>
      <c r="W70" s="474">
        <v>12</v>
      </c>
      <c r="X70" s="467">
        <f t="shared" ref="X70" si="51">V70/W70</f>
        <v>180306.806858667</v>
      </c>
      <c r="Y70" s="470"/>
      <c r="Z70" s="467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4">
        <v>62</v>
      </c>
      <c r="B71" s="14" t="s">
        <v>220</v>
      </c>
      <c r="C71" s="467">
        <v>516137.05</v>
      </c>
      <c r="D71" s="466">
        <v>12</v>
      </c>
      <c r="E71" s="467">
        <f t="shared" ref="E71:E76" si="53">C71*D71</f>
        <v>6193644.6</v>
      </c>
      <c r="F71" s="467"/>
      <c r="G71" s="470"/>
      <c r="H71" s="470"/>
      <c r="I71" s="467">
        <f t="shared" si="0"/>
        <v>6193644.6</v>
      </c>
      <c r="J71" s="467">
        <v>200000</v>
      </c>
      <c r="K71" s="467">
        <v>0.2</v>
      </c>
      <c r="L71" s="467">
        <f t="shared" si="1"/>
        <v>1238728.92</v>
      </c>
      <c r="M71" s="467">
        <f t="shared" si="2"/>
        <v>1438728.92</v>
      </c>
      <c r="N71" s="467">
        <f t="shared" si="3"/>
        <v>1438728.92</v>
      </c>
      <c r="O71" s="467">
        <f t="shared" si="4"/>
        <v>4754915.68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373179.7632</v>
      </c>
      <c r="V71" s="467">
        <f t="shared" si="11"/>
        <v>933179.7632</v>
      </c>
      <c r="W71" s="474">
        <v>12</v>
      </c>
      <c r="X71" s="467">
        <f t="shared" si="12"/>
        <v>77764.9802666667</v>
      </c>
      <c r="Y71" s="470"/>
      <c r="Z71" s="467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4">
        <v>63</v>
      </c>
      <c r="B72" s="18" t="s">
        <v>223</v>
      </c>
      <c r="C72" s="467">
        <v>447553.5025</v>
      </c>
      <c r="D72" s="466">
        <v>12</v>
      </c>
      <c r="E72" s="467">
        <f t="shared" si="53"/>
        <v>5370642.03</v>
      </c>
      <c r="F72" s="467"/>
      <c r="G72" s="470"/>
      <c r="H72" s="470"/>
      <c r="I72" s="467">
        <f t="shared" si="0"/>
        <v>5370642.03</v>
      </c>
      <c r="J72" s="467">
        <v>200000</v>
      </c>
      <c r="K72" s="467">
        <v>0.2</v>
      </c>
      <c r="L72" s="467">
        <f t="shared" si="1"/>
        <v>1074128.406</v>
      </c>
      <c r="M72" s="467">
        <f t="shared" si="2"/>
        <v>1274128.406</v>
      </c>
      <c r="N72" s="467">
        <f t="shared" si="3"/>
        <v>1274128.406</v>
      </c>
      <c r="O72" s="467">
        <f t="shared" si="4"/>
        <v>4096513.624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215163.26976</v>
      </c>
      <c r="V72" s="467">
        <f t="shared" si="11"/>
        <v>775163.26976</v>
      </c>
      <c r="W72" s="474">
        <v>12</v>
      </c>
      <c r="X72" s="467">
        <f t="shared" si="12"/>
        <v>64596.9391466667</v>
      </c>
      <c r="Y72" s="470"/>
      <c r="Z72" s="467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4">
        <v>64</v>
      </c>
      <c r="B73" s="11" t="s">
        <v>340</v>
      </c>
      <c r="C73" s="467">
        <v>405272.06375</v>
      </c>
      <c r="D73" s="466">
        <v>12</v>
      </c>
      <c r="E73" s="467">
        <f t="shared" si="53"/>
        <v>4863264.765</v>
      </c>
      <c r="F73" s="467">
        <f>'[5]JANUARY 2024'!$V$78*12</f>
        <v>8019.795</v>
      </c>
      <c r="G73" s="470"/>
      <c r="H73" s="470"/>
      <c r="I73" s="467">
        <f t="shared" si="0"/>
        <v>4855244.97</v>
      </c>
      <c r="J73" s="467">
        <v>200000</v>
      </c>
      <c r="K73" s="467">
        <v>0.2</v>
      </c>
      <c r="L73" s="467">
        <f t="shared" si="1"/>
        <v>971048.994</v>
      </c>
      <c r="M73" s="467">
        <f t="shared" si="2"/>
        <v>1171048.994</v>
      </c>
      <c r="N73" s="467">
        <f t="shared" si="3"/>
        <v>1179068.789</v>
      </c>
      <c r="O73" s="467">
        <f t="shared" si="4"/>
        <v>3684195.976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116207.03424</v>
      </c>
      <c r="V73" s="467">
        <f t="shared" si="11"/>
        <v>676207.03424</v>
      </c>
      <c r="W73" s="474">
        <v>12</v>
      </c>
      <c r="X73" s="467">
        <f t="shared" si="12"/>
        <v>56350.5861866667</v>
      </c>
      <c r="Y73" s="470"/>
      <c r="Z73" s="467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48">
        <v>65</v>
      </c>
      <c r="B74" s="11" t="s">
        <v>343</v>
      </c>
      <c r="C74" s="467">
        <v>273169.1175</v>
      </c>
      <c r="D74" s="466">
        <v>12</v>
      </c>
      <c r="E74" s="467">
        <f t="shared" si="53"/>
        <v>3278029.41</v>
      </c>
      <c r="F74" s="467"/>
      <c r="G74" s="470"/>
      <c r="H74" s="470"/>
      <c r="I74" s="467">
        <f t="shared" si="0"/>
        <v>3278029.41</v>
      </c>
      <c r="J74" s="467">
        <v>200000</v>
      </c>
      <c r="K74" s="467">
        <v>0.2</v>
      </c>
      <c r="L74" s="467">
        <f t="shared" si="1"/>
        <v>655605.882</v>
      </c>
      <c r="M74" s="467">
        <f t="shared" si="2"/>
        <v>855605.882</v>
      </c>
      <c r="N74" s="467">
        <f t="shared" si="3"/>
        <v>855605.882</v>
      </c>
      <c r="O74" s="467">
        <f t="shared" si="4"/>
        <v>2422423.528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172708.94088</v>
      </c>
      <c r="U74" s="467"/>
      <c r="V74" s="467">
        <f t="shared" si="11"/>
        <v>396708.94088</v>
      </c>
      <c r="W74" s="474">
        <v>12</v>
      </c>
      <c r="X74" s="467">
        <f t="shared" si="12"/>
        <v>33059.0784066667</v>
      </c>
      <c r="Y74" s="470"/>
      <c r="Z74" s="552">
        <f t="shared" si="13"/>
        <v>33059.0784066667</v>
      </c>
      <c r="AA74" s="553">
        <v>17507.5489666667</v>
      </c>
      <c r="AB74" s="553">
        <f t="shared" si="54"/>
        <v>15551.52944</v>
      </c>
      <c r="AC74" s="556"/>
      <c r="AD74" s="556"/>
      <c r="AE74" s="556"/>
    </row>
    <row r="75" ht="18" spans="1:31">
      <c r="A75" s="544"/>
      <c r="B75" s="11" t="s">
        <v>346</v>
      </c>
      <c r="C75" s="467">
        <v>249356.04725</v>
      </c>
      <c r="D75" s="466">
        <v>12</v>
      </c>
      <c r="E75" s="467">
        <f t="shared" si="53"/>
        <v>2992272.567</v>
      </c>
      <c r="F75" s="467"/>
      <c r="G75" s="470"/>
      <c r="H75" s="470"/>
      <c r="I75" s="467">
        <f t="shared" si="0"/>
        <v>2992272.567</v>
      </c>
      <c r="J75" s="467">
        <v>200000</v>
      </c>
      <c r="K75" s="467">
        <v>0.2</v>
      </c>
      <c r="L75" s="467">
        <f t="shared" si="1"/>
        <v>598454.5134</v>
      </c>
      <c r="M75" s="467">
        <f t="shared" si="2"/>
        <v>798454.5134</v>
      </c>
      <c r="N75" s="467">
        <f t="shared" si="3"/>
        <v>798454.5134</v>
      </c>
      <c r="O75" s="467">
        <f t="shared" si="4"/>
        <v>2193818.0536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124701.791256</v>
      </c>
      <c r="U75" s="467"/>
      <c r="V75" s="467">
        <f t="shared" si="11"/>
        <v>348701.791256</v>
      </c>
      <c r="W75" s="474">
        <v>12</v>
      </c>
      <c r="X75" s="467">
        <f t="shared" si="12"/>
        <v>29058.4826046667</v>
      </c>
      <c r="Y75" s="470"/>
      <c r="Z75" s="467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4"/>
      <c r="B76" s="11" t="s">
        <v>347</v>
      </c>
      <c r="C76" s="467">
        <v>223717.2845</v>
      </c>
      <c r="D76" s="466">
        <v>12</v>
      </c>
      <c r="E76" s="467">
        <f t="shared" si="53"/>
        <v>2684607.414</v>
      </c>
      <c r="F76" s="467"/>
      <c r="G76" s="470"/>
      <c r="H76" s="470"/>
      <c r="I76" s="467">
        <f t="shared" ref="I76" si="55">E76-F76-G76-H76</f>
        <v>2684607.414</v>
      </c>
      <c r="J76" s="467">
        <v>200000</v>
      </c>
      <c r="K76" s="467">
        <v>0.2</v>
      </c>
      <c r="L76" s="467">
        <f t="shared" ref="L76" si="56">I76*K76</f>
        <v>536921.4828</v>
      </c>
      <c r="M76" s="467">
        <f t="shared" ref="M76" si="57">J76+L76</f>
        <v>736921.4828</v>
      </c>
      <c r="N76" s="467">
        <f t="shared" ref="N76" si="58">F76+G76+H76+M76</f>
        <v>736921.4828</v>
      </c>
      <c r="O76" s="467">
        <f t="shared" ref="O76" si="59">E76-N76</f>
        <v>1947685.9312</v>
      </c>
      <c r="P76" s="467">
        <f t="shared" ref="P76" si="60">IF(O76&lt;300000,0.07*O76,21000)</f>
        <v>21000</v>
      </c>
      <c r="Q76" s="467">
        <f t="shared" ref="Q76" si="61">IF((O76-300000)&lt;0,0,IF((O76-300000)&lt;300000,0.11*(O76-300000),33000))</f>
        <v>33000</v>
      </c>
      <c r="R76" s="467">
        <f t="shared" ref="R76" si="62">IF((O76-600000)&lt;0,0,IF((O76-600000)&lt;500000,0.15*(O76-600000),75000))</f>
        <v>75000</v>
      </c>
      <c r="S76" s="467">
        <f t="shared" ref="S76" si="63">IF((O76-1100000)&lt;0,0,IF((O76-1100000)&lt;500000,0.19*(O76-1100000),95000))</f>
        <v>95000</v>
      </c>
      <c r="T76" s="467">
        <f t="shared" ref="T76" si="64">IF((O76-1600000)&lt;0,0,IF((O76-1600000)&lt;1600000,0.21*(O76-1600000),336000))</f>
        <v>73014.045552</v>
      </c>
      <c r="U76" s="467">
        <v>0</v>
      </c>
      <c r="V76" s="467">
        <f t="shared" ref="V76" si="65">P76+Q76+R76+S76+T76+U76</f>
        <v>297014.045552</v>
      </c>
      <c r="W76" s="474">
        <v>12</v>
      </c>
      <c r="X76" s="467">
        <f t="shared" ref="X76" si="66">V76/W76</f>
        <v>24751.1704626667</v>
      </c>
      <c r="Y76" s="470"/>
      <c r="Z76" s="467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4"/>
      <c r="B77" s="20" t="s">
        <v>33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213"/>
      <c r="AB78" s="213"/>
      <c r="AC78" s="213"/>
      <c r="AD78" s="213"/>
      <c r="AE78" s="213"/>
    </row>
    <row r="79" ht="35" spans="1:31">
      <c r="A79" s="544">
        <v>67</v>
      </c>
      <c r="B79" s="20" t="s">
        <v>56</v>
      </c>
      <c r="C79" s="467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522</v>
      </c>
      <c r="AC79" s="213"/>
      <c r="AD79" s="213"/>
      <c r="AE79" s="213"/>
    </row>
    <row r="80" ht="18" spans="1:31">
      <c r="A80" s="544">
        <v>68</v>
      </c>
      <c r="B80" s="11" t="s">
        <v>349</v>
      </c>
      <c r="C80" s="467">
        <v>627553.5025</v>
      </c>
      <c r="D80" s="466">
        <v>12</v>
      </c>
      <c r="E80" s="467">
        <f>C80*D80</f>
        <v>7530642.03</v>
      </c>
      <c r="F80" s="467"/>
      <c r="G80" s="470"/>
      <c r="H80" s="470"/>
      <c r="I80" s="467">
        <f t="shared" ref="I80:I89" si="68">E80-F80-G80-H80</f>
        <v>7530642.03</v>
      </c>
      <c r="J80" s="467">
        <v>200000</v>
      </c>
      <c r="K80" s="467">
        <v>0.2</v>
      </c>
      <c r="L80" s="467">
        <f t="shared" ref="L80:L89" si="69">I80*K80</f>
        <v>1506128.406</v>
      </c>
      <c r="M80" s="467">
        <f t="shared" ref="M80:M89" si="70">J80+L80</f>
        <v>1706128.406</v>
      </c>
      <c r="N80" s="467">
        <f t="shared" ref="N80:N89" si="71">F80+G80+H80+M80</f>
        <v>1706128.406</v>
      </c>
      <c r="O80" s="467">
        <f t="shared" ref="O80:O89" si="72">E80-N80</f>
        <v>5824513.624</v>
      </c>
      <c r="P80" s="467">
        <f t="shared" ref="P80:P89" si="73">IF(O80&lt;300000,0.07*O80,21000)</f>
        <v>21000</v>
      </c>
      <c r="Q80" s="467">
        <f t="shared" ref="Q80:Q89" si="74">IF((O80-300000)&lt;0,0,IF((O80-300000)&lt;300000,0.11*(O80-300000),33000))</f>
        <v>33000</v>
      </c>
      <c r="R80" s="467">
        <f t="shared" ref="R80:R89" si="75">IF((O80-600000)&lt;0,0,IF((O80-600000)&lt;500000,0.15*(O80-600000),75000))</f>
        <v>75000</v>
      </c>
      <c r="S80" s="467">
        <f t="shared" ref="S80:S89" si="76">IF((O80-1100000)&lt;0,0,IF((O80-1100000)&lt;500000,0.19*(O80-1100000),95000))</f>
        <v>95000</v>
      </c>
      <c r="T80" s="467">
        <f t="shared" ref="T80:T89" si="77">IF((O80-1600000)&lt;0,0,IF((O80-1600000)&lt;1600000,0.21*(O80-1600000),336000))</f>
        <v>336000</v>
      </c>
      <c r="U80" s="467">
        <f t="shared" ref="U80:U85" si="78">24%*(O80-3200000)</f>
        <v>629883.26976</v>
      </c>
      <c r="V80" s="467">
        <f t="shared" ref="V80:V89" si="79">P80+Q80+R80+S80+T80+U80</f>
        <v>1189883.26976</v>
      </c>
      <c r="W80" s="474">
        <v>12</v>
      </c>
      <c r="X80" s="467">
        <f t="shared" ref="X80:X89" si="80">V80/W80</f>
        <v>99156.9391466667</v>
      </c>
      <c r="Y80" s="470"/>
      <c r="Z80" s="467">
        <f t="shared" ref="Z80:Z89" si="81">X80</f>
        <v>99156.9391466667</v>
      </c>
      <c r="AA80" s="547">
        <v>99156.9391466667</v>
      </c>
      <c r="AB80" s="555">
        <f>Z80-AA80</f>
        <v>0</v>
      </c>
      <c r="AC80" s="213" t="s">
        <v>349</v>
      </c>
      <c r="AD80" s="213"/>
      <c r="AE80" s="213"/>
    </row>
    <row r="81" s="537" customFormat="1" ht="18" spans="1:31">
      <c r="A81" s="548">
        <v>69</v>
      </c>
      <c r="B81" s="11" t="s">
        <v>350</v>
      </c>
      <c r="C81" s="467">
        <v>527553.5025</v>
      </c>
      <c r="D81" s="466">
        <v>12</v>
      </c>
      <c r="E81" s="467">
        <f t="shared" ref="E81:E87" si="82">C81*D81</f>
        <v>6330642.03</v>
      </c>
      <c r="F81" s="467">
        <f>'[5]JANUARY 2024'!$V$86*12</f>
        <v>10052.25</v>
      </c>
      <c r="G81" s="470"/>
      <c r="H81" s="470"/>
      <c r="I81" s="467">
        <f t="shared" si="68"/>
        <v>6320589.78</v>
      </c>
      <c r="J81" s="467">
        <v>200000</v>
      </c>
      <c r="K81" s="467">
        <v>0.2</v>
      </c>
      <c r="L81" s="467">
        <f t="shared" si="69"/>
        <v>1264117.956</v>
      </c>
      <c r="M81" s="467">
        <f t="shared" si="70"/>
        <v>1464117.956</v>
      </c>
      <c r="N81" s="467">
        <f t="shared" si="71"/>
        <v>1474170.206</v>
      </c>
      <c r="O81" s="467">
        <f t="shared" si="72"/>
        <v>4856471.824</v>
      </c>
      <c r="P81" s="467">
        <f t="shared" si="73"/>
        <v>21000</v>
      </c>
      <c r="Q81" s="467">
        <f t="shared" si="74"/>
        <v>33000</v>
      </c>
      <c r="R81" s="467">
        <f t="shared" si="75"/>
        <v>75000</v>
      </c>
      <c r="S81" s="467">
        <f t="shared" si="76"/>
        <v>95000</v>
      </c>
      <c r="T81" s="467">
        <f t="shared" si="77"/>
        <v>336000</v>
      </c>
      <c r="U81" s="467">
        <f t="shared" si="78"/>
        <v>397553.23776</v>
      </c>
      <c r="V81" s="467">
        <f t="shared" si="79"/>
        <v>957553.23776</v>
      </c>
      <c r="W81" s="474">
        <v>12</v>
      </c>
      <c r="X81" s="467">
        <f t="shared" si="80"/>
        <v>79796.1031466666</v>
      </c>
      <c r="Y81" s="470"/>
      <c r="Z81" s="467">
        <f t="shared" si="81"/>
        <v>79796.1031466666</v>
      </c>
      <c r="AA81" s="547">
        <v>98996.1031466667</v>
      </c>
      <c r="AB81" s="555">
        <f t="shared" ref="AB81:AB87" si="83">Z81-AA81</f>
        <v>-19200.0000000001</v>
      </c>
      <c r="AC81" s="556" t="s">
        <v>350</v>
      </c>
      <c r="AD81" s="556"/>
      <c r="AE81" s="556"/>
    </row>
    <row r="82" s="537" customFormat="1" ht="36" spans="1:31">
      <c r="A82" s="548">
        <v>70</v>
      </c>
      <c r="B82" s="11" t="s">
        <v>351</v>
      </c>
      <c r="C82" s="467">
        <v>504729.222</v>
      </c>
      <c r="D82" s="466">
        <v>12</v>
      </c>
      <c r="E82" s="467">
        <f t="shared" si="82"/>
        <v>6056750.664</v>
      </c>
      <c r="F82" s="467"/>
      <c r="G82" s="470"/>
      <c r="H82" s="470"/>
      <c r="I82" s="467">
        <f t="shared" si="68"/>
        <v>6056750.664</v>
      </c>
      <c r="J82" s="467">
        <v>200000</v>
      </c>
      <c r="K82" s="467">
        <v>0.2</v>
      </c>
      <c r="L82" s="467">
        <f t="shared" si="69"/>
        <v>1211350.1328</v>
      </c>
      <c r="M82" s="467">
        <f t="shared" si="70"/>
        <v>1411350.1328</v>
      </c>
      <c r="N82" s="467">
        <f t="shared" si="71"/>
        <v>1411350.1328</v>
      </c>
      <c r="O82" s="467">
        <f t="shared" si="72"/>
        <v>4645400.5312</v>
      </c>
      <c r="P82" s="467">
        <f t="shared" si="73"/>
        <v>21000</v>
      </c>
      <c r="Q82" s="467">
        <f t="shared" si="74"/>
        <v>33000</v>
      </c>
      <c r="R82" s="467">
        <f t="shared" si="75"/>
        <v>75000</v>
      </c>
      <c r="S82" s="467">
        <f t="shared" si="76"/>
        <v>95000</v>
      </c>
      <c r="T82" s="467">
        <f t="shared" si="77"/>
        <v>336000</v>
      </c>
      <c r="U82" s="467">
        <f t="shared" si="78"/>
        <v>346896.127488</v>
      </c>
      <c r="V82" s="467">
        <f t="shared" si="79"/>
        <v>906896.127488</v>
      </c>
      <c r="W82" s="474">
        <v>12</v>
      </c>
      <c r="X82" s="467">
        <f t="shared" si="80"/>
        <v>75574.6772906667</v>
      </c>
      <c r="Y82" s="470"/>
      <c r="Z82" s="467">
        <f t="shared" si="81"/>
        <v>75574.6772906667</v>
      </c>
      <c r="AA82" s="559">
        <v>79956.9391466667</v>
      </c>
      <c r="AB82" s="555">
        <f t="shared" si="83"/>
        <v>-4382.26185600003</v>
      </c>
      <c r="AC82" s="556" t="s">
        <v>351</v>
      </c>
      <c r="AD82" s="556"/>
      <c r="AE82" s="556"/>
    </row>
    <row r="83" ht="18" spans="1:31">
      <c r="A83" s="544">
        <v>71</v>
      </c>
      <c r="B83" s="11" t="s">
        <v>352</v>
      </c>
      <c r="C83" s="467">
        <v>376663.0775</v>
      </c>
      <c r="D83" s="466">
        <v>12</v>
      </c>
      <c r="E83" s="467">
        <f t="shared" si="82"/>
        <v>4519956.93</v>
      </c>
      <c r="F83" s="467"/>
      <c r="G83" s="470"/>
      <c r="H83" s="470"/>
      <c r="I83" s="467">
        <f t="shared" si="68"/>
        <v>4519956.93</v>
      </c>
      <c r="J83" s="467">
        <v>200000</v>
      </c>
      <c r="K83" s="467">
        <v>0.2</v>
      </c>
      <c r="L83" s="467">
        <f t="shared" si="69"/>
        <v>903991.386</v>
      </c>
      <c r="M83" s="467">
        <f t="shared" si="70"/>
        <v>1103991.386</v>
      </c>
      <c r="N83" s="467">
        <f t="shared" si="71"/>
        <v>1103991.386</v>
      </c>
      <c r="O83" s="467">
        <f t="shared" si="72"/>
        <v>3415965.544</v>
      </c>
      <c r="P83" s="467">
        <f t="shared" si="73"/>
        <v>21000</v>
      </c>
      <c r="Q83" s="467">
        <f t="shared" si="74"/>
        <v>33000</v>
      </c>
      <c r="R83" s="467">
        <f t="shared" si="75"/>
        <v>75000</v>
      </c>
      <c r="S83" s="467">
        <f t="shared" si="76"/>
        <v>95000</v>
      </c>
      <c r="T83" s="467">
        <f t="shared" si="77"/>
        <v>336000</v>
      </c>
      <c r="U83" s="467">
        <f t="shared" si="78"/>
        <v>51831.7305599999</v>
      </c>
      <c r="V83" s="467">
        <f t="shared" si="79"/>
        <v>611831.73056</v>
      </c>
      <c r="W83" s="474">
        <v>12</v>
      </c>
      <c r="X83" s="467">
        <f t="shared" si="80"/>
        <v>50985.9775466667</v>
      </c>
      <c r="Y83" s="470"/>
      <c r="Z83" s="467">
        <f t="shared" si="81"/>
        <v>50985.9775466667</v>
      </c>
      <c r="AA83" s="559">
        <v>75574.6772906667</v>
      </c>
      <c r="AB83" s="555">
        <f t="shared" si="83"/>
        <v>-24588.699744</v>
      </c>
      <c r="AC83" s="213" t="s">
        <v>352</v>
      </c>
      <c r="AD83" s="213"/>
      <c r="AE83" s="213"/>
    </row>
    <row r="84" ht="18" spans="1:31">
      <c r="A84" s="544">
        <v>72</v>
      </c>
      <c r="B84" s="11" t="s">
        <v>354</v>
      </c>
      <c r="C84" s="467">
        <v>369177.65375</v>
      </c>
      <c r="D84" s="466">
        <v>12</v>
      </c>
      <c r="E84" s="467">
        <f t="shared" si="82"/>
        <v>4430131.845</v>
      </c>
      <c r="F84" s="467"/>
      <c r="G84" s="470"/>
      <c r="H84" s="470"/>
      <c r="I84" s="467">
        <f t="shared" si="68"/>
        <v>4430131.845</v>
      </c>
      <c r="J84" s="467">
        <v>200000</v>
      </c>
      <c r="K84" s="467">
        <v>0.2</v>
      </c>
      <c r="L84" s="467">
        <f t="shared" si="69"/>
        <v>886026.369</v>
      </c>
      <c r="M84" s="467">
        <f t="shared" si="70"/>
        <v>1086026.369</v>
      </c>
      <c r="N84" s="467">
        <f t="shared" si="71"/>
        <v>1086026.369</v>
      </c>
      <c r="O84" s="467">
        <f t="shared" si="72"/>
        <v>3344105.476</v>
      </c>
      <c r="P84" s="467">
        <f t="shared" si="73"/>
        <v>21000</v>
      </c>
      <c r="Q84" s="467">
        <f t="shared" si="74"/>
        <v>33000</v>
      </c>
      <c r="R84" s="467">
        <f t="shared" si="75"/>
        <v>75000</v>
      </c>
      <c r="S84" s="467">
        <f t="shared" si="76"/>
        <v>95000</v>
      </c>
      <c r="T84" s="467">
        <f t="shared" si="77"/>
        <v>336000</v>
      </c>
      <c r="U84" s="467">
        <f t="shared" si="78"/>
        <v>34585.3142399999</v>
      </c>
      <c r="V84" s="467">
        <f t="shared" si="79"/>
        <v>594585.31424</v>
      </c>
      <c r="W84" s="474">
        <v>12</v>
      </c>
      <c r="X84" s="467">
        <f t="shared" si="80"/>
        <v>49548.7761866667</v>
      </c>
      <c r="Y84" s="470"/>
      <c r="Z84" s="467">
        <f t="shared" si="81"/>
        <v>49548.7761866667</v>
      </c>
      <c r="AA84" s="547">
        <v>50985.9775466667</v>
      </c>
      <c r="AB84" s="555">
        <f t="shared" si="83"/>
        <v>-1437.20136000004</v>
      </c>
      <c r="AC84" s="213" t="s">
        <v>354</v>
      </c>
      <c r="AD84" s="213"/>
      <c r="AE84" s="213"/>
    </row>
    <row r="85" s="537" customFormat="1" ht="36" spans="1:31">
      <c r="A85" s="548">
        <v>73</v>
      </c>
      <c r="B85" s="11" t="s">
        <v>355</v>
      </c>
      <c r="C85" s="467">
        <v>389153.05675</v>
      </c>
      <c r="D85" s="466">
        <v>12</v>
      </c>
      <c r="E85" s="467">
        <f t="shared" si="82"/>
        <v>4669836.681</v>
      </c>
      <c r="F85" s="467"/>
      <c r="G85" s="470"/>
      <c r="H85" s="470"/>
      <c r="I85" s="467">
        <f t="shared" si="68"/>
        <v>4669836.681</v>
      </c>
      <c r="J85" s="467">
        <v>200000</v>
      </c>
      <c r="K85" s="467">
        <v>0.2</v>
      </c>
      <c r="L85" s="467">
        <f t="shared" si="69"/>
        <v>933967.3362</v>
      </c>
      <c r="M85" s="467">
        <f t="shared" si="70"/>
        <v>1133967.3362</v>
      </c>
      <c r="N85" s="467">
        <f t="shared" si="71"/>
        <v>1133967.3362</v>
      </c>
      <c r="O85" s="467">
        <f t="shared" si="72"/>
        <v>3535869.3448</v>
      </c>
      <c r="P85" s="467">
        <f t="shared" si="73"/>
        <v>21000</v>
      </c>
      <c r="Q85" s="467">
        <f t="shared" si="74"/>
        <v>33000</v>
      </c>
      <c r="R85" s="467">
        <f t="shared" si="75"/>
        <v>75000</v>
      </c>
      <c r="S85" s="467">
        <f t="shared" si="76"/>
        <v>95000</v>
      </c>
      <c r="T85" s="467">
        <f t="shared" si="77"/>
        <v>336000</v>
      </c>
      <c r="U85" s="467">
        <f t="shared" si="78"/>
        <v>80608.642752</v>
      </c>
      <c r="V85" s="467">
        <f t="shared" si="79"/>
        <v>640608.642752</v>
      </c>
      <c r="W85" s="474">
        <v>12</v>
      </c>
      <c r="X85" s="467">
        <f t="shared" si="80"/>
        <v>53384.0535626667</v>
      </c>
      <c r="Y85" s="470"/>
      <c r="Z85" s="552">
        <f t="shared" si="81"/>
        <v>53384.0535626667</v>
      </c>
      <c r="AA85" s="552">
        <v>49548.7761866667</v>
      </c>
      <c r="AB85" s="553">
        <f t="shared" si="83"/>
        <v>3835.27737599997</v>
      </c>
      <c r="AC85" s="556" t="s">
        <v>355</v>
      </c>
      <c r="AD85" s="556"/>
      <c r="AE85" s="556"/>
    </row>
    <row r="86" ht="18" spans="1:31">
      <c r="A86" s="544">
        <v>74</v>
      </c>
      <c r="B86" s="11" t="s">
        <v>357</v>
      </c>
      <c r="C86" s="467">
     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 s="467">
        <f t="shared" si="68"/>
        <v>3869448.888</v>
      </c>
      <c r="J86" s="467">
        <v>200000</v>
      </c>
      <c r="K86" s="467">
        <v>0.2</v>
      </c>
      <c r="L86" s="467">
        <f t="shared" si="69"/>
        <v>773889.7776</v>
      </c>
      <c r="M86" s="467">
        <f t="shared" si="70"/>
        <v>973889.7776</v>
      </c>
      <c r="N86" s="467">
        <f t="shared" si="71"/>
        <v>973889.7776</v>
      </c>
      <c r="O86" s="467">
        <f t="shared" si="72"/>
        <v>2895559.1104</v>
      </c>
      <c r="P86" s="467">
        <f t="shared" si="73"/>
        <v>21000</v>
      </c>
      <c r="Q86" s="467">
        <f t="shared" si="74"/>
        <v>33000</v>
      </c>
      <c r="R86" s="467">
        <f t="shared" si="75"/>
        <v>75000</v>
      </c>
      <c r="S86" s="467">
        <f t="shared" si="76"/>
        <v>95000</v>
      </c>
      <c r="T86" s="467">
        <f t="shared" si="77"/>
        <v>272067.413184</v>
      </c>
      <c r="U86" s="467"/>
      <c r="V86" s="467">
        <f t="shared" si="79"/>
        <v>496067.413184</v>
      </c>
      <c r="W86" s="474">
        <v>12</v>
      </c>
      <c r="X86" s="467">
        <f t="shared" si="80"/>
        <v>41338.9510986667</v>
      </c>
      <c r="Y86" s="470"/>
      <c r="Z86" s="467">
        <f t="shared" si="81"/>
        <v>41338.9510986667</v>
      </c>
      <c r="AA86" s="559">
        <v>53384.0535626667</v>
      </c>
      <c r="AB86" s="555">
        <f t="shared" si="83"/>
        <v>-12045.102464</v>
      </c>
      <c r="AC86" s="213" t="s">
        <v>357</v>
      </c>
      <c r="AD86" s="213"/>
      <c r="AE86" s="213"/>
    </row>
    <row r="87" ht="24" customHeight="1" spans="1:31">
      <c r="A87" s="544">
        <v>75</v>
      </c>
      <c r="B87" s="11" t="s">
        <v>358</v>
      </c>
      <c r="C87" s="467">
        <v>346713.03325</v>
      </c>
      <c r="D87" s="466">
        <v>12</v>
      </c>
      <c r="E87" s="467">
        <f t="shared" si="82"/>
        <v>4160556.399</v>
      </c>
      <c r="F87" s="467">
        <f>'[5]JANUARY 2024'!$V$92*12</f>
        <v>6922.497</v>
      </c>
      <c r="G87" s="470"/>
      <c r="H87" s="470"/>
      <c r="I87" s="467">
        <f t="shared" si="68"/>
        <v>4153633.902</v>
      </c>
      <c r="J87" s="467">
        <v>200000</v>
      </c>
      <c r="K87" s="467">
        <v>0.2</v>
      </c>
      <c r="L87" s="467">
        <f t="shared" si="69"/>
        <v>830726.7804</v>
      </c>
      <c r="M87" s="467">
        <f t="shared" si="70"/>
        <v>1030726.7804</v>
      </c>
      <c r="N87" s="467">
        <f t="shared" si="71"/>
        <v>1037649.2774</v>
      </c>
      <c r="O87" s="467">
        <f t="shared" si="72"/>
        <v>3122907.1216</v>
      </c>
      <c r="P87" s="467">
        <f t="shared" si="73"/>
        <v>21000</v>
      </c>
      <c r="Q87" s="467">
        <f t="shared" si="74"/>
        <v>33000</v>
      </c>
      <c r="R87" s="467">
        <f t="shared" si="75"/>
        <v>75000</v>
      </c>
      <c r="S87" s="467">
        <f t="shared" si="76"/>
        <v>95000</v>
      </c>
      <c r="T87" s="467">
        <f t="shared" si="77"/>
        <v>319810.495536</v>
      </c>
      <c r="U87" s="467"/>
      <c r="V87" s="467">
        <f t="shared" si="79"/>
        <v>543810.495536</v>
      </c>
      <c r="W87" s="474">
        <v>12</v>
      </c>
      <c r="X87" s="467">
        <f t="shared" si="80"/>
        <v>45317.5412946667</v>
      </c>
      <c r="Y87" s="470"/>
      <c r="Z87" s="552">
        <f t="shared" si="81"/>
        <v>45317.5412946667</v>
      </c>
      <c r="AA87" s="552">
        <v>41242.0361406667</v>
      </c>
      <c r="AB87" s="553">
        <f t="shared" si="83"/>
        <v>4075.50515399997</v>
      </c>
      <c r="AC87" s="213" t="s">
        <v>358</v>
      </c>
      <c r="AD87" s="213"/>
      <c r="AE87" s="213"/>
    </row>
    <row r="88" ht="18" spans="1:31">
      <c r="A88" s="544">
        <v>76</v>
      </c>
      <c r="B88" s="11" t="s">
        <v>359</v>
      </c>
      <c r="C88" s="467">
        <v>277734.047</v>
      </c>
      <c r="D88" s="466">
        <v>12</v>
      </c>
      <c r="E88" s="467">
        <f t="shared" ref="E88:E89" si="84">C88*D88</f>
        <v>3332808.564</v>
      </c>
      <c r="F88" s="467"/>
      <c r="G88" s="470"/>
      <c r="H88" s="470"/>
      <c r="I88" s="467">
        <f t="shared" si="68"/>
        <v>3332808.564</v>
      </c>
      <c r="J88" s="467">
        <v>200000</v>
      </c>
      <c r="K88" s="467">
        <v>0.2</v>
      </c>
      <c r="L88" s="467">
        <f t="shared" si="69"/>
        <v>666561.7128</v>
      </c>
      <c r="M88" s="467">
        <f t="shared" si="70"/>
        <v>866561.7128</v>
      </c>
      <c r="N88" s="467">
        <f t="shared" si="71"/>
        <v>866561.7128</v>
      </c>
      <c r="O88" s="467">
        <f t="shared" si="72"/>
        <v>2466246.8512</v>
      </c>
      <c r="P88" s="467">
        <f t="shared" si="73"/>
        <v>21000</v>
      </c>
      <c r="Q88" s="467">
        <f t="shared" si="74"/>
        <v>33000</v>
      </c>
      <c r="R88" s="467">
        <f t="shared" si="75"/>
        <v>75000</v>
      </c>
      <c r="S88" s="467">
        <f t="shared" si="76"/>
        <v>95000</v>
      </c>
      <c r="T88" s="467">
        <f t="shared" si="77"/>
        <v>181911.838752</v>
      </c>
      <c r="U88" s="467"/>
      <c r="V88" s="467">
        <f t="shared" si="79"/>
        <v>405911.838752</v>
      </c>
      <c r="W88" s="474">
        <v>12</v>
      </c>
      <c r="X88" s="467">
        <f t="shared" si="80"/>
        <v>33825.9865626667</v>
      </c>
      <c r="Y88" s="470"/>
      <c r="Z88" s="467">
        <f t="shared" si="81"/>
        <v>33825.9865626667</v>
      </c>
      <c r="AA88" s="547">
        <v>45414.4562526667</v>
      </c>
      <c r="AB88" s="555">
        <f t="shared" ref="AB88:AB89" si="85">Z88-AA88</f>
        <v>-11588.46969</v>
      </c>
      <c r="AC88" s="213" t="s">
        <v>359</v>
      </c>
      <c r="AD88" s="213"/>
      <c r="AE88" s="213"/>
    </row>
    <row r="89" ht="18" spans="1:31">
      <c r="A89" s="544"/>
      <c r="B89" s="11" t="s">
        <v>361</v>
      </c>
      <c r="C89" s="467">
        <v>254870.263445</v>
      </c>
      <c r="D89" s="466">
        <v>12</v>
      </c>
      <c r="E89" s="467">
        <f t="shared" si="84"/>
        <v>3058443.16134</v>
      </c>
      <c r="F89" s="467"/>
      <c r="G89" s="470"/>
      <c r="H89" s="470"/>
      <c r="I89" s="467">
        <f t="shared" si="68"/>
        <v>3058443.16134</v>
      </c>
      <c r="J89" s="467">
        <v>200000</v>
      </c>
      <c r="K89" s="467">
        <v>0.2</v>
      </c>
      <c r="L89" s="467">
        <f t="shared" si="69"/>
        <v>611688.632268</v>
      </c>
      <c r="M89" s="467">
        <f t="shared" si="70"/>
        <v>811688.632268</v>
      </c>
      <c r="N89" s="467">
        <f t="shared" si="71"/>
        <v>811688.632268</v>
      </c>
      <c r="O89" s="467">
        <f t="shared" si="72"/>
        <v>2246754.529072</v>
      </c>
      <c r="P89" s="467">
        <f t="shared" si="73"/>
        <v>21000</v>
      </c>
      <c r="Q89" s="467">
        <f t="shared" si="74"/>
        <v>33000</v>
      </c>
      <c r="R89" s="467">
        <f t="shared" si="75"/>
        <v>75000</v>
      </c>
      <c r="S89" s="467">
        <f t="shared" si="76"/>
        <v>95000</v>
      </c>
      <c r="T89" s="467">
        <f t="shared" si="77"/>
        <v>135818.45110512</v>
      </c>
      <c r="U89" s="467"/>
      <c r="V89" s="467">
        <f t="shared" si="79"/>
        <v>359818.45110512</v>
      </c>
      <c r="W89" s="474">
        <v>12</v>
      </c>
      <c r="X89" s="467">
        <f t="shared" si="80"/>
        <v>29984.8709254267</v>
      </c>
      <c r="Y89" s="470"/>
      <c r="Z89" s="467">
        <f t="shared" si="81"/>
        <v>29984.8709254267</v>
      </c>
      <c r="AA89" s="547">
        <v>33825.9865626667</v>
      </c>
      <c r="AB89" s="555">
        <f t="shared" si="85"/>
        <v>-3841.11563724003</v>
      </c>
      <c r="AC89" s="213" t="s">
        <v>361</v>
      </c>
      <c r="AD89" s="213"/>
      <c r="AE89" s="213"/>
    </row>
    <row r="90" ht="17.5" spans="1:31">
      <c r="A90" s="54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213"/>
      <c r="AB91" s="213"/>
      <c r="AC91" s="213"/>
      <c r="AD91" s="213"/>
      <c r="AE91" s="213"/>
    </row>
    <row r="92" ht="17.5" spans="1:31">
      <c r="A92" s="544">
        <v>78</v>
      </c>
      <c r="B92" s="20" t="s">
        <v>58</v>
      </c>
      <c r="C92" s="467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48">
        <v>79</v>
      </c>
      <c r="B93" s="14" t="s">
        <v>363</v>
      </c>
      <c r="C93" s="467">
        <v>541465.02475</v>
      </c>
      <c r="D93" s="466">
        <v>12</v>
      </c>
      <c r="E93" s="467">
        <f>C93*D93</f>
        <v>6497580.297</v>
      </c>
      <c r="F93" s="467">
        <f>'[5]JANUARY 2024'!$V$98*12</f>
        <v>12795.951</v>
      </c>
      <c r="G93" s="470"/>
      <c r="H93" s="470"/>
      <c r="I93" s="467">
        <f>E93-F93-G93-H93</f>
        <v>6484784.346</v>
      </c>
      <c r="J93" s="467">
        <v>200000</v>
      </c>
      <c r="K93" s="467">
        <v>0.2</v>
      </c>
      <c r="L93" s="467">
        <f>I93*K93</f>
        <v>1296956.8692</v>
      </c>
      <c r="M93" s="467">
        <f>J93+L93</f>
        <v>1496956.8692</v>
      </c>
      <c r="N93" s="467">
        <f>F93+G93+H93+M93</f>
        <v>1509752.8202</v>
      </c>
      <c r="O93" s="467">
        <f>E93-N93</f>
        <v>4987827.4768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429078.594432</v>
      </c>
      <c r="V93" s="467">
        <f>P93+Q93+R93+S93+T93+U93</f>
        <v>989078.594432</v>
      </c>
      <c r="W93" s="474">
        <v>12</v>
      </c>
      <c r="X93" s="467">
        <f>V93/W93</f>
        <v>82423.2162026667</v>
      </c>
      <c r="Y93" s="470"/>
      <c r="Z93" s="467">
        <f>X93</f>
        <v>82423.2162026667</v>
      </c>
      <c r="AA93" s="213">
        <v>82423.2162026667</v>
      </c>
      <c r="AB93" s="555">
        <f>Z93-AA93</f>
        <v>0</v>
      </c>
      <c r="AC93" s="556" t="s">
        <v>363</v>
      </c>
      <c r="AD93" s="556"/>
      <c r="AE93" s="556"/>
    </row>
    <row r="94" ht="18" spans="1:31">
      <c r="A94" s="544">
        <v>80</v>
      </c>
      <c r="B94" s="11" t="s">
        <v>366</v>
      </c>
      <c r="C94" s="467">
        <v>335272.06375</v>
      </c>
      <c r="D94" s="466">
        <v>12</v>
      </c>
      <c r="E94" s="467">
        <f t="shared" ref="E94:E96" si="86">C94*D94</f>
        <v>4023264.765</v>
      </c>
      <c r="F94" s="467"/>
      <c r="G94" s="470"/>
      <c r="H94" s="470"/>
      <c r="I94" s="467">
        <f>E94-F94-G94-H94</f>
        <v>4023264.765</v>
      </c>
      <c r="J94" s="467">
        <v>200000</v>
      </c>
      <c r="K94" s="467">
        <v>0.2</v>
      </c>
      <c r="L94" s="467">
        <f>I94*K94</f>
        <v>804652.953</v>
      </c>
      <c r="M94" s="467">
        <f>J94+L94</f>
        <v>1004652.953</v>
      </c>
      <c r="N94" s="467">
        <f>F94+G94+H94+M94</f>
        <v>1004652.953</v>
      </c>
      <c r="O94" s="467">
        <f>E94-N94</f>
        <v>3018611.812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297908.48052</v>
      </c>
      <c r="U94" s="467"/>
      <c r="V94" s="467">
        <f>P94+Q94+R94+S94+T94+U94</f>
        <v>521908.48052</v>
      </c>
      <c r="W94" s="474">
        <v>12</v>
      </c>
      <c r="X94" s="467">
        <f>V94/W94</f>
        <v>43492.3733766667</v>
      </c>
      <c r="Y94" s="470"/>
      <c r="Z94" s="467">
        <f>X94</f>
        <v>43492.3733766667</v>
      </c>
      <c r="AA94" s="556">
        <v>82627.9514186667</v>
      </c>
      <c r="AB94" s="555">
        <f t="shared" ref="AB94:AB96" si="87">Z94-AA94</f>
        <v>-39135.578042</v>
      </c>
      <c r="AC94" s="213" t="s">
        <v>366</v>
      </c>
      <c r="AD94" s="213"/>
      <c r="AE94" s="213"/>
    </row>
    <row r="95" ht="18" spans="1:31">
      <c r="A95" s="544">
        <v>81</v>
      </c>
      <c r="B95" s="11" t="s">
        <v>368</v>
      </c>
      <c r="C95" s="467">
        <v>284536.9985</v>
      </c>
      <c r="D95" s="466">
        <v>12</v>
      </c>
      <c r="E95" s="467">
        <f t="shared" si="86"/>
        <v>3414443.982</v>
      </c>
      <c r="F95" s="467"/>
      <c r="G95" s="470"/>
      <c r="H95" s="470"/>
      <c r="I95" s="467">
        <f>E95-F95-G95-H95</f>
        <v>3414443.982</v>
      </c>
      <c r="J95" s="467">
        <v>200000</v>
      </c>
      <c r="K95" s="467">
        <v>0.2</v>
      </c>
      <c r="L95" s="467">
        <f>I95*K95</f>
        <v>682888.7964</v>
      </c>
      <c r="M95" s="467">
        <f>J95+L95</f>
        <v>882888.7964</v>
      </c>
      <c r="N95" s="467">
        <f>F95+G95+H95+M95</f>
        <v>882888.7964</v>
      </c>
      <c r="O95" s="467">
        <f>E95-N95</f>
        <v>2531555.1856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195626.588976</v>
      </c>
      <c r="U95" s="467"/>
      <c r="V95" s="467">
        <f>P95+Q95+R95+S95+T95+U95</f>
        <v>419626.588976</v>
      </c>
      <c r="W95" s="474">
        <v>12</v>
      </c>
      <c r="X95" s="467">
        <f>V95/W95</f>
        <v>34968.8824146667</v>
      </c>
      <c r="Y95" s="470"/>
      <c r="Z95" s="467">
        <f>X95</f>
        <v>34968.8824146667</v>
      </c>
      <c r="AA95" s="213">
        <v>43492.3733766667</v>
      </c>
      <c r="AB95" s="555">
        <f t="shared" si="87"/>
        <v>-8523.49096200003</v>
      </c>
      <c r="AC95" s="213" t="s">
        <v>368</v>
      </c>
      <c r="AD95" s="213"/>
      <c r="AE95" s="213"/>
    </row>
    <row r="96" ht="18" spans="1:31">
      <c r="A96" s="544"/>
      <c r="B96" s="11" t="s">
        <v>370</v>
      </c>
      <c r="C96" s="467">
        <v>237734.047</v>
      </c>
      <c r="D96" s="466">
        <v>12</v>
      </c>
      <c r="E96" s="467">
        <f t="shared" si="86"/>
        <v>2852808.564</v>
      </c>
      <c r="F96" s="467"/>
      <c r="G96" s="470"/>
      <c r="H96" s="470"/>
      <c r="I96" s="467">
        <f>E96-F96-G96-H96</f>
        <v>2852808.564</v>
      </c>
      <c r="J96" s="467">
        <v>200000</v>
      </c>
      <c r="K96" s="467">
        <v>0.2</v>
      </c>
      <c r="L96" s="467">
        <f>I96*K96</f>
        <v>570561.7128</v>
      </c>
      <c r="M96" s="467">
        <f>J96+L96</f>
        <v>770561.7128</v>
      </c>
      <c r="N96" s="467">
        <f>F96+G96+H96+M96</f>
        <v>770561.7128</v>
      </c>
      <c r="O96" s="467">
        <f>E96-N96</f>
        <v>2082246.8512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101271.838752</v>
      </c>
      <c r="U96" s="467"/>
      <c r="V96" s="467">
        <f>P96+Q96+R96+S96+T96+U96</f>
        <v>325271.838752</v>
      </c>
      <c r="W96" s="474">
        <v>12</v>
      </c>
      <c r="X96" s="467">
        <f>V96/W96</f>
        <v>27105.9865626667</v>
      </c>
      <c r="Y96" s="470"/>
      <c r="Z96" s="467">
        <f>X96</f>
        <v>27105.9865626667</v>
      </c>
      <c r="AA96" s="213">
        <v>34968.8824146667</v>
      </c>
      <c r="AB96" s="555">
        <f t="shared" si="87"/>
        <v>-7862.89585200003</v>
      </c>
      <c r="AC96" s="213" t="s">
        <v>370</v>
      </c>
      <c r="AD96" s="213"/>
      <c r="AE96" s="213"/>
    </row>
    <row r="97" ht="17.5" spans="1:31">
      <c r="A97" s="544"/>
      <c r="B97" s="20" t="s">
        <v>33</v>
      </c>
      <c r="C97" s="467"/>
      <c r="D97" s="466"/>
      <c r="E97" s="467"/>
      <c r="F97" s="467"/>
      <c r="G97" s="470"/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4">
        <v>83</v>
      </c>
      <c r="B98" s="22"/>
      <c r="C98" s="467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4">
        <v>84</v>
      </c>
      <c r="B99" s="20" t="s">
        <v>372</v>
      </c>
      <c r="C99" s="467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520</v>
      </c>
      <c r="AC99" s="213"/>
      <c r="AD99" s="213"/>
      <c r="AE99" s="213"/>
    </row>
    <row r="100" ht="18" spans="1:31">
      <c r="A100" s="544">
        <v>85</v>
      </c>
      <c r="B100" s="11" t="s">
        <v>373</v>
      </c>
      <c r="C100" s="467">
        <v>1050209.0635</v>
      </c>
      <c r="D100" s="466">
        <v>12</v>
      </c>
      <c r="E100" s="467">
        <f>C100*D100</f>
        <v>12602508.762</v>
      </c>
      <c r="F100" s="467"/>
      <c r="G100" s="470"/>
      <c r="H100" s="470"/>
      <c r="I100" s="467">
        <f t="shared" ref="I100:I105" si="88">E100-F100-G100-H100</f>
        <v>12602508.762</v>
      </c>
      <c r="J100" s="467">
        <v>200000</v>
      </c>
      <c r="K100" s="467">
        <v>0.2</v>
      </c>
      <c r="L100" s="467">
        <f t="shared" ref="L100:L106" si="89">I100*K100</f>
        <v>2520501.7524</v>
      </c>
      <c r="M100" s="467">
        <f t="shared" ref="M100:M106" si="90">J100+L100</f>
        <v>2720501.7524</v>
      </c>
      <c r="N100" s="467">
        <f t="shared" ref="N100:N105" si="91">F100+G100+H100+M100</f>
        <v>2720501.7524</v>
      </c>
      <c r="O100" s="467">
        <f t="shared" ref="O100:O106" si="92">E100-N100</f>
        <v>9882007.0096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1603681.682304</v>
      </c>
      <c r="V100" s="467">
        <f t="shared" ref="V100:V106" si="98">P100+Q100+R100+S100+T100+U100</f>
        <v>2163681.682304</v>
      </c>
      <c r="W100" s="474">
        <v>12</v>
      </c>
      <c r="X100" s="467">
        <f t="shared" ref="X100:X106" si="99">V100/W100</f>
        <v>180306.806858667</v>
      </c>
      <c r="Y100" s="470"/>
      <c r="Z100" s="467">
        <f t="shared" ref="Z100:Z106" si="100">X100</f>
        <v>180306.806858667</v>
      </c>
      <c r="AA100" s="213">
        <v>180306.806858667</v>
      </c>
      <c r="AB100" s="555">
        <f>Z100-AA100</f>
        <v>-3.78349795937538e-10</v>
      </c>
      <c r="AC100" s="213" t="s">
        <v>373</v>
      </c>
      <c r="AD100" s="213"/>
      <c r="AE100" s="213"/>
    </row>
    <row r="101" ht="18" spans="1:31">
      <c r="A101" s="544">
        <v>86</v>
      </c>
      <c r="B101" s="11" t="s">
        <v>375</v>
      </c>
      <c r="C101" s="467">
        <v>631465.02475</v>
      </c>
      <c r="D101" s="466">
        <v>12</v>
      </c>
      <c r="E101" s="467">
        <f t="shared" ref="E101:E106" si="101">C101*D101</f>
        <v>7577580.297</v>
      </c>
      <c r="F101" s="467">
        <f>'[5]JANUARY 2024'!$V$106*12</f>
        <v>12795.951</v>
      </c>
      <c r="G101" s="470"/>
      <c r="H101" s="470"/>
      <c r="I101" s="467">
        <f t="shared" si="88"/>
        <v>7564784.346</v>
      </c>
      <c r="J101" s="467">
        <v>200000</v>
      </c>
      <c r="K101" s="467">
        <v>0.2</v>
      </c>
      <c r="L101" s="467">
        <f t="shared" si="89"/>
        <v>1512956.8692</v>
      </c>
      <c r="M101" s="467">
        <f t="shared" si="90"/>
        <v>1712956.8692</v>
      </c>
      <c r="N101" s="467">
        <f t="shared" si="91"/>
        <v>1725752.8202</v>
      </c>
      <c r="O101" s="467">
        <f t="shared" si="92"/>
        <v>5851827.4768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636438.594432</v>
      </c>
      <c r="V101" s="467">
        <f t="shared" si="98"/>
        <v>1196438.594432</v>
      </c>
      <c r="W101" s="474">
        <v>12</v>
      </c>
      <c r="X101" s="467">
        <f t="shared" si="99"/>
        <v>99703.2162026667</v>
      </c>
      <c r="Y101" s="470"/>
      <c r="Z101" s="467">
        <f t="shared" si="100"/>
        <v>99703.2162026667</v>
      </c>
      <c r="AA101" s="213">
        <v>99703.2162026667</v>
      </c>
      <c r="AB101" s="555">
        <f t="shared" ref="AB101:AB106" si="102">Z101-AA101</f>
        <v>0</v>
      </c>
      <c r="AC101" s="213" t="s">
        <v>375</v>
      </c>
      <c r="AD101" s="213"/>
      <c r="AE101" s="213"/>
    </row>
    <row r="102" ht="18" spans="1:31">
      <c r="A102" s="544">
        <v>87</v>
      </c>
      <c r="B102" s="11" t="s">
        <v>377</v>
      </c>
      <c r="C102" s="467">
        <v>418096.016025</v>
      </c>
      <c r="D102" s="466">
        <v>12</v>
      </c>
      <c r="E102" s="467">
        <f t="shared" si="101"/>
        <v>5017152.1923</v>
      </c>
      <c r="F102" s="467">
        <f>'[5]JANUARY 2024'!$V$107*12</f>
        <v>7901.79</v>
      </c>
      <c r="G102" s="470"/>
      <c r="H102" s="470"/>
      <c r="I102" s="467">
        <f t="shared" si="88"/>
        <v>5009250.4023</v>
      </c>
      <c r="J102" s="467">
        <v>200000</v>
      </c>
      <c r="K102" s="467">
        <v>0.2</v>
      </c>
      <c r="L102" s="467">
        <f t="shared" si="89"/>
        <v>1001850.08046</v>
      </c>
      <c r="M102" s="467">
        <f t="shared" si="90"/>
        <v>1201850.08046</v>
      </c>
      <c r="N102" s="467">
        <f t="shared" si="91"/>
        <v>1209751.87046</v>
      </c>
      <c r="O102" s="467">
        <f t="shared" si="92"/>
        <v>3807400.32184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145776.0772416</v>
      </c>
      <c r="V102" s="467">
        <f t="shared" si="98"/>
        <v>705776.0772416</v>
      </c>
      <c r="W102" s="474">
        <v>12</v>
      </c>
      <c r="X102" s="467">
        <f t="shared" si="99"/>
        <v>58814.6731034667</v>
      </c>
      <c r="Y102" s="470"/>
      <c r="Z102" s="467">
        <f t="shared" si="100"/>
        <v>58814.6731034667</v>
      </c>
      <c r="AA102" s="213">
        <v>180180.378218667</v>
      </c>
      <c r="AB102" s="555">
        <f t="shared" si="102"/>
        <v>-121365.7051152</v>
      </c>
      <c r="AC102" s="213" t="s">
        <v>377</v>
      </c>
      <c r="AD102" s="213"/>
      <c r="AE102" s="213"/>
    </row>
    <row r="103" ht="18" spans="1:31">
      <c r="A103" s="544">
        <v>88</v>
      </c>
      <c r="B103" s="11" t="s">
        <v>379</v>
      </c>
      <c r="C103" s="467">
        <v>416483.194155</v>
      </c>
      <c r="D103" s="466">
        <v>12</v>
      </c>
      <c r="E103" s="467">
        <f t="shared" si="101"/>
        <v>4997798.32986</v>
      </c>
      <c r="F103" s="467"/>
      <c r="G103" s="470"/>
      <c r="H103" s="470"/>
      <c r="I103" s="467">
        <f t="shared" si="88"/>
        <v>4997798.32986</v>
      </c>
      <c r="J103" s="467">
        <v>200000</v>
      </c>
      <c r="K103" s="467">
        <v>0.2</v>
      </c>
      <c r="L103" s="467">
        <f t="shared" si="89"/>
        <v>999559.665972</v>
      </c>
      <c r="M103" s="467">
        <f t="shared" si="90"/>
        <v>1199559.665972</v>
      </c>
      <c r="N103" s="467">
        <f t="shared" si="91"/>
        <v>1199559.665972</v>
      </c>
      <c r="O103" s="467">
        <f t="shared" si="92"/>
        <v>3798238.663888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143577.27933312</v>
      </c>
      <c r="V103" s="467">
        <f t="shared" si="98"/>
        <v>703577.27933312</v>
      </c>
      <c r="W103" s="474">
        <v>12</v>
      </c>
      <c r="X103" s="467">
        <f t="shared" si="99"/>
        <v>58631.4399444267</v>
      </c>
      <c r="Y103" s="470"/>
      <c r="Z103" s="467">
        <f t="shared" si="100"/>
        <v>58631.4399444267</v>
      </c>
      <c r="AA103" s="213">
        <v>99907.9514186667</v>
      </c>
      <c r="AB103" s="555">
        <f t="shared" si="102"/>
        <v>-41276.51147424</v>
      </c>
      <c r="AC103" s="213" t="s">
        <v>379</v>
      </c>
      <c r="AD103" s="213"/>
      <c r="AE103" s="213"/>
    </row>
    <row r="104" ht="18" spans="1:31">
      <c r="A104" s="544">
        <v>89</v>
      </c>
      <c r="B104" s="11" t="s">
        <v>380</v>
      </c>
      <c r="C104" s="467">
        <v>266099.21748</v>
      </c>
      <c r="D104" s="466">
        <v>12</v>
      </c>
      <c r="E104" s="467">
        <f t="shared" si="101"/>
        <v>3193190.60976</v>
      </c>
      <c r="F104" s="467"/>
      <c r="G104" s="470"/>
      <c r="H104" s="470"/>
      <c r="I104" s="467">
        <f t="shared" si="88"/>
        <v>3193190.60976</v>
      </c>
      <c r="J104" s="467">
        <v>200000</v>
      </c>
      <c r="K104" s="467">
        <v>0.2</v>
      </c>
      <c r="L104" s="467">
        <f t="shared" si="89"/>
        <v>638638.121952</v>
      </c>
      <c r="M104" s="467">
        <f t="shared" si="90"/>
        <v>838638.121952</v>
      </c>
      <c r="N104" s="467">
        <f t="shared" si="91"/>
        <v>838638.121952</v>
      </c>
      <c r="O104" s="467">
        <f t="shared" si="92"/>
        <v>2354552.487808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158456.02243968</v>
      </c>
      <c r="U104" s="467"/>
      <c r="V104" s="467">
        <f t="shared" si="98"/>
        <v>382456.02243968</v>
      </c>
      <c r="W104" s="474">
        <v>12</v>
      </c>
      <c r="X104" s="467">
        <f t="shared" si="99"/>
        <v>31871.3352033067</v>
      </c>
      <c r="Y104" s="470"/>
      <c r="Z104" s="467">
        <f t="shared" si="100"/>
        <v>31871.3352033067</v>
      </c>
      <c r="AA104" s="213">
        <v>58941.1017434667</v>
      </c>
      <c r="AB104" s="555">
        <f t="shared" si="102"/>
        <v>-27069.76654016</v>
      </c>
      <c r="AC104" s="213" t="s">
        <v>380</v>
      </c>
      <c r="AD104" s="213"/>
      <c r="AE104" s="213"/>
    </row>
    <row r="105" ht="36" spans="1:31">
      <c r="A105" s="544"/>
      <c r="B105" s="18" t="s">
        <v>383</v>
      </c>
      <c r="C105" s="467">
        <v>262229.041</v>
      </c>
      <c r="D105" s="466">
        <v>12</v>
      </c>
      <c r="E105" s="467">
        <f t="shared" si="101"/>
        <v>3146748.492</v>
      </c>
      <c r="F105" s="467"/>
      <c r="G105" s="470"/>
      <c r="H105" s="470"/>
      <c r="I105" s="467">
        <f t="shared" si="88"/>
        <v>3146748.492</v>
      </c>
      <c r="J105" s="467">
        <v>200000</v>
      </c>
      <c r="K105" s="467">
        <v>0.2</v>
      </c>
      <c r="L105" s="467">
        <f t="shared" si="89"/>
        <v>629349.6984</v>
      </c>
      <c r="M105" s="467">
        <f t="shared" si="90"/>
        <v>829349.6984</v>
      </c>
      <c r="N105" s="467">
        <f t="shared" si="91"/>
        <v>829349.6984</v>
      </c>
      <c r="O105" s="467">
        <f t="shared" si="92"/>
        <v>2317398.7936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150653.746656</v>
      </c>
      <c r="U105" s="467"/>
      <c r="V105" s="467">
        <f t="shared" si="98"/>
        <v>374653.746656</v>
      </c>
      <c r="W105" s="474">
        <v>12</v>
      </c>
      <c r="X105" s="467">
        <f t="shared" si="99"/>
        <v>31221.1455546667</v>
      </c>
      <c r="Y105" s="470"/>
      <c r="Z105" s="467">
        <f t="shared" si="100"/>
        <v>31221.1455546667</v>
      </c>
      <c r="AA105" s="213">
        <v>58631.4399444267</v>
      </c>
      <c r="AB105" s="555">
        <f t="shared" si="102"/>
        <v>-27410.29438976</v>
      </c>
      <c r="AC105" s="213" t="s">
        <v>383</v>
      </c>
      <c r="AD105" s="213"/>
      <c r="AE105" s="213"/>
    </row>
    <row r="106" ht="18" spans="1:31">
      <c r="A106" s="544"/>
      <c r="B106" s="18" t="s">
        <v>385</v>
      </c>
      <c r="C106" s="467">
        <v>254870.263445</v>
      </c>
      <c r="D106" s="466">
        <v>12</v>
      </c>
      <c r="E106" s="467">
        <f t="shared" si="101"/>
        <v>3058443.16134</v>
      </c>
      <c r="F106" s="296"/>
      <c r="G106" s="470"/>
      <c r="H106" s="470"/>
      <c r="I106" s="467">
        <f>E106-F107-G106-H106</f>
        <v>3058443.16134</v>
      </c>
      <c r="J106" s="467">
        <v>200000</v>
      </c>
      <c r="K106" s="467">
        <v>0.2</v>
      </c>
      <c r="L106" s="467">
        <f t="shared" si="89"/>
        <v>611688.632268</v>
      </c>
      <c r="M106" s="467">
        <f t="shared" si="90"/>
        <v>811688.632268</v>
      </c>
      <c r="N106" s="467">
        <f>F107+G106+H106+M106</f>
        <v>811688.632268</v>
      </c>
      <c r="O106" s="467">
        <f t="shared" si="92"/>
        <v>2246754.529072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135818.45110512</v>
      </c>
      <c r="U106" s="467"/>
      <c r="V106" s="467">
        <f t="shared" si="98"/>
        <v>359818.45110512</v>
      </c>
      <c r="W106" s="474">
        <v>12</v>
      </c>
      <c r="X106" s="467">
        <f t="shared" si="99"/>
        <v>29984.8709254267</v>
      </c>
      <c r="Y106" s="470"/>
      <c r="Z106" s="467">
        <f t="shared" si="100"/>
        <v>29984.8709254267</v>
      </c>
      <c r="AA106" s="213">
        <v>31871.3352033067</v>
      </c>
      <c r="AB106" s="555">
        <f t="shared" si="102"/>
        <v>-1886.46427788003</v>
      </c>
      <c r="AC106" s="213" t="s">
        <v>385</v>
      </c>
      <c r="AD106" s="213"/>
      <c r="AE106" s="213"/>
    </row>
    <row r="107" ht="17.5" spans="1:31">
      <c r="A107" s="544"/>
      <c r="B107" s="20" t="s">
        <v>33</v>
      </c>
      <c r="C107" s="467"/>
      <c r="D107" s="466"/>
      <c r="E107" s="467"/>
      <c r="F107" s="467"/>
      <c r="G107" s="470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4">
        <v>90</v>
      </c>
      <c r="B108" s="20"/>
      <c r="C108" s="46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67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4">
        <v>91</v>
      </c>
      <c r="B109" s="20" t="s">
        <v>61</v>
      </c>
      <c r="C109" s="46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67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4">
        <v>92</v>
      </c>
      <c r="B110" s="14" t="s">
        <v>386</v>
      </c>
      <c r="C110" s="467">
        <v>516137.05</v>
      </c>
      <c r="D110" s="466">
        <v>12</v>
      </c>
      <c r="E110" s="467">
        <f>C110*D110</f>
        <v>6193644.6</v>
      </c>
      <c r="F110" s="467">
        <f>'[5]JANUARY 2024'!$V$115*12</f>
        <v>9678.96</v>
      </c>
      <c r="G110" s="470"/>
      <c r="H110" s="470"/>
      <c r="I110" s="467">
        <f>E110-F110-G110-H110</f>
        <v>6183965.64</v>
      </c>
      <c r="J110" s="467">
        <v>200000</v>
      </c>
      <c r="K110" s="467">
        <v>0.2</v>
      </c>
      <c r="L110" s="467">
        <f>I110*K110</f>
        <v>1236793.128</v>
      </c>
      <c r="M110" s="467">
        <f>J110+L110</f>
        <v>1436793.128</v>
      </c>
      <c r="N110" s="467">
        <f>F110+G110+H110+M110</f>
        <v>1446472.088</v>
      </c>
      <c r="O110" s="467">
        <f>E110-N110</f>
        <v>4747172.512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31" si="103">0.24*(O110-3200000)</f>
        <v>371321.40288</v>
      </c>
      <c r="V110" s="467">
        <f>P110+Q110+R110+S110+T110+U110</f>
        <v>931321.40288</v>
      </c>
      <c r="W110" s="474">
        <v>12</v>
      </c>
      <c r="X110" s="467">
        <f>V110/W110</f>
        <v>77610.1169066667</v>
      </c>
      <c r="Y110" s="470"/>
      <c r="Z110" s="467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4">
        <v>93</v>
      </c>
      <c r="B111" s="11" t="s">
        <v>387</v>
      </c>
      <c r="C111" s="467">
        <v>334536.9985</v>
      </c>
      <c r="D111" s="466">
        <v>12</v>
      </c>
      <c r="E111" s="467">
        <f t="shared" ref="E111:E112" si="104">C111*D111</f>
        <v>4014443.982</v>
      </c>
      <c r="F111" s="467"/>
      <c r="G111" s="470"/>
      <c r="H111" s="470"/>
      <c r="I111" s="467">
        <f>E111-F111-G111-H111</f>
        <v>4014443.982</v>
      </c>
      <c r="J111" s="467">
        <v>200000</v>
      </c>
      <c r="K111" s="467">
        <v>0.2</v>
      </c>
      <c r="L111" s="467">
        <f>I111*K111</f>
        <v>802888.7964</v>
      </c>
      <c r="M111" s="467">
        <f>J111+L111</f>
        <v>1002888.7964</v>
      </c>
      <c r="N111" s="467">
        <f>F111+G111+H111+M111</f>
        <v>1002888.7964</v>
      </c>
      <c r="O111" s="467">
        <f>E111-N111</f>
        <v>3011555.1856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296426.588976</v>
      </c>
      <c r="U111" s="467"/>
      <c r="V111" s="467">
        <f>P111+Q111+R111+S111+T111+U111</f>
        <v>520426.588976</v>
      </c>
      <c r="W111" s="474">
        <v>12</v>
      </c>
      <c r="X111" s="467">
        <f>V111/W111</f>
        <v>43368.8824146667</v>
      </c>
      <c r="Y111" s="470"/>
      <c r="Z111" s="467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4">
        <v>94</v>
      </c>
      <c r="B112" s="11" t="s">
        <v>389</v>
      </c>
      <c r="C112" s="473">
        <v>286619.99875</v>
      </c>
      <c r="D112" s="466">
        <v>12</v>
      </c>
      <c r="E112" s="467">
        <f t="shared" si="104"/>
        <v>3439439.985</v>
      </c>
      <c r="F112" s="467">
        <f>'[5]JANUARY 2024'!$V$117*12</f>
        <v>6919.455</v>
      </c>
      <c r="G112" s="470"/>
      <c r="H112" s="470"/>
      <c r="I112" s="467">
        <f>E112-F112-G112-H112</f>
        <v>3432520.53</v>
      </c>
      <c r="J112" s="467">
        <v>200000</v>
      </c>
      <c r="K112" s="467">
        <v>0.2</v>
      </c>
      <c r="L112" s="467">
        <f>I112*K112</f>
        <v>686504.106</v>
      </c>
      <c r="M112" s="467">
        <f>J112+L112</f>
        <v>886504.106</v>
      </c>
      <c r="N112" s="467">
        <f>F112+G112+H112+M112</f>
        <v>893423.561</v>
      </c>
      <c r="O112" s="467">
        <f>E112-N112</f>
        <v>2546016.424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198663.44904</v>
      </c>
      <c r="U112" s="467"/>
      <c r="V112" s="467">
        <f>P112+Q112+R112+S112+T112+U112</f>
        <v>422663.44904</v>
      </c>
      <c r="W112" s="474">
        <v>12</v>
      </c>
      <c r="X112" s="467">
        <f>V112/W112</f>
        <v>35221.9540866667</v>
      </c>
      <c r="Y112" s="470"/>
      <c r="Z112" s="467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48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213"/>
      <c r="AC113" s="556"/>
      <c r="AD113" s="556"/>
      <c r="AE113" s="556"/>
    </row>
    <row r="114" s="537" customFormat="1" ht="17.5" spans="1:31">
      <c r="A114" s="548">
        <v>96</v>
      </c>
      <c r="B114" s="22"/>
      <c r="C114" s="46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67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4">
        <v>97</v>
      </c>
      <c r="B115" s="20" t="s">
        <v>67</v>
      </c>
      <c r="C115" s="46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67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4">
        <v>98</v>
      </c>
      <c r="B116" s="11" t="s">
        <v>392</v>
      </c>
      <c r="C116" s="467">
        <v>1050209.0635</v>
      </c>
      <c r="D116" s="466">
        <v>12</v>
      </c>
      <c r="E116" s="467">
        <f>C116*D116</f>
        <v>12602508.762</v>
      </c>
      <c r="F116" s="467">
        <f>2043.5005*12</f>
        <v>24522.006</v>
      </c>
      <c r="G116" s="470"/>
      <c r="H116" s="470"/>
      <c r="I116" s="467">
        <f>E116-F116-G116-H116</f>
        <v>12577986.756</v>
      </c>
      <c r="J116" s="467">
        <v>200000</v>
      </c>
      <c r="K116" s="467">
        <v>0.2</v>
      </c>
      <c r="L116" s="467">
        <f>I116*K116</f>
        <v>2515597.3512</v>
      </c>
      <c r="M116" s="467">
        <f>J116+L116</f>
        <v>2715597.3512</v>
      </c>
      <c r="N116" s="467">
        <f>F116+G116+H116+M116</f>
        <v>2740119.3572</v>
      </c>
      <c r="O116" s="467">
        <f>E116-N116</f>
        <v>9862389.4048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1598973.457152</v>
      </c>
      <c r="V116" s="467">
        <f>P116+Q116+R116+S116+T116+U116</f>
        <v>2158973.457152</v>
      </c>
      <c r="W116" s="474">
        <v>12</v>
      </c>
      <c r="X116" s="467">
        <f>V116/W116</f>
        <v>179914.454762667</v>
      </c>
      <c r="Y116" s="470"/>
      <c r="Z116" s="467">
        <f>X116</f>
        <v>179914.454762667</v>
      </c>
      <c r="AA116" s="479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4">
        <v>99</v>
      </c>
      <c r="B117" s="11" t="s">
        <v>128</v>
      </c>
      <c r="C117" s="467">
        <v>627743.99575</v>
      </c>
      <c r="D117" s="466">
        <v>12</v>
      </c>
      <c r="E117" s="467">
        <f t="shared" ref="E117:E125" si="106">C117*D117</f>
        <v>7532927.949</v>
      </c>
      <c r="F117" s="467">
        <f>1028.94225*12</f>
        <v>12347.307</v>
      </c>
      <c r="G117" s="470"/>
      <c r="H117" s="470"/>
      <c r="I117" s="467">
        <f>E117-F117-G117-H117</f>
        <v>7520580.642</v>
      </c>
      <c r="J117" s="467">
        <v>200000</v>
      </c>
      <c r="K117" s="467">
        <v>0.2</v>
      </c>
      <c r="L117" s="467">
        <f>I117*K117</f>
        <v>1504116.1284</v>
      </c>
      <c r="M117" s="467">
        <f>J117+L117</f>
        <v>1704116.1284</v>
      </c>
      <c r="N117" s="467">
        <f>F117+G117+H117+M117</f>
        <v>1716463.4354</v>
      </c>
      <c r="O117" s="467">
        <f>E117-N117</f>
        <v>5816464.5136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627951.483264</v>
      </c>
      <c r="V117" s="467">
        <f>P117+Q117+R117+S117+T117+U117</f>
        <v>1187951.483264</v>
      </c>
      <c r="W117" s="474">
        <v>12</v>
      </c>
      <c r="X117" s="467">
        <f>V117/W117</f>
        <v>98995.9569386667</v>
      </c>
      <c r="Y117" s="470"/>
      <c r="Z117" s="467">
        <f>X117</f>
        <v>98995.9569386667</v>
      </c>
      <c r="AA117" s="479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4"/>
      <c r="B118" s="14" t="s">
        <v>395</v>
      </c>
      <c r="C118" s="467">
        <v>577553.5025</v>
      </c>
      <c r="D118" s="466">
        <v>12</v>
      </c>
      <c r="E118" s="467">
        <f t="shared" si="106"/>
        <v>6930642.03</v>
      </c>
      <c r="F118" s="467">
        <f>837.6875*12</f>
        <v>10052.25</v>
      </c>
      <c r="G118" s="470"/>
      <c r="H118" s="470"/>
      <c r="I118" s="467">
        <f>E118-F118-G118-H118</f>
        <v>6920589.78</v>
      </c>
      <c r="J118" s="467">
        <v>200000</v>
      </c>
      <c r="K118" s="467">
        <v>0.2</v>
      </c>
      <c r="L118" s="467">
        <f>I118*K118</f>
        <v>1384117.956</v>
      </c>
      <c r="M118" s="467">
        <f>J118+L118</f>
        <v>1584117.956</v>
      </c>
      <c r="N118" s="467">
        <f>F118+G118+H118+M118</f>
        <v>1594170.206</v>
      </c>
      <c r="O118" s="467">
        <f>E118-N118</f>
        <v>5336471.824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512753.23776</v>
      </c>
      <c r="V118" s="467">
        <f>P118+Q118+R118+S118+T118+U118</f>
        <v>1072753.23776</v>
      </c>
      <c r="W118" s="474">
        <v>12</v>
      </c>
      <c r="X118" s="467">
        <f>V118/W118</f>
        <v>89396.1031466666</v>
      </c>
      <c r="Y118" s="470"/>
      <c r="Z118" s="467">
        <f>X118</f>
        <v>89396.1031466666</v>
      </c>
      <c r="AA118" s="479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4"/>
      <c r="B119" s="14" t="s">
        <v>226</v>
      </c>
      <c r="C119" s="467">
        <v>424729.222</v>
      </c>
      <c r="D119" s="466">
        <v>12</v>
      </c>
      <c r="E119" s="467">
        <f t="shared" si="106"/>
        <v>5096750.664</v>
      </c>
      <c r="F119" s="467"/>
      <c r="G119" s="470"/>
      <c r="H119" s="470"/>
      <c r="I119" s="467">
        <f>E119-F119-G119-H119</f>
        <v>5096750.664</v>
      </c>
      <c r="J119" s="467">
        <v>200000</v>
      </c>
      <c r="K119" s="467">
        <v>0.2</v>
      </c>
      <c r="L119" s="467">
        <f>I119*K119</f>
        <v>1019350.1328</v>
      </c>
      <c r="M119" s="467">
        <f>J119+L119</f>
        <v>1219350.1328</v>
      </c>
      <c r="N119" s="467">
        <f>F119+G119+H119+M119</f>
        <v>1219350.1328</v>
      </c>
      <c r="O119" s="467">
        <f>E119-N119</f>
        <v>3877400.5312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162576.127488</v>
      </c>
      <c r="V119" s="467">
        <f>P119+Q119+R119+S119+T119+U119</f>
        <v>722576.127488</v>
      </c>
      <c r="W119" s="474">
        <v>12</v>
      </c>
      <c r="X119" s="467">
        <f>V119/W119</f>
        <v>60214.6772906667</v>
      </c>
      <c r="Y119" s="470"/>
      <c r="Z119" s="467">
        <f>X119</f>
        <v>60214.6772906667</v>
      </c>
      <c r="AA119" s="479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4">
        <v>101</v>
      </c>
      <c r="B120" s="11" t="s">
        <v>396</v>
      </c>
      <c r="C120" s="467">
        <v>343333.03525</v>
      </c>
      <c r="D120" s="466">
        <v>12</v>
      </c>
      <c r="E120" s="467">
        <f t="shared" si="106"/>
        <v>4119996.423</v>
      </c>
      <c r="F120" s="467"/>
      <c r="G120" s="470"/>
      <c r="H120" s="470"/>
      <c r="I120" s="467">
        <f t="shared" ref="I120:I125" si="108">E120-F120-G120-H120</f>
        <v>4119996.423</v>
      </c>
      <c r="J120" s="467">
        <v>200000</v>
      </c>
      <c r="K120" s="467">
        <v>0.2</v>
      </c>
      <c r="L120" s="467">
        <f t="shared" ref="L120:L125" si="109">I120*K120</f>
        <v>823999.2846</v>
      </c>
      <c r="M120" s="467">
        <f t="shared" ref="M120:M125" si="110">J120+L120</f>
        <v>1023999.2846</v>
      </c>
      <c r="N120" s="467">
        <f t="shared" ref="N120:N125" si="111">F120+G120+H120+M120</f>
        <v>1023999.2846</v>
      </c>
      <c r="O120" s="467">
        <f t="shared" ref="O120:O125" si="112">E120-N120</f>
        <v>3095997.1384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314159.399064</v>
      </c>
      <c r="U120" s="467"/>
      <c r="V120" s="467">
        <f t="shared" ref="V120:V125" si="118">P120+Q120+R120+S120+T120+U120</f>
        <v>538159.399064</v>
      </c>
      <c r="W120" s="474">
        <v>12</v>
      </c>
      <c r="X120" s="467">
        <f t="shared" ref="X120:X125" si="119">V120/W120</f>
        <v>44846.6165886667</v>
      </c>
      <c r="Y120" s="470"/>
      <c r="Z120" s="467">
        <f t="shared" ref="Z120:Z125" si="120">X120</f>
        <v>44846.6165886667</v>
      </c>
      <c r="AA120" s="479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4">
        <v>103</v>
      </c>
      <c r="B121" s="11" t="s">
        <v>398</v>
      </c>
      <c r="C121" s="467">
        <v>327211.3675</v>
      </c>
      <c r="D121" s="466">
        <v>12</v>
      </c>
      <c r="E121" s="467">
        <f t="shared" si="106"/>
        <v>3926536.41</v>
      </c>
      <c r="F121" s="473">
        <f>646.3525*12</f>
        <v>7756.23</v>
      </c>
      <c r="G121" s="470"/>
      <c r="H121" s="470"/>
      <c r="I121" s="467">
        <f t="shared" si="108"/>
        <v>3918780.18</v>
      </c>
      <c r="J121" s="467">
        <v>200000</v>
      </c>
      <c r="K121" s="467">
        <v>0.2</v>
      </c>
      <c r="L121" s="467">
        <f t="shared" si="109"/>
        <v>783756.036</v>
      </c>
      <c r="M121" s="467">
        <f t="shared" si="110"/>
        <v>983756.036</v>
      </c>
      <c r="N121" s="467">
        <f t="shared" si="111"/>
        <v>991512.266</v>
      </c>
      <c r="O121" s="467">
        <f t="shared" si="112"/>
        <v>2935024.144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280355.07024</v>
      </c>
      <c r="U121" s="467"/>
      <c r="V121" s="467">
        <f t="shared" si="118"/>
        <v>504355.07024</v>
      </c>
      <c r="W121" s="474">
        <v>12</v>
      </c>
      <c r="X121" s="467">
        <f t="shared" si="119"/>
        <v>42029.5891866667</v>
      </c>
      <c r="Y121" s="470"/>
      <c r="Z121" s="467">
        <f t="shared" si="120"/>
        <v>42029.5891866667</v>
      </c>
      <c r="AA121" s="479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4">
        <v>105</v>
      </c>
      <c r="B122" s="11" t="s">
        <v>400</v>
      </c>
      <c r="C122" s="467">
        <v>335272.06375</v>
      </c>
      <c r="D122" s="466">
        <v>12</v>
      </c>
      <c r="E122" s="467">
        <f t="shared" si="106"/>
        <v>4023264.765</v>
      </c>
      <c r="F122" s="473">
        <f>668.31625*12</f>
        <v>8019.795</v>
      </c>
      <c r="G122" s="470"/>
      <c r="H122" s="470"/>
      <c r="I122" s="467">
        <f t="shared" si="108"/>
        <v>4015244.97</v>
      </c>
      <c r="J122" s="467">
        <v>200000</v>
      </c>
      <c r="K122" s="467">
        <v>0.2</v>
      </c>
      <c r="L122" s="467">
        <f t="shared" si="109"/>
        <v>803048.994</v>
      </c>
      <c r="M122" s="467">
        <f t="shared" si="110"/>
        <v>1003048.994</v>
      </c>
      <c r="N122" s="467">
        <f t="shared" si="111"/>
        <v>1011068.789</v>
      </c>
      <c r="O122" s="467">
        <f t="shared" si="112"/>
        <v>3012195.976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296561.15496</v>
      </c>
      <c r="U122" s="467"/>
      <c r="V122" s="467">
        <f t="shared" si="118"/>
        <v>520561.15496</v>
      </c>
      <c r="W122" s="474">
        <v>12</v>
      </c>
      <c r="X122" s="467">
        <f t="shared" si="119"/>
        <v>43380.0962466667</v>
      </c>
      <c r="Y122" s="470"/>
      <c r="Z122" s="467">
        <f t="shared" si="120"/>
        <v>43380.0962466667</v>
      </c>
      <c r="AA122" s="479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4">
        <v>106</v>
      </c>
      <c r="B123" s="11" t="s">
        <v>401</v>
      </c>
      <c r="C123" s="467">
        <v>213508.01</v>
      </c>
      <c r="D123" s="466">
        <v>12</v>
      </c>
      <c r="E123" s="467">
        <f t="shared" si="106"/>
        <v>2562096.12</v>
      </c>
      <c r="F123" s="467"/>
      <c r="G123" s="470"/>
      <c r="H123" s="470"/>
      <c r="I123" s="467">
        <f t="shared" si="108"/>
        <v>2562096.12</v>
      </c>
      <c r="J123" s="467">
        <v>200000</v>
      </c>
      <c r="K123" s="467">
        <v>0.2</v>
      </c>
      <c r="L123" s="467">
        <f t="shared" si="109"/>
        <v>512419.224</v>
      </c>
      <c r="M123" s="467">
        <f t="shared" si="110"/>
        <v>712419.224</v>
      </c>
      <c r="N123" s="467">
        <f t="shared" si="111"/>
        <v>712419.224</v>
      </c>
      <c r="O123" s="467">
        <f t="shared" si="112"/>
        <v>1849676.896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52432.14816</v>
      </c>
      <c r="U123" s="467"/>
      <c r="V123" s="467">
        <f t="shared" si="118"/>
        <v>276432.14816</v>
      </c>
      <c r="W123" s="474">
        <v>12</v>
      </c>
      <c r="X123" s="467">
        <f t="shared" si="119"/>
        <v>23036.0123466667</v>
      </c>
      <c r="Y123" s="470"/>
      <c r="Z123" s="467">
        <f t="shared" si="120"/>
        <v>23036.0123466667</v>
      </c>
      <c r="AA123" s="479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4">
        <v>107</v>
      </c>
      <c r="B124" s="18" t="s">
        <v>403</v>
      </c>
      <c r="C124" s="467">
        <v>176816.1</v>
      </c>
      <c r="D124" s="466">
        <v>12</v>
      </c>
      <c r="E124" s="467">
        <f t="shared" si="106"/>
        <v>2121793.2</v>
      </c>
      <c r="F124" s="467"/>
      <c r="G124" s="470"/>
      <c r="H124" s="470"/>
      <c r="I124" s="467">
        <f t="shared" si="108"/>
        <v>2121793.2</v>
      </c>
      <c r="J124" s="467">
        <v>200000</v>
      </c>
      <c r="K124" s="467">
        <v>0.2</v>
      </c>
      <c r="L124" s="467">
        <f t="shared" si="109"/>
        <v>424358.64</v>
      </c>
      <c r="M124" s="467">
        <f t="shared" si="110"/>
        <v>624358.64</v>
      </c>
      <c r="N124" s="467">
        <f t="shared" si="111"/>
        <v>624358.64</v>
      </c>
      <c r="O124" s="467">
        <f t="shared" si="112"/>
        <v>1497434.56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75512.5664</v>
      </c>
      <c r="T124" s="467">
        <f t="shared" si="117"/>
        <v>0</v>
      </c>
      <c r="U124" s="467"/>
      <c r="V124" s="467">
        <f t="shared" si="118"/>
        <v>204512.5664</v>
      </c>
      <c r="W124" s="474">
        <v>12</v>
      </c>
      <c r="X124" s="467">
        <f t="shared" si="119"/>
        <v>17042.7138666667</v>
      </c>
      <c r="Y124" s="470"/>
      <c r="Z124" s="467">
        <f t="shared" si="120"/>
        <v>17042.7138666667</v>
      </c>
      <c r="AA124" s="479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48">
        <v>108</v>
      </c>
      <c r="B125" s="18" t="s">
        <v>405</v>
      </c>
      <c r="C125" s="467">
        <v>176816.1</v>
      </c>
      <c r="D125" s="466">
        <v>12</v>
      </c>
      <c r="E125" s="467">
        <f t="shared" si="106"/>
        <v>2121793.2</v>
      </c>
      <c r="F125" s="467"/>
      <c r="G125" s="470"/>
      <c r="H125" s="470"/>
      <c r="I125" s="467">
        <f t="shared" si="108"/>
        <v>2121793.2</v>
      </c>
      <c r="J125" s="467">
        <v>200000</v>
      </c>
      <c r="K125" s="467">
        <v>0.2</v>
      </c>
      <c r="L125" s="467">
        <f t="shared" si="109"/>
        <v>424358.64</v>
      </c>
      <c r="M125" s="467">
        <f t="shared" si="110"/>
        <v>624358.64</v>
      </c>
      <c r="N125" s="467">
        <f t="shared" si="111"/>
        <v>624358.64</v>
      </c>
      <c r="O125" s="467">
        <f t="shared" si="112"/>
        <v>1497434.56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75512.5664</v>
      </c>
      <c r="T125" s="467">
        <f t="shared" si="117"/>
        <v>0</v>
      </c>
      <c r="U125" s="467"/>
      <c r="V125" s="467">
        <f t="shared" si="118"/>
        <v>204512.5664</v>
      </c>
      <c r="W125" s="474">
        <v>12</v>
      </c>
      <c r="X125" s="467">
        <f t="shared" si="119"/>
        <v>17042.7138666667</v>
      </c>
      <c r="Y125" s="470"/>
      <c r="Z125" s="467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4">
        <v>109</v>
      </c>
      <c r="B126" s="20" t="s">
        <v>33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213"/>
      <c r="AB126" s="213"/>
      <c r="AC126" s="213"/>
      <c r="AD126" s="213"/>
      <c r="AE126" s="213"/>
    </row>
    <row r="127" ht="17.5" spans="1:31">
      <c r="A127" s="544">
        <v>110</v>
      </c>
      <c r="B127" s="22"/>
      <c r="C127" s="467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67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4">
        <v>111</v>
      </c>
      <c r="B128" s="20" t="s">
        <v>71</v>
      </c>
      <c r="C128" s="467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67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4">
        <v>112</v>
      </c>
      <c r="B129" s="11" t="s">
        <v>407</v>
      </c>
      <c r="C129" s="467">
        <v>950209.0635</v>
      </c>
      <c r="D129" s="466">
        <v>12</v>
      </c>
      <c r="E129" s="467">
        <f>C129*D129</f>
        <v>11402508.762</v>
      </c>
      <c r="F129" s="467"/>
      <c r="G129" s="470"/>
      <c r="H129" s="470"/>
      <c r="I129" s="467">
        <f>E129-F129-G129-H129</f>
        <v>11402508.762</v>
      </c>
      <c r="J129" s="467">
        <v>200000</v>
      </c>
      <c r="K129" s="467">
        <v>0.2</v>
      </c>
      <c r="L129" s="467">
        <f t="shared" ref="L129:L187" si="121">I129*K129</f>
        <v>2280501.7524</v>
      </c>
      <c r="M129" s="467">
        <f t="shared" ref="M129:M187" si="122">J129+L129</f>
        <v>2480501.7524</v>
      </c>
      <c r="N129" s="467">
        <f t="shared" ref="N129:N187" si="123">F129+G129+H129+M129</f>
        <v>2480501.7524</v>
      </c>
      <c r="O129" s="467">
        <f t="shared" ref="O129:O187" si="124">E129-N129</f>
        <v>8922007.0096</v>
      </c>
      <c r="P129" s="467">
        <f t="shared" ref="P129:P187" si="125">IF(O129&lt;300000,0.07*O129,21000)</f>
        <v>21000</v>
      </c>
      <c r="Q129" s="467">
        <f t="shared" ref="Q129:Q187" si="126">IF((O129-300000)&lt;0,0,IF((O129-300000)&lt;300000,0.11*(O129-300000),33000))</f>
        <v>33000</v>
      </c>
      <c r="R129" s="467">
        <f t="shared" ref="R129:R187" si="127">IF((O129-600000)&lt;0,0,IF((O129-600000)&lt;500000,0.15*(O129-600000),75000))</f>
        <v>75000</v>
      </c>
      <c r="S129" s="467">
        <f t="shared" ref="S129:S187" si="128">IF((O129-1100000)&lt;0,0,IF((O129-1100000)&lt;500000,0.19*(O129-1100000),95000))</f>
        <v>95000</v>
      </c>
      <c r="T129" s="467">
        <f t="shared" ref="T129:T187" si="129">IF((O129-1600000)&lt;0,0,IF((O129-1600000)&lt;1600000,0.21*(O129-1600000),336000))</f>
        <v>336000</v>
      </c>
      <c r="U129" s="467">
        <f t="shared" si="103"/>
        <v>1373281.682304</v>
      </c>
      <c r="V129" s="467">
        <f>P129+Q129+R129+S129+T129+U129</f>
        <v>1933281.682304</v>
      </c>
      <c r="W129" s="474">
        <v>12</v>
      </c>
      <c r="X129" s="467">
        <f t="shared" ref="X129:X187" si="130">V129/W129</f>
        <v>161106.806858667</v>
      </c>
      <c r="Y129" s="470"/>
      <c r="Z129" s="467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48">
        <v>113</v>
      </c>
      <c r="B130" s="11" t="s">
        <v>229</v>
      </c>
      <c r="C130" s="467">
        <v>541465.02475</v>
      </c>
      <c r="D130" s="466">
        <v>12</v>
      </c>
      <c r="E130" s="467">
        <f t="shared" ref="E130:E187" si="132">C130*D130</f>
        <v>6497580.297</v>
      </c>
      <c r="F130" s="467"/>
      <c r="G130" s="470"/>
      <c r="H130" s="470"/>
      <c r="I130" s="467">
        <f t="shared" ref="I130:I187" si="133">E130-F130-G130-H130</f>
        <v>6497580.297</v>
      </c>
      <c r="J130" s="467">
        <v>200000</v>
      </c>
      <c r="K130" s="467">
        <v>0.2</v>
      </c>
      <c r="L130" s="467">
        <f t="shared" si="121"/>
        <v>1299516.0594</v>
      </c>
      <c r="M130" s="467">
        <f t="shared" si="122"/>
        <v>1499516.0594</v>
      </c>
      <c r="N130" s="467">
        <f t="shared" si="123"/>
        <v>1499516.0594</v>
      </c>
      <c r="O130" s="467">
        <f t="shared" si="124"/>
        <v>4998064.2376</v>
      </c>
      <c r="P130" s="467">
        <f t="shared" si="125"/>
        <v>21000</v>
      </c>
      <c r="Q130" s="467">
        <f t="shared" si="126"/>
        <v>33000</v>
      </c>
      <c r="R130" s="467">
        <f t="shared" si="127"/>
        <v>75000</v>
      </c>
      <c r="S130" s="467">
        <f t="shared" si="128"/>
        <v>95000</v>
      </c>
      <c r="T130" s="467">
        <f t="shared" si="129"/>
        <v>336000</v>
      </c>
      <c r="U130" s="467">
        <f t="shared" si="103"/>
        <v>431535.417024</v>
      </c>
      <c r="V130" s="467">
        <f>P130+Q130+R130+S130+T130+U130</f>
        <v>991535.417024</v>
      </c>
      <c r="W130" s="474">
        <v>12</v>
      </c>
      <c r="X130" s="467">
        <f t="shared" si="130"/>
        <v>82627.9514186667</v>
      </c>
      <c r="Y130" s="470"/>
      <c r="Z130" s="467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4">
        <v>114</v>
      </c>
      <c r="B131" s="14" t="s">
        <v>409</v>
      </c>
      <c r="C131" s="467">
        <v>591465.02475</v>
      </c>
      <c r="D131" s="466">
        <v>12</v>
      </c>
      <c r="E131" s="467">
        <f t="shared" si="132"/>
        <v>7097580.297</v>
      </c>
      <c r="F131" s="467">
        <f>1066.32925*12</f>
        <v>12795.951</v>
      </c>
      <c r="G131" s="470"/>
      <c r="H131" s="470"/>
      <c r="I131" s="467">
        <f t="shared" si="133"/>
        <v>7084784.346</v>
      </c>
      <c r="J131" s="467">
        <v>200000</v>
      </c>
      <c r="K131" s="467">
        <v>0.2</v>
      </c>
      <c r="L131" s="467">
        <f t="shared" si="121"/>
        <v>1416956.8692</v>
      </c>
      <c r="M131" s="467">
        <f t="shared" si="122"/>
        <v>1616956.8692</v>
      </c>
      <c r="N131" s="467">
        <f t="shared" si="123"/>
        <v>1629752.8202</v>
      </c>
      <c r="O131" s="467">
        <f t="shared" si="124"/>
        <v>5467827.4768</v>
      </c>
      <c r="P131" s="467">
        <f t="shared" si="125"/>
        <v>21000</v>
      </c>
      <c r="Q131" s="467">
        <f t="shared" si="126"/>
        <v>33000</v>
      </c>
      <c r="R131" s="467">
        <f t="shared" si="127"/>
        <v>75000</v>
      </c>
      <c r="S131" s="467">
        <f t="shared" si="128"/>
        <v>95000</v>
      </c>
      <c r="T131" s="467">
        <f t="shared" si="129"/>
        <v>336000</v>
      </c>
      <c r="U131" s="467">
        <f t="shared" si="103"/>
        <v>544278.594432</v>
      </c>
      <c r="V131" s="467">
        <f>P131+Q131+R131+S131+T131+U131</f>
        <v>1104278.594432</v>
      </c>
      <c r="W131" s="474">
        <v>12</v>
      </c>
      <c r="X131" s="467">
        <f t="shared" si="130"/>
        <v>92023.2162026667</v>
      </c>
      <c r="Y131" s="470"/>
      <c r="Z131" s="467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4">
        <v>115</v>
      </c>
      <c r="B132" s="11" t="s">
        <v>411</v>
      </c>
      <c r="C132" s="467">
        <v>351394.00675</v>
      </c>
      <c r="D132" s="466">
        <v>12</v>
      </c>
      <c r="E132" s="467">
        <f t="shared" si="132"/>
        <v>4216728.081</v>
      </c>
      <c r="F132" s="467">
        <f>712.24525*12</f>
        <v>8546.943</v>
      </c>
      <c r="G132" s="470"/>
      <c r="H132" s="470"/>
      <c r="I132" s="467">
        <f t="shared" si="133"/>
        <v>4208181.138</v>
      </c>
      <c r="J132" s="467">
        <v>200000</v>
      </c>
      <c r="K132" s="467">
        <v>0.2</v>
      </c>
      <c r="L132" s="467">
        <f t="shared" si="121"/>
        <v>841636.2276</v>
      </c>
      <c r="M132" s="467">
        <f t="shared" si="122"/>
        <v>1041636.2276</v>
      </c>
      <c r="N132" s="467">
        <f t="shared" si="123"/>
        <v>1050183.1706</v>
      </c>
      <c r="O132" s="467">
        <f t="shared" si="124"/>
        <v>3166544.9104</v>
      </c>
      <c r="P132" s="467">
        <f t="shared" si="125"/>
        <v>21000</v>
      </c>
      <c r="Q132" s="467">
        <f t="shared" si="126"/>
        <v>33000</v>
      </c>
      <c r="R132" s="467">
        <f t="shared" si="127"/>
        <v>75000</v>
      </c>
      <c r="S132" s="467">
        <f t="shared" si="128"/>
        <v>95000</v>
      </c>
      <c r="T132" s="467">
        <f t="shared" si="129"/>
        <v>328974.431184</v>
      </c>
      <c r="U132" s="467"/>
      <c r="V132" s="467">
        <f t="shared" ref="V132:V187" si="135">P132+Q132+R132+S132+T132+U132</f>
        <v>552974.431184</v>
      </c>
      <c r="W132" s="474">
        <v>12</v>
      </c>
      <c r="X132" s="467">
        <f t="shared" si="130"/>
        <v>46081.2025986667</v>
      </c>
      <c r="Y132" s="470"/>
      <c r="Z132" s="467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4">
        <v>116</v>
      </c>
      <c r="B133" s="11" t="s">
        <v>413</v>
      </c>
      <c r="C133" s="467">
        <v>351394.00675</v>
      </c>
      <c r="D133" s="466">
        <v>12</v>
      </c>
      <c r="E133" s="467">
        <f t="shared" si="132"/>
        <v>4216728.081</v>
      </c>
      <c r="F133" s="467">
        <f>712.24525*12</f>
        <v>8546.943</v>
      </c>
      <c r="G133" s="470"/>
      <c r="H133" s="470"/>
      <c r="I133" s="467">
        <f t="shared" si="133"/>
        <v>4208181.138</v>
      </c>
      <c r="J133" s="467">
        <v>200000</v>
      </c>
      <c r="K133" s="467">
        <v>0.2</v>
      </c>
      <c r="L133" s="467">
        <f t="shared" si="121"/>
        <v>841636.2276</v>
      </c>
      <c r="M133" s="467">
        <f t="shared" si="122"/>
        <v>1041636.2276</v>
      </c>
      <c r="N133" s="467">
        <f t="shared" si="123"/>
        <v>1050183.1706</v>
      </c>
      <c r="O133" s="467">
        <f t="shared" si="124"/>
        <v>3166544.9104</v>
      </c>
      <c r="P133" s="467">
        <f t="shared" si="125"/>
        <v>21000</v>
      </c>
      <c r="Q133" s="467">
        <f t="shared" si="126"/>
        <v>33000</v>
      </c>
      <c r="R133" s="467">
        <f t="shared" si="127"/>
        <v>75000</v>
      </c>
      <c r="S133" s="467">
        <f t="shared" si="128"/>
        <v>95000</v>
      </c>
      <c r="T133" s="467">
        <f t="shared" si="129"/>
        <v>328974.431184</v>
      </c>
      <c r="U133" s="467"/>
      <c r="V133" s="467">
        <f t="shared" si="135"/>
        <v>552974.431184</v>
      </c>
      <c r="W133" s="474">
        <v>12</v>
      </c>
      <c r="X133" s="467">
        <f t="shared" si="130"/>
        <v>46081.2025986667</v>
      </c>
      <c r="Y133" s="470"/>
      <c r="Z133" s="467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4">
        <v>117</v>
      </c>
      <c r="B134" s="11" t="s">
        <v>415</v>
      </c>
      <c r="C134" s="467">
        <v>351394.00675</v>
      </c>
      <c r="D134" s="466">
        <v>12</v>
      </c>
      <c r="E134" s="467">
        <f t="shared" si="132"/>
        <v>4216728.081</v>
      </c>
      <c r="F134" s="467">
        <f>712.24525*12</f>
        <v>8546.943</v>
      </c>
      <c r="G134" s="470"/>
      <c r="H134" s="470"/>
      <c r="I134" s="467">
        <f t="shared" si="133"/>
        <v>4208181.138</v>
      </c>
      <c r="J134" s="467">
        <v>200000</v>
      </c>
      <c r="K134" s="467">
        <v>0.2</v>
      </c>
      <c r="L134" s="467">
        <f t="shared" si="121"/>
        <v>841636.2276</v>
      </c>
      <c r="M134" s="467">
        <f t="shared" si="122"/>
        <v>1041636.2276</v>
      </c>
      <c r="N134" s="467">
        <f t="shared" si="123"/>
        <v>1050183.1706</v>
      </c>
      <c r="O134" s="467">
        <f t="shared" si="124"/>
        <v>3166544.9104</v>
      </c>
      <c r="P134" s="467">
        <f t="shared" si="125"/>
        <v>21000</v>
      </c>
      <c r="Q134" s="467">
        <f t="shared" si="126"/>
        <v>33000</v>
      </c>
      <c r="R134" s="467">
        <f t="shared" si="127"/>
        <v>75000</v>
      </c>
      <c r="S134" s="467">
        <f t="shared" si="128"/>
        <v>95000</v>
      </c>
      <c r="T134" s="467">
        <f t="shared" si="129"/>
        <v>328974.431184</v>
      </c>
      <c r="U134" s="467"/>
      <c r="V134" s="467">
        <f t="shared" si="135"/>
        <v>552974.431184</v>
      </c>
      <c r="W134" s="474">
        <v>12</v>
      </c>
      <c r="X134" s="467">
        <f t="shared" si="130"/>
        <v>46081.2025986667</v>
      </c>
      <c r="Y134" s="470"/>
      <c r="Z134" s="467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4">
        <v>118</v>
      </c>
      <c r="B135" s="11" t="s">
        <v>416</v>
      </c>
      <c r="C135" s="467">
        <v>286619.99875</v>
      </c>
      <c r="D135" s="466">
        <v>12</v>
      </c>
      <c r="E135" s="467">
        <f t="shared" si="132"/>
        <v>3439439.985</v>
      </c>
      <c r="F135" s="467">
        <f>576.62125*12</f>
        <v>6919.455</v>
      </c>
      <c r="G135" s="470"/>
      <c r="H135" s="470"/>
      <c r="I135" s="467">
        <f t="shared" si="133"/>
        <v>3432520.53</v>
      </c>
      <c r="J135" s="467">
        <v>200000</v>
      </c>
      <c r="K135" s="467">
        <v>0.2</v>
      </c>
      <c r="L135" s="467">
        <f t="shared" si="121"/>
        <v>686504.106</v>
      </c>
      <c r="M135" s="467">
        <f t="shared" si="122"/>
        <v>886504.106</v>
      </c>
      <c r="N135" s="467">
        <f t="shared" si="123"/>
        <v>893423.561</v>
      </c>
      <c r="O135" s="467">
        <f t="shared" si="124"/>
        <v>2546016.424</v>
      </c>
      <c r="P135" s="467">
        <f t="shared" si="125"/>
        <v>21000</v>
      </c>
      <c r="Q135" s="467">
        <f t="shared" si="126"/>
        <v>33000</v>
      </c>
      <c r="R135" s="467">
        <f t="shared" si="127"/>
        <v>75000</v>
      </c>
      <c r="S135" s="467">
        <f t="shared" si="128"/>
        <v>95000</v>
      </c>
      <c r="T135" s="467">
        <f t="shared" si="129"/>
        <v>198663.44904</v>
      </c>
      <c r="U135" s="467"/>
      <c r="V135" s="467">
        <f t="shared" si="135"/>
        <v>422663.44904</v>
      </c>
      <c r="W135" s="474">
        <v>12</v>
      </c>
      <c r="X135" s="467">
        <f t="shared" si="130"/>
        <v>35221.9540866667</v>
      </c>
      <c r="Y135" s="470"/>
      <c r="Z135" s="467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4">
        <v>119</v>
      </c>
      <c r="B136" s="11" t="s">
        <v>418</v>
      </c>
      <c r="C136" s="467">
        <v>286619.99875</v>
      </c>
      <c r="D136" s="466">
        <v>12</v>
      </c>
      <c r="E136" s="467">
        <f t="shared" si="132"/>
        <v>3439439.985</v>
      </c>
      <c r="F136" s="467"/>
      <c r="G136" s="470"/>
      <c r="H136" s="470"/>
      <c r="I136" s="467">
        <f t="shared" si="133"/>
        <v>3439439.985</v>
      </c>
      <c r="J136" s="467">
        <v>200000</v>
      </c>
      <c r="K136" s="467">
        <v>0.2</v>
      </c>
      <c r="L136" s="467">
        <f t="shared" si="121"/>
        <v>687887.997</v>
      </c>
      <c r="M136" s="467">
        <f t="shared" si="122"/>
        <v>887887.997</v>
      </c>
      <c r="N136" s="467">
        <f t="shared" si="123"/>
        <v>887887.997</v>
      </c>
      <c r="O136" s="467">
        <f t="shared" si="124"/>
        <v>2551551.988</v>
      </c>
      <c r="P136" s="467">
        <f t="shared" si="125"/>
        <v>21000</v>
      </c>
      <c r="Q136" s="467">
        <f t="shared" si="126"/>
        <v>33000</v>
      </c>
      <c r="R136" s="467">
        <f t="shared" si="127"/>
        <v>75000</v>
      </c>
      <c r="S136" s="467">
        <f t="shared" si="128"/>
        <v>95000</v>
      </c>
      <c r="T136" s="467">
        <f t="shared" si="129"/>
        <v>199825.91748</v>
      </c>
      <c r="U136" s="467"/>
      <c r="V136" s="467">
        <f t="shared" si="135"/>
        <v>423825.91748</v>
      </c>
      <c r="W136" s="474">
        <v>12</v>
      </c>
      <c r="X136" s="467">
        <f t="shared" si="130"/>
        <v>35318.8264566667</v>
      </c>
      <c r="Y136" s="470"/>
      <c r="Z136" s="467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4">
        <v>120</v>
      </c>
      <c r="B137" s="11" t="s">
        <v>419</v>
      </c>
      <c r="C137" s="467">
        <v>286619.99875</v>
      </c>
      <c r="D137" s="466">
        <v>12</v>
      </c>
      <c r="E137" s="467">
        <f t="shared" si="132"/>
        <v>3439439.985</v>
      </c>
      <c r="F137" s="467"/>
      <c r="G137" s="470"/>
      <c r="H137" s="470"/>
      <c r="I137" s="467">
        <f t="shared" si="133"/>
        <v>3439439.985</v>
      </c>
      <c r="J137" s="467">
        <v>200000</v>
      </c>
      <c r="K137" s="467">
        <v>0.2</v>
      </c>
      <c r="L137" s="467">
        <f t="shared" si="121"/>
        <v>687887.997</v>
      </c>
      <c r="M137" s="467">
        <f t="shared" si="122"/>
        <v>887887.997</v>
      </c>
      <c r="N137" s="467">
        <f t="shared" si="123"/>
        <v>887887.997</v>
      </c>
      <c r="O137" s="467">
        <f t="shared" si="124"/>
        <v>2551551.988</v>
      </c>
      <c r="P137" s="467">
        <f t="shared" si="125"/>
        <v>21000</v>
      </c>
      <c r="Q137" s="467">
        <f t="shared" si="126"/>
        <v>33000</v>
      </c>
      <c r="R137" s="467">
        <f t="shared" si="127"/>
        <v>75000</v>
      </c>
      <c r="S137" s="467">
        <f t="shared" si="128"/>
        <v>95000</v>
      </c>
      <c r="T137" s="467">
        <f t="shared" si="129"/>
        <v>199825.91748</v>
      </c>
      <c r="U137" s="467"/>
      <c r="V137" s="467">
        <f t="shared" si="135"/>
        <v>423825.91748</v>
      </c>
      <c r="W137" s="474">
        <v>12</v>
      </c>
      <c r="X137" s="467">
        <f t="shared" si="130"/>
        <v>35318.8264566667</v>
      </c>
      <c r="Y137" s="470"/>
      <c r="Z137" s="467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4">
        <v>121</v>
      </c>
      <c r="B138" s="11" t="s">
        <v>421</v>
      </c>
      <c r="C138" s="467">
        <v>284536.9985</v>
      </c>
      <c r="D138" s="466">
        <v>12</v>
      </c>
      <c r="E138" s="467">
        <f t="shared" si="132"/>
        <v>3414443.982</v>
      </c>
      <c r="F138" s="467"/>
      <c r="G138" s="470"/>
      <c r="H138" s="470"/>
      <c r="I138" s="467">
        <f t="shared" si="133"/>
        <v>3414443.982</v>
      </c>
      <c r="J138" s="467">
        <v>200000</v>
      </c>
      <c r="K138" s="467">
        <v>0.2</v>
      </c>
      <c r="L138" s="467">
        <f t="shared" si="121"/>
        <v>682888.7964</v>
      </c>
      <c r="M138" s="467">
        <f t="shared" si="122"/>
        <v>882888.7964</v>
      </c>
      <c r="N138" s="467">
        <f t="shared" si="123"/>
        <v>882888.7964</v>
      </c>
      <c r="O138" s="467">
        <f t="shared" si="124"/>
        <v>2531555.1856</v>
      </c>
      <c r="P138" s="467">
        <f t="shared" si="125"/>
        <v>21000</v>
      </c>
      <c r="Q138" s="467">
        <f t="shared" si="126"/>
        <v>33000</v>
      </c>
      <c r="R138" s="467">
        <f t="shared" si="127"/>
        <v>75000</v>
      </c>
      <c r="S138" s="467">
        <f t="shared" si="128"/>
        <v>95000</v>
      </c>
      <c r="T138" s="467">
        <f t="shared" si="129"/>
        <v>195626.588976</v>
      </c>
      <c r="U138" s="467"/>
      <c r="V138" s="467">
        <f t="shared" si="135"/>
        <v>419626.588976</v>
      </c>
      <c r="W138" s="474">
        <v>12</v>
      </c>
      <c r="X138" s="467">
        <f t="shared" si="130"/>
        <v>34968.8824146667</v>
      </c>
      <c r="Y138" s="470"/>
      <c r="Z138" s="467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4">
        <v>122</v>
      </c>
      <c r="B139" s="11" t="s">
        <v>423</v>
      </c>
      <c r="C139" s="467">
        <v>272454.074</v>
      </c>
      <c r="D139" s="466">
        <v>12</v>
      </c>
      <c r="E139" s="467">
        <f t="shared" si="132"/>
        <v>3269448.888</v>
      </c>
      <c r="F139" s="467">
        <f>538.022*12</f>
        <v>6456.264</v>
      </c>
      <c r="G139" s="470"/>
      <c r="H139" s="470"/>
      <c r="I139" s="467">
        <f t="shared" si="133"/>
        <v>3262992.624</v>
      </c>
      <c r="J139" s="467">
        <v>200000</v>
      </c>
      <c r="K139" s="467">
        <v>0.2</v>
      </c>
      <c r="L139" s="467">
        <f t="shared" si="121"/>
        <v>652598.5248</v>
      </c>
      <c r="M139" s="467">
        <f t="shared" si="122"/>
        <v>852598.5248</v>
      </c>
      <c r="N139" s="467">
        <f t="shared" si="123"/>
        <v>859054.7888</v>
      </c>
      <c r="O139" s="467">
        <f t="shared" si="124"/>
        <v>2410394.0992</v>
      </c>
      <c r="P139" s="467">
        <f t="shared" si="125"/>
        <v>21000</v>
      </c>
      <c r="Q139" s="467">
        <f t="shared" si="126"/>
        <v>33000</v>
      </c>
      <c r="R139" s="467">
        <f t="shared" si="127"/>
        <v>75000</v>
      </c>
      <c r="S139" s="467">
        <f t="shared" si="128"/>
        <v>95000</v>
      </c>
      <c r="T139" s="467">
        <f t="shared" si="129"/>
        <v>170182.760832</v>
      </c>
      <c r="U139" s="467"/>
      <c r="V139" s="467">
        <f t="shared" si="135"/>
        <v>394182.760832</v>
      </c>
      <c r="W139" s="474">
        <v>12</v>
      </c>
      <c r="X139" s="467">
        <f t="shared" si="130"/>
        <v>32848.5634026667</v>
      </c>
      <c r="Y139" s="470"/>
      <c r="Z139" s="467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4">
        <v>123</v>
      </c>
      <c r="B140" s="11" t="s">
        <v>425</v>
      </c>
      <c r="C140" s="467">
        <v>286619.99875</v>
      </c>
      <c r="D140" s="466">
        <v>12</v>
      </c>
      <c r="E140" s="467">
        <f t="shared" si="132"/>
        <v>3439439.985</v>
      </c>
      <c r="F140" s="467">
        <f>576.62125*12</f>
        <v>6919.455</v>
      </c>
      <c r="G140" s="470"/>
      <c r="H140" s="470"/>
      <c r="I140" s="467">
        <f t="shared" si="133"/>
        <v>3432520.53</v>
      </c>
      <c r="J140" s="467">
        <v>200000</v>
      </c>
      <c r="K140" s="467">
        <v>0.2</v>
      </c>
      <c r="L140" s="467">
        <f t="shared" si="121"/>
        <v>686504.106</v>
      </c>
      <c r="M140" s="467">
        <f t="shared" si="122"/>
        <v>886504.106</v>
      </c>
      <c r="N140" s="467">
        <f t="shared" si="123"/>
        <v>893423.561</v>
      </c>
      <c r="O140" s="467">
        <f t="shared" si="124"/>
        <v>2546016.424</v>
      </c>
      <c r="P140" s="467">
        <f t="shared" si="125"/>
        <v>21000</v>
      </c>
      <c r="Q140" s="467">
        <f t="shared" si="126"/>
        <v>33000</v>
      </c>
      <c r="R140" s="467">
        <f t="shared" si="127"/>
        <v>75000</v>
      </c>
      <c r="S140" s="467">
        <f t="shared" si="128"/>
        <v>95000</v>
      </c>
      <c r="T140" s="467">
        <f t="shared" si="129"/>
        <v>198663.44904</v>
      </c>
      <c r="U140" s="467"/>
      <c r="V140" s="467">
        <f t="shared" si="135"/>
        <v>422663.44904</v>
      </c>
      <c r="W140" s="474">
        <v>12</v>
      </c>
      <c r="X140" s="467">
        <f t="shared" si="130"/>
        <v>35221.9540866667</v>
      </c>
      <c r="Y140" s="470"/>
      <c r="Z140" s="467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48">
        <v>124</v>
      </c>
      <c r="B141" s="18" t="s">
        <v>427</v>
      </c>
      <c r="C141" s="467">
        <v>265372.075</v>
      </c>
      <c r="D141" s="466">
        <v>12</v>
      </c>
      <c r="E141" s="467">
        <f t="shared" si="132"/>
        <v>3184464.9</v>
      </c>
      <c r="F141" s="467">
        <v>0</v>
      </c>
      <c r="G141" s="470"/>
      <c r="H141" s="470"/>
      <c r="I141" s="467">
        <f t="shared" si="133"/>
        <v>3184464.9</v>
      </c>
      <c r="J141" s="467">
        <v>200000</v>
      </c>
      <c r="K141" s="467">
        <v>0.2</v>
      </c>
      <c r="L141" s="467">
        <f t="shared" si="121"/>
        <v>636892.98</v>
      </c>
      <c r="M141" s="467">
        <f t="shared" si="122"/>
        <v>836892.98</v>
      </c>
      <c r="N141" s="467">
        <f t="shared" si="123"/>
        <v>836892.98</v>
      </c>
      <c r="O141" s="467">
        <f t="shared" si="124"/>
        <v>2347571.92</v>
      </c>
      <c r="P141" s="467">
        <f t="shared" si="125"/>
        <v>21000</v>
      </c>
      <c r="Q141" s="467">
        <f t="shared" si="126"/>
        <v>33000</v>
      </c>
      <c r="R141" s="467">
        <f t="shared" si="127"/>
        <v>75000</v>
      </c>
      <c r="S141" s="467">
        <f t="shared" si="128"/>
        <v>95000</v>
      </c>
      <c r="T141" s="467">
        <f t="shared" si="129"/>
        <v>156990.1032</v>
      </c>
      <c r="U141" s="467"/>
      <c r="V141" s="467">
        <f t="shared" si="135"/>
        <v>380990.1032</v>
      </c>
      <c r="W141" s="474">
        <v>12</v>
      </c>
      <c r="X141" s="467">
        <f t="shared" si="130"/>
        <v>31749.1752666667</v>
      </c>
      <c r="Y141" s="470"/>
      <c r="Z141" s="467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4">
        <v>125</v>
      </c>
      <c r="B142" s="11" t="s">
        <v>429</v>
      </c>
      <c r="C142" s="467">
        <v>237734.047</v>
      </c>
      <c r="D142" s="466">
        <v>12</v>
      </c>
      <c r="E142" s="467">
        <f t="shared" si="132"/>
        <v>2852808.564</v>
      </c>
      <c r="F142" s="467"/>
      <c r="G142" s="470"/>
      <c r="H142" s="470"/>
      <c r="I142" s="467">
        <f t="shared" si="133"/>
        <v>2852808.564</v>
      </c>
      <c r="J142" s="467">
        <v>200000</v>
      </c>
      <c r="K142" s="467">
        <v>0.2</v>
      </c>
      <c r="L142" s="467">
        <f t="shared" si="121"/>
        <v>570561.7128</v>
      </c>
      <c r="M142" s="467">
        <f t="shared" si="122"/>
        <v>770561.7128</v>
      </c>
      <c r="N142" s="467">
        <f t="shared" si="123"/>
        <v>770561.7128</v>
      </c>
      <c r="O142" s="467">
        <f t="shared" si="124"/>
        <v>2082246.8512</v>
      </c>
      <c r="P142" s="467">
        <f t="shared" si="125"/>
        <v>21000</v>
      </c>
      <c r="Q142" s="467">
        <f t="shared" si="126"/>
        <v>33000</v>
      </c>
      <c r="R142" s="467">
        <f t="shared" si="127"/>
        <v>75000</v>
      </c>
      <c r="S142" s="467">
        <f t="shared" si="128"/>
        <v>95000</v>
      </c>
      <c r="T142" s="467">
        <f t="shared" si="129"/>
        <v>101271.838752</v>
      </c>
      <c r="U142" s="467"/>
      <c r="V142" s="467">
        <f t="shared" si="135"/>
        <v>325271.838752</v>
      </c>
      <c r="W142" s="474">
        <v>12</v>
      </c>
      <c r="X142" s="467">
        <f t="shared" si="130"/>
        <v>27105.9865626667</v>
      </c>
      <c r="Y142" s="470"/>
      <c r="Z142" s="467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4">
        <v>126</v>
      </c>
      <c r="B143" s="11" t="s">
        <v>431</v>
      </c>
      <c r="C143" s="467">
        <v>242300.0775</v>
      </c>
      <c r="D143" s="466">
        <v>12</v>
      </c>
      <c r="E143" s="467">
        <f t="shared" si="132"/>
        <v>2907600.93</v>
      </c>
      <c r="F143" s="467">
        <f>469.4825*12</f>
        <v>5633.79</v>
      </c>
      <c r="G143" s="470"/>
      <c r="H143" s="470"/>
      <c r="I143" s="467">
        <f t="shared" si="133"/>
        <v>2901967.14</v>
      </c>
      <c r="J143" s="467">
        <v>200000</v>
      </c>
      <c r="K143" s="467">
        <v>0.2</v>
      </c>
      <c r="L143" s="467">
        <f t="shared" si="121"/>
        <v>580393.428</v>
      </c>
      <c r="M143" s="467">
        <f t="shared" si="122"/>
        <v>780393.428</v>
      </c>
      <c r="N143" s="467">
        <f t="shared" si="123"/>
        <v>786027.218</v>
      </c>
      <c r="O143" s="467">
        <f t="shared" si="124"/>
        <v>2121573.712</v>
      </c>
      <c r="P143" s="467">
        <f t="shared" si="125"/>
        <v>21000</v>
      </c>
      <c r="Q143" s="467">
        <f t="shared" si="126"/>
        <v>33000</v>
      </c>
      <c r="R143" s="467">
        <f t="shared" si="127"/>
        <v>75000</v>
      </c>
      <c r="S143" s="467">
        <f t="shared" si="128"/>
        <v>95000</v>
      </c>
      <c r="T143" s="467">
        <f t="shared" si="129"/>
        <v>109530.47952</v>
      </c>
      <c r="U143" s="467"/>
      <c r="V143" s="467">
        <f t="shared" si="135"/>
        <v>333530.47952</v>
      </c>
      <c r="W143" s="474">
        <v>12</v>
      </c>
      <c r="X143" s="467">
        <f t="shared" si="130"/>
        <v>27794.2066266667</v>
      </c>
      <c r="Y143" s="470"/>
      <c r="Z143" s="467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4">
        <v>127</v>
      </c>
      <c r="B144" s="11" t="s">
        <v>433</v>
      </c>
      <c r="C144" s="467">
        <v>242300.0775</v>
      </c>
      <c r="D144" s="466">
        <v>12</v>
      </c>
      <c r="E144" s="467">
        <f t="shared" si="132"/>
        <v>2907600.93</v>
      </c>
      <c r="F144" s="467"/>
      <c r="G144" s="470"/>
      <c r="H144" s="470"/>
      <c r="I144" s="467">
        <f t="shared" si="133"/>
        <v>2907600.93</v>
      </c>
      <c r="J144" s="467">
        <v>200000</v>
      </c>
      <c r="K144" s="467">
        <v>0.2</v>
      </c>
      <c r="L144" s="467">
        <f t="shared" si="121"/>
        <v>581520.186</v>
      </c>
      <c r="M144" s="467">
        <f t="shared" si="122"/>
        <v>781520.186</v>
      </c>
      <c r="N144" s="467">
        <f t="shared" si="123"/>
        <v>781520.186</v>
      </c>
      <c r="O144" s="467">
        <f t="shared" si="124"/>
        <v>2126080.744</v>
      </c>
      <c r="P144" s="467">
        <f t="shared" si="125"/>
        <v>21000</v>
      </c>
      <c r="Q144" s="467">
        <f t="shared" si="126"/>
        <v>33000</v>
      </c>
      <c r="R144" s="467">
        <f t="shared" si="127"/>
        <v>75000</v>
      </c>
      <c r="S144" s="467">
        <f t="shared" si="128"/>
        <v>95000</v>
      </c>
      <c r="T144" s="467">
        <f t="shared" si="129"/>
        <v>110476.95624</v>
      </c>
      <c r="U144" s="467"/>
      <c r="V144" s="467">
        <f t="shared" si="135"/>
        <v>334476.95624</v>
      </c>
      <c r="W144" s="474">
        <v>12</v>
      </c>
      <c r="X144" s="467">
        <f t="shared" si="130"/>
        <v>27873.0796866667</v>
      </c>
      <c r="Y144" s="470"/>
      <c r="Z144" s="467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4">
        <v>128</v>
      </c>
      <c r="B145" s="11" t="s">
        <v>434</v>
      </c>
      <c r="C145" s="467">
        <v>237734.047</v>
      </c>
      <c r="D145" s="466">
        <v>12</v>
      </c>
      <c r="E145" s="467">
        <f t="shared" si="132"/>
        <v>2852808.564</v>
      </c>
      <c r="F145" s="467"/>
      <c r="G145" s="470"/>
      <c r="H145" s="470"/>
      <c r="I145" s="467">
        <f t="shared" si="133"/>
        <v>2852808.564</v>
      </c>
      <c r="J145" s="467">
        <v>200000</v>
      </c>
      <c r="K145" s="467">
        <v>0.2</v>
      </c>
      <c r="L145" s="467">
        <f t="shared" si="121"/>
        <v>570561.7128</v>
      </c>
      <c r="M145" s="467">
        <f t="shared" si="122"/>
        <v>770561.7128</v>
      </c>
      <c r="N145" s="467">
        <f t="shared" si="123"/>
        <v>770561.7128</v>
      </c>
      <c r="O145" s="467">
        <f t="shared" si="124"/>
        <v>2082246.8512</v>
      </c>
      <c r="P145" s="467">
        <f t="shared" si="125"/>
        <v>21000</v>
      </c>
      <c r="Q145" s="467">
        <f t="shared" si="126"/>
        <v>33000</v>
      </c>
      <c r="R145" s="467">
        <f t="shared" si="127"/>
        <v>75000</v>
      </c>
      <c r="S145" s="467">
        <f t="shared" si="128"/>
        <v>95000</v>
      </c>
      <c r="T145" s="467">
        <f t="shared" si="129"/>
        <v>101271.838752</v>
      </c>
      <c r="U145" s="467"/>
      <c r="V145" s="467">
        <f t="shared" si="135"/>
        <v>325271.838752</v>
      </c>
      <c r="W145" s="474">
        <v>12</v>
      </c>
      <c r="X145" s="467">
        <f t="shared" si="130"/>
        <v>27105.9865626667</v>
      </c>
      <c r="Y145" s="470"/>
      <c r="Z145" s="467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4">
        <v>129</v>
      </c>
      <c r="B146" s="11" t="s">
        <v>436</v>
      </c>
      <c r="C146" s="467">
        <v>209356.04725</v>
      </c>
      <c r="D146" s="466">
        <v>12</v>
      </c>
      <c r="E146" s="467">
        <f t="shared" si="132"/>
        <v>2512272.567</v>
      </c>
      <c r="F146" s="467"/>
      <c r="G146" s="470"/>
      <c r="H146" s="470"/>
      <c r="I146" s="467">
        <f t="shared" si="133"/>
        <v>2512272.567</v>
      </c>
      <c r="J146" s="467">
        <v>200000</v>
      </c>
      <c r="K146" s="467">
        <v>0.2</v>
      </c>
      <c r="L146" s="467">
        <f t="shared" si="121"/>
        <v>502454.5134</v>
      </c>
      <c r="M146" s="467">
        <f t="shared" si="122"/>
        <v>702454.5134</v>
      </c>
      <c r="N146" s="467">
        <f t="shared" si="123"/>
        <v>702454.5134</v>
      </c>
      <c r="O146" s="467">
        <f t="shared" si="124"/>
        <v>1809818.0536</v>
      </c>
      <c r="P146" s="467">
        <f t="shared" si="125"/>
        <v>21000</v>
      </c>
      <c r="Q146" s="467">
        <f t="shared" si="126"/>
        <v>33000</v>
      </c>
      <c r="R146" s="467">
        <f t="shared" si="127"/>
        <v>75000</v>
      </c>
      <c r="S146" s="467">
        <f t="shared" si="128"/>
        <v>95000</v>
      </c>
      <c r="T146" s="467">
        <f t="shared" si="129"/>
        <v>44061.7912559999</v>
      </c>
      <c r="U146" s="467"/>
      <c r="V146" s="467">
        <f t="shared" si="135"/>
        <v>268061.791256</v>
      </c>
      <c r="W146" s="474">
        <v>12</v>
      </c>
      <c r="X146" s="467">
        <f t="shared" si="130"/>
        <v>22338.4826046667</v>
      </c>
      <c r="Y146" s="470"/>
      <c r="Z146" s="467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4">
        <v>130</v>
      </c>
      <c r="B147" s="11" t="s">
        <v>438</v>
      </c>
      <c r="C147" s="467">
        <v>237734.047</v>
      </c>
      <c r="D147" s="466">
        <v>12</v>
      </c>
      <c r="E147" s="467">
        <f t="shared" si="132"/>
        <v>2852808.564</v>
      </c>
      <c r="F147" s="467"/>
      <c r="G147" s="470"/>
      <c r="H147" s="470"/>
      <c r="I147" s="467">
        <f t="shared" si="133"/>
        <v>2852808.564</v>
      </c>
      <c r="J147" s="467">
        <v>200000</v>
      </c>
      <c r="K147" s="467">
        <v>0.2</v>
      </c>
      <c r="L147" s="467">
        <f t="shared" si="121"/>
        <v>570561.7128</v>
      </c>
      <c r="M147" s="467">
        <f t="shared" si="122"/>
        <v>770561.7128</v>
      </c>
      <c r="N147" s="467">
        <f t="shared" si="123"/>
        <v>770561.7128</v>
      </c>
      <c r="O147" s="467">
        <f t="shared" si="124"/>
        <v>2082246.8512</v>
      </c>
      <c r="P147" s="467">
        <f t="shared" si="125"/>
        <v>21000</v>
      </c>
      <c r="Q147" s="467">
        <f t="shared" si="126"/>
        <v>33000</v>
      </c>
      <c r="R147" s="467">
        <f t="shared" si="127"/>
        <v>75000</v>
      </c>
      <c r="S147" s="467">
        <f t="shared" si="128"/>
        <v>95000</v>
      </c>
      <c r="T147" s="467">
        <f t="shared" si="129"/>
        <v>101271.838752</v>
      </c>
      <c r="U147" s="467"/>
      <c r="V147" s="467">
        <f t="shared" si="135"/>
        <v>325271.838752</v>
      </c>
      <c r="W147" s="474">
        <v>12</v>
      </c>
      <c r="X147" s="467">
        <f t="shared" si="130"/>
        <v>27105.9865626667</v>
      </c>
      <c r="Y147" s="470"/>
      <c r="Z147" s="467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4">
        <v>131</v>
      </c>
      <c r="B148" s="11" t="s">
        <v>440</v>
      </c>
      <c r="C148" s="467">
        <v>213508.01</v>
      </c>
      <c r="D148" s="466">
        <v>12</v>
      </c>
      <c r="E148" s="467">
        <f t="shared" si="132"/>
        <v>2562096.12</v>
      </c>
      <c r="F148" s="467"/>
      <c r="G148" s="470"/>
      <c r="H148" s="470"/>
      <c r="I148" s="467">
        <f t="shared" si="133"/>
        <v>2562096.12</v>
      </c>
      <c r="J148" s="467">
        <v>200000</v>
      </c>
      <c r="K148" s="467">
        <v>0.2</v>
      </c>
      <c r="L148" s="467">
        <f t="shared" si="121"/>
        <v>512419.224</v>
      </c>
      <c r="M148" s="467">
        <f t="shared" si="122"/>
        <v>712419.224</v>
      </c>
      <c r="N148" s="467">
        <f t="shared" si="123"/>
        <v>712419.224</v>
      </c>
      <c r="O148" s="467">
        <f t="shared" si="124"/>
        <v>1849676.896</v>
      </c>
      <c r="P148" s="467">
        <f t="shared" si="125"/>
        <v>21000</v>
      </c>
      <c r="Q148" s="467">
        <f t="shared" si="126"/>
        <v>33000</v>
      </c>
      <c r="R148" s="467">
        <f t="shared" si="127"/>
        <v>75000</v>
      </c>
      <c r="S148" s="467">
        <f t="shared" si="128"/>
        <v>95000</v>
      </c>
      <c r="T148" s="467">
        <f t="shared" si="129"/>
        <v>52432.14816</v>
      </c>
      <c r="U148" s="467"/>
      <c r="V148" s="467">
        <f t="shared" si="135"/>
        <v>276432.14816</v>
      </c>
      <c r="W148" s="474">
        <v>12</v>
      </c>
      <c r="X148" s="467">
        <f t="shared" si="130"/>
        <v>23036.0123466667</v>
      </c>
      <c r="Y148" s="470"/>
      <c r="Z148" s="467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4">
        <v>132</v>
      </c>
      <c r="B149" s="11" t="s">
        <v>442</v>
      </c>
      <c r="C149" s="467">
        <v>237734.047</v>
      </c>
      <c r="D149" s="466">
        <v>12</v>
      </c>
      <c r="E149" s="467">
        <f t="shared" si="132"/>
        <v>2852808.564</v>
      </c>
      <c r="F149" s="467">
        <f>457.041*12</f>
        <v>5484.492</v>
      </c>
      <c r="G149" s="470"/>
      <c r="H149" s="470"/>
      <c r="I149" s="467">
        <f t="shared" si="133"/>
        <v>2847324.072</v>
      </c>
      <c r="J149" s="467">
        <v>200000</v>
      </c>
      <c r="K149" s="467">
        <v>0.2</v>
      </c>
      <c r="L149" s="467">
        <f t="shared" si="121"/>
        <v>569464.8144</v>
      </c>
      <c r="M149" s="467">
        <f t="shared" si="122"/>
        <v>769464.8144</v>
      </c>
      <c r="N149" s="467">
        <f t="shared" si="123"/>
        <v>774949.3064</v>
      </c>
      <c r="O149" s="467">
        <f t="shared" si="124"/>
        <v>2077859.2576</v>
      </c>
      <c r="P149" s="467">
        <f t="shared" si="125"/>
        <v>21000</v>
      </c>
      <c r="Q149" s="467">
        <f t="shared" si="126"/>
        <v>33000</v>
      </c>
      <c r="R149" s="467">
        <f t="shared" si="127"/>
        <v>75000</v>
      </c>
      <c r="S149" s="467">
        <f t="shared" si="128"/>
        <v>95000</v>
      </c>
      <c r="T149" s="467">
        <f t="shared" si="129"/>
        <v>100350.444096</v>
      </c>
      <c r="U149" s="467"/>
      <c r="V149" s="467">
        <f t="shared" si="135"/>
        <v>324350.444096</v>
      </c>
      <c r="W149" s="474">
        <v>12</v>
      </c>
      <c r="X149" s="467">
        <f t="shared" si="130"/>
        <v>27029.2036746667</v>
      </c>
      <c r="Y149" s="470"/>
      <c r="Z149" s="467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4">
        <v>133</v>
      </c>
      <c r="B150" s="11" t="s">
        <v>444</v>
      </c>
      <c r="C150" s="467">
        <v>209356.04725</v>
      </c>
      <c r="D150" s="466">
        <v>12</v>
      </c>
      <c r="E150" s="467">
        <f t="shared" si="132"/>
        <v>2512272.567</v>
      </c>
      <c r="F150" s="467"/>
      <c r="G150" s="470"/>
      <c r="H150" s="470"/>
      <c r="I150" s="467">
        <f t="shared" si="133"/>
        <v>2512272.567</v>
      </c>
      <c r="J150" s="467">
        <v>200000</v>
      </c>
      <c r="K150" s="467">
        <v>0.2</v>
      </c>
      <c r="L150" s="467">
        <f t="shared" si="121"/>
        <v>502454.5134</v>
      </c>
      <c r="M150" s="467">
        <f t="shared" si="122"/>
        <v>702454.5134</v>
      </c>
      <c r="N150" s="467">
        <f t="shared" si="123"/>
        <v>702454.5134</v>
      </c>
      <c r="O150" s="467">
        <f t="shared" si="124"/>
        <v>1809818.0536</v>
      </c>
      <c r="P150" s="467">
        <f t="shared" si="125"/>
        <v>21000</v>
      </c>
      <c r="Q150" s="467">
        <f t="shared" si="126"/>
        <v>33000</v>
      </c>
      <c r="R150" s="467">
        <f t="shared" si="127"/>
        <v>75000</v>
      </c>
      <c r="S150" s="467">
        <f t="shared" si="128"/>
        <v>95000</v>
      </c>
      <c r="T150" s="467">
        <f t="shared" si="129"/>
        <v>44061.7912559999</v>
      </c>
      <c r="U150" s="467"/>
      <c r="V150" s="467">
        <f t="shared" si="135"/>
        <v>268061.791256</v>
      </c>
      <c r="W150" s="474">
        <v>12</v>
      </c>
      <c r="X150" s="467">
        <f t="shared" si="130"/>
        <v>22338.4826046667</v>
      </c>
      <c r="Y150" s="470"/>
      <c r="Z150" s="467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4">
        <v>134</v>
      </c>
      <c r="B151" s="18" t="s">
        <v>446</v>
      </c>
      <c r="C151" s="467">
        <v>205204.0845</v>
      </c>
      <c r="D151" s="466">
        <v>12</v>
      </c>
      <c r="E151" s="467">
        <f t="shared" si="132"/>
        <v>2462449.014</v>
      </c>
      <c r="F151" s="467"/>
      <c r="G151" s="470"/>
      <c r="H151" s="470"/>
      <c r="I151" s="467">
        <f t="shared" si="133"/>
        <v>2462449.014</v>
      </c>
      <c r="J151" s="467">
        <v>200000</v>
      </c>
      <c r="K151" s="467">
        <v>0.2</v>
      </c>
      <c r="L151" s="467">
        <f t="shared" si="121"/>
        <v>492489.8028</v>
      </c>
      <c r="M151" s="467">
        <f t="shared" si="122"/>
        <v>692489.8028</v>
      </c>
      <c r="N151" s="467">
        <f t="shared" si="123"/>
        <v>692489.8028</v>
      </c>
      <c r="O151" s="467">
        <f t="shared" si="124"/>
        <v>1769959.2112</v>
      </c>
      <c r="P151" s="467">
        <f t="shared" si="125"/>
        <v>21000</v>
      </c>
      <c r="Q151" s="467">
        <f t="shared" si="126"/>
        <v>33000</v>
      </c>
      <c r="R151" s="467">
        <f t="shared" si="127"/>
        <v>75000</v>
      </c>
      <c r="S151" s="467">
        <f t="shared" si="128"/>
        <v>95000</v>
      </c>
      <c r="T151" s="467">
        <f t="shared" si="129"/>
        <v>35691.434352</v>
      </c>
      <c r="U151" s="467"/>
      <c r="V151" s="467">
        <f t="shared" si="135"/>
        <v>259691.434352</v>
      </c>
      <c r="W151" s="474">
        <v>12</v>
      </c>
      <c r="X151" s="467">
        <f t="shared" si="130"/>
        <v>21640.9528626667</v>
      </c>
      <c r="Y151" s="470"/>
      <c r="Z151" s="467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4">
        <v>135</v>
      </c>
      <c r="B152" s="18" t="s">
        <v>448</v>
      </c>
      <c r="C152" s="467">
        <v>176816.1</v>
      </c>
      <c r="D152" s="466">
        <v>12</v>
      </c>
      <c r="E152" s="467">
        <f t="shared" si="132"/>
        <v>2121793.2</v>
      </c>
      <c r="F152" s="467">
        <v>0</v>
      </c>
      <c r="G152" s="470"/>
      <c r="H152" s="470"/>
      <c r="I152" s="467">
        <f t="shared" si="133"/>
        <v>2121793.2</v>
      </c>
      <c r="J152" s="467">
        <v>200000</v>
      </c>
      <c r="K152" s="467">
        <v>0.2</v>
      </c>
      <c r="L152" s="467">
        <f t="shared" si="121"/>
        <v>424358.64</v>
      </c>
      <c r="M152" s="467">
        <f t="shared" si="122"/>
        <v>624358.64</v>
      </c>
      <c r="N152" s="467">
        <f t="shared" si="123"/>
        <v>624358.64</v>
      </c>
      <c r="O152" s="467">
        <f t="shared" si="124"/>
        <v>1497434.56</v>
      </c>
      <c r="P152" s="467">
        <f t="shared" si="125"/>
        <v>21000</v>
      </c>
      <c r="Q152" s="467">
        <f t="shared" si="126"/>
        <v>33000</v>
      </c>
      <c r="R152" s="467">
        <f t="shared" si="127"/>
        <v>75000</v>
      </c>
      <c r="S152" s="467">
        <f t="shared" si="128"/>
        <v>75512.5664</v>
      </c>
      <c r="T152" s="467">
        <f t="shared" si="129"/>
        <v>0</v>
      </c>
      <c r="U152" s="467"/>
      <c r="V152" s="467">
        <f t="shared" si="135"/>
        <v>204512.5664</v>
      </c>
      <c r="W152" s="474">
        <v>12</v>
      </c>
      <c r="X152" s="467">
        <f t="shared" si="130"/>
        <v>17042.7138666667</v>
      </c>
      <c r="Y152" s="470"/>
      <c r="Z152" s="467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4">
        <v>136</v>
      </c>
      <c r="B153" s="18" t="s">
        <v>450</v>
      </c>
      <c r="C153" s="467">
        <v>176816.1</v>
      </c>
      <c r="D153" s="466">
        <v>12</v>
      </c>
      <c r="E153" s="467">
        <f t="shared" si="132"/>
        <v>2121793.2</v>
      </c>
      <c r="F153" s="467">
        <v>0</v>
      </c>
      <c r="G153" s="470"/>
      <c r="H153" s="470"/>
      <c r="I153" s="467">
        <f t="shared" si="133"/>
        <v>2121793.2</v>
      </c>
      <c r="J153" s="467">
        <v>200000</v>
      </c>
      <c r="K153" s="467">
        <v>0.2</v>
      </c>
      <c r="L153" s="467">
        <f t="shared" si="121"/>
        <v>424358.64</v>
      </c>
      <c r="M153" s="467">
        <f t="shared" si="122"/>
        <v>624358.64</v>
      </c>
      <c r="N153" s="467">
        <f t="shared" si="123"/>
        <v>624358.64</v>
      </c>
      <c r="O153" s="467">
        <f t="shared" si="124"/>
        <v>1497434.56</v>
      </c>
      <c r="P153" s="467">
        <f t="shared" si="125"/>
        <v>21000</v>
      </c>
      <c r="Q153" s="467">
        <f t="shared" si="126"/>
        <v>33000</v>
      </c>
      <c r="R153" s="467">
        <f t="shared" si="127"/>
        <v>75000</v>
      </c>
      <c r="S153" s="467">
        <f t="shared" si="128"/>
        <v>75512.5664</v>
      </c>
      <c r="T153" s="467">
        <f t="shared" si="129"/>
        <v>0</v>
      </c>
      <c r="U153" s="467"/>
      <c r="V153" s="467">
        <f t="shared" si="135"/>
        <v>204512.5664</v>
      </c>
      <c r="W153" s="474">
        <v>12</v>
      </c>
      <c r="X153" s="467">
        <f t="shared" si="130"/>
        <v>17042.7138666667</v>
      </c>
      <c r="Y153" s="470"/>
      <c r="Z153" s="467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4">
        <v>137</v>
      </c>
      <c r="B154" s="18" t="s">
        <v>452</v>
      </c>
      <c r="C154" s="467">
        <v>176816.1</v>
      </c>
      <c r="D154" s="466">
        <v>12</v>
      </c>
      <c r="E154" s="467">
        <f t="shared" si="132"/>
        <v>2121793.2</v>
      </c>
      <c r="F154" s="467">
        <v>0</v>
      </c>
      <c r="G154" s="470"/>
      <c r="H154" s="470"/>
      <c r="I154" s="467">
        <f t="shared" si="133"/>
        <v>2121793.2</v>
      </c>
      <c r="J154" s="467">
        <v>200000</v>
      </c>
      <c r="K154" s="467">
        <v>0.2</v>
      </c>
      <c r="L154" s="467">
        <f t="shared" si="121"/>
        <v>424358.64</v>
      </c>
      <c r="M154" s="467">
        <f t="shared" si="122"/>
        <v>624358.64</v>
      </c>
      <c r="N154" s="467">
        <f t="shared" si="123"/>
        <v>624358.64</v>
      </c>
      <c r="O154" s="467">
        <f t="shared" si="124"/>
        <v>1497434.56</v>
      </c>
      <c r="P154" s="467">
        <f t="shared" si="125"/>
        <v>21000</v>
      </c>
      <c r="Q154" s="467">
        <f t="shared" si="126"/>
        <v>33000</v>
      </c>
      <c r="R154" s="467">
        <f t="shared" si="127"/>
        <v>75000</v>
      </c>
      <c r="S154" s="467">
        <f t="shared" si="128"/>
        <v>75512.5664</v>
      </c>
      <c r="T154" s="467">
        <f t="shared" si="129"/>
        <v>0</v>
      </c>
      <c r="U154" s="467"/>
      <c r="V154" s="467">
        <f t="shared" si="135"/>
        <v>204512.5664</v>
      </c>
      <c r="W154" s="474">
        <v>12</v>
      </c>
      <c r="X154" s="467">
        <f t="shared" si="130"/>
        <v>17042.7138666667</v>
      </c>
      <c r="Y154" s="470"/>
      <c r="Z154" s="467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4">
        <v>138</v>
      </c>
      <c r="B155" s="18" t="s">
        <v>454</v>
      </c>
      <c r="C155" s="467">
        <v>180304.068</v>
      </c>
      <c r="D155" s="466">
        <v>12</v>
      </c>
      <c r="E155" s="467">
        <f t="shared" si="132"/>
        <v>2163648.816</v>
      </c>
      <c r="F155" s="467">
        <v>0</v>
      </c>
      <c r="G155" s="470"/>
      <c r="H155" s="470"/>
      <c r="I155" s="467">
        <f t="shared" si="133"/>
        <v>2163648.816</v>
      </c>
      <c r="J155" s="467">
        <v>200000</v>
      </c>
      <c r="K155" s="467">
        <v>0.2</v>
      </c>
      <c r="L155" s="467">
        <f t="shared" si="121"/>
        <v>432729.7632</v>
      </c>
      <c r="M155" s="467">
        <f t="shared" si="122"/>
        <v>632729.7632</v>
      </c>
      <c r="N155" s="467">
        <f t="shared" si="123"/>
        <v>632729.7632</v>
      </c>
      <c r="O155" s="467">
        <f t="shared" si="124"/>
        <v>1530919.0528</v>
      </c>
      <c r="P155" s="467">
        <f t="shared" si="125"/>
        <v>21000</v>
      </c>
      <c r="Q155" s="467">
        <f t="shared" si="126"/>
        <v>33000</v>
      </c>
      <c r="R155" s="467">
        <f t="shared" si="127"/>
        <v>75000</v>
      </c>
      <c r="S155" s="467">
        <f t="shared" si="128"/>
        <v>81874.620032</v>
      </c>
      <c r="T155" s="467">
        <f t="shared" si="129"/>
        <v>0</v>
      </c>
      <c r="U155" s="467"/>
      <c r="V155" s="467">
        <f t="shared" si="135"/>
        <v>210874.620032</v>
      </c>
      <c r="W155" s="474">
        <v>12</v>
      </c>
      <c r="X155" s="467">
        <f t="shared" si="130"/>
        <v>17572.8850026667</v>
      </c>
      <c r="Y155" s="470"/>
      <c r="Z155" s="467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4">
        <v>139</v>
      </c>
      <c r="B156" s="18" t="s">
        <v>456</v>
      </c>
      <c r="C156" s="467">
        <v>176816.1</v>
      </c>
      <c r="D156" s="466">
        <v>12</v>
      </c>
      <c r="E156" s="467">
        <f t="shared" si="132"/>
        <v>2121793.2</v>
      </c>
      <c r="F156" s="467">
        <v>0</v>
      </c>
      <c r="G156" s="470"/>
      <c r="H156" s="470"/>
      <c r="I156" s="467">
        <f t="shared" si="133"/>
        <v>2121793.2</v>
      </c>
      <c r="J156" s="467">
        <v>200000</v>
      </c>
      <c r="K156" s="467">
        <v>0.2</v>
      </c>
      <c r="L156" s="467">
        <f t="shared" si="121"/>
        <v>424358.64</v>
      </c>
      <c r="M156" s="467">
        <f t="shared" si="122"/>
        <v>624358.64</v>
      </c>
      <c r="N156" s="467">
        <f t="shared" si="123"/>
        <v>624358.64</v>
      </c>
      <c r="O156" s="467">
        <f t="shared" si="124"/>
        <v>1497434.56</v>
      </c>
      <c r="P156" s="467">
        <f t="shared" si="125"/>
        <v>21000</v>
      </c>
      <c r="Q156" s="467">
        <f t="shared" si="126"/>
        <v>33000</v>
      </c>
      <c r="R156" s="467">
        <f t="shared" si="127"/>
        <v>75000</v>
      </c>
      <c r="S156" s="467">
        <f t="shared" si="128"/>
        <v>75512.5664</v>
      </c>
      <c r="T156" s="467">
        <f t="shared" si="129"/>
        <v>0</v>
      </c>
      <c r="U156" s="467"/>
      <c r="V156" s="467">
        <f t="shared" si="135"/>
        <v>204512.5664</v>
      </c>
      <c r="W156" s="474">
        <v>12</v>
      </c>
      <c r="X156" s="467">
        <f t="shared" si="130"/>
        <v>17042.7138666667</v>
      </c>
      <c r="Y156" s="470"/>
      <c r="Z156" s="467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4">
        <v>140</v>
      </c>
      <c r="B157" s="11" t="s">
        <v>457</v>
      </c>
      <c r="C157" s="467">
        <v>135590.73</v>
      </c>
      <c r="D157" s="466">
        <v>12</v>
      </c>
      <c r="E157" s="467">
        <f t="shared" si="132"/>
        <v>1627088.76</v>
      </c>
      <c r="F157" s="467">
        <f>263.19*12</f>
        <v>3158.28</v>
      </c>
      <c r="G157" s="470"/>
      <c r="H157" s="470"/>
      <c r="I157" s="467">
        <f t="shared" si="133"/>
        <v>1623930.48</v>
      </c>
      <c r="J157" s="467">
        <v>200000</v>
      </c>
      <c r="K157" s="467">
        <v>0.2</v>
      </c>
      <c r="L157" s="467">
        <f t="shared" si="121"/>
        <v>324786.096</v>
      </c>
      <c r="M157" s="467">
        <f t="shared" si="122"/>
        <v>524786.096</v>
      </c>
      <c r="N157" s="467">
        <f t="shared" si="123"/>
        <v>527944.376</v>
      </c>
      <c r="O157" s="467">
        <f t="shared" si="124"/>
        <v>1099144.384</v>
      </c>
      <c r="P157" s="467">
        <f t="shared" si="125"/>
        <v>21000</v>
      </c>
      <c r="Q157" s="467">
        <f t="shared" si="126"/>
        <v>33000</v>
      </c>
      <c r="R157" s="467">
        <f t="shared" si="127"/>
        <v>74871.6576</v>
      </c>
      <c r="S157" s="467">
        <f t="shared" si="128"/>
        <v>0</v>
      </c>
      <c r="T157" s="467">
        <f t="shared" si="129"/>
        <v>0</v>
      </c>
      <c r="U157" s="467"/>
      <c r="V157" s="467">
        <f t="shared" si="135"/>
        <v>128871.6576</v>
      </c>
      <c r="W157" s="474">
        <v>12</v>
      </c>
      <c r="X157" s="467">
        <f t="shared" si="130"/>
        <v>10739.3048</v>
      </c>
      <c r="Y157" s="470"/>
      <c r="Z157" s="467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4">
        <v>141</v>
      </c>
      <c r="B158" s="11" t="s">
        <v>460</v>
      </c>
      <c r="C158" s="467">
        <v>138590.73</v>
      </c>
      <c r="D158" s="466">
        <v>12</v>
      </c>
      <c r="E158" s="467">
        <f t="shared" si="132"/>
        <v>1663088.76</v>
      </c>
      <c r="F158" s="467"/>
      <c r="G158" s="470"/>
      <c r="H158" s="470"/>
      <c r="I158" s="467">
        <f t="shared" si="133"/>
        <v>1663088.76</v>
      </c>
      <c r="J158" s="467">
        <v>200000</v>
      </c>
      <c r="K158" s="467">
        <v>0.2</v>
      </c>
      <c r="L158" s="467">
        <f t="shared" si="121"/>
        <v>332617.752</v>
      </c>
      <c r="M158" s="467">
        <f t="shared" si="122"/>
        <v>532617.752</v>
      </c>
      <c r="N158" s="467">
        <f t="shared" si="123"/>
        <v>532617.752</v>
      </c>
      <c r="O158" s="467">
        <f t="shared" si="124"/>
        <v>1130471.008</v>
      </c>
      <c r="P158" s="467">
        <f t="shared" si="125"/>
        <v>21000</v>
      </c>
      <c r="Q158" s="467">
        <f t="shared" si="126"/>
        <v>33000</v>
      </c>
      <c r="R158" s="467">
        <f t="shared" si="127"/>
        <v>75000</v>
      </c>
      <c r="S158" s="467">
        <f t="shared" si="128"/>
        <v>5789.49152000003</v>
      </c>
      <c r="T158" s="467">
        <f t="shared" si="129"/>
        <v>0</v>
      </c>
      <c r="U158" s="467"/>
      <c r="V158" s="467">
        <f t="shared" si="135"/>
        <v>134789.49152</v>
      </c>
      <c r="W158" s="474">
        <v>12</v>
      </c>
      <c r="X158" s="467">
        <f t="shared" si="130"/>
        <v>11232.4576266667</v>
      </c>
      <c r="Y158" s="470"/>
      <c r="Z158" s="467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4">
        <v>142</v>
      </c>
      <c r="B159" s="11" t="s">
        <v>461</v>
      </c>
      <c r="C159" s="467">
        <v>135590.73</v>
      </c>
      <c r="D159" s="466">
        <v>12</v>
      </c>
      <c r="E159" s="467">
        <f t="shared" si="132"/>
        <v>1627088.76</v>
      </c>
      <c r="F159" s="467"/>
      <c r="G159" s="470"/>
      <c r="H159" s="470"/>
      <c r="I159" s="467">
        <f t="shared" si="133"/>
        <v>1627088.76</v>
      </c>
      <c r="J159" s="467">
        <v>200000</v>
      </c>
      <c r="K159" s="467">
        <v>0.2</v>
      </c>
      <c r="L159" s="467">
        <f t="shared" si="121"/>
        <v>325417.752</v>
      </c>
      <c r="M159" s="467">
        <f t="shared" si="122"/>
        <v>525417.752</v>
      </c>
      <c r="N159" s="467">
        <f t="shared" si="123"/>
        <v>525417.752</v>
      </c>
      <c r="O159" s="467">
        <f t="shared" si="124"/>
        <v>1101671.008</v>
      </c>
      <c r="P159" s="467">
        <f t="shared" si="125"/>
        <v>21000</v>
      </c>
      <c r="Q159" s="467">
        <f t="shared" si="126"/>
        <v>33000</v>
      </c>
      <c r="R159" s="467">
        <f t="shared" si="127"/>
        <v>75000</v>
      </c>
      <c r="S159" s="467">
        <f t="shared" si="128"/>
        <v>317.491520000028</v>
      </c>
      <c r="T159" s="467">
        <f t="shared" si="129"/>
        <v>0</v>
      </c>
      <c r="U159" s="467"/>
      <c r="V159" s="467">
        <f t="shared" si="135"/>
        <v>129317.49152</v>
      </c>
      <c r="W159" s="474">
        <v>12</v>
      </c>
      <c r="X159" s="467">
        <f t="shared" si="130"/>
        <v>10776.4576266667</v>
      </c>
      <c r="Y159" s="470"/>
      <c r="Z159" s="467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48">
        <v>143</v>
      </c>
      <c r="B160" s="11" t="s">
        <v>462</v>
      </c>
      <c r="C160" s="467">
        <v>135590.73</v>
      </c>
      <c r="D160" s="466">
        <v>12</v>
      </c>
      <c r="E160" s="467">
        <f t="shared" si="132"/>
        <v>1627088.76</v>
      </c>
      <c r="F160" s="467">
        <f>263.19*12</f>
        <v>3158.28</v>
      </c>
      <c r="G160" s="470"/>
      <c r="H160" s="470"/>
      <c r="I160" s="467">
        <f t="shared" si="133"/>
        <v>1623930.48</v>
      </c>
      <c r="J160" s="467">
        <v>200000</v>
      </c>
      <c r="K160" s="467">
        <v>0.2</v>
      </c>
      <c r="L160" s="467">
        <f t="shared" si="121"/>
        <v>324786.096</v>
      </c>
      <c r="M160" s="467">
        <f t="shared" si="122"/>
        <v>524786.096</v>
      </c>
      <c r="N160" s="467">
        <f t="shared" si="123"/>
        <v>527944.376</v>
      </c>
      <c r="O160" s="467">
        <f t="shared" si="124"/>
        <v>1099144.384</v>
      </c>
      <c r="P160" s="467">
        <f t="shared" si="125"/>
        <v>21000</v>
      </c>
      <c r="Q160" s="467">
        <f t="shared" si="126"/>
        <v>33000</v>
      </c>
      <c r="R160" s="467">
        <f t="shared" si="127"/>
        <v>74871.6576</v>
      </c>
      <c r="S160" s="467">
        <f t="shared" si="128"/>
        <v>0</v>
      </c>
      <c r="T160" s="467">
        <f t="shared" si="129"/>
        <v>0</v>
      </c>
      <c r="U160" s="467"/>
      <c r="V160" s="467">
        <f t="shared" si="135"/>
        <v>128871.6576</v>
      </c>
      <c r="W160" s="474">
        <v>12</v>
      </c>
      <c r="X160" s="467">
        <f t="shared" si="130"/>
        <v>10739.3048</v>
      </c>
      <c r="Y160" s="470"/>
      <c r="Z160" s="467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48">
        <v>144</v>
      </c>
      <c r="B161" s="11" t="s">
        <v>463</v>
      </c>
      <c r="C161" s="467">
        <v>135590.73</v>
      </c>
      <c r="D161" s="466">
        <v>12</v>
      </c>
      <c r="E161" s="467">
        <f t="shared" si="132"/>
        <v>1627088.76</v>
      </c>
      <c r="F161" s="467"/>
      <c r="G161" s="470"/>
      <c r="H161" s="470"/>
      <c r="I161" s="467">
        <f t="shared" si="133"/>
        <v>1627088.76</v>
      </c>
      <c r="J161" s="467">
        <v>200000</v>
      </c>
      <c r="K161" s="467">
        <v>0.2</v>
      </c>
      <c r="L161" s="467">
        <f t="shared" si="121"/>
        <v>325417.752</v>
      </c>
      <c r="M161" s="467">
        <f t="shared" si="122"/>
        <v>525417.752</v>
      </c>
      <c r="N161" s="467">
        <f t="shared" si="123"/>
        <v>525417.752</v>
      </c>
      <c r="O161" s="467">
        <f t="shared" si="124"/>
        <v>1101671.008</v>
      </c>
      <c r="P161" s="467">
        <f t="shared" si="125"/>
        <v>21000</v>
      </c>
      <c r="Q161" s="467">
        <f t="shared" si="126"/>
        <v>33000</v>
      </c>
      <c r="R161" s="467">
        <f t="shared" si="127"/>
        <v>75000</v>
      </c>
      <c r="S161" s="467">
        <f t="shared" si="128"/>
        <v>317.491520000028</v>
      </c>
      <c r="T161" s="467">
        <f t="shared" si="129"/>
        <v>0</v>
      </c>
      <c r="U161" s="467"/>
      <c r="V161" s="467">
        <f t="shared" si="135"/>
        <v>129317.49152</v>
      </c>
      <c r="W161" s="474">
        <v>12</v>
      </c>
      <c r="X161" s="467">
        <f t="shared" si="130"/>
        <v>10776.4576266667</v>
      </c>
      <c r="Y161" s="470"/>
      <c r="Z161" s="467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48">
        <v>145</v>
      </c>
      <c r="B162" s="11" t="s">
        <v>464</v>
      </c>
      <c r="C162" s="467">
        <v>138590.73</v>
      </c>
      <c r="D162" s="466">
        <v>12</v>
      </c>
      <c r="E162" s="467">
        <f t="shared" si="132"/>
        <v>1663088.76</v>
      </c>
      <c r="F162" s="467"/>
      <c r="G162" s="470"/>
      <c r="H162" s="470"/>
      <c r="I162" s="467">
        <f t="shared" si="133"/>
        <v>1663088.76</v>
      </c>
      <c r="J162" s="467">
        <v>200000</v>
      </c>
      <c r="K162" s="467">
        <v>0.2</v>
      </c>
      <c r="L162" s="467">
        <f t="shared" si="121"/>
        <v>332617.752</v>
      </c>
      <c r="M162" s="467">
        <f t="shared" si="122"/>
        <v>532617.752</v>
      </c>
      <c r="N162" s="467">
        <f t="shared" si="123"/>
        <v>532617.752</v>
      </c>
      <c r="O162" s="467">
        <f t="shared" si="124"/>
        <v>1130471.008</v>
      </c>
      <c r="P162" s="467">
        <f t="shared" si="125"/>
        <v>21000</v>
      </c>
      <c r="Q162" s="467">
        <f t="shared" si="126"/>
        <v>33000</v>
      </c>
      <c r="R162" s="467">
        <f t="shared" si="127"/>
        <v>75000</v>
      </c>
      <c r="S162" s="467">
        <f t="shared" si="128"/>
        <v>5789.49152000003</v>
      </c>
      <c r="T162" s="467">
        <f t="shared" si="129"/>
        <v>0</v>
      </c>
      <c r="U162" s="467"/>
      <c r="V162" s="467">
        <f t="shared" si="135"/>
        <v>134789.49152</v>
      </c>
      <c r="W162" s="474">
        <v>12</v>
      </c>
      <c r="X162" s="467">
        <f t="shared" si="130"/>
        <v>11232.4576266667</v>
      </c>
      <c r="Y162" s="470"/>
      <c r="Z162" s="467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4">
        <v>146</v>
      </c>
      <c r="B163" s="11" t="s">
        <v>466</v>
      </c>
      <c r="C163" s="467">
        <v>135590.73</v>
      </c>
      <c r="D163" s="466">
        <v>12</v>
      </c>
      <c r="E163" s="467">
        <f t="shared" si="132"/>
        <v>1627088.76</v>
      </c>
      <c r="F163" s="467"/>
      <c r="G163" s="470"/>
      <c r="H163" s="470"/>
      <c r="I163" s="467">
        <f t="shared" si="133"/>
        <v>1627088.76</v>
      </c>
      <c r="J163" s="467">
        <v>200000</v>
      </c>
      <c r="K163" s="467">
        <v>0.2</v>
      </c>
      <c r="L163" s="467">
        <f t="shared" si="121"/>
        <v>325417.752</v>
      </c>
      <c r="M163" s="467">
        <f t="shared" si="122"/>
        <v>525417.752</v>
      </c>
      <c r="N163" s="467">
        <f t="shared" si="123"/>
        <v>525417.752</v>
      </c>
      <c r="O163" s="467">
        <f t="shared" si="124"/>
        <v>1101671.008</v>
      </c>
      <c r="P163" s="467">
        <f t="shared" si="125"/>
        <v>21000</v>
      </c>
      <c r="Q163" s="467">
        <f t="shared" si="126"/>
        <v>33000</v>
      </c>
      <c r="R163" s="467">
        <f t="shared" si="127"/>
        <v>75000</v>
      </c>
      <c r="S163" s="467">
        <f t="shared" si="128"/>
        <v>317.491520000028</v>
      </c>
      <c r="T163" s="467">
        <f t="shared" si="129"/>
        <v>0</v>
      </c>
      <c r="U163" s="467"/>
      <c r="V163" s="467">
        <f t="shared" si="135"/>
        <v>129317.49152</v>
      </c>
      <c r="W163" s="474">
        <v>12</v>
      </c>
      <c r="X163" s="467">
        <f t="shared" si="130"/>
        <v>10776.4576266667</v>
      </c>
      <c r="Y163" s="470"/>
      <c r="Z163" s="467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4">
        <v>147</v>
      </c>
      <c r="B164" s="14" t="s">
        <v>467</v>
      </c>
      <c r="C164" s="467">
        <v>138590.73</v>
      </c>
      <c r="D164" s="466">
        <v>12</v>
      </c>
      <c r="E164" s="467">
        <f t="shared" si="132"/>
        <v>1663088.76</v>
      </c>
      <c r="F164" s="467"/>
      <c r="G164" s="470"/>
      <c r="H164" s="470"/>
      <c r="I164" s="467">
        <f t="shared" si="133"/>
        <v>1663088.76</v>
      </c>
      <c r="J164" s="467">
        <v>200000</v>
      </c>
      <c r="K164" s="467">
        <v>0.2</v>
      </c>
      <c r="L164" s="467">
        <f t="shared" si="121"/>
        <v>332617.752</v>
      </c>
      <c r="M164" s="467">
        <f t="shared" si="122"/>
        <v>532617.752</v>
      </c>
      <c r="N164" s="467">
        <f t="shared" si="123"/>
        <v>532617.752</v>
      </c>
      <c r="O164" s="467">
        <f t="shared" si="124"/>
        <v>1130471.008</v>
      </c>
      <c r="P164" s="467">
        <f t="shared" si="125"/>
        <v>21000</v>
      </c>
      <c r="Q164" s="467">
        <f t="shared" si="126"/>
        <v>33000</v>
      </c>
      <c r="R164" s="467">
        <f t="shared" si="127"/>
        <v>75000</v>
      </c>
      <c r="S164" s="467">
        <f t="shared" si="128"/>
        <v>5789.49152000003</v>
      </c>
      <c r="T164" s="467">
        <f t="shared" si="129"/>
        <v>0</v>
      </c>
      <c r="U164" s="467"/>
      <c r="V164" s="467">
        <f t="shared" si="135"/>
        <v>134789.49152</v>
      </c>
      <c r="W164" s="474">
        <v>12</v>
      </c>
      <c r="X164" s="467">
        <f t="shared" si="130"/>
        <v>11232.4576266667</v>
      </c>
      <c r="Y164" s="470"/>
      <c r="Z164" s="467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4">
        <v>148</v>
      </c>
      <c r="B165" s="11" t="s">
        <v>468</v>
      </c>
      <c r="C165" s="467">
        <v>135590.73</v>
      </c>
      <c r="D165" s="466">
        <v>12</v>
      </c>
      <c r="E165" s="467">
        <f t="shared" si="132"/>
        <v>1627088.76</v>
      </c>
      <c r="F165" s="467"/>
      <c r="G165" s="470"/>
      <c r="H165" s="470"/>
      <c r="I165" s="467">
        <f t="shared" si="133"/>
        <v>1627088.76</v>
      </c>
      <c r="J165" s="467">
        <v>200000</v>
      </c>
      <c r="K165" s="467">
        <v>0.2</v>
      </c>
      <c r="L165" s="467">
        <f t="shared" si="121"/>
        <v>325417.752</v>
      </c>
      <c r="M165" s="467">
        <f t="shared" si="122"/>
        <v>525417.752</v>
      </c>
      <c r="N165" s="467">
        <f t="shared" si="123"/>
        <v>525417.752</v>
      </c>
      <c r="O165" s="467">
        <f t="shared" si="124"/>
        <v>1101671.008</v>
      </c>
      <c r="P165" s="467">
        <f t="shared" si="125"/>
        <v>21000</v>
      </c>
      <c r="Q165" s="467">
        <f t="shared" si="126"/>
        <v>33000</v>
      </c>
      <c r="R165" s="467">
        <f t="shared" si="127"/>
        <v>75000</v>
      </c>
      <c r="S165" s="467">
        <f t="shared" si="128"/>
        <v>317.491520000028</v>
      </c>
      <c r="T165" s="467">
        <f t="shared" si="129"/>
        <v>0</v>
      </c>
      <c r="U165" s="467"/>
      <c r="V165" s="467">
        <f t="shared" si="135"/>
        <v>129317.49152</v>
      </c>
      <c r="W165" s="474">
        <v>12</v>
      </c>
      <c r="X165" s="467">
        <f t="shared" si="130"/>
        <v>10776.4576266667</v>
      </c>
      <c r="Y165" s="470"/>
      <c r="Z165" s="467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4">
        <v>149</v>
      </c>
      <c r="B166" s="18" t="s">
        <v>469</v>
      </c>
      <c r="C166" s="467">
        <v>135590.73</v>
      </c>
      <c r="D166" s="466">
        <v>12</v>
      </c>
      <c r="E166" s="467">
        <f t="shared" si="132"/>
        <v>1627088.76</v>
      </c>
      <c r="F166" s="467"/>
      <c r="G166" s="470"/>
      <c r="H166" s="470"/>
      <c r="I166" s="467">
        <f t="shared" si="133"/>
        <v>1627088.76</v>
      </c>
      <c r="J166" s="467">
        <v>200000</v>
      </c>
      <c r="K166" s="467">
        <v>0.2</v>
      </c>
      <c r="L166" s="467">
        <f t="shared" si="121"/>
        <v>325417.752</v>
      </c>
      <c r="M166" s="467">
        <f t="shared" si="122"/>
        <v>525417.752</v>
      </c>
      <c r="N166" s="467">
        <f t="shared" si="123"/>
        <v>525417.752</v>
      </c>
      <c r="O166" s="467">
        <f t="shared" si="124"/>
        <v>1101671.008</v>
      </c>
      <c r="P166" s="467">
        <f t="shared" si="125"/>
        <v>21000</v>
      </c>
      <c r="Q166" s="467">
        <f t="shared" si="126"/>
        <v>33000</v>
      </c>
      <c r="R166" s="467">
        <f t="shared" si="127"/>
        <v>75000</v>
      </c>
      <c r="S166" s="467">
        <f t="shared" si="128"/>
        <v>317.491520000028</v>
      </c>
      <c r="T166" s="467">
        <f t="shared" si="129"/>
        <v>0</v>
      </c>
      <c r="U166" s="467"/>
      <c r="V166" s="467">
        <f t="shared" si="135"/>
        <v>129317.49152</v>
      </c>
      <c r="W166" s="474">
        <v>12</v>
      </c>
      <c r="X166" s="467">
        <f t="shared" si="130"/>
        <v>10776.4576266667</v>
      </c>
      <c r="Y166" s="470"/>
      <c r="Z166" s="467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4">
        <v>150</v>
      </c>
      <c r="B167" s="18" t="s">
        <v>470</v>
      </c>
      <c r="C167" s="467">
        <v>138590.73</v>
      </c>
      <c r="D167" s="466">
        <v>12</v>
      </c>
      <c r="E167" s="467">
        <f t="shared" si="132"/>
        <v>1663088.76</v>
      </c>
      <c r="F167" s="467"/>
      <c r="G167" s="470"/>
      <c r="H167" s="470"/>
      <c r="I167" s="467">
        <f t="shared" si="133"/>
        <v>1663088.76</v>
      </c>
      <c r="J167" s="467">
        <v>200000</v>
      </c>
      <c r="K167" s="467">
        <v>0.2</v>
      </c>
      <c r="L167" s="467">
        <f t="shared" si="121"/>
        <v>332617.752</v>
      </c>
      <c r="M167" s="467">
        <f t="shared" si="122"/>
        <v>532617.752</v>
      </c>
      <c r="N167" s="467">
        <f t="shared" si="123"/>
        <v>532617.752</v>
      </c>
      <c r="O167" s="467">
        <f t="shared" si="124"/>
        <v>1130471.008</v>
      </c>
      <c r="P167" s="467">
        <f t="shared" si="125"/>
        <v>21000</v>
      </c>
      <c r="Q167" s="467">
        <f t="shared" si="126"/>
        <v>33000</v>
      </c>
      <c r="R167" s="467">
        <f t="shared" si="127"/>
        <v>75000</v>
      </c>
      <c r="S167" s="467">
        <f t="shared" si="128"/>
        <v>5789.49152000003</v>
      </c>
      <c r="T167" s="467">
        <f t="shared" si="129"/>
        <v>0</v>
      </c>
      <c r="U167" s="467"/>
      <c r="V167" s="467">
        <f t="shared" si="135"/>
        <v>134789.49152</v>
      </c>
      <c r="W167" s="474">
        <v>12</v>
      </c>
      <c r="X167" s="467">
        <f t="shared" si="130"/>
        <v>11232.4576266667</v>
      </c>
      <c r="Y167" s="470"/>
      <c r="Z167" s="467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4">
        <v>151</v>
      </c>
      <c r="B168" s="11" t="s">
        <v>471</v>
      </c>
      <c r="C168" s="467">
        <v>122104.99825</v>
      </c>
      <c r="D168" s="466">
        <v>12</v>
      </c>
      <c r="E168" s="467">
        <f t="shared" si="132"/>
        <v>1465259.979</v>
      </c>
      <c r="F168" s="467"/>
      <c r="G168" s="470"/>
      <c r="H168" s="470"/>
      <c r="I168" s="467">
        <f t="shared" si="133"/>
        <v>1465259.979</v>
      </c>
      <c r="J168" s="467">
        <v>200000</v>
      </c>
      <c r="K168" s="467">
        <v>0.2</v>
      </c>
      <c r="L168" s="467">
        <f t="shared" si="121"/>
        <v>293051.9958</v>
      </c>
      <c r="M168" s="467">
        <f t="shared" si="122"/>
        <v>493051.9958</v>
      </c>
      <c r="N168" s="467">
        <f t="shared" si="123"/>
        <v>493051.9958</v>
      </c>
      <c r="O168" s="467">
        <f t="shared" si="124"/>
        <v>972207.9832</v>
      </c>
      <c r="P168" s="467">
        <f t="shared" si="125"/>
        <v>21000</v>
      </c>
      <c r="Q168" s="467">
        <f t="shared" si="126"/>
        <v>33000</v>
      </c>
      <c r="R168" s="467">
        <f t="shared" si="127"/>
        <v>55831.19748</v>
      </c>
      <c r="S168" s="467">
        <f t="shared" si="128"/>
        <v>0</v>
      </c>
      <c r="T168" s="467">
        <f t="shared" si="129"/>
        <v>0</v>
      </c>
      <c r="U168" s="467"/>
      <c r="V168" s="467">
        <f t="shared" si="135"/>
        <v>109831.19748</v>
      </c>
      <c r="W168" s="474">
        <v>12</v>
      </c>
      <c r="X168" s="467">
        <f t="shared" si="130"/>
        <v>9152.59979</v>
      </c>
      <c r="Y168" s="470"/>
      <c r="Z168" s="467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4">
        <v>152</v>
      </c>
      <c r="B169" s="11" t="s">
        <v>474</v>
      </c>
      <c r="C169" s="467">
        <v>122104.99825</v>
      </c>
      <c r="D169" s="466">
        <v>12</v>
      </c>
      <c r="E169" s="467">
        <f t="shared" si="132"/>
        <v>1465259.979</v>
      </c>
      <c r="F169" s="467"/>
      <c r="G169" s="470"/>
      <c r="H169" s="470"/>
      <c r="I169" s="467">
        <f t="shared" si="133"/>
        <v>1465259.979</v>
      </c>
      <c r="J169" s="467">
        <v>200000</v>
      </c>
      <c r="K169" s="467">
        <v>0.2</v>
      </c>
      <c r="L169" s="467">
        <f t="shared" si="121"/>
        <v>293051.9958</v>
      </c>
      <c r="M169" s="467">
        <f t="shared" si="122"/>
        <v>493051.9958</v>
      </c>
      <c r="N169" s="467">
        <f t="shared" si="123"/>
        <v>493051.9958</v>
      </c>
      <c r="O169" s="467">
        <f t="shared" si="124"/>
        <v>972207.9832</v>
      </c>
      <c r="P169" s="467">
        <f t="shared" si="125"/>
        <v>21000</v>
      </c>
      <c r="Q169" s="467">
        <f t="shared" si="126"/>
        <v>33000</v>
      </c>
      <c r="R169" s="467">
        <f t="shared" si="127"/>
        <v>55831.19748</v>
      </c>
      <c r="S169" s="467">
        <f t="shared" si="128"/>
        <v>0</v>
      </c>
      <c r="T169" s="467">
        <f t="shared" si="129"/>
        <v>0</v>
      </c>
      <c r="U169" s="467"/>
      <c r="V169" s="467">
        <f t="shared" si="135"/>
        <v>109831.19748</v>
      </c>
      <c r="W169" s="474">
        <v>12</v>
      </c>
      <c r="X169" s="467">
        <f t="shared" si="130"/>
        <v>9152.59979</v>
      </c>
      <c r="Y169" s="470"/>
      <c r="Z169" s="467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4">
        <v>153</v>
      </c>
      <c r="B170" s="18" t="s">
        <v>475</v>
      </c>
      <c r="C170" s="467">
        <v>125035.0345</v>
      </c>
      <c r="D170" s="466">
        <v>12</v>
      </c>
      <c r="E170" s="467">
        <f t="shared" si="132"/>
        <v>1500420.414</v>
      </c>
      <c r="F170" s="467"/>
      <c r="G170" s="470"/>
      <c r="H170" s="470"/>
      <c r="I170" s="467">
        <f t="shared" si="133"/>
        <v>1500420.414</v>
      </c>
      <c r="J170" s="467">
        <v>200000</v>
      </c>
      <c r="K170" s="467">
        <v>0.2</v>
      </c>
      <c r="L170" s="467">
        <f t="shared" si="121"/>
        <v>300084.0828</v>
      </c>
      <c r="M170" s="467">
        <f t="shared" si="122"/>
        <v>500084.0828</v>
      </c>
      <c r="N170" s="467">
        <f t="shared" si="123"/>
        <v>500084.0828</v>
      </c>
      <c r="O170" s="467">
        <f t="shared" si="124"/>
        <v>1000336.3312</v>
      </c>
      <c r="P170" s="467">
        <f t="shared" si="125"/>
        <v>21000</v>
      </c>
      <c r="Q170" s="467">
        <f t="shared" si="126"/>
        <v>33000</v>
      </c>
      <c r="R170" s="467">
        <f t="shared" si="127"/>
        <v>60050.44968</v>
      </c>
      <c r="S170" s="467">
        <f t="shared" si="128"/>
        <v>0</v>
      </c>
      <c r="T170" s="467">
        <f t="shared" si="129"/>
        <v>0</v>
      </c>
      <c r="U170" s="467"/>
      <c r="V170" s="467">
        <f t="shared" si="135"/>
        <v>114050.44968</v>
      </c>
      <c r="W170" s="474">
        <v>12</v>
      </c>
      <c r="X170" s="467">
        <f t="shared" si="130"/>
        <v>9504.20414</v>
      </c>
      <c r="Y170" s="470"/>
      <c r="Z170" s="467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4">
        <v>154</v>
      </c>
      <c r="B171" s="11" t="s">
        <v>477</v>
      </c>
      <c r="C171" s="467">
        <v>81803.001</v>
      </c>
      <c r="D171" s="466">
        <v>12</v>
      </c>
      <c r="E171" s="467">
        <f t="shared" si="132"/>
        <v>981636.012</v>
      </c>
      <c r="F171" s="467"/>
      <c r="G171" s="470"/>
      <c r="H171" s="470"/>
      <c r="I171" s="467">
        <f t="shared" si="133"/>
        <v>981636.012</v>
      </c>
      <c r="J171" s="467">
        <v>200000</v>
      </c>
      <c r="K171" s="467">
        <v>0.2</v>
      </c>
      <c r="L171" s="467">
        <f t="shared" si="121"/>
        <v>196327.2024</v>
      </c>
      <c r="M171" s="467">
        <f t="shared" si="122"/>
        <v>396327.2024</v>
      </c>
      <c r="N171" s="467">
        <f t="shared" si="123"/>
        <v>396327.2024</v>
      </c>
      <c r="O171" s="467">
        <f t="shared" si="124"/>
        <v>585308.8096</v>
      </c>
      <c r="P171" s="467">
        <f t="shared" si="125"/>
        <v>21000</v>
      </c>
      <c r="Q171" s="467">
        <f t="shared" si="126"/>
        <v>31383.969056</v>
      </c>
      <c r="R171" s="467">
        <f t="shared" si="127"/>
        <v>0</v>
      </c>
      <c r="S171" s="467">
        <f t="shared" si="128"/>
        <v>0</v>
      </c>
      <c r="T171" s="467">
        <f t="shared" si="129"/>
        <v>0</v>
      </c>
      <c r="U171" s="467"/>
      <c r="V171" s="467">
        <f t="shared" si="135"/>
        <v>52383.969056</v>
      </c>
      <c r="W171" s="474">
        <v>12</v>
      </c>
      <c r="X171" s="467">
        <f t="shared" si="130"/>
        <v>4365.33075466667</v>
      </c>
      <c r="Y171" s="470"/>
      <c r="Z171" s="467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4">
        <v>155</v>
      </c>
      <c r="B172" s="11" t="s">
        <v>480</v>
      </c>
      <c r="C172" s="467">
        <v>80237.012</v>
      </c>
      <c r="D172" s="466">
        <v>12</v>
      </c>
      <c r="E172" s="467">
        <f t="shared" si="132"/>
        <v>962844.144</v>
      </c>
      <c r="F172" s="467"/>
      <c r="G172" s="470"/>
      <c r="H172" s="470"/>
      <c r="I172" s="467">
        <f t="shared" si="133"/>
        <v>962844.144</v>
      </c>
      <c r="J172" s="467">
        <v>200000</v>
      </c>
      <c r="K172" s="467">
        <v>0.2</v>
      </c>
      <c r="L172" s="467">
        <f t="shared" si="121"/>
        <v>192568.8288</v>
      </c>
      <c r="M172" s="467">
        <f t="shared" si="122"/>
        <v>392568.8288</v>
      </c>
      <c r="N172" s="467">
        <f t="shared" si="123"/>
        <v>392568.8288</v>
      </c>
      <c r="O172" s="467">
        <f t="shared" si="124"/>
        <v>570275.3152</v>
      </c>
      <c r="P172" s="467">
        <f t="shared" si="125"/>
        <v>21000</v>
      </c>
      <c r="Q172" s="467">
        <f t="shared" si="126"/>
        <v>29730.284672</v>
      </c>
      <c r="R172" s="467">
        <f t="shared" si="127"/>
        <v>0</v>
      </c>
      <c r="S172" s="467">
        <f t="shared" si="128"/>
        <v>0</v>
      </c>
      <c r="T172" s="467">
        <f t="shared" si="129"/>
        <v>0</v>
      </c>
      <c r="U172" s="467"/>
      <c r="V172" s="467">
        <f t="shared" si="135"/>
        <v>50730.284672</v>
      </c>
      <c r="W172" s="474">
        <v>12</v>
      </c>
      <c r="X172" s="467">
        <f t="shared" si="130"/>
        <v>4227.52372266667</v>
      </c>
      <c r="Y172" s="470"/>
      <c r="Z172" s="467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48">
        <v>156</v>
      </c>
      <c r="B173" s="11" t="s">
        <v>483</v>
      </c>
      <c r="C173" s="467">
        <v>77237.012</v>
      </c>
      <c r="D173" s="466">
        <v>12</v>
      </c>
      <c r="E173" s="467">
        <f t="shared" si="132"/>
        <v>926844.144</v>
      </c>
      <c r="F173" s="467"/>
      <c r="G173" s="470"/>
      <c r="H173" s="470"/>
      <c r="I173" s="467">
        <f t="shared" si="133"/>
        <v>926844.144</v>
      </c>
      <c r="J173" s="467">
        <v>200000</v>
      </c>
      <c r="K173" s="467">
        <v>0.2</v>
      </c>
      <c r="L173" s="467">
        <f t="shared" si="121"/>
        <v>185368.8288</v>
      </c>
      <c r="M173" s="467">
        <f t="shared" si="122"/>
        <v>385368.8288</v>
      </c>
      <c r="N173" s="467">
        <f t="shared" si="123"/>
        <v>385368.8288</v>
      </c>
      <c r="O173" s="467">
        <f t="shared" si="124"/>
        <v>541475.3152</v>
      </c>
      <c r="P173" s="467">
        <f t="shared" si="125"/>
        <v>21000</v>
      </c>
      <c r="Q173" s="467">
        <f t="shared" si="126"/>
        <v>26562.284672</v>
      </c>
      <c r="R173" s="467">
        <f t="shared" si="127"/>
        <v>0</v>
      </c>
      <c r="S173" s="467">
        <f t="shared" si="128"/>
        <v>0</v>
      </c>
      <c r="T173" s="467">
        <f t="shared" si="129"/>
        <v>0</v>
      </c>
      <c r="U173" s="467"/>
      <c r="V173" s="467">
        <f t="shared" si="135"/>
        <v>47562.284672</v>
      </c>
      <c r="W173" s="474">
        <v>12</v>
      </c>
      <c r="X173" s="467">
        <f t="shared" si="130"/>
        <v>3963.52372266667</v>
      </c>
      <c r="Y173" s="470"/>
      <c r="Z173" s="467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4">
        <v>157</v>
      </c>
      <c r="B174" s="11" t="s">
        <v>484</v>
      </c>
      <c r="C174" s="467">
        <v>80237.012</v>
      </c>
      <c r="D174" s="466">
        <v>12</v>
      </c>
      <c r="E174" s="467">
        <f t="shared" si="132"/>
        <v>962844.144</v>
      </c>
      <c r="F174" s="467"/>
      <c r="G174" s="470"/>
      <c r="H174" s="470"/>
      <c r="I174" s="467">
        <f t="shared" si="133"/>
        <v>962844.144</v>
      </c>
      <c r="J174" s="467">
        <v>200000</v>
      </c>
      <c r="K174" s="467">
        <v>0.2</v>
      </c>
      <c r="L174" s="467">
        <f t="shared" si="121"/>
        <v>192568.8288</v>
      </c>
      <c r="M174" s="467">
        <f t="shared" si="122"/>
        <v>392568.8288</v>
      </c>
      <c r="N174" s="467">
        <f t="shared" si="123"/>
        <v>392568.8288</v>
      </c>
      <c r="O174" s="467">
        <f t="shared" si="124"/>
        <v>570275.3152</v>
      </c>
      <c r="P174" s="467">
        <f t="shared" si="125"/>
        <v>21000</v>
      </c>
      <c r="Q174" s="467">
        <f t="shared" si="126"/>
        <v>29730.284672</v>
      </c>
      <c r="R174" s="467">
        <f t="shared" si="127"/>
        <v>0</v>
      </c>
      <c r="S174" s="467">
        <f t="shared" si="128"/>
        <v>0</v>
      </c>
      <c r="T174" s="467">
        <f t="shared" si="129"/>
        <v>0</v>
      </c>
      <c r="U174" s="467"/>
      <c r="V174" s="467">
        <f t="shared" si="135"/>
        <v>50730.284672</v>
      </c>
      <c r="W174" s="474">
        <v>12</v>
      </c>
      <c r="X174" s="467">
        <f t="shared" si="130"/>
        <v>4227.52372266667</v>
      </c>
      <c r="Y174" s="470"/>
      <c r="Z174" s="467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50"/>
      <c r="B175" s="11" t="s">
        <v>485</v>
      </c>
      <c r="C175" s="483">
        <v>77237.012</v>
      </c>
      <c r="D175" s="466">
        <v>12</v>
      </c>
      <c r="E175" s="467">
        <f t="shared" si="132"/>
        <v>926844.144</v>
      </c>
      <c r="F175" s="467"/>
      <c r="G175" s="470"/>
      <c r="H175" s="470"/>
      <c r="I175" s="467">
        <f t="shared" si="133"/>
        <v>926844.144</v>
      </c>
      <c r="J175" s="467">
        <v>200000</v>
      </c>
      <c r="K175" s="467">
        <v>0.2</v>
      </c>
      <c r="L175" s="467">
        <f t="shared" si="121"/>
        <v>185368.8288</v>
      </c>
      <c r="M175" s="467">
        <f t="shared" si="122"/>
        <v>385368.8288</v>
      </c>
      <c r="N175" s="467">
        <f t="shared" si="123"/>
        <v>385368.8288</v>
      </c>
      <c r="O175" s="467">
        <f t="shared" si="124"/>
        <v>541475.3152</v>
      </c>
      <c r="P175" s="467">
        <f t="shared" si="125"/>
        <v>21000</v>
      </c>
      <c r="Q175" s="467">
        <f t="shared" si="126"/>
        <v>26562.284672</v>
      </c>
      <c r="R175" s="467">
        <f t="shared" si="127"/>
        <v>0</v>
      </c>
      <c r="S175" s="467">
        <f t="shared" si="128"/>
        <v>0</v>
      </c>
      <c r="T175" s="467">
        <f t="shared" si="129"/>
        <v>0</v>
      </c>
      <c r="U175" s="467"/>
      <c r="V175" s="467">
        <f t="shared" si="135"/>
        <v>47562.284672</v>
      </c>
      <c r="W175" s="474">
        <v>12</v>
      </c>
      <c r="X175" s="467">
        <f t="shared" si="130"/>
        <v>3963.52372266667</v>
      </c>
      <c r="Y175" s="470"/>
      <c r="Z175" s="467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28">
      <c r="A176" s="550"/>
      <c r="B176" s="11" t="s">
        <v>486</v>
      </c>
      <c r="C176" s="483">
        <v>80237.012</v>
      </c>
      <c r="D176" s="466">
        <v>12</v>
      </c>
      <c r="E176" s="467">
        <f t="shared" si="132"/>
        <v>962844.144</v>
      </c>
      <c r="F176" s="467"/>
      <c r="G176" s="470"/>
      <c r="H176" s="470"/>
      <c r="I176" s="467">
        <f t="shared" si="133"/>
        <v>962844.144</v>
      </c>
      <c r="J176" s="467">
        <v>200000</v>
      </c>
      <c r="K176" s="467">
        <v>0.2</v>
      </c>
      <c r="L176" s="467">
        <f t="shared" si="121"/>
        <v>192568.8288</v>
      </c>
      <c r="M176" s="467">
        <f t="shared" si="122"/>
        <v>392568.8288</v>
      </c>
      <c r="N176" s="467">
        <f t="shared" si="123"/>
        <v>392568.8288</v>
      </c>
      <c r="O176" s="467">
        <f t="shared" si="124"/>
        <v>570275.3152</v>
      </c>
      <c r="P176" s="467">
        <f t="shared" si="125"/>
        <v>21000</v>
      </c>
      <c r="Q176" s="467">
        <f t="shared" si="126"/>
        <v>29730.284672</v>
      </c>
      <c r="R176" s="467">
        <f t="shared" si="127"/>
        <v>0</v>
      </c>
      <c r="S176" s="467">
        <f t="shared" si="128"/>
        <v>0</v>
      </c>
      <c r="T176" s="467">
        <f t="shared" si="129"/>
        <v>0</v>
      </c>
      <c r="U176" s="467"/>
      <c r="V176" s="467">
        <f t="shared" si="135"/>
        <v>50730.284672</v>
      </c>
      <c r="W176" s="474">
        <v>12</v>
      </c>
      <c r="X176" s="467">
        <f t="shared" si="130"/>
        <v>4227.52372266667</v>
      </c>
      <c r="Y176" s="470"/>
      <c r="Z176" s="467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487</v>
      </c>
      <c r="C177" s="479">
        <v>77237.012</v>
      </c>
      <c r="D177" s="466">
        <v>12</v>
      </c>
      <c r="E177" s="467">
        <f t="shared" si="132"/>
        <v>926844.144</v>
      </c>
      <c r="F177" s="296"/>
      <c r="G177" s="296"/>
      <c r="H177" s="296"/>
      <c r="I177" s="467">
        <f t="shared" si="133"/>
        <v>926844.144</v>
      </c>
      <c r="J177" s="467">
        <v>200000</v>
      </c>
      <c r="K177" s="467">
        <v>0.2</v>
      </c>
      <c r="L177" s="467">
        <f t="shared" si="121"/>
        <v>185368.8288</v>
      </c>
      <c r="M177" s="467">
        <f t="shared" si="122"/>
        <v>385368.8288</v>
      </c>
      <c r="N177" s="467">
        <f t="shared" si="123"/>
        <v>385368.8288</v>
      </c>
      <c r="O177" s="467">
        <f t="shared" si="124"/>
        <v>541475.3152</v>
      </c>
      <c r="P177" s="467">
        <f t="shared" si="125"/>
        <v>21000</v>
      </c>
      <c r="Q177" s="467">
        <f t="shared" si="126"/>
        <v>26562.284672</v>
      </c>
      <c r="R177" s="467">
        <f t="shared" si="127"/>
        <v>0</v>
      </c>
      <c r="S177" s="467">
        <f t="shared" si="128"/>
        <v>0</v>
      </c>
      <c r="T177" s="467">
        <f t="shared" si="129"/>
        <v>0</v>
      </c>
      <c r="U177" s="467"/>
      <c r="V177" s="467">
        <f t="shared" si="135"/>
        <v>47562.284672</v>
      </c>
      <c r="W177" s="474">
        <v>12</v>
      </c>
      <c r="X177" s="467">
        <f t="shared" si="130"/>
        <v>3963.52372266667</v>
      </c>
      <c r="Y177" s="296"/>
      <c r="Z177" s="467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488</v>
      </c>
      <c r="C178" s="479">
        <v>80237.012</v>
      </c>
      <c r="D178" s="466">
        <v>12</v>
      </c>
      <c r="E178" s="467">
        <f t="shared" si="132"/>
        <v>962844.144</v>
      </c>
      <c r="F178" s="296"/>
      <c r="G178" s="296"/>
      <c r="H178" s="296"/>
      <c r="I178" s="467">
        <f t="shared" si="133"/>
        <v>962844.144</v>
      </c>
      <c r="J178" s="467">
        <v>200000</v>
      </c>
      <c r="K178" s="467">
        <v>0.2</v>
      </c>
      <c r="L178" s="467">
        <f t="shared" si="121"/>
        <v>192568.8288</v>
      </c>
      <c r="M178" s="467">
        <f t="shared" si="122"/>
        <v>392568.8288</v>
      </c>
      <c r="N178" s="467">
        <f t="shared" si="123"/>
        <v>392568.8288</v>
      </c>
      <c r="O178" s="467">
        <f t="shared" si="124"/>
        <v>570275.3152</v>
      </c>
      <c r="P178" s="467">
        <f t="shared" si="125"/>
        <v>21000</v>
      </c>
      <c r="Q178" s="467">
        <f t="shared" si="126"/>
        <v>29730.284672</v>
      </c>
      <c r="R178" s="467">
        <f t="shared" si="127"/>
        <v>0</v>
      </c>
      <c r="S178" s="467">
        <f t="shared" si="128"/>
        <v>0</v>
      </c>
      <c r="T178" s="467">
        <f t="shared" si="129"/>
        <v>0</v>
      </c>
      <c r="U178" s="296"/>
      <c r="V178" s="467">
        <f t="shared" si="135"/>
        <v>50730.284672</v>
      </c>
      <c r="W178" s="474">
        <v>12</v>
      </c>
      <c r="X178" s="467">
        <f t="shared" si="130"/>
        <v>4227.52372266667</v>
      </c>
      <c r="Y178" s="296"/>
      <c r="Z178" s="467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489</v>
      </c>
      <c r="C179" s="479">
        <v>78671.023</v>
      </c>
      <c r="D179" s="466">
        <v>12</v>
      </c>
      <c r="E179" s="467">
        <f t="shared" si="132"/>
        <v>944052.276</v>
      </c>
      <c r="F179" s="296"/>
      <c r="G179" s="296"/>
      <c r="H179" s="296"/>
      <c r="I179" s="467">
        <f t="shared" si="133"/>
        <v>944052.276</v>
      </c>
      <c r="J179" s="467">
        <v>200000</v>
      </c>
      <c r="K179" s="467">
        <v>0.2</v>
      </c>
      <c r="L179" s="467">
        <f t="shared" si="121"/>
        <v>188810.4552</v>
      </c>
      <c r="M179" s="467">
        <f t="shared" si="122"/>
        <v>388810.4552</v>
      </c>
      <c r="N179" s="467">
        <f t="shared" si="123"/>
        <v>388810.4552</v>
      </c>
      <c r="O179" s="467">
        <f t="shared" si="124"/>
        <v>555241.8208</v>
      </c>
      <c r="P179" s="467">
        <f t="shared" si="125"/>
        <v>21000</v>
      </c>
      <c r="Q179" s="467">
        <f t="shared" si="126"/>
        <v>28076.600288</v>
      </c>
      <c r="R179" s="467">
        <f t="shared" si="127"/>
        <v>0</v>
      </c>
      <c r="S179" s="467">
        <f t="shared" si="128"/>
        <v>0</v>
      </c>
      <c r="T179" s="467">
        <f t="shared" si="129"/>
        <v>0</v>
      </c>
      <c r="U179" s="296"/>
      <c r="V179" s="467">
        <f t="shared" si="135"/>
        <v>49076.600288</v>
      </c>
      <c r="W179" s="474">
        <v>12</v>
      </c>
      <c r="X179" s="467">
        <f t="shared" si="130"/>
        <v>4089.71669066667</v>
      </c>
      <c r="Y179" s="296"/>
      <c r="Z179" s="467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490</v>
      </c>
      <c r="C180" s="479">
        <v>80237.012</v>
      </c>
      <c r="D180" s="466">
        <v>12</v>
      </c>
      <c r="E180" s="467">
        <f t="shared" si="132"/>
        <v>962844.144</v>
      </c>
      <c r="F180" s="296"/>
      <c r="G180" s="296"/>
      <c r="H180" s="296"/>
      <c r="I180" s="467">
        <f t="shared" si="133"/>
        <v>962844.144</v>
      </c>
      <c r="J180" s="467">
        <v>200000</v>
      </c>
      <c r="K180" s="467">
        <v>0.2</v>
      </c>
      <c r="L180" s="467">
        <f t="shared" si="121"/>
        <v>192568.8288</v>
      </c>
      <c r="M180" s="467">
        <f t="shared" si="122"/>
        <v>392568.8288</v>
      </c>
      <c r="N180" s="467">
        <f t="shared" si="123"/>
        <v>392568.8288</v>
      </c>
      <c r="O180" s="467">
        <f t="shared" si="124"/>
        <v>570275.3152</v>
      </c>
      <c r="P180" s="467">
        <f t="shared" si="125"/>
        <v>21000</v>
      </c>
      <c r="Q180" s="467">
        <f t="shared" si="126"/>
        <v>29730.284672</v>
      </c>
      <c r="R180" s="467">
        <f t="shared" si="127"/>
        <v>0</v>
      </c>
      <c r="S180" s="467">
        <f t="shared" si="128"/>
        <v>0</v>
      </c>
      <c r="T180" s="467">
        <f t="shared" si="129"/>
        <v>0</v>
      </c>
      <c r="U180" s="296"/>
      <c r="V180" s="467">
        <f t="shared" si="135"/>
        <v>50730.284672</v>
      </c>
      <c r="W180" s="474">
        <v>12</v>
      </c>
      <c r="X180" s="467">
        <f t="shared" si="130"/>
        <v>4227.52372266667</v>
      </c>
      <c r="Y180" s="296"/>
      <c r="Z180" s="467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491</v>
      </c>
      <c r="C181" s="479">
        <v>78671.023</v>
      </c>
      <c r="D181" s="466">
        <v>12</v>
      </c>
      <c r="E181" s="467">
        <f t="shared" si="132"/>
        <v>944052.276</v>
      </c>
      <c r="F181" s="296"/>
      <c r="G181" s="296"/>
      <c r="H181" s="296"/>
      <c r="I181" s="467">
        <f t="shared" si="133"/>
        <v>944052.276</v>
      </c>
      <c r="J181" s="467">
        <v>200000</v>
      </c>
      <c r="K181" s="467">
        <v>0.2</v>
      </c>
      <c r="L181" s="467">
        <f t="shared" si="121"/>
        <v>188810.4552</v>
      </c>
      <c r="M181" s="467">
        <f t="shared" si="122"/>
        <v>388810.4552</v>
      </c>
      <c r="N181" s="467">
        <f t="shared" si="123"/>
        <v>388810.4552</v>
      </c>
      <c r="O181" s="467">
        <f t="shared" si="124"/>
        <v>555241.8208</v>
      </c>
      <c r="P181" s="467">
        <f t="shared" si="125"/>
        <v>21000</v>
      </c>
      <c r="Q181" s="467">
        <f t="shared" si="126"/>
        <v>28076.600288</v>
      </c>
      <c r="R181" s="467">
        <f t="shared" si="127"/>
        <v>0</v>
      </c>
      <c r="S181" s="467">
        <f t="shared" si="128"/>
        <v>0</v>
      </c>
      <c r="T181" s="467">
        <f t="shared" si="129"/>
        <v>0</v>
      </c>
      <c r="U181" s="296"/>
      <c r="V181" s="467">
        <f t="shared" si="135"/>
        <v>49076.600288</v>
      </c>
      <c r="W181" s="474">
        <v>12</v>
      </c>
      <c r="X181" s="467">
        <f t="shared" si="130"/>
        <v>4089.71669066667</v>
      </c>
      <c r="Y181" s="296"/>
      <c r="Z181" s="467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493</v>
      </c>
      <c r="C182" s="479">
        <v>68675.997025</v>
      </c>
      <c r="D182" s="466">
        <v>12</v>
      </c>
      <c r="E182" s="467">
        <f t="shared" si="132"/>
        <v>824111.9643</v>
      </c>
      <c r="F182" s="296"/>
      <c r="G182" s="296"/>
      <c r="H182" s="296"/>
      <c r="I182" s="467">
        <f t="shared" si="133"/>
        <v>824111.9643</v>
      </c>
      <c r="J182" s="467">
        <v>200000</v>
      </c>
      <c r="K182" s="467">
        <v>0.2</v>
      </c>
      <c r="L182" s="467">
        <f t="shared" si="121"/>
        <v>164822.39286</v>
      </c>
      <c r="M182" s="467">
        <f t="shared" si="122"/>
        <v>364822.39286</v>
      </c>
      <c r="N182" s="467">
        <f t="shared" si="123"/>
        <v>364822.39286</v>
      </c>
      <c r="O182" s="467">
        <f t="shared" si="124"/>
        <v>459289.57144</v>
      </c>
      <c r="P182" s="467">
        <f t="shared" si="125"/>
        <v>21000</v>
      </c>
      <c r="Q182" s="467">
        <f t="shared" si="126"/>
        <v>17521.8528584</v>
      </c>
      <c r="R182" s="467">
        <f t="shared" si="127"/>
        <v>0</v>
      </c>
      <c r="S182" s="467">
        <f t="shared" si="128"/>
        <v>0</v>
      </c>
      <c r="T182" s="467">
        <f t="shared" si="129"/>
        <v>0</v>
      </c>
      <c r="U182" s="296"/>
      <c r="V182" s="467">
        <f t="shared" si="135"/>
        <v>38521.8528584</v>
      </c>
      <c r="W182" s="474">
        <v>12</v>
      </c>
      <c r="X182" s="467">
        <f t="shared" si="130"/>
        <v>3210.15440486667</v>
      </c>
      <c r="Y182" s="296"/>
      <c r="Z182" s="467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495</v>
      </c>
      <c r="C183" s="479">
        <v>62980.07925</v>
      </c>
      <c r="D183" s="466">
        <v>12</v>
      </c>
      <c r="E183" s="467">
        <f t="shared" si="132"/>
        <v>755760.951</v>
      </c>
      <c r="F183" s="296"/>
      <c r="G183" s="296"/>
      <c r="H183" s="296"/>
      <c r="I183" s="467">
        <f t="shared" si="133"/>
        <v>755760.951</v>
      </c>
      <c r="J183" s="467">
        <v>200000</v>
      </c>
      <c r="K183" s="467">
        <v>0.2</v>
      </c>
      <c r="L183" s="467">
        <f t="shared" si="121"/>
        <v>151152.1902</v>
      </c>
      <c r="M183" s="467">
        <f t="shared" si="122"/>
        <v>351152.1902</v>
      </c>
      <c r="N183" s="467">
        <f t="shared" si="123"/>
        <v>351152.1902</v>
      </c>
      <c r="O183" s="467">
        <f t="shared" si="124"/>
        <v>404608.7608</v>
      </c>
      <c r="P183" s="467">
        <f t="shared" si="125"/>
        <v>21000</v>
      </c>
      <c r="Q183" s="467">
        <f t="shared" si="126"/>
        <v>11506.963688</v>
      </c>
      <c r="R183" s="467">
        <f t="shared" si="127"/>
        <v>0</v>
      </c>
      <c r="S183" s="467">
        <f t="shared" si="128"/>
        <v>0</v>
      </c>
      <c r="T183" s="467">
        <f t="shared" si="129"/>
        <v>0</v>
      </c>
      <c r="U183" s="296"/>
      <c r="V183" s="467">
        <f t="shared" si="135"/>
        <v>32506.963688</v>
      </c>
      <c r="W183" s="474">
        <v>12</v>
      </c>
      <c r="X183" s="467">
        <f t="shared" si="130"/>
        <v>2708.91364066667</v>
      </c>
      <c r="Y183" s="296"/>
      <c r="Z183" s="467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498</v>
      </c>
      <c r="C184" s="479">
        <v>62980.07925</v>
      </c>
      <c r="D184" s="466">
        <v>12</v>
      </c>
      <c r="E184" s="467">
        <f t="shared" si="132"/>
        <v>755760.951</v>
      </c>
      <c r="F184" s="296"/>
      <c r="G184" s="296"/>
      <c r="H184" s="296"/>
      <c r="I184" s="467">
        <f t="shared" si="133"/>
        <v>755760.951</v>
      </c>
      <c r="J184" s="467">
        <v>200000</v>
      </c>
      <c r="K184" s="467">
        <v>0.2</v>
      </c>
      <c r="L184" s="467">
        <f t="shared" si="121"/>
        <v>151152.1902</v>
      </c>
      <c r="M184" s="467">
        <f t="shared" si="122"/>
        <v>351152.1902</v>
      </c>
      <c r="N184" s="467">
        <f t="shared" si="123"/>
        <v>351152.1902</v>
      </c>
      <c r="O184" s="467">
        <f t="shared" si="124"/>
        <v>404608.7608</v>
      </c>
      <c r="P184" s="467">
        <f t="shared" si="125"/>
        <v>21000</v>
      </c>
      <c r="Q184" s="467">
        <f t="shared" si="126"/>
        <v>11506.963688</v>
      </c>
      <c r="R184" s="467">
        <f t="shared" si="127"/>
        <v>0</v>
      </c>
      <c r="S184" s="467">
        <f t="shared" si="128"/>
        <v>0</v>
      </c>
      <c r="T184" s="467">
        <f t="shared" si="129"/>
        <v>0</v>
      </c>
      <c r="U184" s="296"/>
      <c r="V184" s="467">
        <f t="shared" si="135"/>
        <v>32506.963688</v>
      </c>
      <c r="W184" s="474">
        <v>12</v>
      </c>
      <c r="X184" s="467">
        <f t="shared" si="130"/>
        <v>2708.91364066667</v>
      </c>
      <c r="Y184" s="296"/>
      <c r="Z184" s="467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499</v>
      </c>
      <c r="C185" s="479">
        <v>62980.07925</v>
      </c>
      <c r="D185" s="466">
        <v>12</v>
      </c>
      <c r="E185" s="467">
        <f t="shared" si="132"/>
        <v>755760.951</v>
      </c>
      <c r="F185" s="296"/>
      <c r="G185" s="296"/>
      <c r="H185" s="296"/>
      <c r="I185" s="467">
        <f t="shared" si="133"/>
        <v>755760.951</v>
      </c>
      <c r="J185" s="467">
        <v>200000</v>
      </c>
      <c r="K185" s="467">
        <v>0.2</v>
      </c>
      <c r="L185" s="467">
        <f t="shared" si="121"/>
        <v>151152.1902</v>
      </c>
      <c r="M185" s="467">
        <f t="shared" si="122"/>
        <v>351152.1902</v>
      </c>
      <c r="N185" s="467">
        <f t="shared" si="123"/>
        <v>351152.1902</v>
      </c>
      <c r="O185" s="467">
        <f t="shared" si="124"/>
        <v>404608.7608</v>
      </c>
      <c r="P185" s="467">
        <f t="shared" si="125"/>
        <v>21000</v>
      </c>
      <c r="Q185" s="467">
        <f t="shared" si="126"/>
        <v>11506.963688</v>
      </c>
      <c r="R185" s="467">
        <f t="shared" si="127"/>
        <v>0</v>
      </c>
      <c r="S185" s="467">
        <f t="shared" si="128"/>
        <v>0</v>
      </c>
      <c r="T185" s="467">
        <f t="shared" si="129"/>
        <v>0</v>
      </c>
      <c r="U185" s="296"/>
      <c r="V185" s="467">
        <f t="shared" si="135"/>
        <v>32506.963688</v>
      </c>
      <c r="W185" s="474">
        <v>12</v>
      </c>
      <c r="X185" s="467">
        <f t="shared" si="130"/>
        <v>2708.91364066667</v>
      </c>
      <c r="Y185" s="296"/>
      <c r="Z185" s="467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500</v>
      </c>
      <c r="C186" s="479">
        <v>72103.7495</v>
      </c>
      <c r="D186" s="466">
        <v>12</v>
      </c>
      <c r="E186" s="467">
        <f t="shared" si="132"/>
        <v>865244.994</v>
      </c>
      <c r="F186" s="296"/>
      <c r="G186" s="296"/>
      <c r="H186" s="296"/>
      <c r="I186" s="467">
        <f t="shared" si="133"/>
        <v>865244.994</v>
      </c>
      <c r="J186" s="467">
        <v>200000</v>
      </c>
      <c r="K186" s="467">
        <v>0.2</v>
      </c>
      <c r="L186" s="467">
        <f t="shared" si="121"/>
        <v>173048.9988</v>
      </c>
      <c r="M186" s="467">
        <f t="shared" si="122"/>
        <v>373048.9988</v>
      </c>
      <c r="N186" s="467">
        <f t="shared" si="123"/>
        <v>373048.9988</v>
      </c>
      <c r="O186" s="467">
        <f t="shared" si="124"/>
        <v>492195.9952</v>
      </c>
      <c r="P186" s="467">
        <f t="shared" si="125"/>
        <v>21000</v>
      </c>
      <c r="Q186" s="467">
        <f t="shared" si="126"/>
        <v>21141.559472</v>
      </c>
      <c r="R186" s="467">
        <f t="shared" si="127"/>
        <v>0</v>
      </c>
      <c r="S186" s="467">
        <f t="shared" si="128"/>
        <v>0</v>
      </c>
      <c r="T186" s="467">
        <f t="shared" si="129"/>
        <v>0</v>
      </c>
      <c r="U186" s="296"/>
      <c r="V186" s="467">
        <f t="shared" si="135"/>
        <v>42141.559472</v>
      </c>
      <c r="W186" s="474">
        <v>12</v>
      </c>
      <c r="X186" s="467">
        <f t="shared" si="130"/>
        <v>3511.79662266667</v>
      </c>
      <c r="Y186" s="296"/>
      <c r="Z186" s="467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503</v>
      </c>
      <c r="C187" s="479">
        <v>72103.7495</v>
      </c>
      <c r="D187" s="466">
        <v>12</v>
      </c>
      <c r="E187" s="467">
        <f t="shared" si="132"/>
        <v>865244.994</v>
      </c>
      <c r="F187" s="296"/>
      <c r="G187" s="296"/>
      <c r="H187" s="296"/>
      <c r="I187" s="467">
        <f t="shared" si="133"/>
        <v>865244.994</v>
      </c>
      <c r="J187" s="467">
        <v>200000</v>
      </c>
      <c r="K187" s="467">
        <v>0.2</v>
      </c>
      <c r="L187" s="467">
        <f t="shared" si="121"/>
        <v>173048.9988</v>
      </c>
      <c r="M187" s="467">
        <f t="shared" si="122"/>
        <v>373048.9988</v>
      </c>
      <c r="N187" s="467">
        <f t="shared" si="123"/>
        <v>373048.9988</v>
      </c>
      <c r="O187" s="467">
        <f t="shared" si="124"/>
        <v>492195.9952</v>
      </c>
      <c r="P187" s="467">
        <f t="shared" si="125"/>
        <v>21000</v>
      </c>
      <c r="Q187" s="467">
        <f t="shared" si="126"/>
        <v>21141.559472</v>
      </c>
      <c r="R187" s="467">
        <f t="shared" si="127"/>
        <v>0</v>
      </c>
      <c r="S187" s="467">
        <f t="shared" si="128"/>
        <v>0</v>
      </c>
      <c r="T187" s="467">
        <f t="shared" si="129"/>
        <v>0</v>
      </c>
      <c r="U187" s="296"/>
      <c r="V187" s="467">
        <f t="shared" si="135"/>
        <v>42141.559472</v>
      </c>
      <c r="W187" s="474">
        <v>12</v>
      </c>
      <c r="X187" s="467">
        <f t="shared" si="130"/>
        <v>3511.79662266667</v>
      </c>
      <c r="Y187" s="296"/>
      <c r="Z187" s="467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7"/>
      <c r="W188" s="294" t="s">
        <v>554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3">
      <c r="B189" s="30"/>
      <c r="C189" s="213"/>
    </row>
    <row r="190" ht="17.5" spans="2:28">
      <c r="B190" s="33"/>
      <c r="X190" s="294" t="s">
        <v>555</v>
      </c>
      <c r="AB190" s="563">
        <f>AB81+AB82+AB83+AB84+AB86+AB88+AB89+AB94+AB95+AB96+AB102+AB103+AB104+AB105+AB106</f>
        <v>-351613.557404481</v>
      </c>
    </row>
    <row r="191" ht="14" spans="24:28">
      <c r="X191" s="294" t="s">
        <v>556</v>
      </c>
      <c r="AB191" s="564">
        <f>AB87+AB85+AB74+AB61+AB21+AB19+AB18+AB16+AB15</f>
        <v>126852.23813</v>
      </c>
    </row>
    <row r="192" ht="14" spans="24:28">
      <c r="X192" s="294" t="s">
        <v>557</v>
      </c>
      <c r="AB192" s="565">
        <f>SUM(AB190:AB191)</f>
        <v>-224761.319274481</v>
      </c>
    </row>
    <row r="193" ht="14" spans="24:28">
      <c r="X193" s="294" t="s">
        <v>558</v>
      </c>
      <c r="AB193" s="566">
        <f>-6517.49</f>
        <v>-6517.49</v>
      </c>
    </row>
    <row r="194" ht="24.75" customHeight="1" spans="24:28">
      <c r="X194" s="294" t="s">
        <v>166</v>
      </c>
      <c r="AA194" s="213"/>
      <c r="AB194" s="567">
        <f>AB192+AB193</f>
        <v>-231278.809274481</v>
      </c>
    </row>
    <row r="196" spans="27:27">
      <c r="AA196" s="40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27"/>
      <c r="B1" s="527"/>
      <c r="C1" s="527"/>
      <c r="D1" s="527"/>
      <c r="E1" s="527"/>
    </row>
    <row r="2" ht="52.5" spans="1:6">
      <c r="A2" s="528" t="s">
        <v>20</v>
      </c>
      <c r="B2" s="528" t="s">
        <v>145</v>
      </c>
      <c r="C2" s="529" t="s">
        <v>559</v>
      </c>
      <c r="D2" s="529" t="s">
        <v>560</v>
      </c>
      <c r="E2" s="529" t="s">
        <v>561</v>
      </c>
      <c r="F2" s="530"/>
    </row>
    <row r="3" ht="18.5" spans="1:6">
      <c r="A3" s="528"/>
      <c r="B3" s="528"/>
      <c r="C3" s="529" t="s">
        <v>19</v>
      </c>
      <c r="D3" s="529" t="s">
        <v>19</v>
      </c>
      <c r="E3" s="529" t="s">
        <v>19</v>
      </c>
      <c r="F3" s="530"/>
    </row>
    <row r="4" ht="18.5" spans="1:6">
      <c r="A4" s="531">
        <v>1</v>
      </c>
      <c r="B4" s="532" t="s">
        <v>350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351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352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354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357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359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361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366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368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370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377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379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380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383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385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33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5">
      <c r="A2" s="502" t="s">
        <v>562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5">
      <c r="A4" s="4"/>
      <c r="B4" s="5" t="s">
        <v>2</v>
      </c>
      <c r="C4" s="6" t="s">
        <v>3</v>
      </c>
      <c r="D4" s="7" t="s">
        <v>4</v>
      </c>
      <c r="E4" s="218" t="s">
        <v>195</v>
      </c>
      <c r="F4" s="218" t="s">
        <v>539</v>
      </c>
      <c r="G4" s="218" t="s">
        <v>540</v>
      </c>
      <c r="H4" s="218" t="s">
        <v>541</v>
      </c>
      <c r="I4" s="218" t="s">
        <v>8</v>
      </c>
      <c r="J4" s="505" t="s">
        <v>542</v>
      </c>
      <c r="K4" s="505" t="s">
        <v>543</v>
      </c>
      <c r="L4" s="505" t="s">
        <v>544</v>
      </c>
      <c r="M4" s="506" t="s">
        <v>545</v>
      </c>
      <c r="N4" s="506" t="s">
        <v>546</v>
      </c>
      <c r="O4" s="506" t="s">
        <v>547</v>
      </c>
    </row>
    <row r="5" ht="17.25" customHeight="1" spans="3:15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/>
      <c r="K5" s="507"/>
      <c r="L5" s="507"/>
      <c r="M5" s="508" t="s">
        <v>19</v>
      </c>
      <c r="N5" s="508"/>
      <c r="O5" s="508"/>
    </row>
    <row r="6" ht="20.1" customHeight="1" spans="1:15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236</v>
      </c>
      <c r="C7" s="12" t="s">
        <v>237</v>
      </c>
      <c r="D7" s="12" t="s">
        <v>238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239</v>
      </c>
      <c r="C8" s="12" t="s">
        <v>240</v>
      </c>
      <c r="D8" s="10" t="s">
        <v>234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241</v>
      </c>
      <c r="C9" s="4" t="s">
        <v>242</v>
      </c>
      <c r="D9" s="10" t="s">
        <v>234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243</v>
      </c>
      <c r="C10" s="17" t="s">
        <v>244</v>
      </c>
      <c r="D10" s="10" t="s">
        <v>234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245</v>
      </c>
      <c r="C11" s="4" t="s">
        <v>530</v>
      </c>
      <c r="D11" s="10" t="s">
        <v>234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232</v>
      </c>
      <c r="C12" s="10" t="s">
        <v>233</v>
      </c>
      <c r="D12" s="10" t="s">
        <v>234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247</v>
      </c>
      <c r="C13" s="12" t="s">
        <v>248</v>
      </c>
      <c r="D13" s="15" t="s">
        <v>249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250</v>
      </c>
      <c r="C14" s="4" t="s">
        <v>251</v>
      </c>
      <c r="D14" s="10" t="s">
        <v>228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252</v>
      </c>
      <c r="C15" s="4" t="s">
        <v>253</v>
      </c>
      <c r="D15" s="15" t="s">
        <v>254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255</v>
      </c>
      <c r="C16" s="17" t="s">
        <v>256</v>
      </c>
      <c r="D16" s="15" t="s">
        <v>257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258</v>
      </c>
      <c r="C17" s="4" t="s">
        <v>259</v>
      </c>
      <c r="D17" s="10" t="s">
        <v>260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5">
      <c r="A18" s="10">
        <v>12</v>
      </c>
      <c r="B18" s="11" t="s">
        <v>261</v>
      </c>
      <c r="C18" s="4" t="s">
        <v>262</v>
      </c>
      <c r="D18" s="10" t="s">
        <v>263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264</v>
      </c>
      <c r="C19" s="12" t="s">
        <v>265</v>
      </c>
      <c r="D19" s="15" t="s">
        <v>266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267</v>
      </c>
      <c r="C20" s="4" t="s">
        <v>531</v>
      </c>
      <c r="D20" s="15" t="s">
        <v>269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270</v>
      </c>
      <c r="C21" s="12" t="s">
        <v>50</v>
      </c>
      <c r="D21" s="15" t="s">
        <v>271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272</v>
      </c>
      <c r="C22" s="17" t="s">
        <v>532</v>
      </c>
      <c r="D22" s="10" t="s">
        <v>41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274</v>
      </c>
      <c r="C23" s="17" t="s">
        <v>275</v>
      </c>
      <c r="D23" s="15" t="s">
        <v>41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276</v>
      </c>
      <c r="C24" s="17" t="s">
        <v>277</v>
      </c>
      <c r="D24" s="10" t="s">
        <v>37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278</v>
      </c>
      <c r="C25" s="4" t="s">
        <v>176</v>
      </c>
      <c r="D25" s="10" t="s">
        <v>279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280</v>
      </c>
      <c r="C26" s="12" t="s">
        <v>176</v>
      </c>
      <c r="D26" s="15" t="s">
        <v>279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281</v>
      </c>
      <c r="C27" s="17" t="s">
        <v>273</v>
      </c>
      <c r="D27" s="10" t="s">
        <v>279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282</v>
      </c>
      <c r="C28" s="12" t="s">
        <v>27</v>
      </c>
      <c r="D28" s="15" t="s">
        <v>283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284</v>
      </c>
      <c r="C29" s="4" t="s">
        <v>285</v>
      </c>
      <c r="D29" s="10" t="s">
        <v>24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286</v>
      </c>
      <c r="C30" s="4" t="s">
        <v>285</v>
      </c>
      <c r="D30" s="10" t="s">
        <v>24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287</v>
      </c>
      <c r="C31" s="17" t="s">
        <v>288</v>
      </c>
      <c r="D31" s="15" t="s">
        <v>279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289</v>
      </c>
      <c r="C32" s="4" t="s">
        <v>290</v>
      </c>
      <c r="D32" s="10" t="s">
        <v>291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292</v>
      </c>
      <c r="C33" s="12" t="s">
        <v>293</v>
      </c>
      <c r="D33" s="15" t="s">
        <v>294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33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34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295</v>
      </c>
      <c r="C37" s="4" t="s">
        <v>296</v>
      </c>
      <c r="D37" s="10" t="s">
        <v>297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298</v>
      </c>
      <c r="C38" s="4" t="s">
        <v>533</v>
      </c>
      <c r="D38" s="10" t="s">
        <v>37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300</v>
      </c>
      <c r="C39" s="12" t="s">
        <v>534</v>
      </c>
      <c r="D39" s="15" t="s">
        <v>301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38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302</v>
      </c>
      <c r="C43" s="4" t="s">
        <v>303</v>
      </c>
      <c r="D43" s="10" t="s">
        <v>297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304</v>
      </c>
      <c r="C44" s="4" t="s">
        <v>305</v>
      </c>
      <c r="D44" s="10" t="s">
        <v>249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306</v>
      </c>
      <c r="C45" s="4" t="s">
        <v>307</v>
      </c>
      <c r="D45" s="10" t="s">
        <v>308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309</v>
      </c>
      <c r="C46" s="4" t="s">
        <v>310</v>
      </c>
      <c r="D46" s="10" t="s">
        <v>249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311</v>
      </c>
      <c r="C47" s="4" t="s">
        <v>310</v>
      </c>
      <c r="D47" s="10" t="s">
        <v>249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312</v>
      </c>
      <c r="C48" s="4" t="s">
        <v>310</v>
      </c>
      <c r="D48" s="10" t="s">
        <v>228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313</v>
      </c>
      <c r="C49" s="4" t="s">
        <v>256</v>
      </c>
      <c r="D49" s="16" t="s">
        <v>257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314</v>
      </c>
      <c r="C50" s="4" t="s">
        <v>63</v>
      </c>
      <c r="D50" s="10" t="s">
        <v>301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315</v>
      </c>
      <c r="C51" s="4" t="s">
        <v>63</v>
      </c>
      <c r="D51" s="10" t="s">
        <v>283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316</v>
      </c>
      <c r="C52" s="4" t="s">
        <v>63</v>
      </c>
      <c r="D52" s="10" t="s">
        <v>283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317</v>
      </c>
      <c r="C53" s="4" t="s">
        <v>63</v>
      </c>
      <c r="D53" s="10" t="s">
        <v>283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33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318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319</v>
      </c>
      <c r="C57" s="12" t="s">
        <v>320</v>
      </c>
      <c r="D57" s="15" t="s">
        <v>297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321</v>
      </c>
      <c r="C58" s="12" t="s">
        <v>322</v>
      </c>
      <c r="D58" s="15" t="s">
        <v>225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33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44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323</v>
      </c>
      <c r="C62" s="17" t="s">
        <v>324</v>
      </c>
      <c r="D62" s="10" t="s">
        <v>297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325</v>
      </c>
      <c r="C63" s="17" t="s">
        <v>326</v>
      </c>
      <c r="D63" s="15" t="s">
        <v>327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328</v>
      </c>
      <c r="C64" s="4" t="s">
        <v>256</v>
      </c>
      <c r="D64" s="10" t="s">
        <v>260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329</v>
      </c>
      <c r="C65" s="17" t="s">
        <v>46</v>
      </c>
      <c r="D65" s="15" t="s">
        <v>266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330</v>
      </c>
      <c r="C66" s="17" t="s">
        <v>256</v>
      </c>
      <c r="D66" s="15" t="s">
        <v>254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331</v>
      </c>
      <c r="C67" s="4" t="s">
        <v>63</v>
      </c>
      <c r="D67" s="10" t="s">
        <v>332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333</v>
      </c>
      <c r="C68" s="17" t="s">
        <v>275</v>
      </c>
      <c r="D68" s="10" t="s">
        <v>332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334</v>
      </c>
      <c r="C69" s="17" t="s">
        <v>275</v>
      </c>
      <c r="D69" s="10" t="s">
        <v>332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335</v>
      </c>
      <c r="C70" s="4" t="s">
        <v>336</v>
      </c>
      <c r="D70" s="10" t="s">
        <v>271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5">
      <c r="A71" s="10">
        <v>11</v>
      </c>
      <c r="B71" s="11" t="s">
        <v>337</v>
      </c>
      <c r="C71" s="4" t="s">
        <v>63</v>
      </c>
      <c r="D71" s="10" t="s">
        <v>301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33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51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338</v>
      </c>
      <c r="C75" s="4" t="s">
        <v>339</v>
      </c>
      <c r="D75" s="10" t="s">
        <v>297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220</v>
      </c>
      <c r="C76" s="4" t="s">
        <v>221</v>
      </c>
      <c r="D76" s="15" t="s">
        <v>222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223</v>
      </c>
      <c r="C77" s="12" t="s">
        <v>224</v>
      </c>
      <c r="D77" s="10" t="s">
        <v>225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340</v>
      </c>
      <c r="C78" s="4" t="s">
        <v>341</v>
      </c>
      <c r="D78" s="15" t="s">
        <v>342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343</v>
      </c>
      <c r="C79" s="4" t="s">
        <v>344</v>
      </c>
      <c r="D79" s="10" t="s">
        <v>345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346</v>
      </c>
      <c r="C80" s="4" t="s">
        <v>344</v>
      </c>
      <c r="D80" s="10" t="s">
        <v>283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347</v>
      </c>
      <c r="C81" s="4" t="s">
        <v>348</v>
      </c>
      <c r="D81" s="10" t="s">
        <v>294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33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56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349</v>
      </c>
      <c r="C85" s="4" t="s">
        <v>310</v>
      </c>
      <c r="D85" s="10" t="s">
        <v>249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350</v>
      </c>
      <c r="C86" s="4" t="s">
        <v>310</v>
      </c>
      <c r="D86" s="10" t="s">
        <v>249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351</v>
      </c>
      <c r="C87" s="4" t="s">
        <v>310</v>
      </c>
      <c r="D87" s="10" t="s">
        <v>228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352</v>
      </c>
      <c r="C88" s="4" t="s">
        <v>353</v>
      </c>
      <c r="D88" s="15" t="s">
        <v>263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354</v>
      </c>
      <c r="C89" s="12" t="s">
        <v>46</v>
      </c>
      <c r="D89" s="15" t="s">
        <v>266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355</v>
      </c>
      <c r="C90" s="12" t="s">
        <v>256</v>
      </c>
      <c r="D90" s="15" t="s">
        <v>356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357</v>
      </c>
      <c r="C91" s="17" t="s">
        <v>275</v>
      </c>
      <c r="D91" s="15" t="s">
        <v>332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358</v>
      </c>
      <c r="C92" s="17" t="s">
        <v>46</v>
      </c>
      <c r="D92" s="15" t="s">
        <v>47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359</v>
      </c>
      <c r="C93" s="4" t="s">
        <v>360</v>
      </c>
      <c r="D93" s="10" t="s">
        <v>301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361</v>
      </c>
      <c r="C94" s="17" t="s">
        <v>362</v>
      </c>
      <c r="D94" s="15" t="s">
        <v>291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33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58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363</v>
      </c>
      <c r="C98" s="4" t="s">
        <v>364</v>
      </c>
      <c r="D98" s="16" t="s">
        <v>231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9">
        <v>130407.527610667</v>
      </c>
      <c r="N98" s="510">
        <v>82423.2162026667</v>
      </c>
      <c r="O98" s="519">
        <f>M98-N98</f>
        <v>47984.3114080003</v>
      </c>
      <c r="P98" s="13"/>
    </row>
    <row r="99" ht="20.1" customHeight="1" spans="1:16">
      <c r="A99" s="10">
        <v>2</v>
      </c>
      <c r="B99" s="11" t="s">
        <v>366</v>
      </c>
      <c r="C99" s="4" t="s">
        <v>367</v>
      </c>
      <c r="D99" s="15" t="s">
        <v>342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9">
        <v>72764.4209066667</v>
      </c>
      <c r="N99" s="510">
        <v>43492.3733766667</v>
      </c>
      <c r="O99" s="519">
        <f>M99-N99</f>
        <v>29272.04753</v>
      </c>
      <c r="P99" s="13"/>
    </row>
    <row r="100" ht="20.1" customHeight="1" spans="1:16">
      <c r="A100" s="10">
        <v>3</v>
      </c>
      <c r="B100" s="11" t="s">
        <v>368</v>
      </c>
      <c r="C100" s="4" t="s">
        <v>369</v>
      </c>
      <c r="D100" s="15" t="s">
        <v>271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9">
        <v>56938.0689066667</v>
      </c>
      <c r="N100" s="510">
        <v>34968.8824146667</v>
      </c>
      <c r="O100" s="519">
        <f>M100-N100</f>
        <v>21969.186492</v>
      </c>
      <c r="P100" s="13"/>
    </row>
    <row r="101" ht="20.1" customHeight="1" spans="1:16">
      <c r="A101" s="10">
        <v>4</v>
      </c>
      <c r="B101" s="11" t="s">
        <v>370</v>
      </c>
      <c r="C101" s="4" t="s">
        <v>371</v>
      </c>
      <c r="D101" s="15" t="s">
        <v>301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9">
        <v>43763.9072266667</v>
      </c>
      <c r="N101" s="510">
        <v>27105.9865626667</v>
      </c>
      <c r="O101" s="519">
        <f>M101-N101</f>
        <v>16657.920664</v>
      </c>
      <c r="P101" s="13"/>
    </row>
    <row r="102" ht="20.1" customHeight="1" spans="1:16">
      <c r="A102" s="4"/>
      <c r="B102" s="20" t="s">
        <v>33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372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21"/>
      <c r="O104" s="521"/>
      <c r="P104" s="13"/>
    </row>
    <row r="105" ht="20.1" customHeight="1" spans="1:16">
      <c r="A105" s="4">
        <v>1</v>
      </c>
      <c r="B105" s="11" t="s">
        <v>373</v>
      </c>
      <c r="C105" s="12" t="s">
        <v>374</v>
      </c>
      <c r="D105" s="15" t="s">
        <v>297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375</v>
      </c>
      <c r="C106" s="4" t="s">
        <v>376</v>
      </c>
      <c r="D106" s="16" t="s">
        <v>231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377</v>
      </c>
      <c r="C107" s="4" t="s">
        <v>378</v>
      </c>
      <c r="D107" s="10" t="s">
        <v>263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379</v>
      </c>
      <c r="C108" s="4" t="s">
        <v>378</v>
      </c>
      <c r="D108" s="10" t="s">
        <v>263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380</v>
      </c>
      <c r="C109" s="4" t="s">
        <v>381</v>
      </c>
      <c r="D109" s="15" t="s">
        <v>382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383</v>
      </c>
      <c r="C110" s="4" t="s">
        <v>381</v>
      </c>
      <c r="D110" s="10" t="s">
        <v>384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385</v>
      </c>
      <c r="C111" s="4" t="s">
        <v>381</v>
      </c>
      <c r="D111" s="15" t="s">
        <v>291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33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61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386</v>
      </c>
      <c r="C115" s="4" t="s">
        <v>310</v>
      </c>
      <c r="D115" s="10" t="s">
        <v>327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387</v>
      </c>
      <c r="C116" s="4" t="s">
        <v>388</v>
      </c>
      <c r="D116" s="15" t="s">
        <v>271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389</v>
      </c>
      <c r="C117" s="12" t="s">
        <v>390</v>
      </c>
      <c r="D117" s="15" t="s">
        <v>391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33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67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392</v>
      </c>
      <c r="C121" s="12" t="s">
        <v>393</v>
      </c>
      <c r="D121" s="15" t="s">
        <v>297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128</v>
      </c>
      <c r="C122" s="12" t="s">
        <v>394</v>
      </c>
      <c r="D122" s="15" t="s">
        <v>308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395</v>
      </c>
      <c r="C123" s="12" t="s">
        <v>227</v>
      </c>
      <c r="D123" s="15" t="s">
        <v>249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226</v>
      </c>
      <c r="C124" s="12" t="s">
        <v>227</v>
      </c>
      <c r="D124" s="15" t="s">
        <v>228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396</v>
      </c>
      <c r="C125" s="12" t="s">
        <v>397</v>
      </c>
      <c r="D125" s="15" t="s">
        <v>257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398</v>
      </c>
      <c r="C126" s="12" t="s">
        <v>399</v>
      </c>
      <c r="D126" s="15" t="s">
        <v>260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400</v>
      </c>
      <c r="C127" s="12" t="s">
        <v>397</v>
      </c>
      <c r="D127" s="15" t="s">
        <v>342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401</v>
      </c>
      <c r="C128" s="12" t="s">
        <v>402</v>
      </c>
      <c r="D128" s="10" t="s">
        <v>279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403</v>
      </c>
      <c r="C129" s="12" t="s">
        <v>404</v>
      </c>
      <c r="D129" s="15" t="s">
        <v>294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405</v>
      </c>
      <c r="C130" s="12" t="s">
        <v>69</v>
      </c>
      <c r="D130" s="15" t="s">
        <v>294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33</v>
      </c>
      <c r="C131" s="26" t="s">
        <v>406</v>
      </c>
      <c r="D131" s="15"/>
      <c r="E131" s="146">
        <f>SUM(E121:E130)</f>
        <v>5466985.16666667</v>
      </c>
      <c r="F131" s="146">
        <f t="shared" ref="F131:O131" si="48">SUM(F121:F130)</f>
        <v>0</v>
      </c>
      <c r="G131" s="146">
        <f t="shared" si="48"/>
        <v>0</v>
      </c>
      <c r="H131" s="146">
        <f t="shared" si="48"/>
        <v>720000</v>
      </c>
      <c r="I131" s="146">
        <f t="shared" si="48"/>
        <v>330000</v>
      </c>
      <c r="J131" s="146">
        <f t="shared" si="48"/>
        <v>6516985.16666667</v>
      </c>
      <c r="K131" s="146">
        <v>4253192.46025</v>
      </c>
      <c r="L131" s="146">
        <f t="shared" si="48"/>
        <v>2263792.70641667</v>
      </c>
      <c r="M131" s="146">
        <f t="shared" si="48"/>
        <v>967668.721098668</v>
      </c>
      <c r="N131" s="146">
        <v>615898.934240667</v>
      </c>
      <c r="O131" s="14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71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407</v>
      </c>
      <c r="C134" s="12" t="s">
        <v>408</v>
      </c>
      <c r="D134" s="15" t="s">
        <v>297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229</v>
      </c>
      <c r="C135" s="12" t="s">
        <v>230</v>
      </c>
      <c r="D135" s="15" t="s">
        <v>231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409</v>
      </c>
      <c r="C136" s="4" t="s">
        <v>410</v>
      </c>
      <c r="D136" s="16" t="s">
        <v>231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411</v>
      </c>
      <c r="C137" s="12" t="s">
        <v>412</v>
      </c>
      <c r="D137" s="15" t="s">
        <v>254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413</v>
      </c>
      <c r="C138" s="4" t="s">
        <v>414</v>
      </c>
      <c r="D138" s="15" t="s">
        <v>254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415</v>
      </c>
      <c r="C139" s="4" t="s">
        <v>414</v>
      </c>
      <c r="D139" s="15" t="s">
        <v>254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416</v>
      </c>
      <c r="C140" s="12" t="s">
        <v>417</v>
      </c>
      <c r="D140" s="15" t="s">
        <v>391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418</v>
      </c>
      <c r="C141" s="12" t="s">
        <v>417</v>
      </c>
      <c r="D141" s="15" t="s">
        <v>391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419</v>
      </c>
      <c r="C142" s="4" t="s">
        <v>420</v>
      </c>
      <c r="D142" s="15" t="s">
        <v>391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421</v>
      </c>
      <c r="C143" s="12" t="s">
        <v>422</v>
      </c>
      <c r="D143" s="15" t="s">
        <v>271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423</v>
      </c>
      <c r="C144" s="12" t="s">
        <v>424</v>
      </c>
      <c r="D144" s="15" t="s">
        <v>332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425</v>
      </c>
      <c r="C145" s="12" t="s">
        <v>426</v>
      </c>
      <c r="D145" s="15" t="s">
        <v>391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427</v>
      </c>
      <c r="C146" s="4" t="s">
        <v>428</v>
      </c>
      <c r="D146" s="15" t="s">
        <v>41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429</v>
      </c>
      <c r="C147" s="4" t="s">
        <v>430</v>
      </c>
      <c r="D147" s="15" t="s">
        <v>345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431</v>
      </c>
      <c r="C148" s="4" t="s">
        <v>430</v>
      </c>
      <c r="D148" s="15" t="s">
        <v>432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433</v>
      </c>
      <c r="C149" s="4" t="s">
        <v>430</v>
      </c>
      <c r="D149" s="15" t="s">
        <v>432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434</v>
      </c>
      <c r="C150" s="12" t="s">
        <v>435</v>
      </c>
      <c r="D150" s="15" t="s">
        <v>301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436</v>
      </c>
      <c r="C151" s="12" t="s">
        <v>437</v>
      </c>
      <c r="D151" s="10" t="s">
        <v>283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438</v>
      </c>
      <c r="C152" s="12" t="s">
        <v>439</v>
      </c>
      <c r="D152" s="15" t="s">
        <v>345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440</v>
      </c>
      <c r="C153" s="12" t="s">
        <v>441</v>
      </c>
      <c r="D153" s="15" t="s">
        <v>279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442</v>
      </c>
      <c r="C154" s="12" t="s">
        <v>443</v>
      </c>
      <c r="D154" s="15" t="s">
        <v>345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444</v>
      </c>
      <c r="C155" s="12" t="s">
        <v>445</v>
      </c>
      <c r="D155" s="15" t="s">
        <v>279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446</v>
      </c>
      <c r="C156" s="12" t="s">
        <v>447</v>
      </c>
      <c r="D156" s="15" t="s">
        <v>24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448</v>
      </c>
      <c r="C157" s="12" t="s">
        <v>449</v>
      </c>
      <c r="D157" s="15" t="s">
        <v>294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450</v>
      </c>
      <c r="C158" s="12" t="s">
        <v>451</v>
      </c>
      <c r="D158" s="15" t="s">
        <v>294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452</v>
      </c>
      <c r="C159" s="12" t="s">
        <v>453</v>
      </c>
      <c r="D159" s="15" t="s">
        <v>294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454</v>
      </c>
      <c r="C160" s="12" t="s">
        <v>455</v>
      </c>
      <c r="D160" s="15" t="s">
        <v>291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456</v>
      </c>
      <c r="C161" s="12" t="s">
        <v>451</v>
      </c>
      <c r="D161" s="15" t="s">
        <v>294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457</v>
      </c>
      <c r="C162" s="12" t="s">
        <v>458</v>
      </c>
      <c r="D162" s="15" t="s">
        <v>459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460</v>
      </c>
      <c r="C163" s="12" t="s">
        <v>458</v>
      </c>
      <c r="D163" s="15" t="s">
        <v>459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461</v>
      </c>
      <c r="C164" s="12" t="s">
        <v>458</v>
      </c>
      <c r="D164" s="15" t="s">
        <v>459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462</v>
      </c>
      <c r="C165" s="12" t="s">
        <v>458</v>
      </c>
      <c r="D165" s="15" t="s">
        <v>459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463</v>
      </c>
      <c r="C166" s="12" t="s">
        <v>458</v>
      </c>
      <c r="D166" s="15" t="s">
        <v>459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464</v>
      </c>
      <c r="C167" s="12" t="s">
        <v>458</v>
      </c>
      <c r="D167" s="15" t="s">
        <v>465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466</v>
      </c>
      <c r="C168" s="12" t="s">
        <v>458</v>
      </c>
      <c r="D168" s="15" t="s">
        <v>465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467</v>
      </c>
      <c r="C169" s="12" t="s">
        <v>458</v>
      </c>
      <c r="D169" s="15" t="s">
        <v>465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468</v>
      </c>
      <c r="C170" s="12" t="s">
        <v>458</v>
      </c>
      <c r="D170" s="15" t="s">
        <v>465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469</v>
      </c>
      <c r="C171" s="12" t="s">
        <v>458</v>
      </c>
      <c r="D171" s="15" t="s">
        <v>465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470</v>
      </c>
      <c r="C172" s="12" t="s">
        <v>458</v>
      </c>
      <c r="D172" s="15" t="s">
        <v>465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471</v>
      </c>
      <c r="C173" s="12" t="s">
        <v>472</v>
      </c>
      <c r="D173" s="15" t="s">
        <v>473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474</v>
      </c>
      <c r="C174" s="12" t="s">
        <v>472</v>
      </c>
      <c r="D174" s="15" t="s">
        <v>473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475</v>
      </c>
      <c r="C175" s="12" t="s">
        <v>472</v>
      </c>
      <c r="D175" s="15" t="s">
        <v>476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477</v>
      </c>
      <c r="C176" s="12" t="s">
        <v>478</v>
      </c>
      <c r="D176" s="15" t="s">
        <v>479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480</v>
      </c>
      <c r="C177" s="12" t="s">
        <v>481</v>
      </c>
      <c r="D177" s="15" t="s">
        <v>482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483</v>
      </c>
      <c r="C178" s="12" t="s">
        <v>481</v>
      </c>
      <c r="D178" s="15" t="s">
        <v>482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484</v>
      </c>
      <c r="C179" s="12" t="s">
        <v>481</v>
      </c>
      <c r="D179" s="15" t="s">
        <v>482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485</v>
      </c>
      <c r="C180" s="12" t="s">
        <v>481</v>
      </c>
      <c r="D180" s="15" t="s">
        <v>482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486</v>
      </c>
      <c r="C181" s="12" t="s">
        <v>481</v>
      </c>
      <c r="D181" s="15" t="s">
        <v>482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487</v>
      </c>
      <c r="C182" s="12" t="s">
        <v>481</v>
      </c>
      <c r="D182" s="15" t="s">
        <v>482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488</v>
      </c>
      <c r="C183" s="12" t="s">
        <v>481</v>
      </c>
      <c r="D183" s="15" t="s">
        <v>482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489</v>
      </c>
      <c r="C184" s="12" t="s">
        <v>478</v>
      </c>
      <c r="D184" s="15" t="s">
        <v>482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490</v>
      </c>
      <c r="C185" s="12" t="s">
        <v>478</v>
      </c>
      <c r="D185" s="15" t="s">
        <v>482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491</v>
      </c>
      <c r="C186" s="12" t="s">
        <v>172</v>
      </c>
      <c r="D186" s="15" t="s">
        <v>492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493</v>
      </c>
      <c r="C187" s="12" t="s">
        <v>481</v>
      </c>
      <c r="D187" s="15" t="s">
        <v>494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495</v>
      </c>
      <c r="C188" s="12" t="s">
        <v>496</v>
      </c>
      <c r="D188" s="15" t="s">
        <v>497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498</v>
      </c>
      <c r="C189" s="12" t="s">
        <v>496</v>
      </c>
      <c r="D189" s="15" t="s">
        <v>497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499</v>
      </c>
      <c r="C190" s="12" t="s">
        <v>496</v>
      </c>
      <c r="D190" s="15" t="s">
        <v>497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500</v>
      </c>
      <c r="C191" s="12" t="s">
        <v>501</v>
      </c>
      <c r="D191" s="15" t="s">
        <v>502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503</v>
      </c>
      <c r="C192" s="12" t="s">
        <v>501</v>
      </c>
      <c r="D192" s="15" t="s">
        <v>502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33</v>
      </c>
      <c r="C193" s="28" t="s">
        <v>504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80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2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2:15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0:13">
      <c r="J197" s="35"/>
      <c r="K197" s="35"/>
      <c r="M197" s="35">
        <f>M194-M196</f>
        <v>-15359.9999999944</v>
      </c>
    </row>
    <row r="198" ht="20.1" customHeight="1" spans="10:10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142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144</v>
      </c>
      <c r="B4" s="462" t="s">
        <v>145</v>
      </c>
      <c r="C4" s="463" t="s">
        <v>146</v>
      </c>
      <c r="D4" s="462" t="s">
        <v>147</v>
      </c>
      <c r="E4" s="463" t="s">
        <v>148</v>
      </c>
      <c r="F4" s="463" t="s">
        <v>149</v>
      </c>
      <c r="G4" s="463" t="s">
        <v>150</v>
      </c>
      <c r="H4" s="463" t="s">
        <v>151</v>
      </c>
      <c r="I4" s="463" t="s">
        <v>152</v>
      </c>
      <c r="J4" s="463"/>
      <c r="K4" s="463"/>
      <c r="L4" s="463"/>
      <c r="M4" s="463" t="s">
        <v>153</v>
      </c>
      <c r="N4" s="463" t="s">
        <v>154</v>
      </c>
      <c r="O4" s="463" t="s">
        <v>155</v>
      </c>
      <c r="P4" s="463" t="s">
        <v>156</v>
      </c>
      <c r="Q4" s="463" t="s">
        <v>157</v>
      </c>
      <c r="R4" s="463" t="s">
        <v>158</v>
      </c>
      <c r="S4" s="463" t="s">
        <v>159</v>
      </c>
      <c r="T4" s="463" t="s">
        <v>160</v>
      </c>
      <c r="U4" s="463" t="s">
        <v>161</v>
      </c>
      <c r="V4" s="463" t="s">
        <v>162</v>
      </c>
      <c r="W4" s="463"/>
      <c r="X4" s="463" t="s">
        <v>163</v>
      </c>
      <c r="Y4" s="463" t="s">
        <v>164</v>
      </c>
      <c r="Z4" s="476" t="s">
        <v>165</v>
      </c>
      <c r="AA4" s="477"/>
      <c r="AB4" s="477" t="s">
        <v>520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236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239</v>
      </c>
      <c r="C7" s="465">
        <v>852373.166666667</v>
      </c>
      <c r="D7" s="466">
        <v>12</v>
      </c>
      <c r="E7" s="467">
        <f t="shared" ref="E7:E32" si="14">C7*D7</f>
        <v>10228478</v>
      </c>
      <c r="F7" s="467"/>
      <c r="G7" s="467">
        <v>731878.24</v>
      </c>
      <c r="H7" s="467"/>
      <c r="I7" s="467">
        <f t="shared" si="0"/>
        <v>9496599.76</v>
      </c>
      <c r="J7" s="467">
        <v>200000</v>
      </c>
      <c r="K7" s="467">
        <v>0.2</v>
      </c>
      <c r="L7" s="467">
        <f t="shared" si="1"/>
        <v>1899319.952</v>
      </c>
      <c r="M7" s="467">
        <f t="shared" si="2"/>
        <v>2099319.952</v>
      </c>
      <c r="N7" s="467">
        <f t="shared" si="3"/>
        <v>2831198.192</v>
      </c>
      <c r="O7" s="467">
        <f t="shared" si="4"/>
        <v>7397279.808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1007347.15392</v>
      </c>
      <c r="V7" s="467">
        <f t="shared" si="11"/>
        <v>1567347.15392</v>
      </c>
      <c r="W7" s="474">
        <v>12</v>
      </c>
      <c r="X7" s="467">
        <f t="shared" si="12"/>
        <v>130612.262826667</v>
      </c>
      <c r="Y7" s="467"/>
      <c r="Z7" s="478">
        <f t="shared" si="13"/>
        <v>130612.262826667</v>
      </c>
      <c r="AA7" s="479">
        <v>82627.9514186667</v>
      </c>
      <c r="AB7" s="479">
        <f t="shared" ref="AB7:AB32" si="15">Z7-AA7</f>
        <v>47984.311408</v>
      </c>
      <c r="AC7" s="479"/>
      <c r="AD7" s="479"/>
      <c r="AE7" s="479"/>
    </row>
    <row r="8" ht="18" spans="1:31">
      <c r="A8" s="464">
        <v>5</v>
      </c>
      <c r="B8" s="14" t="s">
        <v>241</v>
      </c>
      <c r="C8" s="465">
        <v>1052373.16666667</v>
      </c>
      <c r="D8" s="466">
        <v>12</v>
      </c>
      <c r="E8" s="467">
        <f t="shared" si="14"/>
        <v>12628478</v>
      </c>
      <c r="F8" s="467"/>
      <c r="G8" s="467">
        <v>0</v>
      </c>
      <c r="H8" s="467"/>
      <c r="I8" s="467">
        <f t="shared" si="0"/>
        <v>12628478</v>
      </c>
      <c r="J8" s="467">
        <v>200000</v>
      </c>
      <c r="K8" s="467">
        <v>0.2</v>
      </c>
      <c r="L8" s="467">
        <f t="shared" si="1"/>
        <v>2525695.60000001</v>
      </c>
      <c r="M8" s="467">
        <f t="shared" si="2"/>
        <v>2725695.60000001</v>
      </c>
      <c r="N8" s="467">
        <f t="shared" si="3"/>
        <v>2725695.60000001</v>
      </c>
      <c r="O8" s="467">
        <f t="shared" si="4"/>
        <v>9902782.40000003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1608667.77600001</v>
      </c>
      <c r="V8" s="467">
        <f t="shared" si="11"/>
        <v>2168667.77600001</v>
      </c>
      <c r="W8" s="474">
        <v>12</v>
      </c>
      <c r="X8" s="467">
        <f t="shared" si="12"/>
        <v>180722.314666667</v>
      </c>
      <c r="Y8" s="467"/>
      <c r="Z8" s="478">
        <f t="shared" si="13"/>
        <v>180722.314666667</v>
      </c>
      <c r="AA8" s="479">
        <v>121027.951418667</v>
      </c>
      <c r="AB8" s="479">
        <f t="shared" si="15"/>
        <v>59694.3632480003</v>
      </c>
      <c r="AC8" s="479"/>
      <c r="AD8" s="479"/>
      <c r="AE8" s="479"/>
    </row>
    <row r="9" ht="18" spans="1:31">
      <c r="A9" s="464">
        <v>6</v>
      </c>
      <c r="B9" s="11" t="s">
        <v>243</v>
      </c>
      <c r="C9" s="465">
        <v>942373.166666667</v>
      </c>
      <c r="D9" s="466">
        <v>12</v>
      </c>
      <c r="E9" s="467">
        <f t="shared" si="14"/>
        <v>11308478</v>
      </c>
      <c r="F9" s="467">
        <f>'[5]JANUARY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245</v>
      </c>
      <c r="C10" s="465">
        <v>1002373.16666667</v>
      </c>
      <c r="D10" s="466">
        <v>12</v>
      </c>
      <c r="E10" s="467">
        <f t="shared" si="14"/>
        <v>12028478</v>
      </c>
      <c r="F10" s="467">
        <f>'[5]JANUARY 2024'!$V$10*12</f>
        <v>12795.951</v>
      </c>
      <c r="G10" s="467">
        <v>731878.24</v>
      </c>
      <c r="H10" s="467"/>
      <c r="I10" s="467">
        <f t="shared" si="0"/>
        <v>11283803.809</v>
      </c>
      <c r="J10" s="467">
        <v>200000</v>
      </c>
      <c r="K10" s="467">
        <v>0.2</v>
      </c>
      <c r="L10" s="467">
        <f t="shared" si="1"/>
        <v>2256760.76180001</v>
      </c>
      <c r="M10" s="467">
        <f t="shared" si="2"/>
        <v>2456760.76180001</v>
      </c>
      <c r="N10" s="467">
        <f t="shared" si="3"/>
        <v>3201434.95280001</v>
      </c>
      <c r="O10" s="467">
        <f t="shared" si="4"/>
        <v>8827043.04720003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1350490.33132801</v>
      </c>
      <c r="V10" s="467">
        <f t="shared" si="11"/>
        <v>1910490.33132801</v>
      </c>
      <c r="W10" s="474">
        <v>12</v>
      </c>
      <c r="X10" s="467">
        <f t="shared" si="12"/>
        <v>159207.527610667</v>
      </c>
      <c r="Y10" s="467"/>
      <c r="Z10" s="478">
        <f t="shared" si="13"/>
        <v>159207.527610667</v>
      </c>
      <c r="AA10" s="479">
        <v>111223.216202667</v>
      </c>
      <c r="AB10" s="479">
        <f t="shared" si="15"/>
        <v>47984.3114080003</v>
      </c>
      <c r="AC10" s="479"/>
      <c r="AD10" s="479"/>
      <c r="AE10" s="479"/>
    </row>
    <row r="11" ht="18" spans="1:31">
      <c r="A11" s="464">
        <v>8</v>
      </c>
      <c r="B11" s="18" t="s">
        <v>232</v>
      </c>
      <c r="C11" s="465">
        <v>952373.166666667</v>
      </c>
      <c r="D11" s="466">
        <v>12</v>
      </c>
      <c r="E11" s="467">
        <f t="shared" si="14"/>
        <v>11428478</v>
      </c>
      <c r="F11" s="467"/>
      <c r="G11" s="467">
        <v>0</v>
      </c>
      <c r="H11" s="467"/>
      <c r="I11" s="467">
        <f t="shared" si="0"/>
        <v>11428478</v>
      </c>
      <c r="J11" s="467">
        <v>200000</v>
      </c>
      <c r="K11" s="467">
        <v>0.2</v>
      </c>
      <c r="L11" s="467">
        <f t="shared" si="1"/>
        <v>2285695.6</v>
      </c>
      <c r="M11" s="467">
        <f t="shared" si="2"/>
        <v>2485695.6</v>
      </c>
      <c r="N11" s="467">
        <f t="shared" si="3"/>
        <v>2485695.6</v>
      </c>
      <c r="O11" s="467">
        <f t="shared" si="4"/>
        <v>8942782.4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1378267.776</v>
      </c>
      <c r="V11" s="467">
        <f t="shared" si="11"/>
        <v>1938267.776</v>
      </c>
      <c r="W11" s="474">
        <v>12</v>
      </c>
      <c r="X11" s="467">
        <f t="shared" si="12"/>
        <v>161522.314666667</v>
      </c>
      <c r="Y11" s="467"/>
      <c r="Z11" s="478">
        <f t="shared" si="13"/>
        <v>161522.314666667</v>
      </c>
      <c r="AA11" s="479">
        <v>101827.951418667</v>
      </c>
      <c r="AB11" s="479">
        <f t="shared" si="15"/>
        <v>59694.3632479997</v>
      </c>
      <c r="AC11" s="479"/>
      <c r="AD11" s="479"/>
      <c r="AE11" s="479"/>
    </row>
    <row r="12" ht="18" spans="1:31">
      <c r="A12" s="464">
        <v>9</v>
      </c>
      <c r="B12" s="11" t="s">
        <v>247</v>
      </c>
      <c r="C12" s="465">
        <v>750675.583333333</v>
      </c>
      <c r="D12" s="466">
        <v>12</v>
      </c>
      <c r="E12" s="467">
        <f t="shared" si="14"/>
        <v>9008107</v>
      </c>
      <c r="F12" s="467">
        <f>'[5]JANUARY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250</v>
      </c>
      <c r="C13" s="465">
        <v>842118.083333333</v>
      </c>
      <c r="D13" s="466">
        <v>12</v>
      </c>
      <c r="E13" s="467">
        <f t="shared" si="14"/>
        <v>10105417</v>
      </c>
      <c r="F13" s="467">
        <f>'[5]JANUARY 2024'!$V$14*12</f>
        <v>9305.952</v>
      </c>
      <c r="G13" s="467">
        <v>558833.36</v>
      </c>
      <c r="H13" s="467"/>
      <c r="I13" s="467">
        <f t="shared" si="0"/>
        <v>9537277.688</v>
      </c>
      <c r="J13" s="467">
        <v>200000</v>
      </c>
      <c r="K13" s="467">
        <v>0.2</v>
      </c>
      <c r="L13" s="467">
        <f t="shared" si="1"/>
        <v>1907455.5376</v>
      </c>
      <c r="M13" s="467">
        <f t="shared" si="2"/>
        <v>2107455.5376</v>
      </c>
      <c r="N13" s="467">
        <f t="shared" si="3"/>
        <v>2675594.8496</v>
      </c>
      <c r="O13" s="467">
        <f t="shared" si="4"/>
        <v>7429822.1504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1015157.316096</v>
      </c>
      <c r="V13" s="467">
        <f t="shared" si="11"/>
        <v>1575157.316096</v>
      </c>
      <c r="W13" s="474">
        <v>12</v>
      </c>
      <c r="X13" s="467">
        <f t="shared" si="12"/>
        <v>131263.109674667</v>
      </c>
      <c r="Y13" s="467"/>
      <c r="Z13" s="478">
        <f t="shared" si="13"/>
        <v>131263.109674667</v>
      </c>
      <c r="AA13" s="479">
        <v>94625.7820586667</v>
      </c>
      <c r="AB13" s="479">
        <f t="shared" si="15"/>
        <v>36637.3276159999</v>
      </c>
      <c r="AC13" s="479"/>
      <c r="AD13" s="479"/>
      <c r="AE13" s="479"/>
    </row>
    <row r="14" ht="18" spans="1:31">
      <c r="A14" s="464">
        <v>11</v>
      </c>
      <c r="B14" s="11" t="s">
        <v>252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255</v>
      </c>
      <c r="C15" s="465"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258</v>
      </c>
      <c r="C16" s="465">
        <v>732746.5</v>
      </c>
      <c r="D16" s="466">
        <v>12</v>
      </c>
      <c r="E16" s="467">
        <f t="shared" si="14"/>
        <v>8792958</v>
      </c>
      <c r="F16" s="467"/>
      <c r="G16" s="467">
        <v>425036.64</v>
      </c>
      <c r="H16" s="467"/>
      <c r="I16" s="467">
        <f t="shared" si="0"/>
        <v>8367921.36</v>
      </c>
      <c r="J16" s="467">
        <v>200000</v>
      </c>
      <c r="K16" s="467">
        <v>0.2</v>
      </c>
      <c r="L16" s="467">
        <f t="shared" si="1"/>
        <v>1673584.272</v>
      </c>
      <c r="M16" s="467">
        <f t="shared" si="2"/>
        <v>1873584.272</v>
      </c>
      <c r="N16" s="467">
        <f t="shared" si="3"/>
        <v>2298620.912</v>
      </c>
      <c r="O16" s="467">
        <f t="shared" si="4"/>
        <v>6494337.088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790640.90112</v>
      </c>
      <c r="V16" s="467">
        <f t="shared" si="11"/>
        <v>1350640.90112</v>
      </c>
      <c r="W16" s="474">
        <v>12</v>
      </c>
      <c r="X16" s="467">
        <f t="shared" si="12"/>
        <v>112553.408426667</v>
      </c>
      <c r="Y16" s="467"/>
      <c r="Z16" s="478">
        <f t="shared" si="13"/>
        <v>112553.408426667</v>
      </c>
      <c r="AA16" s="479">
        <v>46666.6666666667</v>
      </c>
      <c r="AB16" s="479">
        <f t="shared" si="15"/>
        <v>65886.7417599999</v>
      </c>
      <c r="AC16" s="479"/>
      <c r="AD16" s="479"/>
      <c r="AE16" s="479"/>
    </row>
    <row r="17" ht="18" spans="1:31">
      <c r="A17" s="464">
        <v>14</v>
      </c>
      <c r="B17" s="11" t="s">
        <v>261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264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267</v>
      </c>
      <c r="C19" s="465">
        <v>636026.916666667</v>
      </c>
      <c r="D19" s="466">
        <v>12</v>
      </c>
      <c r="E19" s="467">
        <f t="shared" si="14"/>
        <v>7632323</v>
      </c>
      <c r="F19" s="467">
        <f>618.53*12</f>
        <v>7422.36</v>
      </c>
      <c r="G19" s="467">
        <v>399385.84</v>
      </c>
      <c r="H19" s="467"/>
      <c r="I19" s="467">
        <f t="shared" si="0"/>
        <v>7225514.8</v>
      </c>
      <c r="J19" s="467">
        <v>200000</v>
      </c>
      <c r="K19" s="467">
        <v>0.2</v>
      </c>
      <c r="L19" s="467">
        <f t="shared" si="1"/>
        <v>1445102.96</v>
      </c>
      <c r="M19" s="467">
        <f t="shared" si="2"/>
        <v>1645102.96</v>
      </c>
      <c r="N19" s="467">
        <f t="shared" si="3"/>
        <v>2051911.16</v>
      </c>
      <c r="O19" s="467">
        <f t="shared" si="4"/>
        <v>5580411.84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571298.841600001</v>
      </c>
      <c r="V19" s="467">
        <f t="shared" si="11"/>
        <v>1131298.8416</v>
      </c>
      <c r="W19" s="474">
        <v>12</v>
      </c>
      <c r="X19" s="467">
        <f t="shared" si="12"/>
        <v>94274.9034666667</v>
      </c>
      <c r="Y19" s="467"/>
      <c r="Z19" s="478">
        <f t="shared" si="13"/>
        <v>94274.9034666667</v>
      </c>
      <c r="AA19" s="479">
        <v>46666.6666666667</v>
      </c>
      <c r="AB19" s="479">
        <f t="shared" si="15"/>
        <v>47608.2368</v>
      </c>
      <c r="AC19" s="479"/>
      <c r="AD19" s="479"/>
      <c r="AE19" s="479"/>
    </row>
    <row r="20" ht="18" spans="1:31">
      <c r="A20" s="464">
        <v>17</v>
      </c>
      <c r="B20" s="11" t="s">
        <v>270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272</v>
      </c>
      <c r="C21" s="465">
        <v>553512.5</v>
      </c>
      <c r="D21" s="466">
        <v>12</v>
      </c>
      <c r="E21" s="467">
        <f t="shared" si="14"/>
        <v>6642150</v>
      </c>
      <c r="F21" s="467"/>
      <c r="G21" s="467">
        <v>339372</v>
      </c>
      <c r="H21" s="467"/>
      <c r="I21" s="467">
        <f t="shared" si="0"/>
        <v>6302778</v>
      </c>
      <c r="J21" s="467">
        <v>200000</v>
      </c>
      <c r="K21" s="467">
        <v>0.2</v>
      </c>
      <c r="L21" s="467">
        <f t="shared" si="1"/>
        <v>1260555.6</v>
      </c>
      <c r="M21" s="467">
        <f t="shared" si="2"/>
        <v>1460555.6</v>
      </c>
      <c r="N21" s="467">
        <f t="shared" si="3"/>
        <v>1799927.6</v>
      </c>
      <c r="O21" s="467">
        <f t="shared" si="4"/>
        <v>4842222.4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394133.376</v>
      </c>
      <c r="V21" s="467">
        <f t="shared" si="11"/>
        <v>954133.376</v>
      </c>
      <c r="W21" s="474">
        <v>12</v>
      </c>
      <c r="X21" s="467">
        <f t="shared" si="12"/>
        <v>79511.1146666667</v>
      </c>
      <c r="Y21" s="467"/>
      <c r="Z21" s="478">
        <f t="shared" si="13"/>
        <v>79511.1146666667</v>
      </c>
      <c r="AA21" s="479">
        <v>46666.6666666667</v>
      </c>
      <c r="AB21" s="479">
        <f t="shared" si="15"/>
        <v>32844.448</v>
      </c>
      <c r="AC21" s="479"/>
      <c r="AD21" s="479"/>
      <c r="AE21" s="479"/>
    </row>
    <row r="22" ht="18" spans="1:31">
      <c r="A22" s="464">
        <v>19</v>
      </c>
      <c r="B22" s="11" t="s">
        <v>274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276</v>
      </c>
      <c r="C23" s="465">
        <v>453029.666666667</v>
      </c>
      <c r="D23" s="466">
        <v>12</v>
      </c>
      <c r="E23" s="467">
        <f t="shared" si="14"/>
        <v>5436356</v>
      </c>
      <c r="F23" s="467"/>
      <c r="G23" s="467">
        <v>281308.48</v>
      </c>
      <c r="H23" s="467"/>
      <c r="I23" s="467">
        <f t="shared" si="0"/>
        <v>5155047.52</v>
      </c>
      <c r="J23" s="467">
        <v>200000</v>
      </c>
      <c r="K23" s="467">
        <v>0.2</v>
      </c>
      <c r="L23" s="467">
        <f t="shared" si="1"/>
        <v>1031009.504</v>
      </c>
      <c r="M23" s="467">
        <f t="shared" si="2"/>
        <v>1231009.504</v>
      </c>
      <c r="N23" s="467">
        <f t="shared" si="3"/>
        <v>1512317.984</v>
      </c>
      <c r="O23" s="467">
        <f t="shared" si="4"/>
        <v>3924038.016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173769.123840001</v>
      </c>
      <c r="V23" s="467">
        <f t="shared" si="11"/>
        <v>733769.123840001</v>
      </c>
      <c r="W23" s="474">
        <v>12</v>
      </c>
      <c r="X23" s="467">
        <f t="shared" si="12"/>
        <v>61147.4269866667</v>
      </c>
      <c r="Y23" s="467"/>
      <c r="Z23" s="478">
        <f t="shared" si="13"/>
        <v>61147.4269866667</v>
      </c>
      <c r="AA23" s="479">
        <v>42371.8157286667</v>
      </c>
      <c r="AB23" s="479">
        <f t="shared" si="15"/>
        <v>18775.611258</v>
      </c>
      <c r="AC23" s="479"/>
      <c r="AD23" s="479"/>
      <c r="AE23" s="479"/>
    </row>
    <row r="24" ht="18" spans="1:31">
      <c r="A24" s="464">
        <v>21</v>
      </c>
      <c r="B24" s="4" t="s">
        <v>278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280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281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282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284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286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287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289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292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34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295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298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300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38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302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304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306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309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311</v>
      </c>
      <c r="C44" s="467">
        <v>780675.583333333</v>
      </c>
      <c r="D44" s="466">
        <v>12</v>
      </c>
      <c r="E44" s="467">
        <f t="shared" si="34"/>
        <v>9368107</v>
      </c>
      <c r="F44" s="467">
        <f>'[5]JANUARY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312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313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314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315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316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317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318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521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321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44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323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325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328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329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330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331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333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334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335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337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51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338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220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223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340</v>
      </c>
      <c r="C73" s="467">
        <v>596622.25</v>
      </c>
      <c r="D73" s="466">
        <v>12</v>
      </c>
      <c r="E73" s="467">
        <f t="shared" si="55"/>
        <v>7159467</v>
      </c>
      <c r="F73" s="467">
        <f>'[5]JANUARY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343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346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347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33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56</v>
      </c>
      <c r="C79" s="467"/>
      <c r="Z79" s="481"/>
      <c r="AB79" s="296" t="s">
        <v>522</v>
      </c>
      <c r="AC79" s="479"/>
      <c r="AD79" s="479"/>
      <c r="AE79" s="479"/>
    </row>
    <row r="80" ht="18" spans="1:31">
      <c r="A80" s="464">
        <v>68</v>
      </c>
      <c r="B80" s="11" t="s">
        <v>349</v>
      </c>
      <c r="C80" s="467">
        <v>880675.583333333</v>
      </c>
      <c r="D80" s="466">
        <v>12</v>
      </c>
      <c r="E80" s="467">
        <f>C80*D80</f>
        <v>10568107</v>
      </c>
      <c r="F80" s="467"/>
      <c r="G80" s="468">
        <v>595848.56</v>
      </c>
      <c r="H80" s="470"/>
      <c r="I80" s="467">
        <f t="shared" ref="I80:I89" si="67">E80-F80-G80-H80</f>
        <v>9972258.44</v>
      </c>
      <c r="J80" s="467">
        <v>200000</v>
      </c>
      <c r="K80" s="467">
        <v>0.2</v>
      </c>
      <c r="L80" s="467">
        <f t="shared" ref="L80:L89" si="68">I80*K80</f>
        <v>1994451.688</v>
      </c>
      <c r="M80" s="467">
        <f t="shared" ref="M80:M89" si="69">J80+L80</f>
        <v>2194451.688</v>
      </c>
      <c r="N80" s="467">
        <f t="shared" ref="N80:N89" si="70">F80+G80+H80+M80</f>
        <v>2790300.248</v>
      </c>
      <c r="O80" s="467">
        <f t="shared" ref="O80:O89" si="71">E80-N80</f>
        <v>7777806.752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1098673.62048</v>
      </c>
      <c r="V80" s="467">
        <f t="shared" ref="V80:V89" si="78">P80+Q80+R80+S80+T80+U80</f>
        <v>1658673.62048</v>
      </c>
      <c r="W80" s="474">
        <v>12</v>
      </c>
      <c r="X80" s="467">
        <f t="shared" ref="X80:X89" si="79">V80/W80</f>
        <v>138222.801706667</v>
      </c>
      <c r="Y80" s="470"/>
      <c r="Z80" s="478">
        <f t="shared" ref="Z80:Z89" si="80">X80</f>
        <v>138222.801706667</v>
      </c>
      <c r="AA80" s="467">
        <v>99156.9391466667</v>
      </c>
      <c r="AB80" s="479">
        <f>Z80-AA80</f>
        <v>39065.8625599999</v>
      </c>
      <c r="AC80" s="479" t="s">
        <v>349</v>
      </c>
      <c r="AD80" s="479"/>
      <c r="AE80" s="479"/>
    </row>
    <row r="81" ht="18" spans="1:31">
      <c r="A81" s="464">
        <v>69</v>
      </c>
      <c r="B81" s="11" t="s">
        <v>350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'[5]JANUARY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350</v>
      </c>
      <c r="AD81" s="479"/>
      <c r="AE81" s="479"/>
    </row>
    <row r="82" ht="36" spans="1:31">
      <c r="A82" s="464">
        <v>70</v>
      </c>
      <c r="B82" s="11" t="s">
        <v>351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351</v>
      </c>
      <c r="AD82" s="479"/>
      <c r="AE82" s="479"/>
    </row>
    <row r="83" ht="18" spans="1:31">
      <c r="A83" s="464">
        <v>71</v>
      </c>
      <c r="B83" s="11" t="s">
        <v>352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352</v>
      </c>
      <c r="AD83" s="479"/>
      <c r="AE83" s="479"/>
    </row>
    <row r="84" ht="18" spans="1:31">
      <c r="A84" s="464">
        <v>72</v>
      </c>
      <c r="B84" s="11" t="s">
        <v>354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354</v>
      </c>
      <c r="AD84" s="479"/>
      <c r="AE84" s="479"/>
    </row>
    <row r="85" ht="36" spans="1:31">
      <c r="A85" s="464">
        <v>73</v>
      </c>
      <c r="B85" s="11" t="s">
        <v>355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355</v>
      </c>
      <c r="AD85" s="479"/>
      <c r="AE85" s="479"/>
    </row>
    <row r="86" ht="18" spans="1:31">
      <c r="A86" s="464">
        <v>74</v>
      </c>
      <c r="B86" s="11" t="s">
        <v>357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357</v>
      </c>
      <c r="AD86" s="479"/>
      <c r="AE86" s="479"/>
    </row>
    <row r="87" ht="24" customHeight="1" spans="1:31">
      <c r="A87" s="464">
        <v>75</v>
      </c>
      <c r="B87" s="11" t="s">
        <v>358</v>
      </c>
      <c r="C87" s="467">
        <v>510248.916666667</v>
      </c>
      <c r="D87" s="466">
        <v>12</v>
      </c>
      <c r="E87" s="467">
        <f t="shared" si="81"/>
        <v>6122987</v>
      </c>
      <c r="F87" s="467">
        <f>'[5]JANUARY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358</v>
      </c>
      <c r="AD87" s="479"/>
      <c r="AE87" s="479"/>
    </row>
    <row r="88" ht="18" spans="1:31">
      <c r="A88" s="464">
        <v>76</v>
      </c>
      <c r="B88" s="11" t="s">
        <v>359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359</v>
      </c>
      <c r="AD88" s="479"/>
      <c r="AE88" s="479"/>
    </row>
    <row r="89" ht="18" spans="1:31">
      <c r="A89" s="464"/>
      <c r="B89" s="11" t="s">
        <v>361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361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58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363</v>
      </c>
      <c r="C93" s="467">
        <v>852373.166666667</v>
      </c>
      <c r="D93" s="466">
        <v>12</v>
      </c>
      <c r="E93" s="467">
        <f>C93*D93</f>
        <v>10228478</v>
      </c>
      <c r="F93" s="467">
        <f>'[5]JANUARY 2024'!$V$98*12</f>
        <v>12795.951</v>
      </c>
      <c r="G93" s="468">
        <v>731878.24</v>
      </c>
      <c r="H93" s="470"/>
      <c r="I93" s="467">
        <f>E93-F93-G93-H93</f>
        <v>9483803.809</v>
      </c>
      <c r="J93" s="467">
        <v>200000</v>
      </c>
      <c r="K93" s="467">
        <v>0.2</v>
      </c>
      <c r="L93" s="467">
        <f>I93*K93</f>
        <v>1896760.7618</v>
      </c>
      <c r="M93" s="467">
        <f>J93+L93</f>
        <v>2096760.7618</v>
      </c>
      <c r="N93" s="467">
        <f>F93+G93+H93+M93</f>
        <v>2841434.9528</v>
      </c>
      <c r="O93" s="467">
        <f>E93-N93</f>
        <v>7387043.0472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1004890.331328</v>
      </c>
      <c r="V93" s="467">
        <f>P93+Q93+R93+S93+T93+U93</f>
        <v>1564890.331328</v>
      </c>
      <c r="W93" s="474">
        <v>12</v>
      </c>
      <c r="X93" s="467">
        <f>V93/W93</f>
        <v>130407.527610667</v>
      </c>
      <c r="Y93" s="470"/>
      <c r="Z93" s="478">
        <f>X93</f>
        <v>130407.527610667</v>
      </c>
      <c r="AA93" s="479">
        <v>82423.2162026667</v>
      </c>
      <c r="AB93" s="479">
        <f>Z93-AA93</f>
        <v>47984.311408</v>
      </c>
      <c r="AC93" s="479" t="s">
        <v>363</v>
      </c>
      <c r="AD93" s="479"/>
      <c r="AE93" s="479"/>
    </row>
    <row r="94" ht="18" spans="1:31">
      <c r="A94" s="464">
        <v>80</v>
      </c>
      <c r="B94" s="11" t="s">
        <v>366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366</v>
      </c>
      <c r="AD94" s="479"/>
      <c r="AE94" s="479"/>
    </row>
    <row r="95" ht="18" spans="1:31">
      <c r="A95" s="464">
        <v>81</v>
      </c>
      <c r="B95" s="11" t="s">
        <v>368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368</v>
      </c>
      <c r="AD95" s="479"/>
      <c r="AE95" s="479"/>
    </row>
    <row r="96" ht="18" spans="1:31">
      <c r="A96" s="464"/>
      <c r="B96" s="11" t="s">
        <v>370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370</v>
      </c>
      <c r="AD96" s="479"/>
      <c r="AE96" s="479"/>
    </row>
    <row r="97" ht="17.5" spans="1:31">
      <c r="A97" s="464"/>
      <c r="B97" s="20" t="s">
        <v>33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372</v>
      </c>
      <c r="C99" s="467"/>
      <c r="G99" s="296">
        <v>0</v>
      </c>
      <c r="Z99" s="481"/>
      <c r="AB99" s="296" t="s">
        <v>520</v>
      </c>
      <c r="AC99" s="479"/>
      <c r="AD99" s="479"/>
      <c r="AE99" s="479"/>
    </row>
    <row r="100" ht="18" spans="1:31">
      <c r="A100" s="464">
        <v>85</v>
      </c>
      <c r="B100" s="11" t="s">
        <v>373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373</v>
      </c>
      <c r="AD100" s="479"/>
      <c r="AE100" s="479"/>
    </row>
    <row r="101" ht="18" spans="1:31">
      <c r="A101" s="464">
        <v>86</v>
      </c>
      <c r="B101" s="11" t="s">
        <v>375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'[5]JANUARY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375</v>
      </c>
      <c r="AD101" s="479"/>
      <c r="AE101" s="479"/>
    </row>
    <row r="102" ht="18" spans="1:31">
      <c r="A102" s="464">
        <v>87</v>
      </c>
      <c r="B102" s="11" t="s">
        <v>377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'[5]JANUARY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377</v>
      </c>
      <c r="AD102" s="479"/>
      <c r="AE102" s="479"/>
    </row>
    <row r="103" ht="18" spans="1:31">
      <c r="A103" s="464">
        <v>88</v>
      </c>
      <c r="B103" s="11" t="s">
        <v>379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379</v>
      </c>
      <c r="AD103" s="479"/>
      <c r="AE103" s="479"/>
    </row>
    <row r="104" ht="18" spans="1:31">
      <c r="A104" s="464">
        <v>89</v>
      </c>
      <c r="B104" s="11" t="s">
        <v>380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380</v>
      </c>
      <c r="AD104" s="479"/>
      <c r="AE104" s="479"/>
    </row>
    <row r="105" ht="36" spans="1:31">
      <c r="A105" s="464"/>
      <c r="B105" s="18" t="s">
        <v>383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383</v>
      </c>
      <c r="AD105" s="479"/>
      <c r="AE105" s="479"/>
    </row>
    <row r="106" ht="18" spans="1:31">
      <c r="A106" s="464"/>
      <c r="B106" s="18" t="s">
        <v>385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385</v>
      </c>
      <c r="AD106" s="479"/>
      <c r="AE106" s="479"/>
    </row>
    <row r="107" ht="17.5" spans="1:31">
      <c r="A107" s="464"/>
      <c r="B107" s="20" t="s">
        <v>33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61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386</v>
      </c>
      <c r="C110" s="467">
        <v>761396.833333333</v>
      </c>
      <c r="D110" s="466">
        <v>12</v>
      </c>
      <c r="E110" s="467">
        <f>C110*D110</f>
        <v>9136762</v>
      </c>
      <c r="F110" s="467">
        <f>'[5]JANUARY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387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389</v>
      </c>
      <c r="C112" s="473">
        <v>450086.5</v>
      </c>
      <c r="D112" s="466">
        <v>12</v>
      </c>
      <c r="E112" s="467">
        <f t="shared" si="104"/>
        <v>5401038</v>
      </c>
      <c r="F112" s="467">
        <f>'[5]JANUARY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67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392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128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395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226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396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398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400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401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403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405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33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71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407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229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409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411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413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415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416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418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419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421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423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425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427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429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431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433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434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436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438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440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442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444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446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448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450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452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454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456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457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460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461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462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463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464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466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467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468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469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470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471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474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475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477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480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483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484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485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486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487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488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489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490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491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493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495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498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499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500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503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523</v>
      </c>
      <c r="C188" s="491">
        <f>SUM(C6:C187)</f>
        <v>79212127.886105</v>
      </c>
      <c r="D188" s="492"/>
      <c r="E188" s="493"/>
      <c r="F188" s="494">
        <f>SUM(F6:F187)</f>
        <v>276375.747</v>
      </c>
      <c r="G188" s="494">
        <f>SUM(G6:G187)</f>
        <v>54773768.88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135631933.582434</v>
      </c>
      <c r="W188" s="494"/>
      <c r="X188" s="494">
        <f t="shared" ref="X188" si="137">SUM(X6:X187)</f>
        <v>11302661.1318695</v>
      </c>
      <c r="Y188" s="494"/>
      <c r="Z188" s="494">
        <f t="shared" ref="Z188" si="138">SUM(Z6:Z187)</f>
        <v>11302661.1318695</v>
      </c>
      <c r="AA188" s="495"/>
      <c r="AB188" s="495"/>
    </row>
    <row r="189" ht="26.25" customHeight="1" spans="2:28">
      <c r="B189" s="496" t="s">
        <v>215</v>
      </c>
      <c r="C189" s="491"/>
      <c r="D189" s="492"/>
      <c r="E189" s="492"/>
      <c r="F189" s="497">
        <f>F188/12</f>
        <v>23031.31225</v>
      </c>
      <c r="G189" s="497">
        <f>G188/12</f>
        <v>4564480.74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11302661.1318695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23" workbookViewId="0">
      <selection activeCell="F93" sqref="F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5" t="s">
        <v>0</v>
      </c>
      <c r="B1" s="75"/>
      <c r="C1" s="75"/>
      <c r="D1" s="75"/>
      <c r="E1" s="75"/>
      <c r="F1" s="75"/>
    </row>
    <row r="2" ht="20.25" customHeight="1" spans="1:6">
      <c r="A2" s="75" t="s">
        <v>563</v>
      </c>
      <c r="B2" s="75"/>
      <c r="C2" s="75"/>
      <c r="D2" s="75"/>
      <c r="E2" s="75"/>
      <c r="F2" s="75"/>
    </row>
    <row r="3" ht="9.75" customHeight="1" spans="1:6">
      <c r="A3" s="75"/>
      <c r="B3" s="75"/>
      <c r="C3" s="75"/>
      <c r="D3" s="75"/>
      <c r="E3" s="75"/>
      <c r="F3" s="75"/>
    </row>
    <row r="4" ht="13.5" customHeight="1" spans="5:6">
      <c r="E4" s="217"/>
      <c r="F4" s="217"/>
    </row>
    <row r="5" ht="52.5" customHeight="1" spans="1:6">
      <c r="A5" s="4"/>
      <c r="B5" s="5" t="s">
        <v>2</v>
      </c>
      <c r="C5" s="6" t="s">
        <v>3</v>
      </c>
      <c r="D5" s="7" t="s">
        <v>4</v>
      </c>
      <c r="E5" s="218" t="s">
        <v>564</v>
      </c>
      <c r="F5" s="218" t="s">
        <v>15</v>
      </c>
    </row>
    <row r="6" ht="17.25" customHeight="1" spans="3:6">
      <c r="C6" s="8"/>
      <c r="D6" s="8"/>
      <c r="E6" s="82" t="s">
        <v>19</v>
      </c>
      <c r="F6" s="82" t="s">
        <v>19</v>
      </c>
    </row>
    <row r="7" ht="20.1" customHeight="1" spans="1:6">
      <c r="A7" s="9" t="s">
        <v>20</v>
      </c>
      <c r="B7" s="8" t="s">
        <v>21</v>
      </c>
      <c r="C7" s="8"/>
      <c r="D7" s="8"/>
      <c r="E7" s="82"/>
      <c r="F7" s="21"/>
    </row>
    <row r="8" ht="20.1" customHeight="1" spans="1:7">
      <c r="A8" s="10">
        <v>1</v>
      </c>
      <c r="B8" s="11" t="s">
        <v>236</v>
      </c>
      <c r="C8" s="12" t="s">
        <v>237</v>
      </c>
      <c r="D8" s="12" t="s">
        <v>238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239</v>
      </c>
      <c r="C9" s="12" t="s">
        <v>240</v>
      </c>
      <c r="D9" s="10" t="s">
        <v>234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241</v>
      </c>
      <c r="C10" s="4" t="s">
        <v>242</v>
      </c>
      <c r="D10" s="10" t="s">
        <v>234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243</v>
      </c>
      <c r="C11" s="17" t="s">
        <v>244</v>
      </c>
      <c r="D11" s="10" t="s">
        <v>234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245</v>
      </c>
      <c r="C12" s="4" t="s">
        <v>530</v>
      </c>
      <c r="D12" s="10" t="s">
        <v>234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232</v>
      </c>
      <c r="C13" s="10" t="s">
        <v>233</v>
      </c>
      <c r="D13" s="10" t="s">
        <v>234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247</v>
      </c>
      <c r="C14" s="12" t="s">
        <v>248</v>
      </c>
      <c r="D14" s="15" t="s">
        <v>249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250</v>
      </c>
      <c r="C15" s="4" t="s">
        <v>251</v>
      </c>
      <c r="D15" s="10" t="s">
        <v>228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252</v>
      </c>
      <c r="C16" s="4" t="s">
        <v>253</v>
      </c>
      <c r="D16" s="15" t="s">
        <v>254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255</v>
      </c>
      <c r="C17" s="17" t="s">
        <v>256</v>
      </c>
      <c r="D17" s="15" t="s">
        <v>257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258</v>
      </c>
      <c r="C18" s="4" t="s">
        <v>259</v>
      </c>
      <c r="D18" s="10" t="s">
        <v>260</v>
      </c>
      <c r="E18" s="85">
        <v>442746.5</v>
      </c>
      <c r="F18" s="85">
        <f t="shared" si="0"/>
        <v>35419.72</v>
      </c>
      <c r="G18" s="13"/>
    </row>
    <row r="19" ht="20.1" customHeight="1" spans="1:6">
      <c r="A19" s="10">
        <v>12</v>
      </c>
      <c r="B19" s="11" t="s">
        <v>261</v>
      </c>
      <c r="C19" s="4" t="s">
        <v>262</v>
      </c>
      <c r="D19" s="10" t="s">
        <v>263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264</v>
      </c>
      <c r="C20" s="12" t="s">
        <v>265</v>
      </c>
      <c r="D20" s="15" t="s">
        <v>266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267</v>
      </c>
      <c r="C21" s="4" t="s">
        <v>531</v>
      </c>
      <c r="D21" s="15" t="s">
        <v>269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270</v>
      </c>
      <c r="C22" s="12" t="s">
        <v>50</v>
      </c>
      <c r="D22" s="15" t="s">
        <v>271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272</v>
      </c>
      <c r="C23" s="17" t="s">
        <v>532</v>
      </c>
      <c r="D23" s="10" t="s">
        <v>41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274</v>
      </c>
      <c r="C24" s="17" t="s">
        <v>275</v>
      </c>
      <c r="D24" s="15" t="s">
        <v>41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276</v>
      </c>
      <c r="C25" s="17" t="s">
        <v>277</v>
      </c>
      <c r="D25" s="10" t="s">
        <v>37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278</v>
      </c>
      <c r="C26" s="4" t="s">
        <v>176</v>
      </c>
      <c r="D26" s="10" t="s">
        <v>279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280</v>
      </c>
      <c r="C27" s="12" t="s">
        <v>176</v>
      </c>
      <c r="D27" s="15" t="s">
        <v>279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281</v>
      </c>
      <c r="C28" s="17" t="s">
        <v>273</v>
      </c>
      <c r="D28" s="10" t="s">
        <v>279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282</v>
      </c>
      <c r="C29" s="12" t="s">
        <v>27</v>
      </c>
      <c r="D29" s="15" t="s">
        <v>283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284</v>
      </c>
      <c r="C30" s="4" t="s">
        <v>285</v>
      </c>
      <c r="D30" s="10" t="s">
        <v>24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286</v>
      </c>
      <c r="C31" s="4" t="s">
        <v>285</v>
      </c>
      <c r="D31" s="10" t="s">
        <v>24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287</v>
      </c>
      <c r="C32" s="17" t="s">
        <v>288</v>
      </c>
      <c r="D32" s="15" t="s">
        <v>279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289</v>
      </c>
      <c r="C33" s="4" t="s">
        <v>290</v>
      </c>
      <c r="D33" s="10" t="s">
        <v>291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292</v>
      </c>
      <c r="C34" s="12" t="s">
        <v>293</v>
      </c>
      <c r="D34" s="15" t="s">
        <v>294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33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34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295</v>
      </c>
      <c r="C38" s="4" t="s">
        <v>296</v>
      </c>
      <c r="D38" s="10" t="s">
        <v>297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298</v>
      </c>
      <c r="C39" s="4" t="s">
        <v>533</v>
      </c>
      <c r="D39" s="10" t="s">
        <v>37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300</v>
      </c>
      <c r="C40" s="12" t="s">
        <v>534</v>
      </c>
      <c r="D40" s="15" t="s">
        <v>301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38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302</v>
      </c>
      <c r="C44" s="4" t="s">
        <v>303</v>
      </c>
      <c r="D44" s="10" t="s">
        <v>297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304</v>
      </c>
      <c r="C45" s="4" t="s">
        <v>305</v>
      </c>
      <c r="D45" s="10" t="s">
        <v>249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306</v>
      </c>
      <c r="C46" s="4" t="s">
        <v>307</v>
      </c>
      <c r="D46" s="10" t="s">
        <v>308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309</v>
      </c>
      <c r="C47" s="4" t="s">
        <v>310</v>
      </c>
      <c r="D47" s="10" t="s">
        <v>249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311</v>
      </c>
      <c r="C48" s="4" t="s">
        <v>310</v>
      </c>
      <c r="D48" s="10" t="s">
        <v>249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312</v>
      </c>
      <c r="C49" s="4" t="s">
        <v>310</v>
      </c>
      <c r="D49" s="10" t="s">
        <v>228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313</v>
      </c>
      <c r="C50" s="4" t="s">
        <v>256</v>
      </c>
      <c r="D50" s="16" t="s">
        <v>257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314</v>
      </c>
      <c r="C51" s="4" t="s">
        <v>63</v>
      </c>
      <c r="D51" s="10" t="s">
        <v>301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315</v>
      </c>
      <c r="C52" s="4" t="s">
        <v>63</v>
      </c>
      <c r="D52" s="10" t="s">
        <v>283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316</v>
      </c>
      <c r="C53" s="4" t="s">
        <v>63</v>
      </c>
      <c r="D53" s="10" t="s">
        <v>283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317</v>
      </c>
      <c r="C54" s="4" t="s">
        <v>63</v>
      </c>
      <c r="D54" s="10" t="s">
        <v>283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33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46"/>
      <c r="F56" s="146"/>
      <c r="G56" s="13"/>
    </row>
    <row r="57" ht="20.1" customHeight="1" spans="1:7">
      <c r="A57" s="10"/>
      <c r="B57" s="20" t="s">
        <v>318</v>
      </c>
      <c r="C57" s="21"/>
      <c r="D57" s="21"/>
      <c r="E57" s="146"/>
      <c r="F57" s="146"/>
      <c r="G57" s="13"/>
    </row>
    <row r="58" ht="20.1" customHeight="1" spans="1:7">
      <c r="A58" s="10">
        <v>1</v>
      </c>
      <c r="B58" s="11" t="s">
        <v>319</v>
      </c>
      <c r="C58" s="12" t="s">
        <v>320</v>
      </c>
      <c r="D58" s="15" t="s">
        <v>297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321</v>
      </c>
      <c r="C59" s="12" t="s">
        <v>322</v>
      </c>
      <c r="D59" s="15" t="s">
        <v>225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33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46"/>
      <c r="F61" s="146"/>
      <c r="G61" s="13"/>
    </row>
    <row r="62" ht="20.1" customHeight="1" spans="1:7">
      <c r="A62" s="10"/>
      <c r="B62" s="20" t="s">
        <v>44</v>
      </c>
      <c r="C62" s="21"/>
      <c r="D62" s="21"/>
      <c r="E62" s="146"/>
      <c r="F62" s="146"/>
      <c r="G62" s="13"/>
    </row>
    <row r="63" ht="20.1" customHeight="1" spans="1:7">
      <c r="A63" s="10">
        <v>1</v>
      </c>
      <c r="B63" s="11" t="s">
        <v>323</v>
      </c>
      <c r="C63" s="17" t="s">
        <v>324</v>
      </c>
      <c r="D63" s="10" t="s">
        <v>297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325</v>
      </c>
      <c r="C64" s="17" t="s">
        <v>326</v>
      </c>
      <c r="D64" s="15" t="s">
        <v>327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328</v>
      </c>
      <c r="C65" s="4" t="s">
        <v>256</v>
      </c>
      <c r="D65" s="10" t="s">
        <v>260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329</v>
      </c>
      <c r="C66" s="17" t="s">
        <v>46</v>
      </c>
      <c r="D66" s="15" t="s">
        <v>266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330</v>
      </c>
      <c r="C67" s="17" t="s">
        <v>256</v>
      </c>
      <c r="D67" s="15" t="s">
        <v>254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331</v>
      </c>
      <c r="C68" s="4" t="s">
        <v>63</v>
      </c>
      <c r="D68" s="10" t="s">
        <v>332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333</v>
      </c>
      <c r="C69" s="17" t="s">
        <v>275</v>
      </c>
      <c r="D69" s="10" t="s">
        <v>332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334</v>
      </c>
      <c r="C70" s="17" t="s">
        <v>275</v>
      </c>
      <c r="D70" s="10" t="s">
        <v>332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335</v>
      </c>
      <c r="C71" s="4" t="s">
        <v>336</v>
      </c>
      <c r="D71" s="10" t="s">
        <v>271</v>
      </c>
      <c r="E71" s="457">
        <v>377895.166666667</v>
      </c>
      <c r="F71" s="85">
        <f t="shared" si="7"/>
        <v>30231.6133333334</v>
      </c>
      <c r="G71" s="13"/>
    </row>
    <row r="72" ht="21.6" customHeight="1" spans="1:6">
      <c r="A72" s="10">
        <v>11</v>
      </c>
      <c r="B72" s="11" t="s">
        <v>337</v>
      </c>
      <c r="C72" s="4" t="s">
        <v>63</v>
      </c>
      <c r="D72" s="10" t="s">
        <v>301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33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46"/>
      <c r="F74" s="146"/>
      <c r="G74" s="13"/>
    </row>
    <row r="75" ht="20.1" customHeight="1" spans="1:7">
      <c r="A75" s="10"/>
      <c r="B75" s="20" t="s">
        <v>51</v>
      </c>
      <c r="C75" s="21"/>
      <c r="D75" s="21"/>
      <c r="E75" s="146"/>
      <c r="F75" s="146"/>
      <c r="G75" s="13"/>
    </row>
    <row r="76" ht="20.1" customHeight="1" spans="1:7">
      <c r="A76" s="10">
        <v>1</v>
      </c>
      <c r="B76" s="11" t="s">
        <v>338</v>
      </c>
      <c r="C76" s="4" t="s">
        <v>339</v>
      </c>
      <c r="D76" s="10" t="s">
        <v>297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220</v>
      </c>
      <c r="C77" s="4" t="s">
        <v>221</v>
      </c>
      <c r="D77" s="15" t="s">
        <v>222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223</v>
      </c>
      <c r="C78" s="12" t="s">
        <v>224</v>
      </c>
      <c r="D78" s="10" t="s">
        <v>225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340</v>
      </c>
      <c r="C79" s="4" t="s">
        <v>341</v>
      </c>
      <c r="D79" s="15" t="s">
        <v>342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343</v>
      </c>
      <c r="C80" s="4" t="s">
        <v>344</v>
      </c>
      <c r="D80" s="10" t="s">
        <v>345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346</v>
      </c>
      <c r="C81" s="4" t="s">
        <v>344</v>
      </c>
      <c r="D81" s="10" t="s">
        <v>283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347</v>
      </c>
      <c r="C82" s="4" t="s">
        <v>348</v>
      </c>
      <c r="D82" s="10" t="s">
        <v>294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33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46"/>
      <c r="F84" s="146"/>
      <c r="G84" s="13"/>
    </row>
    <row r="85" ht="20.1" customHeight="1" spans="1:7">
      <c r="A85" s="10"/>
      <c r="B85" s="20" t="s">
        <v>56</v>
      </c>
      <c r="C85" s="25"/>
      <c r="D85" s="21"/>
      <c r="E85" s="146"/>
      <c r="F85" s="146"/>
      <c r="G85" s="13"/>
    </row>
    <row r="86" ht="20.1" customHeight="1" spans="1:7">
      <c r="A86" s="10">
        <v>1</v>
      </c>
      <c r="B86" s="11" t="s">
        <v>349</v>
      </c>
      <c r="C86" s="4" t="s">
        <v>310</v>
      </c>
      <c r="D86" s="10" t="s">
        <v>249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350</v>
      </c>
      <c r="C87" s="4" t="s">
        <v>310</v>
      </c>
      <c r="D87" s="10" t="s">
        <v>249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351</v>
      </c>
      <c r="C88" s="4" t="s">
        <v>310</v>
      </c>
      <c r="D88" s="10" t="s">
        <v>228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352</v>
      </c>
      <c r="C89" s="4" t="s">
        <v>353</v>
      </c>
      <c r="D89" s="15" t="s">
        <v>263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354</v>
      </c>
      <c r="C90" s="12" t="s">
        <v>46</v>
      </c>
      <c r="D90" s="15" t="s">
        <v>266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355</v>
      </c>
      <c r="C91" s="12" t="s">
        <v>256</v>
      </c>
      <c r="D91" s="15" t="s">
        <v>356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357</v>
      </c>
      <c r="C92" s="17" t="s">
        <v>275</v>
      </c>
      <c r="D92" s="15" t="s">
        <v>332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358</v>
      </c>
      <c r="C93" s="17" t="s">
        <v>46</v>
      </c>
      <c r="D93" s="15" t="s">
        <v>47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359</v>
      </c>
      <c r="C94" s="4" t="s">
        <v>360</v>
      </c>
      <c r="D94" s="10" t="s">
        <v>301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361</v>
      </c>
      <c r="C95" s="17" t="s">
        <v>362</v>
      </c>
      <c r="D95" s="15" t="s">
        <v>291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33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46"/>
      <c r="F97" s="146"/>
      <c r="G97" s="13"/>
    </row>
    <row r="98" ht="20.1" customHeight="1" spans="1:7">
      <c r="A98" s="10"/>
      <c r="B98" s="20" t="s">
        <v>58</v>
      </c>
      <c r="C98" s="21"/>
      <c r="D98" s="21"/>
      <c r="E98" s="146"/>
      <c r="F98" s="146"/>
      <c r="G98" s="13"/>
    </row>
    <row r="99" ht="20.1" customHeight="1" spans="1:7">
      <c r="A99" s="10">
        <v>1</v>
      </c>
      <c r="B99" s="14" t="s">
        <v>363</v>
      </c>
      <c r="C99" s="4" t="s">
        <v>364</v>
      </c>
      <c r="D99" s="16" t="s">
        <v>231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366</v>
      </c>
      <c r="C100" s="4" t="s">
        <v>367</v>
      </c>
      <c r="D100" s="15" t="s">
        <v>342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368</v>
      </c>
      <c r="C101" s="4" t="s">
        <v>369</v>
      </c>
      <c r="D101" s="15" t="s">
        <v>271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370</v>
      </c>
      <c r="C102" s="4" t="s">
        <v>371</v>
      </c>
      <c r="D102" s="15" t="s">
        <v>301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33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46"/>
      <c r="F104" s="146"/>
      <c r="G104" s="13"/>
    </row>
    <row r="105" ht="20.1" customHeight="1" spans="1:7">
      <c r="A105" s="4"/>
      <c r="B105" s="20" t="s">
        <v>372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373</v>
      </c>
      <c r="C106" s="12" t="s">
        <v>374</v>
      </c>
      <c r="D106" s="15" t="s">
        <v>297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375</v>
      </c>
      <c r="C107" s="4" t="s">
        <v>376</v>
      </c>
      <c r="D107" s="16" t="s">
        <v>231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377</v>
      </c>
      <c r="C108" s="4" t="s">
        <v>378</v>
      </c>
      <c r="D108" s="10" t="s">
        <v>263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379</v>
      </c>
      <c r="C109" s="4" t="s">
        <v>378</v>
      </c>
      <c r="D109" s="10" t="s">
        <v>263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380</v>
      </c>
      <c r="C110" s="4" t="s">
        <v>381</v>
      </c>
      <c r="D110" s="15" t="s">
        <v>382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383</v>
      </c>
      <c r="C111" s="4" t="s">
        <v>381</v>
      </c>
      <c r="D111" s="10" t="s">
        <v>384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385</v>
      </c>
      <c r="C112" s="4" t="s">
        <v>381</v>
      </c>
      <c r="D112" s="15" t="s">
        <v>291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33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61</v>
      </c>
      <c r="C115" s="21"/>
      <c r="D115" s="21"/>
      <c r="E115" s="146"/>
      <c r="F115" s="146"/>
      <c r="G115" s="13"/>
    </row>
    <row r="116" ht="20.1" customHeight="1" spans="1:7">
      <c r="A116" s="10">
        <v>1</v>
      </c>
      <c r="B116" s="14" t="s">
        <v>386</v>
      </c>
      <c r="C116" s="4" t="s">
        <v>310</v>
      </c>
      <c r="D116" s="10" t="s">
        <v>327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387</v>
      </c>
      <c r="C117" s="4" t="s">
        <v>388</v>
      </c>
      <c r="D117" s="15" t="s">
        <v>271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389</v>
      </c>
      <c r="C118" s="12" t="s">
        <v>390</v>
      </c>
      <c r="D118" s="15" t="s">
        <v>391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33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67</v>
      </c>
      <c r="C121" s="21"/>
      <c r="D121" s="21"/>
      <c r="E121" s="146"/>
      <c r="F121" s="146"/>
      <c r="G121" s="13"/>
    </row>
    <row r="122" ht="20.1" customHeight="1" spans="1:7">
      <c r="A122" s="4">
        <v>1</v>
      </c>
      <c r="B122" s="11" t="s">
        <v>392</v>
      </c>
      <c r="C122" s="12" t="s">
        <v>393</v>
      </c>
      <c r="D122" s="15" t="s">
        <v>297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128</v>
      </c>
      <c r="C123" s="12" t="s">
        <v>394</v>
      </c>
      <c r="D123" s="15" t="s">
        <v>308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395</v>
      </c>
      <c r="C124" s="12" t="s">
        <v>227</v>
      </c>
      <c r="D124" s="15" t="s">
        <v>249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226</v>
      </c>
      <c r="C125" s="12" t="s">
        <v>227</v>
      </c>
      <c r="D125" s="15" t="s">
        <v>228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396</v>
      </c>
      <c r="C126" s="12" t="s">
        <v>397</v>
      </c>
      <c r="D126" s="15" t="s">
        <v>257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398</v>
      </c>
      <c r="C127" s="12" t="s">
        <v>399</v>
      </c>
      <c r="D127" s="15" t="s">
        <v>260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400</v>
      </c>
      <c r="C128" s="12" t="s">
        <v>397</v>
      </c>
      <c r="D128" s="15" t="s">
        <v>342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401</v>
      </c>
      <c r="C129" s="12" t="s">
        <v>402</v>
      </c>
      <c r="D129" s="10" t="s">
        <v>279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403</v>
      </c>
      <c r="C130" s="12" t="s">
        <v>404</v>
      </c>
      <c r="D130" s="15" t="s">
        <v>294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405</v>
      </c>
      <c r="C131" s="12" t="s">
        <v>69</v>
      </c>
      <c r="D131" s="15" t="s">
        <v>294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33</v>
      </c>
      <c r="C132" s="26" t="s">
        <v>406</v>
      </c>
      <c r="D132" s="15"/>
      <c r="E132" s="146">
        <f>SUM(E122:E131)</f>
        <v>5466985.16666667</v>
      </c>
      <c r="F132" s="14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46"/>
      <c r="F133" s="146"/>
      <c r="G133" s="13"/>
    </row>
    <row r="134" ht="20.1" customHeight="1" spans="1:7">
      <c r="A134" s="4"/>
      <c r="B134" s="20" t="s">
        <v>71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407</v>
      </c>
      <c r="C135" s="12" t="s">
        <v>408</v>
      </c>
      <c r="D135" s="15" t="s">
        <v>297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229</v>
      </c>
      <c r="C136" s="12" t="s">
        <v>230</v>
      </c>
      <c r="D136" s="15" t="s">
        <v>231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409</v>
      </c>
      <c r="C137" s="4" t="s">
        <v>410</v>
      </c>
      <c r="D137" s="16" t="s">
        <v>231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411</v>
      </c>
      <c r="C138" s="12" t="s">
        <v>412</v>
      </c>
      <c r="D138" s="15" t="s">
        <v>254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413</v>
      </c>
      <c r="C139" s="4" t="s">
        <v>414</v>
      </c>
      <c r="D139" s="15" t="s">
        <v>254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415</v>
      </c>
      <c r="C140" s="4" t="s">
        <v>414</v>
      </c>
      <c r="D140" s="15" t="s">
        <v>254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416</v>
      </c>
      <c r="C141" s="12" t="s">
        <v>417</v>
      </c>
      <c r="D141" s="15" t="s">
        <v>391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418</v>
      </c>
      <c r="C142" s="12" t="s">
        <v>417</v>
      </c>
      <c r="D142" s="15" t="s">
        <v>391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419</v>
      </c>
      <c r="C143" s="4" t="s">
        <v>420</v>
      </c>
      <c r="D143" s="15" t="s">
        <v>391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421</v>
      </c>
      <c r="C144" s="12" t="s">
        <v>422</v>
      </c>
      <c r="D144" s="15" t="s">
        <v>271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423</v>
      </c>
      <c r="C145" s="12" t="s">
        <v>424</v>
      </c>
      <c r="D145" s="15" t="s">
        <v>332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425</v>
      </c>
      <c r="C146" s="12" t="s">
        <v>426</v>
      </c>
      <c r="D146" s="15" t="s">
        <v>391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427</v>
      </c>
      <c r="C147" s="4" t="s">
        <v>428</v>
      </c>
      <c r="D147" s="15" t="s">
        <v>41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429</v>
      </c>
      <c r="C148" s="4" t="s">
        <v>430</v>
      </c>
      <c r="D148" s="15" t="s">
        <v>345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431</v>
      </c>
      <c r="C149" s="4" t="s">
        <v>430</v>
      </c>
      <c r="D149" s="15" t="s">
        <v>432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433</v>
      </c>
      <c r="C150" s="4" t="s">
        <v>430</v>
      </c>
      <c r="D150" s="15" t="s">
        <v>432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434</v>
      </c>
      <c r="C151" s="12" t="s">
        <v>435</v>
      </c>
      <c r="D151" s="15" t="s">
        <v>301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436</v>
      </c>
      <c r="C152" s="12" t="s">
        <v>437</v>
      </c>
      <c r="D152" s="10" t="s">
        <v>283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438</v>
      </c>
      <c r="C153" s="12" t="s">
        <v>439</v>
      </c>
      <c r="D153" s="15" t="s">
        <v>345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440</v>
      </c>
      <c r="C154" s="12" t="s">
        <v>441</v>
      </c>
      <c r="D154" s="15" t="s">
        <v>279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442</v>
      </c>
      <c r="C155" s="12" t="s">
        <v>443</v>
      </c>
      <c r="D155" s="15" t="s">
        <v>345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444</v>
      </c>
      <c r="C156" s="12" t="s">
        <v>445</v>
      </c>
      <c r="D156" s="15" t="s">
        <v>279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446</v>
      </c>
      <c r="C157" s="12" t="s">
        <v>447</v>
      </c>
      <c r="D157" s="15" t="s">
        <v>24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448</v>
      </c>
      <c r="C158" s="12" t="s">
        <v>449</v>
      </c>
      <c r="D158" s="15" t="s">
        <v>294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450</v>
      </c>
      <c r="C159" s="12" t="s">
        <v>451</v>
      </c>
      <c r="D159" s="15" t="s">
        <v>294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452</v>
      </c>
      <c r="C160" s="12" t="s">
        <v>453</v>
      </c>
      <c r="D160" s="15" t="s">
        <v>294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454</v>
      </c>
      <c r="C161" s="12" t="s">
        <v>455</v>
      </c>
      <c r="D161" s="15" t="s">
        <v>291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456</v>
      </c>
      <c r="C162" s="12" t="s">
        <v>451</v>
      </c>
      <c r="D162" s="15" t="s">
        <v>294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457</v>
      </c>
      <c r="C163" s="12" t="s">
        <v>458</v>
      </c>
      <c r="D163" s="15" t="s">
        <v>459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460</v>
      </c>
      <c r="C164" s="12" t="s">
        <v>458</v>
      </c>
      <c r="D164" s="15" t="s">
        <v>459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461</v>
      </c>
      <c r="C165" s="12" t="s">
        <v>458</v>
      </c>
      <c r="D165" s="15" t="s">
        <v>459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462</v>
      </c>
      <c r="C166" s="12" t="s">
        <v>458</v>
      </c>
      <c r="D166" s="15" t="s">
        <v>459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463</v>
      </c>
      <c r="C167" s="12" t="s">
        <v>458</v>
      </c>
      <c r="D167" s="15" t="s">
        <v>459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464</v>
      </c>
      <c r="C168" s="12" t="s">
        <v>458</v>
      </c>
      <c r="D168" s="15" t="s">
        <v>465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466</v>
      </c>
      <c r="C169" s="12" t="s">
        <v>458</v>
      </c>
      <c r="D169" s="15" t="s">
        <v>465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467</v>
      </c>
      <c r="C170" s="12" t="s">
        <v>458</v>
      </c>
      <c r="D170" s="15" t="s">
        <v>465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468</v>
      </c>
      <c r="C171" s="12" t="s">
        <v>458</v>
      </c>
      <c r="D171" s="15" t="s">
        <v>465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469</v>
      </c>
      <c r="C172" s="12" t="s">
        <v>458</v>
      </c>
      <c r="D172" s="15" t="s">
        <v>465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470</v>
      </c>
      <c r="C173" s="12" t="s">
        <v>458</v>
      </c>
      <c r="D173" s="15" t="s">
        <v>465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471</v>
      </c>
      <c r="C174" s="12" t="s">
        <v>472</v>
      </c>
      <c r="D174" s="15" t="s">
        <v>473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474</v>
      </c>
      <c r="C175" s="12" t="s">
        <v>472</v>
      </c>
      <c r="D175" s="15" t="s">
        <v>473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475</v>
      </c>
      <c r="C176" s="12" t="s">
        <v>472</v>
      </c>
      <c r="D176" s="15" t="s">
        <v>476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477</v>
      </c>
      <c r="C177" s="12" t="s">
        <v>478</v>
      </c>
      <c r="D177" s="15" t="s">
        <v>479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480</v>
      </c>
      <c r="C178" s="12" t="s">
        <v>481</v>
      </c>
      <c r="D178" s="15" t="s">
        <v>482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483</v>
      </c>
      <c r="C179" s="12" t="s">
        <v>481</v>
      </c>
      <c r="D179" s="15" t="s">
        <v>482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484</v>
      </c>
      <c r="C180" s="12" t="s">
        <v>481</v>
      </c>
      <c r="D180" s="15" t="s">
        <v>482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485</v>
      </c>
      <c r="C181" s="12" t="s">
        <v>481</v>
      </c>
      <c r="D181" s="15" t="s">
        <v>482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486</v>
      </c>
      <c r="C182" s="12" t="s">
        <v>481</v>
      </c>
      <c r="D182" s="15" t="s">
        <v>482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487</v>
      </c>
      <c r="C183" s="12" t="s">
        <v>481</v>
      </c>
      <c r="D183" s="15" t="s">
        <v>482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488</v>
      </c>
      <c r="C184" s="12" t="s">
        <v>481</v>
      </c>
      <c r="D184" s="15" t="s">
        <v>482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489</v>
      </c>
      <c r="C185" s="12" t="s">
        <v>478</v>
      </c>
      <c r="D185" s="15" t="s">
        <v>482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490</v>
      </c>
      <c r="C186" s="12" t="s">
        <v>478</v>
      </c>
      <c r="D186" s="15" t="s">
        <v>482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491</v>
      </c>
      <c r="C187" s="12" t="s">
        <v>172</v>
      </c>
      <c r="D187" s="15" t="s">
        <v>492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493</v>
      </c>
      <c r="C188" s="12" t="s">
        <v>481</v>
      </c>
      <c r="D188" s="15" t="s">
        <v>494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495</v>
      </c>
      <c r="C189" s="12" t="s">
        <v>496</v>
      </c>
      <c r="D189" s="15" t="s">
        <v>497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498</v>
      </c>
      <c r="C190" s="12" t="s">
        <v>496</v>
      </c>
      <c r="D190" s="15" t="s">
        <v>497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499</v>
      </c>
      <c r="C191" s="12" t="s">
        <v>496</v>
      </c>
      <c r="D191" s="15" t="s">
        <v>497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500</v>
      </c>
      <c r="C192" s="12" t="s">
        <v>501</v>
      </c>
      <c r="D192" s="15" t="s">
        <v>502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503</v>
      </c>
      <c r="C193" s="12" t="s">
        <v>501</v>
      </c>
      <c r="D193" s="15" t="s">
        <v>502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33</v>
      </c>
      <c r="C194" s="28" t="s">
        <v>504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80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2:7">
      <c r="B196" s="33"/>
      <c r="D196" s="34"/>
      <c r="E196" s="34"/>
      <c r="F196" s="34"/>
      <c r="G196" s="35"/>
    </row>
    <row r="197" ht="36.75" customHeight="1" spans="2:6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565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566</v>
      </c>
      <c r="H4" s="24" t="s">
        <v>567</v>
      </c>
      <c r="I4" s="218" t="s">
        <v>568</v>
      </c>
      <c r="J4" s="24" t="s">
        <v>569</v>
      </c>
      <c r="K4" s="24" t="s">
        <v>570</v>
      </c>
      <c r="L4" s="24" t="s">
        <v>571</v>
      </c>
      <c r="M4" s="218" t="s">
        <v>7</v>
      </c>
      <c r="N4" s="218" t="s">
        <v>7</v>
      </c>
      <c r="O4" s="24" t="s">
        <v>572</v>
      </c>
      <c r="P4" s="24" t="s">
        <v>572</v>
      </c>
      <c r="Q4" s="218" t="s">
        <v>8</v>
      </c>
      <c r="R4" s="334" t="s">
        <v>9</v>
      </c>
      <c r="S4" s="218" t="s">
        <v>10</v>
      </c>
      <c r="T4" s="218" t="s">
        <v>11</v>
      </c>
      <c r="U4" s="218" t="s">
        <v>12</v>
      </c>
      <c r="V4" s="218" t="s">
        <v>13</v>
      </c>
      <c r="W4" s="24" t="s">
        <v>14</v>
      </c>
      <c r="X4" s="347" t="s">
        <v>16</v>
      </c>
      <c r="Y4" s="321" t="s">
        <v>141</v>
      </c>
    </row>
    <row r="5" ht="18" spans="1:25">
      <c r="A5" s="1"/>
      <c r="B5" s="1"/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  <c r="R5" s="307" t="s">
        <v>19</v>
      </c>
      <c r="S5" s="82" t="s">
        <v>19</v>
      </c>
      <c r="T5" s="82" t="s">
        <v>19</v>
      </c>
      <c r="U5" s="82" t="s">
        <v>19</v>
      </c>
      <c r="V5" s="82" t="s">
        <v>19</v>
      </c>
      <c r="W5" s="82" t="s">
        <v>19</v>
      </c>
      <c r="X5" s="449" t="s">
        <v>19</v>
      </c>
      <c r="Y5" s="230" t="s">
        <v>19</v>
      </c>
    </row>
    <row r="6" ht="17.5" spans="1:25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7"/>
      <c r="W6" s="8"/>
      <c r="X6" s="307"/>
      <c r="Y6" s="82"/>
    </row>
    <row r="7" ht="18" spans="1:25">
      <c r="A7" s="10">
        <v>1</v>
      </c>
      <c r="B7" s="18" t="s">
        <v>298</v>
      </c>
      <c r="C7" s="4" t="s">
        <v>537</v>
      </c>
      <c r="D7" s="10" t="s">
        <v>294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39">
        <f t="shared" ref="X7:X8" si="6">S7+T7+U7+V7+W7</f>
        <v>37042.7138666667</v>
      </c>
      <c r="Y7" s="231">
        <f t="shared" ref="Y7:Y8" si="7">R7-X7</f>
        <v>139773.386133333</v>
      </c>
    </row>
    <row r="8" ht="54" spans="2:25">
      <c r="B8" s="22" t="s">
        <v>573</v>
      </c>
      <c r="C8" s="14" t="s">
        <v>533</v>
      </c>
      <c r="D8" s="10" t="s">
        <v>37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39">
        <f t="shared" si="6"/>
        <v>25571.82</v>
      </c>
      <c r="Y8" s="231">
        <f t="shared" si="7"/>
        <v>203030.25775</v>
      </c>
    </row>
    <row r="9" ht="17.5" spans="2:25">
      <c r="B9" s="22" t="s">
        <v>511</v>
      </c>
      <c r="C9" s="447"/>
      <c r="D9" s="21"/>
      <c r="E9" s="146">
        <f>E8-E7</f>
        <v>4554.33</v>
      </c>
      <c r="F9" s="146"/>
      <c r="G9" s="146">
        <f t="shared" si="0"/>
        <v>13662.99</v>
      </c>
      <c r="H9" s="146">
        <f t="shared" si="1"/>
        <v>341.57475</v>
      </c>
      <c r="I9" s="146"/>
      <c r="J9" s="146">
        <f t="shared" si="2"/>
        <v>2277.165</v>
      </c>
      <c r="K9" s="146">
        <f t="shared" si="3"/>
        <v>15940.155</v>
      </c>
      <c r="L9" s="146">
        <f t="shared" si="4"/>
        <v>4554.33</v>
      </c>
      <c r="M9" s="448"/>
      <c r="N9" s="448">
        <f>N8-N7</f>
        <v>10000</v>
      </c>
      <c r="O9" s="146">
        <f t="shared" si="5"/>
        <v>455.433</v>
      </c>
      <c r="P9" s="146">
        <v>0</v>
      </c>
      <c r="Q9" s="146"/>
      <c r="R9" s="312">
        <f>SUM(E9:Q9)</f>
        <v>51785.97775</v>
      </c>
      <c r="S9" s="146"/>
      <c r="T9" s="146"/>
      <c r="U9" s="146"/>
      <c r="V9" s="146"/>
      <c r="W9" s="146">
        <f>W8-W7</f>
        <v>8529.1061333333</v>
      </c>
      <c r="X9" s="450"/>
      <c r="Y9" s="233">
        <f>R9-W9</f>
        <v>43256.8716166667</v>
      </c>
    </row>
    <row r="10" ht="17.5" spans="23:25">
      <c r="W10" s="451"/>
      <c r="X10" s="452" t="s">
        <v>147</v>
      </c>
      <c r="Y10" s="455">
        <f>1+(27/31)</f>
        <v>1.87096774193548</v>
      </c>
    </row>
    <row r="11" ht="17.5" spans="23:25">
      <c r="W11" s="453"/>
      <c r="X11" s="454" t="s">
        <v>574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383" t="s">
        <v>575</v>
      </c>
      <c r="B1" s="384"/>
      <c r="C1" s="383"/>
      <c r="D1" s="383"/>
      <c r="E1" s="385"/>
      <c r="F1" s="385"/>
      <c r="G1" s="386"/>
    </row>
    <row r="2" ht="22" spans="1:7">
      <c r="A2" s="383" t="s">
        <v>576</v>
      </c>
      <c r="B2" s="383"/>
      <c r="C2" s="383"/>
      <c r="D2" s="383"/>
      <c r="E2" s="385"/>
      <c r="F2" s="385"/>
      <c r="G2" s="386"/>
    </row>
    <row r="3" ht="22" spans="1:7">
      <c r="A3" s="383" t="s">
        <v>577</v>
      </c>
      <c r="B3" s="383"/>
      <c r="C3" s="383"/>
      <c r="D3" s="383"/>
      <c r="E3" s="385"/>
      <c r="F3" s="385"/>
      <c r="G3" s="386"/>
    </row>
    <row r="4" ht="45" customHeight="1" spans="1:8">
      <c r="A4" s="387" t="s">
        <v>20</v>
      </c>
      <c r="B4" s="388" t="s">
        <v>578</v>
      </c>
      <c r="C4" s="389" t="s">
        <v>579</v>
      </c>
      <c r="D4" s="390" t="s">
        <v>580</v>
      </c>
      <c r="E4" s="390" t="s">
        <v>581</v>
      </c>
      <c r="F4" s="390" t="s">
        <v>582</v>
      </c>
      <c r="G4" s="390" t="s">
        <v>583</v>
      </c>
      <c r="H4" s="391" t="s">
        <v>33</v>
      </c>
    </row>
    <row r="5" ht="16" spans="1:9">
      <c r="A5" s="774" t="s">
        <v>584</v>
      </c>
      <c r="B5" s="392" t="s">
        <v>585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407"/>
    </row>
    <row r="6" ht="16" spans="1:9">
      <c r="A6" s="774" t="s">
        <v>586</v>
      </c>
      <c r="B6" s="396" t="s">
        <v>587</v>
      </c>
      <c r="C6" s="393">
        <v>45323</v>
      </c>
      <c r="D6" s="397">
        <v>250000</v>
      </c>
      <c r="E6" s="397">
        <v>0</v>
      </c>
      <c r="F6" s="397"/>
      <c r="G6" s="395">
        <f>0</f>
        <v>0</v>
      </c>
      <c r="H6" s="395">
        <f t="shared" ref="H6:H69" si="0">D6+E6+F6+G6</f>
        <v>250000</v>
      </c>
      <c r="I6" s="408"/>
    </row>
    <row r="7" ht="16" spans="1:9">
      <c r="A7" s="774" t="s">
        <v>588</v>
      </c>
      <c r="B7" s="392" t="s">
        <v>589</v>
      </c>
      <c r="C7" s="393">
        <v>45323</v>
      </c>
      <c r="D7" s="397">
        <f>0</f>
        <v>0</v>
      </c>
      <c r="E7" s="397">
        <v>0</v>
      </c>
      <c r="F7" s="397">
        <v>0</v>
      </c>
      <c r="G7" s="397">
        <f>0</f>
        <v>0</v>
      </c>
      <c r="H7" s="395">
        <f t="shared" si="0"/>
        <v>0</v>
      </c>
      <c r="I7" s="407"/>
    </row>
    <row r="8" ht="16" spans="1:9">
      <c r="A8" s="774" t="s">
        <v>590</v>
      </c>
      <c r="B8" s="392" t="s">
        <v>591</v>
      </c>
      <c r="C8" s="393">
        <v>45323</v>
      </c>
      <c r="D8" s="397">
        <v>200000</v>
      </c>
      <c r="E8" s="397">
        <v>0</v>
      </c>
      <c r="F8" s="397">
        <v>0</v>
      </c>
      <c r="G8" s="397">
        <f>327777.78</f>
        <v>327777.78</v>
      </c>
      <c r="H8" s="395">
        <f t="shared" si="0"/>
        <v>527777.78</v>
      </c>
      <c r="I8" s="408"/>
    </row>
    <row r="9" ht="16" spans="1:9">
      <c r="A9" s="774" t="s">
        <v>592</v>
      </c>
      <c r="B9" s="392" t="s">
        <v>593</v>
      </c>
      <c r="C9" s="393">
        <v>45323</v>
      </c>
      <c r="D9" s="397">
        <f>0</f>
        <v>0</v>
      </c>
      <c r="E9" s="397"/>
      <c r="F9" s="397"/>
      <c r="G9" s="397">
        <f>0</f>
        <v>0</v>
      </c>
      <c r="H9" s="395">
        <f t="shared" si="0"/>
        <v>0</v>
      </c>
      <c r="I9" s="407"/>
    </row>
    <row r="10" ht="16" spans="1:10">
      <c r="A10" s="774" t="s">
        <v>594</v>
      </c>
      <c r="B10" s="392" t="s">
        <v>595</v>
      </c>
      <c r="C10" s="393">
        <v>45323</v>
      </c>
      <c r="D10" s="397">
        <f>0</f>
        <v>0</v>
      </c>
      <c r="E10" s="397">
        <v>0</v>
      </c>
      <c r="F10" s="397">
        <v>0</v>
      </c>
      <c r="G10" s="397">
        <f>0</f>
        <v>0</v>
      </c>
      <c r="H10" s="395">
        <f t="shared" si="0"/>
        <v>0</v>
      </c>
      <c r="I10" s="407"/>
      <c r="J10" s="409"/>
    </row>
    <row r="11" ht="16" spans="1:9">
      <c r="A11" s="774" t="s">
        <v>596</v>
      </c>
      <c r="B11" s="392" t="s">
        <v>597</v>
      </c>
      <c r="C11" s="393">
        <v>45323</v>
      </c>
      <c r="D11" s="397">
        <v>0</v>
      </c>
      <c r="E11" s="397">
        <v>0</v>
      </c>
      <c r="F11" s="397">
        <v>0</v>
      </c>
      <c r="G11" s="397">
        <v>0</v>
      </c>
      <c r="H11" s="395">
        <f t="shared" si="0"/>
        <v>0</v>
      </c>
      <c r="I11" s="410"/>
    </row>
    <row r="12" ht="16" spans="1:9">
      <c r="A12" s="774" t="s">
        <v>598</v>
      </c>
      <c r="B12" s="392" t="s">
        <v>599</v>
      </c>
      <c r="C12" s="393">
        <v>45323</v>
      </c>
      <c r="D12" s="397">
        <v>50000</v>
      </c>
      <c r="E12" s="397">
        <v>0</v>
      </c>
      <c r="F12" s="397">
        <v>0</v>
      </c>
      <c r="G12" s="397">
        <f>385000</f>
        <v>385000</v>
      </c>
      <c r="H12" s="395">
        <f t="shared" si="0"/>
        <v>435000</v>
      </c>
      <c r="I12" s="408"/>
    </row>
    <row r="13" ht="16" spans="1:9">
      <c r="A13" s="774" t="s">
        <v>600</v>
      </c>
      <c r="B13" s="392" t="s">
        <v>601</v>
      </c>
      <c r="C13" s="393">
        <v>45323</v>
      </c>
      <c r="D13" s="397">
        <v>0</v>
      </c>
      <c r="E13" s="397">
        <v>0</v>
      </c>
      <c r="F13" s="397">
        <v>0</v>
      </c>
      <c r="G13" s="397">
        <v>0</v>
      </c>
      <c r="H13" s="395">
        <f t="shared" si="0"/>
        <v>0</v>
      </c>
      <c r="I13" s="410"/>
    </row>
    <row r="14" ht="16" spans="1:9">
      <c r="A14" s="774" t="s">
        <v>602</v>
      </c>
      <c r="B14" s="392" t="s">
        <v>603</v>
      </c>
      <c r="C14" s="393">
        <v>45323</v>
      </c>
      <c r="D14" s="397">
        <f>0</f>
        <v>0</v>
      </c>
      <c r="E14" s="397">
        <v>0</v>
      </c>
      <c r="F14" s="397">
        <v>0</v>
      </c>
      <c r="G14" s="397">
        <f>0</f>
        <v>0</v>
      </c>
      <c r="H14" s="395">
        <f t="shared" si="0"/>
        <v>0</v>
      </c>
      <c r="I14" s="407"/>
    </row>
    <row r="15" ht="16" spans="1:9">
      <c r="A15" s="774" t="s">
        <v>604</v>
      </c>
      <c r="B15" s="392" t="s">
        <v>605</v>
      </c>
      <c r="C15" s="393">
        <v>45323</v>
      </c>
      <c r="D15" s="397">
        <v>30000</v>
      </c>
      <c r="E15" s="397">
        <v>0</v>
      </c>
      <c r="F15" s="397">
        <v>0</v>
      </c>
      <c r="G15" s="397">
        <v>91666.67</v>
      </c>
      <c r="H15" s="395">
        <f t="shared" si="0"/>
        <v>121666.67</v>
      </c>
      <c r="I15" s="408"/>
    </row>
    <row r="16" ht="16" spans="1:9">
      <c r="A16" s="774" t="s">
        <v>606</v>
      </c>
      <c r="B16" s="392" t="s">
        <v>128</v>
      </c>
      <c r="C16" s="393">
        <v>45323</v>
      </c>
      <c r="D16" s="397">
        <f>100000</f>
        <v>100000</v>
      </c>
      <c r="E16" s="397">
        <v>0</v>
      </c>
      <c r="F16" s="397">
        <v>0</v>
      </c>
      <c r="G16" s="397">
        <f>0</f>
        <v>0</v>
      </c>
      <c r="H16" s="395">
        <f t="shared" si="0"/>
        <v>100000</v>
      </c>
      <c r="I16" s="408"/>
    </row>
    <row r="17" ht="16" spans="1:9">
      <c r="A17" s="774" t="s">
        <v>607</v>
      </c>
      <c r="B17" s="392" t="s">
        <v>608</v>
      </c>
      <c r="C17" s="393">
        <v>45323</v>
      </c>
      <c r="D17" s="397">
        <f>0</f>
        <v>0</v>
      </c>
      <c r="E17" s="397">
        <v>0</v>
      </c>
      <c r="F17" s="397">
        <v>0</v>
      </c>
      <c r="G17" s="397">
        <f>0</f>
        <v>0</v>
      </c>
      <c r="H17" s="395">
        <f t="shared" si="0"/>
        <v>0</v>
      </c>
      <c r="I17" s="407"/>
    </row>
    <row r="18" ht="16" spans="1:9">
      <c r="A18" s="774" t="s">
        <v>609</v>
      </c>
      <c r="B18" s="392" t="s">
        <v>610</v>
      </c>
      <c r="C18" s="393">
        <v>45323</v>
      </c>
      <c r="D18" s="397">
        <v>0</v>
      </c>
      <c r="E18" s="397">
        <v>0</v>
      </c>
      <c r="F18" s="397">
        <v>0</v>
      </c>
      <c r="G18" s="397">
        <v>0</v>
      </c>
      <c r="H18" s="395">
        <f t="shared" si="0"/>
        <v>0</v>
      </c>
      <c r="I18" s="411"/>
    </row>
    <row r="19" ht="16" spans="1:9">
      <c r="A19" s="774" t="s">
        <v>611</v>
      </c>
      <c r="B19" s="392" t="s">
        <v>612</v>
      </c>
      <c r="C19" s="393">
        <v>45323</v>
      </c>
      <c r="D19" s="397">
        <f>100000</f>
        <v>100000</v>
      </c>
      <c r="E19" s="397">
        <v>0</v>
      </c>
      <c r="F19" s="397">
        <v>0</v>
      </c>
      <c r="G19" s="397">
        <f>0</f>
        <v>0</v>
      </c>
      <c r="H19" s="395">
        <f t="shared" si="0"/>
        <v>100000</v>
      </c>
      <c r="I19" s="412"/>
    </row>
    <row r="20" ht="16" spans="1:9">
      <c r="A20" s="774" t="s">
        <v>613</v>
      </c>
      <c r="B20" s="392" t="s">
        <v>614</v>
      </c>
      <c r="C20" s="393">
        <v>45323</v>
      </c>
      <c r="D20" s="397">
        <f>50000</f>
        <v>50000</v>
      </c>
      <c r="E20" s="397">
        <v>0</v>
      </c>
      <c r="F20" s="397">
        <v>0</v>
      </c>
      <c r="G20" s="395">
        <f>200000</f>
        <v>200000</v>
      </c>
      <c r="H20" s="395">
        <f t="shared" si="0"/>
        <v>250000</v>
      </c>
      <c r="I20" s="413"/>
    </row>
    <row r="21" ht="16" spans="1:9">
      <c r="A21" s="774" t="s">
        <v>615</v>
      </c>
      <c r="B21" s="392" t="s">
        <v>616</v>
      </c>
      <c r="C21" s="393">
        <v>45323</v>
      </c>
      <c r="D21" s="394">
        <f>0</f>
        <v>0</v>
      </c>
      <c r="E21" s="394">
        <v>0</v>
      </c>
      <c r="F21" s="394">
        <v>0</v>
      </c>
      <c r="G21" s="398">
        <f>0</f>
        <v>0</v>
      </c>
      <c r="H21" s="395">
        <f t="shared" si="0"/>
        <v>0</v>
      </c>
      <c r="I21" s="414"/>
    </row>
    <row r="22" ht="16" spans="1:9">
      <c r="A22" s="774" t="s">
        <v>617</v>
      </c>
      <c r="B22" s="392" t="s">
        <v>618</v>
      </c>
      <c r="C22" s="393">
        <v>45323</v>
      </c>
      <c r="D22" s="397">
        <v>50000</v>
      </c>
      <c r="E22" s="397">
        <v>0</v>
      </c>
      <c r="F22" s="397">
        <v>0</v>
      </c>
      <c r="G22" s="397">
        <f>0</f>
        <v>0</v>
      </c>
      <c r="H22" s="395">
        <f t="shared" si="0"/>
        <v>50000</v>
      </c>
      <c r="I22" s="413"/>
    </row>
    <row r="23" ht="16" spans="1:8">
      <c r="A23" s="774" t="s">
        <v>619</v>
      </c>
      <c r="B23" s="392" t="s">
        <v>620</v>
      </c>
      <c r="C23" s="393">
        <v>45323</v>
      </c>
      <c r="D23" s="397">
        <v>0</v>
      </c>
      <c r="E23" s="397">
        <v>0</v>
      </c>
      <c r="F23" s="397">
        <v>0</v>
      </c>
      <c r="G23" s="397">
        <v>0</v>
      </c>
      <c r="H23" s="395">
        <f t="shared" si="0"/>
        <v>0</v>
      </c>
    </row>
    <row r="24" ht="16" spans="1:9">
      <c r="A24" s="774" t="s">
        <v>621</v>
      </c>
      <c r="B24" s="392" t="s">
        <v>398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408"/>
    </row>
    <row r="25" ht="16" spans="1:9">
      <c r="A25" s="774" t="s">
        <v>622</v>
      </c>
      <c r="B25" s="392" t="s">
        <v>623</v>
      </c>
      <c r="C25" s="393">
        <v>45323</v>
      </c>
      <c r="D25" s="397">
        <v>0</v>
      </c>
      <c r="E25" s="397">
        <v>0</v>
      </c>
      <c r="F25" s="397">
        <v>0</v>
      </c>
      <c r="G25" s="397">
        <v>0</v>
      </c>
      <c r="H25" s="395">
        <f t="shared" si="0"/>
        <v>0</v>
      </c>
      <c r="I25" s="407"/>
    </row>
    <row r="26" ht="16" spans="1:9">
      <c r="A26" s="774" t="s">
        <v>624</v>
      </c>
      <c r="B26" s="392" t="s">
        <v>625</v>
      </c>
      <c r="C26" s="393">
        <v>45323</v>
      </c>
      <c r="D26" s="397">
        <v>10000</v>
      </c>
      <c r="E26" s="397">
        <v>0</v>
      </c>
      <c r="F26" s="397">
        <v>0</v>
      </c>
      <c r="G26" s="397">
        <f>65885.83</f>
        <v>65885.83</v>
      </c>
      <c r="H26" s="395">
        <f t="shared" si="0"/>
        <v>75885.83</v>
      </c>
      <c r="I26" s="408"/>
    </row>
    <row r="27" ht="16" spans="1:9">
      <c r="A27" s="774" t="s">
        <v>626</v>
      </c>
      <c r="B27" s="392" t="s">
        <v>627</v>
      </c>
      <c r="C27" s="393">
        <v>45323</v>
      </c>
      <c r="D27" s="397">
        <v>30000</v>
      </c>
      <c r="E27" s="397">
        <v>0</v>
      </c>
      <c r="F27" s="397">
        <v>10000</v>
      </c>
      <c r="G27" s="397">
        <f>238888.89</f>
        <v>238888.89</v>
      </c>
      <c r="H27" s="395">
        <f t="shared" si="0"/>
        <v>278888.89</v>
      </c>
      <c r="I27" s="408"/>
    </row>
    <row r="28" ht="16" spans="1:9">
      <c r="A28" s="774" t="s">
        <v>628</v>
      </c>
      <c r="B28" s="392" t="s">
        <v>629</v>
      </c>
      <c r="C28" s="393">
        <v>45323</v>
      </c>
      <c r="D28" s="397">
        <v>30000</v>
      </c>
      <c r="E28" s="397">
        <v>0</v>
      </c>
      <c r="F28" s="397">
        <v>0</v>
      </c>
      <c r="G28" s="397">
        <f>61111.11</f>
        <v>61111.11</v>
      </c>
      <c r="H28" s="395">
        <f t="shared" si="0"/>
        <v>91111.11</v>
      </c>
      <c r="I28" s="408"/>
    </row>
    <row r="29" ht="17.5" spans="1:9">
      <c r="A29" s="774" t="s">
        <v>630</v>
      </c>
      <c r="B29" s="392" t="s">
        <v>631</v>
      </c>
      <c r="C29" s="393">
        <v>45323</v>
      </c>
      <c r="D29" s="399">
        <f>15000</f>
        <v>15000</v>
      </c>
      <c r="E29" s="399"/>
      <c r="F29" s="399"/>
      <c r="G29" s="400">
        <f>30000</f>
        <v>30000</v>
      </c>
      <c r="H29" s="395">
        <f t="shared" si="0"/>
        <v>45000</v>
      </c>
      <c r="I29" s="408"/>
    </row>
    <row r="30" ht="16" spans="1:9">
      <c r="A30" s="774" t="s">
        <v>632</v>
      </c>
      <c r="B30" s="392" t="s">
        <v>633</v>
      </c>
      <c r="C30" s="393">
        <v>45323</v>
      </c>
      <c r="D30" s="397">
        <v>20000</v>
      </c>
      <c r="E30" s="397">
        <v>0</v>
      </c>
      <c r="F30" s="397">
        <v>0</v>
      </c>
      <c r="G30" s="397">
        <f>163103.59</f>
        <v>163103.59</v>
      </c>
      <c r="H30" s="395">
        <f t="shared" si="0"/>
        <v>183103.59</v>
      </c>
      <c r="I30" s="408"/>
    </row>
    <row r="31" ht="16" spans="1:9">
      <c r="A31" s="774" t="s">
        <v>634</v>
      </c>
      <c r="B31" s="392" t="s">
        <v>340</v>
      </c>
      <c r="C31" s="393">
        <v>45323</v>
      </c>
      <c r="D31" s="397">
        <v>20000</v>
      </c>
      <c r="E31" s="397">
        <v>0</v>
      </c>
      <c r="F31" s="397">
        <v>0</v>
      </c>
      <c r="G31" s="397">
        <v>96664.65</v>
      </c>
      <c r="H31" s="395">
        <f t="shared" si="0"/>
        <v>116664.65</v>
      </c>
      <c r="I31" s="408"/>
    </row>
    <row r="32" ht="16" spans="1:9">
      <c r="A32" s="774" t="s">
        <v>635</v>
      </c>
      <c r="B32" s="392" t="s">
        <v>636</v>
      </c>
      <c r="C32" s="393">
        <v>45323</v>
      </c>
      <c r="D32" s="397">
        <v>20000</v>
      </c>
      <c r="E32" s="397">
        <v>0</v>
      </c>
      <c r="F32" s="397">
        <v>0</v>
      </c>
      <c r="G32" s="401"/>
      <c r="H32" s="395">
        <f t="shared" si="0"/>
        <v>20000</v>
      </c>
      <c r="I32" s="408"/>
    </row>
    <row r="33" ht="16" spans="1:9">
      <c r="A33" s="774" t="s">
        <v>637</v>
      </c>
      <c r="B33" s="392" t="s">
        <v>638</v>
      </c>
      <c r="C33" s="393">
        <v>45323</v>
      </c>
      <c r="D33" s="398"/>
      <c r="E33" s="398"/>
      <c r="F33" s="398"/>
      <c r="G33" s="398"/>
      <c r="H33" s="395">
        <f t="shared" si="0"/>
        <v>0</v>
      </c>
      <c r="I33" s="407"/>
    </row>
    <row r="34" ht="16" spans="1:9">
      <c r="A34" s="774" t="s">
        <v>639</v>
      </c>
      <c r="B34" s="392" t="s">
        <v>640</v>
      </c>
      <c r="C34" s="393">
        <v>45323</v>
      </c>
      <c r="D34" s="397">
        <v>20000</v>
      </c>
      <c r="E34" s="397">
        <v>0</v>
      </c>
      <c r="F34" s="399">
        <f>5000+5000</f>
        <v>10000</v>
      </c>
      <c r="G34" s="397">
        <f>47916.66</f>
        <v>47916.66</v>
      </c>
      <c r="H34" s="395">
        <f t="shared" si="0"/>
        <v>77916.66</v>
      </c>
      <c r="I34" s="408"/>
    </row>
    <row r="35" ht="16" spans="1:9">
      <c r="A35" s="774" t="s">
        <v>641</v>
      </c>
      <c r="B35" s="392" t="s">
        <v>642</v>
      </c>
      <c r="C35" s="393">
        <v>45323</v>
      </c>
      <c r="D35" s="397">
        <v>0</v>
      </c>
      <c r="E35" s="397">
        <v>0</v>
      </c>
      <c r="F35" s="397">
        <v>0</v>
      </c>
      <c r="G35" s="397">
        <v>0</v>
      </c>
      <c r="H35" s="395">
        <f t="shared" si="0"/>
        <v>0</v>
      </c>
      <c r="I35" s="407"/>
    </row>
    <row r="36" ht="16" spans="1:9">
      <c r="A36" s="774" t="s">
        <v>643</v>
      </c>
      <c r="B36" s="392" t="s">
        <v>644</v>
      </c>
      <c r="C36" s="393">
        <v>45323</v>
      </c>
      <c r="D36" s="397">
        <f>20000</f>
        <v>20000</v>
      </c>
      <c r="E36" s="397">
        <v>0</v>
      </c>
      <c r="F36" s="397">
        <v>0</v>
      </c>
      <c r="G36" s="397">
        <f>43750</f>
        <v>43750</v>
      </c>
      <c r="H36" s="395">
        <f t="shared" si="0"/>
        <v>63750</v>
      </c>
      <c r="I36" s="408"/>
    </row>
    <row r="37" ht="16" spans="1:9">
      <c r="A37" s="774" t="s">
        <v>645</v>
      </c>
      <c r="B37" s="392" t="s">
        <v>646</v>
      </c>
      <c r="C37" s="393">
        <v>45323</v>
      </c>
      <c r="D37" s="397">
        <f>10000</f>
        <v>10000</v>
      </c>
      <c r="E37" s="397">
        <f>0</f>
        <v>0</v>
      </c>
      <c r="F37" s="397">
        <f>0</f>
        <v>0</v>
      </c>
      <c r="G37" s="397">
        <f>90000+25000</f>
        <v>115000</v>
      </c>
      <c r="H37" s="395">
        <f t="shared" si="0"/>
        <v>125000</v>
      </c>
      <c r="I37" s="408"/>
    </row>
    <row r="38" ht="16" spans="1:9">
      <c r="A38" s="774" t="s">
        <v>647</v>
      </c>
      <c r="B38" s="392" t="s">
        <v>415</v>
      </c>
      <c r="C38" s="393">
        <v>45323</v>
      </c>
      <c r="D38" s="397">
        <f>0</f>
        <v>0</v>
      </c>
      <c r="E38" s="397">
        <v>0</v>
      </c>
      <c r="F38" s="397">
        <v>0</v>
      </c>
      <c r="G38" s="397">
        <f>50000</f>
        <v>50000</v>
      </c>
      <c r="H38" s="395">
        <f t="shared" si="0"/>
        <v>50000</v>
      </c>
      <c r="I38" s="407"/>
    </row>
    <row r="39" ht="16" spans="1:9">
      <c r="A39" s="774" t="s">
        <v>648</v>
      </c>
      <c r="B39" s="392" t="s">
        <v>247</v>
      </c>
      <c r="C39" s="393">
        <v>45323</v>
      </c>
      <c r="D39" s="397">
        <f>10000</f>
        <v>10000</v>
      </c>
      <c r="E39" s="397">
        <v>0</v>
      </c>
      <c r="F39" s="397">
        <v>0</v>
      </c>
      <c r="G39" s="397">
        <f>200000</f>
        <v>200000</v>
      </c>
      <c r="H39" s="395">
        <f t="shared" si="0"/>
        <v>210000</v>
      </c>
      <c r="I39" s="408"/>
    </row>
    <row r="40" ht="16" spans="1:9">
      <c r="A40" s="774" t="s">
        <v>649</v>
      </c>
      <c r="B40" s="392" t="s">
        <v>400</v>
      </c>
      <c r="C40" s="393">
        <v>45323</v>
      </c>
      <c r="D40" s="397">
        <v>35000</v>
      </c>
      <c r="E40" s="397">
        <v>0</v>
      </c>
      <c r="F40" s="397">
        <f>25000</f>
        <v>25000</v>
      </c>
      <c r="G40" s="397">
        <f>55000</f>
        <v>55000</v>
      </c>
      <c r="H40" s="395">
        <f t="shared" si="0"/>
        <v>115000</v>
      </c>
      <c r="I40" s="408"/>
    </row>
    <row r="41" ht="16" spans="1:9">
      <c r="A41" s="774" t="s">
        <v>650</v>
      </c>
      <c r="B41" s="392" t="s">
        <v>423</v>
      </c>
      <c r="C41" s="393">
        <v>45323</v>
      </c>
      <c r="D41" s="397">
        <v>10000</v>
      </c>
      <c r="E41" s="397">
        <v>0</v>
      </c>
      <c r="F41" s="397">
        <v>0</v>
      </c>
      <c r="G41" s="397">
        <f>100000</f>
        <v>100000</v>
      </c>
      <c r="H41" s="395">
        <f t="shared" si="0"/>
        <v>110000</v>
      </c>
      <c r="I41" s="408"/>
    </row>
    <row r="42" ht="16" spans="1:9">
      <c r="A42" s="774" t="s">
        <v>651</v>
      </c>
      <c r="B42" s="392" t="s">
        <v>652</v>
      </c>
      <c r="C42" s="393">
        <v>45323</v>
      </c>
      <c r="D42" s="397">
        <f>10000</f>
        <v>10000</v>
      </c>
      <c r="E42" s="398"/>
      <c r="F42" s="398"/>
      <c r="G42" s="398"/>
      <c r="H42" s="395">
        <f t="shared" si="0"/>
        <v>10000</v>
      </c>
      <c r="I42" s="408"/>
    </row>
    <row r="43" ht="16" spans="1:9">
      <c r="A43" s="774" t="s">
        <v>653</v>
      </c>
      <c r="B43" s="392" t="s">
        <v>470</v>
      </c>
      <c r="C43" s="393">
        <v>45323</v>
      </c>
      <c r="D43" s="395">
        <v>10000</v>
      </c>
      <c r="E43" s="402">
        <v>0</v>
      </c>
      <c r="F43" s="399">
        <f>5000+5000</f>
        <v>10000</v>
      </c>
      <c r="G43" s="395">
        <f>22361.11</f>
        <v>22361.11</v>
      </c>
      <c r="H43" s="395">
        <f t="shared" si="0"/>
        <v>42361.11</v>
      </c>
      <c r="I43" s="408"/>
    </row>
    <row r="44" ht="16" spans="1:9">
      <c r="A44" s="774" t="s">
        <v>654</v>
      </c>
      <c r="B44" s="392" t="s">
        <v>655</v>
      </c>
      <c r="C44" s="393">
        <v>45323</v>
      </c>
      <c r="D44" s="395">
        <f>10000</f>
        <v>10000</v>
      </c>
      <c r="E44" s="402">
        <v>0</v>
      </c>
      <c r="F44" s="399">
        <f>5000+5000</f>
        <v>10000</v>
      </c>
      <c r="G44" s="395">
        <f>20000</f>
        <v>20000</v>
      </c>
      <c r="H44" s="395">
        <f t="shared" si="0"/>
        <v>40000</v>
      </c>
      <c r="I44" s="408"/>
    </row>
    <row r="45" ht="16" spans="1:9">
      <c r="A45" s="774" t="s">
        <v>656</v>
      </c>
      <c r="B45" s="392" t="s">
        <v>657</v>
      </c>
      <c r="C45" s="393">
        <v>45323</v>
      </c>
      <c r="D45" s="397">
        <f>5000</f>
        <v>5000</v>
      </c>
      <c r="E45" s="397">
        <v>0</v>
      </c>
      <c r="F45" s="399">
        <f>5000+5000</f>
        <v>10000</v>
      </c>
      <c r="G45" s="397">
        <f>35704.84</f>
        <v>35704.84</v>
      </c>
      <c r="H45" s="395">
        <f t="shared" si="0"/>
        <v>50704.84</v>
      </c>
      <c r="I45" s="408"/>
    </row>
    <row r="46" ht="16" spans="1:9">
      <c r="A46" s="774" t="s">
        <v>658</v>
      </c>
      <c r="B46" s="392" t="s">
        <v>454</v>
      </c>
      <c r="C46" s="393">
        <v>45323</v>
      </c>
      <c r="D46" s="397">
        <v>10000</v>
      </c>
      <c r="E46" s="397">
        <v>0</v>
      </c>
      <c r="F46" s="397">
        <f>5000+5000</f>
        <v>10000</v>
      </c>
      <c r="G46" s="397">
        <f>32000</f>
        <v>32000</v>
      </c>
      <c r="H46" s="395">
        <f t="shared" si="0"/>
        <v>52000</v>
      </c>
      <c r="I46" s="408"/>
    </row>
    <row r="47" ht="16" spans="1:9">
      <c r="A47" s="774" t="s">
        <v>659</v>
      </c>
      <c r="B47" s="392" t="s">
        <v>660</v>
      </c>
      <c r="C47" s="393">
        <v>45323</v>
      </c>
      <c r="D47" s="397">
        <v>0</v>
      </c>
      <c r="E47" s="397">
        <v>0</v>
      </c>
      <c r="F47" s="397">
        <v>0</v>
      </c>
      <c r="G47" s="397">
        <v>0</v>
      </c>
      <c r="H47" s="395">
        <f t="shared" si="0"/>
        <v>0</v>
      </c>
      <c r="I47" s="407"/>
    </row>
    <row r="48" ht="16" spans="1:9">
      <c r="A48" s="774" t="s">
        <v>661</v>
      </c>
      <c r="B48" s="392" t="s">
        <v>662</v>
      </c>
      <c r="C48" s="393">
        <v>45323</v>
      </c>
      <c r="D48" s="397">
        <f>0</f>
        <v>0</v>
      </c>
      <c r="E48" s="397">
        <v>0</v>
      </c>
      <c r="F48" s="397">
        <v>0</v>
      </c>
      <c r="G48" s="397">
        <f>0</f>
        <v>0</v>
      </c>
      <c r="H48" s="395">
        <f t="shared" si="0"/>
        <v>0</v>
      </c>
      <c r="I48" s="407"/>
    </row>
    <row r="49" ht="16" spans="1:9">
      <c r="A49" s="774" t="s">
        <v>663</v>
      </c>
      <c r="B49" s="392" t="s">
        <v>664</v>
      </c>
      <c r="C49" s="393">
        <v>45323</v>
      </c>
      <c r="D49" s="397">
        <f>0</f>
        <v>0</v>
      </c>
      <c r="E49" s="397">
        <v>0</v>
      </c>
      <c r="F49" s="399">
        <f>0</f>
        <v>0</v>
      </c>
      <c r="G49" s="397">
        <f>0</f>
        <v>0</v>
      </c>
      <c r="H49" s="395">
        <f t="shared" si="0"/>
        <v>0</v>
      </c>
      <c r="I49" s="407"/>
    </row>
    <row r="50" ht="16" spans="1:9">
      <c r="A50" s="774" t="s">
        <v>665</v>
      </c>
      <c r="B50" s="392" t="s">
        <v>461</v>
      </c>
      <c r="C50" s="393">
        <v>45323</v>
      </c>
      <c r="D50" s="397">
        <v>10000</v>
      </c>
      <c r="E50" s="397">
        <v>0</v>
      </c>
      <c r="F50" s="397">
        <f>5000+5000</f>
        <v>10000</v>
      </c>
      <c r="G50" s="403">
        <f>0</f>
        <v>0</v>
      </c>
      <c r="H50" s="395">
        <f t="shared" si="0"/>
        <v>20000</v>
      </c>
      <c r="I50" s="408"/>
    </row>
    <row r="51" ht="16" spans="1:10">
      <c r="A51" s="774" t="s">
        <v>666</v>
      </c>
      <c r="B51" s="392" t="s">
        <v>667</v>
      </c>
      <c r="C51" s="393">
        <v>45323</v>
      </c>
      <c r="D51" s="395">
        <v>20000</v>
      </c>
      <c r="E51" s="404">
        <f>0</f>
        <v>0</v>
      </c>
      <c r="F51" s="397">
        <f>5000+5000</f>
        <v>10000</v>
      </c>
      <c r="G51" s="397">
        <f>26430.62</f>
        <v>26430.62</v>
      </c>
      <c r="H51" s="395">
        <f t="shared" si="0"/>
        <v>56430.62</v>
      </c>
      <c r="I51" s="408"/>
      <c r="J51" s="411"/>
    </row>
    <row r="52" ht="16" spans="1:9">
      <c r="A52" s="774" t="s">
        <v>668</v>
      </c>
      <c r="B52" s="392" t="s">
        <v>475</v>
      </c>
      <c r="C52" s="393">
        <v>45323</v>
      </c>
      <c r="D52" s="395">
        <f>3000</f>
        <v>3000</v>
      </c>
      <c r="E52" s="395"/>
      <c r="F52" s="397">
        <f>5000+5000</f>
        <v>10000</v>
      </c>
      <c r="G52" s="395">
        <f>44000</f>
        <v>44000</v>
      </c>
      <c r="H52" s="395">
        <f t="shared" si="0"/>
        <v>57000</v>
      </c>
      <c r="I52" s="408"/>
    </row>
    <row r="53" ht="16" spans="1:11">
      <c r="A53" s="774" t="s">
        <v>669</v>
      </c>
      <c r="B53" s="392" t="s">
        <v>463</v>
      </c>
      <c r="C53" s="393">
        <v>45323</v>
      </c>
      <c r="D53" s="397">
        <v>10000</v>
      </c>
      <c r="E53" s="397">
        <v>0</v>
      </c>
      <c r="F53" s="397">
        <f>5000+5000</f>
        <v>10000</v>
      </c>
      <c r="G53" s="397">
        <f>15112.49</f>
        <v>15112.49</v>
      </c>
      <c r="H53" s="395">
        <f t="shared" si="0"/>
        <v>35112.49</v>
      </c>
      <c r="I53" s="408"/>
      <c r="K53" s="409"/>
    </row>
    <row r="54" ht="16" spans="1:9">
      <c r="A54" s="774" t="s">
        <v>670</v>
      </c>
      <c r="B54" s="392" t="s">
        <v>671</v>
      </c>
      <c r="C54" s="393">
        <v>45323</v>
      </c>
      <c r="D54" s="397">
        <v>20000</v>
      </c>
      <c r="E54" s="397">
        <v>0</v>
      </c>
      <c r="F54" s="397">
        <f>5000+5000</f>
        <v>10000</v>
      </c>
      <c r="G54" s="397">
        <f>25555.56</f>
        <v>25555.56</v>
      </c>
      <c r="H54" s="395">
        <f t="shared" si="0"/>
        <v>55555.56</v>
      </c>
      <c r="I54" s="408"/>
    </row>
    <row r="55" ht="16" spans="1:11">
      <c r="A55" s="775" t="s">
        <v>672</v>
      </c>
      <c r="B55" s="405" t="s">
        <v>673</v>
      </c>
      <c r="C55" s="393">
        <v>45323</v>
      </c>
      <c r="D55" s="406">
        <v>0</v>
      </c>
      <c r="E55" s="406">
        <v>0</v>
      </c>
      <c r="F55" s="406">
        <v>0</v>
      </c>
      <c r="G55" s="406">
        <v>0</v>
      </c>
      <c r="H55" s="395">
        <f t="shared" si="0"/>
        <v>0</v>
      </c>
      <c r="I55" s="407"/>
      <c r="K55" s="409"/>
    </row>
    <row r="56" ht="16" spans="1:9">
      <c r="A56" s="774" t="s">
        <v>674</v>
      </c>
      <c r="B56" s="392" t="s">
        <v>407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408"/>
    </row>
    <row r="57" ht="16" spans="1:9">
      <c r="A57" s="774" t="s">
        <v>675</v>
      </c>
      <c r="B57" s="392" t="s">
        <v>676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407"/>
    </row>
    <row r="58" ht="16" spans="1:10">
      <c r="A58" s="774" t="s">
        <v>677</v>
      </c>
      <c r="B58" s="392" t="s">
        <v>678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7">
        <f>230499.8</f>
        <v>230499.8</v>
      </c>
      <c r="H58" s="395">
        <f t="shared" si="0"/>
        <v>310499.8</v>
      </c>
      <c r="I58" s="408"/>
      <c r="J58" s="407"/>
    </row>
    <row r="59" ht="16" spans="1:9">
      <c r="A59" s="775" t="s">
        <v>679</v>
      </c>
      <c r="B59" s="405" t="s">
        <v>680</v>
      </c>
      <c r="C59" s="393">
        <v>45323</v>
      </c>
      <c r="D59" s="406">
        <v>0</v>
      </c>
      <c r="E59" s="406">
        <v>0</v>
      </c>
      <c r="F59" s="406">
        <v>0</v>
      </c>
      <c r="G59" s="406">
        <v>0</v>
      </c>
      <c r="H59" s="395">
        <f t="shared" si="0"/>
        <v>0</v>
      </c>
      <c r="I59" s="407"/>
    </row>
    <row r="60" ht="16" spans="1:9">
      <c r="A60" s="774" t="s">
        <v>681</v>
      </c>
      <c r="B60" s="392" t="s">
        <v>682</v>
      </c>
      <c r="C60" s="393">
        <v>45323</v>
      </c>
      <c r="D60" s="397">
        <f>30000</f>
        <v>30000</v>
      </c>
      <c r="E60" s="397">
        <v>0</v>
      </c>
      <c r="F60" s="397">
        <f>10000</f>
        <v>10000</v>
      </c>
      <c r="G60" s="397">
        <f>70000</f>
        <v>70000</v>
      </c>
      <c r="H60" s="395">
        <f t="shared" si="0"/>
        <v>110000</v>
      </c>
      <c r="I60" s="408"/>
    </row>
    <row r="61" ht="16" spans="1:9">
      <c r="A61" s="774" t="s">
        <v>683</v>
      </c>
      <c r="B61" s="392" t="s">
        <v>684</v>
      </c>
      <c r="C61" s="393">
        <v>45323</v>
      </c>
      <c r="D61" s="397">
        <f>0</f>
        <v>0</v>
      </c>
      <c r="E61" s="397">
        <v>0</v>
      </c>
      <c r="F61" s="397">
        <v>0</v>
      </c>
      <c r="G61" s="397">
        <f>0</f>
        <v>0</v>
      </c>
      <c r="H61" s="395">
        <f t="shared" si="0"/>
        <v>0</v>
      </c>
      <c r="I61" s="407"/>
    </row>
    <row r="62" ht="16" spans="1:9">
      <c r="A62" s="774" t="s">
        <v>685</v>
      </c>
      <c r="B62" s="392" t="s">
        <v>686</v>
      </c>
      <c r="C62" s="393">
        <v>45323</v>
      </c>
      <c r="D62" s="398">
        <v>0</v>
      </c>
      <c r="E62" s="398">
        <v>0</v>
      </c>
      <c r="F62" s="398">
        <v>0</v>
      </c>
      <c r="G62" s="398">
        <v>0</v>
      </c>
      <c r="H62" s="395">
        <f t="shared" si="0"/>
        <v>0</v>
      </c>
      <c r="I62" s="407"/>
    </row>
    <row r="63" ht="16" spans="1:9">
      <c r="A63" s="774" t="s">
        <v>687</v>
      </c>
      <c r="B63" s="392" t="s">
        <v>688</v>
      </c>
      <c r="C63" s="393">
        <v>45323</v>
      </c>
      <c r="D63" s="397">
        <f>0</f>
        <v>0</v>
      </c>
      <c r="E63" s="397"/>
      <c r="F63" s="397"/>
      <c r="G63" s="397">
        <f>0</f>
        <v>0</v>
      </c>
      <c r="H63" s="395">
        <f t="shared" si="0"/>
        <v>0</v>
      </c>
      <c r="I63" s="408"/>
    </row>
    <row r="64" ht="16" spans="1:9">
      <c r="A64" s="774" t="s">
        <v>689</v>
      </c>
      <c r="B64" s="392" t="s">
        <v>690</v>
      </c>
      <c r="C64" s="393">
        <v>45323</v>
      </c>
      <c r="D64" s="397">
        <f>0</f>
        <v>0</v>
      </c>
      <c r="E64" s="397">
        <v>0</v>
      </c>
      <c r="F64" s="397">
        <f>0</f>
        <v>0</v>
      </c>
      <c r="G64" s="397"/>
      <c r="H64" s="395">
        <f t="shared" si="0"/>
        <v>0</v>
      </c>
      <c r="I64" s="407"/>
    </row>
    <row r="65" ht="16" spans="1:9">
      <c r="A65" s="774" t="s">
        <v>691</v>
      </c>
      <c r="B65" s="392" t="s">
        <v>413</v>
      </c>
      <c r="C65" s="393">
        <v>45323</v>
      </c>
      <c r="D65" s="397">
        <f>0</f>
        <v>0</v>
      </c>
      <c r="E65" s="397">
        <v>0</v>
      </c>
      <c r="F65" s="397">
        <v>0</v>
      </c>
      <c r="G65" s="397">
        <f>133333.33+30000</f>
        <v>163333.33</v>
      </c>
      <c r="H65" s="395">
        <f t="shared" si="0"/>
        <v>163333.33</v>
      </c>
      <c r="I65" s="408"/>
    </row>
    <row r="66" ht="16" spans="1:9">
      <c r="A66" s="774" t="s">
        <v>692</v>
      </c>
      <c r="B66" s="392" t="s">
        <v>693</v>
      </c>
      <c r="C66" s="393">
        <v>45323</v>
      </c>
      <c r="D66" s="397"/>
      <c r="E66" s="397"/>
      <c r="F66" s="397"/>
      <c r="G66" s="397"/>
      <c r="H66" s="395">
        <f t="shared" si="0"/>
        <v>0</v>
      </c>
      <c r="I66" s="408"/>
    </row>
    <row r="67" ht="16" spans="1:9">
      <c r="A67" s="774" t="s">
        <v>694</v>
      </c>
      <c r="B67" s="392" t="s">
        <v>460</v>
      </c>
      <c r="C67" s="393">
        <v>45323</v>
      </c>
      <c r="D67" s="397">
        <v>5000</v>
      </c>
      <c r="E67" s="397">
        <v>0</v>
      </c>
      <c r="F67" s="397">
        <f>5000+5000</f>
        <v>10000</v>
      </c>
      <c r="G67" s="397">
        <f>14524.11</f>
        <v>14524.11</v>
      </c>
      <c r="H67" s="395">
        <f t="shared" si="0"/>
        <v>29524.11</v>
      </c>
      <c r="I67" s="408"/>
    </row>
    <row r="68" ht="16" spans="1:9">
      <c r="A68" s="774" t="s">
        <v>695</v>
      </c>
      <c r="B68" s="392" t="s">
        <v>309</v>
      </c>
      <c r="C68" s="393">
        <v>45323</v>
      </c>
      <c r="D68" s="397">
        <v>30000</v>
      </c>
      <c r="E68" s="397">
        <v>0</v>
      </c>
      <c r="F68" s="397"/>
      <c r="G68" s="403">
        <f>176288.88</f>
        <v>176288.88</v>
      </c>
      <c r="H68" s="395">
        <f t="shared" si="0"/>
        <v>206288.88</v>
      </c>
      <c r="I68" s="408"/>
    </row>
    <row r="69" ht="16" spans="1:9">
      <c r="A69" s="774" t="s">
        <v>696</v>
      </c>
      <c r="B69" s="392" t="s">
        <v>697</v>
      </c>
      <c r="C69" s="393">
        <v>45323</v>
      </c>
      <c r="D69" s="397">
        <v>80000</v>
      </c>
      <c r="E69" s="397">
        <v>0</v>
      </c>
      <c r="F69" s="397">
        <f>23000</f>
        <v>23000</v>
      </c>
      <c r="G69" s="397">
        <v>246905.964583333</v>
      </c>
      <c r="H69" s="395">
        <f t="shared" si="0"/>
        <v>349905.964583333</v>
      </c>
      <c r="I69" s="408"/>
    </row>
    <row r="70" ht="16" spans="1:9">
      <c r="A70" s="774" t="s">
        <v>698</v>
      </c>
      <c r="B70" s="392" t="s">
        <v>252</v>
      </c>
      <c r="C70" s="393">
        <v>45323</v>
      </c>
      <c r="D70" s="397">
        <v>0</v>
      </c>
      <c r="E70" s="397">
        <v>0</v>
      </c>
      <c r="F70" s="397">
        <v>0</v>
      </c>
      <c r="G70" s="397">
        <v>0</v>
      </c>
      <c r="H70" s="395">
        <f t="shared" ref="H70:H133" si="1">D70+E70+F70+G70</f>
        <v>0</v>
      </c>
      <c r="I70" s="407"/>
    </row>
    <row r="71" ht="16" spans="1:9">
      <c r="A71" s="774" t="s">
        <v>699</v>
      </c>
      <c r="B71" s="392" t="s">
        <v>700</v>
      </c>
      <c r="C71" s="393">
        <v>45323</v>
      </c>
      <c r="D71" s="397">
        <f>70000</f>
        <v>70000</v>
      </c>
      <c r="E71" s="397">
        <f>0</f>
        <v>0</v>
      </c>
      <c r="F71" s="397">
        <v>0</v>
      </c>
      <c r="G71" s="397">
        <f>50000</f>
        <v>50000</v>
      </c>
      <c r="H71" s="395">
        <f t="shared" si="1"/>
        <v>120000</v>
      </c>
      <c r="I71" s="408"/>
    </row>
    <row r="72" ht="16" spans="1:9">
      <c r="A72" s="774" t="s">
        <v>701</v>
      </c>
      <c r="B72" s="392" t="s">
        <v>702</v>
      </c>
      <c r="C72" s="393">
        <v>45323</v>
      </c>
      <c r="D72" s="397">
        <f>10000</f>
        <v>10000</v>
      </c>
      <c r="E72" s="397">
        <v>0</v>
      </c>
      <c r="F72" s="397">
        <v>0</v>
      </c>
      <c r="G72" s="397">
        <f>54585.66</f>
        <v>54585.66</v>
      </c>
      <c r="H72" s="395">
        <f t="shared" si="1"/>
        <v>64585.66</v>
      </c>
      <c r="I72" s="410"/>
    </row>
    <row r="73" ht="16" spans="1:9">
      <c r="A73" s="774" t="s">
        <v>703</v>
      </c>
      <c r="B73" s="392" t="s">
        <v>704</v>
      </c>
      <c r="C73" s="393">
        <v>45323</v>
      </c>
      <c r="D73" s="397">
        <v>10000</v>
      </c>
      <c r="E73" s="397">
        <v>0</v>
      </c>
      <c r="F73" s="397">
        <f>5000+5000</f>
        <v>10000</v>
      </c>
      <c r="G73" s="397">
        <f>13750</f>
        <v>13750</v>
      </c>
      <c r="H73" s="395">
        <f t="shared" si="1"/>
        <v>33750</v>
      </c>
      <c r="I73" s="408"/>
    </row>
    <row r="74" ht="17.5" spans="1:9">
      <c r="A74" s="774" t="s">
        <v>705</v>
      </c>
      <c r="B74" s="392" t="s">
        <v>469</v>
      </c>
      <c r="C74" s="393">
        <v>45323</v>
      </c>
      <c r="D74" s="397">
        <f>10000</f>
        <v>10000</v>
      </c>
      <c r="E74" s="397">
        <v>0</v>
      </c>
      <c r="F74" s="397">
        <f>5000+5000</f>
        <v>10000</v>
      </c>
      <c r="G74" s="415">
        <f>16958.34</f>
        <v>16958.34</v>
      </c>
      <c r="H74" s="395">
        <f t="shared" si="1"/>
        <v>36958.34</v>
      </c>
      <c r="I74" s="408"/>
    </row>
    <row r="75" ht="16" spans="1:9">
      <c r="A75" s="774" t="s">
        <v>706</v>
      </c>
      <c r="B75" s="392" t="s">
        <v>707</v>
      </c>
      <c r="C75" s="393">
        <v>45323</v>
      </c>
      <c r="D75" s="397">
        <f>0</f>
        <v>0</v>
      </c>
      <c r="E75" s="397">
        <v>0</v>
      </c>
      <c r="F75" s="397">
        <f>0</f>
        <v>0</v>
      </c>
      <c r="G75" s="397">
        <f>0</f>
        <v>0</v>
      </c>
      <c r="H75" s="395">
        <f t="shared" si="1"/>
        <v>0</v>
      </c>
      <c r="I75" s="407"/>
    </row>
    <row r="76" ht="17.5" spans="1:9">
      <c r="A76" s="774" t="s">
        <v>708</v>
      </c>
      <c r="B76" s="392" t="s">
        <v>709</v>
      </c>
      <c r="C76" s="393">
        <v>45323</v>
      </c>
      <c r="D76" s="415">
        <f>20000</f>
        <v>20000</v>
      </c>
      <c r="E76" s="402"/>
      <c r="F76" s="402"/>
      <c r="G76" s="397">
        <f>111833.33</f>
        <v>111833.33</v>
      </c>
      <c r="H76" s="395">
        <f t="shared" si="1"/>
        <v>131833.33</v>
      </c>
      <c r="I76" s="408"/>
    </row>
    <row r="77" ht="16" spans="1:9">
      <c r="A77" s="774" t="s">
        <v>710</v>
      </c>
      <c r="B77" s="392" t="s">
        <v>711</v>
      </c>
      <c r="C77" s="393">
        <v>45323</v>
      </c>
      <c r="D77" s="397"/>
      <c r="E77" s="397"/>
      <c r="F77" s="397"/>
      <c r="G77" s="416"/>
      <c r="H77" s="395">
        <f t="shared" si="1"/>
        <v>0</v>
      </c>
      <c r="I77" s="408"/>
    </row>
    <row r="78" ht="16" spans="1:9">
      <c r="A78" s="774" t="s">
        <v>712</v>
      </c>
      <c r="B78" s="392" t="s">
        <v>713</v>
      </c>
      <c r="C78" s="393">
        <v>45323</v>
      </c>
      <c r="D78" s="397">
        <v>0</v>
      </c>
      <c r="E78" s="397">
        <v>0</v>
      </c>
      <c r="F78" s="397">
        <v>0</v>
      </c>
      <c r="G78" s="397"/>
      <c r="H78" s="395">
        <f t="shared" si="1"/>
        <v>0</v>
      </c>
      <c r="I78" s="410"/>
    </row>
    <row r="79" ht="16" spans="1:9">
      <c r="A79" s="774" t="s">
        <v>714</v>
      </c>
      <c r="B79" s="392" t="s">
        <v>715</v>
      </c>
      <c r="C79" s="393">
        <v>45323</v>
      </c>
      <c r="D79" s="397">
        <v>0</v>
      </c>
      <c r="E79" s="397">
        <v>0</v>
      </c>
      <c r="F79" s="397">
        <v>0</v>
      </c>
      <c r="G79" s="397"/>
      <c r="H79" s="395">
        <f t="shared" si="1"/>
        <v>0</v>
      </c>
      <c r="I79" s="407"/>
    </row>
    <row r="80" ht="16" spans="1:9">
      <c r="A80" s="774" t="s">
        <v>716</v>
      </c>
      <c r="B80" s="392" t="s">
        <v>717</v>
      </c>
      <c r="C80" s="393">
        <v>45323</v>
      </c>
      <c r="D80" s="397">
        <v>20000</v>
      </c>
      <c r="E80" s="397">
        <v>0</v>
      </c>
      <c r="F80" s="397">
        <v>0</v>
      </c>
      <c r="G80" s="397">
        <f>68750</f>
        <v>68750</v>
      </c>
      <c r="H80" s="395">
        <f t="shared" si="1"/>
        <v>88750</v>
      </c>
      <c r="I80" s="408"/>
    </row>
    <row r="81" ht="16" spans="1:9">
      <c r="A81" s="774" t="s">
        <v>718</v>
      </c>
      <c r="B81" s="392" t="s">
        <v>719</v>
      </c>
      <c r="C81" s="393">
        <v>45323</v>
      </c>
      <c r="D81" s="397">
        <f>37500</f>
        <v>37500</v>
      </c>
      <c r="E81" s="397">
        <v>0</v>
      </c>
      <c r="F81" s="397"/>
      <c r="G81" s="397"/>
      <c r="H81" s="395">
        <f t="shared" si="1"/>
        <v>37500</v>
      </c>
      <c r="I81" s="408"/>
    </row>
    <row r="82" ht="16" spans="1:9">
      <c r="A82" s="774" t="s">
        <v>720</v>
      </c>
      <c r="B82" s="392" t="s">
        <v>721</v>
      </c>
      <c r="C82" s="393">
        <v>45323</v>
      </c>
      <c r="D82" s="394">
        <v>0</v>
      </c>
      <c r="E82" s="394">
        <v>0</v>
      </c>
      <c r="F82" s="394">
        <v>0</v>
      </c>
      <c r="G82" s="398">
        <v>0</v>
      </c>
      <c r="H82" s="395">
        <f t="shared" si="1"/>
        <v>0</v>
      </c>
      <c r="I82" s="407"/>
    </row>
    <row r="83" ht="16" spans="1:9">
      <c r="A83" s="774" t="s">
        <v>722</v>
      </c>
      <c r="B83" s="392" t="s">
        <v>723</v>
      </c>
      <c r="C83" s="393">
        <v>45323</v>
      </c>
      <c r="D83" s="397">
        <v>50000</v>
      </c>
      <c r="E83" s="397">
        <v>0</v>
      </c>
      <c r="F83" s="397"/>
      <c r="G83" s="416">
        <f>103000</f>
        <v>103000</v>
      </c>
      <c r="H83" s="395">
        <f t="shared" si="1"/>
        <v>153000</v>
      </c>
      <c r="I83" s="408"/>
    </row>
    <row r="84" ht="16" spans="1:9">
      <c r="A84" s="774" t="s">
        <v>724</v>
      </c>
      <c r="B84" s="392" t="s">
        <v>725</v>
      </c>
      <c r="C84" s="393">
        <v>45323</v>
      </c>
      <c r="D84" s="397">
        <v>100000</v>
      </c>
      <c r="E84" s="397">
        <v>0</v>
      </c>
      <c r="F84" s="397">
        <v>10000</v>
      </c>
      <c r="G84" s="397"/>
      <c r="H84" s="395">
        <f t="shared" si="1"/>
        <v>110000</v>
      </c>
      <c r="I84" s="408"/>
    </row>
    <row r="85" ht="16" spans="1:9">
      <c r="A85" s="774" t="s">
        <v>726</v>
      </c>
      <c r="B85" s="392" t="s">
        <v>727</v>
      </c>
      <c r="C85" s="393">
        <v>45323</v>
      </c>
      <c r="D85" s="397">
        <v>0</v>
      </c>
      <c r="E85" s="397">
        <v>0</v>
      </c>
      <c r="F85" s="397">
        <v>0</v>
      </c>
      <c r="G85" s="397"/>
      <c r="H85" s="395">
        <f t="shared" si="1"/>
        <v>0</v>
      </c>
      <c r="I85" s="407"/>
    </row>
    <row r="86" ht="16" spans="1:9">
      <c r="A86" s="774" t="s">
        <v>728</v>
      </c>
      <c r="B86" s="392" t="s">
        <v>729</v>
      </c>
      <c r="C86" s="393">
        <v>45323</v>
      </c>
      <c r="D86" s="397">
        <f>0</f>
        <v>0</v>
      </c>
      <c r="E86" s="397">
        <v>0</v>
      </c>
      <c r="F86" s="397">
        <f>0</f>
        <v>0</v>
      </c>
      <c r="G86" s="397">
        <f>0</f>
        <v>0</v>
      </c>
      <c r="H86" s="395">
        <f t="shared" si="1"/>
        <v>0</v>
      </c>
      <c r="I86" s="407"/>
    </row>
    <row r="87" ht="16" spans="1:9">
      <c r="A87" s="774" t="s">
        <v>730</v>
      </c>
      <c r="B87" s="392" t="s">
        <v>731</v>
      </c>
      <c r="C87" s="393">
        <v>45323</v>
      </c>
      <c r="D87" s="397">
        <v>15000</v>
      </c>
      <c r="E87" s="397">
        <f>0</f>
        <v>0</v>
      </c>
      <c r="F87" s="397">
        <v>0</v>
      </c>
      <c r="G87" s="397">
        <f>133333.34+25000+33333.33+25000</f>
        <v>216666.67</v>
      </c>
      <c r="H87" s="395">
        <f t="shared" si="1"/>
        <v>231666.67</v>
      </c>
      <c r="I87" s="408"/>
    </row>
    <row r="88" ht="16" spans="1:9">
      <c r="A88" s="774" t="s">
        <v>732</v>
      </c>
      <c r="B88" s="392" t="s">
        <v>733</v>
      </c>
      <c r="C88" s="393">
        <v>45323</v>
      </c>
      <c r="D88" s="397">
        <v>50000</v>
      </c>
      <c r="E88" s="397">
        <v>0</v>
      </c>
      <c r="F88" s="397">
        <f>20000</f>
        <v>20000</v>
      </c>
      <c r="G88" s="397">
        <f>0</f>
        <v>0</v>
      </c>
      <c r="H88" s="395">
        <f t="shared" si="1"/>
        <v>70000</v>
      </c>
      <c r="I88" s="408"/>
    </row>
    <row r="89" ht="16" spans="1:9">
      <c r="A89" s="774" t="s">
        <v>734</v>
      </c>
      <c r="B89" s="392" t="s">
        <v>735</v>
      </c>
      <c r="C89" s="393">
        <v>45323</v>
      </c>
      <c r="D89" s="397">
        <f>50000</f>
        <v>50000</v>
      </c>
      <c r="E89" s="397">
        <v>0</v>
      </c>
      <c r="F89" s="397"/>
      <c r="G89" s="397"/>
      <c r="H89" s="395">
        <f t="shared" si="1"/>
        <v>50000</v>
      </c>
      <c r="I89" s="407"/>
    </row>
    <row r="90" ht="16" spans="1:9">
      <c r="A90" s="774" t="s">
        <v>736</v>
      </c>
      <c r="B90" s="392" t="s">
        <v>737</v>
      </c>
      <c r="C90" s="393">
        <v>45323</v>
      </c>
      <c r="D90" s="401"/>
      <c r="E90" s="397">
        <v>0</v>
      </c>
      <c r="F90" s="397"/>
      <c r="G90" s="397"/>
      <c r="H90" s="395">
        <f t="shared" si="1"/>
        <v>0</v>
      </c>
      <c r="I90" s="407"/>
    </row>
    <row r="91" ht="16" spans="1:9">
      <c r="A91" s="774" t="s">
        <v>738</v>
      </c>
      <c r="B91" s="392" t="s">
        <v>739</v>
      </c>
      <c r="C91" s="393">
        <v>45323</v>
      </c>
      <c r="D91" s="397">
        <f>10000</f>
        <v>10000</v>
      </c>
      <c r="E91" s="397">
        <v>0</v>
      </c>
      <c r="F91" s="397"/>
      <c r="G91" s="401"/>
      <c r="H91" s="395">
        <f t="shared" si="1"/>
        <v>10000</v>
      </c>
      <c r="I91" s="408"/>
    </row>
    <row r="92" ht="16" spans="1:9">
      <c r="A92" s="774" t="s">
        <v>740</v>
      </c>
      <c r="B92" s="392" t="s">
        <v>741</v>
      </c>
      <c r="C92" s="393">
        <v>45323</v>
      </c>
      <c r="D92" s="397">
        <f>50000</f>
        <v>50000</v>
      </c>
      <c r="E92" s="397">
        <v>0</v>
      </c>
      <c r="F92" s="397"/>
      <c r="G92" s="403">
        <f>79861.11</f>
        <v>79861.11</v>
      </c>
      <c r="H92" s="395">
        <f t="shared" si="1"/>
        <v>129861.11</v>
      </c>
      <c r="I92" s="408"/>
    </row>
    <row r="93" ht="16" spans="1:9">
      <c r="A93" s="774" t="s">
        <v>742</v>
      </c>
      <c r="B93" s="392" t="s">
        <v>743</v>
      </c>
      <c r="C93" s="393">
        <v>45323</v>
      </c>
      <c r="D93" s="397">
        <f>30000</f>
        <v>30000</v>
      </c>
      <c r="E93" s="397">
        <v>0</v>
      </c>
      <c r="F93" s="397">
        <v>0</v>
      </c>
      <c r="G93" s="395">
        <f>68750+30000</f>
        <v>98750</v>
      </c>
      <c r="H93" s="395">
        <f t="shared" si="1"/>
        <v>128750</v>
      </c>
      <c r="I93" s="408"/>
    </row>
    <row r="94" ht="16" spans="1:9">
      <c r="A94" s="774" t="s">
        <v>744</v>
      </c>
      <c r="B94" s="392" t="s">
        <v>745</v>
      </c>
      <c r="C94" s="393">
        <v>45323</v>
      </c>
      <c r="D94" s="397">
        <v>0</v>
      </c>
      <c r="E94" s="397">
        <v>0</v>
      </c>
      <c r="F94" s="398">
        <v>0</v>
      </c>
      <c r="G94" s="397">
        <v>0</v>
      </c>
      <c r="H94" s="395">
        <f t="shared" si="1"/>
        <v>0</v>
      </c>
      <c r="I94" s="407"/>
    </row>
    <row r="95" ht="16" spans="1:9">
      <c r="A95" s="774" t="s">
        <v>746</v>
      </c>
      <c r="B95" s="392" t="s">
        <v>485</v>
      </c>
      <c r="C95" s="393">
        <v>45323</v>
      </c>
      <c r="D95" s="397">
        <f>10000</f>
        <v>10000</v>
      </c>
      <c r="E95" s="397">
        <v>0</v>
      </c>
      <c r="F95" s="399">
        <f>5000+5000</f>
        <v>10000</v>
      </c>
      <c r="G95" s="397">
        <f>8416.67</f>
        <v>8416.67</v>
      </c>
      <c r="H95" s="395">
        <f t="shared" si="1"/>
        <v>28416.67</v>
      </c>
      <c r="I95" s="408"/>
    </row>
    <row r="96" ht="16" spans="1:9">
      <c r="A96" s="774" t="s">
        <v>747</v>
      </c>
      <c r="B96" s="392" t="s">
        <v>748</v>
      </c>
      <c r="C96" s="393">
        <v>45323</v>
      </c>
      <c r="D96" s="397">
        <f>20000</f>
        <v>20000</v>
      </c>
      <c r="E96" s="397">
        <v>0</v>
      </c>
      <c r="F96" s="397">
        <f>5000+5000</f>
        <v>10000</v>
      </c>
      <c r="G96" s="397">
        <f>25555.56</f>
        <v>25555.56</v>
      </c>
      <c r="H96" s="395">
        <f t="shared" si="1"/>
        <v>55555.56</v>
      </c>
      <c r="I96" s="408"/>
    </row>
    <row r="97" ht="16" spans="1:9">
      <c r="A97" s="774" t="s">
        <v>749</v>
      </c>
      <c r="B97" s="392" t="s">
        <v>750</v>
      </c>
      <c r="C97" s="393">
        <v>45323</v>
      </c>
      <c r="D97" s="397">
        <f>5000</f>
        <v>5000</v>
      </c>
      <c r="E97" s="397">
        <v>0</v>
      </c>
      <c r="F97" s="399">
        <f>5000+5000</f>
        <v>10000</v>
      </c>
      <c r="G97" s="397">
        <f>15972.22</f>
        <v>15972.22</v>
      </c>
      <c r="H97" s="395">
        <f t="shared" si="1"/>
        <v>30972.22</v>
      </c>
      <c r="I97" s="408"/>
    </row>
    <row r="98" ht="16" spans="1:9">
      <c r="A98" s="774" t="s">
        <v>751</v>
      </c>
      <c r="B98" s="392" t="s">
        <v>752</v>
      </c>
      <c r="C98" s="393">
        <v>45323</v>
      </c>
      <c r="D98" s="397">
        <v>10000</v>
      </c>
      <c r="E98" s="397">
        <v>0</v>
      </c>
      <c r="F98" s="397">
        <f>10000</f>
        <v>10000</v>
      </c>
      <c r="G98" s="397">
        <f>30000</f>
        <v>30000</v>
      </c>
      <c r="H98" s="395">
        <f t="shared" si="1"/>
        <v>50000</v>
      </c>
      <c r="I98" s="408"/>
    </row>
    <row r="99" ht="16" spans="1:9">
      <c r="A99" s="774" t="s">
        <v>753</v>
      </c>
      <c r="B99" s="392" t="s">
        <v>754</v>
      </c>
      <c r="C99" s="393">
        <v>45323</v>
      </c>
      <c r="D99" s="397">
        <v>0</v>
      </c>
      <c r="E99" s="397">
        <v>0</v>
      </c>
      <c r="F99" s="397">
        <v>0</v>
      </c>
      <c r="G99" s="397">
        <v>0</v>
      </c>
      <c r="H99" s="395">
        <f t="shared" si="1"/>
        <v>0</v>
      </c>
      <c r="I99" s="407"/>
    </row>
    <row r="100" ht="16" spans="1:9">
      <c r="A100" s="774" t="s">
        <v>755</v>
      </c>
      <c r="B100" s="392" t="s">
        <v>756</v>
      </c>
      <c r="C100" s="393">
        <v>45323</v>
      </c>
      <c r="D100" s="397">
        <f>0</f>
        <v>0</v>
      </c>
      <c r="E100" s="397">
        <v>0</v>
      </c>
      <c r="F100" s="397">
        <v>0</v>
      </c>
      <c r="G100" s="397">
        <f>0</f>
        <v>0</v>
      </c>
      <c r="H100" s="395">
        <f t="shared" si="1"/>
        <v>0</v>
      </c>
      <c r="I100" s="407"/>
    </row>
    <row r="101" ht="16" spans="1:9">
      <c r="A101" s="774" t="s">
        <v>757</v>
      </c>
      <c r="B101" s="392" t="s">
        <v>758</v>
      </c>
      <c r="C101" s="393">
        <v>45323</v>
      </c>
      <c r="D101" s="397">
        <v>0</v>
      </c>
      <c r="E101" s="397">
        <v>0</v>
      </c>
      <c r="F101" s="397">
        <v>0</v>
      </c>
      <c r="G101" s="397">
        <v>0</v>
      </c>
      <c r="H101" s="395">
        <f t="shared" si="1"/>
        <v>0</v>
      </c>
      <c r="I101" s="407"/>
    </row>
    <row r="102" ht="16" spans="1:9">
      <c r="A102" s="774" t="s">
        <v>759</v>
      </c>
      <c r="B102" s="392" t="s">
        <v>760</v>
      </c>
      <c r="C102" s="393">
        <v>45323</v>
      </c>
      <c r="D102" s="397">
        <f>10000</f>
        <v>10000</v>
      </c>
      <c r="E102" s="397">
        <v>0</v>
      </c>
      <c r="F102" s="397">
        <v>0</v>
      </c>
      <c r="G102" s="397">
        <f>50000</f>
        <v>50000</v>
      </c>
      <c r="H102" s="395">
        <f t="shared" si="1"/>
        <v>60000</v>
      </c>
      <c r="I102" s="408"/>
    </row>
    <row r="103" ht="16" spans="1:9">
      <c r="A103" s="774" t="s">
        <v>761</v>
      </c>
      <c r="B103" s="392" t="s">
        <v>762</v>
      </c>
      <c r="C103" s="393">
        <v>45323</v>
      </c>
      <c r="D103" s="397">
        <v>0</v>
      </c>
      <c r="E103" s="397">
        <v>0</v>
      </c>
      <c r="F103" s="397">
        <v>0</v>
      </c>
      <c r="G103" s="397">
        <v>0</v>
      </c>
      <c r="H103" s="395">
        <f t="shared" si="1"/>
        <v>0</v>
      </c>
      <c r="I103" s="407"/>
    </row>
    <row r="104" ht="16" spans="1:9">
      <c r="A104" s="774" t="s">
        <v>763</v>
      </c>
      <c r="B104" s="392" t="s">
        <v>764</v>
      </c>
      <c r="C104" s="393">
        <v>45323</v>
      </c>
      <c r="D104" s="397"/>
      <c r="E104" s="397"/>
      <c r="F104" s="397"/>
      <c r="G104" s="397">
        <f>0</f>
        <v>0</v>
      </c>
      <c r="H104" s="395">
        <f t="shared" si="1"/>
        <v>0</v>
      </c>
      <c r="I104" s="408"/>
    </row>
    <row r="105" ht="16" spans="1:9">
      <c r="A105" s="774" t="s">
        <v>765</v>
      </c>
      <c r="B105" s="392" t="s">
        <v>766</v>
      </c>
      <c r="C105" s="393">
        <v>45323</v>
      </c>
      <c r="D105" s="397"/>
      <c r="E105" s="397"/>
      <c r="F105" s="397"/>
      <c r="G105" s="401"/>
      <c r="H105" s="395">
        <f t="shared" si="1"/>
        <v>0</v>
      </c>
      <c r="I105" s="407"/>
    </row>
    <row r="106" ht="16" spans="1:9">
      <c r="A106" s="774" t="s">
        <v>767</v>
      </c>
      <c r="B106" s="392" t="s">
        <v>768</v>
      </c>
      <c r="C106" s="393">
        <v>45323</v>
      </c>
      <c r="D106" s="397">
        <v>0</v>
      </c>
      <c r="E106" s="397">
        <v>0</v>
      </c>
      <c r="F106" s="397">
        <v>0</v>
      </c>
      <c r="G106" s="397">
        <v>0</v>
      </c>
      <c r="H106" s="395">
        <f t="shared" si="1"/>
        <v>0</v>
      </c>
      <c r="I106" s="407"/>
    </row>
    <row r="107" ht="15" customHeight="1" spans="1:9">
      <c r="A107" s="776" t="s">
        <v>769</v>
      </c>
      <c r="B107" s="392" t="s">
        <v>770</v>
      </c>
      <c r="C107" s="393">
        <v>45323</v>
      </c>
      <c r="D107" s="395">
        <f>50000</f>
        <v>50000</v>
      </c>
      <c r="E107" s="398"/>
      <c r="F107" s="398"/>
      <c r="G107" s="416">
        <f>0</f>
        <v>0</v>
      </c>
      <c r="H107" s="395">
        <f t="shared" si="1"/>
        <v>50000</v>
      </c>
      <c r="I107" s="408"/>
    </row>
    <row r="108" ht="17.5" spans="1:9">
      <c r="A108" s="776" t="s">
        <v>771</v>
      </c>
      <c r="B108" s="392" t="s">
        <v>772</v>
      </c>
      <c r="C108" s="393">
        <v>45323</v>
      </c>
      <c r="D108" s="395">
        <f>30000</f>
        <v>30000</v>
      </c>
      <c r="E108" s="397"/>
      <c r="F108" s="397">
        <f>0</f>
        <v>0</v>
      </c>
      <c r="G108" s="417">
        <f>17500</f>
        <v>17500</v>
      </c>
      <c r="H108" s="395">
        <f t="shared" si="1"/>
        <v>47500</v>
      </c>
      <c r="I108" s="408"/>
    </row>
    <row r="109" ht="17.5" spans="1:9">
      <c r="A109" s="774" t="s">
        <v>773</v>
      </c>
      <c r="B109" s="392" t="s">
        <v>774</v>
      </c>
      <c r="C109" s="393">
        <v>45323</v>
      </c>
      <c r="D109" s="397">
        <v>100000</v>
      </c>
      <c r="E109" s="397"/>
      <c r="F109" s="397">
        <v>0</v>
      </c>
      <c r="G109" s="417">
        <v>0</v>
      </c>
      <c r="H109" s="395">
        <f t="shared" si="1"/>
        <v>100000</v>
      </c>
      <c r="I109" s="408"/>
    </row>
    <row r="110" ht="17.5" spans="1:9">
      <c r="A110" s="774" t="s">
        <v>775</v>
      </c>
      <c r="B110" s="392" t="s">
        <v>776</v>
      </c>
      <c r="C110" s="393">
        <v>45323</v>
      </c>
      <c r="D110" s="397">
        <f>20000</f>
        <v>20000</v>
      </c>
      <c r="E110" s="397"/>
      <c r="F110" s="397">
        <f>10000</f>
        <v>10000</v>
      </c>
      <c r="G110" s="417">
        <v>45833.3333333333</v>
      </c>
      <c r="H110" s="395">
        <f t="shared" si="1"/>
        <v>75833.3333333333</v>
      </c>
      <c r="I110" s="408"/>
    </row>
    <row r="111" ht="17.5" spans="1:9">
      <c r="A111" s="776" t="s">
        <v>777</v>
      </c>
      <c r="B111" s="392" t="s">
        <v>354</v>
      </c>
      <c r="C111" s="393">
        <v>45323</v>
      </c>
      <c r="D111" s="415">
        <f>50000</f>
        <v>50000</v>
      </c>
      <c r="E111" s="415"/>
      <c r="F111" s="398"/>
      <c r="G111" s="415">
        <f>0</f>
        <v>0</v>
      </c>
      <c r="H111" s="395">
        <f t="shared" si="1"/>
        <v>50000</v>
      </c>
      <c r="I111" s="407"/>
    </row>
    <row r="112" ht="17.5" spans="1:9">
      <c r="A112" s="774" t="s">
        <v>778</v>
      </c>
      <c r="B112" s="392" t="s">
        <v>779</v>
      </c>
      <c r="C112" s="393">
        <v>45323</v>
      </c>
      <c r="D112" s="417">
        <f>15000</f>
        <v>15000</v>
      </c>
      <c r="E112" s="417"/>
      <c r="F112" s="397"/>
      <c r="G112" s="397">
        <f>20000</f>
        <v>20000</v>
      </c>
      <c r="H112" s="395">
        <f t="shared" si="1"/>
        <v>35000</v>
      </c>
      <c r="I112" s="408"/>
    </row>
    <row r="113" ht="17.5" spans="1:9">
      <c r="A113" s="777" t="s">
        <v>780</v>
      </c>
      <c r="B113" s="392" t="s">
        <v>355</v>
      </c>
      <c r="C113" s="393">
        <v>45323</v>
      </c>
      <c r="D113" s="415">
        <f>0</f>
        <v>0</v>
      </c>
      <c r="E113" s="417"/>
      <c r="F113" s="397"/>
      <c r="G113" s="397">
        <f>0</f>
        <v>0</v>
      </c>
      <c r="H113" s="395">
        <f t="shared" si="1"/>
        <v>0</v>
      </c>
      <c r="I113" s="407"/>
    </row>
    <row r="114" ht="17.5" spans="1:9">
      <c r="A114" s="774" t="s">
        <v>781</v>
      </c>
      <c r="B114" s="392" t="s">
        <v>782</v>
      </c>
      <c r="C114" s="393">
        <v>45323</v>
      </c>
      <c r="D114" s="417">
        <f>20000</f>
        <v>20000</v>
      </c>
      <c r="E114" s="419"/>
      <c r="F114" s="397">
        <v>0</v>
      </c>
      <c r="G114" s="397">
        <f>50000</f>
        <v>50000</v>
      </c>
      <c r="H114" s="395">
        <f t="shared" si="1"/>
        <v>70000</v>
      </c>
      <c r="I114" s="408"/>
    </row>
    <row r="115" ht="17.5" spans="1:9">
      <c r="A115" s="774" t="s">
        <v>783</v>
      </c>
      <c r="B115" s="392" t="s">
        <v>784</v>
      </c>
      <c r="C115" s="393">
        <v>45323</v>
      </c>
      <c r="D115" s="417">
        <f>10000</f>
        <v>10000</v>
      </c>
      <c r="E115" s="419"/>
      <c r="F115" s="399">
        <f>5000+5000</f>
        <v>10000</v>
      </c>
      <c r="G115" s="397">
        <f>14222.06+12000</f>
        <v>26222.06</v>
      </c>
      <c r="H115" s="395">
        <f t="shared" si="1"/>
        <v>46222.06</v>
      </c>
      <c r="I115" s="408"/>
    </row>
    <row r="116" ht="17.5" spans="1:9">
      <c r="A116" s="774" t="s">
        <v>785</v>
      </c>
      <c r="B116" s="392" t="s">
        <v>421</v>
      </c>
      <c r="C116" s="393">
        <v>45323</v>
      </c>
      <c r="D116" s="417">
        <f>35000</f>
        <v>35000</v>
      </c>
      <c r="E116" s="419"/>
      <c r="F116" s="397">
        <v>0</v>
      </c>
      <c r="G116" s="397">
        <v>159722.222222222</v>
      </c>
      <c r="H116" s="395">
        <f t="shared" si="1"/>
        <v>194722.222222222</v>
      </c>
      <c r="I116" s="408"/>
    </row>
    <row r="117" ht="16" spans="1:9">
      <c r="A117" s="777" t="s">
        <v>786</v>
      </c>
      <c r="B117" s="392" t="s">
        <v>787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408"/>
    </row>
    <row r="118" ht="17.5" spans="1:12">
      <c r="A118" s="774" t="s">
        <v>788</v>
      </c>
      <c r="B118" s="392" t="s">
        <v>789</v>
      </c>
      <c r="C118" s="393">
        <v>45323</v>
      </c>
      <c r="D118" s="397">
        <f>10000</f>
        <v>10000</v>
      </c>
      <c r="E118" s="397"/>
      <c r="F118" s="399">
        <f>10000</f>
        <v>10000</v>
      </c>
      <c r="G118" s="421">
        <f>18333.33</f>
        <v>18333.33</v>
      </c>
      <c r="H118" s="395">
        <f t="shared" si="1"/>
        <v>38333.33</v>
      </c>
      <c r="I118" s="408"/>
      <c r="J118" s="407"/>
      <c r="L118" s="409"/>
    </row>
    <row r="119" ht="16" spans="1:9">
      <c r="A119" s="774" t="s">
        <v>790</v>
      </c>
      <c r="B119" s="392" t="s">
        <v>791</v>
      </c>
      <c r="C119" s="393">
        <v>45323</v>
      </c>
      <c r="D119" s="397">
        <f>10000</f>
        <v>10000</v>
      </c>
      <c r="E119" s="397"/>
      <c r="F119" s="399">
        <f>5000+5000</f>
        <v>10000</v>
      </c>
      <c r="G119" s="397">
        <f>13125+2500</f>
        <v>15625</v>
      </c>
      <c r="H119" s="395">
        <f t="shared" si="1"/>
        <v>35625</v>
      </c>
      <c r="I119" s="408"/>
    </row>
    <row r="120" ht="16" spans="1:9">
      <c r="A120" s="774" t="s">
        <v>792</v>
      </c>
      <c r="B120" s="392" t="s">
        <v>793</v>
      </c>
      <c r="C120" s="393">
        <v>45323</v>
      </c>
      <c r="D120" s="397">
        <f>10000</f>
        <v>10000</v>
      </c>
      <c r="E120" s="397"/>
      <c r="F120" s="399">
        <f>10000</f>
        <v>10000</v>
      </c>
      <c r="G120" s="397">
        <f>10000</f>
        <v>10000</v>
      </c>
      <c r="H120" s="395">
        <f t="shared" si="1"/>
        <v>30000</v>
      </c>
      <c r="I120" s="408"/>
    </row>
    <row r="121" ht="16" spans="1:9">
      <c r="A121" s="774" t="s">
        <v>794</v>
      </c>
      <c r="B121" s="392" t="s">
        <v>795</v>
      </c>
      <c r="C121" s="393">
        <v>45323</v>
      </c>
      <c r="D121" s="397">
        <v>10000</v>
      </c>
      <c r="E121" s="397"/>
      <c r="F121" s="399"/>
      <c r="G121" s="397">
        <v>63888.89</v>
      </c>
      <c r="H121" s="395">
        <f t="shared" si="1"/>
        <v>73888.89</v>
      </c>
      <c r="I121" s="408"/>
    </row>
    <row r="122" ht="16" spans="1:15">
      <c r="A122" s="774" t="s">
        <v>796</v>
      </c>
      <c r="B122" s="392" t="s">
        <v>797</v>
      </c>
      <c r="C122" s="393">
        <v>45323</v>
      </c>
      <c r="D122" s="397">
        <f>50000</f>
        <v>50000</v>
      </c>
      <c r="E122" s="397"/>
      <c r="F122" s="397">
        <f>50000</f>
        <v>50000</v>
      </c>
      <c r="G122" s="397"/>
      <c r="H122" s="395">
        <f t="shared" si="1"/>
        <v>100000</v>
      </c>
      <c r="I122" s="408"/>
      <c r="O122" s="407"/>
    </row>
    <row r="123" ht="17.5" spans="1:15">
      <c r="A123" s="774" t="s">
        <v>798</v>
      </c>
      <c r="B123" s="392" t="s">
        <v>368</v>
      </c>
      <c r="C123" s="393">
        <v>45323</v>
      </c>
      <c r="D123" s="397">
        <f>5000</f>
        <v>5000</v>
      </c>
      <c r="E123" s="397"/>
      <c r="F123" s="397"/>
      <c r="G123" s="417">
        <f>64806.29</f>
        <v>64806.29</v>
      </c>
      <c r="H123" s="395">
        <f t="shared" si="1"/>
        <v>69806.29</v>
      </c>
      <c r="I123" s="408"/>
      <c r="O123" s="407"/>
    </row>
    <row r="124" ht="17.5" spans="1:15">
      <c r="A124" s="774" t="s">
        <v>799</v>
      </c>
      <c r="B124" s="392" t="s">
        <v>800</v>
      </c>
      <c r="C124" s="393">
        <v>45323</v>
      </c>
      <c r="D124" s="399">
        <f>30000</f>
        <v>30000</v>
      </c>
      <c r="E124" s="399">
        <f>0</f>
        <v>0</v>
      </c>
      <c r="F124" s="399">
        <f>0</f>
        <v>0</v>
      </c>
      <c r="G124" s="422">
        <f>60000</f>
        <v>60000</v>
      </c>
      <c r="H124" s="395">
        <f t="shared" si="1"/>
        <v>90000</v>
      </c>
      <c r="I124" s="408"/>
      <c r="N124" s="407"/>
      <c r="O124" s="407"/>
    </row>
    <row r="125" ht="17.5" spans="1:15">
      <c r="A125" s="777" t="s">
        <v>801</v>
      </c>
      <c r="B125" s="392" t="s">
        <v>802</v>
      </c>
      <c r="C125" s="393">
        <v>45323</v>
      </c>
      <c r="D125" s="399">
        <f>20000</f>
        <v>20000</v>
      </c>
      <c r="E125" s="399"/>
      <c r="F125" s="416"/>
      <c r="G125" s="423">
        <f>17500</f>
        <v>17500</v>
      </c>
      <c r="H125" s="395">
        <f t="shared" si="1"/>
        <v>37500</v>
      </c>
      <c r="I125" s="408"/>
      <c r="N125" s="407"/>
      <c r="O125" s="407"/>
    </row>
    <row r="126" ht="16" spans="1:15">
      <c r="A126" s="777" t="s">
        <v>803</v>
      </c>
      <c r="B126" s="392" t="s">
        <v>418</v>
      </c>
      <c r="C126" s="393">
        <v>45323</v>
      </c>
      <c r="D126" s="397">
        <v>0</v>
      </c>
      <c r="E126" s="397">
        <v>0</v>
      </c>
      <c r="F126" s="397">
        <v>0</v>
      </c>
      <c r="G126" s="397">
        <f>100000</f>
        <v>100000</v>
      </c>
      <c r="H126" s="395">
        <f t="shared" si="1"/>
        <v>100000</v>
      </c>
      <c r="I126" s="408"/>
      <c r="N126" s="407"/>
      <c r="O126" s="411"/>
    </row>
    <row r="127" ht="16" spans="1:15">
      <c r="A127" s="777" t="s">
        <v>804</v>
      </c>
      <c r="B127" s="392" t="s">
        <v>805</v>
      </c>
      <c r="C127" s="393">
        <v>45323</v>
      </c>
      <c r="D127" s="397"/>
      <c r="E127" s="397"/>
      <c r="F127" s="397"/>
      <c r="G127" s="397"/>
      <c r="H127" s="395">
        <f t="shared" si="1"/>
        <v>0</v>
      </c>
      <c r="I127" s="407"/>
      <c r="N127" s="407"/>
      <c r="O127" s="409"/>
    </row>
    <row r="128" ht="16" spans="1:14">
      <c r="A128" s="777" t="s">
        <v>806</v>
      </c>
      <c r="B128" s="392" t="s">
        <v>807</v>
      </c>
      <c r="C128" s="393">
        <v>45323</v>
      </c>
      <c r="D128" s="395">
        <f>0</f>
        <v>0</v>
      </c>
      <c r="E128" s="397"/>
      <c r="F128" s="397"/>
      <c r="G128" s="397">
        <f>0</f>
        <v>0</v>
      </c>
      <c r="H128" s="395">
        <f t="shared" si="1"/>
        <v>0</v>
      </c>
      <c r="I128" s="407"/>
      <c r="N128" s="407"/>
    </row>
    <row r="129" ht="16" spans="1:11">
      <c r="A129" s="777" t="s">
        <v>808</v>
      </c>
      <c r="B129" s="392" t="s">
        <v>809</v>
      </c>
      <c r="C129" s="393">
        <v>45323</v>
      </c>
      <c r="D129" s="395">
        <f>50000</f>
        <v>50000</v>
      </c>
      <c r="E129" s="397"/>
      <c r="F129" s="397">
        <f>0</f>
        <v>0</v>
      </c>
      <c r="G129" s="397"/>
      <c r="H129" s="395">
        <f t="shared" si="1"/>
        <v>50000</v>
      </c>
      <c r="I129" s="408"/>
      <c r="K129" s="407"/>
    </row>
    <row r="130" ht="16" spans="1:15">
      <c r="A130" s="777" t="s">
        <v>808</v>
      </c>
      <c r="B130" s="392" t="s">
        <v>810</v>
      </c>
      <c r="C130" s="393">
        <v>45323</v>
      </c>
      <c r="D130" s="395"/>
      <c r="E130" s="397"/>
      <c r="F130" s="397"/>
      <c r="G130" s="397"/>
      <c r="H130" s="395">
        <f t="shared" si="1"/>
        <v>0</v>
      </c>
      <c r="I130" s="408"/>
      <c r="K130" s="407"/>
      <c r="O130" s="409"/>
    </row>
    <row r="131" ht="16" spans="1:12">
      <c r="A131" s="777" t="s">
        <v>811</v>
      </c>
      <c r="B131" s="392" t="s">
        <v>352</v>
      </c>
      <c r="C131" s="393">
        <v>45323</v>
      </c>
      <c r="D131" s="397">
        <f>50000</f>
        <v>50000</v>
      </c>
      <c r="E131" s="397">
        <f>0</f>
        <v>0</v>
      </c>
      <c r="F131" s="397">
        <v>0</v>
      </c>
      <c r="G131" s="397">
        <f>0</f>
        <v>0</v>
      </c>
      <c r="H131" s="395">
        <f t="shared" si="1"/>
        <v>50000</v>
      </c>
      <c r="I131" s="408"/>
      <c r="K131" s="407"/>
      <c r="L131" s="409"/>
    </row>
    <row r="132" ht="16" spans="1:14">
      <c r="A132" s="777" t="s">
        <v>812</v>
      </c>
      <c r="B132" s="392" t="s">
        <v>813</v>
      </c>
      <c r="C132" s="393">
        <v>45323</v>
      </c>
      <c r="D132" s="397">
        <f>0</f>
        <v>0</v>
      </c>
      <c r="E132" s="397">
        <f>0</f>
        <v>0</v>
      </c>
      <c r="F132" s="397">
        <f>0</f>
        <v>0</v>
      </c>
      <c r="G132" s="397">
        <v>0</v>
      </c>
      <c r="H132" s="395">
        <f t="shared" si="1"/>
        <v>0</v>
      </c>
      <c r="I132" s="407"/>
      <c r="K132" s="409"/>
      <c r="L132" s="409"/>
      <c r="N132" s="407"/>
    </row>
    <row r="133" ht="16" spans="1:14">
      <c r="A133" s="777" t="s">
        <v>814</v>
      </c>
      <c r="B133" s="392" t="s">
        <v>815</v>
      </c>
      <c r="C133" s="393">
        <v>45323</v>
      </c>
      <c r="D133" s="395">
        <f>50000</f>
        <v>50000</v>
      </c>
      <c r="E133" s="397"/>
      <c r="F133" s="397"/>
      <c r="G133" s="397">
        <v>59583.3333333333</v>
      </c>
      <c r="H133" s="395">
        <f t="shared" si="1"/>
        <v>109583.333333333</v>
      </c>
      <c r="I133" s="408"/>
      <c r="L133" s="409"/>
      <c r="N133" s="407"/>
    </row>
    <row r="134" ht="16" spans="1:14">
      <c r="A134" s="777" t="s">
        <v>816</v>
      </c>
      <c r="B134" s="392" t="s">
        <v>817</v>
      </c>
      <c r="C134" s="393">
        <v>45323</v>
      </c>
      <c r="D134" s="398"/>
      <c r="E134" s="398"/>
      <c r="F134" s="397"/>
      <c r="G134" s="397"/>
      <c r="H134" s="395">
        <f t="shared" ref="H134:H184" si="2">D134+E134+F134+G134</f>
        <v>0</v>
      </c>
      <c r="I134" s="407"/>
      <c r="N134" s="407"/>
    </row>
    <row r="135" ht="16" spans="1:14">
      <c r="A135" s="777" t="s">
        <v>818</v>
      </c>
      <c r="B135" s="392" t="s">
        <v>819</v>
      </c>
      <c r="C135" s="393">
        <v>45323</v>
      </c>
      <c r="D135" s="397">
        <f>10000</f>
        <v>10000</v>
      </c>
      <c r="E135" s="397">
        <f>0</f>
        <v>0</v>
      </c>
      <c r="F135" s="397"/>
      <c r="G135" s="397">
        <f>95833.33</f>
        <v>95833.33</v>
      </c>
      <c r="H135" s="395">
        <f t="shared" si="2"/>
        <v>105833.33</v>
      </c>
      <c r="I135" s="408"/>
      <c r="J135" s="407"/>
      <c r="L135" s="409"/>
      <c r="M135" s="407"/>
      <c r="N135" s="407"/>
    </row>
    <row r="136" ht="16" spans="1:14">
      <c r="A136" s="777" t="s">
        <v>820</v>
      </c>
      <c r="B136" s="392" t="s">
        <v>821</v>
      </c>
      <c r="C136" s="393">
        <v>45323</v>
      </c>
      <c r="D136" s="397">
        <f>10000</f>
        <v>10000</v>
      </c>
      <c r="E136" s="397">
        <v>0</v>
      </c>
      <c r="F136" s="397">
        <f>5000+5000</f>
        <v>10000</v>
      </c>
      <c r="G136" s="399">
        <f>22916.67+10000</f>
        <v>32916.67</v>
      </c>
      <c r="H136" s="395">
        <f t="shared" si="2"/>
        <v>52916.67</v>
      </c>
      <c r="I136" s="408"/>
      <c r="J136" s="407"/>
      <c r="M136" s="407"/>
      <c r="N136" s="407"/>
    </row>
    <row r="137" ht="16" spans="1:13">
      <c r="A137" s="777" t="s">
        <v>822</v>
      </c>
      <c r="B137" s="392" t="s">
        <v>823</v>
      </c>
      <c r="C137" s="393">
        <v>45323</v>
      </c>
      <c r="D137" s="399">
        <f>100000</f>
        <v>100000</v>
      </c>
      <c r="E137" s="397"/>
      <c r="F137" s="397"/>
      <c r="G137" s="399">
        <f>131250</f>
        <v>131250</v>
      </c>
      <c r="H137" s="395">
        <f t="shared" si="2"/>
        <v>231250</v>
      </c>
      <c r="I137" s="408"/>
      <c r="J137" s="407"/>
      <c r="M137" s="407"/>
    </row>
    <row r="138" ht="16" spans="1:13">
      <c r="A138" s="777" t="s">
        <v>824</v>
      </c>
      <c r="B138" s="392" t="s">
        <v>825</v>
      </c>
      <c r="C138" s="393">
        <v>45323</v>
      </c>
      <c r="D138" s="399">
        <f>50000</f>
        <v>50000</v>
      </c>
      <c r="E138" s="399">
        <f>0</f>
        <v>0</v>
      </c>
      <c r="F138" s="399"/>
      <c r="G138" s="399"/>
      <c r="H138" s="395">
        <f t="shared" si="2"/>
        <v>50000</v>
      </c>
      <c r="I138" s="408"/>
      <c r="J138" s="407"/>
      <c r="M138" s="407"/>
    </row>
    <row r="139" ht="16" spans="1:13">
      <c r="A139" s="777" t="s">
        <v>826</v>
      </c>
      <c r="B139" s="392" t="s">
        <v>442</v>
      </c>
      <c r="C139" s="393">
        <v>45323</v>
      </c>
      <c r="D139" s="399">
        <f>10000</f>
        <v>10000</v>
      </c>
      <c r="E139" s="399">
        <f>0</f>
        <v>0</v>
      </c>
      <c r="F139" s="399"/>
      <c r="G139" s="395">
        <f>90000</f>
        <v>90000</v>
      </c>
      <c r="H139" s="395">
        <f t="shared" si="2"/>
        <v>100000</v>
      </c>
      <c r="I139" s="408"/>
      <c r="J139" s="407"/>
      <c r="M139" s="407"/>
    </row>
    <row r="140" ht="16" spans="1:13">
      <c r="A140" s="777" t="s">
        <v>827</v>
      </c>
      <c r="B140" s="392" t="s">
        <v>343</v>
      </c>
      <c r="C140" s="393">
        <v>45323</v>
      </c>
      <c r="D140" s="399">
        <f>50000</f>
        <v>50000</v>
      </c>
      <c r="E140" s="399"/>
      <c r="F140" s="399"/>
      <c r="G140" s="395">
        <f>50000</f>
        <v>50000</v>
      </c>
      <c r="H140" s="395">
        <f t="shared" si="2"/>
        <v>100000</v>
      </c>
      <c r="I140" s="408"/>
      <c r="M140" s="407"/>
    </row>
    <row r="141" ht="16" spans="1:14">
      <c r="A141" s="777" t="s">
        <v>828</v>
      </c>
      <c r="B141" s="392" t="s">
        <v>829</v>
      </c>
      <c r="C141" s="393">
        <v>45323</v>
      </c>
      <c r="D141" s="399">
        <f>100000</f>
        <v>100000</v>
      </c>
      <c r="E141" s="399">
        <f>0</f>
        <v>0</v>
      </c>
      <c r="F141" s="399">
        <f>100000</f>
        <v>100000</v>
      </c>
      <c r="G141" s="399">
        <f>223611.11</f>
        <v>223611.11</v>
      </c>
      <c r="H141" s="395">
        <f t="shared" si="2"/>
        <v>423611.11</v>
      </c>
      <c r="I141" s="408"/>
      <c r="J141" s="407"/>
      <c r="M141" s="407"/>
      <c r="N141" s="409"/>
    </row>
    <row r="142" ht="16" spans="1:13">
      <c r="A142" s="777" t="s">
        <v>830</v>
      </c>
      <c r="B142" s="392" t="s">
        <v>831</v>
      </c>
      <c r="C142" s="393">
        <v>45323</v>
      </c>
      <c r="D142" s="399">
        <f>10000</f>
        <v>10000</v>
      </c>
      <c r="E142" s="399">
        <f>0</f>
        <v>0</v>
      </c>
      <c r="F142" s="399"/>
      <c r="G142" s="399">
        <f>70000</f>
        <v>70000</v>
      </c>
      <c r="H142" s="395">
        <f t="shared" si="2"/>
        <v>80000</v>
      </c>
      <c r="I142" s="408"/>
      <c r="J142" s="407"/>
      <c r="M142" s="407"/>
    </row>
    <row r="143" ht="16" spans="1:13">
      <c r="A143" s="777" t="s">
        <v>832</v>
      </c>
      <c r="B143" s="392" t="s">
        <v>480</v>
      </c>
      <c r="C143" s="393">
        <v>45323</v>
      </c>
      <c r="D143" s="399">
        <f>5000</f>
        <v>5000</v>
      </c>
      <c r="E143" s="399">
        <f>0</f>
        <v>0</v>
      </c>
      <c r="F143" s="399">
        <f>5000+5000</f>
        <v>10000</v>
      </c>
      <c r="G143" s="399">
        <f>15000</f>
        <v>15000</v>
      </c>
      <c r="H143" s="395">
        <f t="shared" si="2"/>
        <v>30000</v>
      </c>
      <c r="I143" s="408"/>
      <c r="M143" s="407"/>
    </row>
    <row r="144" ht="16" spans="1:13">
      <c r="A144" s="777" t="s">
        <v>833</v>
      </c>
      <c r="B144" s="392" t="s">
        <v>834</v>
      </c>
      <c r="C144" s="393">
        <v>45323</v>
      </c>
      <c r="D144" s="399">
        <f>0</f>
        <v>0</v>
      </c>
      <c r="E144" s="399">
        <v>0</v>
      </c>
      <c r="F144" s="399"/>
      <c r="G144" s="399">
        <f>0</f>
        <v>0</v>
      </c>
      <c r="H144" s="395">
        <f t="shared" si="2"/>
        <v>0</v>
      </c>
      <c r="I144" s="407"/>
      <c r="L144" s="407"/>
      <c r="M144" s="407"/>
    </row>
    <row r="145" ht="17.5" spans="1:13">
      <c r="A145" s="777" t="s">
        <v>835</v>
      </c>
      <c r="B145" s="392" t="s">
        <v>836</v>
      </c>
      <c r="C145" s="393">
        <v>45323</v>
      </c>
      <c r="D145" s="399"/>
      <c r="E145" s="399"/>
      <c r="F145" s="399"/>
      <c r="G145" s="417"/>
      <c r="H145" s="395">
        <f t="shared" si="2"/>
        <v>0</v>
      </c>
      <c r="I145" s="408"/>
      <c r="L145" s="407"/>
      <c r="M145" s="407"/>
    </row>
    <row r="146" ht="16" spans="1:12">
      <c r="A146" s="777" t="s">
        <v>837</v>
      </c>
      <c r="B146" s="392" t="s">
        <v>838</v>
      </c>
      <c r="C146" s="393">
        <v>45323</v>
      </c>
      <c r="D146" s="399">
        <f>200000</f>
        <v>200000</v>
      </c>
      <c r="E146" s="399">
        <f>0</f>
        <v>0</v>
      </c>
      <c r="F146" s="399"/>
      <c r="G146" s="399">
        <f>52500*2+275000</f>
        <v>380000</v>
      </c>
      <c r="H146" s="395">
        <f t="shared" si="2"/>
        <v>580000</v>
      </c>
      <c r="I146" s="408"/>
      <c r="L146" s="407"/>
    </row>
    <row r="147" ht="16" spans="1:12">
      <c r="A147" s="777" t="s">
        <v>839</v>
      </c>
      <c r="B147" s="392" t="s">
        <v>840</v>
      </c>
      <c r="C147" s="393">
        <v>45323</v>
      </c>
      <c r="D147" s="399">
        <f>25000</f>
        <v>25000</v>
      </c>
      <c r="E147" s="399"/>
      <c r="F147" s="399"/>
      <c r="G147" s="401"/>
      <c r="H147" s="395">
        <f t="shared" si="2"/>
        <v>25000</v>
      </c>
      <c r="I147" s="408"/>
      <c r="L147" s="407"/>
    </row>
    <row r="148" ht="16" spans="1:12">
      <c r="A148" s="777" t="s">
        <v>841</v>
      </c>
      <c r="B148" s="392" t="s">
        <v>842</v>
      </c>
      <c r="C148" s="393">
        <v>45323</v>
      </c>
      <c r="D148" s="399">
        <f>0</f>
        <v>0</v>
      </c>
      <c r="E148" s="399"/>
      <c r="F148" s="399"/>
      <c r="G148" s="399"/>
      <c r="H148" s="395">
        <f t="shared" si="2"/>
        <v>0</v>
      </c>
      <c r="I148" s="408"/>
      <c r="L148" s="407"/>
    </row>
    <row r="149" ht="16" spans="1:9">
      <c r="A149" s="777" t="s">
        <v>843</v>
      </c>
      <c r="B149" s="392" t="s">
        <v>321</v>
      </c>
      <c r="C149" s="393">
        <v>45323</v>
      </c>
      <c r="D149" s="399">
        <v>50000</v>
      </c>
      <c r="E149" s="399"/>
      <c r="F149" s="399"/>
      <c r="G149" s="399">
        <v>145000</v>
      </c>
      <c r="H149" s="395">
        <f t="shared" si="2"/>
        <v>195000</v>
      </c>
      <c r="I149" s="408"/>
    </row>
    <row r="150" ht="16" spans="1:12">
      <c r="A150" s="777" t="s">
        <v>844</v>
      </c>
      <c r="B150" s="392" t="s">
        <v>370</v>
      </c>
      <c r="C150" s="393">
        <v>45323</v>
      </c>
      <c r="D150" s="399">
        <f>10000</f>
        <v>10000</v>
      </c>
      <c r="E150" s="399">
        <f>0</f>
        <v>0</v>
      </c>
      <c r="F150" s="399"/>
      <c r="G150" s="397">
        <v>19583.33</v>
      </c>
      <c r="H150" s="395">
        <f t="shared" si="2"/>
        <v>29583.33</v>
      </c>
      <c r="I150" s="407"/>
      <c r="L150" s="407"/>
    </row>
    <row r="151" ht="16" spans="1:9">
      <c r="A151" s="777" t="s">
        <v>845</v>
      </c>
      <c r="B151" s="392" t="s">
        <v>846</v>
      </c>
      <c r="C151" s="393">
        <v>45323</v>
      </c>
      <c r="D151" s="399">
        <f>10000</f>
        <v>10000</v>
      </c>
      <c r="E151" s="399"/>
      <c r="F151" s="399"/>
      <c r="G151" s="399">
        <f>95833.33</f>
        <v>95833.33</v>
      </c>
      <c r="H151" s="395">
        <f t="shared" si="2"/>
        <v>105833.33</v>
      </c>
      <c r="I151" s="408"/>
    </row>
    <row r="152" ht="16" spans="1:9">
      <c r="A152" s="777" t="s">
        <v>847</v>
      </c>
      <c r="B152" s="392" t="s">
        <v>289</v>
      </c>
      <c r="C152" s="393">
        <v>45323</v>
      </c>
      <c r="D152" s="399">
        <f>0</f>
        <v>0</v>
      </c>
      <c r="E152" s="399"/>
      <c r="F152" s="399"/>
      <c r="G152" s="399">
        <f>26666.67</f>
        <v>26666.67</v>
      </c>
      <c r="H152" s="395">
        <f t="shared" si="2"/>
        <v>26666.67</v>
      </c>
      <c r="I152" s="408"/>
    </row>
    <row r="153" ht="16" spans="1:9">
      <c r="A153" s="777" t="s">
        <v>848</v>
      </c>
      <c r="B153" s="392" t="s">
        <v>287</v>
      </c>
      <c r="C153" s="393">
        <v>45323</v>
      </c>
      <c r="D153" s="399">
        <f>50000</f>
        <v>50000</v>
      </c>
      <c r="E153" s="399"/>
      <c r="F153" s="399"/>
      <c r="G153" s="399">
        <f>50000</f>
        <v>50000</v>
      </c>
      <c r="H153" s="395">
        <f t="shared" si="2"/>
        <v>100000</v>
      </c>
      <c r="I153" s="408"/>
    </row>
    <row r="154" ht="16" spans="1:9">
      <c r="A154" s="777" t="s">
        <v>849</v>
      </c>
      <c r="B154" s="392" t="s">
        <v>850</v>
      </c>
      <c r="C154" s="393">
        <v>45323</v>
      </c>
      <c r="D154" s="399">
        <f>30000</f>
        <v>30000</v>
      </c>
      <c r="E154" s="399"/>
      <c r="F154" s="399"/>
      <c r="G154" s="399"/>
      <c r="H154" s="395">
        <f t="shared" si="2"/>
        <v>30000</v>
      </c>
      <c r="I154" s="408"/>
    </row>
    <row r="155" ht="16" spans="1:9">
      <c r="A155" s="777" t="s">
        <v>851</v>
      </c>
      <c r="B155" s="392" t="s">
        <v>852</v>
      </c>
      <c r="C155" s="393">
        <v>45323</v>
      </c>
      <c r="D155" s="399">
        <f>0</f>
        <v>0</v>
      </c>
      <c r="E155" s="399"/>
      <c r="F155" s="399"/>
      <c r="G155" s="399"/>
      <c r="H155" s="395">
        <f t="shared" si="2"/>
        <v>0</v>
      </c>
      <c r="I155" s="407"/>
    </row>
    <row r="156" ht="16" spans="1:9">
      <c r="A156" s="777" t="s">
        <v>853</v>
      </c>
      <c r="B156" s="392" t="s">
        <v>854</v>
      </c>
      <c r="C156" s="393">
        <v>45323</v>
      </c>
      <c r="D156" s="399">
        <f>100000</f>
        <v>100000</v>
      </c>
      <c r="E156" s="399"/>
      <c r="F156" s="399"/>
      <c r="G156" s="399">
        <f>51500</f>
        <v>51500</v>
      </c>
      <c r="H156" s="395">
        <f t="shared" si="2"/>
        <v>151500</v>
      </c>
      <c r="I156" s="408"/>
    </row>
    <row r="157" ht="16" spans="1:9">
      <c r="A157" s="777" t="s">
        <v>855</v>
      </c>
      <c r="B157" s="392" t="s">
        <v>856</v>
      </c>
      <c r="C157" s="393">
        <v>45323</v>
      </c>
      <c r="D157" s="399">
        <f>10000</f>
        <v>10000</v>
      </c>
      <c r="E157" s="399"/>
      <c r="F157" s="399">
        <f>10000</f>
        <v>10000</v>
      </c>
      <c r="G157" s="399">
        <f>11518</f>
        <v>11518</v>
      </c>
      <c r="H157" s="395">
        <f t="shared" si="2"/>
        <v>31518</v>
      </c>
      <c r="I157" s="408"/>
    </row>
    <row r="158" ht="16" spans="1:9">
      <c r="A158" s="777" t="s">
        <v>857</v>
      </c>
      <c r="B158" s="392" t="s">
        <v>858</v>
      </c>
      <c r="C158" s="393">
        <v>45323</v>
      </c>
      <c r="D158" s="399">
        <f>20000</f>
        <v>20000</v>
      </c>
      <c r="E158" s="399"/>
      <c r="F158" s="399"/>
      <c r="G158" s="399"/>
      <c r="H158" s="395">
        <f t="shared" si="2"/>
        <v>20000</v>
      </c>
      <c r="I158" s="408"/>
    </row>
    <row r="159" ht="16" spans="1:9">
      <c r="A159" s="777" t="s">
        <v>859</v>
      </c>
      <c r="B159" s="392" t="s">
        <v>488</v>
      </c>
      <c r="C159" s="393">
        <v>45323</v>
      </c>
      <c r="D159" s="399">
        <v>10000</v>
      </c>
      <c r="E159" s="399"/>
      <c r="F159" s="399">
        <f>5000+5000</f>
        <v>10000</v>
      </c>
      <c r="G159" s="399"/>
      <c r="H159" s="395">
        <f t="shared" si="2"/>
        <v>20000</v>
      </c>
      <c r="I159" s="408"/>
    </row>
    <row r="160" ht="16" spans="1:9">
      <c r="A160" s="777" t="s">
        <v>860</v>
      </c>
      <c r="B160" s="392" t="s">
        <v>861</v>
      </c>
      <c r="C160" s="393">
        <v>45323</v>
      </c>
      <c r="D160" s="399">
        <v>200000</v>
      </c>
      <c r="E160" s="399"/>
      <c r="F160" s="399"/>
      <c r="G160" s="424">
        <f>0</f>
        <v>0</v>
      </c>
      <c r="H160" s="395">
        <f t="shared" si="2"/>
        <v>200000</v>
      </c>
      <c r="I160" s="408"/>
    </row>
    <row r="161" ht="16" spans="1:9">
      <c r="A161" s="777" t="s">
        <v>862</v>
      </c>
      <c r="B161" s="392" t="s">
        <v>863</v>
      </c>
      <c r="C161" s="393">
        <v>45323</v>
      </c>
      <c r="D161" s="399">
        <f>0</f>
        <v>0</v>
      </c>
      <c r="E161" s="399"/>
      <c r="F161" s="399"/>
      <c r="G161" s="399">
        <f>0</f>
        <v>0</v>
      </c>
      <c r="H161" s="395">
        <f t="shared" si="2"/>
        <v>0</v>
      </c>
      <c r="I161" s="407"/>
    </row>
    <row r="162" ht="16" spans="1:9">
      <c r="A162" s="777" t="s">
        <v>864</v>
      </c>
      <c r="B162" s="392" t="s">
        <v>865</v>
      </c>
      <c r="C162" s="393">
        <v>45323</v>
      </c>
      <c r="D162" s="399">
        <f>100000</f>
        <v>100000</v>
      </c>
      <c r="E162" s="399"/>
      <c r="F162" s="399"/>
      <c r="G162" s="399"/>
      <c r="H162" s="395">
        <f t="shared" si="2"/>
        <v>100000</v>
      </c>
      <c r="I162" s="408"/>
    </row>
    <row r="163" ht="16" spans="1:9">
      <c r="A163" s="777" t="s">
        <v>866</v>
      </c>
      <c r="B163" s="392" t="s">
        <v>867</v>
      </c>
      <c r="C163" s="393">
        <v>45323</v>
      </c>
      <c r="D163" s="399">
        <f>5000</f>
        <v>5000</v>
      </c>
      <c r="E163" s="399">
        <f>0</f>
        <v>0</v>
      </c>
      <c r="F163" s="399">
        <f>10000</f>
        <v>10000</v>
      </c>
      <c r="G163" s="399">
        <v>20000</v>
      </c>
      <c r="H163" s="395">
        <f t="shared" si="2"/>
        <v>35000</v>
      </c>
      <c r="I163" s="408"/>
    </row>
    <row r="164" ht="16" spans="1:9">
      <c r="A164" s="777" t="s">
        <v>868</v>
      </c>
      <c r="B164" s="392" t="s">
        <v>869</v>
      </c>
      <c r="C164" s="393">
        <v>45323</v>
      </c>
      <c r="D164" s="399">
        <f>20000</f>
        <v>20000</v>
      </c>
      <c r="E164" s="399"/>
      <c r="F164" s="399"/>
      <c r="G164" s="399"/>
      <c r="H164" s="395">
        <f t="shared" si="2"/>
        <v>20000</v>
      </c>
      <c r="I164" s="408"/>
    </row>
    <row r="165" ht="16" spans="1:9">
      <c r="A165" s="777" t="s">
        <v>870</v>
      </c>
      <c r="B165" s="392" t="s">
        <v>871</v>
      </c>
      <c r="C165" s="393">
        <v>45323</v>
      </c>
      <c r="D165" s="399">
        <f>50000</f>
        <v>50000</v>
      </c>
      <c r="E165" s="399"/>
      <c r="F165" s="399"/>
      <c r="G165" s="399">
        <f>91666.67</f>
        <v>91666.67</v>
      </c>
      <c r="H165" s="395">
        <f t="shared" si="2"/>
        <v>141666.67</v>
      </c>
      <c r="I165" s="408"/>
    </row>
    <row r="166" ht="16" spans="1:9">
      <c r="A166" s="777" t="s">
        <v>872</v>
      </c>
      <c r="B166" s="392" t="s">
        <v>357</v>
      </c>
      <c r="C166" s="393">
        <v>45323</v>
      </c>
      <c r="D166" s="399">
        <f>20000</f>
        <v>20000</v>
      </c>
      <c r="E166" s="399">
        <f>0</f>
        <v>0</v>
      </c>
      <c r="F166" s="399"/>
      <c r="G166" s="399">
        <f>43750</f>
        <v>43750</v>
      </c>
      <c r="H166" s="395">
        <f t="shared" si="2"/>
        <v>63750</v>
      </c>
      <c r="I166" s="408"/>
    </row>
    <row r="167" ht="16" spans="1:9">
      <c r="A167" s="777" t="s">
        <v>873</v>
      </c>
      <c r="B167" s="392" t="s">
        <v>874</v>
      </c>
      <c r="C167" s="393">
        <v>45323</v>
      </c>
      <c r="D167" s="399">
        <f>10000</f>
        <v>10000</v>
      </c>
      <c r="E167" s="399">
        <f>0</f>
        <v>0</v>
      </c>
      <c r="F167" s="399"/>
      <c r="G167" s="399"/>
      <c r="H167" s="395">
        <f t="shared" si="2"/>
        <v>10000</v>
      </c>
      <c r="I167" s="408"/>
    </row>
    <row r="168" ht="16" spans="1:9">
      <c r="A168" s="777" t="s">
        <v>875</v>
      </c>
      <c r="B168" s="392" t="s">
        <v>278</v>
      </c>
      <c r="C168" s="393">
        <v>45323</v>
      </c>
      <c r="D168" s="399">
        <f>10000</f>
        <v>10000</v>
      </c>
      <c r="E168" s="399">
        <f>0</f>
        <v>0</v>
      </c>
      <c r="F168" s="399"/>
      <c r="G168" s="399">
        <f>20000</f>
        <v>20000</v>
      </c>
      <c r="H168" s="395">
        <f t="shared" si="2"/>
        <v>30000</v>
      </c>
      <c r="I168" s="408"/>
    </row>
    <row r="169" ht="16" spans="1:9">
      <c r="A169" s="777" t="s">
        <v>876</v>
      </c>
      <c r="B169" s="392" t="s">
        <v>877</v>
      </c>
      <c r="C169" s="393">
        <v>45323</v>
      </c>
      <c r="D169" s="399">
        <v>20000</v>
      </c>
      <c r="E169" s="399">
        <f>0</f>
        <v>0</v>
      </c>
      <c r="F169" s="399"/>
      <c r="G169" s="399"/>
      <c r="H169" s="395">
        <f t="shared" si="2"/>
        <v>20000</v>
      </c>
      <c r="I169" s="408"/>
    </row>
    <row r="170" ht="16" spans="1:9">
      <c r="A170" s="777" t="s">
        <v>878</v>
      </c>
      <c r="B170" s="392" t="s">
        <v>879</v>
      </c>
      <c r="C170" s="393">
        <v>45323</v>
      </c>
      <c r="D170" s="399">
        <f>0</f>
        <v>0</v>
      </c>
      <c r="E170" s="399">
        <f>0</f>
        <v>0</v>
      </c>
      <c r="F170" s="399">
        <f>120000</f>
        <v>120000</v>
      </c>
      <c r="G170" s="399"/>
      <c r="H170" s="395">
        <f t="shared" si="2"/>
        <v>120000</v>
      </c>
      <c r="I170" s="408"/>
    </row>
    <row r="171" ht="16" spans="1:9">
      <c r="A171" s="777" t="s">
        <v>880</v>
      </c>
      <c r="B171" s="392" t="s">
        <v>881</v>
      </c>
      <c r="C171" s="393">
        <v>45323</v>
      </c>
      <c r="D171" s="399">
        <f>50000</f>
        <v>50000</v>
      </c>
      <c r="E171" s="399"/>
      <c r="F171" s="399"/>
      <c r="G171" s="399"/>
      <c r="H171" s="395">
        <f t="shared" si="2"/>
        <v>50000</v>
      </c>
      <c r="I171" s="408"/>
    </row>
    <row r="172" ht="16" spans="1:9">
      <c r="A172" s="777" t="s">
        <v>882</v>
      </c>
      <c r="B172" s="392" t="s">
        <v>334</v>
      </c>
      <c r="C172" s="393">
        <v>45323</v>
      </c>
      <c r="D172" s="399">
        <f>65000</f>
        <v>65000</v>
      </c>
      <c r="E172" s="399"/>
      <c r="F172" s="399"/>
      <c r="G172" s="399"/>
      <c r="H172" s="395">
        <f t="shared" si="2"/>
        <v>65000</v>
      </c>
      <c r="I172" s="408"/>
    </row>
    <row r="173" ht="16" spans="1:9">
      <c r="A173" s="777" t="s">
        <v>883</v>
      </c>
      <c r="B173" s="392" t="s">
        <v>450</v>
      </c>
      <c r="C173" s="393">
        <v>45323</v>
      </c>
      <c r="D173" s="399">
        <f>10000</f>
        <v>10000</v>
      </c>
      <c r="E173" s="399"/>
      <c r="F173" s="399"/>
      <c r="G173" s="399"/>
      <c r="H173" s="395">
        <f t="shared" si="2"/>
        <v>10000</v>
      </c>
      <c r="I173" s="408"/>
    </row>
    <row r="174" ht="16" spans="1:9">
      <c r="A174" s="777" t="s">
        <v>884</v>
      </c>
      <c r="B174" s="392" t="s">
        <v>885</v>
      </c>
      <c r="C174" s="393">
        <v>45323</v>
      </c>
      <c r="D174" s="399">
        <f>10000</f>
        <v>10000</v>
      </c>
      <c r="E174" s="399"/>
      <c r="F174" s="399"/>
      <c r="G174" s="399"/>
      <c r="H174" s="395">
        <f t="shared" si="2"/>
        <v>10000</v>
      </c>
      <c r="I174" s="408"/>
    </row>
    <row r="175" ht="16" spans="1:9">
      <c r="A175" s="777" t="s">
        <v>886</v>
      </c>
      <c r="B175" s="392" t="s">
        <v>887</v>
      </c>
      <c r="C175" s="393">
        <v>45323</v>
      </c>
      <c r="D175" s="399">
        <f>30000</f>
        <v>30000</v>
      </c>
      <c r="E175" s="399"/>
      <c r="F175" s="399"/>
      <c r="G175" s="399"/>
      <c r="H175" s="395">
        <f t="shared" si="2"/>
        <v>30000</v>
      </c>
      <c r="I175" s="408"/>
    </row>
    <row r="176" ht="16" spans="1:9">
      <c r="A176" s="777" t="s">
        <v>888</v>
      </c>
      <c r="B176" s="392" t="s">
        <v>292</v>
      </c>
      <c r="C176" s="393">
        <v>45323</v>
      </c>
      <c r="D176" s="399">
        <f>20000</f>
        <v>20000</v>
      </c>
      <c r="E176" s="399"/>
      <c r="F176" s="399"/>
      <c r="G176" s="399"/>
      <c r="H176" s="395">
        <f t="shared" si="2"/>
        <v>20000</v>
      </c>
      <c r="I176" s="408"/>
    </row>
    <row r="177" ht="16" spans="1:9">
      <c r="A177" s="777" t="s">
        <v>889</v>
      </c>
      <c r="B177" s="392" t="s">
        <v>890</v>
      </c>
      <c r="C177" s="393">
        <v>45323</v>
      </c>
      <c r="D177" s="399">
        <f>30000</f>
        <v>30000</v>
      </c>
      <c r="E177" s="399"/>
      <c r="F177" s="399"/>
      <c r="G177" s="399"/>
      <c r="H177" s="395">
        <f t="shared" si="2"/>
        <v>30000</v>
      </c>
      <c r="I177" s="408"/>
    </row>
    <row r="178" ht="16" spans="1:9">
      <c r="A178" s="777" t="s">
        <v>891</v>
      </c>
      <c r="B178" s="392" t="s">
        <v>892</v>
      </c>
      <c r="C178" s="393">
        <v>45323</v>
      </c>
      <c r="D178" s="399">
        <v>30000</v>
      </c>
      <c r="E178" s="399"/>
      <c r="F178" s="399"/>
      <c r="G178" s="399"/>
      <c r="H178" s="395">
        <f t="shared" si="2"/>
        <v>30000</v>
      </c>
      <c r="I178" s="408"/>
    </row>
    <row r="179" ht="16" spans="1:9">
      <c r="A179" s="777" t="s">
        <v>893</v>
      </c>
      <c r="B179" s="392" t="s">
        <v>894</v>
      </c>
      <c r="C179" s="393">
        <v>45323</v>
      </c>
      <c r="D179" s="399">
        <f>50000</f>
        <v>50000</v>
      </c>
      <c r="E179" s="399"/>
      <c r="F179" s="399"/>
      <c r="G179" s="399"/>
      <c r="H179" s="395">
        <f t="shared" si="2"/>
        <v>50000</v>
      </c>
      <c r="I179" s="408"/>
    </row>
    <row r="180" ht="16" spans="1:9">
      <c r="A180" s="777" t="s">
        <v>895</v>
      </c>
      <c r="B180" s="392" t="s">
        <v>896</v>
      </c>
      <c r="C180" s="393">
        <v>45323</v>
      </c>
      <c r="D180" s="399">
        <v>5000</v>
      </c>
      <c r="E180" s="399"/>
      <c r="F180" s="399">
        <f>10000</f>
        <v>10000</v>
      </c>
      <c r="G180" s="399"/>
      <c r="H180" s="395">
        <f t="shared" si="2"/>
        <v>15000</v>
      </c>
      <c r="I180" s="408"/>
    </row>
    <row r="181" ht="16" spans="1:9">
      <c r="A181" s="777" t="s">
        <v>897</v>
      </c>
      <c r="B181" s="392" t="s">
        <v>500</v>
      </c>
      <c r="C181" s="393">
        <v>45323</v>
      </c>
      <c r="D181" s="399">
        <f>10000</f>
        <v>10000</v>
      </c>
      <c r="E181" s="399"/>
      <c r="F181" s="399">
        <f>10000</f>
        <v>10000</v>
      </c>
      <c r="G181" s="399"/>
      <c r="H181" s="395">
        <f t="shared" si="2"/>
        <v>20000</v>
      </c>
      <c r="I181" s="408"/>
    </row>
    <row r="182" ht="16" spans="1:9">
      <c r="A182" s="777" t="s">
        <v>895</v>
      </c>
      <c r="B182" s="392" t="s">
        <v>898</v>
      </c>
      <c r="C182" s="393">
        <v>45323</v>
      </c>
      <c r="D182" s="399">
        <f>10000</f>
        <v>10000</v>
      </c>
      <c r="E182" s="399"/>
      <c r="F182" s="399"/>
      <c r="G182" s="399"/>
      <c r="H182" s="395">
        <f t="shared" si="2"/>
        <v>10000</v>
      </c>
      <c r="I182" s="408"/>
    </row>
    <row r="183" ht="16" spans="1:9">
      <c r="A183" s="777" t="s">
        <v>895</v>
      </c>
      <c r="B183" s="392" t="s">
        <v>495</v>
      </c>
      <c r="C183" s="393">
        <v>45323</v>
      </c>
      <c r="D183" s="399">
        <f>10000</f>
        <v>10000</v>
      </c>
      <c r="E183" s="399"/>
      <c r="F183" s="399"/>
      <c r="G183" s="399"/>
      <c r="H183" s="395">
        <f t="shared" si="2"/>
        <v>10000</v>
      </c>
      <c r="I183" s="408"/>
    </row>
    <row r="184" ht="16" spans="1:9">
      <c r="A184" s="777" t="s">
        <v>895</v>
      </c>
      <c r="B184" s="392" t="s">
        <v>899</v>
      </c>
      <c r="C184" s="393">
        <v>45323</v>
      </c>
      <c r="D184" s="399">
        <f>10000</f>
        <v>10000</v>
      </c>
      <c r="E184" s="399"/>
      <c r="F184" s="399"/>
      <c r="G184" s="399"/>
      <c r="H184" s="395">
        <f t="shared" si="2"/>
        <v>10000</v>
      </c>
      <c r="I184" s="408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407"/>
      <c r="J185" s="407"/>
      <c r="L185" s="407"/>
    </row>
    <row r="186" ht="22" spans="1:12">
      <c r="A186" s="428"/>
      <c r="B186" s="429" t="s">
        <v>33</v>
      </c>
      <c r="C186" s="392"/>
      <c r="D186" s="430">
        <f>D185+E185+F185</f>
        <v>5123500</v>
      </c>
      <c r="E186" s="431"/>
      <c r="F186" s="431"/>
      <c r="G186" s="431"/>
      <c r="H186" s="431"/>
      <c r="I186" s="409"/>
      <c r="J186" s="409"/>
      <c r="L186" s="407"/>
    </row>
    <row r="187" ht="15" spans="1:12">
      <c r="A187" s="384"/>
      <c r="B187" s="387" t="s">
        <v>900</v>
      </c>
      <c r="C187" s="387"/>
      <c r="D187" s="432"/>
      <c r="E187" s="392"/>
      <c r="F187" s="409"/>
      <c r="G187" s="433"/>
      <c r="H187" s="407"/>
      <c r="I187" s="407"/>
      <c r="L187" s="434"/>
    </row>
    <row r="188" ht="15" spans="1:9">
      <c r="A188" s="384"/>
      <c r="B188" s="392"/>
      <c r="C188" s="387" t="s">
        <v>901</v>
      </c>
      <c r="D188" s="387" t="s">
        <v>902</v>
      </c>
      <c r="E188" s="392"/>
      <c r="F188" s="433"/>
      <c r="G188" s="433"/>
      <c r="H188" s="434"/>
      <c r="I188" s="407"/>
    </row>
    <row r="189" ht="17.5" spans="1:11">
      <c r="A189" s="392"/>
      <c r="B189" s="392" t="s">
        <v>903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904</v>
      </c>
      <c r="G189" s="407"/>
      <c r="H189" s="407"/>
      <c r="I189" s="407"/>
      <c r="K189" s="407"/>
    </row>
    <row r="190" ht="17.5" spans="1:11">
      <c r="A190" s="392"/>
      <c r="B190" s="392" t="s">
        <v>905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407"/>
      <c r="H190" s="407"/>
      <c r="I190" s="407"/>
      <c r="K190" s="407"/>
    </row>
    <row r="191" ht="17.5" spans="1:11">
      <c r="A191" s="392"/>
      <c r="B191" s="392" t="s">
        <v>906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408"/>
      <c r="G191" s="407"/>
      <c r="H191" s="407"/>
      <c r="I191" s="407"/>
      <c r="K191" s="407"/>
    </row>
    <row r="192" ht="17.5" spans="1:11">
      <c r="A192" s="392"/>
      <c r="B192" s="392" t="s">
        <v>500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408"/>
      <c r="G192" s="407"/>
      <c r="H192" s="407"/>
      <c r="I192" s="407"/>
      <c r="K192" s="407"/>
    </row>
    <row r="193" ht="17.5" spans="1:11">
      <c r="A193" s="392"/>
      <c r="B193" s="392" t="s">
        <v>898</v>
      </c>
      <c r="C193" s="415">
        <v>12000</v>
      </c>
      <c r="D193" s="437">
        <f>10000</f>
        <v>10000</v>
      </c>
      <c r="E193" s="415">
        <f t="shared" si="4"/>
        <v>-2000</v>
      </c>
      <c r="F193" s="408"/>
      <c r="G193" s="407"/>
      <c r="H193" s="407"/>
      <c r="I193" s="407"/>
      <c r="K193" s="407"/>
    </row>
    <row r="194" ht="17.5" spans="1:11">
      <c r="A194" s="392"/>
      <c r="B194" s="392" t="s">
        <v>495</v>
      </c>
      <c r="C194" s="415">
        <v>12000</v>
      </c>
      <c r="D194" s="437">
        <f>10000</f>
        <v>10000</v>
      </c>
      <c r="E194" s="415">
        <f t="shared" si="4"/>
        <v>-2000</v>
      </c>
      <c r="F194" s="408"/>
      <c r="G194" s="407"/>
      <c r="H194" s="407"/>
      <c r="I194" s="407"/>
      <c r="K194" s="407"/>
    </row>
    <row r="195" ht="17.5" spans="1:11">
      <c r="A195" s="392"/>
      <c r="B195" s="392" t="s">
        <v>899</v>
      </c>
      <c r="C195" s="415">
        <v>12000</v>
      </c>
      <c r="D195" s="437">
        <f>10000</f>
        <v>10000</v>
      </c>
      <c r="E195" s="415">
        <f t="shared" si="4"/>
        <v>-2000</v>
      </c>
      <c r="F195" s="408"/>
      <c r="G195" s="407"/>
      <c r="H195" s="407"/>
      <c r="I195" s="407"/>
      <c r="K195" s="407"/>
    </row>
    <row r="196" ht="17.5" spans="1:11">
      <c r="A196" s="384"/>
      <c r="B196" s="438" t="s">
        <v>166</v>
      </c>
      <c r="C196" s="402"/>
      <c r="D196" s="439">
        <f>0</f>
        <v>0</v>
      </c>
      <c r="E196" s="440">
        <f>SUM(E190:E195)</f>
        <v>-12000</v>
      </c>
      <c r="I196" s="411"/>
      <c r="K196" s="407"/>
    </row>
    <row r="197" ht="15" spans="1:11">
      <c r="A197" s="392"/>
      <c r="B197" s="392"/>
      <c r="C197" s="387"/>
      <c r="D197" s="392"/>
      <c r="E197" s="392"/>
      <c r="K197" s="407"/>
    </row>
    <row r="198" ht="15" spans="1:11">
      <c r="A198" s="392"/>
      <c r="B198" s="387" t="s">
        <v>907</v>
      </c>
      <c r="C198" s="387"/>
      <c r="D198" s="392"/>
      <c r="E198" s="392"/>
      <c r="K198" s="407"/>
    </row>
    <row r="199" ht="15" spans="1:11">
      <c r="A199" s="392"/>
      <c r="B199" s="387"/>
      <c r="C199" s="387" t="s">
        <v>901</v>
      </c>
      <c r="D199" s="387" t="s">
        <v>902</v>
      </c>
      <c r="E199" s="392"/>
      <c r="K199" s="407"/>
    </row>
    <row r="200" ht="17.5" spans="1:11">
      <c r="A200" s="441"/>
      <c r="B200" s="441" t="s">
        <v>908</v>
      </c>
      <c r="C200" s="395">
        <f>20000</f>
        <v>20000</v>
      </c>
      <c r="D200" s="397">
        <f>0</f>
        <v>0</v>
      </c>
      <c r="E200" s="415">
        <f>D200-C200</f>
        <v>-20000</v>
      </c>
      <c r="G200" s="407"/>
      <c r="K200" s="407"/>
    </row>
    <row r="201" ht="17.5" spans="1:11">
      <c r="A201" s="441"/>
      <c r="B201" s="441" t="s">
        <v>909</v>
      </c>
      <c r="C201" s="395">
        <v>120000</v>
      </c>
      <c r="D201" s="397"/>
      <c r="E201" s="415">
        <f>D201-C201</f>
        <v>-120000</v>
      </c>
      <c r="G201" s="407"/>
      <c r="K201" s="407"/>
    </row>
    <row r="202" ht="17.5" spans="1:11">
      <c r="A202" s="441"/>
      <c r="B202" s="441"/>
      <c r="C202" s="395"/>
      <c r="D202" s="397"/>
      <c r="E202" s="415"/>
      <c r="G202" s="407"/>
      <c r="K202" s="407"/>
    </row>
    <row r="203" ht="17.5" spans="1:11">
      <c r="A203" s="441"/>
      <c r="B203" s="441"/>
      <c r="C203" s="415"/>
      <c r="D203" s="415"/>
      <c r="E203" s="415"/>
      <c r="G203" s="407"/>
      <c r="K203" s="407"/>
    </row>
    <row r="204" ht="17.5" spans="1:11">
      <c r="A204" s="441"/>
      <c r="B204" s="441"/>
      <c r="C204" s="395"/>
      <c r="D204" s="397"/>
      <c r="E204" s="415"/>
      <c r="G204" s="407"/>
      <c r="H204" s="407"/>
      <c r="K204" s="407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407"/>
      <c r="K205" s="407"/>
    </row>
    <row r="206" ht="30" customHeight="1" spans="1:11">
      <c r="A206" s="384"/>
      <c r="B206" s="438" t="s">
        <v>910</v>
      </c>
      <c r="C206" s="384"/>
      <c r="D206" s="384"/>
      <c r="E206" s="442">
        <f>E196+E205</f>
        <v>-152000</v>
      </c>
      <c r="G206" s="407"/>
      <c r="K206" s="407"/>
    </row>
    <row r="207" ht="18.5" spans="5:11">
      <c r="E207" s="443"/>
      <c r="K207" s="407"/>
    </row>
    <row r="208" ht="16" spans="1:11">
      <c r="A208" s="777" t="s">
        <v>637</v>
      </c>
      <c r="B208" s="392" t="s">
        <v>638</v>
      </c>
      <c r="C208" s="393">
        <v>45292</v>
      </c>
      <c r="D208" s="397">
        <v>10000</v>
      </c>
      <c r="E208" s="397">
        <v>0</v>
      </c>
      <c r="F208" s="397">
        <v>0</v>
      </c>
      <c r="G208" s="397">
        <f>40000</f>
        <v>40000</v>
      </c>
      <c r="H208" s="395">
        <f t="shared" ref="H208:H223" si="5">D208+E208+F208+G208</f>
        <v>50000</v>
      </c>
      <c r="I208" s="407"/>
      <c r="K208" s="407"/>
    </row>
    <row r="209" ht="16" spans="1:11">
      <c r="A209" s="777" t="s">
        <v>685</v>
      </c>
      <c r="B209" s="392" t="s">
        <v>686</v>
      </c>
      <c r="C209" s="393">
        <v>45292</v>
      </c>
      <c r="D209" s="399">
        <v>30000</v>
      </c>
      <c r="E209" s="399">
        <v>0</v>
      </c>
      <c r="F209" s="399">
        <v>0</v>
      </c>
      <c r="G209" s="399">
        <f>0</f>
        <v>0</v>
      </c>
      <c r="H209" s="395">
        <f t="shared" si="5"/>
        <v>30000</v>
      </c>
      <c r="K209" s="407"/>
    </row>
    <row r="210" ht="16" spans="1:14">
      <c r="A210" s="777" t="s">
        <v>720</v>
      </c>
      <c r="B210" s="392" t="s">
        <v>721</v>
      </c>
      <c r="C210" s="393">
        <v>45292</v>
      </c>
      <c r="D210" s="399">
        <v>10000</v>
      </c>
      <c r="E210" s="399">
        <v>0</v>
      </c>
      <c r="F210" s="399"/>
      <c r="G210" s="399">
        <f>20000</f>
        <v>20000</v>
      </c>
      <c r="H210" s="395">
        <f t="shared" si="5"/>
        <v>30000</v>
      </c>
      <c r="K210" s="407"/>
      <c r="N210" s="407"/>
    </row>
    <row r="211" ht="16" spans="1:14">
      <c r="A211" s="777" t="s">
        <v>794</v>
      </c>
      <c r="B211" s="392" t="s">
        <v>795</v>
      </c>
      <c r="C211" s="393">
        <v>45292</v>
      </c>
      <c r="D211" s="399"/>
      <c r="E211" s="399"/>
      <c r="F211" s="399"/>
      <c r="G211" s="399"/>
      <c r="H211" s="395">
        <f t="shared" si="5"/>
        <v>0</v>
      </c>
      <c r="I211" s="407"/>
      <c r="K211" s="407"/>
      <c r="N211" s="407"/>
    </row>
    <row r="212" ht="16" spans="1:14">
      <c r="A212" s="777" t="s">
        <v>911</v>
      </c>
      <c r="B212" s="392" t="s">
        <v>912</v>
      </c>
      <c r="C212" s="393">
        <v>45292</v>
      </c>
      <c r="D212" s="399">
        <f>5000</f>
        <v>5000</v>
      </c>
      <c r="E212" s="399">
        <f>0</f>
        <v>0</v>
      </c>
      <c r="F212" s="399">
        <f>5000+5000</f>
        <v>10000</v>
      </c>
      <c r="G212" s="399">
        <f>14350</f>
        <v>14350</v>
      </c>
      <c r="H212" s="395">
        <f t="shared" si="5"/>
        <v>29350</v>
      </c>
      <c r="I212" s="409"/>
      <c r="K212" s="407"/>
      <c r="N212" s="407"/>
    </row>
    <row r="213" ht="16" spans="1:14">
      <c r="A213" s="777" t="s">
        <v>913</v>
      </c>
      <c r="B213" s="392" t="s">
        <v>914</v>
      </c>
      <c r="C213" s="393">
        <v>45292</v>
      </c>
      <c r="D213" s="399">
        <f>0</f>
        <v>0</v>
      </c>
      <c r="E213" s="399"/>
      <c r="F213" s="399"/>
      <c r="G213" s="399"/>
      <c r="H213" s="395">
        <f t="shared" si="5"/>
        <v>0</v>
      </c>
      <c r="K213" s="407"/>
      <c r="N213" s="407"/>
    </row>
    <row r="214" ht="16" spans="1:14">
      <c r="A214" s="777" t="s">
        <v>915</v>
      </c>
      <c r="B214" s="392" t="s">
        <v>916</v>
      </c>
      <c r="C214" s="393">
        <v>45292</v>
      </c>
      <c r="D214" s="399">
        <f>5000</f>
        <v>5000</v>
      </c>
      <c r="E214" s="399"/>
      <c r="F214" s="399"/>
      <c r="G214" s="399">
        <f>0</f>
        <v>0</v>
      </c>
      <c r="H214" s="395">
        <f t="shared" si="5"/>
        <v>5000</v>
      </c>
      <c r="K214" s="407"/>
      <c r="N214" s="407"/>
    </row>
    <row r="215" ht="16" spans="1:14">
      <c r="A215" s="777" t="s">
        <v>917</v>
      </c>
      <c r="B215" s="392" t="s">
        <v>918</v>
      </c>
      <c r="C215" s="393">
        <v>45292</v>
      </c>
      <c r="D215" s="399">
        <f>10000</f>
        <v>10000</v>
      </c>
      <c r="E215" s="399">
        <f>0</f>
        <v>0</v>
      </c>
      <c r="F215" s="399"/>
      <c r="G215" s="399">
        <f>20000</f>
        <v>20000</v>
      </c>
      <c r="H215" s="395">
        <f t="shared" si="5"/>
        <v>30000</v>
      </c>
      <c r="J215" s="407"/>
      <c r="K215" s="407"/>
      <c r="N215" s="407"/>
    </row>
    <row r="216" ht="16" spans="1:14">
      <c r="A216" s="777" t="s">
        <v>919</v>
      </c>
      <c r="B216" s="392" t="s">
        <v>920</v>
      </c>
      <c r="C216" s="393">
        <v>45292</v>
      </c>
      <c r="D216" s="399">
        <f>25000</f>
        <v>25000</v>
      </c>
      <c r="E216" s="399"/>
      <c r="F216" s="399"/>
      <c r="G216" s="399">
        <f>60640</f>
        <v>60640</v>
      </c>
      <c r="H216" s="395">
        <f t="shared" si="5"/>
        <v>85640</v>
      </c>
      <c r="J216" s="407"/>
      <c r="K216" s="407"/>
      <c r="N216" s="407"/>
    </row>
    <row r="217" ht="17.5" spans="1:14">
      <c r="A217" s="777" t="s">
        <v>921</v>
      </c>
      <c r="B217" s="392" t="s">
        <v>922</v>
      </c>
      <c r="C217" s="393">
        <v>45292</v>
      </c>
      <c r="D217" s="399">
        <v>10000</v>
      </c>
      <c r="E217" s="399"/>
      <c r="F217" s="399"/>
      <c r="G217" s="400">
        <f>0</f>
        <v>0</v>
      </c>
      <c r="H217" s="395">
        <f t="shared" si="5"/>
        <v>10000</v>
      </c>
      <c r="J217" s="407"/>
      <c r="K217" s="407"/>
      <c r="N217" s="407"/>
    </row>
    <row r="218" ht="16" spans="1:14">
      <c r="A218" s="777" t="s">
        <v>876</v>
      </c>
      <c r="B218" s="392" t="s">
        <v>877</v>
      </c>
      <c r="C218" s="393">
        <v>45292</v>
      </c>
      <c r="D218" s="399"/>
      <c r="E218" s="399">
        <f>0</f>
        <v>0</v>
      </c>
      <c r="F218" s="399"/>
      <c r="G218" s="399"/>
      <c r="H218" s="395">
        <f t="shared" si="5"/>
        <v>0</v>
      </c>
      <c r="J218" s="407"/>
      <c r="K218" s="407"/>
      <c r="N218" s="409"/>
    </row>
    <row r="219" ht="16" spans="1:14">
      <c r="A219" s="777" t="s">
        <v>891</v>
      </c>
      <c r="B219" s="392" t="s">
        <v>892</v>
      </c>
      <c r="C219" s="393">
        <v>45292</v>
      </c>
      <c r="D219" s="399"/>
      <c r="E219" s="399">
        <f>0</f>
        <v>0</v>
      </c>
      <c r="F219" s="399"/>
      <c r="G219" s="399"/>
      <c r="H219" s="395">
        <f t="shared" si="5"/>
        <v>0</v>
      </c>
      <c r="J219" s="407"/>
      <c r="K219" s="407"/>
      <c r="N219" s="409"/>
    </row>
    <row r="220" ht="16" spans="1:14">
      <c r="A220" s="777" t="s">
        <v>923</v>
      </c>
      <c r="B220" s="392" t="s">
        <v>924</v>
      </c>
      <c r="C220" s="393">
        <v>45292</v>
      </c>
      <c r="D220" s="399">
        <f>20000</f>
        <v>20000</v>
      </c>
      <c r="E220" s="399"/>
      <c r="F220" s="399"/>
      <c r="G220" s="399"/>
      <c r="H220" s="395">
        <f t="shared" si="5"/>
        <v>20000</v>
      </c>
      <c r="J220" s="407"/>
      <c r="K220" s="407"/>
      <c r="N220" s="409"/>
    </row>
    <row r="221" ht="16" spans="1:14">
      <c r="A221" s="777" t="s">
        <v>925</v>
      </c>
      <c r="B221" s="392" t="s">
        <v>926</v>
      </c>
      <c r="C221" s="393">
        <v>45292</v>
      </c>
      <c r="D221" s="399">
        <f>20000</f>
        <v>20000</v>
      </c>
      <c r="E221" s="399"/>
      <c r="F221" s="399"/>
      <c r="G221" s="399"/>
      <c r="H221" s="395">
        <f t="shared" si="5"/>
        <v>20000</v>
      </c>
      <c r="J221" s="407"/>
      <c r="K221" s="407"/>
      <c r="N221" s="409"/>
    </row>
    <row r="222" ht="16" spans="1:14">
      <c r="A222" s="777" t="s">
        <v>927</v>
      </c>
      <c r="B222" s="392" t="s">
        <v>928</v>
      </c>
      <c r="C222" s="393">
        <v>45292</v>
      </c>
      <c r="D222" s="399">
        <f>50000</f>
        <v>50000</v>
      </c>
      <c r="E222" s="399"/>
      <c r="F222" s="399"/>
      <c r="G222" s="399"/>
      <c r="H222" s="395">
        <f t="shared" si="5"/>
        <v>50000</v>
      </c>
      <c r="J222" s="407"/>
      <c r="K222" s="407"/>
      <c r="N222" s="409"/>
    </row>
    <row r="223" ht="16" spans="1:14">
      <c r="A223" s="777" t="s">
        <v>929</v>
      </c>
      <c r="B223" s="392" t="s">
        <v>903</v>
      </c>
      <c r="C223" s="393">
        <v>45292</v>
      </c>
      <c r="D223" s="399">
        <f>20000</f>
        <v>20000</v>
      </c>
      <c r="E223" s="399">
        <f>2000</f>
        <v>2000</v>
      </c>
      <c r="F223" s="399"/>
      <c r="G223" s="399"/>
      <c r="H223" s="395">
        <f t="shared" si="5"/>
        <v>22000</v>
      </c>
      <c r="J223" s="407"/>
      <c r="K223" s="407"/>
      <c r="N223" s="409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11"/>
      <c r="J224" s="407"/>
      <c r="K224" s="407"/>
      <c r="N224" s="409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407"/>
      <c r="J225" s="407"/>
      <c r="K225" s="407"/>
      <c r="L225" s="407"/>
      <c r="M225" s="407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407"/>
      <c r="J226" s="407"/>
      <c r="K226" s="407"/>
      <c r="L226" s="407"/>
      <c r="M226" s="407"/>
    </row>
    <row r="227" ht="16" spans="2:13">
      <c r="B227" s="420"/>
      <c r="E227" s="409"/>
      <c r="F227" s="433"/>
      <c r="H227" s="433"/>
      <c r="I227" s="407"/>
      <c r="J227" s="434"/>
      <c r="K227" s="407"/>
      <c r="M227" s="407"/>
    </row>
    <row r="228" spans="8:13">
      <c r="H228" s="407"/>
      <c r="I228" s="411"/>
      <c r="J228" s="407"/>
      <c r="K228" s="407"/>
      <c r="L228" s="411"/>
      <c r="M228" s="407"/>
    </row>
    <row r="229" spans="4:13">
      <c r="D229" s="409"/>
      <c r="G229" s="409"/>
      <c r="H229" s="407"/>
      <c r="I229" s="409"/>
      <c r="J229" s="407"/>
      <c r="K229" s="407"/>
      <c r="M229" s="407"/>
    </row>
    <row r="230" spans="5:13">
      <c r="E230" s="409"/>
      <c r="H230" s="407"/>
      <c r="K230" s="407"/>
      <c r="M230" s="407"/>
    </row>
    <row r="231" spans="8:13">
      <c r="H231" s="407"/>
      <c r="K231" s="407"/>
      <c r="M231" s="407"/>
    </row>
    <row r="232" ht="14.5" spans="8:13">
      <c r="H232" s="407"/>
      <c r="K232" s="407"/>
      <c r="M232" s="434"/>
    </row>
    <row r="233" spans="8:11">
      <c r="H233" s="407"/>
      <c r="K233" s="407"/>
    </row>
    <row r="234" spans="8:11">
      <c r="H234" s="407"/>
      <c r="K234" s="407"/>
    </row>
    <row r="235" spans="8:13">
      <c r="H235" s="407"/>
      <c r="K235" s="407"/>
      <c r="M235" s="409"/>
    </row>
    <row r="236" spans="8:11">
      <c r="H236" s="407"/>
      <c r="K236" s="407"/>
    </row>
    <row r="237" spans="11:11">
      <c r="K237" s="407"/>
    </row>
    <row r="238" ht="14.5" spans="11:11">
      <c r="K238" s="434"/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70" t="s">
        <v>0</v>
      </c>
      <c r="B1" s="370"/>
      <c r="C1" s="370"/>
      <c r="D1" s="370"/>
      <c r="E1" s="370"/>
    </row>
    <row r="2" ht="33.75" customHeight="1" spans="1:5">
      <c r="A2" s="236" t="s">
        <v>930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132</v>
      </c>
      <c r="F4" s="80" t="s">
        <v>931</v>
      </c>
      <c r="G4" s="80" t="s">
        <v>932</v>
      </c>
    </row>
    <row r="5" ht="17.25" customHeight="1" spans="3:7"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9" t="s">
        <v>20</v>
      </c>
      <c r="B6" s="8" t="s">
        <v>21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236</v>
      </c>
      <c r="C7" s="12" t="s">
        <v>237</v>
      </c>
      <c r="D7" s="12" t="s">
        <v>238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239</v>
      </c>
      <c r="C8" s="12" t="s">
        <v>240</v>
      </c>
      <c r="D8" s="10" t="s">
        <v>234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241</v>
      </c>
      <c r="C9" s="4" t="s">
        <v>242</v>
      </c>
      <c r="D9" s="10" t="s">
        <v>234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243</v>
      </c>
      <c r="C10" s="17" t="s">
        <v>244</v>
      </c>
      <c r="D10" s="10" t="s">
        <v>234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245</v>
      </c>
      <c r="C11" s="4" t="s">
        <v>246</v>
      </c>
      <c r="D11" s="10" t="s">
        <v>234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232</v>
      </c>
      <c r="C12" s="10" t="s">
        <v>233</v>
      </c>
      <c r="D12" s="10" t="s">
        <v>234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247</v>
      </c>
      <c r="C13" s="12" t="s">
        <v>248</v>
      </c>
      <c r="D13" s="15" t="s">
        <v>249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250</v>
      </c>
      <c r="C14" s="4" t="s">
        <v>251</v>
      </c>
      <c r="D14" s="10" t="s">
        <v>228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252</v>
      </c>
      <c r="C15" s="4" t="s">
        <v>253</v>
      </c>
      <c r="D15" s="15" t="s">
        <v>254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255</v>
      </c>
      <c r="C16" s="17" t="s">
        <v>256</v>
      </c>
      <c r="D16" s="15" t="s">
        <v>257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261</v>
      </c>
      <c r="C17" s="4" t="s">
        <v>262</v>
      </c>
      <c r="D17" s="10" t="s">
        <v>263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264</v>
      </c>
      <c r="C18" s="12" t="s">
        <v>265</v>
      </c>
      <c r="D18" s="15" t="s">
        <v>266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267</v>
      </c>
      <c r="C19" s="4" t="s">
        <v>268</v>
      </c>
      <c r="D19" s="15" t="s">
        <v>269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270</v>
      </c>
      <c r="C20" s="12" t="s">
        <v>50</v>
      </c>
      <c r="D20" s="15" t="s">
        <v>271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272</v>
      </c>
      <c r="C21" s="17" t="s">
        <v>273</v>
      </c>
      <c r="D21" s="10" t="s">
        <v>41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276</v>
      </c>
      <c r="C22" s="17" t="s">
        <v>277</v>
      </c>
      <c r="D22" s="10" t="s">
        <v>37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278</v>
      </c>
      <c r="C23" s="4" t="s">
        <v>176</v>
      </c>
      <c r="D23" s="10" t="s">
        <v>279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280</v>
      </c>
      <c r="C24" s="12" t="s">
        <v>176</v>
      </c>
      <c r="D24" s="15" t="s">
        <v>279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282</v>
      </c>
      <c r="C25" s="12" t="s">
        <v>27</v>
      </c>
      <c r="D25" s="15" t="s">
        <v>283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284</v>
      </c>
      <c r="C26" s="4" t="s">
        <v>285</v>
      </c>
      <c r="D26" s="10" t="s">
        <v>24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287</v>
      </c>
      <c r="C27" s="17" t="s">
        <v>288</v>
      </c>
      <c r="D27" s="15" t="s">
        <v>283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289</v>
      </c>
      <c r="C28" s="4" t="s">
        <v>290</v>
      </c>
      <c r="D28" s="10" t="s">
        <v>291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933</v>
      </c>
      <c r="C29" s="12" t="s">
        <v>293</v>
      </c>
      <c r="D29" s="10" t="s">
        <v>291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292</v>
      </c>
      <c r="C30" s="12" t="s">
        <v>293</v>
      </c>
      <c r="D30" s="15" t="s">
        <v>294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33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34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295</v>
      </c>
      <c r="C34" s="4" t="s">
        <v>296</v>
      </c>
      <c r="D34" s="10" t="s">
        <v>297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298</v>
      </c>
      <c r="C35" s="4" t="s">
        <v>537</v>
      </c>
      <c r="D35" s="10" t="s">
        <v>294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300</v>
      </c>
      <c r="C36" s="12" t="s">
        <v>534</v>
      </c>
      <c r="D36" s="15" t="s">
        <v>301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38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302</v>
      </c>
      <c r="C40" s="4" t="s">
        <v>303</v>
      </c>
      <c r="D40" s="10" t="s">
        <v>297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304</v>
      </c>
      <c r="C41" s="4" t="s">
        <v>305</v>
      </c>
      <c r="D41" s="10" t="s">
        <v>249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306</v>
      </c>
      <c r="C42" s="4" t="s">
        <v>307</v>
      </c>
      <c r="D42" s="10" t="s">
        <v>308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309</v>
      </c>
      <c r="C43" s="4" t="s">
        <v>310</v>
      </c>
      <c r="D43" s="10" t="s">
        <v>249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311</v>
      </c>
      <c r="C44" s="4" t="s">
        <v>310</v>
      </c>
      <c r="D44" s="10" t="s">
        <v>249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312</v>
      </c>
      <c r="C45" s="4" t="s">
        <v>310</v>
      </c>
      <c r="D45" s="10" t="s">
        <v>228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313</v>
      </c>
      <c r="C46" s="4" t="s">
        <v>256</v>
      </c>
      <c r="D46" s="16" t="s">
        <v>257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258</v>
      </c>
      <c r="C47" s="4" t="s">
        <v>259</v>
      </c>
      <c r="D47" s="10" t="s">
        <v>260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314</v>
      </c>
      <c r="C48" s="4" t="s">
        <v>63</v>
      </c>
      <c r="D48" s="10" t="s">
        <v>301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315</v>
      </c>
      <c r="C49" s="4" t="s">
        <v>63</v>
      </c>
      <c r="D49" s="10" t="s">
        <v>283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316</v>
      </c>
      <c r="C50" s="4" t="s">
        <v>63</v>
      </c>
      <c r="D50" s="10" t="s">
        <v>283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317</v>
      </c>
      <c r="C51" s="4" t="s">
        <v>63</v>
      </c>
      <c r="D51" s="10" t="s">
        <v>283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33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318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319</v>
      </c>
      <c r="C55" s="12" t="s">
        <v>320</v>
      </c>
      <c r="D55" s="15" t="s">
        <v>297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321</v>
      </c>
      <c r="C56" s="12" t="s">
        <v>322</v>
      </c>
      <c r="D56" s="15" t="s">
        <v>225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33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44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323</v>
      </c>
      <c r="C60" s="17" t="s">
        <v>324</v>
      </c>
      <c r="D60" s="10" t="s">
        <v>297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325</v>
      </c>
      <c r="C61" s="17" t="s">
        <v>326</v>
      </c>
      <c r="D61" s="15" t="s">
        <v>327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328</v>
      </c>
      <c r="C62" s="4" t="s">
        <v>256</v>
      </c>
      <c r="D62" s="10" t="s">
        <v>260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329</v>
      </c>
      <c r="C63" s="17" t="s">
        <v>46</v>
      </c>
      <c r="D63" s="15" t="s">
        <v>266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330</v>
      </c>
      <c r="C64" s="17" t="s">
        <v>256</v>
      </c>
      <c r="D64" s="15" t="s">
        <v>254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331</v>
      </c>
      <c r="C65" s="4" t="s">
        <v>63</v>
      </c>
      <c r="D65" s="10" t="s">
        <v>332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333</v>
      </c>
      <c r="C66" s="17" t="s">
        <v>275</v>
      </c>
      <c r="D66" s="10" t="s">
        <v>332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334</v>
      </c>
      <c r="C67" s="17" t="s">
        <v>275</v>
      </c>
      <c r="D67" s="10" t="s">
        <v>332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335</v>
      </c>
      <c r="C68" s="4" t="s">
        <v>336</v>
      </c>
      <c r="D68" s="10" t="s">
        <v>271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337</v>
      </c>
      <c r="C69" s="4" t="s">
        <v>63</v>
      </c>
      <c r="D69" s="10" t="s">
        <v>301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281</v>
      </c>
      <c r="C70" s="17" t="s">
        <v>273</v>
      </c>
      <c r="D70" s="10" t="s">
        <v>279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33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51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338</v>
      </c>
      <c r="C74" s="4" t="s">
        <v>339</v>
      </c>
      <c r="D74" s="10" t="s">
        <v>297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220</v>
      </c>
      <c r="C75" s="4" t="s">
        <v>221</v>
      </c>
      <c r="D75" s="15" t="s">
        <v>222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223</v>
      </c>
      <c r="C76" s="12" t="s">
        <v>224</v>
      </c>
      <c r="D76" s="10" t="s">
        <v>225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340</v>
      </c>
      <c r="C77" s="4" t="s">
        <v>341</v>
      </c>
      <c r="D77" s="15" t="s">
        <v>342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343</v>
      </c>
      <c r="C78" s="4" t="s">
        <v>344</v>
      </c>
      <c r="D78" s="10" t="s">
        <v>345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346</v>
      </c>
      <c r="C79" s="4" t="s">
        <v>344</v>
      </c>
      <c r="D79" s="10" t="s">
        <v>283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347</v>
      </c>
      <c r="C80" s="4" t="s">
        <v>348</v>
      </c>
      <c r="D80" s="10" t="s">
        <v>294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33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56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349</v>
      </c>
      <c r="C84" s="4" t="s">
        <v>310</v>
      </c>
      <c r="D84" s="10" t="s">
        <v>249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350</v>
      </c>
      <c r="C85" s="4" t="s">
        <v>310</v>
      </c>
      <c r="D85" s="10" t="s">
        <v>249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386</v>
      </c>
      <c r="C86" s="4" t="s">
        <v>310</v>
      </c>
      <c r="D86" s="10" t="s">
        <v>327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351</v>
      </c>
      <c r="C87" s="4" t="s">
        <v>310</v>
      </c>
      <c r="D87" s="10" t="s">
        <v>228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352</v>
      </c>
      <c r="C88" s="4" t="s">
        <v>353</v>
      </c>
      <c r="D88" s="15" t="s">
        <v>263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354</v>
      </c>
      <c r="C89" s="12" t="s">
        <v>46</v>
      </c>
      <c r="D89" s="15" t="s">
        <v>266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355</v>
      </c>
      <c r="C90" s="12" t="s">
        <v>256</v>
      </c>
      <c r="D90" s="15" t="s">
        <v>356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357</v>
      </c>
      <c r="C91" s="17" t="s">
        <v>275</v>
      </c>
      <c r="D91" s="15" t="s">
        <v>332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358</v>
      </c>
      <c r="C92" s="17" t="s">
        <v>275</v>
      </c>
      <c r="D92" s="15" t="s">
        <v>47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359</v>
      </c>
      <c r="C93" s="4" t="s">
        <v>360</v>
      </c>
      <c r="D93" s="10" t="s">
        <v>301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361</v>
      </c>
      <c r="C94" s="17" t="s">
        <v>362</v>
      </c>
      <c r="D94" s="15" t="s">
        <v>291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33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58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363</v>
      </c>
      <c r="C98" s="4" t="s">
        <v>364</v>
      </c>
      <c r="D98" s="16" t="s">
        <v>231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366</v>
      </c>
      <c r="C99" s="4" t="s">
        <v>367</v>
      </c>
      <c r="D99" s="15" t="s">
        <v>342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368</v>
      </c>
      <c r="C100" s="4" t="s">
        <v>369</v>
      </c>
      <c r="D100" s="15" t="s">
        <v>271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370</v>
      </c>
      <c r="C101" s="4" t="s">
        <v>371</v>
      </c>
      <c r="D101" s="15" t="s">
        <v>301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33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372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373</v>
      </c>
      <c r="C105" s="12" t="s">
        <v>374</v>
      </c>
      <c r="D105" s="15" t="s">
        <v>297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375</v>
      </c>
      <c r="C106" s="4" t="s">
        <v>376</v>
      </c>
      <c r="D106" s="16" t="s">
        <v>231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377</v>
      </c>
      <c r="C107" s="4" t="s">
        <v>378</v>
      </c>
      <c r="D107" s="10" t="s">
        <v>263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379</v>
      </c>
      <c r="C108" s="4" t="s">
        <v>378</v>
      </c>
      <c r="D108" s="10" t="s">
        <v>263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380</v>
      </c>
      <c r="C109" s="4" t="s">
        <v>381</v>
      </c>
      <c r="D109" s="15" t="s">
        <v>382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383</v>
      </c>
      <c r="C110" s="4" t="s">
        <v>381</v>
      </c>
      <c r="D110" s="10" t="s">
        <v>384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385</v>
      </c>
      <c r="C111" s="4" t="s">
        <v>381</v>
      </c>
      <c r="D111" s="15" t="s">
        <v>291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33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61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387</v>
      </c>
      <c r="C115" s="4" t="s">
        <v>388</v>
      </c>
      <c r="D115" s="15" t="s">
        <v>271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389</v>
      </c>
      <c r="C116" s="12" t="s">
        <v>390</v>
      </c>
      <c r="D116" s="15" t="s">
        <v>391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33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4">
      <c r="A118" s="4"/>
      <c r="B118" s="22"/>
      <c r="C118" s="10"/>
      <c r="D118" s="4"/>
    </row>
    <row r="119" customHeight="1" spans="1:7">
      <c r="A119" s="4"/>
      <c r="B119" s="20" t="s">
        <v>67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392</v>
      </c>
      <c r="C120" s="12" t="s">
        <v>393</v>
      </c>
      <c r="D120" s="15" t="s">
        <v>297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128</v>
      </c>
      <c r="C121" s="12" t="s">
        <v>394</v>
      </c>
      <c r="D121" s="15" t="s">
        <v>308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395</v>
      </c>
      <c r="C122" s="12" t="s">
        <v>227</v>
      </c>
      <c r="D122" s="15" t="s">
        <v>249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226</v>
      </c>
      <c r="C123" s="12" t="s">
        <v>227</v>
      </c>
      <c r="D123" s="15" t="s">
        <v>327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396</v>
      </c>
      <c r="C124" s="12" t="s">
        <v>397</v>
      </c>
      <c r="D124" s="15" t="s">
        <v>257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398</v>
      </c>
      <c r="C125" s="12" t="s">
        <v>399</v>
      </c>
      <c r="D125" s="15" t="s">
        <v>260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400</v>
      </c>
      <c r="C126" s="12" t="s">
        <v>397</v>
      </c>
      <c r="D126" s="15" t="s">
        <v>342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401</v>
      </c>
      <c r="C127" s="12" t="s">
        <v>402</v>
      </c>
      <c r="D127" s="10" t="s">
        <v>279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403</v>
      </c>
      <c r="C128" s="12" t="s">
        <v>404</v>
      </c>
      <c r="D128" s="15" t="s">
        <v>294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405</v>
      </c>
      <c r="C129" s="12" t="s">
        <v>69</v>
      </c>
      <c r="D129" s="15" t="s">
        <v>294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33</v>
      </c>
      <c r="C130" s="26" t="s">
        <v>406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71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407</v>
      </c>
      <c r="C133" s="12" t="s">
        <v>408</v>
      </c>
      <c r="D133" s="15" t="s">
        <v>297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229</v>
      </c>
      <c r="C134" s="12" t="s">
        <v>230</v>
      </c>
      <c r="D134" s="15" t="s">
        <v>231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409</v>
      </c>
      <c r="C135" s="4" t="s">
        <v>410</v>
      </c>
      <c r="D135" s="16" t="s">
        <v>231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411</v>
      </c>
      <c r="C136" s="12" t="s">
        <v>412</v>
      </c>
      <c r="D136" s="15" t="s">
        <v>254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413</v>
      </c>
      <c r="C137" s="4" t="s">
        <v>414</v>
      </c>
      <c r="D137" s="15" t="s">
        <v>254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415</v>
      </c>
      <c r="C138" s="4" t="s">
        <v>414</v>
      </c>
      <c r="D138" s="15" t="s">
        <v>254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416</v>
      </c>
      <c r="C139" s="12" t="s">
        <v>417</v>
      </c>
      <c r="D139" s="15" t="s">
        <v>391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418</v>
      </c>
      <c r="C140" s="12" t="s">
        <v>417</v>
      </c>
      <c r="D140" s="15" t="s">
        <v>391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419</v>
      </c>
      <c r="C141" s="4" t="s">
        <v>420</v>
      </c>
      <c r="D141" s="15" t="s">
        <v>391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421</v>
      </c>
      <c r="C142" s="12" t="s">
        <v>422</v>
      </c>
      <c r="D142" s="15" t="s">
        <v>271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423</v>
      </c>
      <c r="C143" s="12" t="s">
        <v>424</v>
      </c>
      <c r="D143" s="15" t="s">
        <v>332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425</v>
      </c>
      <c r="C144" s="12" t="s">
        <v>426</v>
      </c>
      <c r="D144" s="15" t="s">
        <v>391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427</v>
      </c>
      <c r="C145" s="4" t="s">
        <v>428</v>
      </c>
      <c r="D145" s="15" t="s">
        <v>41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429</v>
      </c>
      <c r="C146" s="4" t="s">
        <v>430</v>
      </c>
      <c r="D146" s="15" t="s">
        <v>345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431</v>
      </c>
      <c r="C147" s="4" t="s">
        <v>430</v>
      </c>
      <c r="D147" s="15" t="s">
        <v>432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433</v>
      </c>
      <c r="C148" s="4" t="s">
        <v>430</v>
      </c>
      <c r="D148" s="15" t="s">
        <v>432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434</v>
      </c>
      <c r="C149" s="12" t="s">
        <v>435</v>
      </c>
      <c r="D149" s="15" t="s">
        <v>301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436</v>
      </c>
      <c r="C150" s="12" t="s">
        <v>437</v>
      </c>
      <c r="D150" s="10" t="s">
        <v>283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438</v>
      </c>
      <c r="C151" s="12" t="s">
        <v>439</v>
      </c>
      <c r="D151" s="15" t="s">
        <v>345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440</v>
      </c>
      <c r="C152" s="12" t="s">
        <v>441</v>
      </c>
      <c r="D152" s="15" t="s">
        <v>279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442</v>
      </c>
      <c r="C153" s="12" t="s">
        <v>443</v>
      </c>
      <c r="D153" s="15" t="s">
        <v>345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444</v>
      </c>
      <c r="C154" s="12" t="s">
        <v>445</v>
      </c>
      <c r="D154" s="15" t="s">
        <v>279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446</v>
      </c>
      <c r="C155" s="12" t="s">
        <v>447</v>
      </c>
      <c r="D155" s="15" t="s">
        <v>24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448</v>
      </c>
      <c r="C156" s="12" t="s">
        <v>449</v>
      </c>
      <c r="D156" s="15" t="s">
        <v>294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450</v>
      </c>
      <c r="C157" s="12" t="s">
        <v>451</v>
      </c>
      <c r="D157" s="15" t="s">
        <v>294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452</v>
      </c>
      <c r="C158" s="12" t="s">
        <v>453</v>
      </c>
      <c r="D158" s="15" t="s">
        <v>294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454</v>
      </c>
      <c r="C159" s="12" t="s">
        <v>455</v>
      </c>
      <c r="D159" s="15" t="s">
        <v>291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456</v>
      </c>
      <c r="C160" s="12" t="s">
        <v>451</v>
      </c>
      <c r="D160" s="15" t="s">
        <v>294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457</v>
      </c>
      <c r="C161" s="12" t="s">
        <v>458</v>
      </c>
      <c r="D161" s="15" t="s">
        <v>459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460</v>
      </c>
      <c r="C162" s="12" t="s">
        <v>458</v>
      </c>
      <c r="D162" s="15" t="s">
        <v>459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461</v>
      </c>
      <c r="C163" s="12" t="s">
        <v>458</v>
      </c>
      <c r="D163" s="15" t="s">
        <v>459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462</v>
      </c>
      <c r="C164" s="12" t="s">
        <v>458</v>
      </c>
      <c r="D164" s="15" t="s">
        <v>459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463</v>
      </c>
      <c r="C165" s="12" t="s">
        <v>458</v>
      </c>
      <c r="D165" s="15" t="s">
        <v>459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464</v>
      </c>
      <c r="C166" s="12" t="s">
        <v>458</v>
      </c>
      <c r="D166" s="15" t="s">
        <v>465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466</v>
      </c>
      <c r="C167" s="12" t="s">
        <v>458</v>
      </c>
      <c r="D167" s="15" t="s">
        <v>465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467</v>
      </c>
      <c r="C168" s="12" t="s">
        <v>458</v>
      </c>
      <c r="D168" s="15" t="s">
        <v>465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468</v>
      </c>
      <c r="C169" s="12" t="s">
        <v>458</v>
      </c>
      <c r="D169" s="15" t="s">
        <v>465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469</v>
      </c>
      <c r="C170" s="12" t="s">
        <v>458</v>
      </c>
      <c r="D170" s="15" t="s">
        <v>465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470</v>
      </c>
      <c r="C171" s="12" t="s">
        <v>458</v>
      </c>
      <c r="D171" s="15" t="s">
        <v>465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471</v>
      </c>
      <c r="C172" s="12" t="s">
        <v>472</v>
      </c>
      <c r="D172" s="15" t="s">
        <v>473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474</v>
      </c>
      <c r="C173" s="12" t="s">
        <v>472</v>
      </c>
      <c r="D173" s="15" t="s">
        <v>473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475</v>
      </c>
      <c r="C174" s="12" t="s">
        <v>472</v>
      </c>
      <c r="D174" s="15" t="s">
        <v>476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477</v>
      </c>
      <c r="C175" s="12" t="s">
        <v>478</v>
      </c>
      <c r="D175" s="15" t="s">
        <v>479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480</v>
      </c>
      <c r="C176" s="12" t="s">
        <v>481</v>
      </c>
      <c r="D176" s="15" t="s">
        <v>482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483</v>
      </c>
      <c r="C177" s="12" t="s">
        <v>481</v>
      </c>
      <c r="D177" s="15" t="s">
        <v>482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484</v>
      </c>
      <c r="C178" s="12" t="s">
        <v>481</v>
      </c>
      <c r="D178" s="15" t="s">
        <v>482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485</v>
      </c>
      <c r="C179" s="12" t="s">
        <v>481</v>
      </c>
      <c r="D179" s="15" t="s">
        <v>482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486</v>
      </c>
      <c r="C180" s="12" t="s">
        <v>481</v>
      </c>
      <c r="D180" s="15" t="s">
        <v>482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487</v>
      </c>
      <c r="C181" s="12" t="s">
        <v>481</v>
      </c>
      <c r="D181" s="15" t="s">
        <v>482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488</v>
      </c>
      <c r="C182" s="12" t="s">
        <v>481</v>
      </c>
      <c r="D182" s="15" t="s">
        <v>482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489</v>
      </c>
      <c r="C183" s="12" t="s">
        <v>478</v>
      </c>
      <c r="D183" s="15" t="s">
        <v>482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490</v>
      </c>
      <c r="C184" s="12" t="s">
        <v>478</v>
      </c>
      <c r="D184" s="15" t="s">
        <v>482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491</v>
      </c>
      <c r="C185" s="12" t="s">
        <v>172</v>
      </c>
      <c r="D185" s="15" t="s">
        <v>492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493</v>
      </c>
      <c r="C186" s="12" t="s">
        <v>481</v>
      </c>
      <c r="D186" s="15" t="s">
        <v>494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495</v>
      </c>
      <c r="C187" s="12" t="s">
        <v>496</v>
      </c>
      <c r="D187" s="15" t="s">
        <v>497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498</v>
      </c>
      <c r="C188" s="12" t="s">
        <v>496</v>
      </c>
      <c r="D188" s="15" t="s">
        <v>497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499</v>
      </c>
      <c r="C189" s="12" t="s">
        <v>496</v>
      </c>
      <c r="D189" s="15" t="s">
        <v>497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500</v>
      </c>
      <c r="C190" s="12" t="s">
        <v>501</v>
      </c>
      <c r="D190" s="15" t="s">
        <v>502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503</v>
      </c>
      <c r="C191" s="12" t="s">
        <v>501</v>
      </c>
      <c r="D191" s="15" t="s">
        <v>502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33</v>
      </c>
      <c r="C192" s="28" t="s">
        <v>504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4">
      <c r="A193" s="4"/>
      <c r="B193" s="30"/>
      <c r="C193" s="31"/>
      <c r="D193" s="32"/>
    </row>
    <row r="194" ht="33" customHeight="1" spans="1:7">
      <c r="A194" s="4"/>
      <c r="B194" s="30" t="s">
        <v>80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2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5:7">
      <c r="E197" s="104"/>
      <c r="F197" s="104"/>
      <c r="G197" s="104"/>
    </row>
    <row r="198" customHeight="1" spans="5:7">
      <c r="E198" s="104"/>
      <c r="F198" s="104"/>
      <c r="G198" s="104"/>
    </row>
    <row r="199" customHeight="1" spans="5:7">
      <c r="E199" s="104"/>
      <c r="F199" s="104"/>
      <c r="G199" s="104"/>
    </row>
    <row r="200" customHeight="1" spans="5:7">
      <c r="E200" s="104"/>
      <c r="F200" s="104"/>
      <c r="G200" s="104"/>
    </row>
    <row r="201" customHeight="1" spans="5:7">
      <c r="E201" s="104"/>
      <c r="F201" s="104"/>
      <c r="G201" s="104"/>
    </row>
    <row r="202" customHeight="1" spans="5:7">
      <c r="E202" s="104"/>
      <c r="F202" s="104"/>
      <c r="G202" s="104"/>
    </row>
    <row r="203" customHeight="1" spans="5:7">
      <c r="E203" s="104"/>
      <c r="F203" s="104"/>
      <c r="G203" s="104"/>
    </row>
    <row r="204" customHeight="1" spans="5:7">
      <c r="E204" s="104"/>
      <c r="F204" s="104"/>
      <c r="G204" s="104"/>
    </row>
    <row r="205" customHeight="1" spans="5:7">
      <c r="E205" s="104"/>
      <c r="F205" s="104"/>
      <c r="G205" s="104"/>
    </row>
    <row r="206" customHeight="1" spans="5:7">
      <c r="E206" s="104"/>
      <c r="F206" s="104"/>
      <c r="G206" s="104"/>
    </row>
    <row r="207" customHeight="1" spans="5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X14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934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935</v>
      </c>
      <c r="E4" s="80" t="s">
        <v>5</v>
      </c>
      <c r="F4" s="21" t="s">
        <v>566</v>
      </c>
      <c r="G4" s="21" t="s">
        <v>567</v>
      </c>
      <c r="H4" s="80" t="s">
        <v>568</v>
      </c>
      <c r="I4" s="21" t="s">
        <v>569</v>
      </c>
      <c r="J4" s="21" t="s">
        <v>570</v>
      </c>
      <c r="K4" s="21" t="s">
        <v>571</v>
      </c>
      <c r="L4" s="80" t="s">
        <v>7</v>
      </c>
      <c r="M4" s="80" t="s">
        <v>7</v>
      </c>
      <c r="N4" s="21" t="s">
        <v>572</v>
      </c>
      <c r="O4" s="21" t="s">
        <v>572</v>
      </c>
      <c r="P4" s="80" t="s">
        <v>8</v>
      </c>
      <c r="Q4" s="306" t="s">
        <v>139</v>
      </c>
      <c r="R4" s="7" t="s">
        <v>936</v>
      </c>
      <c r="S4" s="306" t="s">
        <v>542</v>
      </c>
      <c r="T4" s="80" t="s">
        <v>937</v>
      </c>
      <c r="U4" s="80" t="s">
        <v>938</v>
      </c>
      <c r="V4" s="80" t="s">
        <v>939</v>
      </c>
      <c r="W4" s="80" t="s">
        <v>940</v>
      </c>
      <c r="X4" s="80" t="s">
        <v>516</v>
      </c>
      <c r="Y4" s="319" t="s">
        <v>941</v>
      </c>
      <c r="Z4" s="320" t="s">
        <v>942</v>
      </c>
      <c r="AA4" s="80" t="s">
        <v>147</v>
      </c>
      <c r="AB4" s="321" t="s">
        <v>197</v>
      </c>
    </row>
    <row r="5" ht="17.25" customHeight="1" spans="3:28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7" t="s">
        <v>19</v>
      </c>
      <c r="T5" s="82"/>
      <c r="U5" s="82" t="s">
        <v>19</v>
      </c>
      <c r="V5" s="82"/>
      <c r="W5" s="308" t="s">
        <v>19</v>
      </c>
      <c r="X5" s="82"/>
      <c r="Y5" s="82"/>
      <c r="Z5" s="230"/>
      <c r="AA5" s="82"/>
      <c r="AB5" s="230"/>
    </row>
    <row r="6" customHeight="1" spans="1:28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943</v>
      </c>
      <c r="C7" s="1" t="s">
        <v>944</v>
      </c>
      <c r="D7" s="15" t="s">
        <v>945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24</v>
      </c>
      <c r="S7" s="219">
        <f>205204.08</f>
        <v>205204.08</v>
      </c>
      <c r="T7" s="85">
        <f>205204.08-183791.03</f>
        <v>21413.05</v>
      </c>
      <c r="U7" s="85"/>
      <c r="V7" s="85"/>
      <c r="W7" s="309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29">
      <c r="A8" s="10"/>
      <c r="B8" s="20" t="s">
        <v>33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38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306</v>
      </c>
      <c r="C11" s="4" t="s">
        <v>310</v>
      </c>
      <c r="D11" s="10" t="s">
        <v>249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946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9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28">
      <c r="A12" s="10">
        <v>3</v>
      </c>
      <c r="B12" s="11" t="s">
        <v>312</v>
      </c>
      <c r="C12" s="4" t="s">
        <v>259</v>
      </c>
      <c r="D12" s="10" t="s">
        <v>257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228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39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35">
        <f t="shared" si="7"/>
        <v>0</v>
      </c>
    </row>
    <row r="13" ht="25.5" customHeight="1" spans="1:29">
      <c r="A13" s="10"/>
      <c r="B13" s="20" t="s">
        <v>33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29">
      <c r="A14" s="10"/>
      <c r="B14" s="20"/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ref="T14" si="16">S14-Q14</f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29">
      <c r="A16" s="4"/>
      <c r="B16" s="20" t="s">
        <v>67</v>
      </c>
      <c r="C16" s="21"/>
      <c r="D16" s="21"/>
      <c r="E16" s="146"/>
      <c r="F16" s="146"/>
      <c r="G16" s="146"/>
      <c r="H16" s="146"/>
      <c r="I16" s="146"/>
      <c r="J16" s="146"/>
      <c r="K16" s="146"/>
      <c r="L16" s="220"/>
      <c r="M16" s="220"/>
      <c r="N16" s="146"/>
      <c r="O16" s="146"/>
      <c r="P16" s="146"/>
      <c r="Q16" s="312"/>
      <c r="R16" s="21"/>
      <c r="S16" s="312"/>
      <c r="T16" s="85"/>
      <c r="U16" s="146"/>
      <c r="V16" s="146"/>
      <c r="W16" s="313"/>
      <c r="X16" s="146"/>
      <c r="Y16" s="85">
        <f t="shared" si="5"/>
        <v>0</v>
      </c>
      <c r="Z16" s="231">
        <f t="shared" si="6"/>
        <v>0</v>
      </c>
      <c r="AA16" s="146"/>
      <c r="AB16" s="231">
        <f t="shared" si="7"/>
        <v>0</v>
      </c>
      <c r="AC16" s="13"/>
    </row>
    <row r="17" customHeight="1" spans="1:29">
      <c r="A17" s="4">
        <v>3</v>
      </c>
      <c r="B17" s="11" t="s">
        <v>128</v>
      </c>
      <c r="C17" s="12" t="s">
        <v>227</v>
      </c>
      <c r="D17" s="15" t="s">
        <v>249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946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9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398</v>
      </c>
      <c r="C18" s="12" t="s">
        <v>399</v>
      </c>
      <c r="D18" s="15" t="s">
        <v>266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947</v>
      </c>
      <c r="S18" s="85" t="e">
        <f>'MARCH 2025 NEW'!#REF!</f>
        <v>#REF!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39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33</v>
      </c>
      <c r="C19" s="26"/>
      <c r="D19" s="15"/>
      <c r="E19" s="146">
        <f t="shared" ref="E19:L19" si="24">SUM(E17:E17)</f>
        <v>33507.5</v>
      </c>
      <c r="F19" s="146">
        <f t="shared" si="24"/>
        <v>0</v>
      </c>
      <c r="G19" s="146">
        <f t="shared" si="24"/>
        <v>100522.5</v>
      </c>
      <c r="H19" s="146">
        <f t="shared" si="24"/>
        <v>2513.0625</v>
      </c>
      <c r="I19" s="146">
        <f t="shared" si="24"/>
        <v>40122.19</v>
      </c>
      <c r="J19" s="146">
        <f t="shared" si="24"/>
        <v>16753.75</v>
      </c>
      <c r="K19" s="146">
        <f t="shared" si="24"/>
        <v>117276.25</v>
      </c>
      <c r="L19" s="146">
        <f t="shared" si="24"/>
        <v>33507.5</v>
      </c>
      <c r="M19" s="146" t="e">
        <f>SUM(#REF!)</f>
        <v>#REF!</v>
      </c>
      <c r="N19" s="146">
        <f>SUM(M17:M17)</f>
        <v>80000</v>
      </c>
      <c r="O19" s="146">
        <f>SUM(N17:N17)</f>
        <v>3350.75</v>
      </c>
      <c r="P19" s="146">
        <f>SUM(O17:O17)</f>
        <v>20000</v>
      </c>
      <c r="Q19" s="146">
        <f>SUM(P17:P17)</f>
        <v>100000</v>
      </c>
      <c r="R19" s="15"/>
      <c r="S19" s="146">
        <f t="shared" ref="S19:Z19" si="25">SUM(S17:S17)</f>
        <v>614023.333333333</v>
      </c>
      <c r="T19" s="146">
        <f t="shared" si="25"/>
        <v>66469.8308333331</v>
      </c>
      <c r="U19" s="146">
        <f t="shared" si="25"/>
        <v>837.69</v>
      </c>
      <c r="V19" s="146">
        <f t="shared" si="25"/>
        <v>1028.94</v>
      </c>
      <c r="W19" s="146">
        <f t="shared" si="25"/>
        <v>83626.1</v>
      </c>
      <c r="X19" s="146">
        <f t="shared" si="25"/>
        <v>96398.31</v>
      </c>
      <c r="Y19" s="146">
        <f t="shared" si="25"/>
        <v>12772.21</v>
      </c>
      <c r="Z19" s="233">
        <f t="shared" si="25"/>
        <v>53697.6208333331</v>
      </c>
      <c r="AA19" s="14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5"/>
      <c r="S20" s="146"/>
      <c r="T20" s="146"/>
      <c r="U20" s="146"/>
      <c r="V20" s="146"/>
      <c r="W20" s="146"/>
      <c r="X20" s="146"/>
      <c r="Y20" s="146"/>
      <c r="Z20" s="233"/>
      <c r="AA20" s="146"/>
      <c r="AB20" s="233"/>
      <c r="AC20" s="13"/>
    </row>
    <row r="21" ht="28.5" customHeight="1" spans="1:29">
      <c r="A21" s="4"/>
      <c r="B21" s="20" t="s">
        <v>67</v>
      </c>
      <c r="C21" s="26"/>
      <c r="D21" s="1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5"/>
      <c r="S21" s="146"/>
      <c r="T21" s="146"/>
      <c r="U21" s="146"/>
      <c r="V21" s="146"/>
      <c r="W21" s="146"/>
      <c r="X21" s="146"/>
      <c r="Y21" s="146"/>
      <c r="Z21" s="233"/>
      <c r="AA21" s="146"/>
      <c r="AB21" s="233"/>
      <c r="AC21" s="13"/>
    </row>
    <row r="22" customHeight="1" spans="1:29">
      <c r="A22" s="27">
        <v>15</v>
      </c>
      <c r="B22" s="11" t="s">
        <v>471</v>
      </c>
      <c r="C22" s="12" t="s">
        <v>478</v>
      </c>
      <c r="D22" s="15" t="s">
        <v>479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473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9">
        <v>4365.33075466667</v>
      </c>
      <c r="X22" s="85">
        <f>'[8]October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00">
        <v>16</v>
      </c>
      <c r="B23" s="301" t="s">
        <v>474</v>
      </c>
      <c r="C23" s="302" t="s">
        <v>478</v>
      </c>
      <c r="D23" s="303" t="s">
        <v>479</v>
      </c>
      <c r="E23" s="62">
        <v>5428.12</v>
      </c>
      <c r="F23" s="62">
        <f t="shared" si="26"/>
        <v>16284.36</v>
      </c>
      <c r="G23" s="62">
        <f t="shared" si="27"/>
        <v>407.109</v>
      </c>
      <c r="H23" s="62"/>
      <c r="I23" s="62">
        <f t="shared" si="28"/>
        <v>2714.06</v>
      </c>
      <c r="J23" s="62">
        <f t="shared" si="29"/>
        <v>18998.42</v>
      </c>
      <c r="K23" s="62">
        <f t="shared" si="30"/>
        <v>5428.12</v>
      </c>
      <c r="L23" s="304"/>
      <c r="M23" s="304">
        <f>20000</f>
        <v>20000</v>
      </c>
      <c r="N23" s="62">
        <f t="shared" si="31"/>
        <v>542.812</v>
      </c>
      <c r="O23" s="62">
        <v>5000</v>
      </c>
      <c r="P23" s="62">
        <f>7000</f>
        <v>7000</v>
      </c>
      <c r="Q23" s="62">
        <f t="shared" si="32"/>
        <v>81803.001</v>
      </c>
      <c r="R23" s="303" t="s">
        <v>473</v>
      </c>
      <c r="S23" s="62" t="e">
        <f>'SALARY STRUCTURE'!#REF!+30000</f>
        <v>#REF!</v>
      </c>
      <c r="T23" s="62" t="e">
        <f t="shared" si="33"/>
        <v>#REF!</v>
      </c>
      <c r="U23" s="62"/>
      <c r="V23" s="62"/>
      <c r="W23" s="317">
        <f>4365.33075466667</f>
        <v>4365.33075466667</v>
      </c>
      <c r="X23" s="62">
        <f>'[8]October 2023'!$Z$164</f>
        <v>8312.59</v>
      </c>
      <c r="Y23" s="62">
        <f t="shared" si="34"/>
        <v>3947.25924533333</v>
      </c>
      <c r="Z23" s="62" t="e">
        <f t="shared" si="35"/>
        <v>#REF!</v>
      </c>
      <c r="AA23" s="62">
        <f>(17/31)+1</f>
        <v>1.54838709677419</v>
      </c>
      <c r="AB23" s="62" t="e">
        <f t="shared" si="36"/>
        <v>#REF!</v>
      </c>
      <c r="AC23" s="324"/>
    </row>
    <row r="24" customHeight="1" spans="1:29">
      <c r="A24" s="27">
        <v>17</v>
      </c>
      <c r="B24" s="18" t="s">
        <v>475</v>
      </c>
      <c r="C24" s="12" t="s">
        <v>478</v>
      </c>
      <c r="D24" s="15" t="s">
        <v>948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473</v>
      </c>
      <c r="S24" s="219">
        <v>115104.916666667</v>
      </c>
      <c r="T24" s="85">
        <f t="shared" si="33"/>
        <v>31734.825666667</v>
      </c>
      <c r="U24" s="85"/>
      <c r="V24" s="85"/>
      <c r="W24" s="309">
        <v>4504.41092</v>
      </c>
      <c r="X24" s="85">
        <f>'[8]October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46"/>
      <c r="F25" s="146"/>
      <c r="G25" s="146"/>
      <c r="H25" s="146"/>
      <c r="I25" s="146"/>
      <c r="J25" s="146"/>
      <c r="K25" s="146"/>
      <c r="L25" s="220">
        <f>226713.38+70000</f>
        <v>296713.38</v>
      </c>
      <c r="M25" s="220"/>
      <c r="N25" s="146"/>
      <c r="O25" s="146"/>
      <c r="P25" s="146"/>
      <c r="Q25" s="312"/>
      <c r="R25" s="15"/>
      <c r="S25" s="312"/>
      <c r="T25" s="85"/>
      <c r="U25" s="146"/>
      <c r="V25" s="146"/>
      <c r="W25" s="313"/>
      <c r="X25" s="146"/>
      <c r="Y25" s="85"/>
      <c r="Z25" s="231"/>
      <c r="AA25" s="146"/>
      <c r="AB25" s="231"/>
      <c r="AC25" s="13"/>
    </row>
    <row r="26" customHeight="1" spans="1:29">
      <c r="A26" s="4"/>
      <c r="B26" s="22"/>
      <c r="C26" s="26"/>
      <c r="D26" s="15"/>
      <c r="E26" s="146"/>
      <c r="F26" s="146"/>
      <c r="G26" s="146"/>
      <c r="H26" s="146"/>
      <c r="I26" s="146"/>
      <c r="J26" s="146"/>
      <c r="K26" s="146"/>
      <c r="L26" s="220"/>
      <c r="M26" s="220"/>
      <c r="N26" s="146"/>
      <c r="O26" s="146"/>
      <c r="P26" s="146"/>
      <c r="Q26" s="312"/>
      <c r="R26" s="15"/>
      <c r="S26" s="312"/>
      <c r="T26" s="85"/>
      <c r="U26" s="146"/>
      <c r="V26" s="146"/>
      <c r="W26" s="313"/>
      <c r="X26" s="146"/>
      <c r="Y26" s="85"/>
      <c r="Z26" s="231"/>
      <c r="AA26" s="146"/>
      <c r="AB26" s="231"/>
      <c r="AC26" s="13"/>
    </row>
    <row r="27" ht="19.5" customHeight="1" spans="1:29">
      <c r="A27" s="4"/>
      <c r="B27" s="30" t="s">
        <v>80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2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18"/>
      <c r="X28" s="229"/>
      <c r="Y28" s="229"/>
      <c r="Z28" s="229"/>
      <c r="AA28" s="229"/>
      <c r="AB28" s="229"/>
      <c r="AC28" s="35"/>
    </row>
    <row r="29" ht="36.75" customHeight="1" spans="2:28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18"/>
      <c r="X29" s="229"/>
      <c r="Y29" s="229"/>
      <c r="Z29" s="229"/>
      <c r="AA29" s="229"/>
      <c r="AB29" s="229"/>
    </row>
    <row r="32" customHeight="1" spans="17:20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949</v>
      </c>
      <c r="B2" s="257"/>
      <c r="C2" s="236"/>
      <c r="D2" s="236"/>
      <c r="E2" s="23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357" t="s">
        <v>132</v>
      </c>
    </row>
    <row r="5" ht="17.25" customHeight="1" spans="3:5">
      <c r="C5" s="8"/>
      <c r="D5" s="8"/>
      <c r="E5" s="358" t="s">
        <v>19</v>
      </c>
    </row>
    <row r="6" customHeight="1" spans="1:5">
      <c r="A6" s="9" t="s">
        <v>20</v>
      </c>
      <c r="B6" s="8" t="s">
        <v>21</v>
      </c>
      <c r="C6" s="8"/>
      <c r="D6" s="8"/>
      <c r="E6" s="358"/>
    </row>
    <row r="7" customHeight="1" spans="1:6">
      <c r="A7" s="10">
        <v>1</v>
      </c>
      <c r="B7" s="11" t="s">
        <v>236</v>
      </c>
      <c r="C7" s="12" t="s">
        <v>237</v>
      </c>
      <c r="D7" s="12" t="s">
        <v>238</v>
      </c>
      <c r="E7" s="356">
        <v>540000</v>
      </c>
      <c r="F7" s="13"/>
    </row>
    <row r="8" customHeight="1" spans="1:6">
      <c r="A8" s="10">
        <v>2</v>
      </c>
      <c r="B8" s="11" t="s">
        <v>239</v>
      </c>
      <c r="C8" s="12" t="s">
        <v>240</v>
      </c>
      <c r="D8" s="10" t="s">
        <v>234</v>
      </c>
      <c r="E8" s="356">
        <v>180000</v>
      </c>
      <c r="F8" s="13"/>
    </row>
    <row r="9" customHeight="1" spans="1:6">
      <c r="A9" s="10">
        <v>3</v>
      </c>
      <c r="B9" s="14" t="s">
        <v>241</v>
      </c>
      <c r="C9" s="4" t="s">
        <v>242</v>
      </c>
      <c r="D9" s="15" t="s">
        <v>308</v>
      </c>
      <c r="E9" s="356">
        <v>180000</v>
      </c>
      <c r="F9" s="13"/>
    </row>
    <row r="10" customHeight="1" spans="1:6">
      <c r="A10" s="10">
        <v>4</v>
      </c>
      <c r="B10" s="11" t="s">
        <v>243</v>
      </c>
      <c r="C10" s="17" t="s">
        <v>244</v>
      </c>
      <c r="D10" s="16" t="s">
        <v>308</v>
      </c>
      <c r="E10" s="356">
        <v>180000</v>
      </c>
      <c r="F10" s="13"/>
    </row>
    <row r="11" customHeight="1" spans="1:6">
      <c r="A11" s="10">
        <v>5</v>
      </c>
      <c r="B11" s="14" t="s">
        <v>245</v>
      </c>
      <c r="C11" s="4" t="s">
        <v>246</v>
      </c>
      <c r="D11" s="16" t="s">
        <v>308</v>
      </c>
      <c r="E11" s="356">
        <v>180000</v>
      </c>
      <c r="F11" s="13"/>
    </row>
    <row r="12" customHeight="1" spans="1:6">
      <c r="A12" s="10">
        <v>6</v>
      </c>
      <c r="B12" s="18" t="s">
        <v>232</v>
      </c>
      <c r="C12" s="10" t="s">
        <v>233</v>
      </c>
      <c r="D12" s="15" t="s">
        <v>308</v>
      </c>
      <c r="E12" s="356">
        <v>180000</v>
      </c>
      <c r="F12" s="13"/>
    </row>
    <row r="13" customHeight="1" spans="1:6">
      <c r="A13" s="10">
        <v>7</v>
      </c>
      <c r="B13" s="11" t="s">
        <v>247</v>
      </c>
      <c r="C13" s="12" t="s">
        <v>248</v>
      </c>
      <c r="D13" s="15" t="s">
        <v>249</v>
      </c>
      <c r="E13" s="356">
        <v>126000</v>
      </c>
      <c r="F13" s="13"/>
    </row>
    <row r="14" customHeight="1" spans="1:6">
      <c r="A14" s="10">
        <v>8</v>
      </c>
      <c r="B14" s="11" t="s">
        <v>250</v>
      </c>
      <c r="C14" s="4" t="s">
        <v>251</v>
      </c>
      <c r="D14" s="10" t="s">
        <v>228</v>
      </c>
      <c r="E14" s="356">
        <v>126000</v>
      </c>
      <c r="F14" s="13"/>
    </row>
    <row r="15" customHeight="1" spans="1:6">
      <c r="A15" s="10">
        <v>9</v>
      </c>
      <c r="B15" s="11" t="s">
        <v>252</v>
      </c>
      <c r="C15" s="4" t="s">
        <v>253</v>
      </c>
      <c r="D15" s="15" t="s">
        <v>257</v>
      </c>
      <c r="E15" s="356">
        <f>90000</f>
        <v>90000</v>
      </c>
      <c r="F15" s="13"/>
    </row>
    <row r="16" customHeight="1" spans="1:6">
      <c r="A16" s="10">
        <v>10</v>
      </c>
      <c r="B16" s="14" t="s">
        <v>255</v>
      </c>
      <c r="C16" s="17" t="s">
        <v>256</v>
      </c>
      <c r="D16" s="15" t="s">
        <v>342</v>
      </c>
      <c r="E16" s="356">
        <f>90000</f>
        <v>90000</v>
      </c>
      <c r="F16" s="13"/>
    </row>
    <row r="17" customHeight="1" spans="1:5">
      <c r="A17" s="10">
        <v>11</v>
      </c>
      <c r="B17" s="11" t="s">
        <v>261</v>
      </c>
      <c r="C17" s="4" t="s">
        <v>262</v>
      </c>
      <c r="D17" s="10" t="s">
        <v>263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264</v>
      </c>
      <c r="C18" s="12" t="s">
        <v>265</v>
      </c>
      <c r="D18" s="15" t="s">
        <v>950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267</v>
      </c>
      <c r="C19" s="4" t="s">
        <v>268</v>
      </c>
      <c r="D19" s="15" t="s">
        <v>951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270</v>
      </c>
      <c r="C20" s="12" t="s">
        <v>50</v>
      </c>
      <c r="D20" s="15" t="s">
        <v>332</v>
      </c>
      <c r="E20" s="356">
        <v>54000</v>
      </c>
      <c r="F20" s="13"/>
    </row>
    <row r="21" customHeight="1" spans="1:6">
      <c r="A21" s="10">
        <v>15</v>
      </c>
      <c r="B21" s="14" t="s">
        <v>272</v>
      </c>
      <c r="C21" s="17" t="s">
        <v>273</v>
      </c>
      <c r="D21" s="10" t="s">
        <v>41</v>
      </c>
      <c r="E21" s="356">
        <v>54000</v>
      </c>
      <c r="F21" s="13"/>
    </row>
    <row r="22" customHeight="1" spans="1:6">
      <c r="A22" s="10">
        <v>16</v>
      </c>
      <c r="B22" s="14" t="s">
        <v>276</v>
      </c>
      <c r="C22" s="17" t="s">
        <v>277</v>
      </c>
      <c r="D22" s="10" t="s">
        <v>37</v>
      </c>
      <c r="E22" s="356">
        <v>54000</v>
      </c>
      <c r="F22" s="13"/>
    </row>
    <row r="23" ht="18.75" customHeight="1" spans="1:6">
      <c r="A23" s="10">
        <v>17</v>
      </c>
      <c r="B23" s="4" t="s">
        <v>278</v>
      </c>
      <c r="C23" s="4" t="s">
        <v>176</v>
      </c>
      <c r="D23" s="10" t="s">
        <v>283</v>
      </c>
      <c r="E23" s="356">
        <v>54000</v>
      </c>
      <c r="F23" s="13"/>
    </row>
    <row r="24" ht="18.75" customHeight="1" spans="1:6">
      <c r="A24" s="10">
        <v>18</v>
      </c>
      <c r="B24" s="18" t="s">
        <v>280</v>
      </c>
      <c r="C24" s="12" t="s">
        <v>176</v>
      </c>
      <c r="D24" s="15" t="s">
        <v>283</v>
      </c>
      <c r="E24" s="356">
        <v>54000</v>
      </c>
      <c r="F24" s="13"/>
    </row>
    <row r="25" ht="18.75" customHeight="1" spans="1:6">
      <c r="A25" s="10">
        <v>19</v>
      </c>
      <c r="B25" s="18" t="s">
        <v>282</v>
      </c>
      <c r="C25" s="12" t="s">
        <v>27</v>
      </c>
      <c r="D25" s="15" t="s">
        <v>24</v>
      </c>
      <c r="E25" s="356">
        <v>54000</v>
      </c>
      <c r="F25" s="13"/>
    </row>
    <row r="26" ht="18.75" customHeight="1" spans="1:6">
      <c r="A26" s="10">
        <v>20</v>
      </c>
      <c r="B26" s="18" t="s">
        <v>284</v>
      </c>
      <c r="C26" s="4" t="s">
        <v>285</v>
      </c>
      <c r="D26" s="10" t="s">
        <v>24</v>
      </c>
      <c r="E26" s="356">
        <v>54000</v>
      </c>
      <c r="F26" s="13"/>
    </row>
    <row r="27" ht="18.75" customHeight="1" spans="1:6">
      <c r="A27" s="10">
        <v>21</v>
      </c>
      <c r="B27" s="18" t="s">
        <v>287</v>
      </c>
      <c r="C27" s="17" t="s">
        <v>288</v>
      </c>
      <c r="D27" s="15" t="s">
        <v>283</v>
      </c>
      <c r="E27" s="356">
        <v>54000</v>
      </c>
      <c r="F27" s="13"/>
    </row>
    <row r="28" ht="18.75" customHeight="1" spans="1:6">
      <c r="A28" s="10">
        <v>22</v>
      </c>
      <c r="B28" s="18" t="s">
        <v>289</v>
      </c>
      <c r="C28" s="4" t="s">
        <v>290</v>
      </c>
      <c r="D28" s="10" t="s">
        <v>294</v>
      </c>
      <c r="E28" s="356">
        <v>54000</v>
      </c>
      <c r="F28" s="13"/>
    </row>
    <row r="29" ht="18.75" customHeight="1" spans="1:6">
      <c r="A29" s="10">
        <v>23</v>
      </c>
      <c r="B29" s="18" t="s">
        <v>933</v>
      </c>
      <c r="C29" s="12" t="s">
        <v>293</v>
      </c>
      <c r="D29" s="15" t="s">
        <v>294</v>
      </c>
      <c r="E29" s="356">
        <v>54000</v>
      </c>
      <c r="F29" s="13"/>
    </row>
    <row r="30" ht="18.75" customHeight="1" spans="1:6">
      <c r="A30" s="10">
        <v>24</v>
      </c>
      <c r="B30" s="18" t="s">
        <v>292</v>
      </c>
      <c r="C30" s="12" t="s">
        <v>293</v>
      </c>
      <c r="D30" s="15" t="s">
        <v>30</v>
      </c>
      <c r="E30" s="356">
        <v>54000</v>
      </c>
      <c r="F30" s="13"/>
    </row>
    <row r="31" ht="26.25" customHeight="1" spans="1:6">
      <c r="A31" s="10"/>
      <c r="B31" s="20" t="s">
        <v>33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34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295</v>
      </c>
      <c r="C34" s="4" t="s">
        <v>296</v>
      </c>
      <c r="D34" s="10" t="s">
        <v>297</v>
      </c>
      <c r="E34" s="356">
        <v>270000</v>
      </c>
      <c r="F34" s="13"/>
    </row>
    <row r="35" ht="18.75" customHeight="1" spans="1:6">
      <c r="A35" s="10">
        <v>2</v>
      </c>
      <c r="B35" s="18" t="s">
        <v>298</v>
      </c>
      <c r="C35" s="4" t="s">
        <v>537</v>
      </c>
      <c r="D35" s="10" t="s">
        <v>30</v>
      </c>
      <c r="E35" s="356">
        <v>54000</v>
      </c>
      <c r="F35" s="13"/>
    </row>
    <row r="36" ht="18.75" customHeight="1" spans="1:6">
      <c r="A36" s="10">
        <v>3</v>
      </c>
      <c r="B36" s="11" t="s">
        <v>300</v>
      </c>
      <c r="C36" s="12" t="s">
        <v>534</v>
      </c>
      <c r="D36" s="15" t="s">
        <v>37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38</v>
      </c>
      <c r="C39" s="5"/>
      <c r="D39" s="24"/>
      <c r="E39" s="359"/>
      <c r="F39" s="13"/>
    </row>
    <row r="40" customHeight="1" spans="1:6">
      <c r="A40" s="10">
        <v>1</v>
      </c>
      <c r="B40" s="11" t="s">
        <v>302</v>
      </c>
      <c r="C40" s="4" t="s">
        <v>303</v>
      </c>
      <c r="D40" s="10" t="s">
        <v>297</v>
      </c>
      <c r="E40" s="356">
        <v>270000</v>
      </c>
      <c r="F40" s="13"/>
    </row>
    <row r="41" customHeight="1" spans="1:6">
      <c r="A41" s="10">
        <v>2</v>
      </c>
      <c r="B41" s="11" t="s">
        <v>306</v>
      </c>
      <c r="C41" s="4" t="s">
        <v>307</v>
      </c>
      <c r="D41" s="10" t="s">
        <v>946</v>
      </c>
      <c r="E41" s="356">
        <f>180000</f>
        <v>180000</v>
      </c>
      <c r="F41" s="13"/>
    </row>
    <row r="42" customHeight="1" spans="1:6">
      <c r="A42" s="10">
        <v>3</v>
      </c>
      <c r="B42" s="11" t="s">
        <v>304</v>
      </c>
      <c r="C42" s="4" t="s">
        <v>305</v>
      </c>
      <c r="D42" s="10" t="s">
        <v>249</v>
      </c>
      <c r="E42" s="356">
        <v>126000</v>
      </c>
      <c r="F42" s="13"/>
    </row>
    <row r="43" customHeight="1" spans="1:6">
      <c r="A43" s="10">
        <v>4</v>
      </c>
      <c r="B43" s="11" t="s">
        <v>309</v>
      </c>
      <c r="C43" s="4" t="s">
        <v>310</v>
      </c>
      <c r="D43" s="10" t="s">
        <v>249</v>
      </c>
      <c r="E43" s="356">
        <v>126000</v>
      </c>
      <c r="F43" s="13"/>
    </row>
    <row r="44" customHeight="1" spans="1:6">
      <c r="A44" s="10">
        <v>5</v>
      </c>
      <c r="B44" s="11" t="s">
        <v>311</v>
      </c>
      <c r="C44" s="4" t="s">
        <v>310</v>
      </c>
      <c r="D44" s="10" t="s">
        <v>327</v>
      </c>
      <c r="E44" s="356">
        <v>126000</v>
      </c>
      <c r="F44" s="13"/>
    </row>
    <row r="45" customHeight="1" spans="1:6">
      <c r="A45" s="10">
        <v>6</v>
      </c>
      <c r="B45" s="11" t="s">
        <v>312</v>
      </c>
      <c r="C45" s="4" t="s">
        <v>310</v>
      </c>
      <c r="D45" s="10" t="s">
        <v>228</v>
      </c>
      <c r="E45" s="356">
        <v>126000</v>
      </c>
      <c r="F45" s="13"/>
    </row>
    <row r="46" customHeight="1" spans="1:6">
      <c r="A46" s="10">
        <v>7</v>
      </c>
      <c r="B46" s="14" t="s">
        <v>313</v>
      </c>
      <c r="C46" s="4" t="s">
        <v>256</v>
      </c>
      <c r="D46" s="16" t="s">
        <v>257</v>
      </c>
      <c r="E46" s="356">
        <v>90000</v>
      </c>
      <c r="F46" s="13"/>
    </row>
    <row r="47" customHeight="1" spans="1:6">
      <c r="A47" s="10">
        <v>8</v>
      </c>
      <c r="B47" s="11" t="s">
        <v>258</v>
      </c>
      <c r="C47" s="4" t="s">
        <v>259</v>
      </c>
      <c r="D47" s="10" t="s">
        <v>260</v>
      </c>
      <c r="E47" s="356">
        <v>90000</v>
      </c>
      <c r="F47" s="13"/>
    </row>
    <row r="48" customHeight="1" spans="1:6">
      <c r="A48" s="10">
        <v>9</v>
      </c>
      <c r="B48" s="11" t="s">
        <v>314</v>
      </c>
      <c r="C48" s="4" t="s">
        <v>63</v>
      </c>
      <c r="D48" s="10" t="s">
        <v>37</v>
      </c>
      <c r="E48" s="356">
        <v>54000</v>
      </c>
      <c r="F48" s="13"/>
    </row>
    <row r="49" customHeight="1" spans="1:6">
      <c r="A49" s="10">
        <v>10</v>
      </c>
      <c r="B49" s="11" t="s">
        <v>315</v>
      </c>
      <c r="C49" s="4" t="s">
        <v>63</v>
      </c>
      <c r="D49" s="10" t="s">
        <v>24</v>
      </c>
      <c r="E49" s="356">
        <v>54000</v>
      </c>
      <c r="F49" s="13"/>
    </row>
    <row r="50" customHeight="1" spans="1:6">
      <c r="A50" s="10">
        <v>11</v>
      </c>
      <c r="B50" s="11" t="s">
        <v>316</v>
      </c>
      <c r="C50" s="4" t="s">
        <v>63</v>
      </c>
      <c r="D50" s="10" t="s">
        <v>24</v>
      </c>
      <c r="E50" s="356">
        <v>54000</v>
      </c>
      <c r="F50" s="13"/>
    </row>
    <row r="51" customHeight="1" spans="1:6">
      <c r="A51" s="10">
        <v>12</v>
      </c>
      <c r="B51" s="11" t="s">
        <v>317</v>
      </c>
      <c r="C51" s="4" t="s">
        <v>63</v>
      </c>
      <c r="D51" s="10" t="s">
        <v>24</v>
      </c>
      <c r="E51" s="356">
        <v>54000</v>
      </c>
      <c r="F51" s="13"/>
    </row>
    <row r="52" ht="25.5" customHeight="1" spans="1:6">
      <c r="A52" s="10"/>
      <c r="B52" s="20" t="s">
        <v>33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318</v>
      </c>
      <c r="C54" s="21"/>
      <c r="D54" s="21"/>
      <c r="E54" s="361"/>
      <c r="F54" s="13"/>
    </row>
    <row r="55" customHeight="1" spans="1:6">
      <c r="A55" s="10">
        <v>1</v>
      </c>
      <c r="B55" s="11" t="s">
        <v>319</v>
      </c>
      <c r="C55" s="12" t="s">
        <v>320</v>
      </c>
      <c r="D55" s="15" t="s">
        <v>297</v>
      </c>
      <c r="E55" s="356">
        <v>270000</v>
      </c>
      <c r="F55" s="13"/>
    </row>
    <row r="56" customHeight="1" spans="1:6">
      <c r="A56" s="10">
        <v>2</v>
      </c>
      <c r="B56" s="11" t="s">
        <v>321</v>
      </c>
      <c r="C56" s="12" t="s">
        <v>322</v>
      </c>
      <c r="D56" s="15" t="s">
        <v>222</v>
      </c>
      <c r="E56" s="356">
        <v>126000</v>
      </c>
      <c r="F56" s="13"/>
    </row>
    <row r="57" customHeight="1" spans="1:6">
      <c r="A57" s="10"/>
      <c r="B57" s="20" t="s">
        <v>33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44</v>
      </c>
      <c r="C59" s="21"/>
      <c r="D59" s="21"/>
      <c r="E59" s="361"/>
      <c r="F59" s="13"/>
    </row>
    <row r="60" customHeight="1" spans="1:6">
      <c r="A60" s="10">
        <v>1</v>
      </c>
      <c r="B60" s="11" t="s">
        <v>323</v>
      </c>
      <c r="C60" s="17" t="s">
        <v>324</v>
      </c>
      <c r="D60" s="10" t="s">
        <v>297</v>
      </c>
      <c r="E60" s="356">
        <v>270000</v>
      </c>
      <c r="F60" s="13"/>
    </row>
    <row r="61" customHeight="1" spans="1:6">
      <c r="A61" s="10">
        <v>2</v>
      </c>
      <c r="B61" s="351" t="s">
        <v>325</v>
      </c>
      <c r="C61" s="17" t="s">
        <v>326</v>
      </c>
      <c r="D61" s="15" t="s">
        <v>952</v>
      </c>
      <c r="E61" s="356">
        <v>126000</v>
      </c>
      <c r="F61" s="13"/>
    </row>
    <row r="62" customHeight="1" spans="1:6">
      <c r="A62" s="10">
        <v>3</v>
      </c>
      <c r="B62" s="11" t="s">
        <v>328</v>
      </c>
      <c r="C62" s="4" t="s">
        <v>256</v>
      </c>
      <c r="D62" s="10" t="s">
        <v>260</v>
      </c>
      <c r="E62" s="356">
        <v>90000</v>
      </c>
      <c r="F62" s="13"/>
    </row>
    <row r="63" customHeight="1" spans="1:6">
      <c r="A63" s="10">
        <v>4</v>
      </c>
      <c r="B63" s="18" t="s">
        <v>329</v>
      </c>
      <c r="C63" s="17" t="s">
        <v>46</v>
      </c>
      <c r="D63" s="15" t="s">
        <v>950</v>
      </c>
      <c r="E63" s="356">
        <v>90000</v>
      </c>
      <c r="F63" s="13"/>
    </row>
    <row r="64" customHeight="1" spans="1:6">
      <c r="A64" s="10">
        <v>5</v>
      </c>
      <c r="B64" s="14" t="s">
        <v>330</v>
      </c>
      <c r="C64" s="17" t="s">
        <v>256</v>
      </c>
      <c r="D64" s="15" t="s">
        <v>257</v>
      </c>
      <c r="E64" s="356">
        <v>90000</v>
      </c>
      <c r="F64" s="13"/>
    </row>
    <row r="65" customHeight="1" spans="1:6">
      <c r="A65" s="10">
        <v>7</v>
      </c>
      <c r="B65" s="11" t="s">
        <v>331</v>
      </c>
      <c r="C65" s="4" t="s">
        <v>63</v>
      </c>
      <c r="D65" s="10" t="s">
        <v>41</v>
      </c>
      <c r="E65" s="356">
        <v>54000</v>
      </c>
      <c r="F65" s="13"/>
    </row>
    <row r="66" customHeight="1" spans="1:6">
      <c r="A66" s="10">
        <v>8</v>
      </c>
      <c r="B66" s="11" t="s">
        <v>333</v>
      </c>
      <c r="C66" s="17" t="s">
        <v>275</v>
      </c>
      <c r="D66" s="15" t="s">
        <v>41</v>
      </c>
      <c r="E66" s="356">
        <v>54000</v>
      </c>
      <c r="F66" s="13"/>
    </row>
    <row r="67" customHeight="1" spans="1:6">
      <c r="A67" s="10">
        <v>9</v>
      </c>
      <c r="B67" s="11" t="s">
        <v>334</v>
      </c>
      <c r="C67" s="17" t="s">
        <v>275</v>
      </c>
      <c r="D67" s="15" t="s">
        <v>41</v>
      </c>
      <c r="E67" s="356">
        <v>54000</v>
      </c>
      <c r="F67" s="13"/>
    </row>
    <row r="68" customHeight="1" spans="1:6">
      <c r="A68" s="10">
        <v>10</v>
      </c>
      <c r="B68" s="11" t="s">
        <v>335</v>
      </c>
      <c r="C68" s="4" t="s">
        <v>336</v>
      </c>
      <c r="D68" s="10" t="s">
        <v>332</v>
      </c>
      <c r="E68" s="356">
        <v>54000</v>
      </c>
      <c r="F68" s="13"/>
    </row>
    <row r="69" ht="21.6" customHeight="1" spans="1:5">
      <c r="A69" s="10">
        <v>11</v>
      </c>
      <c r="B69" s="11" t="s">
        <v>337</v>
      </c>
      <c r="C69" s="4" t="s">
        <v>63</v>
      </c>
      <c r="D69" s="10" t="s">
        <v>37</v>
      </c>
      <c r="E69" s="356">
        <v>54000</v>
      </c>
    </row>
    <row r="70" customHeight="1" spans="1:6">
      <c r="A70" s="10">
        <v>12</v>
      </c>
      <c r="B70" s="11" t="s">
        <v>281</v>
      </c>
      <c r="C70" s="17" t="s">
        <v>273</v>
      </c>
      <c r="D70" s="10" t="s">
        <v>283</v>
      </c>
      <c r="E70" s="356">
        <v>54000</v>
      </c>
      <c r="F70" s="13"/>
    </row>
    <row r="71" ht="27" customHeight="1" spans="1:6">
      <c r="A71" s="10"/>
      <c r="B71" s="20" t="s">
        <v>33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51</v>
      </c>
      <c r="C73" s="21"/>
      <c r="D73" s="21"/>
      <c r="E73" s="361"/>
      <c r="F73" s="13"/>
    </row>
    <row r="74" customHeight="1" spans="1:6">
      <c r="A74" s="10">
        <v>1</v>
      </c>
      <c r="B74" s="11" t="s">
        <v>338</v>
      </c>
      <c r="C74" s="4" t="s">
        <v>339</v>
      </c>
      <c r="D74" s="10" t="s">
        <v>297</v>
      </c>
      <c r="E74" s="356">
        <v>270000</v>
      </c>
      <c r="F74" s="13"/>
    </row>
    <row r="75" customHeight="1" spans="1:6">
      <c r="A75" s="10">
        <v>2</v>
      </c>
      <c r="B75" s="14" t="s">
        <v>220</v>
      </c>
      <c r="C75" s="4" t="s">
        <v>221</v>
      </c>
      <c r="D75" s="15" t="s">
        <v>952</v>
      </c>
      <c r="E75" s="356">
        <v>126000</v>
      </c>
      <c r="F75" s="13"/>
    </row>
    <row r="76" customHeight="1" spans="1:6">
      <c r="A76" s="10">
        <v>3</v>
      </c>
      <c r="B76" s="18" t="s">
        <v>223</v>
      </c>
      <c r="C76" s="12" t="s">
        <v>224</v>
      </c>
      <c r="D76" s="10" t="s">
        <v>222</v>
      </c>
      <c r="E76" s="356">
        <v>126000</v>
      </c>
      <c r="F76" s="13"/>
    </row>
    <row r="77" customHeight="1" spans="1:6">
      <c r="A77" s="10">
        <v>4</v>
      </c>
      <c r="B77" s="11" t="s">
        <v>340</v>
      </c>
      <c r="C77" s="4" t="s">
        <v>341</v>
      </c>
      <c r="D77" s="15" t="s">
        <v>260</v>
      </c>
      <c r="E77" s="356">
        <v>90000</v>
      </c>
      <c r="F77" s="13"/>
    </row>
    <row r="78" customHeight="1" spans="1:6">
      <c r="A78" s="10">
        <v>5</v>
      </c>
      <c r="B78" s="11" t="s">
        <v>343</v>
      </c>
      <c r="C78" s="4" t="s">
        <v>344</v>
      </c>
      <c r="D78" s="10" t="s">
        <v>301</v>
      </c>
      <c r="E78" s="356">
        <v>54000</v>
      </c>
      <c r="F78" s="13"/>
    </row>
    <row r="79" customHeight="1" spans="1:6">
      <c r="A79" s="10">
        <v>6</v>
      </c>
      <c r="B79" s="11" t="s">
        <v>346</v>
      </c>
      <c r="C79" s="4" t="s">
        <v>344</v>
      </c>
      <c r="D79" s="10" t="s">
        <v>24</v>
      </c>
      <c r="E79" s="356">
        <v>54000</v>
      </c>
      <c r="F79" s="13"/>
    </row>
    <row r="80" customHeight="1" spans="1:6">
      <c r="A80" s="10">
        <v>7</v>
      </c>
      <c r="B80" s="11" t="s">
        <v>347</v>
      </c>
      <c r="C80" s="4" t="s">
        <v>348</v>
      </c>
      <c r="D80" s="10" t="s">
        <v>30</v>
      </c>
      <c r="E80" s="356">
        <v>54000</v>
      </c>
      <c r="F80" s="13"/>
    </row>
    <row r="81" customHeight="1" spans="1:6">
      <c r="A81" s="10"/>
      <c r="B81" s="20" t="s">
        <v>33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56</v>
      </c>
      <c r="C83" s="25"/>
      <c r="D83" s="21"/>
      <c r="E83" s="361"/>
      <c r="F83" s="13"/>
    </row>
    <row r="84" customHeight="1" spans="1:6">
      <c r="A84" s="10">
        <v>1</v>
      </c>
      <c r="B84" s="11" t="s">
        <v>349</v>
      </c>
      <c r="C84" s="4" t="s">
        <v>310</v>
      </c>
      <c r="D84" s="10" t="s">
        <v>249</v>
      </c>
      <c r="E84" s="356">
        <v>126000</v>
      </c>
      <c r="F84" s="13"/>
    </row>
    <row r="85" customHeight="1" spans="1:6">
      <c r="A85" s="10">
        <v>2</v>
      </c>
      <c r="B85" s="11" t="s">
        <v>350</v>
      </c>
      <c r="C85" s="4" t="s">
        <v>310</v>
      </c>
      <c r="D85" s="10" t="s">
        <v>249</v>
      </c>
      <c r="E85" s="356">
        <v>126000</v>
      </c>
      <c r="F85" s="13"/>
    </row>
    <row r="86" customHeight="1" spans="1:6">
      <c r="A86" s="10">
        <v>3</v>
      </c>
      <c r="B86" s="14" t="s">
        <v>386</v>
      </c>
      <c r="C86" s="4" t="s">
        <v>310</v>
      </c>
      <c r="D86" s="10" t="s">
        <v>228</v>
      </c>
      <c r="E86" s="356">
        <v>126000</v>
      </c>
      <c r="F86" s="13"/>
    </row>
    <row r="87" customHeight="1" spans="1:6">
      <c r="A87" s="10">
        <v>4</v>
      </c>
      <c r="B87" s="11" t="s">
        <v>351</v>
      </c>
      <c r="C87" s="4" t="s">
        <v>310</v>
      </c>
      <c r="D87" s="10" t="s">
        <v>228</v>
      </c>
      <c r="E87" s="356">
        <v>126000</v>
      </c>
      <c r="F87" s="13"/>
    </row>
    <row r="88" ht="21.6" customHeight="1" spans="1:6">
      <c r="A88" s="10">
        <v>5</v>
      </c>
      <c r="B88" s="11" t="s">
        <v>352</v>
      </c>
      <c r="C88" s="4" t="s">
        <v>353</v>
      </c>
      <c r="D88" s="15" t="s">
        <v>266</v>
      </c>
      <c r="E88" s="356">
        <v>90000</v>
      </c>
      <c r="F88" s="13"/>
    </row>
    <row r="89" ht="21.6" customHeight="1" spans="1:6">
      <c r="A89" s="10">
        <v>6</v>
      </c>
      <c r="B89" s="11" t="s">
        <v>354</v>
      </c>
      <c r="C89" s="12" t="s">
        <v>46</v>
      </c>
      <c r="D89" s="15" t="s">
        <v>950</v>
      </c>
      <c r="E89" s="356">
        <v>90000</v>
      </c>
      <c r="F89" s="13"/>
    </row>
    <row r="90" ht="21.6" customHeight="1" spans="1:6">
      <c r="A90" s="10">
        <v>7</v>
      </c>
      <c r="B90" s="11" t="s">
        <v>355</v>
      </c>
      <c r="C90" s="12" t="s">
        <v>256</v>
      </c>
      <c r="D90" s="15" t="s">
        <v>356</v>
      </c>
      <c r="E90" s="356">
        <v>90000</v>
      </c>
      <c r="F90" s="13"/>
    </row>
    <row r="91" ht="21.6" customHeight="1" spans="1:6">
      <c r="A91" s="10">
        <v>8</v>
      </c>
      <c r="B91" s="11" t="s">
        <v>357</v>
      </c>
      <c r="C91" s="17" t="s">
        <v>275</v>
      </c>
      <c r="D91" s="15" t="s">
        <v>41</v>
      </c>
      <c r="E91" s="356">
        <v>54000</v>
      </c>
      <c r="F91" s="13"/>
    </row>
    <row r="92" ht="21.6" customHeight="1" spans="1:6">
      <c r="A92" s="10">
        <v>9</v>
      </c>
      <c r="B92" s="11" t="s">
        <v>358</v>
      </c>
      <c r="C92" s="17" t="s">
        <v>275</v>
      </c>
      <c r="D92" s="15" t="s">
        <v>41</v>
      </c>
      <c r="E92" s="356">
        <v>54000</v>
      </c>
      <c r="F92" s="13"/>
    </row>
    <row r="93" ht="21.6" customHeight="1" spans="1:6">
      <c r="A93" s="10">
        <v>10</v>
      </c>
      <c r="B93" s="11" t="s">
        <v>359</v>
      </c>
      <c r="C93" s="4" t="s">
        <v>360</v>
      </c>
      <c r="D93" s="10" t="s">
        <v>37</v>
      </c>
      <c r="E93" s="356">
        <v>54000</v>
      </c>
      <c r="F93" s="13"/>
    </row>
    <row r="94" ht="21.6" customHeight="1" spans="1:6">
      <c r="A94" s="10">
        <v>11</v>
      </c>
      <c r="B94" s="11" t="s">
        <v>361</v>
      </c>
      <c r="C94" s="17" t="s">
        <v>362</v>
      </c>
      <c r="D94" s="15" t="s">
        <v>294</v>
      </c>
      <c r="E94" s="356">
        <v>54000</v>
      </c>
      <c r="F94" s="13"/>
    </row>
    <row r="95" customHeight="1" spans="1:6">
      <c r="A95" s="10"/>
      <c r="B95" s="20" t="s">
        <v>33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58</v>
      </c>
      <c r="C97" s="21"/>
      <c r="D97" s="21"/>
      <c r="E97" s="361"/>
      <c r="F97" s="13"/>
    </row>
    <row r="98" customHeight="1" spans="1:6">
      <c r="A98" s="10">
        <v>1</v>
      </c>
      <c r="B98" s="14" t="s">
        <v>363</v>
      </c>
      <c r="C98" s="4" t="s">
        <v>364</v>
      </c>
      <c r="D98" s="16" t="s">
        <v>308</v>
      </c>
      <c r="E98" s="356">
        <f>180000</f>
        <v>180000</v>
      </c>
      <c r="F98" s="13"/>
    </row>
    <row r="99" customHeight="1" spans="1:6">
      <c r="A99" s="10">
        <v>2</v>
      </c>
      <c r="B99" s="11" t="s">
        <v>366</v>
      </c>
      <c r="C99" s="4" t="s">
        <v>367</v>
      </c>
      <c r="D99" s="15" t="s">
        <v>260</v>
      </c>
      <c r="E99" s="356">
        <v>90000</v>
      </c>
      <c r="F99" s="13"/>
    </row>
    <row r="100" customHeight="1" spans="1:6">
      <c r="A100" s="10">
        <v>3</v>
      </c>
      <c r="B100" s="11" t="s">
        <v>368</v>
      </c>
      <c r="C100" s="4" t="s">
        <v>369</v>
      </c>
      <c r="D100" s="15" t="s">
        <v>332</v>
      </c>
      <c r="E100" s="356">
        <v>54000</v>
      </c>
      <c r="F100" s="13"/>
    </row>
    <row r="101" customHeight="1" spans="1:6">
      <c r="A101" s="10">
        <v>4</v>
      </c>
      <c r="B101" s="11" t="s">
        <v>370</v>
      </c>
      <c r="C101" s="4" t="s">
        <v>371</v>
      </c>
      <c r="D101" s="15" t="s">
        <v>37</v>
      </c>
      <c r="E101" s="356">
        <v>54000</v>
      </c>
      <c r="F101" s="13"/>
    </row>
    <row r="102" customHeight="1" spans="1:6">
      <c r="A102" s="4"/>
      <c r="B102" s="20" t="s">
        <v>33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372</v>
      </c>
      <c r="C104" s="4"/>
      <c r="D104" s="4"/>
      <c r="E104" s="362"/>
      <c r="F104" s="13"/>
    </row>
    <row r="105" customHeight="1" spans="1:6">
      <c r="A105" s="4">
        <v>1</v>
      </c>
      <c r="B105" s="11" t="s">
        <v>373</v>
      </c>
      <c r="C105" s="12" t="s">
        <v>374</v>
      </c>
      <c r="D105" s="15" t="s">
        <v>297</v>
      </c>
      <c r="E105" s="356">
        <v>270000</v>
      </c>
      <c r="F105" s="13"/>
    </row>
    <row r="106" customHeight="1" spans="1:6">
      <c r="A106" s="4">
        <v>2</v>
      </c>
      <c r="B106" s="11" t="s">
        <v>375</v>
      </c>
      <c r="C106" s="4" t="s">
        <v>376</v>
      </c>
      <c r="D106" s="16" t="s">
        <v>308</v>
      </c>
      <c r="E106" s="356">
        <v>180000</v>
      </c>
      <c r="F106" s="13"/>
    </row>
    <row r="107" customHeight="1" spans="1:6">
      <c r="A107" s="4">
        <v>3</v>
      </c>
      <c r="B107" s="11" t="s">
        <v>377</v>
      </c>
      <c r="C107" s="4" t="s">
        <v>378</v>
      </c>
      <c r="D107" s="10" t="s">
        <v>263</v>
      </c>
      <c r="E107" s="356">
        <v>90000</v>
      </c>
      <c r="F107" s="13"/>
    </row>
    <row r="108" customHeight="1" spans="1:6">
      <c r="A108" s="4">
        <v>4</v>
      </c>
      <c r="B108" s="11" t="s">
        <v>379</v>
      </c>
      <c r="C108" s="4" t="s">
        <v>378</v>
      </c>
      <c r="D108" s="10" t="s">
        <v>263</v>
      </c>
      <c r="E108" s="356">
        <v>90000</v>
      </c>
      <c r="F108" s="13"/>
    </row>
    <row r="109" customHeight="1" spans="1:6">
      <c r="A109" s="4">
        <v>5</v>
      </c>
      <c r="B109" s="11" t="s">
        <v>380</v>
      </c>
      <c r="C109" s="4" t="s">
        <v>381</v>
      </c>
      <c r="D109" s="15" t="s">
        <v>384</v>
      </c>
      <c r="E109" s="363">
        <v>54000</v>
      </c>
      <c r="F109" s="13"/>
    </row>
    <row r="110" customHeight="1" spans="1:6">
      <c r="A110" s="4">
        <v>6</v>
      </c>
      <c r="B110" s="18" t="s">
        <v>383</v>
      </c>
      <c r="C110" s="4" t="s">
        <v>381</v>
      </c>
      <c r="D110" s="10" t="s">
        <v>945</v>
      </c>
      <c r="E110" s="363">
        <v>54000</v>
      </c>
      <c r="F110" s="13"/>
    </row>
    <row r="111" customHeight="1" spans="1:6">
      <c r="A111" s="4">
        <v>7</v>
      </c>
      <c r="B111" s="18" t="s">
        <v>385</v>
      </c>
      <c r="C111" s="4" t="s">
        <v>381</v>
      </c>
      <c r="D111" s="15" t="s">
        <v>294</v>
      </c>
      <c r="E111" s="363">
        <v>54000</v>
      </c>
      <c r="F111" s="13"/>
    </row>
    <row r="112" ht="25.5" customHeight="1" spans="1:6">
      <c r="A112" s="4"/>
      <c r="B112" s="20" t="s">
        <v>33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61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387</v>
      </c>
      <c r="C115" s="4" t="s">
        <v>388</v>
      </c>
      <c r="D115" s="15" t="s">
        <v>332</v>
      </c>
      <c r="E115" s="356">
        <v>54000</v>
      </c>
      <c r="F115" s="13"/>
    </row>
    <row r="116" customHeight="1" spans="1:6">
      <c r="A116" s="10">
        <v>2</v>
      </c>
      <c r="B116" s="11" t="s">
        <v>389</v>
      </c>
      <c r="C116" s="12" t="s">
        <v>390</v>
      </c>
      <c r="D116" s="15" t="s">
        <v>271</v>
      </c>
      <c r="E116" s="356">
        <v>54000</v>
      </c>
      <c r="F116" s="13"/>
    </row>
    <row r="117" ht="24.75" customHeight="1" spans="1:6">
      <c r="A117" s="4"/>
      <c r="B117" s="20" t="s">
        <v>33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67</v>
      </c>
      <c r="C119" s="21"/>
      <c r="D119" s="21"/>
      <c r="E119" s="361"/>
      <c r="F119" s="13"/>
    </row>
    <row r="120" customHeight="1" spans="1:6">
      <c r="A120" s="4">
        <v>1</v>
      </c>
      <c r="B120" s="11" t="s">
        <v>392</v>
      </c>
      <c r="C120" s="12" t="s">
        <v>393</v>
      </c>
      <c r="D120" s="15" t="s">
        <v>297</v>
      </c>
      <c r="E120" s="356">
        <f>270000</f>
        <v>270000</v>
      </c>
      <c r="F120" s="13"/>
    </row>
    <row r="121" customHeight="1" spans="1:6">
      <c r="A121" s="4">
        <v>2</v>
      </c>
      <c r="B121" s="11" t="s">
        <v>128</v>
      </c>
      <c r="C121" s="12" t="s">
        <v>394</v>
      </c>
      <c r="D121" s="15" t="s">
        <v>946</v>
      </c>
      <c r="E121" s="356">
        <v>180000</v>
      </c>
      <c r="F121" s="13"/>
    </row>
    <row r="122" customHeight="1" spans="1:6">
      <c r="A122" s="4">
        <v>3</v>
      </c>
      <c r="B122" s="14" t="s">
        <v>395</v>
      </c>
      <c r="C122" s="12" t="s">
        <v>227</v>
      </c>
      <c r="D122" s="15" t="s">
        <v>249</v>
      </c>
      <c r="E122" s="356">
        <v>126000</v>
      </c>
      <c r="F122" s="13"/>
    </row>
    <row r="123" customHeight="1" spans="1:6">
      <c r="A123" s="4">
        <v>4</v>
      </c>
      <c r="B123" s="14" t="s">
        <v>226</v>
      </c>
      <c r="C123" s="12" t="s">
        <v>227</v>
      </c>
      <c r="D123" s="15" t="s">
        <v>228</v>
      </c>
      <c r="E123" s="356">
        <v>126000</v>
      </c>
      <c r="F123" s="13"/>
    </row>
    <row r="124" customHeight="1" spans="1:6">
      <c r="A124" s="4">
        <v>5</v>
      </c>
      <c r="B124" s="11" t="s">
        <v>396</v>
      </c>
      <c r="C124" s="12" t="s">
        <v>397</v>
      </c>
      <c r="D124" s="15" t="s">
        <v>342</v>
      </c>
      <c r="E124" s="356">
        <v>90000</v>
      </c>
      <c r="F124" s="13"/>
    </row>
    <row r="125" customHeight="1" spans="1:6">
      <c r="A125" s="4">
        <v>6</v>
      </c>
      <c r="B125" s="11" t="s">
        <v>398</v>
      </c>
      <c r="C125" s="12" t="s">
        <v>399</v>
      </c>
      <c r="D125" s="15" t="s">
        <v>260</v>
      </c>
      <c r="E125" s="356">
        <v>90000</v>
      </c>
      <c r="F125" s="13"/>
    </row>
    <row r="126" customHeight="1" spans="1:6">
      <c r="A126" s="4">
        <v>7</v>
      </c>
      <c r="B126" s="11" t="s">
        <v>400</v>
      </c>
      <c r="C126" s="12" t="s">
        <v>397</v>
      </c>
      <c r="D126" s="15" t="s">
        <v>260</v>
      </c>
      <c r="E126" s="356">
        <v>90000</v>
      </c>
      <c r="F126" s="13"/>
    </row>
    <row r="127" customHeight="1" spans="1:6">
      <c r="A127" s="4">
        <v>8</v>
      </c>
      <c r="B127" s="11" t="s">
        <v>401</v>
      </c>
      <c r="C127" s="12" t="s">
        <v>402</v>
      </c>
      <c r="D127" s="10" t="s">
        <v>283</v>
      </c>
      <c r="E127" s="356">
        <v>54000</v>
      </c>
      <c r="F127" s="13"/>
    </row>
    <row r="128" customHeight="1" spans="1:6">
      <c r="A128" s="4">
        <v>9</v>
      </c>
      <c r="B128" s="18" t="s">
        <v>403</v>
      </c>
      <c r="C128" s="12" t="s">
        <v>404</v>
      </c>
      <c r="D128" s="15" t="s">
        <v>30</v>
      </c>
      <c r="E128" s="356">
        <v>54000</v>
      </c>
      <c r="F128" s="13"/>
    </row>
    <row r="129" customHeight="1" spans="1:6">
      <c r="A129" s="4">
        <v>10</v>
      </c>
      <c r="B129" s="18" t="s">
        <v>405</v>
      </c>
      <c r="C129" s="12" t="s">
        <v>69</v>
      </c>
      <c r="D129" s="15" t="s">
        <v>30</v>
      </c>
      <c r="E129" s="356">
        <v>54000</v>
      </c>
      <c r="F129" s="13"/>
    </row>
    <row r="130" ht="28.5" customHeight="1" spans="1:6">
      <c r="A130" s="4"/>
      <c r="B130" s="20" t="s">
        <v>33</v>
      </c>
      <c r="C130" s="26" t="s">
        <v>406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71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407</v>
      </c>
      <c r="C133" s="12" t="s">
        <v>408</v>
      </c>
      <c r="D133" s="15" t="s">
        <v>297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229</v>
      </c>
      <c r="C134" s="12" t="s">
        <v>230</v>
      </c>
      <c r="D134" s="15" t="s">
        <v>231</v>
      </c>
      <c r="E134" s="356">
        <v>180000</v>
      </c>
      <c r="F134" s="13"/>
    </row>
    <row r="135" customHeight="1" spans="1:6">
      <c r="A135" s="27">
        <v>3</v>
      </c>
      <c r="B135" s="14" t="s">
        <v>409</v>
      </c>
      <c r="C135" s="4" t="s">
        <v>410</v>
      </c>
      <c r="D135" s="16" t="s">
        <v>308</v>
      </c>
      <c r="E135" s="356">
        <v>180000</v>
      </c>
      <c r="F135" s="13"/>
    </row>
    <row r="136" customHeight="1" spans="1:6">
      <c r="A136" s="27">
        <v>4</v>
      </c>
      <c r="B136" s="11" t="s">
        <v>411</v>
      </c>
      <c r="C136" s="12" t="s">
        <v>412</v>
      </c>
      <c r="D136" s="15" t="s">
        <v>257</v>
      </c>
      <c r="E136" s="356">
        <v>90000</v>
      </c>
      <c r="F136" s="13"/>
    </row>
    <row r="137" customHeight="1" spans="1:6">
      <c r="A137" s="27">
        <v>5</v>
      </c>
      <c r="B137" s="11" t="s">
        <v>413</v>
      </c>
      <c r="C137" s="4" t="s">
        <v>414</v>
      </c>
      <c r="D137" s="15" t="s">
        <v>257</v>
      </c>
      <c r="E137" s="356">
        <v>90000</v>
      </c>
      <c r="F137" s="13"/>
    </row>
    <row r="138" customHeight="1" spans="1:6">
      <c r="A138" s="27">
        <v>6</v>
      </c>
      <c r="B138" s="11" t="s">
        <v>415</v>
      </c>
      <c r="C138" s="4" t="s">
        <v>414</v>
      </c>
      <c r="D138" s="15" t="s">
        <v>257</v>
      </c>
      <c r="E138" s="356">
        <v>90000</v>
      </c>
      <c r="F138" s="13"/>
    </row>
    <row r="139" customHeight="1" spans="1:6">
      <c r="A139" s="27">
        <v>7</v>
      </c>
      <c r="B139" s="11" t="s">
        <v>416</v>
      </c>
      <c r="C139" s="12" t="s">
        <v>417</v>
      </c>
      <c r="D139" s="15" t="s">
        <v>271</v>
      </c>
      <c r="E139" s="356">
        <v>54000</v>
      </c>
      <c r="F139" s="13"/>
    </row>
    <row r="140" customHeight="1" spans="1:6">
      <c r="A140" s="27">
        <v>8</v>
      </c>
      <c r="B140" s="11" t="s">
        <v>418</v>
      </c>
      <c r="C140" s="12" t="s">
        <v>417</v>
      </c>
      <c r="D140" s="15" t="s">
        <v>271</v>
      </c>
      <c r="E140" s="356">
        <v>54000</v>
      </c>
      <c r="F140" s="13"/>
    </row>
    <row r="141" customHeight="1" spans="1:6">
      <c r="A141" s="27">
        <v>9</v>
      </c>
      <c r="B141" s="11" t="s">
        <v>419</v>
      </c>
      <c r="C141" s="4" t="s">
        <v>420</v>
      </c>
      <c r="D141" s="15" t="s">
        <v>271</v>
      </c>
      <c r="E141" s="356">
        <v>54000</v>
      </c>
      <c r="F141" s="13"/>
    </row>
    <row r="142" customHeight="1" spans="1:6">
      <c r="A142" s="27">
        <v>10</v>
      </c>
      <c r="B142" s="11" t="s">
        <v>421</v>
      </c>
      <c r="C142" s="12" t="s">
        <v>422</v>
      </c>
      <c r="D142" s="15" t="s">
        <v>332</v>
      </c>
      <c r="E142" s="356">
        <v>54000</v>
      </c>
      <c r="F142" s="13"/>
    </row>
    <row r="143" customHeight="1" spans="1:6">
      <c r="A143" s="27">
        <v>11</v>
      </c>
      <c r="B143" s="11" t="s">
        <v>423</v>
      </c>
      <c r="C143" s="12" t="s">
        <v>424</v>
      </c>
      <c r="D143" s="15" t="s">
        <v>41</v>
      </c>
      <c r="E143" s="356">
        <v>54000</v>
      </c>
      <c r="F143" s="13"/>
    </row>
    <row r="144" customHeight="1" spans="1:6">
      <c r="A144" s="27">
        <v>12</v>
      </c>
      <c r="B144" s="11" t="s">
        <v>425</v>
      </c>
      <c r="C144" s="12" t="s">
        <v>426</v>
      </c>
      <c r="D144" s="15" t="s">
        <v>271</v>
      </c>
      <c r="E144" s="356">
        <v>54000</v>
      </c>
      <c r="F144" s="13"/>
    </row>
    <row r="145" customHeight="1" spans="1:6">
      <c r="A145" s="27">
        <v>13</v>
      </c>
      <c r="B145" s="18" t="s">
        <v>427</v>
      </c>
      <c r="C145" s="4" t="s">
        <v>428</v>
      </c>
      <c r="D145" s="15" t="s">
        <v>41</v>
      </c>
      <c r="E145" s="356">
        <v>54000</v>
      </c>
      <c r="F145" s="13"/>
    </row>
    <row r="146" customHeight="1" spans="1:6">
      <c r="A146" s="27">
        <v>14</v>
      </c>
      <c r="B146" s="11" t="s">
        <v>429</v>
      </c>
      <c r="C146" s="4" t="s">
        <v>430</v>
      </c>
      <c r="D146" s="15" t="s">
        <v>301</v>
      </c>
      <c r="E146" s="356">
        <v>54000</v>
      </c>
      <c r="F146" s="13"/>
    </row>
    <row r="147" customHeight="1" spans="1:6">
      <c r="A147" s="27">
        <v>15</v>
      </c>
      <c r="B147" s="11" t="s">
        <v>431</v>
      </c>
      <c r="C147" s="4" t="s">
        <v>430</v>
      </c>
      <c r="D147" s="15" t="s">
        <v>345</v>
      </c>
      <c r="E147" s="356">
        <v>54000</v>
      </c>
      <c r="F147" s="13"/>
    </row>
    <row r="148" customHeight="1" spans="1:6">
      <c r="A148" s="27">
        <v>16</v>
      </c>
      <c r="B148" s="11" t="s">
        <v>433</v>
      </c>
      <c r="C148" s="4" t="s">
        <v>430</v>
      </c>
      <c r="D148" s="15" t="s">
        <v>345</v>
      </c>
      <c r="E148" s="356">
        <v>54000</v>
      </c>
      <c r="F148" s="13"/>
    </row>
    <row r="149" customHeight="1" spans="1:6">
      <c r="A149" s="27">
        <v>17</v>
      </c>
      <c r="B149" s="11" t="s">
        <v>434</v>
      </c>
      <c r="C149" s="12" t="s">
        <v>435</v>
      </c>
      <c r="D149" s="15" t="s">
        <v>37</v>
      </c>
      <c r="E149" s="356">
        <v>54000</v>
      </c>
      <c r="F149" s="13"/>
    </row>
    <row r="150" customHeight="1" spans="1:6">
      <c r="A150" s="27">
        <v>18</v>
      </c>
      <c r="B150" s="11" t="s">
        <v>953</v>
      </c>
      <c r="C150" s="12" t="s">
        <v>437</v>
      </c>
      <c r="D150" s="10" t="s">
        <v>24</v>
      </c>
      <c r="E150" s="356">
        <v>54000</v>
      </c>
      <c r="F150" s="13"/>
    </row>
    <row r="151" customHeight="1" spans="1:6">
      <c r="A151" s="27">
        <v>19</v>
      </c>
      <c r="B151" s="11" t="s">
        <v>438</v>
      </c>
      <c r="C151" s="12" t="s">
        <v>439</v>
      </c>
      <c r="D151" s="15" t="s">
        <v>301</v>
      </c>
      <c r="E151" s="356">
        <v>54000</v>
      </c>
      <c r="F151" s="13"/>
    </row>
    <row r="152" customHeight="1" spans="1:6">
      <c r="A152" s="27">
        <v>20</v>
      </c>
      <c r="B152" s="11" t="s">
        <v>440</v>
      </c>
      <c r="C152" s="12" t="s">
        <v>441</v>
      </c>
      <c r="D152" s="15" t="s">
        <v>283</v>
      </c>
      <c r="E152" s="356">
        <v>54000</v>
      </c>
      <c r="F152" s="13"/>
    </row>
    <row r="153" customHeight="1" spans="1:6">
      <c r="A153" s="27">
        <v>21</v>
      </c>
      <c r="B153" s="11" t="s">
        <v>442</v>
      </c>
      <c r="C153" s="12" t="s">
        <v>443</v>
      </c>
      <c r="D153" s="15" t="s">
        <v>301</v>
      </c>
      <c r="E153" s="356">
        <v>54000</v>
      </c>
      <c r="F153" s="13"/>
    </row>
    <row r="154" customHeight="1" spans="1:6">
      <c r="A154" s="27">
        <v>22</v>
      </c>
      <c r="B154" s="11" t="s">
        <v>444</v>
      </c>
      <c r="C154" s="12" t="s">
        <v>445</v>
      </c>
      <c r="D154" s="15" t="s">
        <v>283</v>
      </c>
      <c r="E154" s="356">
        <v>54000</v>
      </c>
      <c r="F154" s="13"/>
    </row>
    <row r="155" customHeight="1" spans="1:6">
      <c r="A155" s="27">
        <v>23</v>
      </c>
      <c r="B155" s="18" t="s">
        <v>446</v>
      </c>
      <c r="C155" s="12" t="s">
        <v>447</v>
      </c>
      <c r="D155" s="15" t="s">
        <v>24</v>
      </c>
      <c r="E155" s="356">
        <v>54000</v>
      </c>
      <c r="F155" s="13"/>
    </row>
    <row r="156" customHeight="1" spans="1:6">
      <c r="A156" s="27">
        <v>24</v>
      </c>
      <c r="B156" s="18" t="s">
        <v>448</v>
      </c>
      <c r="C156" s="12" t="s">
        <v>449</v>
      </c>
      <c r="D156" s="15" t="s">
        <v>30</v>
      </c>
      <c r="E156" s="356">
        <v>54000</v>
      </c>
      <c r="F156" s="13"/>
    </row>
    <row r="157" customHeight="1" spans="1:6">
      <c r="A157" s="27">
        <v>25</v>
      </c>
      <c r="B157" s="18" t="s">
        <v>450</v>
      </c>
      <c r="C157" s="12" t="s">
        <v>451</v>
      </c>
      <c r="D157" s="15" t="s">
        <v>30</v>
      </c>
      <c r="E157" s="356">
        <v>54000</v>
      </c>
      <c r="F157" s="13"/>
    </row>
    <row r="158" customHeight="1" spans="1:6">
      <c r="A158" s="27">
        <v>26</v>
      </c>
      <c r="B158" s="18" t="s">
        <v>452</v>
      </c>
      <c r="C158" s="12" t="s">
        <v>453</v>
      </c>
      <c r="D158" s="15" t="s">
        <v>30</v>
      </c>
      <c r="E158" s="356">
        <v>54000</v>
      </c>
      <c r="F158" s="13"/>
    </row>
    <row r="159" customHeight="1" spans="1:6">
      <c r="A159" s="27">
        <v>27</v>
      </c>
      <c r="B159" s="18" t="s">
        <v>454</v>
      </c>
      <c r="C159" s="12" t="s">
        <v>455</v>
      </c>
      <c r="D159" s="15" t="s">
        <v>294</v>
      </c>
      <c r="E159" s="356">
        <v>54000</v>
      </c>
      <c r="F159" s="13"/>
    </row>
    <row r="160" customHeight="1" spans="1:6">
      <c r="A160" s="27">
        <v>28</v>
      </c>
      <c r="B160" s="18" t="s">
        <v>456</v>
      </c>
      <c r="C160" s="12" t="s">
        <v>451</v>
      </c>
      <c r="D160" s="15" t="s">
        <v>30</v>
      </c>
      <c r="E160" s="356">
        <v>54000</v>
      </c>
      <c r="F160" s="13"/>
    </row>
    <row r="161" customHeight="1" spans="1:6">
      <c r="A161" s="27">
        <v>29</v>
      </c>
      <c r="B161" s="11" t="s">
        <v>457</v>
      </c>
      <c r="C161" s="12" t="s">
        <v>458</v>
      </c>
      <c r="D161" s="15" t="s">
        <v>465</v>
      </c>
      <c r="E161" s="366">
        <v>36000</v>
      </c>
      <c r="F161" s="13"/>
    </row>
    <row r="162" customHeight="1" spans="1:6">
      <c r="A162" s="27">
        <v>30</v>
      </c>
      <c r="B162" s="11" t="s">
        <v>460</v>
      </c>
      <c r="C162" s="12" t="s">
        <v>458</v>
      </c>
      <c r="D162" s="15" t="s">
        <v>465</v>
      </c>
      <c r="E162" s="366">
        <v>36000</v>
      </c>
      <c r="F162" s="13"/>
    </row>
    <row r="163" customHeight="1" spans="1:6">
      <c r="A163" s="27">
        <v>31</v>
      </c>
      <c r="B163" s="11" t="s">
        <v>461</v>
      </c>
      <c r="C163" s="12" t="s">
        <v>458</v>
      </c>
      <c r="D163" s="15" t="s">
        <v>465</v>
      </c>
      <c r="E163" s="366">
        <v>36000</v>
      </c>
      <c r="F163" s="13"/>
    </row>
    <row r="164" customHeight="1" spans="1:6">
      <c r="A164" s="27">
        <v>32</v>
      </c>
      <c r="B164" s="11" t="s">
        <v>462</v>
      </c>
      <c r="C164" s="12" t="s">
        <v>458</v>
      </c>
      <c r="D164" s="15" t="s">
        <v>465</v>
      </c>
      <c r="E164" s="366">
        <v>36000</v>
      </c>
      <c r="F164" s="13"/>
    </row>
    <row r="165" customHeight="1" spans="1:6">
      <c r="A165" s="27">
        <v>33</v>
      </c>
      <c r="B165" s="11" t="s">
        <v>463</v>
      </c>
      <c r="C165" s="12" t="s">
        <v>458</v>
      </c>
      <c r="D165" s="15" t="s">
        <v>465</v>
      </c>
      <c r="E165" s="366">
        <v>36000</v>
      </c>
      <c r="F165" s="13"/>
    </row>
    <row r="166" customHeight="1" spans="1:6">
      <c r="A166" s="27">
        <v>34</v>
      </c>
      <c r="B166" s="11" t="s">
        <v>464</v>
      </c>
      <c r="C166" s="12" t="s">
        <v>458</v>
      </c>
      <c r="D166" s="15" t="s">
        <v>476</v>
      </c>
      <c r="E166" s="366">
        <v>36000</v>
      </c>
      <c r="F166" s="13"/>
    </row>
    <row r="167" customHeight="1" spans="1:6">
      <c r="A167" s="27">
        <v>35</v>
      </c>
      <c r="B167" s="11" t="s">
        <v>466</v>
      </c>
      <c r="C167" s="12" t="s">
        <v>458</v>
      </c>
      <c r="D167" s="15" t="s">
        <v>476</v>
      </c>
      <c r="E167" s="366">
        <v>36000</v>
      </c>
      <c r="F167" s="13"/>
    </row>
    <row r="168" customHeight="1" spans="1:6">
      <c r="A168" s="27">
        <v>36</v>
      </c>
      <c r="B168" s="14" t="s">
        <v>467</v>
      </c>
      <c r="C168" s="12" t="s">
        <v>458</v>
      </c>
      <c r="D168" s="15" t="s">
        <v>476</v>
      </c>
      <c r="E168" s="366">
        <v>36000</v>
      </c>
      <c r="F168" s="13"/>
    </row>
    <row r="169" customHeight="1" spans="1:6">
      <c r="A169" s="27">
        <v>37</v>
      </c>
      <c r="B169" s="11" t="s">
        <v>468</v>
      </c>
      <c r="C169" s="12" t="s">
        <v>458</v>
      </c>
      <c r="D169" s="15" t="s">
        <v>476</v>
      </c>
      <c r="E169" s="366">
        <v>36000</v>
      </c>
      <c r="F169" s="13"/>
    </row>
    <row r="170" customHeight="1" spans="1:6">
      <c r="A170" s="27">
        <v>38</v>
      </c>
      <c r="B170" s="18" t="s">
        <v>469</v>
      </c>
      <c r="C170" s="12" t="s">
        <v>458</v>
      </c>
      <c r="D170" s="15" t="s">
        <v>476</v>
      </c>
      <c r="E170" s="366">
        <v>36000</v>
      </c>
      <c r="F170" s="13"/>
    </row>
    <row r="171" customHeight="1" spans="1:6">
      <c r="A171" s="27">
        <v>39</v>
      </c>
      <c r="B171" s="18" t="s">
        <v>470</v>
      </c>
      <c r="C171" s="12" t="s">
        <v>458</v>
      </c>
      <c r="D171" s="15" t="s">
        <v>476</v>
      </c>
      <c r="E171" s="366">
        <v>36000</v>
      </c>
      <c r="F171" s="13"/>
    </row>
    <row r="172" customHeight="1" spans="1:6">
      <c r="A172" s="27">
        <v>40</v>
      </c>
      <c r="B172" s="11" t="s">
        <v>471</v>
      </c>
      <c r="C172" s="12" t="s">
        <v>472</v>
      </c>
      <c r="D172" s="15" t="s">
        <v>473</v>
      </c>
      <c r="E172" s="366">
        <v>36000</v>
      </c>
      <c r="F172" s="13"/>
    </row>
    <row r="173" customHeight="1" spans="1:6">
      <c r="A173" s="27">
        <v>41</v>
      </c>
      <c r="B173" s="11" t="s">
        <v>474</v>
      </c>
      <c r="C173" s="12" t="s">
        <v>472</v>
      </c>
      <c r="D173" s="15" t="s">
        <v>473</v>
      </c>
      <c r="E173" s="366">
        <v>36000</v>
      </c>
      <c r="F173" s="13"/>
    </row>
    <row r="174" customHeight="1" spans="1:6">
      <c r="A174" s="27">
        <v>42</v>
      </c>
      <c r="B174" s="18" t="s">
        <v>475</v>
      </c>
      <c r="C174" s="12" t="s">
        <v>472</v>
      </c>
      <c r="D174" s="15" t="s">
        <v>473</v>
      </c>
      <c r="E174" s="366">
        <v>36000</v>
      </c>
      <c r="F174" s="13"/>
    </row>
    <row r="175" customHeight="1" spans="1:6">
      <c r="A175" s="27">
        <v>43</v>
      </c>
      <c r="B175" s="11" t="s">
        <v>477</v>
      </c>
      <c r="C175" s="12" t="s">
        <v>478</v>
      </c>
      <c r="D175" s="15" t="s">
        <v>954</v>
      </c>
      <c r="E175" s="366">
        <v>36000</v>
      </c>
      <c r="F175" s="13"/>
    </row>
    <row r="176" customHeight="1" spans="1:6">
      <c r="A176" s="27">
        <v>44</v>
      </c>
      <c r="B176" s="11" t="s">
        <v>480</v>
      </c>
      <c r="C176" s="12" t="s">
        <v>481</v>
      </c>
      <c r="D176" s="15" t="s">
        <v>955</v>
      </c>
      <c r="E176" s="366">
        <v>36000</v>
      </c>
      <c r="F176" s="13"/>
    </row>
    <row r="177" customHeight="1" spans="1:6">
      <c r="A177" s="27">
        <v>45</v>
      </c>
      <c r="B177" s="11" t="s">
        <v>483</v>
      </c>
      <c r="C177" s="12" t="s">
        <v>481</v>
      </c>
      <c r="D177" s="15" t="s">
        <v>955</v>
      </c>
      <c r="E177" s="366">
        <v>36000</v>
      </c>
      <c r="F177" s="13"/>
    </row>
    <row r="178" customHeight="1" spans="1:6">
      <c r="A178" s="27">
        <v>46</v>
      </c>
      <c r="B178" s="11" t="s">
        <v>484</v>
      </c>
      <c r="C178" s="12" t="s">
        <v>481</v>
      </c>
      <c r="D178" s="15" t="s">
        <v>955</v>
      </c>
      <c r="E178" s="366">
        <v>36000</v>
      </c>
      <c r="F178" s="13"/>
    </row>
    <row r="179" customHeight="1" spans="1:6">
      <c r="A179" s="27">
        <v>47</v>
      </c>
      <c r="B179" s="11" t="s">
        <v>485</v>
      </c>
      <c r="C179" s="12" t="s">
        <v>481</v>
      </c>
      <c r="D179" s="15" t="s">
        <v>955</v>
      </c>
      <c r="E179" s="366">
        <v>36000</v>
      </c>
      <c r="F179" s="13"/>
    </row>
    <row r="180" customHeight="1" spans="1:6">
      <c r="A180" s="27">
        <v>48</v>
      </c>
      <c r="B180" s="11" t="s">
        <v>486</v>
      </c>
      <c r="C180" s="12" t="s">
        <v>481</v>
      </c>
      <c r="D180" s="15" t="s">
        <v>955</v>
      </c>
      <c r="E180" s="366">
        <v>36000</v>
      </c>
      <c r="F180" s="13"/>
    </row>
    <row r="181" customHeight="1" spans="1:6">
      <c r="A181" s="27">
        <v>49</v>
      </c>
      <c r="B181" s="18" t="s">
        <v>487</v>
      </c>
      <c r="C181" s="12" t="s">
        <v>481</v>
      </c>
      <c r="D181" s="15" t="s">
        <v>955</v>
      </c>
      <c r="E181" s="366">
        <v>36000</v>
      </c>
      <c r="F181" s="13"/>
    </row>
    <row r="182" customHeight="1" spans="1:6">
      <c r="A182" s="27">
        <v>50</v>
      </c>
      <c r="B182" s="18" t="s">
        <v>488</v>
      </c>
      <c r="C182" s="12" t="s">
        <v>481</v>
      </c>
      <c r="D182" s="15" t="s">
        <v>955</v>
      </c>
      <c r="E182" s="366">
        <v>36000</v>
      </c>
      <c r="F182" s="13"/>
    </row>
    <row r="183" customHeight="1" spans="1:6">
      <c r="A183" s="27">
        <v>51</v>
      </c>
      <c r="B183" s="11" t="s">
        <v>489</v>
      </c>
      <c r="C183" s="12" t="s">
        <v>478</v>
      </c>
      <c r="D183" s="15" t="s">
        <v>955</v>
      </c>
      <c r="E183" s="366">
        <v>36000</v>
      </c>
      <c r="F183" s="13"/>
    </row>
    <row r="184" customHeight="1" spans="1:6">
      <c r="A184" s="27">
        <v>52</v>
      </c>
      <c r="B184" s="11" t="s">
        <v>490</v>
      </c>
      <c r="C184" s="12" t="s">
        <v>478</v>
      </c>
      <c r="D184" s="15" t="s">
        <v>955</v>
      </c>
      <c r="E184" s="366">
        <v>36000</v>
      </c>
      <c r="F184" s="13"/>
    </row>
    <row r="185" customHeight="1" spans="1:6">
      <c r="A185" s="27">
        <v>53</v>
      </c>
      <c r="B185" s="18" t="s">
        <v>491</v>
      </c>
      <c r="C185" s="12" t="s">
        <v>172</v>
      </c>
      <c r="D185" s="15" t="s">
        <v>502</v>
      </c>
      <c r="E185" s="366">
        <v>36000</v>
      </c>
      <c r="F185" s="13"/>
    </row>
    <row r="186" customHeight="1" spans="1:6">
      <c r="A186" s="27">
        <v>54</v>
      </c>
      <c r="B186" s="18" t="s">
        <v>493</v>
      </c>
      <c r="C186" s="12" t="s">
        <v>481</v>
      </c>
      <c r="D186" s="15" t="s">
        <v>956</v>
      </c>
      <c r="E186" s="366">
        <v>36000</v>
      </c>
      <c r="F186" s="13"/>
    </row>
    <row r="187" customHeight="1" spans="1:6">
      <c r="A187" s="27">
        <v>55</v>
      </c>
      <c r="B187" s="18" t="s">
        <v>495</v>
      </c>
      <c r="C187" s="12" t="s">
        <v>496</v>
      </c>
      <c r="D187" s="15" t="s">
        <v>957</v>
      </c>
      <c r="E187" s="366">
        <v>36000</v>
      </c>
      <c r="F187" s="13"/>
    </row>
    <row r="188" customHeight="1" spans="1:6">
      <c r="A188" s="27">
        <v>56</v>
      </c>
      <c r="B188" s="18" t="s">
        <v>498</v>
      </c>
      <c r="C188" s="12" t="s">
        <v>496</v>
      </c>
      <c r="D188" s="15" t="s">
        <v>957</v>
      </c>
      <c r="E188" s="366">
        <v>36000</v>
      </c>
      <c r="F188" s="13"/>
    </row>
    <row r="189" customHeight="1" spans="1:6">
      <c r="A189" s="27">
        <v>57</v>
      </c>
      <c r="B189" s="18" t="s">
        <v>499</v>
      </c>
      <c r="C189" s="12" t="s">
        <v>496</v>
      </c>
      <c r="D189" s="15" t="s">
        <v>957</v>
      </c>
      <c r="E189" s="366">
        <v>36000</v>
      </c>
      <c r="F189" s="13"/>
    </row>
    <row r="190" customHeight="1" spans="1:6">
      <c r="A190" s="27">
        <v>58</v>
      </c>
      <c r="B190" s="18" t="s">
        <v>500</v>
      </c>
      <c r="C190" s="12" t="s">
        <v>501</v>
      </c>
      <c r="D190" s="15" t="s">
        <v>173</v>
      </c>
      <c r="E190" s="366">
        <v>36000</v>
      </c>
      <c r="F190" s="13"/>
    </row>
    <row r="191" customHeight="1" spans="1:6">
      <c r="A191" s="27">
        <v>59</v>
      </c>
      <c r="B191" s="18" t="s">
        <v>503</v>
      </c>
      <c r="C191" s="12" t="s">
        <v>501</v>
      </c>
      <c r="D191" s="15" t="s">
        <v>173</v>
      </c>
      <c r="E191" s="366">
        <v>36000</v>
      </c>
      <c r="F191" s="13"/>
    </row>
    <row r="192" ht="24.75" customHeight="1" spans="1:6">
      <c r="A192" s="27"/>
      <c r="B192" s="8" t="s">
        <v>33</v>
      </c>
      <c r="C192" s="28" t="s">
        <v>504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80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2:6">
      <c r="B195" s="33"/>
      <c r="D195" s="34"/>
      <c r="E195" s="34"/>
      <c r="F195" s="35"/>
    </row>
    <row r="196" ht="36.75" customHeight="1" spans="2:5">
      <c r="B196" s="33"/>
      <c r="C196" s="34"/>
      <c r="D196" s="34"/>
      <c r="E196" s="335"/>
    </row>
    <row r="197" customHeight="1" spans="5:5">
      <c r="E197" s="335"/>
    </row>
    <row r="198" customHeight="1" spans="5:5">
      <c r="E198" s="335"/>
    </row>
    <row r="199" customHeight="1" spans="5:5">
      <c r="E199" s="335"/>
    </row>
    <row r="200" customHeight="1" spans="5:5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958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6" t="s">
        <v>959</v>
      </c>
      <c r="F4" s="321" t="s">
        <v>135</v>
      </c>
    </row>
    <row r="5" ht="17.25" customHeight="1" spans="3:6">
      <c r="C5" s="8"/>
      <c r="D5" s="8"/>
      <c r="E5" s="307" t="s">
        <v>19</v>
      </c>
      <c r="F5" s="230" t="s">
        <v>19</v>
      </c>
    </row>
    <row r="6" customHeight="1" spans="1:6">
      <c r="A6" s="9" t="s">
        <v>20</v>
      </c>
      <c r="B6" s="8" t="s">
        <v>21</v>
      </c>
      <c r="C6" s="8"/>
      <c r="D6" s="8"/>
      <c r="E6" s="307"/>
      <c r="F6" s="230"/>
    </row>
    <row r="7" customHeight="1" spans="1:7">
      <c r="A7" s="10">
        <v>1</v>
      </c>
      <c r="B7" s="11" t="s">
        <v>236</v>
      </c>
      <c r="C7" s="12" t="s">
        <v>237</v>
      </c>
      <c r="D7" s="12" t="s">
        <v>238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239</v>
      </c>
      <c r="C8" s="12" t="s">
        <v>240</v>
      </c>
      <c r="D8" s="10" t="s">
        <v>234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241</v>
      </c>
      <c r="C9" s="4" t="s">
        <v>242</v>
      </c>
      <c r="D9" s="15" t="s">
        <v>308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243</v>
      </c>
      <c r="C10" s="17" t="s">
        <v>244</v>
      </c>
      <c r="D10" s="16" t="s">
        <v>308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245</v>
      </c>
      <c r="C11" s="4" t="s">
        <v>246</v>
      </c>
      <c r="D11" s="16" t="s">
        <v>308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232</v>
      </c>
      <c r="C12" s="10" t="s">
        <v>233</v>
      </c>
      <c r="D12" s="15" t="s">
        <v>308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247</v>
      </c>
      <c r="C13" s="12" t="s">
        <v>248</v>
      </c>
      <c r="D13" s="15" t="s">
        <v>249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250</v>
      </c>
      <c r="C14" s="4" t="s">
        <v>251</v>
      </c>
      <c r="D14" s="10" t="s">
        <v>228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252</v>
      </c>
      <c r="C15" s="4" t="s">
        <v>253</v>
      </c>
      <c r="D15" s="15" t="s">
        <v>257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255</v>
      </c>
      <c r="C16" s="17" t="s">
        <v>256</v>
      </c>
      <c r="D16" s="15" t="s">
        <v>342</v>
      </c>
      <c r="E16" s="219">
        <v>455272.06375</v>
      </c>
      <c r="F16" s="231">
        <f t="shared" si="0"/>
        <v>227636.031875</v>
      </c>
      <c r="G16" s="13"/>
    </row>
    <row r="17" customHeight="1" spans="1:6">
      <c r="A17" s="10">
        <v>11</v>
      </c>
      <c r="B17" s="11" t="s">
        <v>261</v>
      </c>
      <c r="C17" s="4" t="s">
        <v>262</v>
      </c>
      <c r="D17" s="10" t="s">
        <v>263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264</v>
      </c>
      <c r="C18" s="12" t="s">
        <v>265</v>
      </c>
      <c r="D18" s="15" t="s">
        <v>950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267</v>
      </c>
      <c r="C19" s="4" t="s">
        <v>268</v>
      </c>
      <c r="D19" s="15" t="s">
        <v>951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270</v>
      </c>
      <c r="C20" s="12" t="s">
        <v>50</v>
      </c>
      <c r="D20" s="15" t="s">
        <v>332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272</v>
      </c>
      <c r="C21" s="17" t="s">
        <v>273</v>
      </c>
      <c r="D21" s="10" t="s">
        <v>41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276</v>
      </c>
      <c r="C22" s="17" t="s">
        <v>277</v>
      </c>
      <c r="D22" s="10" t="s">
        <v>37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278</v>
      </c>
      <c r="C23" s="4" t="s">
        <v>176</v>
      </c>
      <c r="D23" s="10" t="s">
        <v>283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280</v>
      </c>
      <c r="C24" s="12" t="s">
        <v>176</v>
      </c>
      <c r="D24" s="15" t="s">
        <v>283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282</v>
      </c>
      <c r="C25" s="12" t="s">
        <v>27</v>
      </c>
      <c r="D25" s="15" t="s">
        <v>24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284</v>
      </c>
      <c r="C26" s="4" t="s">
        <v>285</v>
      </c>
      <c r="D26" s="10" t="s">
        <v>24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287</v>
      </c>
      <c r="C27" s="17" t="s">
        <v>288</v>
      </c>
      <c r="D27" s="15" t="s">
        <v>283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289</v>
      </c>
      <c r="C28" s="4" t="s">
        <v>290</v>
      </c>
      <c r="D28" s="10" t="s">
        <v>294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933</v>
      </c>
      <c r="C29" s="12" t="s">
        <v>293</v>
      </c>
      <c r="D29" s="15" t="s">
        <v>294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292</v>
      </c>
      <c r="C30" s="12" t="s">
        <v>293</v>
      </c>
      <c r="D30" s="15" t="s">
        <v>30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33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10"/>
      <c r="F32" s="232"/>
      <c r="G32" s="13"/>
    </row>
    <row r="33" ht="18.75" customHeight="1" spans="1:7">
      <c r="A33" s="10"/>
      <c r="B33" s="20" t="s">
        <v>34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295</v>
      </c>
      <c r="C34" s="4" t="s">
        <v>296</v>
      </c>
      <c r="D34" s="10" t="s">
        <v>297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298</v>
      </c>
      <c r="C35" s="4" t="s">
        <v>537</v>
      </c>
      <c r="D35" s="10" t="s">
        <v>30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300</v>
      </c>
      <c r="C36" s="12" t="s">
        <v>534</v>
      </c>
      <c r="D36" s="15" t="s">
        <v>37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10"/>
      <c r="F38" s="231"/>
      <c r="G38" s="13"/>
    </row>
    <row r="39" customHeight="1" spans="1:7">
      <c r="A39" s="10"/>
      <c r="B39" s="23" t="s">
        <v>38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302</v>
      </c>
      <c r="C40" s="4" t="s">
        <v>303</v>
      </c>
      <c r="D40" s="10" t="s">
        <v>297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304</v>
      </c>
      <c r="C41" s="4" t="s">
        <v>305</v>
      </c>
      <c r="D41" s="10" t="s">
        <v>249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306</v>
      </c>
      <c r="C42" s="4" t="s">
        <v>307</v>
      </c>
      <c r="D42" s="10" t="s">
        <v>946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309</v>
      </c>
      <c r="C43" s="4" t="s">
        <v>310</v>
      </c>
      <c r="D43" s="10" t="s">
        <v>249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311</v>
      </c>
      <c r="C44" s="4" t="s">
        <v>310</v>
      </c>
      <c r="D44" s="10" t="s">
        <v>327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312</v>
      </c>
      <c r="C45" s="4" t="s">
        <v>310</v>
      </c>
      <c r="D45" s="10" t="s">
        <v>228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313</v>
      </c>
      <c r="C46" s="4" t="s">
        <v>256</v>
      </c>
      <c r="D46" s="16" t="s">
        <v>257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258</v>
      </c>
      <c r="C47" s="4" t="s">
        <v>259</v>
      </c>
      <c r="D47" s="10" t="s">
        <v>260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314</v>
      </c>
      <c r="C48" s="4" t="s">
        <v>63</v>
      </c>
      <c r="D48" s="10" t="s">
        <v>37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315</v>
      </c>
      <c r="C49" s="4" t="s">
        <v>63</v>
      </c>
      <c r="D49" s="10" t="s">
        <v>24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316</v>
      </c>
      <c r="C50" s="4" t="s">
        <v>63</v>
      </c>
      <c r="D50" s="10" t="s">
        <v>24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317</v>
      </c>
      <c r="C51" s="4" t="s">
        <v>63</v>
      </c>
      <c r="D51" s="10" t="s">
        <v>24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33</v>
      </c>
      <c r="C52" s="21">
        <v>12</v>
      </c>
      <c r="D52" s="21"/>
      <c r="E52" s="93">
        <v>6101043.81325</v>
      </c>
      <c r="F52" s="322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2"/>
      <c r="F53" s="233"/>
      <c r="G53" s="13"/>
    </row>
    <row r="54" customHeight="1" spans="1:7">
      <c r="A54" s="10"/>
      <c r="B54" s="20" t="s">
        <v>318</v>
      </c>
      <c r="C54" s="21"/>
      <c r="D54" s="21"/>
      <c r="E54" s="312"/>
      <c r="F54" s="233"/>
      <c r="G54" s="13"/>
    </row>
    <row r="55" customHeight="1" spans="1:7">
      <c r="A55" s="10">
        <v>1</v>
      </c>
      <c r="B55" s="11" t="s">
        <v>319</v>
      </c>
      <c r="C55" s="12" t="s">
        <v>320</v>
      </c>
      <c r="D55" s="15" t="s">
        <v>297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321</v>
      </c>
      <c r="C56" s="12" t="s">
        <v>322</v>
      </c>
      <c r="D56" s="15" t="s">
        <v>222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33</v>
      </c>
      <c r="C57" s="21">
        <v>2</v>
      </c>
      <c r="D57" s="21"/>
      <c r="E57" s="93">
        <v>1486346.1135</v>
      </c>
      <c r="F57" s="322">
        <f>SUM(F55:F56)</f>
        <v>743173.05675</v>
      </c>
      <c r="G57" s="13"/>
    </row>
    <row r="58" customHeight="1" spans="1:7">
      <c r="A58" s="10"/>
      <c r="B58" s="20"/>
      <c r="C58" s="21"/>
      <c r="D58" s="21"/>
      <c r="E58" s="312"/>
      <c r="F58" s="233"/>
      <c r="G58" s="13"/>
    </row>
    <row r="59" customHeight="1" spans="1:7">
      <c r="A59" s="10"/>
      <c r="B59" s="20" t="s">
        <v>44</v>
      </c>
      <c r="C59" s="21"/>
      <c r="D59" s="21"/>
      <c r="E59" s="312"/>
      <c r="F59" s="233"/>
      <c r="G59" s="13"/>
    </row>
    <row r="60" customHeight="1" spans="1:7">
      <c r="A60" s="10">
        <v>1</v>
      </c>
      <c r="B60" s="11" t="s">
        <v>323</v>
      </c>
      <c r="C60" s="17" t="s">
        <v>324</v>
      </c>
      <c r="D60" s="10" t="s">
        <v>297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325</v>
      </c>
      <c r="C61" s="17" t="s">
        <v>326</v>
      </c>
      <c r="D61" s="15" t="s">
        <v>952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328</v>
      </c>
      <c r="C62" s="4" t="s">
        <v>256</v>
      </c>
      <c r="D62" s="10" t="s">
        <v>260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329</v>
      </c>
      <c r="C63" s="17" t="s">
        <v>46</v>
      </c>
      <c r="D63" s="15" t="s">
        <v>950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330</v>
      </c>
      <c r="C64" s="17" t="s">
        <v>256</v>
      </c>
      <c r="D64" s="15" t="s">
        <v>257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331</v>
      </c>
      <c r="C65" s="4" t="s">
        <v>63</v>
      </c>
      <c r="D65" s="10" t="s">
        <v>41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333</v>
      </c>
      <c r="C66" s="17" t="s">
        <v>275</v>
      </c>
      <c r="D66" s="15" t="s">
        <v>41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334</v>
      </c>
      <c r="C67" s="17" t="s">
        <v>275</v>
      </c>
      <c r="D67" s="15" t="s">
        <v>41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335</v>
      </c>
      <c r="C68" s="4" t="s">
        <v>336</v>
      </c>
      <c r="D68" s="10" t="s">
        <v>332</v>
      </c>
      <c r="E68" s="219">
        <v>322454.074</v>
      </c>
      <c r="F68" s="231">
        <f t="shared" si="3"/>
        <v>161227.037</v>
      </c>
      <c r="G68" s="13"/>
    </row>
    <row r="69" ht="21.6" customHeight="1" spans="1:6">
      <c r="A69" s="10">
        <v>11</v>
      </c>
      <c r="B69" s="11" t="s">
        <v>337</v>
      </c>
      <c r="C69" s="4" t="s">
        <v>63</v>
      </c>
      <c r="D69" s="10" t="s">
        <v>37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281</v>
      </c>
      <c r="C70" s="17" t="s">
        <v>273</v>
      </c>
      <c r="D70" s="10" t="s">
        <v>283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33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2"/>
      <c r="F72" s="233"/>
      <c r="G72" s="13"/>
    </row>
    <row r="73" customHeight="1" spans="1:7">
      <c r="A73" s="10"/>
      <c r="B73" s="20" t="s">
        <v>51</v>
      </c>
      <c r="C73" s="21"/>
      <c r="D73" s="21"/>
      <c r="E73" s="312"/>
      <c r="F73" s="233"/>
      <c r="G73" s="13"/>
    </row>
    <row r="74" customHeight="1" spans="1:7">
      <c r="A74" s="10">
        <v>1</v>
      </c>
      <c r="B74" s="11" t="s">
        <v>338</v>
      </c>
      <c r="C74" s="4" t="s">
        <v>339</v>
      </c>
      <c r="D74" s="10" t="s">
        <v>297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220</v>
      </c>
      <c r="C75" s="4" t="s">
        <v>221</v>
      </c>
      <c r="D75" s="15" t="s">
        <v>952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223</v>
      </c>
      <c r="C76" s="12" t="s">
        <v>224</v>
      </c>
      <c r="D76" s="10" t="s">
        <v>222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340</v>
      </c>
      <c r="C77" s="4" t="s">
        <v>341</v>
      </c>
      <c r="D77" s="15" t="s">
        <v>260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343</v>
      </c>
      <c r="C78" s="4" t="s">
        <v>344</v>
      </c>
      <c r="D78" s="10" t="s">
        <v>301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346</v>
      </c>
      <c r="C79" s="4" t="s">
        <v>344</v>
      </c>
      <c r="D79" s="10" t="s">
        <v>24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347</v>
      </c>
      <c r="C80" s="4" t="s">
        <v>348</v>
      </c>
      <c r="D80" s="10" t="s">
        <v>30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33</v>
      </c>
      <c r="C81" s="21">
        <v>7</v>
      </c>
      <c r="D81" s="21"/>
      <c r="E81" s="93">
        <v>3129988.9545</v>
      </c>
      <c r="F81" s="322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2"/>
      <c r="F82" s="231"/>
      <c r="G82" s="13"/>
    </row>
    <row r="83" customHeight="1" spans="1:7">
      <c r="A83" s="10"/>
      <c r="B83" s="20" t="s">
        <v>56</v>
      </c>
      <c r="C83" s="25"/>
      <c r="D83" s="21"/>
      <c r="E83" s="312"/>
      <c r="F83" s="231"/>
      <c r="G83" s="13"/>
    </row>
    <row r="84" customHeight="1" spans="1:7">
      <c r="A84" s="10">
        <v>1</v>
      </c>
      <c r="B84" s="11" t="s">
        <v>349</v>
      </c>
      <c r="C84" s="4" t="s">
        <v>310</v>
      </c>
      <c r="D84" s="10" t="s">
        <v>249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350</v>
      </c>
      <c r="C85" s="4" t="s">
        <v>310</v>
      </c>
      <c r="D85" s="10" t="s">
        <v>249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386</v>
      </c>
      <c r="C86" s="4" t="s">
        <v>310</v>
      </c>
      <c r="D86" s="10" t="s">
        <v>228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351</v>
      </c>
      <c r="C87" s="4" t="s">
        <v>310</v>
      </c>
      <c r="D87" s="10" t="s">
        <v>228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352</v>
      </c>
      <c r="C88" s="4" t="s">
        <v>353</v>
      </c>
      <c r="D88" s="15" t="s">
        <v>266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354</v>
      </c>
      <c r="C89" s="12" t="s">
        <v>46</v>
      </c>
      <c r="D89" s="15" t="s">
        <v>950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355</v>
      </c>
      <c r="C90" s="12" t="s">
        <v>256</v>
      </c>
      <c r="D90" s="15" t="s">
        <v>356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357</v>
      </c>
      <c r="C91" s="17" t="s">
        <v>275</v>
      </c>
      <c r="D91" s="15" t="s">
        <v>41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358</v>
      </c>
      <c r="C92" s="17" t="s">
        <v>275</v>
      </c>
      <c r="D92" s="15" t="s">
        <v>41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359</v>
      </c>
      <c r="C93" s="4" t="s">
        <v>360</v>
      </c>
      <c r="D93" s="10" t="s">
        <v>37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361</v>
      </c>
      <c r="C94" s="17" t="s">
        <v>362</v>
      </c>
      <c r="D94" s="15" t="s">
        <v>294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33</v>
      </c>
      <c r="C95" s="21">
        <v>11</v>
      </c>
      <c r="D95" s="21"/>
      <c r="E95" s="93">
        <v>4407943.38225</v>
      </c>
      <c r="F95" s="322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2"/>
      <c r="F96" s="233"/>
      <c r="G96" s="13"/>
    </row>
    <row r="97" customHeight="1" spans="1:7">
      <c r="A97" s="10"/>
      <c r="B97" s="20" t="s">
        <v>58</v>
      </c>
      <c r="C97" s="21"/>
      <c r="D97" s="21"/>
      <c r="E97" s="312"/>
      <c r="F97" s="233"/>
      <c r="G97" s="13"/>
    </row>
    <row r="98" customHeight="1" spans="1:7">
      <c r="A98" s="10">
        <v>1</v>
      </c>
      <c r="B98" s="14" t="s">
        <v>363</v>
      </c>
      <c r="C98" s="4" t="s">
        <v>364</v>
      </c>
      <c r="D98" s="16" t="s">
        <v>308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366</v>
      </c>
      <c r="C99" s="4" t="s">
        <v>367</v>
      </c>
      <c r="D99" s="15" t="s">
        <v>260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368</v>
      </c>
      <c r="C100" s="4" t="s">
        <v>369</v>
      </c>
      <c r="D100" s="15" t="s">
        <v>332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370</v>
      </c>
      <c r="C101" s="4" t="s">
        <v>371</v>
      </c>
      <c r="D101" s="15" t="s">
        <v>37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33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2"/>
      <c r="F103" s="233"/>
      <c r="G103" s="13"/>
    </row>
    <row r="104" customHeight="1" spans="1:7">
      <c r="A104" s="4"/>
      <c r="B104" s="20" t="s">
        <v>372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373</v>
      </c>
      <c r="C105" s="12" t="s">
        <v>374</v>
      </c>
      <c r="D105" s="15" t="s">
        <v>297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375</v>
      </c>
      <c r="C106" s="4" t="s">
        <v>376</v>
      </c>
      <c r="D106" s="16" t="s">
        <v>308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377</v>
      </c>
      <c r="C107" s="4" t="s">
        <v>378</v>
      </c>
      <c r="D107" s="10" t="s">
        <v>263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379</v>
      </c>
      <c r="C108" s="4" t="s">
        <v>378</v>
      </c>
      <c r="D108" s="10" t="s">
        <v>263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380</v>
      </c>
      <c r="C109" s="4" t="s">
        <v>381</v>
      </c>
      <c r="D109" s="15" t="s">
        <v>384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383</v>
      </c>
      <c r="C110" s="4" t="s">
        <v>381</v>
      </c>
      <c r="D110" s="10" t="s">
        <v>945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385</v>
      </c>
      <c r="C111" s="4" t="s">
        <v>381</v>
      </c>
      <c r="D111" s="15" t="s">
        <v>294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33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61</v>
      </c>
      <c r="C114" s="21"/>
      <c r="D114" s="21"/>
      <c r="E114" s="312"/>
      <c r="F114" s="233"/>
      <c r="G114" s="13"/>
    </row>
    <row r="115" ht="18.75" customHeight="1" spans="1:7">
      <c r="A115" s="10">
        <v>1</v>
      </c>
      <c r="B115" s="11" t="s">
        <v>387</v>
      </c>
      <c r="C115" s="4" t="s">
        <v>388</v>
      </c>
      <c r="D115" s="15" t="s">
        <v>332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389</v>
      </c>
      <c r="C116" s="12" t="s">
        <v>390</v>
      </c>
      <c r="D116" s="15" t="s">
        <v>271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33</v>
      </c>
      <c r="C117" s="21">
        <v>2</v>
      </c>
      <c r="D117" s="26"/>
      <c r="E117" s="93">
        <v>790446.845870968</v>
      </c>
      <c r="F117" s="322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67</v>
      </c>
      <c r="C119" s="21"/>
      <c r="D119" s="21"/>
      <c r="E119" s="312"/>
      <c r="F119" s="231"/>
      <c r="G119" s="13"/>
    </row>
    <row r="120" customHeight="1" spans="1:7">
      <c r="A120" s="4">
        <v>1</v>
      </c>
      <c r="B120" s="11" t="s">
        <v>392</v>
      </c>
      <c r="C120" s="12" t="s">
        <v>393</v>
      </c>
      <c r="D120" s="15" t="s">
        <v>297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128</v>
      </c>
      <c r="C121" s="12" t="s">
        <v>394</v>
      </c>
      <c r="D121" s="15" t="s">
        <v>946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395</v>
      </c>
      <c r="C122" s="12" t="s">
        <v>227</v>
      </c>
      <c r="D122" s="15" t="s">
        <v>249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226</v>
      </c>
      <c r="C123" s="12" t="s">
        <v>227</v>
      </c>
      <c r="D123" s="15" t="s">
        <v>228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396</v>
      </c>
      <c r="C124" s="12" t="s">
        <v>397</v>
      </c>
      <c r="D124" s="15" t="s">
        <v>342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398</v>
      </c>
      <c r="C125" s="12" t="s">
        <v>399</v>
      </c>
      <c r="D125" s="15" t="s">
        <v>260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400</v>
      </c>
      <c r="C126" s="12" t="s">
        <v>397</v>
      </c>
      <c r="D126" s="15" t="s">
        <v>260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401</v>
      </c>
      <c r="C127" s="12" t="s">
        <v>402</v>
      </c>
      <c r="D127" s="10" t="s">
        <v>283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403</v>
      </c>
      <c r="C128" s="12" t="s">
        <v>404</v>
      </c>
      <c r="D128" s="15" t="s">
        <v>30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405</v>
      </c>
      <c r="C129" s="12" t="s">
        <v>69</v>
      </c>
      <c r="D129" s="15" t="s">
        <v>30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33</v>
      </c>
      <c r="C130" s="26" t="s">
        <v>406</v>
      </c>
      <c r="D130" s="15"/>
      <c r="E130" s="14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2"/>
      <c r="F131" s="233"/>
      <c r="G131" s="13"/>
    </row>
    <row r="132" customHeight="1" spans="1:7">
      <c r="A132" s="4"/>
      <c r="B132" s="20" t="s">
        <v>71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407</v>
      </c>
      <c r="C133" s="12" t="s">
        <v>408</v>
      </c>
      <c r="D133" s="15" t="s">
        <v>297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229</v>
      </c>
      <c r="C134" s="12" t="s">
        <v>230</v>
      </c>
      <c r="D134" s="15" t="s">
        <v>231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409</v>
      </c>
      <c r="C135" s="4" t="s">
        <v>410</v>
      </c>
      <c r="D135" s="16" t="s">
        <v>308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411</v>
      </c>
      <c r="C136" s="12" t="s">
        <v>412</v>
      </c>
      <c r="D136" s="15" t="s">
        <v>257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413</v>
      </c>
      <c r="C137" s="4" t="s">
        <v>414</v>
      </c>
      <c r="D137" s="15" t="s">
        <v>257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415</v>
      </c>
      <c r="C138" s="4" t="s">
        <v>414</v>
      </c>
      <c r="D138" s="15" t="s">
        <v>257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416</v>
      </c>
      <c r="C139" s="12" t="s">
        <v>417</v>
      </c>
      <c r="D139" s="15" t="s">
        <v>271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418</v>
      </c>
      <c r="C140" s="12" t="s">
        <v>417</v>
      </c>
      <c r="D140" s="15" t="s">
        <v>271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419</v>
      </c>
      <c r="C141" s="4" t="s">
        <v>420</v>
      </c>
      <c r="D141" s="15" t="s">
        <v>271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421</v>
      </c>
      <c r="C142" s="12" t="s">
        <v>422</v>
      </c>
      <c r="D142" s="15" t="s">
        <v>332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423</v>
      </c>
      <c r="C143" s="12" t="s">
        <v>424</v>
      </c>
      <c r="D143" s="15" t="s">
        <v>41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425</v>
      </c>
      <c r="C144" s="12" t="s">
        <v>426</v>
      </c>
      <c r="D144" s="15" t="s">
        <v>271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427</v>
      </c>
      <c r="C145" s="4" t="s">
        <v>428</v>
      </c>
      <c r="D145" s="15" t="s">
        <v>41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429</v>
      </c>
      <c r="C146" s="4" t="s">
        <v>430</v>
      </c>
      <c r="D146" s="15" t="s">
        <v>301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431</v>
      </c>
      <c r="C147" s="4" t="s">
        <v>430</v>
      </c>
      <c r="D147" s="15" t="s">
        <v>345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433</v>
      </c>
      <c r="C148" s="4" t="s">
        <v>430</v>
      </c>
      <c r="D148" s="15" t="s">
        <v>345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434</v>
      </c>
      <c r="C149" s="12" t="s">
        <v>435</v>
      </c>
      <c r="D149" s="15" t="s">
        <v>37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953</v>
      </c>
      <c r="C150" s="12" t="s">
        <v>437</v>
      </c>
      <c r="D150" s="10" t="s">
        <v>24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438</v>
      </c>
      <c r="C151" s="12" t="s">
        <v>439</v>
      </c>
      <c r="D151" s="15" t="s">
        <v>301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440</v>
      </c>
      <c r="C152" s="12" t="s">
        <v>441</v>
      </c>
      <c r="D152" s="15" t="s">
        <v>283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442</v>
      </c>
      <c r="C153" s="12" t="s">
        <v>443</v>
      </c>
      <c r="D153" s="15" t="s">
        <v>301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444</v>
      </c>
      <c r="C154" s="12" t="s">
        <v>445</v>
      </c>
      <c r="D154" s="15" t="s">
        <v>283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446</v>
      </c>
      <c r="C155" s="12" t="s">
        <v>447</v>
      </c>
      <c r="D155" s="15" t="s">
        <v>24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448</v>
      </c>
      <c r="C156" s="12" t="s">
        <v>449</v>
      </c>
      <c r="D156" s="15" t="s">
        <v>30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450</v>
      </c>
      <c r="C157" s="12" t="s">
        <v>451</v>
      </c>
      <c r="D157" s="15" t="s">
        <v>30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452</v>
      </c>
      <c r="C158" s="12" t="s">
        <v>453</v>
      </c>
      <c r="D158" s="15" t="s">
        <v>30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454</v>
      </c>
      <c r="C159" s="12" t="s">
        <v>455</v>
      </c>
      <c r="D159" s="15" t="s">
        <v>294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456</v>
      </c>
      <c r="C160" s="12" t="s">
        <v>451</v>
      </c>
      <c r="D160" s="15" t="s">
        <v>30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457</v>
      </c>
      <c r="C161" s="12" t="s">
        <v>458</v>
      </c>
      <c r="D161" s="15" t="s">
        <v>465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460</v>
      </c>
      <c r="C162" s="12" t="s">
        <v>458</v>
      </c>
      <c r="D162" s="15" t="s">
        <v>465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461</v>
      </c>
      <c r="C163" s="12" t="s">
        <v>458</v>
      </c>
      <c r="D163" s="15" t="s">
        <v>465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462</v>
      </c>
      <c r="C164" s="12" t="s">
        <v>458</v>
      </c>
      <c r="D164" s="15" t="s">
        <v>465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463</v>
      </c>
      <c r="C165" s="12" t="s">
        <v>458</v>
      </c>
      <c r="D165" s="15" t="s">
        <v>465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464</v>
      </c>
      <c r="C166" s="12" t="s">
        <v>458</v>
      </c>
      <c r="D166" s="15" t="s">
        <v>476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466</v>
      </c>
      <c r="C167" s="12" t="s">
        <v>458</v>
      </c>
      <c r="D167" s="15" t="s">
        <v>476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467</v>
      </c>
      <c r="C168" s="12" t="s">
        <v>458</v>
      </c>
      <c r="D168" s="15" t="s">
        <v>476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468</v>
      </c>
      <c r="C169" s="12" t="s">
        <v>458</v>
      </c>
      <c r="D169" s="15" t="s">
        <v>476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469</v>
      </c>
      <c r="C170" s="12" t="s">
        <v>458</v>
      </c>
      <c r="D170" s="15" t="s">
        <v>476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470</v>
      </c>
      <c r="C171" s="12" t="s">
        <v>458</v>
      </c>
      <c r="D171" s="15" t="s">
        <v>476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471</v>
      </c>
      <c r="C172" s="12" t="s">
        <v>472</v>
      </c>
      <c r="D172" s="15" t="s">
        <v>473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474</v>
      </c>
      <c r="C173" s="12" t="s">
        <v>472</v>
      </c>
      <c r="D173" s="15" t="s">
        <v>473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475</v>
      </c>
      <c r="C174" s="12" t="s">
        <v>472</v>
      </c>
      <c r="D174" s="15" t="s">
        <v>473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477</v>
      </c>
      <c r="C175" s="12" t="s">
        <v>478</v>
      </c>
      <c r="D175" s="15" t="s">
        <v>954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480</v>
      </c>
      <c r="C176" s="12" t="s">
        <v>481</v>
      </c>
      <c r="D176" s="15" t="s">
        <v>955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483</v>
      </c>
      <c r="C177" s="12" t="s">
        <v>481</v>
      </c>
      <c r="D177" s="15" t="s">
        <v>955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484</v>
      </c>
      <c r="C178" s="12" t="s">
        <v>481</v>
      </c>
      <c r="D178" s="15" t="s">
        <v>955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485</v>
      </c>
      <c r="C179" s="12" t="s">
        <v>481</v>
      </c>
      <c r="D179" s="15" t="s">
        <v>955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486</v>
      </c>
      <c r="C180" s="12" t="s">
        <v>481</v>
      </c>
      <c r="D180" s="15" t="s">
        <v>955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487</v>
      </c>
      <c r="C181" s="12" t="s">
        <v>481</v>
      </c>
      <c r="D181" s="15" t="s">
        <v>955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488</v>
      </c>
      <c r="C182" s="12" t="s">
        <v>481</v>
      </c>
      <c r="D182" s="15" t="s">
        <v>955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489</v>
      </c>
      <c r="C183" s="12" t="s">
        <v>478</v>
      </c>
      <c r="D183" s="15" t="s">
        <v>955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490</v>
      </c>
      <c r="C184" s="12" t="s">
        <v>478</v>
      </c>
      <c r="D184" s="15" t="s">
        <v>955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491</v>
      </c>
      <c r="C185" s="12" t="s">
        <v>172</v>
      </c>
      <c r="D185" s="15" t="s">
        <v>502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493</v>
      </c>
      <c r="C186" s="12" t="s">
        <v>481</v>
      </c>
      <c r="D186" s="15" t="s">
        <v>956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495</v>
      </c>
      <c r="C187" s="12" t="s">
        <v>496</v>
      </c>
      <c r="D187" s="15" t="s">
        <v>957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498</v>
      </c>
      <c r="C188" s="12" t="s">
        <v>496</v>
      </c>
      <c r="D188" s="15" t="s">
        <v>957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499</v>
      </c>
      <c r="C189" s="12" t="s">
        <v>496</v>
      </c>
      <c r="D189" s="15" t="s">
        <v>957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500</v>
      </c>
      <c r="C190" s="12" t="s">
        <v>501</v>
      </c>
      <c r="D190" s="15" t="s">
        <v>173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503</v>
      </c>
      <c r="C191" s="12" t="s">
        <v>501</v>
      </c>
      <c r="D191" s="15" t="s">
        <v>173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33</v>
      </c>
      <c r="C192" s="28" t="s">
        <v>504</v>
      </c>
      <c r="D192" s="29"/>
      <c r="E192" s="93">
        <v>11195475.7585</v>
      </c>
      <c r="F192" s="322">
        <f>SUM(F133:F191)</f>
        <v>5597737.87925</v>
      </c>
      <c r="G192" s="13"/>
    </row>
    <row r="193" ht="19.5" customHeight="1" spans="1:7">
      <c r="A193" s="4"/>
      <c r="B193" s="30" t="s">
        <v>80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2:7">
      <c r="B194" s="33"/>
      <c r="D194" s="34"/>
      <c r="E194" s="228"/>
      <c r="F194" s="229"/>
      <c r="G194" s="35"/>
    </row>
    <row r="195" ht="36.75" customHeight="1" spans="2:6">
      <c r="B195" s="33"/>
      <c r="C195" s="34"/>
      <c r="D195" s="34"/>
      <c r="E195" s="228"/>
      <c r="F195" s="35"/>
    </row>
    <row r="198" customHeight="1" spans="5:5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934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566</v>
      </c>
      <c r="H4" s="24" t="s">
        <v>567</v>
      </c>
      <c r="I4" s="218" t="s">
        <v>568</v>
      </c>
      <c r="J4" s="24" t="s">
        <v>569</v>
      </c>
      <c r="K4" s="24" t="s">
        <v>570</v>
      </c>
      <c r="L4" s="24" t="s">
        <v>571</v>
      </c>
      <c r="M4" s="218" t="s">
        <v>7</v>
      </c>
      <c r="N4" s="218" t="s">
        <v>7</v>
      </c>
      <c r="O4" s="24" t="s">
        <v>572</v>
      </c>
      <c r="P4" s="24" t="s">
        <v>572</v>
      </c>
      <c r="Q4" s="218" t="s">
        <v>8</v>
      </c>
      <c r="R4" s="334" t="s">
        <v>9</v>
      </c>
      <c r="S4" s="24" t="s">
        <v>14</v>
      </c>
      <c r="T4" s="347" t="s">
        <v>16</v>
      </c>
      <c r="U4" s="80" t="s">
        <v>960</v>
      </c>
      <c r="V4" s="321" t="s">
        <v>961</v>
      </c>
      <c r="W4" s="80" t="s">
        <v>147</v>
      </c>
      <c r="X4" s="321" t="s">
        <v>197</v>
      </c>
    </row>
    <row r="5" ht="17.25" customHeight="1" spans="3:24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8" t="s">
        <v>19</v>
      </c>
      <c r="T5" s="82"/>
      <c r="U5" s="82"/>
      <c r="V5" s="230"/>
      <c r="W5" s="82"/>
      <c r="X5" s="230"/>
    </row>
    <row r="6" customHeight="1" spans="1:24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>
        <v>3</v>
      </c>
      <c r="B7" s="11" t="s">
        <v>261</v>
      </c>
      <c r="C7" s="4" t="s">
        <v>262</v>
      </c>
      <c r="D7" s="10" t="s">
        <v>263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35">
        <f>V7*W7</f>
        <v>284617.0175</v>
      </c>
    </row>
    <row r="8" ht="26.25" customHeight="1" spans="1:25">
      <c r="A8" s="10"/>
      <c r="B8" s="20" t="s">
        <v>33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349"/>
      <c r="S9" s="311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962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9"/>
      <c r="T10" s="85"/>
      <c r="U10" s="85"/>
      <c r="V10" s="231"/>
      <c r="W10" s="85"/>
      <c r="X10" s="231"/>
      <c r="Y10" s="13"/>
    </row>
    <row r="11" ht="21.6" customHeight="1" spans="1:24">
      <c r="A11" s="10">
        <v>10</v>
      </c>
      <c r="B11" s="11" t="s">
        <v>337</v>
      </c>
      <c r="C11" s="4" t="s">
        <v>63</v>
      </c>
      <c r="D11" s="10" t="s">
        <v>37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33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3"/>
      <c r="T13" s="146"/>
      <c r="U13" s="85"/>
      <c r="V13" s="231"/>
      <c r="W13" s="146"/>
      <c r="X13" s="231"/>
      <c r="Y13" s="13"/>
    </row>
    <row r="14" ht="19.5" customHeight="1" spans="1:25">
      <c r="A14" s="4"/>
      <c r="B14" s="30" t="s">
        <v>80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2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18"/>
      <c r="T15" s="229"/>
      <c r="U15" s="229"/>
      <c r="V15" s="229"/>
      <c r="W15" s="229"/>
      <c r="X15" s="229"/>
      <c r="Y15" s="35"/>
    </row>
    <row r="16" ht="36.75" customHeight="1" spans="2:24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18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934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566</v>
      </c>
      <c r="H4" s="24" t="s">
        <v>567</v>
      </c>
      <c r="I4" s="218" t="s">
        <v>568</v>
      </c>
      <c r="J4" s="24" t="s">
        <v>569</v>
      </c>
      <c r="K4" s="24" t="s">
        <v>570</v>
      </c>
      <c r="L4" s="24" t="s">
        <v>571</v>
      </c>
      <c r="M4" s="218" t="s">
        <v>7</v>
      </c>
      <c r="N4" s="218" t="s">
        <v>7</v>
      </c>
      <c r="O4" s="24" t="s">
        <v>572</v>
      </c>
      <c r="P4" s="24" t="s">
        <v>572</v>
      </c>
      <c r="Q4" s="218" t="s">
        <v>8</v>
      </c>
      <c r="R4" s="334" t="s">
        <v>9</v>
      </c>
      <c r="S4" s="7" t="s">
        <v>936</v>
      </c>
      <c r="T4" s="306" t="s">
        <v>542</v>
      </c>
      <c r="U4" s="80" t="s">
        <v>937</v>
      </c>
      <c r="V4" s="80" t="s">
        <v>938</v>
      </c>
      <c r="W4" s="80" t="s">
        <v>939</v>
      </c>
      <c r="X4" s="80" t="s">
        <v>940</v>
      </c>
      <c r="Y4" s="80" t="s">
        <v>516</v>
      </c>
      <c r="Z4" s="319" t="s">
        <v>941</v>
      </c>
      <c r="AA4" s="320" t="s">
        <v>942</v>
      </c>
      <c r="AB4" s="80" t="s">
        <v>147</v>
      </c>
      <c r="AC4" s="321" t="s">
        <v>197</v>
      </c>
      <c r="AD4" s="321" t="s">
        <v>963</v>
      </c>
      <c r="AE4" s="321" t="s">
        <v>964</v>
      </c>
    </row>
    <row r="5" ht="17.25" customHeight="1" spans="3:24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8" t="s">
        <v>19</v>
      </c>
      <c r="T5" s="82"/>
      <c r="U5" s="82"/>
      <c r="V5" s="230"/>
      <c r="W5" s="82"/>
      <c r="X5" s="230"/>
    </row>
    <row r="6" customHeight="1" spans="1:24">
      <c r="A6" s="9" t="s">
        <v>20</v>
      </c>
      <c r="B6" s="8" t="s">
        <v>965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35"/>
    </row>
    <row r="8" s="326" customFormat="1" customHeight="1" spans="1:31">
      <c r="A8" s="327">
        <v>40</v>
      </c>
      <c r="B8" s="328" t="s">
        <v>471</v>
      </c>
      <c r="C8" s="329" t="s">
        <v>472</v>
      </c>
      <c r="D8" s="330" t="s">
        <v>473</v>
      </c>
      <c r="E8" s="331">
        <v>5428.12</v>
      </c>
      <c r="F8" s="332"/>
      <c r="G8" s="331">
        <f t="shared" ref="G8:G10" si="0">E8*300%</f>
        <v>16284.36</v>
      </c>
      <c r="H8" s="331">
        <f t="shared" ref="H8:H10" si="1">E8*7.5%</f>
        <v>407.109</v>
      </c>
      <c r="I8" s="331"/>
      <c r="J8" s="331">
        <f t="shared" ref="J8:J10" si="2">E8*50%</f>
        <v>2714.06</v>
      </c>
      <c r="K8" s="331">
        <f t="shared" ref="K8:K10" si="3">E8*350%</f>
        <v>18998.42</v>
      </c>
      <c r="L8" s="331">
        <f t="shared" ref="L8:L10" si="4">E8*100%</f>
        <v>5428.12</v>
      </c>
      <c r="M8" s="332"/>
      <c r="N8" s="332">
        <f>20000</f>
        <v>20000</v>
      </c>
      <c r="O8" s="331">
        <f t="shared" ref="O8:O10" si="5">E8*10%</f>
        <v>542.812</v>
      </c>
      <c r="P8" s="331">
        <v>5000</v>
      </c>
      <c r="Q8" s="331">
        <f>7000</f>
        <v>7000</v>
      </c>
      <c r="R8" s="331">
        <f t="shared" ref="R8:R10" si="6">SUM(E8:Q8)</f>
        <v>81803.001</v>
      </c>
      <c r="S8" s="336" t="s">
        <v>473</v>
      </c>
      <c r="T8" s="331">
        <f>122105</f>
        <v>122105</v>
      </c>
      <c r="U8" s="331">
        <f>T8-R8</f>
        <v>40301.999</v>
      </c>
      <c r="V8" s="331"/>
      <c r="W8" s="331"/>
      <c r="X8" s="85">
        <v>4365.33075466667</v>
      </c>
      <c r="Y8" s="331">
        <f>9152.6</f>
        <v>9152.6</v>
      </c>
      <c r="Z8" s="231">
        <f>Y8-X8</f>
        <v>4787.26924533333</v>
      </c>
      <c r="AA8" s="340">
        <f>U8-Z8</f>
        <v>35514.7297546667</v>
      </c>
      <c r="AB8" s="341">
        <f>(11/31)+3</f>
        <v>3.35483870967742</v>
      </c>
      <c r="AC8" s="342">
        <f>AA8*AB8</f>
        <v>119146.190144688</v>
      </c>
      <c r="AD8" s="62">
        <f>66227.57</f>
        <v>66227.57</v>
      </c>
      <c r="AE8" s="343">
        <f>AC8-AD8</f>
        <v>52918.6201446881</v>
      </c>
    </row>
    <row r="9" s="326" customFormat="1" customHeight="1" spans="1:31">
      <c r="A9" s="327">
        <v>41</v>
      </c>
      <c r="B9" s="328" t="s">
        <v>474</v>
      </c>
      <c r="C9" s="329" t="s">
        <v>472</v>
      </c>
      <c r="D9" s="330" t="s">
        <v>473</v>
      </c>
      <c r="E9" s="331">
        <v>5428.12</v>
      </c>
      <c r="F9" s="332"/>
      <c r="G9" s="331">
        <f t="shared" si="0"/>
        <v>16284.36</v>
      </c>
      <c r="H9" s="331">
        <f t="shared" si="1"/>
        <v>407.109</v>
      </c>
      <c r="I9" s="331"/>
      <c r="J9" s="331">
        <f t="shared" si="2"/>
        <v>2714.06</v>
      </c>
      <c r="K9" s="331">
        <f t="shared" si="3"/>
        <v>18998.42</v>
      </c>
      <c r="L9" s="331">
        <f t="shared" si="4"/>
        <v>5428.12</v>
      </c>
      <c r="M9" s="332"/>
      <c r="N9" s="332">
        <f>20000</f>
        <v>20000</v>
      </c>
      <c r="O9" s="331">
        <f t="shared" si="5"/>
        <v>542.812</v>
      </c>
      <c r="P9" s="331">
        <v>5000</v>
      </c>
      <c r="Q9" s="331">
        <f>7000</f>
        <v>7000</v>
      </c>
      <c r="R9" s="331">
        <f t="shared" si="6"/>
        <v>81803.001</v>
      </c>
      <c r="S9" s="336" t="s">
        <v>473</v>
      </c>
      <c r="T9" s="331">
        <f t="shared" ref="T9:T10" si="7">122105</f>
        <v>122105</v>
      </c>
      <c r="U9" s="331">
        <f t="shared" ref="U9:U10" si="8">T9-R9</f>
        <v>40301.999</v>
      </c>
      <c r="V9" s="331"/>
      <c r="W9" s="331"/>
      <c r="X9" s="85">
        <f>4365.33075466667</f>
        <v>4365.33075466667</v>
      </c>
      <c r="Y9" s="331">
        <f t="shared" ref="Y9:Y10" si="9">9152.6</f>
        <v>9152.6</v>
      </c>
      <c r="Z9" s="231">
        <f t="shared" ref="Z9:Z10" si="10">Y9-X9</f>
        <v>4787.26924533333</v>
      </c>
      <c r="AA9" s="340">
        <f t="shared" ref="AA9:AA10" si="11">U9-Z9</f>
        <v>35514.7297546667</v>
      </c>
      <c r="AB9" s="341">
        <f>(17/31)+2</f>
        <v>2.54838709677419</v>
      </c>
      <c r="AC9" s="342">
        <f t="shared" ref="AC9:AC10" si="12">AA9*AB9</f>
        <v>90505.279052215</v>
      </c>
      <c r="AD9" s="231">
        <v>44151.71</v>
      </c>
      <c r="AE9" s="343">
        <f t="shared" ref="AE9:AE10" si="13">AC9-AD9</f>
        <v>46353.569052215</v>
      </c>
    </row>
    <row r="10" s="326" customFormat="1" customHeight="1" spans="1:31">
      <c r="A10" s="327">
        <v>42</v>
      </c>
      <c r="B10" s="333" t="s">
        <v>475</v>
      </c>
      <c r="C10" s="329" t="s">
        <v>472</v>
      </c>
      <c r="D10" s="330" t="s">
        <v>473</v>
      </c>
      <c r="E10" s="331">
        <v>5598.92</v>
      </c>
      <c r="F10" s="332"/>
      <c r="G10" s="331">
        <f t="shared" si="0"/>
        <v>16796.76</v>
      </c>
      <c r="H10" s="331">
        <f t="shared" si="1"/>
        <v>419.919</v>
      </c>
      <c r="I10" s="331"/>
      <c r="J10" s="331">
        <f t="shared" si="2"/>
        <v>2799.46</v>
      </c>
      <c r="K10" s="331">
        <f t="shared" si="3"/>
        <v>19596.22</v>
      </c>
      <c r="L10" s="331">
        <f t="shared" si="4"/>
        <v>5598.92</v>
      </c>
      <c r="M10" s="332"/>
      <c r="N10" s="332">
        <f>20000</f>
        <v>20000</v>
      </c>
      <c r="O10" s="331">
        <f t="shared" si="5"/>
        <v>559.892</v>
      </c>
      <c r="P10" s="331">
        <v>5000</v>
      </c>
      <c r="Q10" s="331">
        <f>7000</f>
        <v>7000</v>
      </c>
      <c r="R10" s="331">
        <f t="shared" si="6"/>
        <v>83370.091</v>
      </c>
      <c r="S10" s="336" t="s">
        <v>473</v>
      </c>
      <c r="T10" s="331">
        <f t="shared" si="7"/>
        <v>122105</v>
      </c>
      <c r="U10" s="331">
        <f t="shared" si="8"/>
        <v>38734.909</v>
      </c>
      <c r="V10" s="331"/>
      <c r="W10" s="331"/>
      <c r="X10" s="85">
        <v>4504.41092</v>
      </c>
      <c r="Y10" s="331">
        <f t="shared" si="9"/>
        <v>9152.6</v>
      </c>
      <c r="Z10" s="231">
        <f t="shared" si="10"/>
        <v>4648.18908</v>
      </c>
      <c r="AA10" s="340">
        <f t="shared" si="11"/>
        <v>34086.71992</v>
      </c>
      <c r="AB10" s="341">
        <v>9</v>
      </c>
      <c r="AC10" s="342">
        <f t="shared" si="12"/>
        <v>306780.47928</v>
      </c>
      <c r="AD10" s="231">
        <v>216693.09</v>
      </c>
      <c r="AE10" s="343">
        <f t="shared" si="13"/>
        <v>90087.38928</v>
      </c>
    </row>
    <row r="11" s="326" customFormat="1" customHeight="1" spans="1:31">
      <c r="A11" s="327"/>
      <c r="B11" s="333"/>
      <c r="C11" s="329"/>
      <c r="D11" s="330"/>
      <c r="E11" s="331"/>
      <c r="F11" s="332"/>
      <c r="G11" s="331"/>
      <c r="H11" s="331"/>
      <c r="I11" s="331"/>
      <c r="J11" s="331"/>
      <c r="K11" s="331"/>
      <c r="L11" s="331"/>
      <c r="M11" s="332"/>
      <c r="N11" s="332"/>
      <c r="O11" s="331"/>
      <c r="P11" s="331"/>
      <c r="Q11" s="331"/>
      <c r="R11" s="331"/>
      <c r="S11" s="331"/>
      <c r="T11" s="331"/>
      <c r="U11" s="331"/>
      <c r="V11" s="331"/>
      <c r="W11" s="337"/>
      <c r="X11" s="338"/>
      <c r="Y11" s="337"/>
      <c r="Z11" s="344"/>
      <c r="AA11" s="345"/>
      <c r="AE11" s="346">
        <f>SUM(AE8:AE10)</f>
        <v>189359.578476903</v>
      </c>
    </row>
    <row r="12" ht="21.6" customHeight="1" spans="1:23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27">
      <c r="A13" s="327">
        <v>40</v>
      </c>
      <c r="B13" s="328" t="s">
        <v>471</v>
      </c>
      <c r="C13" s="329" t="s">
        <v>472</v>
      </c>
      <c r="D13" s="330" t="s">
        <v>473</v>
      </c>
      <c r="E13" s="331">
        <f>8730.79</f>
        <v>8730.79</v>
      </c>
      <c r="F13" s="332"/>
      <c r="G13" s="331">
        <f t="shared" ref="G13:G15" si="14">E13*300%</f>
        <v>26192.37</v>
      </c>
      <c r="H13" s="331">
        <f t="shared" ref="H13:H15" si="15">E13*7.5%</f>
        <v>654.80925</v>
      </c>
      <c r="I13" s="331"/>
      <c r="J13" s="331">
        <f t="shared" ref="J13:J15" si="16">E13*50%</f>
        <v>4365.395</v>
      </c>
      <c r="K13" s="331">
        <f t="shared" ref="K13:K15" si="17">E13*350%</f>
        <v>30557.765</v>
      </c>
      <c r="L13" s="331">
        <f t="shared" ref="L13:L15" si="18">E13*100%</f>
        <v>8730.79</v>
      </c>
      <c r="M13" s="332"/>
      <c r="N13" s="332">
        <v>30000</v>
      </c>
      <c r="O13" s="331">
        <f t="shared" ref="O13:O15" si="19">E13*10%</f>
        <v>873.079</v>
      </c>
      <c r="P13" s="331">
        <v>5000</v>
      </c>
      <c r="Q13" s="331">
        <f>7000</f>
        <v>7000</v>
      </c>
      <c r="R13" s="331">
        <f t="shared" ref="R13:R14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[9]PROMOTIONS!$X$42</f>
        <v>8312.59</v>
      </c>
      <c r="X13" s="339">
        <f t="shared" ref="X13:X15" si="21">W13+V13+U13+T13+S13</f>
        <v>43937.59</v>
      </c>
      <c r="Y13" s="331">
        <v>106043.967849548</v>
      </c>
      <c r="Z13" s="231">
        <f t="shared" ref="Z13:Z15" si="22">R13-X13</f>
        <v>78167.40825</v>
      </c>
      <c r="AA13" s="345"/>
    </row>
    <row r="14" s="326" customFormat="1" customHeight="1" spans="1:27">
      <c r="A14" s="327">
        <v>41</v>
      </c>
      <c r="B14" s="328" t="s">
        <v>474</v>
      </c>
      <c r="C14" s="329" t="s">
        <v>472</v>
      </c>
      <c r="D14" s="330" t="s">
        <v>473</v>
      </c>
      <c r="E14" s="331">
        <f t="shared" ref="E14:E15" si="23">8730.79</f>
        <v>8730.79</v>
      </c>
      <c r="F14" s="332"/>
      <c r="G14" s="331">
        <f t="shared" si="14"/>
        <v>26192.37</v>
      </c>
      <c r="H14" s="331">
        <f t="shared" si="15"/>
        <v>654.80925</v>
      </c>
      <c r="I14" s="331"/>
      <c r="J14" s="331">
        <f t="shared" si="16"/>
        <v>4365.395</v>
      </c>
      <c r="K14" s="331">
        <f t="shared" si="17"/>
        <v>30557.765</v>
      </c>
      <c r="L14" s="331">
        <f t="shared" si="18"/>
        <v>8730.79</v>
      </c>
      <c r="M14" s="332"/>
      <c r="N14" s="332">
        <v>30000</v>
      </c>
      <c r="O14" s="331">
        <f t="shared" si="19"/>
        <v>873.079</v>
      </c>
      <c r="P14" s="331">
        <v>5000</v>
      </c>
      <c r="Q14" s="331">
        <f>7000</f>
        <v>7000</v>
      </c>
      <c r="R14" s="331">
        <f t="shared" si="20"/>
        <v>122104.99825</v>
      </c>
      <c r="S14" s="331"/>
      <c r="T14" s="331">
        <v>20000</v>
      </c>
      <c r="U14" s="331">
        <v>18333.33</v>
      </c>
      <c r="V14" s="331"/>
      <c r="W14" s="331">
        <f>[9]PROMOTIONS!$X$42</f>
        <v>8312.59</v>
      </c>
      <c r="X14" s="339">
        <f t="shared" si="21"/>
        <v>46645.92</v>
      </c>
      <c r="Y14" s="331">
        <v>80609.4522330322</v>
      </c>
      <c r="Z14" s="231">
        <f t="shared" si="22"/>
        <v>75459.07825</v>
      </c>
      <c r="AA14" s="345"/>
    </row>
    <row r="15" s="326" customFormat="1" customHeight="1" spans="1:27">
      <c r="A15" s="327">
        <v>42</v>
      </c>
      <c r="B15" s="333" t="s">
        <v>475</v>
      </c>
      <c r="C15" s="329" t="s">
        <v>472</v>
      </c>
      <c r="D15" s="330" t="s">
        <v>473</v>
      </c>
      <c r="E15" s="331">
        <f t="shared" si="23"/>
        <v>8730.79</v>
      </c>
      <c r="F15" s="332"/>
      <c r="G15" s="331">
        <f t="shared" si="14"/>
        <v>26192.37</v>
      </c>
      <c r="H15" s="331">
        <f t="shared" si="15"/>
        <v>654.80925</v>
      </c>
      <c r="I15" s="331"/>
      <c r="J15" s="331">
        <f t="shared" si="16"/>
        <v>4365.395</v>
      </c>
      <c r="K15" s="331">
        <f t="shared" si="17"/>
        <v>30557.765</v>
      </c>
      <c r="L15" s="331">
        <f t="shared" si="18"/>
        <v>8730.79</v>
      </c>
      <c r="M15" s="332"/>
      <c r="N15" s="332">
        <v>30000</v>
      </c>
      <c r="O15" s="331">
        <f t="shared" si="19"/>
        <v>873.079</v>
      </c>
      <c r="P15" s="331">
        <v>5000</v>
      </c>
      <c r="Q15" s="331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[9]PROMOTIONS!$X$42</f>
        <v>8312.59</v>
      </c>
      <c r="X15" s="339">
        <f t="shared" si="21"/>
        <v>65312.59</v>
      </c>
      <c r="Y15" s="331">
        <v>239903.583693333</v>
      </c>
      <c r="Z15" s="231">
        <f t="shared" si="22"/>
        <v>56792.40825</v>
      </c>
      <c r="AA15" s="345"/>
    </row>
    <row r="16" ht="19.5" customHeight="1" spans="1:25">
      <c r="A16" s="4"/>
      <c r="B16" s="30" t="s">
        <v>80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2:25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18"/>
      <c r="T17" s="229"/>
      <c r="U17" s="229"/>
      <c r="V17" s="229"/>
      <c r="W17" s="229"/>
      <c r="X17" s="229"/>
      <c r="Y17" s="35"/>
    </row>
    <row r="18" ht="36.75" customHeight="1" spans="2:24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18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966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935</v>
      </c>
      <c r="E4" s="80" t="s">
        <v>5</v>
      </c>
      <c r="F4" s="21" t="s">
        <v>566</v>
      </c>
      <c r="G4" s="21" t="s">
        <v>567</v>
      </c>
      <c r="H4" s="80" t="s">
        <v>568</v>
      </c>
      <c r="I4" s="21" t="s">
        <v>569</v>
      </c>
      <c r="J4" s="21" t="s">
        <v>570</v>
      </c>
      <c r="K4" s="21" t="s">
        <v>571</v>
      </c>
      <c r="L4" s="80" t="s">
        <v>7</v>
      </c>
      <c r="M4" s="80" t="s">
        <v>7</v>
      </c>
      <c r="N4" s="21" t="s">
        <v>572</v>
      </c>
      <c r="O4" s="21" t="s">
        <v>572</v>
      </c>
      <c r="P4" s="80" t="s">
        <v>8</v>
      </c>
      <c r="Q4" s="306" t="s">
        <v>139</v>
      </c>
      <c r="R4" s="7" t="s">
        <v>936</v>
      </c>
      <c r="S4" s="306" t="s">
        <v>542</v>
      </c>
      <c r="T4" s="80" t="s">
        <v>937</v>
      </c>
      <c r="U4" s="80" t="s">
        <v>938</v>
      </c>
      <c r="V4" s="80" t="s">
        <v>939</v>
      </c>
      <c r="W4" s="80" t="s">
        <v>940</v>
      </c>
      <c r="X4" s="80" t="s">
        <v>516</v>
      </c>
      <c r="Y4" s="319" t="s">
        <v>941</v>
      </c>
      <c r="Z4" s="320" t="s">
        <v>942</v>
      </c>
      <c r="AA4" s="80" t="s">
        <v>147</v>
      </c>
      <c r="AB4" s="321" t="s">
        <v>197</v>
      </c>
    </row>
    <row r="5" ht="17.25" customHeight="1" spans="3:28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7" t="s">
        <v>19</v>
      </c>
      <c r="T5" s="82"/>
      <c r="U5" s="82" t="s">
        <v>19</v>
      </c>
      <c r="V5" s="82"/>
      <c r="W5" s="308" t="s">
        <v>19</v>
      </c>
      <c r="X5" s="82"/>
      <c r="Y5" s="82"/>
      <c r="Z5" s="230"/>
      <c r="AA5" s="82"/>
      <c r="AB5" s="230"/>
    </row>
    <row r="6" customHeight="1" spans="1:28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282</v>
      </c>
      <c r="C7" s="12" t="s">
        <v>967</v>
      </c>
      <c r="D7" s="15" t="s">
        <v>945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24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9">
        <v>18102.9027326667</v>
      </c>
      <c r="X7" s="85">
        <f>'[8]October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33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38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258</v>
      </c>
      <c r="C11" s="4" t="s">
        <v>353</v>
      </c>
      <c r="D11" s="10" t="s">
        <v>266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260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9">
        <v>49548.7761866667</v>
      </c>
      <c r="X11" s="85">
        <f>'[8]October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33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22">
        <f t="shared" si="8"/>
        <v>22769.90385</v>
      </c>
      <c r="AA12" s="93"/>
      <c r="AB12" s="322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2"/>
      <c r="T13" s="85">
        <f t="shared" si="0"/>
        <v>0</v>
      </c>
      <c r="U13" s="146"/>
      <c r="V13" s="146"/>
      <c r="W13" s="313"/>
      <c r="X13" s="146"/>
      <c r="Y13" s="85"/>
      <c r="Z13" s="231"/>
      <c r="AA13" s="146"/>
      <c r="AB13" s="231"/>
      <c r="AC13" s="13"/>
    </row>
    <row r="14" customHeight="1" spans="1:29">
      <c r="A14" s="10"/>
      <c r="B14" s="20" t="s">
        <v>44</v>
      </c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si="0"/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10">
        <v>3</v>
      </c>
      <c r="B15" s="14" t="s">
        <v>386</v>
      </c>
      <c r="C15" s="4" t="s">
        <v>256</v>
      </c>
      <c r="D15" s="10" t="s">
        <v>254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228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9">
        <v>59441.7820426667</v>
      </c>
      <c r="X15" s="85">
        <f>'[8]October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328</v>
      </c>
      <c r="C16" s="4" t="s">
        <v>46</v>
      </c>
      <c r="D16" s="10" t="s">
        <v>266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260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9">
        <v>49548.7761866667</v>
      </c>
      <c r="X16" s="85">
        <f>'[8]October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33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22">
        <f t="shared" si="11"/>
        <v>89978.6829826669</v>
      </c>
      <c r="AA17" s="93"/>
      <c r="AB17" s="322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46"/>
      <c r="F18" s="146"/>
      <c r="G18" s="146"/>
      <c r="H18" s="146"/>
      <c r="I18" s="146"/>
      <c r="J18" s="146"/>
      <c r="K18" s="146"/>
      <c r="L18" s="220"/>
      <c r="M18" s="220"/>
      <c r="N18" s="146"/>
      <c r="O18" s="146"/>
      <c r="P18" s="146"/>
      <c r="Q18" s="312"/>
      <c r="R18" s="21"/>
      <c r="S18" s="312"/>
      <c r="T18" s="85"/>
      <c r="U18" s="146"/>
      <c r="V18" s="146"/>
      <c r="W18" s="313"/>
      <c r="X18" s="146"/>
      <c r="Y18" s="85">
        <f t="shared" si="4"/>
        <v>0</v>
      </c>
      <c r="Z18" s="231">
        <f t="shared" si="5"/>
        <v>0</v>
      </c>
      <c r="AA18" s="146"/>
      <c r="AB18" s="231">
        <f t="shared" si="6"/>
        <v>0</v>
      </c>
      <c r="AC18" s="13"/>
    </row>
    <row r="19" customHeight="1" spans="1:29">
      <c r="A19" s="10"/>
      <c r="B19" s="20" t="s">
        <v>51</v>
      </c>
      <c r="C19" s="21"/>
      <c r="D19" s="21"/>
      <c r="E19" s="146"/>
      <c r="F19" s="146"/>
      <c r="G19" s="146"/>
      <c r="H19" s="146"/>
      <c r="I19" s="146"/>
      <c r="J19" s="146"/>
      <c r="K19" s="146"/>
      <c r="L19" s="220"/>
      <c r="M19" s="220"/>
      <c r="N19" s="146"/>
      <c r="O19" s="146"/>
      <c r="P19" s="146"/>
      <c r="Q19" s="312"/>
      <c r="R19" s="21"/>
      <c r="S19" s="312"/>
      <c r="T19" s="85"/>
      <c r="U19" s="146"/>
      <c r="V19" s="146"/>
      <c r="W19" s="313"/>
      <c r="X19" s="146"/>
      <c r="Y19" s="85">
        <f t="shared" si="4"/>
        <v>0</v>
      </c>
      <c r="Z19" s="231">
        <f t="shared" si="5"/>
        <v>0</v>
      </c>
      <c r="AA19" s="146"/>
      <c r="AB19" s="231">
        <f t="shared" si="6"/>
        <v>0</v>
      </c>
      <c r="AC19" s="13"/>
    </row>
    <row r="20" customHeight="1" spans="1:29">
      <c r="A20" s="10">
        <v>5</v>
      </c>
      <c r="B20" s="11" t="s">
        <v>340</v>
      </c>
      <c r="C20" s="4" t="s">
        <v>968</v>
      </c>
      <c r="D20" s="15" t="s">
        <v>266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260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9">
        <v>49548.7761866667</v>
      </c>
      <c r="X20" s="85">
        <f>'[8]October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33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4">
        <f>SUM(W20:W20)</f>
        <v>49548.7761866667</v>
      </c>
      <c r="X21" s="314">
        <f t="shared" ref="X21:AB21" si="13">SUM(X20:X20)</f>
        <v>54931.2266666667</v>
      </c>
      <c r="Y21" s="314">
        <f t="shared" si="13"/>
        <v>5382.45048</v>
      </c>
      <c r="Z21" s="323">
        <f t="shared" si="13"/>
        <v>22651.14577</v>
      </c>
      <c r="AA21" s="314"/>
      <c r="AB21" s="323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46"/>
      <c r="F22" s="146"/>
      <c r="G22" s="146"/>
      <c r="H22" s="146"/>
      <c r="I22" s="146"/>
      <c r="J22" s="146"/>
      <c r="K22" s="146"/>
      <c r="L22" s="220"/>
      <c r="M22" s="220"/>
      <c r="N22" s="146"/>
      <c r="O22" s="146"/>
      <c r="P22" s="146"/>
      <c r="Q22" s="312"/>
      <c r="R22" s="21"/>
      <c r="S22" s="312"/>
      <c r="T22" s="85"/>
      <c r="U22" s="146"/>
      <c r="V22" s="146"/>
      <c r="W22" s="313"/>
      <c r="X22" s="146"/>
      <c r="Y22" s="85">
        <f t="shared" si="4"/>
        <v>0</v>
      </c>
      <c r="Z22" s="231">
        <f t="shared" si="5"/>
        <v>0</v>
      </c>
      <c r="AA22" s="146"/>
      <c r="AB22" s="231">
        <f t="shared" si="6"/>
        <v>0</v>
      </c>
      <c r="AC22" s="13"/>
    </row>
    <row r="23" customHeight="1" spans="1:29">
      <c r="A23" s="10"/>
      <c r="B23" s="20" t="s">
        <v>56</v>
      </c>
      <c r="C23" s="25"/>
      <c r="D23" s="21"/>
      <c r="E23" s="146"/>
      <c r="F23" s="146"/>
      <c r="G23" s="146"/>
      <c r="H23" s="146"/>
      <c r="I23" s="146"/>
      <c r="J23" s="146"/>
      <c r="K23" s="146"/>
      <c r="L23" s="220"/>
      <c r="M23" s="220"/>
      <c r="N23" s="146"/>
      <c r="O23" s="146"/>
      <c r="P23" s="146"/>
      <c r="Q23" s="312"/>
      <c r="R23" s="21"/>
      <c r="S23" s="312"/>
      <c r="T23" s="85"/>
      <c r="U23" s="146"/>
      <c r="V23" s="146"/>
      <c r="W23" s="313"/>
      <c r="X23" s="146"/>
      <c r="Y23" s="85">
        <f t="shared" si="4"/>
        <v>0</v>
      </c>
      <c r="Z23" s="231">
        <f t="shared" si="5"/>
        <v>0</v>
      </c>
      <c r="AA23" s="146"/>
      <c r="AB23" s="231">
        <f t="shared" si="6"/>
        <v>0</v>
      </c>
      <c r="AC23" s="13"/>
    </row>
    <row r="24" customHeight="1" spans="1:29">
      <c r="A24" s="10">
        <v>6</v>
      </c>
      <c r="B24" s="11" t="s">
        <v>351</v>
      </c>
      <c r="C24" s="4" t="s">
        <v>259</v>
      </c>
      <c r="D24" s="10" t="s">
        <v>257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228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9">
        <v>58026.6094346667</v>
      </c>
      <c r="X24" s="85">
        <f>'[8]October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355</v>
      </c>
      <c r="C25" s="12" t="s">
        <v>46</v>
      </c>
      <c r="D25" s="15" t="s">
        <v>950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356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9">
        <v>48170.8702826667</v>
      </c>
      <c r="X25" s="85">
        <f>'[8]October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33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22">
        <f t="shared" si="16"/>
        <v>95779.9059673339</v>
      </c>
      <c r="AA26" s="93"/>
      <c r="AB26" s="322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46"/>
      <c r="F27" s="146"/>
      <c r="G27" s="146"/>
      <c r="H27" s="146"/>
      <c r="I27" s="146"/>
      <c r="J27" s="146"/>
      <c r="K27" s="146"/>
      <c r="L27" s="220"/>
      <c r="M27" s="220"/>
      <c r="N27" s="146"/>
      <c r="O27" s="146"/>
      <c r="P27" s="146"/>
      <c r="Q27" s="312"/>
      <c r="R27" s="21"/>
      <c r="S27" s="312"/>
      <c r="T27" s="85">
        <f t="shared" si="0"/>
        <v>0</v>
      </c>
      <c r="U27" s="146"/>
      <c r="V27" s="146"/>
      <c r="W27" s="313"/>
      <c r="X27" s="146"/>
      <c r="Y27" s="85">
        <f t="shared" si="4"/>
        <v>0</v>
      </c>
      <c r="Z27" s="231">
        <f t="shared" si="5"/>
        <v>0</v>
      </c>
      <c r="AA27" s="146"/>
      <c r="AB27" s="231">
        <f t="shared" si="6"/>
        <v>0</v>
      </c>
      <c r="AC27" s="13"/>
    </row>
    <row r="28" customHeight="1" spans="1:29">
      <c r="A28" s="10"/>
      <c r="B28" s="20" t="s">
        <v>58</v>
      </c>
      <c r="C28" s="21"/>
      <c r="D28" s="21"/>
      <c r="E28" s="146"/>
      <c r="F28" s="146"/>
      <c r="G28" s="146"/>
      <c r="H28" s="146"/>
      <c r="I28" s="146"/>
      <c r="J28" s="146"/>
      <c r="K28" s="146"/>
      <c r="L28" s="220"/>
      <c r="M28" s="220"/>
      <c r="N28" s="146"/>
      <c r="O28" s="146"/>
      <c r="P28" s="146"/>
      <c r="Q28" s="312"/>
      <c r="R28" s="21"/>
      <c r="S28" s="312"/>
      <c r="T28" s="85">
        <f t="shared" si="0"/>
        <v>0</v>
      </c>
      <c r="U28" s="146"/>
      <c r="V28" s="146"/>
      <c r="W28" s="313"/>
      <c r="X28" s="146"/>
      <c r="Y28" s="85">
        <f t="shared" si="4"/>
        <v>0</v>
      </c>
      <c r="Z28" s="231">
        <f t="shared" si="5"/>
        <v>0</v>
      </c>
      <c r="AA28" s="146"/>
      <c r="AB28" s="231">
        <f t="shared" si="6"/>
        <v>0</v>
      </c>
      <c r="AC28" s="13"/>
    </row>
    <row r="29" customHeight="1" spans="1:29">
      <c r="A29" s="10">
        <v>8</v>
      </c>
      <c r="B29" s="11" t="s">
        <v>250</v>
      </c>
      <c r="C29" s="4" t="s">
        <v>367</v>
      </c>
      <c r="D29" s="10" t="s">
        <v>257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228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9">
        <f>77098.29</f>
        <v>77098.29</v>
      </c>
      <c r="X29" s="85">
        <f>'[8]October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366</v>
      </c>
      <c r="C30" s="4" t="s">
        <v>420</v>
      </c>
      <c r="D30" s="15" t="s">
        <v>266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260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9">
        <v>40698.1248566667</v>
      </c>
      <c r="X30" s="85">
        <f>'[8]October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370</v>
      </c>
      <c r="C31" s="4" t="s">
        <v>969</v>
      </c>
      <c r="D31" s="15" t="s">
        <v>945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37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9">
        <v>18102.9027326667</v>
      </c>
      <c r="X31" s="85">
        <f>'[8]October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33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4">
        <f>SUM(W29:W31)</f>
        <v>135899.317589333</v>
      </c>
      <c r="X32" s="314">
        <f t="shared" ref="X32:AB32" si="18">SUM(X29:X31)</f>
        <v>162264.12356</v>
      </c>
      <c r="Y32" s="314">
        <f t="shared" si="18"/>
        <v>26364.8059706667</v>
      </c>
      <c r="Z32" s="323">
        <f t="shared" si="18"/>
        <v>117866.478279333</v>
      </c>
      <c r="AA32" s="314"/>
      <c r="AB32" s="323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67</v>
      </c>
      <c r="C34" s="21"/>
      <c r="D34" s="21"/>
      <c r="E34" s="146"/>
      <c r="F34" s="146"/>
      <c r="G34" s="146"/>
      <c r="H34" s="146"/>
      <c r="I34" s="146"/>
      <c r="J34" s="146"/>
      <c r="K34" s="146"/>
      <c r="L34" s="220"/>
      <c r="M34" s="220"/>
      <c r="N34" s="146"/>
      <c r="O34" s="146"/>
      <c r="P34" s="146"/>
      <c r="Q34" s="312"/>
      <c r="R34" s="21"/>
      <c r="S34" s="312"/>
      <c r="T34" s="85"/>
      <c r="U34" s="146"/>
      <c r="V34" s="146"/>
      <c r="W34" s="313"/>
      <c r="X34" s="146"/>
      <c r="Y34" s="85">
        <f t="shared" si="4"/>
        <v>0</v>
      </c>
      <c r="Z34" s="231">
        <f t="shared" si="5"/>
        <v>0</v>
      </c>
      <c r="AA34" s="146"/>
      <c r="AB34" s="231">
        <f t="shared" si="6"/>
        <v>0</v>
      </c>
      <c r="AC34" s="13"/>
    </row>
    <row r="35" customHeight="1" spans="1:29">
      <c r="A35" s="4">
        <v>11</v>
      </c>
      <c r="B35" s="11" t="s">
        <v>400</v>
      </c>
      <c r="C35" s="12" t="s">
        <v>970</v>
      </c>
      <c r="D35" s="15" t="s">
        <v>266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260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9">
        <v>40684.5991766667</v>
      </c>
      <c r="X35" s="85">
        <f>'[8]October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33</v>
      </c>
      <c r="C36" s="26" t="s">
        <v>70</v>
      </c>
      <c r="D36" s="15"/>
      <c r="E36" s="146">
        <f t="shared" ref="E36:Q36" si="20">SUM(E35:E35)</f>
        <v>25523.45</v>
      </c>
      <c r="F36" s="146">
        <f t="shared" si="20"/>
        <v>76570.35</v>
      </c>
      <c r="G36" s="146">
        <f t="shared" si="20"/>
        <v>1914.25875</v>
      </c>
      <c r="H36" s="146">
        <f t="shared" si="20"/>
        <v>0</v>
      </c>
      <c r="I36" s="146">
        <f t="shared" si="20"/>
        <v>12761.725</v>
      </c>
      <c r="J36" s="146">
        <f t="shared" si="20"/>
        <v>89332.075</v>
      </c>
      <c r="K36" s="146">
        <f t="shared" si="20"/>
        <v>25523.45</v>
      </c>
      <c r="L36" s="146">
        <f t="shared" si="20"/>
        <v>0</v>
      </c>
      <c r="M36" s="146">
        <f t="shared" si="20"/>
        <v>70000</v>
      </c>
      <c r="N36" s="146">
        <f t="shared" si="20"/>
        <v>2552.345</v>
      </c>
      <c r="O36" s="146">
        <f t="shared" si="20"/>
        <v>15000</v>
      </c>
      <c r="P36" s="146">
        <f t="shared" si="20"/>
        <v>0</v>
      </c>
      <c r="Q36" s="146">
        <f t="shared" si="20"/>
        <v>319177.65375</v>
      </c>
      <c r="R36" s="15"/>
      <c r="S36" s="146">
        <f t="shared" ref="S36:Z36" si="21">SUM(S35:S35)</f>
        <v>327211.25</v>
      </c>
      <c r="T36" s="146">
        <f t="shared" si="21"/>
        <v>8033.59625</v>
      </c>
      <c r="U36" s="146">
        <f t="shared" si="21"/>
        <v>638.08625</v>
      </c>
      <c r="V36" s="146">
        <f t="shared" si="21"/>
        <v>690.28</v>
      </c>
      <c r="W36" s="146">
        <f t="shared" si="21"/>
        <v>40684.5991766667</v>
      </c>
      <c r="X36" s="146">
        <f t="shared" si="21"/>
        <v>42034.2433466667</v>
      </c>
      <c r="Y36" s="146">
        <f t="shared" si="21"/>
        <v>1349.64417</v>
      </c>
      <c r="Z36" s="233">
        <f t="shared" si="21"/>
        <v>6683.95208</v>
      </c>
      <c r="AA36" s="14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46"/>
      <c r="F37" s="146"/>
      <c r="G37" s="146"/>
      <c r="H37" s="146"/>
      <c r="I37" s="146"/>
      <c r="J37" s="146"/>
      <c r="K37" s="146"/>
      <c r="L37" s="220">
        <f>226713.38+70000</f>
        <v>296713.38</v>
      </c>
      <c r="M37" s="220"/>
      <c r="N37" s="146"/>
      <c r="O37" s="146"/>
      <c r="P37" s="146"/>
      <c r="Q37" s="312"/>
      <c r="R37" s="15"/>
      <c r="S37" s="312"/>
      <c r="T37" s="85"/>
      <c r="U37" s="146"/>
      <c r="V37" s="146"/>
      <c r="W37" s="313"/>
      <c r="X37" s="146"/>
      <c r="Y37" s="85"/>
      <c r="Z37" s="231"/>
      <c r="AA37" s="146"/>
      <c r="AB37" s="231"/>
      <c r="AC37" s="13"/>
    </row>
    <row r="38" customHeight="1" spans="1:29">
      <c r="A38" s="4"/>
      <c r="B38" s="20" t="s">
        <v>71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9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423</v>
      </c>
      <c r="C39" s="12" t="s">
        <v>971</v>
      </c>
      <c r="D39" s="15" t="s">
        <v>432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41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9">
        <v>27794.2066266667</v>
      </c>
      <c r="X39" s="85">
        <f>'[8]October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427</v>
      </c>
      <c r="C40" s="4" t="s">
        <v>437</v>
      </c>
      <c r="D40" s="15" t="s">
        <v>432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41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9">
        <v>27873.0796866667</v>
      </c>
      <c r="X40" s="85">
        <f>'[8]October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446</v>
      </c>
      <c r="C41" s="12" t="s">
        <v>451</v>
      </c>
      <c r="D41" s="15" t="s">
        <v>945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24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9">
        <v>18102.9027326667</v>
      </c>
      <c r="X41" s="85">
        <f>'[8]October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471</v>
      </c>
      <c r="C42" s="12" t="s">
        <v>478</v>
      </c>
      <c r="D42" s="15" t="s">
        <v>479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473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9">
        <v>4365.33075466667</v>
      </c>
      <c r="X42" s="85">
        <f>'[8]October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00">
        <v>16</v>
      </c>
      <c r="B43" s="301" t="s">
        <v>474</v>
      </c>
      <c r="C43" s="302" t="s">
        <v>478</v>
      </c>
      <c r="D43" s="303" t="s">
        <v>479</v>
      </c>
      <c r="E43" s="62">
        <v>5428.12</v>
      </c>
      <c r="F43" s="62">
        <f t="shared" si="22"/>
        <v>16284.36</v>
      </c>
      <c r="G43" s="62">
        <f t="shared" si="23"/>
        <v>407.109</v>
      </c>
      <c r="H43" s="62"/>
      <c r="I43" s="62">
        <f t="shared" si="24"/>
        <v>2714.06</v>
      </c>
      <c r="J43" s="62">
        <f t="shared" si="25"/>
        <v>18998.42</v>
      </c>
      <c r="K43" s="62">
        <f t="shared" si="26"/>
        <v>5428.12</v>
      </c>
      <c r="L43" s="304"/>
      <c r="M43" s="304">
        <f>20000</f>
        <v>20000</v>
      </c>
      <c r="N43" s="62">
        <f t="shared" si="27"/>
        <v>542.812</v>
      </c>
      <c r="O43" s="62">
        <v>5000</v>
      </c>
      <c r="P43" s="62">
        <f>7000</f>
        <v>7000</v>
      </c>
      <c r="Q43" s="62">
        <f t="shared" si="28"/>
        <v>81803.001</v>
      </c>
      <c r="R43" s="303" t="s">
        <v>473</v>
      </c>
      <c r="S43" s="62">
        <f>'SALARY STRUCTURE'!D11+30000</f>
        <v>115104.916666667</v>
      </c>
      <c r="T43" s="62">
        <f t="shared" si="0"/>
        <v>33301.9156666667</v>
      </c>
      <c r="U43" s="62"/>
      <c r="V43" s="62"/>
      <c r="W43" s="317">
        <f>4365.33075466667</f>
        <v>4365.33075466667</v>
      </c>
      <c r="X43" s="62">
        <f>'[8]October 2023'!$Z$164</f>
        <v>8312.59</v>
      </c>
      <c r="Y43" s="62">
        <f t="shared" si="4"/>
        <v>3947.25924533333</v>
      </c>
      <c r="Z43" s="62">
        <f t="shared" si="5"/>
        <v>29354.6564213334</v>
      </c>
      <c r="AA43" s="62">
        <f>(17/31)+1</f>
        <v>1.54838709677419</v>
      </c>
      <c r="AB43" s="62">
        <f t="shared" si="6"/>
        <v>45452.3712330323</v>
      </c>
      <c r="AC43" s="324"/>
    </row>
    <row r="44" customHeight="1" spans="1:29">
      <c r="A44" s="27">
        <v>17</v>
      </c>
      <c r="B44" s="18" t="s">
        <v>475</v>
      </c>
      <c r="C44" s="12" t="s">
        <v>478</v>
      </c>
      <c r="D44" s="15" t="s">
        <v>948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473</v>
      </c>
      <c r="S44" s="219">
        <v>115104.916666667</v>
      </c>
      <c r="T44" s="85">
        <f t="shared" si="0"/>
        <v>31734.825666667</v>
      </c>
      <c r="U44" s="85"/>
      <c r="V44" s="85"/>
      <c r="W44" s="309">
        <v>4504.41092</v>
      </c>
      <c r="X44" s="85">
        <f>'[8]October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491</v>
      </c>
      <c r="C45" s="12" t="s">
        <v>481</v>
      </c>
      <c r="D45" s="15" t="s">
        <v>972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502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9">
        <v>3064.87207866667</v>
      </c>
      <c r="X45" s="85">
        <f>'[8]October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33</v>
      </c>
      <c r="C46" s="28" t="s">
        <v>973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22">
        <f t="shared" si="30"/>
        <v>152111.300904001</v>
      </c>
      <c r="AA46" s="93"/>
      <c r="AB46" s="322">
        <f t="shared" si="30"/>
        <v>626877.533175703</v>
      </c>
      <c r="AC46" s="13"/>
    </row>
    <row r="47" ht="19.5" customHeight="1" spans="1:29">
      <c r="A47" s="4"/>
      <c r="B47" s="30" t="s">
        <v>80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5">
        <f t="shared" si="31"/>
        <v>525716.029816002</v>
      </c>
      <c r="AA47" s="227">
        <f t="shared" si="31"/>
        <v>0</v>
      </c>
      <c r="AB47" s="325">
        <f t="shared" si="31"/>
        <v>2102520.87725782</v>
      </c>
      <c r="AC47" s="13"/>
    </row>
    <row r="48" customHeight="1" spans="2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18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18"/>
      <c r="X49" s="229"/>
      <c r="Y49" s="229"/>
      <c r="Z49" s="229"/>
      <c r="AA49" s="229"/>
      <c r="AB49" s="229"/>
    </row>
    <row r="52" customHeight="1" spans="17:20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1" t="s">
        <v>974</v>
      </c>
      <c r="B1" s="271"/>
      <c r="C1" s="271"/>
      <c r="D1" s="271"/>
      <c r="E1" s="271"/>
      <c r="F1" s="271"/>
      <c r="G1" s="271"/>
      <c r="H1" s="290"/>
      <c r="I1" s="271"/>
      <c r="J1" s="271"/>
      <c r="K1" s="271"/>
      <c r="L1" s="271"/>
      <c r="M1" s="271"/>
      <c r="N1" s="271"/>
      <c r="O1" s="271"/>
      <c r="P1" s="271"/>
      <c r="Q1" s="294"/>
      <c r="R1" s="294"/>
    </row>
    <row r="2" ht="13" spans="1:18">
      <c r="A2" s="271" t="s">
        <v>975</v>
      </c>
      <c r="B2" s="271"/>
      <c r="C2" s="271"/>
      <c r="D2" s="271"/>
      <c r="E2" s="271"/>
      <c r="F2" s="271"/>
      <c r="G2" s="271"/>
      <c r="H2" s="291"/>
      <c r="I2" s="271"/>
      <c r="J2" s="271"/>
      <c r="K2" s="271"/>
      <c r="L2" s="271"/>
      <c r="M2" s="271"/>
      <c r="N2" s="271"/>
      <c r="O2" s="271"/>
      <c r="P2" s="271"/>
      <c r="Q2" s="294"/>
      <c r="R2" s="294"/>
    </row>
    <row r="3" ht="13" spans="1:18">
      <c r="A3" s="271"/>
      <c r="B3" s="271" t="s">
        <v>976</v>
      </c>
      <c r="C3" s="271" t="s">
        <v>977</v>
      </c>
      <c r="D3" s="271" t="s">
        <v>978</v>
      </c>
      <c r="E3" s="271" t="s">
        <v>979</v>
      </c>
      <c r="F3" s="271" t="s">
        <v>980</v>
      </c>
      <c r="G3" s="271" t="s">
        <v>981</v>
      </c>
      <c r="H3" s="291" t="s">
        <v>982</v>
      </c>
      <c r="I3" s="271" t="s">
        <v>983</v>
      </c>
      <c r="J3" s="271" t="s">
        <v>984</v>
      </c>
      <c r="K3" s="271" t="s">
        <v>985</v>
      </c>
      <c r="L3" s="271" t="s">
        <v>986</v>
      </c>
      <c r="M3" s="271" t="s">
        <v>987</v>
      </c>
      <c r="N3" s="271" t="s">
        <v>988</v>
      </c>
      <c r="O3" s="271" t="s">
        <v>989</v>
      </c>
      <c r="P3" s="271" t="s">
        <v>990</v>
      </c>
      <c r="Q3" s="294"/>
      <c r="R3" s="294"/>
    </row>
    <row r="4" ht="13" spans="1:18">
      <c r="A4" s="271" t="s">
        <v>991</v>
      </c>
      <c r="B4" s="271" t="s">
        <v>19</v>
      </c>
      <c r="C4" s="271" t="s">
        <v>19</v>
      </c>
      <c r="D4" s="271" t="s">
        <v>19</v>
      </c>
      <c r="E4" s="271" t="s">
        <v>19</v>
      </c>
      <c r="F4" s="271" t="s">
        <v>19</v>
      </c>
      <c r="G4" s="271" t="s">
        <v>19</v>
      </c>
      <c r="H4" s="291" t="s">
        <v>19</v>
      </c>
      <c r="I4" s="271" t="s">
        <v>19</v>
      </c>
      <c r="J4" s="271" t="s">
        <v>19</v>
      </c>
      <c r="K4" s="271" t="s">
        <v>19</v>
      </c>
      <c r="L4" s="271" t="s">
        <v>19</v>
      </c>
      <c r="M4" s="271" t="s">
        <v>19</v>
      </c>
      <c r="N4" s="271" t="s">
        <v>19</v>
      </c>
      <c r="O4" s="271" t="s">
        <v>19</v>
      </c>
      <c r="P4" s="271" t="s">
        <v>19</v>
      </c>
      <c r="Q4" s="294"/>
      <c r="R4" s="294"/>
    </row>
    <row r="5" ht="14" spans="1:18">
      <c r="A5" s="292" t="s">
        <v>992</v>
      </c>
      <c r="B5" s="292">
        <v>32012.1666666667</v>
      </c>
      <c r="C5" s="292">
        <v>32710.5</v>
      </c>
      <c r="D5" s="292">
        <v>33408.75</v>
      </c>
      <c r="E5" s="292">
        <v>34107.0833333333</v>
      </c>
      <c r="F5" s="292">
        <v>34805.5</v>
      </c>
      <c r="G5" s="292">
        <v>35503.75</v>
      </c>
      <c r="H5" s="293">
        <v>36202.0833333333</v>
      </c>
      <c r="I5" s="292">
        <v>36900.3333333333</v>
      </c>
      <c r="J5" s="292">
        <v>37598.6666666667</v>
      </c>
      <c r="K5" s="292">
        <v>38297.0833333333</v>
      </c>
      <c r="L5" s="292">
        <v>38995.3333333333</v>
      </c>
      <c r="M5" s="292">
        <v>39693.6666666667</v>
      </c>
      <c r="N5" s="292">
        <v>40391.9166666667</v>
      </c>
      <c r="O5" s="292">
        <v>41090.1666666667</v>
      </c>
      <c r="P5" s="292">
        <v>41788.6666666667</v>
      </c>
      <c r="Q5" s="294"/>
      <c r="R5" s="294"/>
    </row>
    <row r="6" ht="14" spans="1:18">
      <c r="A6" s="292" t="s">
        <v>993</v>
      </c>
      <c r="B6" s="292">
        <v>32532.1666666667</v>
      </c>
      <c r="C6" s="292">
        <v>33445.1666666667</v>
      </c>
      <c r="D6" s="292">
        <v>34358.3333333333</v>
      </c>
      <c r="E6" s="292">
        <v>35271.25</v>
      </c>
      <c r="F6" s="292">
        <v>36184.25</v>
      </c>
      <c r="G6" s="292">
        <v>37097.4166666667</v>
      </c>
      <c r="H6" s="293">
        <v>38010.3333333333</v>
      </c>
      <c r="I6" s="292">
        <v>38923.4166666667</v>
      </c>
      <c r="J6" s="292">
        <v>39836.4166666667</v>
      </c>
      <c r="K6" s="292">
        <v>40749.4166666667</v>
      </c>
      <c r="L6" s="292">
        <v>41662.5</v>
      </c>
      <c r="M6" s="292">
        <v>42575.5</v>
      </c>
      <c r="N6" s="292">
        <v>43488.6666666667</v>
      </c>
      <c r="O6" s="292">
        <v>44401.5833333333</v>
      </c>
      <c r="P6" s="292">
        <v>45314.5833333333</v>
      </c>
      <c r="Q6" s="294"/>
      <c r="R6" s="294"/>
    </row>
    <row r="7" ht="14" spans="1:18">
      <c r="A7" s="292" t="s">
        <v>994</v>
      </c>
      <c r="B7" s="292">
        <v>32976.25</v>
      </c>
      <c r="C7" s="292">
        <v>34098.4166666667</v>
      </c>
      <c r="D7" s="292">
        <v>35220.6666666667</v>
      </c>
      <c r="E7" s="292">
        <v>36343</v>
      </c>
      <c r="F7" s="292">
        <v>37465.1666666667</v>
      </c>
      <c r="G7" s="292">
        <v>38587.4166666667</v>
      </c>
      <c r="H7" s="293">
        <v>39709.6666666667</v>
      </c>
      <c r="I7" s="292">
        <v>40823.5833333333</v>
      </c>
      <c r="J7" s="292">
        <v>41954.0833333333</v>
      </c>
      <c r="K7" s="292">
        <v>43076.4166666667</v>
      </c>
      <c r="L7" s="292">
        <v>44198.6666666667</v>
      </c>
      <c r="M7" s="292">
        <v>45445.8333333333</v>
      </c>
      <c r="N7" s="292">
        <v>46443.1666666667</v>
      </c>
      <c r="O7" s="292">
        <v>47565.3333333333</v>
      </c>
      <c r="P7" s="292">
        <v>48687.5</v>
      </c>
      <c r="Q7" s="294"/>
      <c r="R7" s="294"/>
    </row>
    <row r="8" ht="14" spans="1:18">
      <c r="A8" s="292" t="s">
        <v>995</v>
      </c>
      <c r="B8" s="292">
        <v>34542.5</v>
      </c>
      <c r="C8" s="292">
        <v>35890.8333333333</v>
      </c>
      <c r="D8" s="292">
        <v>37238.9166666667</v>
      </c>
      <c r="E8" s="292">
        <v>38587.1666666667</v>
      </c>
      <c r="F8" s="292">
        <v>39935.5</v>
      </c>
      <c r="G8" s="292">
        <v>41283.75</v>
      </c>
      <c r="H8" s="293">
        <v>42631.9166666667</v>
      </c>
      <c r="I8" s="292">
        <v>43980</v>
      </c>
      <c r="J8" s="292">
        <v>45328.3333333333</v>
      </c>
      <c r="K8" s="292">
        <v>46676.4166666667</v>
      </c>
      <c r="L8" s="292">
        <v>48024.6666666667</v>
      </c>
      <c r="M8" s="292">
        <v>49373</v>
      </c>
      <c r="N8" s="292">
        <v>50721.1666666667</v>
      </c>
      <c r="O8" s="292">
        <v>52069.4166666667</v>
      </c>
      <c r="P8" s="292">
        <v>53417.5</v>
      </c>
      <c r="Q8" s="294"/>
      <c r="R8" s="294"/>
    </row>
    <row r="9" ht="14" spans="1:18">
      <c r="A9" s="292" t="s">
        <v>996</v>
      </c>
      <c r="B9" s="292">
        <v>39140.3333333333</v>
      </c>
      <c r="C9" s="292">
        <v>40706.5833333333</v>
      </c>
      <c r="D9" s="292">
        <v>42272.8333333333</v>
      </c>
      <c r="E9" s="292">
        <v>43839.0833333333</v>
      </c>
      <c r="F9" s="292">
        <v>45405.5</v>
      </c>
      <c r="G9" s="292">
        <v>46971.75</v>
      </c>
      <c r="H9" s="293">
        <v>48538</v>
      </c>
      <c r="I9" s="292">
        <v>50104.4166666667</v>
      </c>
      <c r="J9" s="292">
        <v>51670.6666666667</v>
      </c>
      <c r="K9" s="292">
        <v>53236.9166666667</v>
      </c>
      <c r="L9" s="292">
        <v>54803.1666666667</v>
      </c>
      <c r="M9" s="292">
        <v>56369.5833333333</v>
      </c>
      <c r="N9" s="292">
        <v>57936</v>
      </c>
      <c r="O9" s="292">
        <v>59502.0833333333</v>
      </c>
      <c r="P9" s="292">
        <v>61068.3333333333</v>
      </c>
      <c r="Q9" s="294"/>
      <c r="R9" s="294"/>
    </row>
    <row r="10" ht="14" spans="1:18">
      <c r="A10" s="292" t="s">
        <v>997</v>
      </c>
      <c r="B10" s="292">
        <v>47723.3333333333</v>
      </c>
      <c r="C10" s="292">
        <v>49632.5</v>
      </c>
      <c r="D10" s="292">
        <v>51541.75</v>
      </c>
      <c r="E10" s="292">
        <v>53450.9166666667</v>
      </c>
      <c r="F10" s="292">
        <v>55360.1666666667</v>
      </c>
      <c r="G10" s="292">
        <v>57269.4166666667</v>
      </c>
      <c r="H10" s="293">
        <v>59178.6666666667</v>
      </c>
      <c r="I10" s="292">
        <v>61087.8333333333</v>
      </c>
      <c r="J10" s="292">
        <v>62997.0833333333</v>
      </c>
      <c r="K10" s="292">
        <v>64906.25</v>
      </c>
      <c r="L10" s="292">
        <v>66815.5</v>
      </c>
      <c r="M10" s="292">
        <v>68724.6666666667</v>
      </c>
      <c r="N10" s="292">
        <v>70633.9166666667</v>
      </c>
      <c r="O10" s="292">
        <v>72543.1666666667</v>
      </c>
      <c r="P10" s="292">
        <v>74452.4166666667</v>
      </c>
      <c r="Q10" s="294"/>
      <c r="R10" s="294"/>
    </row>
    <row r="11" ht="14" spans="1:18">
      <c r="A11" s="292" t="s">
        <v>998</v>
      </c>
      <c r="B11" s="292">
        <v>79244.5833333333</v>
      </c>
      <c r="C11" s="292">
        <v>82174.6666666667</v>
      </c>
      <c r="D11" s="292">
        <v>85104.9166666667</v>
      </c>
      <c r="E11" s="292">
        <v>88034.9166666667</v>
      </c>
      <c r="F11" s="292">
        <v>106590</v>
      </c>
      <c r="G11" s="292">
        <v>93895</v>
      </c>
      <c r="H11" s="293">
        <v>96825.1666666667</v>
      </c>
      <c r="I11" s="292">
        <v>99755.1666666667</v>
      </c>
      <c r="J11" s="292">
        <v>102685.333333333</v>
      </c>
      <c r="K11" s="292">
        <v>105615.333333333</v>
      </c>
      <c r="L11" s="292">
        <v>108545.5</v>
      </c>
      <c r="M11" s="292">
        <v>111468</v>
      </c>
      <c r="N11" s="292">
        <v>114405.666666667</v>
      </c>
      <c r="O11" s="292">
        <v>117335.833333333</v>
      </c>
      <c r="P11" s="292">
        <v>120265.833333333</v>
      </c>
      <c r="Q11" s="294"/>
      <c r="R11" s="294"/>
    </row>
    <row r="12" ht="14" spans="1:18">
      <c r="A12" s="292" t="s">
        <v>999</v>
      </c>
      <c r="B12" s="292">
        <v>102403.75</v>
      </c>
      <c r="C12" s="292">
        <v>105891.25</v>
      </c>
      <c r="D12" s="292">
        <v>109378.75</v>
      </c>
      <c r="E12" s="292">
        <v>112866.25</v>
      </c>
      <c r="F12" s="292">
        <v>116353.666666667</v>
      </c>
      <c r="G12" s="292">
        <v>119841.166666667</v>
      </c>
      <c r="H12" s="293">
        <v>123328.666666667</v>
      </c>
      <c r="I12" s="292">
        <v>126816.166666667</v>
      </c>
      <c r="J12" s="292">
        <v>130303.666666667</v>
      </c>
      <c r="K12" s="292">
        <v>133791.166666667</v>
      </c>
      <c r="L12" s="292">
        <v>137278.666666667</v>
      </c>
      <c r="M12" s="292">
        <v>140766.166666667</v>
      </c>
      <c r="N12" s="292">
        <v>144253.666666667</v>
      </c>
      <c r="O12" s="292">
        <v>147741.166666667</v>
      </c>
      <c r="P12" s="292">
        <v>151228.666666667</v>
      </c>
      <c r="Q12" s="294"/>
      <c r="R12" s="294"/>
    </row>
    <row r="13" ht="14" spans="1:18">
      <c r="A13" s="292" t="s">
        <v>1000</v>
      </c>
      <c r="B13" s="292">
        <v>120290</v>
      </c>
      <c r="C13" s="292">
        <v>124442.166666667</v>
      </c>
      <c r="D13" s="292">
        <v>128594.583333333</v>
      </c>
      <c r="E13" s="292">
        <v>132746.75</v>
      </c>
      <c r="F13" s="292">
        <v>136899.083333333</v>
      </c>
      <c r="G13" s="292">
        <v>141051.25</v>
      </c>
      <c r="H13" s="293">
        <v>145203.666666667</v>
      </c>
      <c r="I13" s="292">
        <v>149355.833333333</v>
      </c>
      <c r="J13" s="292">
        <v>153508</v>
      </c>
      <c r="K13" s="292">
        <v>157660.333333333</v>
      </c>
      <c r="L13" s="292">
        <v>161812.5</v>
      </c>
      <c r="M13" s="292">
        <v>165964.916666667</v>
      </c>
      <c r="N13" s="292">
        <v>170117.083333333</v>
      </c>
      <c r="O13" s="292">
        <v>174269.416666667</v>
      </c>
      <c r="P13" s="292">
        <v>178421.583333333</v>
      </c>
      <c r="Q13" s="294"/>
      <c r="R13" s="294"/>
    </row>
    <row r="14" ht="14" spans="1:18">
      <c r="A14" s="292" t="s">
        <v>1001</v>
      </c>
      <c r="B14" s="292">
        <v>141204.916666667</v>
      </c>
      <c r="C14" s="292">
        <v>145770.916666667</v>
      </c>
      <c r="D14" s="292">
        <v>150337.083333333</v>
      </c>
      <c r="E14" s="292">
        <v>154903.333333333</v>
      </c>
      <c r="F14" s="292">
        <v>159469.416666667</v>
      </c>
      <c r="G14" s="292">
        <v>164035.5</v>
      </c>
      <c r="H14" s="293">
        <v>168601.583333333</v>
      </c>
      <c r="I14" s="292">
        <v>173167.666666667</v>
      </c>
      <c r="J14" s="292">
        <v>177733.75</v>
      </c>
      <c r="K14" s="292">
        <v>182299.916666667</v>
      </c>
      <c r="L14" s="292">
        <v>186865.916666667</v>
      </c>
      <c r="M14" s="292">
        <v>191432.166666667</v>
      </c>
      <c r="N14" s="292">
        <v>195998.333333333</v>
      </c>
      <c r="O14" s="292">
        <v>200564.416666667</v>
      </c>
      <c r="P14" s="292">
        <v>205130.5</v>
      </c>
      <c r="Q14" s="294"/>
      <c r="R14" s="294"/>
    </row>
    <row r="15" ht="14" spans="1:18">
      <c r="A15" s="292" t="s">
        <v>1002</v>
      </c>
      <c r="B15" s="292">
        <v>162876.25</v>
      </c>
      <c r="C15" s="292">
        <v>169958.916666667</v>
      </c>
      <c r="D15" s="292">
        <v>177039.916666667</v>
      </c>
      <c r="E15" s="292">
        <v>184124.083333333</v>
      </c>
      <c r="F15" s="292">
        <v>191206.583333333</v>
      </c>
      <c r="G15" s="292">
        <v>198289.25</v>
      </c>
      <c r="H15" s="293">
        <v>205371.75</v>
      </c>
      <c r="I15" s="292">
        <v>212454.416666667</v>
      </c>
      <c r="J15" s="292">
        <v>219536.916666667</v>
      </c>
      <c r="K15" s="292">
        <v>226619.583333333</v>
      </c>
      <c r="L15" s="292">
        <v>233702.083333333</v>
      </c>
      <c r="M15" s="292"/>
      <c r="N15" s="292"/>
      <c r="O15" s="292"/>
      <c r="P15" s="292"/>
      <c r="Q15" s="294"/>
      <c r="R15" s="294"/>
    </row>
    <row r="16" ht="14" spans="1:18">
      <c r="A16" s="292" t="s">
        <v>1003</v>
      </c>
      <c r="B16" s="292">
        <v>181786.416666667</v>
      </c>
      <c r="C16" s="292">
        <v>189274.25</v>
      </c>
      <c r="D16" s="292">
        <v>198324.583333333</v>
      </c>
      <c r="E16" s="292">
        <v>204249.916666667</v>
      </c>
      <c r="F16" s="292">
        <v>211737.666666667</v>
      </c>
      <c r="G16" s="292">
        <v>219225.5</v>
      </c>
      <c r="H16" s="293">
        <v>226713.333333333</v>
      </c>
      <c r="I16" s="292">
        <v>234201.166666667</v>
      </c>
      <c r="J16" s="292">
        <v>242001.416666667</v>
      </c>
      <c r="K16" s="292">
        <v>249176.75</v>
      </c>
      <c r="L16" s="292">
        <v>256664.583333333</v>
      </c>
      <c r="M16" s="292"/>
      <c r="N16" s="292"/>
      <c r="O16" s="292"/>
      <c r="P16" s="292"/>
      <c r="Q16" s="294"/>
      <c r="R16" s="294"/>
    </row>
    <row r="17" ht="14" spans="1:18">
      <c r="A17" s="292" t="s">
        <v>1004</v>
      </c>
      <c r="B17" s="292">
        <v>200784.083333333</v>
      </c>
      <c r="C17" s="292">
        <v>208845.166666667</v>
      </c>
      <c r="D17" s="292">
        <v>216904.666666667</v>
      </c>
      <c r="E17" s="292">
        <v>224967.166666667</v>
      </c>
      <c r="F17" s="292">
        <v>233028.333333333</v>
      </c>
      <c r="G17" s="292">
        <v>241089.25</v>
      </c>
      <c r="H17" s="293">
        <v>249153.416666667</v>
      </c>
      <c r="I17" s="292">
        <v>257211.25</v>
      </c>
      <c r="J17" s="292">
        <v>265272.416666667</v>
      </c>
      <c r="K17" s="292">
        <v>273333.416666667</v>
      </c>
      <c r="L17" s="292">
        <v>281394.416666667</v>
      </c>
      <c r="M17" s="292"/>
      <c r="N17" s="292"/>
      <c r="O17" s="292"/>
      <c r="P17" s="292"/>
      <c r="Q17" s="294"/>
      <c r="R17" s="294"/>
    </row>
    <row r="18" ht="14" spans="1:18">
      <c r="A18" s="292" t="s">
        <v>1005</v>
      </c>
      <c r="B18" s="292">
        <v>276221.25</v>
      </c>
      <c r="C18" s="292">
        <v>287637.833333333</v>
      </c>
      <c r="D18" s="292">
        <v>299054.25</v>
      </c>
      <c r="E18" s="292">
        <v>312760.25</v>
      </c>
      <c r="F18" s="292">
        <v>321887.166666667</v>
      </c>
      <c r="G18" s="292">
        <v>333303.75</v>
      </c>
      <c r="H18" s="293">
        <v>344720.166666667</v>
      </c>
      <c r="I18" s="292">
        <v>356136.75</v>
      </c>
      <c r="J18" s="292">
        <v>367553.166666667</v>
      </c>
      <c r="K18" s="292"/>
      <c r="L18" s="292"/>
      <c r="M18" s="292"/>
      <c r="N18" s="292"/>
      <c r="O18" s="292"/>
      <c r="P18" s="292"/>
      <c r="Q18" s="294"/>
      <c r="R18" s="294"/>
    </row>
    <row r="19" ht="14" spans="1:18">
      <c r="A19" s="292" t="s">
        <v>1006</v>
      </c>
      <c r="B19" s="292">
        <v>341699.583333333</v>
      </c>
      <c r="C19" s="292">
        <v>355420.166666667</v>
      </c>
      <c r="D19" s="292">
        <v>369154.916666667</v>
      </c>
      <c r="E19" s="292">
        <v>382861.416666667</v>
      </c>
      <c r="F19" s="292">
        <v>396582.083333333</v>
      </c>
      <c r="G19" s="292">
        <v>410302.666666667</v>
      </c>
      <c r="H19" s="293">
        <v>424023.333333333</v>
      </c>
      <c r="I19" s="292">
        <v>437743.916666667</v>
      </c>
      <c r="J19" s="292">
        <v>451464.583333333</v>
      </c>
      <c r="K19" s="292"/>
      <c r="L19" s="292"/>
      <c r="M19" s="292"/>
      <c r="N19" s="292"/>
      <c r="O19" s="292"/>
      <c r="P19" s="292"/>
      <c r="Q19" s="294"/>
      <c r="R19" s="294"/>
    </row>
    <row r="20" ht="14" spans="1:18">
      <c r="A20" s="292" t="s">
        <v>1007</v>
      </c>
      <c r="B20" s="292">
        <v>652000</v>
      </c>
      <c r="C20" s="292">
        <v>676776.166666667</v>
      </c>
      <c r="D20" s="292">
        <v>701552.166666667</v>
      </c>
      <c r="E20" s="292">
        <v>726328.333333333</v>
      </c>
      <c r="F20" s="292">
        <v>751104.416666667</v>
      </c>
      <c r="G20" s="292">
        <v>775880.5</v>
      </c>
      <c r="H20" s="293">
        <v>800656.583333333</v>
      </c>
      <c r="I20" s="292">
        <v>825432.666666667</v>
      </c>
      <c r="J20" s="292">
        <v>850208.75</v>
      </c>
      <c r="K20" s="292"/>
      <c r="L20" s="292"/>
      <c r="M20" s="292"/>
      <c r="N20" s="292"/>
      <c r="O20" s="292"/>
      <c r="P20" s="292"/>
      <c r="Q20" s="294"/>
      <c r="R20" s="294"/>
    </row>
    <row r="21" ht="14" spans="1:18">
      <c r="A21" s="292"/>
      <c r="B21" s="292"/>
      <c r="C21" s="292"/>
      <c r="D21" s="292"/>
      <c r="E21" s="292"/>
      <c r="F21" s="292"/>
      <c r="G21" s="292"/>
      <c r="H21" s="293"/>
      <c r="I21" s="292"/>
      <c r="J21" s="292"/>
      <c r="K21" s="292"/>
      <c r="L21" s="292"/>
      <c r="M21" s="292"/>
      <c r="N21" s="292"/>
      <c r="O21" s="292"/>
      <c r="P21" s="292"/>
      <c r="Q21" s="294"/>
      <c r="R21" s="294"/>
    </row>
    <row r="22" ht="13" spans="1:18">
      <c r="A22" s="294"/>
      <c r="B22" s="294"/>
      <c r="C22" s="294"/>
      <c r="D22" s="294"/>
      <c r="E22" s="294"/>
      <c r="F22" s="294"/>
      <c r="G22" s="294"/>
      <c r="H22" s="295"/>
      <c r="I22" s="294"/>
      <c r="J22" s="214"/>
      <c r="K22" s="294"/>
      <c r="L22" s="294"/>
      <c r="M22" s="294"/>
      <c r="N22" s="294"/>
      <c r="O22" s="294"/>
      <c r="P22" s="294"/>
      <c r="Q22" s="294"/>
      <c r="R22" s="294"/>
    </row>
    <row r="23" spans="4:8">
      <c r="D23" s="213"/>
      <c r="F23" s="213"/>
      <c r="H23" s="296"/>
    </row>
    <row r="24" spans="8:8">
      <c r="H24" s="296"/>
    </row>
    <row r="25" spans="8:8">
      <c r="H25" s="296"/>
    </row>
    <row r="26" spans="8:8">
      <c r="H26" s="296"/>
    </row>
    <row r="27" spans="8:8">
      <c r="H27" s="296"/>
    </row>
    <row r="28" spans="8:8">
      <c r="H28" s="296"/>
    </row>
    <row r="29" spans="8:8">
      <c r="H29" s="296"/>
    </row>
    <row r="30" spans="8:8">
      <c r="H30" s="296"/>
    </row>
    <row r="31" spans="8:8">
      <c r="H31" s="296"/>
    </row>
    <row r="32" spans="8: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3"/>
      <c r="K1" s="273"/>
    </row>
    <row r="2" ht="14" spans="1:11">
      <c r="A2" s="275" t="s">
        <v>1008</v>
      </c>
      <c r="B2" s="275"/>
      <c r="C2" s="275"/>
      <c r="D2" s="275"/>
      <c r="E2" s="275"/>
      <c r="F2" s="275"/>
      <c r="G2" s="275"/>
      <c r="H2" s="275"/>
      <c r="I2" s="275"/>
      <c r="J2" s="274"/>
      <c r="K2" s="274"/>
    </row>
    <row r="3" ht="23.25" customHeight="1" spans="1:9">
      <c r="A3" s="276" t="s">
        <v>1009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9">
      <c r="A5" s="277" t="s">
        <v>20</v>
      </c>
      <c r="B5" s="277" t="s">
        <v>2</v>
      </c>
      <c r="C5" s="277" t="s">
        <v>3</v>
      </c>
      <c r="D5" s="278" t="s">
        <v>4</v>
      </c>
      <c r="E5" s="278" t="s">
        <v>1010</v>
      </c>
      <c r="F5" s="278" t="s">
        <v>1011</v>
      </c>
      <c r="G5" s="278" t="s">
        <v>1012</v>
      </c>
      <c r="H5" s="278" t="s">
        <v>1013</v>
      </c>
      <c r="I5" s="285" t="s">
        <v>1014</v>
      </c>
    </row>
    <row r="6" spans="2:2">
      <c r="B6" s="271" t="s">
        <v>21</v>
      </c>
    </row>
    <row r="7" spans="1:9">
      <c r="A7" s="279">
        <v>1</v>
      </c>
      <c r="B7" s="279" t="s">
        <v>236</v>
      </c>
      <c r="C7" s="279" t="s">
        <v>237</v>
      </c>
      <c r="D7" s="279" t="s">
        <v>1015</v>
      </c>
      <c r="E7" s="280">
        <v>35000</v>
      </c>
      <c r="F7" s="280">
        <v>35000</v>
      </c>
      <c r="G7" s="280">
        <v>35000</v>
      </c>
      <c r="H7" s="280">
        <v>35000</v>
      </c>
      <c r="I7" s="280">
        <f>E7+F7+G7+H7</f>
        <v>140000</v>
      </c>
    </row>
    <row r="8" spans="1:9">
      <c r="A8" s="279">
        <v>2</v>
      </c>
      <c r="B8" s="281" t="s">
        <v>1016</v>
      </c>
      <c r="C8" s="279" t="s">
        <v>1017</v>
      </c>
      <c r="D8" s="279" t="s">
        <v>231</v>
      </c>
      <c r="E8" s="280">
        <v>35000</v>
      </c>
      <c r="F8" s="280">
        <v>35000</v>
      </c>
      <c r="G8" s="280">
        <v>35000</v>
      </c>
      <c r="H8" s="280">
        <v>35000</v>
      </c>
      <c r="I8" s="280">
        <f t="shared" ref="I8:I27" si="0">E8+F8+G8+H8</f>
        <v>140000</v>
      </c>
    </row>
    <row r="9" spans="1:9">
      <c r="A9" s="279">
        <v>3</v>
      </c>
      <c r="B9" s="279" t="s">
        <v>239</v>
      </c>
      <c r="C9" s="279" t="s">
        <v>240</v>
      </c>
      <c r="D9" s="279" t="s">
        <v>234</v>
      </c>
      <c r="E9" s="280">
        <v>35000</v>
      </c>
      <c r="F9" s="280">
        <v>35000</v>
      </c>
      <c r="G9" s="280">
        <v>35000</v>
      </c>
      <c r="H9" s="280">
        <v>35000</v>
      </c>
      <c r="I9" s="280">
        <f t="shared" si="0"/>
        <v>140000</v>
      </c>
    </row>
    <row r="10" spans="1:9">
      <c r="A10" s="279">
        <v>4</v>
      </c>
      <c r="B10" s="279" t="s">
        <v>241</v>
      </c>
      <c r="C10" s="279" t="s">
        <v>242</v>
      </c>
      <c r="D10" s="279" t="s">
        <v>308</v>
      </c>
      <c r="E10" s="280">
        <v>35000</v>
      </c>
      <c r="F10" s="280">
        <v>35000</v>
      </c>
      <c r="G10" s="280">
        <v>35000</v>
      </c>
      <c r="H10" s="280">
        <v>35000</v>
      </c>
      <c r="I10" s="280">
        <f t="shared" si="0"/>
        <v>140000</v>
      </c>
    </row>
    <row r="11" spans="1:9">
      <c r="A11" s="279">
        <v>5</v>
      </c>
      <c r="B11" s="279" t="s">
        <v>363</v>
      </c>
      <c r="C11" s="279" t="s">
        <v>1018</v>
      </c>
      <c r="D11" s="279" t="s">
        <v>308</v>
      </c>
      <c r="E11" s="280">
        <v>35000</v>
      </c>
      <c r="F11" s="280">
        <v>35000</v>
      </c>
      <c r="G11" s="280">
        <v>35000</v>
      </c>
      <c r="H11" s="280">
        <v>35000</v>
      </c>
      <c r="I11" s="280">
        <f t="shared" si="0"/>
        <v>140000</v>
      </c>
    </row>
    <row r="12" spans="1:9">
      <c r="A12" s="279">
        <v>6</v>
      </c>
      <c r="B12" s="279" t="s">
        <v>243</v>
      </c>
      <c r="C12" s="279" t="s">
        <v>244</v>
      </c>
      <c r="D12" s="279" t="s">
        <v>308</v>
      </c>
      <c r="E12" s="280">
        <v>35000</v>
      </c>
      <c r="F12" s="280">
        <v>35000</v>
      </c>
      <c r="G12" s="280">
        <v>35000</v>
      </c>
      <c r="H12" s="280">
        <v>35000</v>
      </c>
      <c r="I12" s="280">
        <f t="shared" si="0"/>
        <v>140000</v>
      </c>
    </row>
    <row r="13" spans="1:9">
      <c r="A13" s="279">
        <v>7</v>
      </c>
      <c r="B13" s="279" t="s">
        <v>245</v>
      </c>
      <c r="C13" s="279" t="s">
        <v>246</v>
      </c>
      <c r="D13" s="279" t="s">
        <v>308</v>
      </c>
      <c r="E13" s="280">
        <v>35000</v>
      </c>
      <c r="F13" s="280">
        <v>35000</v>
      </c>
      <c r="G13" s="280">
        <v>35000</v>
      </c>
      <c r="H13" s="280">
        <v>35000</v>
      </c>
      <c r="I13" s="280">
        <f t="shared" si="0"/>
        <v>140000</v>
      </c>
    </row>
    <row r="14" spans="1:9">
      <c r="A14" s="279">
        <v>8</v>
      </c>
      <c r="B14" s="279" t="s">
        <v>247</v>
      </c>
      <c r="C14" s="279" t="s">
        <v>248</v>
      </c>
      <c r="D14" s="279" t="s">
        <v>249</v>
      </c>
      <c r="E14" s="280">
        <v>35000</v>
      </c>
      <c r="F14" s="280">
        <v>35000</v>
      </c>
      <c r="G14" s="280">
        <v>35000</v>
      </c>
      <c r="H14" s="280">
        <v>35000</v>
      </c>
      <c r="I14" s="280">
        <f t="shared" si="0"/>
        <v>140000</v>
      </c>
    </row>
    <row r="15" spans="1:9">
      <c r="A15" s="279">
        <v>9</v>
      </c>
      <c r="B15" s="279" t="s">
        <v>1019</v>
      </c>
      <c r="C15" s="279" t="s">
        <v>253</v>
      </c>
      <c r="D15" s="279" t="s">
        <v>257</v>
      </c>
      <c r="E15" s="280">
        <v>35000</v>
      </c>
      <c r="F15" s="280">
        <v>35000</v>
      </c>
      <c r="G15" s="280">
        <v>35000</v>
      </c>
      <c r="H15" s="280">
        <v>35000</v>
      </c>
      <c r="I15" s="280">
        <f t="shared" si="0"/>
        <v>140000</v>
      </c>
    </row>
    <row r="16" spans="1:9">
      <c r="A16" s="279">
        <v>11</v>
      </c>
      <c r="B16" s="279" t="s">
        <v>252</v>
      </c>
      <c r="C16" s="279" t="s">
        <v>253</v>
      </c>
      <c r="D16" s="279" t="s">
        <v>257</v>
      </c>
      <c r="E16" s="280">
        <v>35000</v>
      </c>
      <c r="F16" s="280">
        <v>35000</v>
      </c>
      <c r="G16" s="280">
        <v>35000</v>
      </c>
      <c r="H16" s="280">
        <v>35000</v>
      </c>
      <c r="I16" s="280">
        <f t="shared" si="0"/>
        <v>140000</v>
      </c>
    </row>
    <row r="17" spans="1:9">
      <c r="A17" s="279">
        <v>12</v>
      </c>
      <c r="B17" s="279" t="s">
        <v>264</v>
      </c>
      <c r="C17" s="279" t="s">
        <v>265</v>
      </c>
      <c r="D17" s="279" t="s">
        <v>950</v>
      </c>
      <c r="E17" s="280">
        <v>35000</v>
      </c>
      <c r="F17" s="280">
        <v>35000</v>
      </c>
      <c r="G17" s="280">
        <v>35000</v>
      </c>
      <c r="H17" s="280">
        <v>35000</v>
      </c>
      <c r="I17" s="280">
        <f t="shared" si="0"/>
        <v>140000</v>
      </c>
    </row>
    <row r="18" spans="1:9">
      <c r="A18" s="279">
        <v>13</v>
      </c>
      <c r="B18" s="279" t="s">
        <v>267</v>
      </c>
      <c r="C18" s="279" t="s">
        <v>268</v>
      </c>
      <c r="D18" s="279" t="s">
        <v>951</v>
      </c>
      <c r="E18" s="280">
        <v>35000</v>
      </c>
      <c r="F18" s="280">
        <v>35000</v>
      </c>
      <c r="G18" s="280">
        <v>35000</v>
      </c>
      <c r="H18" s="280">
        <v>35000</v>
      </c>
      <c r="I18" s="280">
        <f t="shared" si="0"/>
        <v>140000</v>
      </c>
    </row>
    <row r="19" spans="1:9">
      <c r="A19" s="279">
        <v>14</v>
      </c>
      <c r="B19" s="279" t="s">
        <v>270</v>
      </c>
      <c r="C19" s="279" t="s">
        <v>50</v>
      </c>
      <c r="D19" s="279" t="s">
        <v>332</v>
      </c>
      <c r="E19" s="280">
        <v>35000</v>
      </c>
      <c r="F19" s="280">
        <v>35000</v>
      </c>
      <c r="G19" s="280">
        <v>35000</v>
      </c>
      <c r="H19" s="280">
        <v>35000</v>
      </c>
      <c r="I19" s="280">
        <f t="shared" si="0"/>
        <v>140000</v>
      </c>
    </row>
    <row r="20" spans="1:9">
      <c r="A20" s="279">
        <v>16</v>
      </c>
      <c r="B20" s="279" t="s">
        <v>280</v>
      </c>
      <c r="C20" s="279" t="s">
        <v>176</v>
      </c>
      <c r="D20" s="279" t="s">
        <v>283</v>
      </c>
      <c r="E20" s="280">
        <v>35000</v>
      </c>
      <c r="F20" s="280">
        <v>35000</v>
      </c>
      <c r="G20" s="280">
        <v>35000</v>
      </c>
      <c r="H20" s="280">
        <v>35000</v>
      </c>
      <c r="I20" s="280">
        <f t="shared" si="0"/>
        <v>140000</v>
      </c>
    </row>
    <row r="21" spans="1:9">
      <c r="A21" s="279">
        <v>17</v>
      </c>
      <c r="B21" s="279" t="s">
        <v>1020</v>
      </c>
      <c r="C21" s="279" t="s">
        <v>1021</v>
      </c>
      <c r="D21" s="279" t="s">
        <v>283</v>
      </c>
      <c r="E21" s="280">
        <v>35000</v>
      </c>
      <c r="F21" s="280">
        <v>35000</v>
      </c>
      <c r="G21" s="280">
        <v>35000</v>
      </c>
      <c r="H21" s="280">
        <v>35000</v>
      </c>
      <c r="I21" s="280">
        <f t="shared" si="0"/>
        <v>140000</v>
      </c>
    </row>
    <row r="22" spans="1:9">
      <c r="A22" s="279">
        <v>18</v>
      </c>
      <c r="B22" s="279" t="s">
        <v>282</v>
      </c>
      <c r="C22" s="279" t="s">
        <v>967</v>
      </c>
      <c r="D22" s="279" t="s">
        <v>945</v>
      </c>
      <c r="E22" s="280">
        <v>35000</v>
      </c>
      <c r="F22" s="280">
        <v>35000</v>
      </c>
      <c r="G22" s="280">
        <v>35000</v>
      </c>
      <c r="H22" s="280">
        <v>35000</v>
      </c>
      <c r="I22" s="280">
        <f t="shared" si="0"/>
        <v>140000</v>
      </c>
    </row>
    <row r="23" spans="1:9">
      <c r="A23" s="279">
        <v>19</v>
      </c>
      <c r="B23" s="279" t="s">
        <v>284</v>
      </c>
      <c r="C23" s="279" t="s">
        <v>1022</v>
      </c>
      <c r="D23" s="279" t="s">
        <v>945</v>
      </c>
      <c r="E23" s="280">
        <v>35000</v>
      </c>
      <c r="F23" s="280">
        <v>35000</v>
      </c>
      <c r="G23" s="280">
        <v>35000</v>
      </c>
      <c r="H23" s="280">
        <v>35000</v>
      </c>
      <c r="I23" s="280">
        <f t="shared" si="0"/>
        <v>140000</v>
      </c>
    </row>
    <row r="24" spans="1:9">
      <c r="A24" s="279">
        <v>20</v>
      </c>
      <c r="B24" s="279" t="s">
        <v>287</v>
      </c>
      <c r="C24" s="279" t="s">
        <v>288</v>
      </c>
      <c r="D24" s="279" t="s">
        <v>283</v>
      </c>
      <c r="E24" s="280">
        <v>35000</v>
      </c>
      <c r="F24" s="280">
        <v>35000</v>
      </c>
      <c r="G24" s="280">
        <v>35000</v>
      </c>
      <c r="H24" s="280">
        <v>35000</v>
      </c>
      <c r="I24" s="280">
        <f t="shared" si="0"/>
        <v>140000</v>
      </c>
    </row>
    <row r="25" spans="1:9">
      <c r="A25" s="279">
        <v>21</v>
      </c>
      <c r="B25" s="279" t="s">
        <v>289</v>
      </c>
      <c r="C25" s="279" t="s">
        <v>290</v>
      </c>
      <c r="D25" s="279" t="s">
        <v>294</v>
      </c>
      <c r="E25" s="280">
        <v>35000</v>
      </c>
      <c r="F25" s="280">
        <v>35000</v>
      </c>
      <c r="G25" s="280">
        <v>35000</v>
      </c>
      <c r="H25" s="280">
        <v>35000</v>
      </c>
      <c r="I25" s="280">
        <f t="shared" si="0"/>
        <v>140000</v>
      </c>
    </row>
    <row r="26" spans="1:9">
      <c r="A26" s="279">
        <v>22</v>
      </c>
      <c r="B26" s="279" t="s">
        <v>933</v>
      </c>
      <c r="C26" s="279" t="s">
        <v>293</v>
      </c>
      <c r="D26" s="279" t="s">
        <v>294</v>
      </c>
      <c r="E26" s="280">
        <v>35000</v>
      </c>
      <c r="F26" s="280">
        <v>35000</v>
      </c>
      <c r="G26" s="280">
        <v>35000</v>
      </c>
      <c r="H26" s="280">
        <v>35000</v>
      </c>
      <c r="I26" s="280">
        <f t="shared" si="0"/>
        <v>140000</v>
      </c>
    </row>
    <row r="27" spans="1:9">
      <c r="A27" s="279">
        <v>23</v>
      </c>
      <c r="B27" s="279" t="s">
        <v>292</v>
      </c>
      <c r="C27" s="279" t="s">
        <v>293</v>
      </c>
      <c r="D27" s="279" t="s">
        <v>30</v>
      </c>
      <c r="E27" s="282">
        <v>35000</v>
      </c>
      <c r="F27" s="282">
        <v>35000</v>
      </c>
      <c r="G27" s="282">
        <v>35000</v>
      </c>
      <c r="H27" s="282">
        <v>35000</v>
      </c>
      <c r="I27" s="282">
        <f t="shared" si="0"/>
        <v>140000</v>
      </c>
    </row>
    <row r="28" spans="1:9">
      <c r="A28" s="279"/>
      <c r="B28" s="283" t="s">
        <v>1023</v>
      </c>
      <c r="C28" s="279"/>
      <c r="D28" s="279"/>
      <c r="E28" s="284">
        <f>SUM(E7:E27)</f>
        <v>735000</v>
      </c>
      <c r="F28" s="284">
        <f>SUM(F7:F27)</f>
        <v>735000</v>
      </c>
      <c r="G28" s="284">
        <f>SUM(G7:G27)</f>
        <v>735000</v>
      </c>
      <c r="H28" s="284">
        <f>SUM(H7:H27)</f>
        <v>735000</v>
      </c>
      <c r="I28" s="284">
        <f>SUM(I7:I27)</f>
        <v>2940000</v>
      </c>
    </row>
    <row r="29" spans="5:9">
      <c r="E29" s="269"/>
      <c r="F29" s="269"/>
      <c r="G29" s="269"/>
      <c r="H29" s="269"/>
      <c r="I29" s="269"/>
    </row>
    <row r="30" spans="2:9">
      <c r="B30" s="271" t="s">
        <v>34</v>
      </c>
      <c r="E30" s="269"/>
      <c r="F30" s="269"/>
      <c r="G30" s="269"/>
      <c r="H30" s="269"/>
      <c r="I30" s="269"/>
    </row>
    <row r="31" spans="1:9">
      <c r="A31" s="279">
        <v>1</v>
      </c>
      <c r="B31" s="279" t="s">
        <v>295</v>
      </c>
      <c r="C31" s="279" t="s">
        <v>296</v>
      </c>
      <c r="D31" s="279" t="s">
        <v>297</v>
      </c>
      <c r="E31" s="280">
        <v>35000</v>
      </c>
      <c r="F31" s="280">
        <v>35000</v>
      </c>
      <c r="G31" s="280">
        <v>35000</v>
      </c>
      <c r="H31" s="280">
        <v>35000</v>
      </c>
      <c r="I31" s="280">
        <f>E31+F31+G31+H31</f>
        <v>140000</v>
      </c>
    </row>
    <row r="32" spans="1:9">
      <c r="A32" s="279">
        <v>2</v>
      </c>
      <c r="B32" s="279" t="s">
        <v>298</v>
      </c>
      <c r="C32" s="279" t="s">
        <v>537</v>
      </c>
      <c r="D32" s="279" t="s">
        <v>30</v>
      </c>
      <c r="E32" s="282">
        <v>35000</v>
      </c>
      <c r="F32" s="282">
        <v>35000</v>
      </c>
      <c r="G32" s="282">
        <v>35000</v>
      </c>
      <c r="H32" s="282">
        <v>35000</v>
      </c>
      <c r="I32" s="280">
        <f>E32+F32+G32+H32</f>
        <v>140000</v>
      </c>
    </row>
    <row r="33" spans="1:9">
      <c r="A33" s="279"/>
      <c r="B33" s="283" t="s">
        <v>1024</v>
      </c>
      <c r="C33" s="279"/>
      <c r="D33" s="279"/>
      <c r="E33" s="284">
        <f>SUM(E31:E32)</f>
        <v>70000</v>
      </c>
      <c r="F33" s="284">
        <f t="shared" ref="F33:I33" si="1">SUM(F31:F32)</f>
        <v>70000</v>
      </c>
      <c r="G33" s="284">
        <f t="shared" si="1"/>
        <v>70000</v>
      </c>
      <c r="H33" s="284">
        <f t="shared" si="1"/>
        <v>70000</v>
      </c>
      <c r="I33" s="284">
        <f t="shared" si="1"/>
        <v>280000</v>
      </c>
    </row>
    <row r="34" spans="5:9">
      <c r="E34" s="269"/>
      <c r="F34" s="269"/>
      <c r="G34" s="269"/>
      <c r="H34" s="269"/>
      <c r="I34" s="269"/>
    </row>
    <row r="35" spans="2:9">
      <c r="B35" s="271" t="s">
        <v>38</v>
      </c>
      <c r="E35" s="269"/>
      <c r="F35" s="269"/>
      <c r="G35" s="269"/>
      <c r="H35" s="269"/>
      <c r="I35" s="269"/>
    </row>
    <row r="36" spans="1:9">
      <c r="A36" s="279">
        <v>1</v>
      </c>
      <c r="B36" s="279" t="s">
        <v>302</v>
      </c>
      <c r="C36" s="279" t="s">
        <v>303</v>
      </c>
      <c r="D36" s="279" t="s">
        <v>297</v>
      </c>
      <c r="E36" s="280">
        <v>35000</v>
      </c>
      <c r="F36" s="280">
        <v>35000</v>
      </c>
      <c r="G36" s="280">
        <v>35000</v>
      </c>
      <c r="H36" s="280">
        <v>35000</v>
      </c>
      <c r="I36" s="280">
        <f>E36+F36+G36+H36</f>
        <v>140000</v>
      </c>
    </row>
    <row r="37" spans="1:9">
      <c r="A37" s="279">
        <v>2</v>
      </c>
      <c r="B37" s="279" t="s">
        <v>304</v>
      </c>
      <c r="C37" s="279" t="s">
        <v>305</v>
      </c>
      <c r="D37" s="279" t="s">
        <v>249</v>
      </c>
      <c r="E37" s="280">
        <v>35000</v>
      </c>
      <c r="F37" s="280">
        <v>35000</v>
      </c>
      <c r="G37" s="280">
        <v>35000</v>
      </c>
      <c r="H37" s="280">
        <v>35000</v>
      </c>
      <c r="I37" s="280">
        <f t="shared" ref="I37:I48" si="2">E37+F37+G37+H37</f>
        <v>140000</v>
      </c>
    </row>
    <row r="38" spans="1:9">
      <c r="A38" s="279">
        <v>3</v>
      </c>
      <c r="B38" s="279" t="s">
        <v>306</v>
      </c>
      <c r="C38" s="279" t="s">
        <v>310</v>
      </c>
      <c r="D38" s="279" t="s">
        <v>249</v>
      </c>
      <c r="E38" s="280">
        <v>35000</v>
      </c>
      <c r="F38" s="280">
        <v>35000</v>
      </c>
      <c r="G38" s="280">
        <v>35000</v>
      </c>
      <c r="H38" s="280">
        <v>35000</v>
      </c>
      <c r="I38" s="280">
        <f t="shared" si="2"/>
        <v>140000</v>
      </c>
    </row>
    <row r="39" spans="1:9">
      <c r="A39" s="279">
        <v>4</v>
      </c>
      <c r="B39" s="279" t="s">
        <v>309</v>
      </c>
      <c r="C39" s="279" t="s">
        <v>310</v>
      </c>
      <c r="D39" s="279" t="s">
        <v>249</v>
      </c>
      <c r="E39" s="280">
        <v>35000</v>
      </c>
      <c r="F39" s="280">
        <v>35000</v>
      </c>
      <c r="G39" s="280">
        <v>35000</v>
      </c>
      <c r="H39" s="280">
        <v>35000</v>
      </c>
      <c r="I39" s="280">
        <f t="shared" si="2"/>
        <v>140000</v>
      </c>
    </row>
    <row r="40" spans="1:9">
      <c r="A40" s="279">
        <v>5</v>
      </c>
      <c r="B40" s="279" t="s">
        <v>311</v>
      </c>
      <c r="C40" s="279" t="s">
        <v>310</v>
      </c>
      <c r="D40" s="279" t="s">
        <v>327</v>
      </c>
      <c r="E40" s="280">
        <v>35000</v>
      </c>
      <c r="F40" s="280">
        <v>35000</v>
      </c>
      <c r="G40" s="280">
        <v>35000</v>
      </c>
      <c r="H40" s="280">
        <v>35000</v>
      </c>
      <c r="I40" s="280">
        <f t="shared" si="2"/>
        <v>140000</v>
      </c>
    </row>
    <row r="41" spans="1:9">
      <c r="A41" s="279">
        <v>6</v>
      </c>
      <c r="B41" s="279" t="s">
        <v>312</v>
      </c>
      <c r="C41" s="279" t="s">
        <v>259</v>
      </c>
      <c r="D41" s="279" t="s">
        <v>257</v>
      </c>
      <c r="E41" s="280">
        <v>35000</v>
      </c>
      <c r="F41" s="280">
        <v>35000</v>
      </c>
      <c r="G41" s="280">
        <v>35000</v>
      </c>
      <c r="H41" s="280">
        <v>35000</v>
      </c>
      <c r="I41" s="280">
        <f t="shared" si="2"/>
        <v>140000</v>
      </c>
    </row>
    <row r="42" spans="1:9">
      <c r="A42" s="279">
        <v>7</v>
      </c>
      <c r="B42" s="279" t="s">
        <v>313</v>
      </c>
      <c r="C42" s="279" t="s">
        <v>256</v>
      </c>
      <c r="D42" s="279" t="s">
        <v>257</v>
      </c>
      <c r="E42" s="280">
        <v>35000</v>
      </c>
      <c r="F42" s="280">
        <v>35000</v>
      </c>
      <c r="G42" s="280">
        <v>35000</v>
      </c>
      <c r="H42" s="280">
        <v>35000</v>
      </c>
      <c r="I42" s="280">
        <f t="shared" si="2"/>
        <v>140000</v>
      </c>
    </row>
    <row r="43" spans="1:9">
      <c r="A43" s="279">
        <v>8</v>
      </c>
      <c r="B43" s="279" t="s">
        <v>1025</v>
      </c>
      <c r="C43" s="279" t="s">
        <v>256</v>
      </c>
      <c r="D43" s="279" t="s">
        <v>342</v>
      </c>
      <c r="E43" s="280">
        <v>35000</v>
      </c>
      <c r="F43" s="280">
        <v>35000</v>
      </c>
      <c r="G43" s="280">
        <v>35000</v>
      </c>
      <c r="H43" s="280">
        <v>35000</v>
      </c>
      <c r="I43" s="280">
        <f t="shared" si="2"/>
        <v>140000</v>
      </c>
    </row>
    <row r="44" spans="1:9">
      <c r="A44" s="279">
        <v>9</v>
      </c>
      <c r="B44" s="279" t="s">
        <v>258</v>
      </c>
      <c r="C44" s="279" t="s">
        <v>353</v>
      </c>
      <c r="D44" s="279" t="s">
        <v>266</v>
      </c>
      <c r="E44" s="280">
        <v>35000</v>
      </c>
      <c r="F44" s="280">
        <v>35000</v>
      </c>
      <c r="G44" s="280">
        <v>35000</v>
      </c>
      <c r="H44" s="280">
        <v>35000</v>
      </c>
      <c r="I44" s="280">
        <f t="shared" si="2"/>
        <v>140000</v>
      </c>
    </row>
    <row r="45" spans="1:9">
      <c r="A45" s="279">
        <v>10</v>
      </c>
      <c r="B45" s="279" t="s">
        <v>314</v>
      </c>
      <c r="C45" s="279" t="s">
        <v>63</v>
      </c>
      <c r="D45" s="279" t="s">
        <v>37</v>
      </c>
      <c r="E45" s="280">
        <v>35000</v>
      </c>
      <c r="F45" s="280">
        <v>35000</v>
      </c>
      <c r="G45" s="280">
        <v>35000</v>
      </c>
      <c r="H45" s="280">
        <v>35000</v>
      </c>
      <c r="I45" s="280">
        <f t="shared" si="2"/>
        <v>140000</v>
      </c>
    </row>
    <row r="46" spans="1:9">
      <c r="A46" s="279">
        <v>11</v>
      </c>
      <c r="B46" s="279" t="s">
        <v>315</v>
      </c>
      <c r="C46" s="279" t="s">
        <v>63</v>
      </c>
      <c r="D46" s="279" t="s">
        <v>24</v>
      </c>
      <c r="E46" s="280">
        <v>35000</v>
      </c>
      <c r="F46" s="280">
        <v>35000</v>
      </c>
      <c r="G46" s="280">
        <v>35000</v>
      </c>
      <c r="H46" s="280">
        <v>35000</v>
      </c>
      <c r="I46" s="280">
        <f t="shared" si="2"/>
        <v>140000</v>
      </c>
    </row>
    <row r="47" spans="1:9">
      <c r="A47" s="279">
        <v>12</v>
      </c>
      <c r="B47" s="279" t="s">
        <v>316</v>
      </c>
      <c r="C47" s="279" t="s">
        <v>63</v>
      </c>
      <c r="D47" s="279" t="s">
        <v>24</v>
      </c>
      <c r="E47" s="280">
        <v>35000</v>
      </c>
      <c r="F47" s="280">
        <v>35000</v>
      </c>
      <c r="G47" s="280">
        <v>35000</v>
      </c>
      <c r="H47" s="280">
        <v>35000</v>
      </c>
      <c r="I47" s="280">
        <f t="shared" si="2"/>
        <v>140000</v>
      </c>
    </row>
    <row r="48" spans="1:9">
      <c r="A48" s="279">
        <v>13</v>
      </c>
      <c r="B48" s="279" t="s">
        <v>317</v>
      </c>
      <c r="C48" s="279" t="s">
        <v>63</v>
      </c>
      <c r="D48" s="279" t="s">
        <v>24</v>
      </c>
      <c r="E48" s="282">
        <v>35000</v>
      </c>
      <c r="F48" s="282">
        <v>35000</v>
      </c>
      <c r="G48" s="282">
        <v>35000</v>
      </c>
      <c r="H48" s="282">
        <v>35000</v>
      </c>
      <c r="I48" s="282">
        <f t="shared" si="2"/>
        <v>140000</v>
      </c>
    </row>
    <row r="49" spans="1:9">
      <c r="A49" s="279"/>
      <c r="B49" s="283" t="s">
        <v>1026</v>
      </c>
      <c r="C49" s="279"/>
      <c r="D49" s="279"/>
      <c r="E49" s="284">
        <f>SUM(E36:E48)</f>
        <v>455000</v>
      </c>
      <c r="F49" s="284">
        <f t="shared" ref="F49:I49" si="3">SUM(F36:F48)</f>
        <v>455000</v>
      </c>
      <c r="G49" s="284">
        <f t="shared" si="3"/>
        <v>455000</v>
      </c>
      <c r="H49" s="284">
        <f t="shared" si="3"/>
        <v>455000</v>
      </c>
      <c r="I49" s="284">
        <f t="shared" si="3"/>
        <v>1820000</v>
      </c>
    </row>
    <row r="50" spans="5:9">
      <c r="E50" s="269"/>
      <c r="F50" s="269"/>
      <c r="G50" s="269"/>
      <c r="H50" s="269"/>
      <c r="I50" s="269"/>
    </row>
    <row r="51" spans="2:9">
      <c r="B51" s="271" t="s">
        <v>318</v>
      </c>
      <c r="E51" s="269"/>
      <c r="F51" s="269"/>
      <c r="G51" s="269"/>
      <c r="H51" s="269"/>
      <c r="I51" s="269"/>
    </row>
    <row r="52" spans="1:9">
      <c r="A52" s="279">
        <v>1</v>
      </c>
      <c r="B52" s="281" t="s">
        <v>319</v>
      </c>
      <c r="C52" s="279" t="s">
        <v>320</v>
      </c>
      <c r="D52" s="279" t="s">
        <v>297</v>
      </c>
      <c r="E52" s="280">
        <v>35000</v>
      </c>
      <c r="F52" s="280">
        <v>35000</v>
      </c>
      <c r="G52" s="280">
        <v>35000</v>
      </c>
      <c r="H52" s="280">
        <v>35000</v>
      </c>
      <c r="I52" s="280">
        <f>E52+F52+G52+H52</f>
        <v>140000</v>
      </c>
    </row>
    <row r="53" spans="1:9">
      <c r="A53" s="279">
        <v>2</v>
      </c>
      <c r="B53" s="279" t="s">
        <v>321</v>
      </c>
      <c r="C53" s="279" t="s">
        <v>322</v>
      </c>
      <c r="D53" s="279" t="s">
        <v>222</v>
      </c>
      <c r="E53" s="282">
        <v>35000</v>
      </c>
      <c r="F53" s="282">
        <v>35000</v>
      </c>
      <c r="G53" s="282">
        <v>35000</v>
      </c>
      <c r="H53" s="282">
        <v>35000</v>
      </c>
      <c r="I53" s="282">
        <f>E53+F53+G53+H53</f>
        <v>140000</v>
      </c>
    </row>
    <row r="54" spans="1:9">
      <c r="A54" s="279"/>
      <c r="B54" s="283" t="s">
        <v>1027</v>
      </c>
      <c r="C54" s="279"/>
      <c r="D54" s="279"/>
      <c r="E54" s="284">
        <f>SUM(E52:E53)</f>
        <v>70000</v>
      </c>
      <c r="F54" s="284">
        <f t="shared" ref="F54:I54" si="4">SUM(F52:F53)</f>
        <v>70000</v>
      </c>
      <c r="G54" s="284">
        <f t="shared" si="4"/>
        <v>70000</v>
      </c>
      <c r="H54" s="284">
        <f t="shared" si="4"/>
        <v>70000</v>
      </c>
      <c r="I54" s="284">
        <f t="shared" si="4"/>
        <v>280000</v>
      </c>
    </row>
    <row r="55" spans="5:9">
      <c r="E55" s="269"/>
      <c r="F55" s="269"/>
      <c r="G55" s="269"/>
      <c r="H55" s="269"/>
      <c r="I55" s="269"/>
    </row>
    <row r="56" spans="2:9">
      <c r="B56" s="271" t="s">
        <v>44</v>
      </c>
      <c r="E56" s="269"/>
      <c r="F56" s="269"/>
      <c r="G56" s="269"/>
      <c r="H56" s="269"/>
      <c r="I56" s="269"/>
    </row>
    <row r="57" spans="1:9">
      <c r="A57" s="279">
        <v>1</v>
      </c>
      <c r="B57" s="279" t="s">
        <v>323</v>
      </c>
      <c r="C57" s="279" t="s">
        <v>324</v>
      </c>
      <c r="D57" s="279" t="s">
        <v>297</v>
      </c>
      <c r="E57" s="280">
        <v>35000</v>
      </c>
      <c r="F57" s="280">
        <v>35000</v>
      </c>
      <c r="G57" s="280">
        <v>35000</v>
      </c>
      <c r="H57" s="280">
        <v>35000</v>
      </c>
      <c r="I57" s="280">
        <f>E57+F57+G57+H57</f>
        <v>140000</v>
      </c>
    </row>
    <row r="58" spans="1:9">
      <c r="A58" s="279">
        <v>2</v>
      </c>
      <c r="B58" s="279" t="s">
        <v>325</v>
      </c>
      <c r="C58" s="279" t="s">
        <v>326</v>
      </c>
      <c r="D58" s="279" t="s">
        <v>952</v>
      </c>
      <c r="E58" s="280">
        <v>35000</v>
      </c>
      <c r="F58" s="280">
        <v>35000</v>
      </c>
      <c r="G58" s="280">
        <v>35000</v>
      </c>
      <c r="H58" s="280">
        <v>35000</v>
      </c>
      <c r="I58" s="280">
        <f t="shared" ref="I58:I68" si="5">E58+F58+G58+H58</f>
        <v>140000</v>
      </c>
    </row>
    <row r="59" spans="1:9">
      <c r="A59" s="279">
        <v>3</v>
      </c>
      <c r="B59" s="279" t="s">
        <v>328</v>
      </c>
      <c r="C59" s="279" t="s">
        <v>46</v>
      </c>
      <c r="D59" s="279" t="s">
        <v>266</v>
      </c>
      <c r="E59" s="280">
        <v>35000</v>
      </c>
      <c r="F59" s="280">
        <v>35000</v>
      </c>
      <c r="G59" s="280">
        <v>35000</v>
      </c>
      <c r="H59" s="280">
        <v>35000</v>
      </c>
      <c r="I59" s="280">
        <f t="shared" si="5"/>
        <v>140000</v>
      </c>
    </row>
    <row r="60" spans="1:9">
      <c r="A60" s="279">
        <v>4</v>
      </c>
      <c r="B60" s="279" t="s">
        <v>329</v>
      </c>
      <c r="C60" s="279" t="s">
        <v>46</v>
      </c>
      <c r="D60" s="279" t="s">
        <v>950</v>
      </c>
      <c r="E60" s="280">
        <v>35000</v>
      </c>
      <c r="F60" s="280">
        <v>35000</v>
      </c>
      <c r="G60" s="280">
        <v>35000</v>
      </c>
      <c r="H60" s="280">
        <v>35000</v>
      </c>
      <c r="I60" s="280">
        <f t="shared" si="5"/>
        <v>140000</v>
      </c>
    </row>
    <row r="61" spans="1:9">
      <c r="A61" s="279">
        <v>5</v>
      </c>
      <c r="B61" s="279" t="s">
        <v>330</v>
      </c>
      <c r="C61" s="279" t="s">
        <v>256</v>
      </c>
      <c r="D61" s="279" t="s">
        <v>257</v>
      </c>
      <c r="E61" s="280">
        <v>35000</v>
      </c>
      <c r="F61" s="280">
        <v>35000</v>
      </c>
      <c r="G61" s="280">
        <v>35000</v>
      </c>
      <c r="H61" s="280">
        <v>35000</v>
      </c>
      <c r="I61" s="280">
        <f t="shared" si="5"/>
        <v>140000</v>
      </c>
    </row>
    <row r="62" spans="1:9">
      <c r="A62" s="279">
        <v>6</v>
      </c>
      <c r="B62" s="279" t="s">
        <v>255</v>
      </c>
      <c r="C62" s="279" t="s">
        <v>256</v>
      </c>
      <c r="D62" s="279" t="s">
        <v>342</v>
      </c>
      <c r="E62" s="280">
        <v>35000</v>
      </c>
      <c r="F62" s="280">
        <v>35000</v>
      </c>
      <c r="G62" s="280">
        <v>35000</v>
      </c>
      <c r="H62" s="280">
        <v>35000</v>
      </c>
      <c r="I62" s="280">
        <f t="shared" si="5"/>
        <v>140000</v>
      </c>
    </row>
    <row r="63" spans="1:9">
      <c r="A63" s="279">
        <v>7</v>
      </c>
      <c r="B63" s="279" t="s">
        <v>331</v>
      </c>
      <c r="C63" s="279" t="s">
        <v>63</v>
      </c>
      <c r="D63" s="279" t="s">
        <v>41</v>
      </c>
      <c r="E63" s="280">
        <v>35000</v>
      </c>
      <c r="F63" s="280">
        <v>35000</v>
      </c>
      <c r="G63" s="280">
        <v>35000</v>
      </c>
      <c r="H63" s="280">
        <v>35000</v>
      </c>
      <c r="I63" s="280">
        <f t="shared" si="5"/>
        <v>140000</v>
      </c>
    </row>
    <row r="64" spans="1:9">
      <c r="A64" s="279">
        <v>8</v>
      </c>
      <c r="B64" s="279" t="s">
        <v>333</v>
      </c>
      <c r="C64" s="279" t="s">
        <v>275</v>
      </c>
      <c r="D64" s="279" t="s">
        <v>41</v>
      </c>
      <c r="E64" s="280">
        <v>35000</v>
      </c>
      <c r="F64" s="280">
        <v>35000</v>
      </c>
      <c r="G64" s="280">
        <v>35000</v>
      </c>
      <c r="H64" s="280">
        <v>35000</v>
      </c>
      <c r="I64" s="280">
        <f t="shared" si="5"/>
        <v>140000</v>
      </c>
    </row>
    <row r="65" spans="1:9">
      <c r="A65" s="279">
        <v>9</v>
      </c>
      <c r="B65" s="279" t="s">
        <v>334</v>
      </c>
      <c r="C65" s="279" t="s">
        <v>275</v>
      </c>
      <c r="D65" s="279" t="s">
        <v>41</v>
      </c>
      <c r="E65" s="280">
        <v>35000</v>
      </c>
      <c r="F65" s="280">
        <v>35000</v>
      </c>
      <c r="G65" s="280">
        <v>35000</v>
      </c>
      <c r="H65" s="280">
        <v>35000</v>
      </c>
      <c r="I65" s="280">
        <f t="shared" si="5"/>
        <v>140000</v>
      </c>
    </row>
    <row r="66" spans="1:9">
      <c r="A66" s="279">
        <v>10</v>
      </c>
      <c r="B66" s="279" t="s">
        <v>335</v>
      </c>
      <c r="C66" s="279" t="s">
        <v>336</v>
      </c>
      <c r="D66" s="279" t="s">
        <v>332</v>
      </c>
      <c r="E66" s="280">
        <v>35000</v>
      </c>
      <c r="F66" s="280">
        <v>35000</v>
      </c>
      <c r="G66" s="280">
        <v>35000</v>
      </c>
      <c r="H66" s="280">
        <v>35000</v>
      </c>
      <c r="I66" s="280">
        <f t="shared" si="5"/>
        <v>140000</v>
      </c>
    </row>
    <row r="67" spans="1:9">
      <c r="A67" s="279">
        <v>11</v>
      </c>
      <c r="B67" s="279" t="s">
        <v>281</v>
      </c>
      <c r="C67" s="279" t="s">
        <v>273</v>
      </c>
      <c r="D67" s="279" t="s">
        <v>283</v>
      </c>
      <c r="E67" s="280">
        <v>35000</v>
      </c>
      <c r="F67" s="280">
        <v>35000</v>
      </c>
      <c r="G67" s="280">
        <v>35000</v>
      </c>
      <c r="H67" s="280">
        <v>35000</v>
      </c>
      <c r="I67" s="280">
        <f t="shared" si="5"/>
        <v>140000</v>
      </c>
    </row>
    <row r="68" spans="1:9">
      <c r="A68" s="279">
        <v>12</v>
      </c>
      <c r="B68" s="279" t="s">
        <v>272</v>
      </c>
      <c r="C68" s="279" t="s">
        <v>273</v>
      </c>
      <c r="D68" s="279" t="s">
        <v>294</v>
      </c>
      <c r="E68" s="282">
        <v>35000</v>
      </c>
      <c r="F68" s="282">
        <v>35000</v>
      </c>
      <c r="G68" s="282">
        <v>35000</v>
      </c>
      <c r="H68" s="282">
        <v>35000</v>
      </c>
      <c r="I68" s="282">
        <f t="shared" si="5"/>
        <v>140000</v>
      </c>
    </row>
    <row r="69" spans="1:9">
      <c r="A69" s="279"/>
      <c r="B69" s="283" t="s">
        <v>1028</v>
      </c>
      <c r="C69" s="279"/>
      <c r="D69" s="279"/>
      <c r="E69" s="284">
        <f>SUM(E57:E68)</f>
        <v>420000</v>
      </c>
      <c r="F69" s="284">
        <f t="shared" ref="F69:I69" si="6">SUM(F57:F68)</f>
        <v>420000</v>
      </c>
      <c r="G69" s="284">
        <f t="shared" si="6"/>
        <v>420000</v>
      </c>
      <c r="H69" s="284">
        <f t="shared" si="6"/>
        <v>420000</v>
      </c>
      <c r="I69" s="284">
        <f t="shared" si="6"/>
        <v>1680000</v>
      </c>
    </row>
    <row r="70" spans="5:9">
      <c r="E70" s="269"/>
      <c r="F70" s="269"/>
      <c r="G70" s="269"/>
      <c r="H70" s="269"/>
      <c r="I70" s="269"/>
    </row>
    <row r="71" spans="2:9">
      <c r="B71" s="271" t="s">
        <v>51</v>
      </c>
      <c r="E71" s="269"/>
      <c r="F71" s="269"/>
      <c r="G71" s="269"/>
      <c r="H71" s="269"/>
      <c r="I71" s="269"/>
    </row>
    <row r="72" spans="1:9">
      <c r="A72" s="279">
        <v>1</v>
      </c>
      <c r="B72" s="279" t="s">
        <v>338</v>
      </c>
      <c r="C72" s="279" t="s">
        <v>339</v>
      </c>
      <c r="D72" s="279" t="s">
        <v>297</v>
      </c>
      <c r="E72" s="280">
        <v>35000</v>
      </c>
      <c r="F72" s="280">
        <v>35000</v>
      </c>
      <c r="G72" s="280">
        <v>35000</v>
      </c>
      <c r="H72" s="280">
        <v>35000</v>
      </c>
      <c r="I72" s="280">
        <f>E72+F72+G72+H72</f>
        <v>140000</v>
      </c>
    </row>
    <row r="73" spans="1:9">
      <c r="A73" s="279">
        <v>2</v>
      </c>
      <c r="B73" s="279" t="s">
        <v>220</v>
      </c>
      <c r="C73" s="279" t="s">
        <v>221</v>
      </c>
      <c r="D73" s="279" t="s">
        <v>952</v>
      </c>
      <c r="E73" s="280">
        <v>35000</v>
      </c>
      <c r="F73" s="280">
        <v>35000</v>
      </c>
      <c r="G73" s="280">
        <v>35000</v>
      </c>
      <c r="H73" s="280">
        <v>35000</v>
      </c>
      <c r="I73" s="280">
        <f t="shared" ref="I73:I78" si="7">E73+F73+G73+H73</f>
        <v>140000</v>
      </c>
    </row>
    <row r="74" spans="1:9">
      <c r="A74" s="279">
        <v>3</v>
      </c>
      <c r="B74" s="279" t="s">
        <v>223</v>
      </c>
      <c r="C74" s="279" t="s">
        <v>224</v>
      </c>
      <c r="D74" s="279" t="s">
        <v>222</v>
      </c>
      <c r="E74" s="280">
        <v>35000</v>
      </c>
      <c r="F74" s="280">
        <v>35000</v>
      </c>
      <c r="G74" s="280">
        <v>35000</v>
      </c>
      <c r="H74" s="280">
        <v>35000</v>
      </c>
      <c r="I74" s="280">
        <f t="shared" si="7"/>
        <v>140000</v>
      </c>
    </row>
    <row r="75" spans="1:9">
      <c r="A75" s="279">
        <v>4</v>
      </c>
      <c r="B75" s="279" t="s">
        <v>340</v>
      </c>
      <c r="C75" s="279" t="s">
        <v>968</v>
      </c>
      <c r="D75" s="279" t="s">
        <v>266</v>
      </c>
      <c r="E75" s="280">
        <v>35000</v>
      </c>
      <c r="F75" s="280">
        <v>35000</v>
      </c>
      <c r="G75" s="280">
        <v>35000</v>
      </c>
      <c r="H75" s="280">
        <v>35000</v>
      </c>
      <c r="I75" s="280">
        <f t="shared" si="7"/>
        <v>140000</v>
      </c>
    </row>
    <row r="76" spans="1:9">
      <c r="A76" s="279">
        <v>5</v>
      </c>
      <c r="B76" s="279" t="s">
        <v>343</v>
      </c>
      <c r="C76" s="279" t="s">
        <v>344</v>
      </c>
      <c r="D76" s="279" t="s">
        <v>301</v>
      </c>
      <c r="E76" s="280">
        <v>35000</v>
      </c>
      <c r="F76" s="280">
        <v>35000</v>
      </c>
      <c r="G76" s="280">
        <v>35000</v>
      </c>
      <c r="H76" s="280">
        <v>35000</v>
      </c>
      <c r="I76" s="280">
        <f t="shared" si="7"/>
        <v>140000</v>
      </c>
    </row>
    <row r="77" spans="1:9">
      <c r="A77" s="279">
        <v>6</v>
      </c>
      <c r="B77" s="279" t="s">
        <v>346</v>
      </c>
      <c r="C77" s="279" t="s">
        <v>344</v>
      </c>
      <c r="D77" s="279" t="s">
        <v>24</v>
      </c>
      <c r="E77" s="280">
        <v>35000</v>
      </c>
      <c r="F77" s="280">
        <v>35000</v>
      </c>
      <c r="G77" s="280">
        <v>35000</v>
      </c>
      <c r="H77" s="280">
        <v>35000</v>
      </c>
      <c r="I77" s="280">
        <f t="shared" si="7"/>
        <v>140000</v>
      </c>
    </row>
    <row r="78" spans="1:9">
      <c r="A78" s="279">
        <v>7</v>
      </c>
      <c r="B78" s="279" t="s">
        <v>347</v>
      </c>
      <c r="C78" s="279" t="s">
        <v>348</v>
      </c>
      <c r="D78" s="279" t="s">
        <v>30</v>
      </c>
      <c r="E78" s="282">
        <v>35000</v>
      </c>
      <c r="F78" s="282">
        <v>35000</v>
      </c>
      <c r="G78" s="282">
        <v>35000</v>
      </c>
      <c r="H78" s="282">
        <v>35000</v>
      </c>
      <c r="I78" s="282">
        <f t="shared" si="7"/>
        <v>140000</v>
      </c>
    </row>
    <row r="79" spans="1:9">
      <c r="A79" s="279"/>
      <c r="B79" s="283" t="s">
        <v>1029</v>
      </c>
      <c r="C79" s="279"/>
      <c r="D79" s="279"/>
      <c r="E79" s="284">
        <f>SUM(E72:E78)</f>
        <v>245000</v>
      </c>
      <c r="F79" s="284">
        <f t="shared" ref="F79:I79" si="8">SUM(F72:F78)</f>
        <v>245000</v>
      </c>
      <c r="G79" s="284">
        <f t="shared" si="8"/>
        <v>245000</v>
      </c>
      <c r="H79" s="284">
        <f t="shared" si="8"/>
        <v>245000</v>
      </c>
      <c r="I79" s="284">
        <f t="shared" si="8"/>
        <v>980000</v>
      </c>
    </row>
    <row r="80" spans="5:9">
      <c r="E80" s="269"/>
      <c r="F80" s="269"/>
      <c r="G80" s="269"/>
      <c r="H80" s="269"/>
      <c r="I80" s="269"/>
    </row>
    <row r="81" spans="2:9">
      <c r="B81" s="271" t="s">
        <v>56</v>
      </c>
      <c r="E81" s="269"/>
      <c r="F81" s="269"/>
      <c r="G81" s="269"/>
      <c r="H81" s="269"/>
      <c r="I81" s="269"/>
    </row>
    <row r="82" spans="1:9">
      <c r="A82" s="279">
        <v>1</v>
      </c>
      <c r="B82" s="279" t="s">
        <v>349</v>
      </c>
      <c r="C82" s="279" t="s">
        <v>310</v>
      </c>
      <c r="D82" s="279" t="s">
        <v>249</v>
      </c>
      <c r="E82" s="280">
        <v>35000</v>
      </c>
      <c r="F82" s="280">
        <v>35000</v>
      </c>
      <c r="G82" s="280">
        <v>35000</v>
      </c>
      <c r="H82" s="280">
        <v>35000</v>
      </c>
      <c r="I82" s="280">
        <f t="shared" ref="I82:I92" si="9">35000*4</f>
        <v>140000</v>
      </c>
    </row>
    <row r="83" spans="1:9">
      <c r="A83" s="279">
        <v>2</v>
      </c>
      <c r="B83" s="279" t="s">
        <v>350</v>
      </c>
      <c r="C83" s="279" t="s">
        <v>310</v>
      </c>
      <c r="D83" s="279" t="s">
        <v>249</v>
      </c>
      <c r="E83" s="280">
        <v>35000</v>
      </c>
      <c r="F83" s="280">
        <v>35000</v>
      </c>
      <c r="G83" s="280">
        <v>35000</v>
      </c>
      <c r="H83" s="280">
        <v>35000</v>
      </c>
      <c r="I83" s="280">
        <f t="shared" si="9"/>
        <v>140000</v>
      </c>
    </row>
    <row r="84" spans="1:9">
      <c r="A84" s="279">
        <v>3</v>
      </c>
      <c r="B84" s="279" t="s">
        <v>386</v>
      </c>
      <c r="C84" s="279" t="s">
        <v>256</v>
      </c>
      <c r="D84" s="279" t="s">
        <v>254</v>
      </c>
      <c r="E84" s="280">
        <v>35000</v>
      </c>
      <c r="F84" s="280">
        <v>35000</v>
      </c>
      <c r="G84" s="280">
        <v>35000</v>
      </c>
      <c r="H84" s="280">
        <v>35000</v>
      </c>
      <c r="I84" s="280">
        <f t="shared" si="9"/>
        <v>140000</v>
      </c>
    </row>
    <row r="85" spans="1:9">
      <c r="A85" s="279">
        <v>4</v>
      </c>
      <c r="B85" s="279" t="s">
        <v>351</v>
      </c>
      <c r="C85" s="279" t="s">
        <v>259</v>
      </c>
      <c r="D85" s="279" t="s">
        <v>257</v>
      </c>
      <c r="E85" s="280">
        <v>35000</v>
      </c>
      <c r="F85" s="280">
        <v>35000</v>
      </c>
      <c r="G85" s="280">
        <v>35000</v>
      </c>
      <c r="H85" s="280">
        <v>35000</v>
      </c>
      <c r="I85" s="280">
        <f t="shared" si="9"/>
        <v>140000</v>
      </c>
    </row>
    <row r="86" spans="1:9">
      <c r="A86" s="279">
        <v>5</v>
      </c>
      <c r="B86" s="279" t="s">
        <v>352</v>
      </c>
      <c r="C86" s="279" t="s">
        <v>353</v>
      </c>
      <c r="D86" s="279" t="s">
        <v>266</v>
      </c>
      <c r="E86" s="280">
        <v>35000</v>
      </c>
      <c r="F86" s="280">
        <v>35000</v>
      </c>
      <c r="G86" s="280">
        <v>35000</v>
      </c>
      <c r="H86" s="280">
        <v>35000</v>
      </c>
      <c r="I86" s="280">
        <f t="shared" si="9"/>
        <v>140000</v>
      </c>
    </row>
    <row r="87" spans="1:9">
      <c r="A87" s="279">
        <v>6</v>
      </c>
      <c r="B87" s="279" t="s">
        <v>354</v>
      </c>
      <c r="C87" s="279" t="s">
        <v>46</v>
      </c>
      <c r="D87" s="279" t="s">
        <v>950</v>
      </c>
      <c r="E87" s="280">
        <v>35000</v>
      </c>
      <c r="F87" s="280">
        <v>35000</v>
      </c>
      <c r="G87" s="280">
        <v>35000</v>
      </c>
      <c r="H87" s="280">
        <v>35000</v>
      </c>
      <c r="I87" s="280">
        <f t="shared" si="9"/>
        <v>140000</v>
      </c>
    </row>
    <row r="88" spans="1:9">
      <c r="A88" s="279">
        <v>7</v>
      </c>
      <c r="B88" s="279" t="s">
        <v>355</v>
      </c>
      <c r="C88" s="279" t="s">
        <v>46</v>
      </c>
      <c r="D88" s="279" t="s">
        <v>950</v>
      </c>
      <c r="E88" s="280">
        <v>35000</v>
      </c>
      <c r="F88" s="280">
        <v>35000</v>
      </c>
      <c r="G88" s="280">
        <v>35000</v>
      </c>
      <c r="H88" s="280">
        <v>35000</v>
      </c>
      <c r="I88" s="280">
        <f t="shared" si="9"/>
        <v>140000</v>
      </c>
    </row>
    <row r="89" spans="1:9">
      <c r="A89" s="279">
        <v>8</v>
      </c>
      <c r="B89" s="279" t="s">
        <v>357</v>
      </c>
      <c r="C89" s="279" t="s">
        <v>275</v>
      </c>
      <c r="D89" s="279" t="s">
        <v>41</v>
      </c>
      <c r="E89" s="280">
        <v>35000</v>
      </c>
      <c r="F89" s="280">
        <v>35000</v>
      </c>
      <c r="G89" s="280">
        <v>35000</v>
      </c>
      <c r="H89" s="280">
        <v>35000</v>
      </c>
      <c r="I89" s="280">
        <f t="shared" si="9"/>
        <v>140000</v>
      </c>
    </row>
    <row r="90" spans="1:9">
      <c r="A90" s="279">
        <v>9</v>
      </c>
      <c r="B90" s="279" t="s">
        <v>358</v>
      </c>
      <c r="C90" s="279" t="s">
        <v>275</v>
      </c>
      <c r="D90" s="279" t="s">
        <v>41</v>
      </c>
      <c r="E90" s="280">
        <v>35000</v>
      </c>
      <c r="F90" s="280">
        <v>35000</v>
      </c>
      <c r="G90" s="280">
        <v>35000</v>
      </c>
      <c r="H90" s="280">
        <v>35000</v>
      </c>
      <c r="I90" s="280">
        <f t="shared" si="9"/>
        <v>140000</v>
      </c>
    </row>
    <row r="91" spans="1:9">
      <c r="A91" s="279">
        <v>10</v>
      </c>
      <c r="B91" s="279" t="s">
        <v>359</v>
      </c>
      <c r="C91" s="279" t="s">
        <v>360</v>
      </c>
      <c r="D91" s="279" t="s">
        <v>37</v>
      </c>
      <c r="E91" s="280">
        <v>35000</v>
      </c>
      <c r="F91" s="280">
        <v>35000</v>
      </c>
      <c r="G91" s="280">
        <v>35000</v>
      </c>
      <c r="H91" s="280">
        <v>35000</v>
      </c>
      <c r="I91" s="280">
        <f t="shared" si="9"/>
        <v>140000</v>
      </c>
    </row>
    <row r="92" spans="1:9">
      <c r="A92" s="279">
        <v>11</v>
      </c>
      <c r="B92" s="279" t="s">
        <v>361</v>
      </c>
      <c r="C92" s="279" t="s">
        <v>362</v>
      </c>
      <c r="D92" s="279" t="s">
        <v>294</v>
      </c>
      <c r="E92" s="282">
        <v>35000</v>
      </c>
      <c r="F92" s="282">
        <v>35000</v>
      </c>
      <c r="G92" s="282">
        <v>35000</v>
      </c>
      <c r="H92" s="282">
        <v>35000</v>
      </c>
      <c r="I92" s="282">
        <f t="shared" si="9"/>
        <v>140000</v>
      </c>
    </row>
    <row r="93" spans="1:9">
      <c r="A93" s="279"/>
      <c r="B93" s="283" t="s">
        <v>1030</v>
      </c>
      <c r="C93" s="279"/>
      <c r="D93" s="279"/>
      <c r="E93" s="284">
        <f>SUM(E82:E92)</f>
        <v>385000</v>
      </c>
      <c r="F93" s="284">
        <f t="shared" ref="F93:I93" si="10">SUM(F82:F92)</f>
        <v>385000</v>
      </c>
      <c r="G93" s="284">
        <f t="shared" si="10"/>
        <v>385000</v>
      </c>
      <c r="H93" s="284">
        <f t="shared" si="10"/>
        <v>385000</v>
      </c>
      <c r="I93" s="284">
        <f t="shared" si="10"/>
        <v>1540000</v>
      </c>
    </row>
    <row r="94" spans="5:9">
      <c r="E94" s="269"/>
      <c r="F94" s="269"/>
      <c r="G94" s="269"/>
      <c r="H94" s="269"/>
      <c r="I94" s="269"/>
    </row>
    <row r="95" spans="2:9">
      <c r="B95" s="271" t="s">
        <v>58</v>
      </c>
      <c r="E95" s="269"/>
      <c r="F95" s="269"/>
      <c r="G95" s="269"/>
      <c r="H95" s="269"/>
      <c r="I95" s="269"/>
    </row>
    <row r="96" spans="1:9">
      <c r="A96" s="279">
        <v>1</v>
      </c>
      <c r="B96" s="279" t="s">
        <v>232</v>
      </c>
      <c r="C96" s="279" t="s">
        <v>233</v>
      </c>
      <c r="D96" s="279" t="s">
        <v>308</v>
      </c>
      <c r="E96" s="280">
        <v>35000</v>
      </c>
      <c r="F96" s="280">
        <v>35000</v>
      </c>
      <c r="G96" s="280">
        <v>35000</v>
      </c>
      <c r="H96" s="280">
        <v>35000</v>
      </c>
      <c r="I96" s="280">
        <f>E96+F96+G96+H96</f>
        <v>140000</v>
      </c>
    </row>
    <row r="97" spans="1:9">
      <c r="A97" s="279">
        <v>2</v>
      </c>
      <c r="B97" s="279" t="s">
        <v>250</v>
      </c>
      <c r="C97" s="279" t="s">
        <v>367</v>
      </c>
      <c r="D97" s="279" t="s">
        <v>257</v>
      </c>
      <c r="E97" s="280">
        <v>35000</v>
      </c>
      <c r="F97" s="280">
        <v>35000</v>
      </c>
      <c r="G97" s="280">
        <v>35000</v>
      </c>
      <c r="H97" s="280">
        <v>35000</v>
      </c>
      <c r="I97" s="280">
        <f t="shared" ref="I97:I99" si="11">E97+F97+G97+H97</f>
        <v>140000</v>
      </c>
    </row>
    <row r="98" spans="1:9">
      <c r="A98" s="279">
        <v>3</v>
      </c>
      <c r="B98" s="279" t="s">
        <v>368</v>
      </c>
      <c r="C98" s="279" t="s">
        <v>369</v>
      </c>
      <c r="D98" s="279" t="s">
        <v>332</v>
      </c>
      <c r="E98" s="280">
        <v>35000</v>
      </c>
      <c r="F98" s="280">
        <v>35000</v>
      </c>
      <c r="G98" s="280">
        <v>35000</v>
      </c>
      <c r="H98" s="280">
        <v>35000</v>
      </c>
      <c r="I98" s="280">
        <f t="shared" si="11"/>
        <v>140000</v>
      </c>
    </row>
    <row r="99" spans="1:9">
      <c r="A99" s="279">
        <v>4</v>
      </c>
      <c r="B99" s="279" t="s">
        <v>370</v>
      </c>
      <c r="C99" s="279" t="s">
        <v>969</v>
      </c>
      <c r="D99" s="279" t="s">
        <v>945</v>
      </c>
      <c r="E99" s="282">
        <v>35000</v>
      </c>
      <c r="F99" s="282">
        <v>35000</v>
      </c>
      <c r="G99" s="282">
        <v>35000</v>
      </c>
      <c r="H99" s="282">
        <v>35000</v>
      </c>
      <c r="I99" s="282">
        <f t="shared" si="11"/>
        <v>140000</v>
      </c>
    </row>
    <row r="100" spans="1:9">
      <c r="A100" s="279"/>
      <c r="B100" s="283" t="s">
        <v>1031</v>
      </c>
      <c r="C100" s="279"/>
      <c r="D100" s="279"/>
      <c r="E100" s="284">
        <f>SUM(E96:E99)</f>
        <v>140000</v>
      </c>
      <c r="F100" s="284">
        <f t="shared" ref="F100:I100" si="12">SUM(F96:F99)</f>
        <v>140000</v>
      </c>
      <c r="G100" s="284">
        <f t="shared" si="12"/>
        <v>140000</v>
      </c>
      <c r="H100" s="284">
        <f t="shared" si="12"/>
        <v>140000</v>
      </c>
      <c r="I100" s="284">
        <f t="shared" si="12"/>
        <v>560000</v>
      </c>
    </row>
    <row r="101" spans="5:9">
      <c r="E101" s="269"/>
      <c r="F101" s="269"/>
      <c r="G101" s="269"/>
      <c r="H101" s="269"/>
      <c r="I101" s="269"/>
    </row>
    <row r="102" spans="2:9">
      <c r="B102" s="271" t="s">
        <v>372</v>
      </c>
      <c r="E102" s="269"/>
      <c r="F102" s="269"/>
      <c r="G102" s="269"/>
      <c r="H102" s="269"/>
      <c r="I102" s="269"/>
    </row>
    <row r="103" spans="1:9">
      <c r="A103" s="279">
        <v>1</v>
      </c>
      <c r="B103" s="279" t="s">
        <v>373</v>
      </c>
      <c r="C103" s="279" t="s">
        <v>374</v>
      </c>
      <c r="D103" s="279" t="s">
        <v>297</v>
      </c>
      <c r="E103" s="280">
        <f t="shared" ref="E103:E109" si="13">35000</f>
        <v>35000</v>
      </c>
      <c r="F103" s="280">
        <f t="shared" ref="F103:F109" si="14">35000</f>
        <v>35000</v>
      </c>
      <c r="G103" s="280">
        <f t="shared" ref="G103:G109" si="15">35000</f>
        <v>35000</v>
      </c>
      <c r="H103" s="280">
        <f t="shared" ref="H103:H109" si="16">35000</f>
        <v>35000</v>
      </c>
      <c r="I103" s="280">
        <f>E103+F103+G103+H103</f>
        <v>140000</v>
      </c>
    </row>
    <row r="104" spans="1:9">
      <c r="A104" s="279">
        <v>2</v>
      </c>
      <c r="B104" s="279" t="s">
        <v>375</v>
      </c>
      <c r="C104" s="279" t="s">
        <v>376</v>
      </c>
      <c r="D104" s="279" t="s">
        <v>308</v>
      </c>
      <c r="E104" s="280">
        <f t="shared" si="13"/>
        <v>35000</v>
      </c>
      <c r="F104" s="280">
        <f t="shared" si="14"/>
        <v>35000</v>
      </c>
      <c r="G104" s="280">
        <f t="shared" si="15"/>
        <v>35000</v>
      </c>
      <c r="H104" s="280">
        <f t="shared" si="16"/>
        <v>35000</v>
      </c>
      <c r="I104" s="280">
        <f t="shared" ref="I104:I109" si="17">E104+F104+G104+H104</f>
        <v>140000</v>
      </c>
    </row>
    <row r="105" spans="1:9">
      <c r="A105" s="279">
        <v>3</v>
      </c>
      <c r="B105" s="279" t="s">
        <v>377</v>
      </c>
      <c r="C105" s="279" t="s">
        <v>378</v>
      </c>
      <c r="D105" s="279" t="s">
        <v>263</v>
      </c>
      <c r="E105" s="280">
        <f t="shared" si="13"/>
        <v>35000</v>
      </c>
      <c r="F105" s="280">
        <f t="shared" si="14"/>
        <v>35000</v>
      </c>
      <c r="G105" s="280">
        <f t="shared" si="15"/>
        <v>35000</v>
      </c>
      <c r="H105" s="280">
        <f t="shared" si="16"/>
        <v>35000</v>
      </c>
      <c r="I105" s="280">
        <f t="shared" si="17"/>
        <v>140000</v>
      </c>
    </row>
    <row r="106" spans="1:9">
      <c r="A106" s="279">
        <v>4</v>
      </c>
      <c r="B106" s="279" t="s">
        <v>379</v>
      </c>
      <c r="C106" s="279" t="s">
        <v>378</v>
      </c>
      <c r="D106" s="279" t="s">
        <v>263</v>
      </c>
      <c r="E106" s="280">
        <f t="shared" si="13"/>
        <v>35000</v>
      </c>
      <c r="F106" s="280">
        <f t="shared" si="14"/>
        <v>35000</v>
      </c>
      <c r="G106" s="280">
        <f t="shared" si="15"/>
        <v>35000</v>
      </c>
      <c r="H106" s="280">
        <f t="shared" si="16"/>
        <v>35000</v>
      </c>
      <c r="I106" s="280">
        <f t="shared" si="17"/>
        <v>140000</v>
      </c>
    </row>
    <row r="107" spans="1:9">
      <c r="A107" s="279">
        <v>5</v>
      </c>
      <c r="B107" s="279" t="s">
        <v>380</v>
      </c>
      <c r="C107" s="279" t="s">
        <v>381</v>
      </c>
      <c r="D107" s="279" t="s">
        <v>384</v>
      </c>
      <c r="E107" s="280">
        <f t="shared" si="13"/>
        <v>35000</v>
      </c>
      <c r="F107" s="280">
        <f t="shared" si="14"/>
        <v>35000</v>
      </c>
      <c r="G107" s="280">
        <f t="shared" si="15"/>
        <v>35000</v>
      </c>
      <c r="H107" s="280">
        <f t="shared" si="16"/>
        <v>35000</v>
      </c>
      <c r="I107" s="280">
        <f t="shared" si="17"/>
        <v>140000</v>
      </c>
    </row>
    <row r="108" spans="1:9">
      <c r="A108" s="279">
        <v>6</v>
      </c>
      <c r="B108" s="279" t="s">
        <v>383</v>
      </c>
      <c r="C108" s="279" t="s">
        <v>381</v>
      </c>
      <c r="D108" s="279" t="s">
        <v>945</v>
      </c>
      <c r="E108" s="280">
        <f t="shared" si="13"/>
        <v>35000</v>
      </c>
      <c r="F108" s="280">
        <f t="shared" si="14"/>
        <v>35000</v>
      </c>
      <c r="G108" s="280">
        <f t="shared" si="15"/>
        <v>35000</v>
      </c>
      <c r="H108" s="280">
        <f t="shared" si="16"/>
        <v>35000</v>
      </c>
      <c r="I108" s="280">
        <f t="shared" si="17"/>
        <v>140000</v>
      </c>
    </row>
    <row r="109" spans="1:9">
      <c r="A109" s="279">
        <v>7</v>
      </c>
      <c r="B109" s="279" t="s">
        <v>385</v>
      </c>
      <c r="C109" s="279" t="s">
        <v>381</v>
      </c>
      <c r="D109" s="279" t="s">
        <v>294</v>
      </c>
      <c r="E109" s="282">
        <f t="shared" si="13"/>
        <v>35000</v>
      </c>
      <c r="F109" s="282">
        <f t="shared" si="14"/>
        <v>35000</v>
      </c>
      <c r="G109" s="282">
        <f t="shared" si="15"/>
        <v>35000</v>
      </c>
      <c r="H109" s="282">
        <f t="shared" si="16"/>
        <v>35000</v>
      </c>
      <c r="I109" s="282">
        <f t="shared" si="17"/>
        <v>140000</v>
      </c>
    </row>
    <row r="110" spans="1:9">
      <c r="A110" s="279"/>
      <c r="B110" s="283" t="s">
        <v>1032</v>
      </c>
      <c r="C110" s="279"/>
      <c r="D110" s="279"/>
      <c r="E110" s="284">
        <f>SUM(E103:E109)</f>
        <v>245000</v>
      </c>
      <c r="F110" s="284">
        <f t="shared" ref="F110:I110" si="18">SUM(F103:F109)</f>
        <v>245000</v>
      </c>
      <c r="G110" s="284">
        <f t="shared" si="18"/>
        <v>245000</v>
      </c>
      <c r="H110" s="284">
        <f t="shared" si="18"/>
        <v>245000</v>
      </c>
      <c r="I110" s="284">
        <f t="shared" si="18"/>
        <v>980000</v>
      </c>
    </row>
    <row r="111" spans="9:9">
      <c r="I111" s="286"/>
    </row>
    <row r="112" spans="2:9">
      <c r="B112" s="271" t="s">
        <v>61</v>
      </c>
      <c r="E112" s="269"/>
      <c r="F112" s="269"/>
      <c r="G112" s="269"/>
      <c r="H112" s="269"/>
      <c r="I112" s="269"/>
    </row>
    <row r="113" spans="1:9">
      <c r="A113" s="279">
        <v>1</v>
      </c>
      <c r="B113" s="279" t="s">
        <v>1033</v>
      </c>
      <c r="C113" s="279" t="s">
        <v>275</v>
      </c>
      <c r="D113" s="279" t="s">
        <v>271</v>
      </c>
      <c r="E113" s="280">
        <v>35000</v>
      </c>
      <c r="F113" s="280">
        <v>35000</v>
      </c>
      <c r="G113" s="280">
        <v>35000</v>
      </c>
      <c r="H113" s="280">
        <v>35000</v>
      </c>
      <c r="I113" s="280">
        <f>E113+F113+G113+H113</f>
        <v>140000</v>
      </c>
    </row>
    <row r="114" spans="1:9">
      <c r="A114" s="279">
        <v>2</v>
      </c>
      <c r="B114" s="279" t="s">
        <v>387</v>
      </c>
      <c r="C114" s="279" t="s">
        <v>388</v>
      </c>
      <c r="D114" s="279" t="s">
        <v>332</v>
      </c>
      <c r="E114" s="280">
        <v>35000</v>
      </c>
      <c r="F114" s="280">
        <v>35000</v>
      </c>
      <c r="G114" s="280">
        <v>35000</v>
      </c>
      <c r="H114" s="280">
        <v>35000</v>
      </c>
      <c r="I114" s="280">
        <f t="shared" ref="I114:I115" si="19">E114+F114+G114+H114</f>
        <v>140000</v>
      </c>
    </row>
    <row r="115" spans="1:9">
      <c r="A115" s="279">
        <v>3</v>
      </c>
      <c r="B115" s="279" t="s">
        <v>389</v>
      </c>
      <c r="C115" s="279" t="s">
        <v>390</v>
      </c>
      <c r="D115" s="279" t="s">
        <v>271</v>
      </c>
      <c r="E115" s="282">
        <v>35000</v>
      </c>
      <c r="F115" s="282">
        <v>35000</v>
      </c>
      <c r="G115" s="282">
        <v>35000</v>
      </c>
      <c r="H115" s="282">
        <v>35000</v>
      </c>
      <c r="I115" s="282">
        <f t="shared" si="19"/>
        <v>140000</v>
      </c>
    </row>
    <row r="116" spans="1:9">
      <c r="A116" s="279"/>
      <c r="B116" s="283" t="s">
        <v>1034</v>
      </c>
      <c r="C116" s="279"/>
      <c r="D116" s="279"/>
      <c r="E116" s="284">
        <f>SUM(E113:E115)</f>
        <v>105000</v>
      </c>
      <c r="F116" s="284">
        <f t="shared" ref="F116:I116" si="20">SUM(F113:F115)</f>
        <v>105000</v>
      </c>
      <c r="G116" s="284">
        <f t="shared" si="20"/>
        <v>105000</v>
      </c>
      <c r="H116" s="284">
        <f t="shared" si="20"/>
        <v>105000</v>
      </c>
      <c r="I116" s="284">
        <f t="shared" si="20"/>
        <v>420000</v>
      </c>
    </row>
    <row r="117" spans="5:9">
      <c r="E117" s="270"/>
      <c r="F117" s="270"/>
      <c r="G117" s="270"/>
      <c r="H117" s="270"/>
      <c r="I117" s="270"/>
    </row>
    <row r="118" spans="2:9">
      <c r="B118" s="271" t="s">
        <v>67</v>
      </c>
      <c r="E118" s="269"/>
      <c r="F118" s="269"/>
      <c r="G118" s="269"/>
      <c r="H118" s="269"/>
      <c r="I118" s="269"/>
    </row>
    <row r="119" spans="1:9">
      <c r="A119" s="279">
        <v>1</v>
      </c>
      <c r="B119" s="279" t="s">
        <v>392</v>
      </c>
      <c r="C119" s="279" t="s">
        <v>393</v>
      </c>
      <c r="D119" s="279" t="s">
        <v>297</v>
      </c>
      <c r="E119" s="280">
        <v>35000</v>
      </c>
      <c r="F119" s="280">
        <v>35000</v>
      </c>
      <c r="G119" s="280">
        <v>35000</v>
      </c>
      <c r="H119" s="280">
        <v>35000</v>
      </c>
      <c r="I119" s="280">
        <f>E119+F119+G119+H119</f>
        <v>140000</v>
      </c>
    </row>
    <row r="120" spans="1:9">
      <c r="A120" s="279">
        <v>2</v>
      </c>
      <c r="B120" s="279" t="s">
        <v>128</v>
      </c>
      <c r="C120" s="279" t="s">
        <v>227</v>
      </c>
      <c r="D120" s="279" t="s">
        <v>249</v>
      </c>
      <c r="E120" s="280">
        <v>35000</v>
      </c>
      <c r="F120" s="280">
        <v>35000</v>
      </c>
      <c r="G120" s="280">
        <v>35000</v>
      </c>
      <c r="H120" s="280">
        <v>35000</v>
      </c>
      <c r="I120" s="280">
        <f t="shared" ref="I120:I127" si="21">E120+F120+G120+H120</f>
        <v>140000</v>
      </c>
    </row>
    <row r="121" spans="1:9">
      <c r="A121" s="279">
        <v>3</v>
      </c>
      <c r="B121" s="279" t="s">
        <v>395</v>
      </c>
      <c r="C121" s="279" t="s">
        <v>227</v>
      </c>
      <c r="D121" s="279" t="s">
        <v>249</v>
      </c>
      <c r="E121" s="280">
        <v>35000</v>
      </c>
      <c r="F121" s="280">
        <v>35000</v>
      </c>
      <c r="G121" s="280">
        <v>35000</v>
      </c>
      <c r="H121" s="280">
        <v>35000</v>
      </c>
      <c r="I121" s="280">
        <f t="shared" si="21"/>
        <v>140000</v>
      </c>
    </row>
    <row r="122" spans="1:9">
      <c r="A122" s="279">
        <v>5</v>
      </c>
      <c r="B122" s="279" t="s">
        <v>396</v>
      </c>
      <c r="C122" s="279" t="s">
        <v>397</v>
      </c>
      <c r="D122" s="279" t="s">
        <v>342</v>
      </c>
      <c r="E122" s="280">
        <v>35000</v>
      </c>
      <c r="F122" s="280">
        <v>35000</v>
      </c>
      <c r="G122" s="280">
        <v>35000</v>
      </c>
      <c r="H122" s="280">
        <v>35000</v>
      </c>
      <c r="I122" s="280">
        <f t="shared" si="21"/>
        <v>140000</v>
      </c>
    </row>
    <row r="123" spans="1:9">
      <c r="A123" s="279">
        <v>6</v>
      </c>
      <c r="B123" s="279" t="s">
        <v>398</v>
      </c>
      <c r="C123" s="279" t="s">
        <v>399</v>
      </c>
      <c r="D123" s="279" t="s">
        <v>266</v>
      </c>
      <c r="E123" s="280">
        <v>35000</v>
      </c>
      <c r="F123" s="280">
        <v>35000</v>
      </c>
      <c r="G123" s="280">
        <v>35000</v>
      </c>
      <c r="H123" s="280">
        <v>35000</v>
      </c>
      <c r="I123" s="280">
        <f t="shared" si="21"/>
        <v>140000</v>
      </c>
    </row>
    <row r="124" spans="1:9">
      <c r="A124" s="279">
        <v>7</v>
      </c>
      <c r="B124" s="279" t="s">
        <v>400</v>
      </c>
      <c r="C124" s="279" t="s">
        <v>970</v>
      </c>
      <c r="D124" s="279" t="s">
        <v>266</v>
      </c>
      <c r="E124" s="280">
        <v>35000</v>
      </c>
      <c r="F124" s="280">
        <v>35000</v>
      </c>
      <c r="G124" s="280">
        <v>35000</v>
      </c>
      <c r="H124" s="280">
        <v>35000</v>
      </c>
      <c r="I124" s="280">
        <f t="shared" si="21"/>
        <v>140000</v>
      </c>
    </row>
    <row r="125" spans="1:9">
      <c r="A125" s="279">
        <v>8</v>
      </c>
      <c r="B125" s="279" t="s">
        <v>401</v>
      </c>
      <c r="C125" s="279" t="s">
        <v>402</v>
      </c>
      <c r="D125" s="279" t="s">
        <v>283</v>
      </c>
      <c r="E125" s="280">
        <v>35000</v>
      </c>
      <c r="F125" s="280">
        <v>35000</v>
      </c>
      <c r="G125" s="280">
        <v>35000</v>
      </c>
      <c r="H125" s="280">
        <v>35000</v>
      </c>
      <c r="I125" s="280">
        <f t="shared" si="21"/>
        <v>140000</v>
      </c>
    </row>
    <row r="126" spans="1:9">
      <c r="A126" s="279">
        <v>9</v>
      </c>
      <c r="B126" s="279" t="s">
        <v>403</v>
      </c>
      <c r="C126" s="279" t="s">
        <v>404</v>
      </c>
      <c r="D126" s="279" t="s">
        <v>30</v>
      </c>
      <c r="E126" s="280">
        <v>35000</v>
      </c>
      <c r="F126" s="280">
        <v>35000</v>
      </c>
      <c r="G126" s="280">
        <v>35000</v>
      </c>
      <c r="H126" s="280">
        <v>35000</v>
      </c>
      <c r="I126" s="280">
        <f t="shared" si="21"/>
        <v>140000</v>
      </c>
    </row>
    <row r="127" spans="1:9">
      <c r="A127" s="279">
        <v>10</v>
      </c>
      <c r="B127" s="279" t="s">
        <v>405</v>
      </c>
      <c r="C127" s="279" t="s">
        <v>69</v>
      </c>
      <c r="D127" s="279" t="s">
        <v>30</v>
      </c>
      <c r="E127" s="282">
        <v>35000</v>
      </c>
      <c r="F127" s="282">
        <v>35000</v>
      </c>
      <c r="G127" s="282">
        <v>35000</v>
      </c>
      <c r="H127" s="282">
        <v>35000</v>
      </c>
      <c r="I127" s="282">
        <f t="shared" si="21"/>
        <v>140000</v>
      </c>
    </row>
    <row r="128" spans="1:9">
      <c r="A128" s="279"/>
      <c r="B128" s="283" t="s">
        <v>1035</v>
      </c>
      <c r="C128" s="279"/>
      <c r="D128" s="279"/>
      <c r="E128" s="284">
        <f>SUM(E119:E127)</f>
        <v>315000</v>
      </c>
      <c r="F128" s="284">
        <f>SUM(F119:F127)</f>
        <v>315000</v>
      </c>
      <c r="G128" s="284">
        <f>SUM(G119:G127)</f>
        <v>315000</v>
      </c>
      <c r="H128" s="284">
        <f>SUM(H119:H127)</f>
        <v>315000</v>
      </c>
      <c r="I128" s="284">
        <f>SUM(I119:I127)</f>
        <v>1260000</v>
      </c>
    </row>
    <row r="129" spans="5:9">
      <c r="E129" s="269"/>
      <c r="F129" s="269"/>
      <c r="G129" s="269"/>
      <c r="H129" s="269"/>
      <c r="I129" s="269"/>
    </row>
    <row r="130" spans="2:9">
      <c r="B130" s="271" t="s">
        <v>71</v>
      </c>
      <c r="E130" s="269"/>
      <c r="F130" s="269"/>
      <c r="G130" s="269"/>
      <c r="H130" s="269"/>
      <c r="I130" s="269"/>
    </row>
    <row r="131" spans="1:9">
      <c r="A131" s="279">
        <v>1</v>
      </c>
      <c r="B131" s="279" t="s">
        <v>407</v>
      </c>
      <c r="C131" s="279" t="s">
        <v>408</v>
      </c>
      <c r="D131" s="279" t="s">
        <v>297</v>
      </c>
      <c r="E131" s="280">
        <v>35000</v>
      </c>
      <c r="F131" s="280">
        <v>35000</v>
      </c>
      <c r="G131" s="280">
        <v>35000</v>
      </c>
      <c r="H131" s="280">
        <v>35000</v>
      </c>
      <c r="I131" s="280">
        <f>E131+F131+G131+H131</f>
        <v>140000</v>
      </c>
    </row>
    <row r="132" spans="1:9">
      <c r="A132" s="279">
        <v>3</v>
      </c>
      <c r="B132" s="279" t="s">
        <v>409</v>
      </c>
      <c r="C132" s="279" t="s">
        <v>410</v>
      </c>
      <c r="D132" s="279" t="s">
        <v>308</v>
      </c>
      <c r="E132" s="280">
        <v>35000</v>
      </c>
      <c r="F132" s="280">
        <v>35000</v>
      </c>
      <c r="G132" s="280">
        <v>35000</v>
      </c>
      <c r="H132" s="280">
        <v>35000</v>
      </c>
      <c r="I132" s="280">
        <f t="shared" ref="I132:I189" si="22">E132+F132+G132+H132</f>
        <v>140000</v>
      </c>
    </row>
    <row r="133" spans="1:9">
      <c r="A133" s="279">
        <v>4</v>
      </c>
      <c r="B133" s="279" t="s">
        <v>411</v>
      </c>
      <c r="C133" s="279" t="s">
        <v>412</v>
      </c>
      <c r="D133" s="279" t="s">
        <v>257</v>
      </c>
      <c r="E133" s="280">
        <v>35000</v>
      </c>
      <c r="F133" s="280">
        <v>35000</v>
      </c>
      <c r="G133" s="280">
        <v>35000</v>
      </c>
      <c r="H133" s="280">
        <v>35000</v>
      </c>
      <c r="I133" s="280">
        <f t="shared" si="22"/>
        <v>140000</v>
      </c>
    </row>
    <row r="134" spans="1:9">
      <c r="A134" s="279">
        <v>5</v>
      </c>
      <c r="B134" s="279" t="s">
        <v>413</v>
      </c>
      <c r="C134" s="279" t="s">
        <v>414</v>
      </c>
      <c r="D134" s="279" t="s">
        <v>257</v>
      </c>
      <c r="E134" s="280">
        <v>35000</v>
      </c>
      <c r="F134" s="280">
        <v>35000</v>
      </c>
      <c r="G134" s="280">
        <v>35000</v>
      </c>
      <c r="H134" s="280">
        <v>35000</v>
      </c>
      <c r="I134" s="280">
        <f t="shared" si="22"/>
        <v>140000</v>
      </c>
    </row>
    <row r="135" spans="1:9">
      <c r="A135" s="279">
        <v>6</v>
      </c>
      <c r="B135" s="279" t="s">
        <v>415</v>
      </c>
      <c r="C135" s="279" t="s">
        <v>414</v>
      </c>
      <c r="D135" s="279" t="s">
        <v>257</v>
      </c>
      <c r="E135" s="280">
        <v>35000</v>
      </c>
      <c r="F135" s="280">
        <v>35000</v>
      </c>
      <c r="G135" s="280">
        <v>35000</v>
      </c>
      <c r="H135" s="280">
        <v>35000</v>
      </c>
      <c r="I135" s="280">
        <f t="shared" si="22"/>
        <v>140000</v>
      </c>
    </row>
    <row r="136" spans="1:9">
      <c r="A136" s="279">
        <v>7</v>
      </c>
      <c r="B136" s="279" t="s">
        <v>366</v>
      </c>
      <c r="C136" s="279" t="s">
        <v>420</v>
      </c>
      <c r="D136" s="279" t="s">
        <v>266</v>
      </c>
      <c r="E136" s="280">
        <v>35000</v>
      </c>
      <c r="F136" s="280">
        <v>35000</v>
      </c>
      <c r="G136" s="280">
        <v>35000</v>
      </c>
      <c r="H136" s="280">
        <v>35000</v>
      </c>
      <c r="I136" s="280">
        <f t="shared" si="22"/>
        <v>140000</v>
      </c>
    </row>
    <row r="137" spans="1:9">
      <c r="A137" s="279">
        <v>8</v>
      </c>
      <c r="B137" s="279" t="s">
        <v>416</v>
      </c>
      <c r="C137" s="279" t="s">
        <v>417</v>
      </c>
      <c r="D137" s="279" t="s">
        <v>271</v>
      </c>
      <c r="E137" s="280">
        <v>35000</v>
      </c>
      <c r="F137" s="280">
        <v>35000</v>
      </c>
      <c r="G137" s="280">
        <v>35000</v>
      </c>
      <c r="H137" s="280">
        <v>35000</v>
      </c>
      <c r="I137" s="280">
        <f t="shared" si="22"/>
        <v>140000</v>
      </c>
    </row>
    <row r="138" spans="1:9">
      <c r="A138" s="279">
        <v>9</v>
      </c>
      <c r="B138" s="279" t="s">
        <v>418</v>
      </c>
      <c r="C138" s="279" t="s">
        <v>417</v>
      </c>
      <c r="D138" s="279" t="s">
        <v>271</v>
      </c>
      <c r="E138" s="280">
        <v>35000</v>
      </c>
      <c r="F138" s="280">
        <v>35000</v>
      </c>
      <c r="G138" s="280">
        <v>35000</v>
      </c>
      <c r="H138" s="280">
        <v>35000</v>
      </c>
      <c r="I138" s="280">
        <f t="shared" si="22"/>
        <v>140000</v>
      </c>
    </row>
    <row r="139" spans="1:9">
      <c r="A139" s="279">
        <v>10</v>
      </c>
      <c r="B139" s="279" t="s">
        <v>419</v>
      </c>
      <c r="C139" s="279" t="s">
        <v>420</v>
      </c>
      <c r="D139" s="279" t="s">
        <v>271</v>
      </c>
      <c r="E139" s="280">
        <v>35000</v>
      </c>
      <c r="F139" s="280">
        <v>35000</v>
      </c>
      <c r="G139" s="280">
        <v>35000</v>
      </c>
      <c r="H139" s="280">
        <v>35000</v>
      </c>
      <c r="I139" s="280">
        <f t="shared" si="22"/>
        <v>140000</v>
      </c>
    </row>
    <row r="140" spans="1:9">
      <c r="A140" s="279">
        <v>11</v>
      </c>
      <c r="B140" s="279" t="s">
        <v>421</v>
      </c>
      <c r="C140" s="279" t="s">
        <v>422</v>
      </c>
      <c r="D140" s="279" t="s">
        <v>332</v>
      </c>
      <c r="E140" s="280">
        <v>35000</v>
      </c>
      <c r="F140" s="280">
        <v>35000</v>
      </c>
      <c r="G140" s="280">
        <v>35000</v>
      </c>
      <c r="H140" s="280">
        <v>35000</v>
      </c>
      <c r="I140" s="280">
        <f t="shared" si="22"/>
        <v>140000</v>
      </c>
    </row>
    <row r="141" spans="1:9">
      <c r="A141" s="279">
        <v>12</v>
      </c>
      <c r="B141" s="279" t="s">
        <v>423</v>
      </c>
      <c r="C141" s="279" t="s">
        <v>971</v>
      </c>
      <c r="D141" s="279" t="s">
        <v>432</v>
      </c>
      <c r="E141" s="280">
        <v>35000</v>
      </c>
      <c r="F141" s="280">
        <v>35000</v>
      </c>
      <c r="G141" s="280">
        <v>35000</v>
      </c>
      <c r="H141" s="280">
        <v>35000</v>
      </c>
      <c r="I141" s="280">
        <f t="shared" si="22"/>
        <v>140000</v>
      </c>
    </row>
    <row r="142" spans="1:9">
      <c r="A142" s="279">
        <v>13</v>
      </c>
      <c r="B142" s="279" t="s">
        <v>425</v>
      </c>
      <c r="C142" s="279" t="s">
        <v>426</v>
      </c>
      <c r="D142" s="279" t="s">
        <v>271</v>
      </c>
      <c r="E142" s="280">
        <v>35000</v>
      </c>
      <c r="F142" s="280">
        <v>35000</v>
      </c>
      <c r="G142" s="280">
        <v>35000</v>
      </c>
      <c r="H142" s="280">
        <v>35000</v>
      </c>
      <c r="I142" s="280">
        <f t="shared" si="22"/>
        <v>140000</v>
      </c>
    </row>
    <row r="143" spans="1:9">
      <c r="A143" s="279">
        <v>14</v>
      </c>
      <c r="B143" s="279" t="s">
        <v>427</v>
      </c>
      <c r="C143" s="279" t="s">
        <v>437</v>
      </c>
      <c r="D143" s="279" t="s">
        <v>432</v>
      </c>
      <c r="E143" s="280">
        <v>35000</v>
      </c>
      <c r="F143" s="280">
        <v>35000</v>
      </c>
      <c r="G143" s="280">
        <v>35000</v>
      </c>
      <c r="H143" s="280">
        <v>35000</v>
      </c>
      <c r="I143" s="280">
        <f t="shared" si="22"/>
        <v>140000</v>
      </c>
    </row>
    <row r="144" spans="1:9">
      <c r="A144" s="279">
        <v>15</v>
      </c>
      <c r="B144" s="279" t="s">
        <v>429</v>
      </c>
      <c r="C144" s="279" t="s">
        <v>430</v>
      </c>
      <c r="D144" s="279" t="s">
        <v>301</v>
      </c>
      <c r="E144" s="280">
        <v>35000</v>
      </c>
      <c r="F144" s="280">
        <v>35000</v>
      </c>
      <c r="G144" s="280">
        <v>35000</v>
      </c>
      <c r="H144" s="280">
        <v>35000</v>
      </c>
      <c r="I144" s="280">
        <f t="shared" si="22"/>
        <v>140000</v>
      </c>
    </row>
    <row r="145" spans="1:9">
      <c r="A145" s="279">
        <v>16</v>
      </c>
      <c r="B145" s="279" t="s">
        <v>431</v>
      </c>
      <c r="C145" s="279" t="s">
        <v>430</v>
      </c>
      <c r="D145" s="279" t="s">
        <v>345</v>
      </c>
      <c r="E145" s="280">
        <v>35000</v>
      </c>
      <c r="F145" s="280">
        <v>35000</v>
      </c>
      <c r="G145" s="280">
        <v>35000</v>
      </c>
      <c r="H145" s="280">
        <v>35000</v>
      </c>
      <c r="I145" s="280">
        <f t="shared" si="22"/>
        <v>140000</v>
      </c>
    </row>
    <row r="146" spans="1:9">
      <c r="A146" s="279">
        <v>17</v>
      </c>
      <c r="B146" s="279" t="s">
        <v>433</v>
      </c>
      <c r="C146" s="279" t="s">
        <v>430</v>
      </c>
      <c r="D146" s="279" t="s">
        <v>345</v>
      </c>
      <c r="E146" s="280">
        <v>35000</v>
      </c>
      <c r="F146" s="280">
        <v>35000</v>
      </c>
      <c r="G146" s="280">
        <v>35000</v>
      </c>
      <c r="H146" s="280">
        <v>35000</v>
      </c>
      <c r="I146" s="280">
        <f t="shared" si="22"/>
        <v>140000</v>
      </c>
    </row>
    <row r="147" spans="1:9">
      <c r="A147" s="279">
        <v>18</v>
      </c>
      <c r="B147" s="279" t="s">
        <v>434</v>
      </c>
      <c r="C147" s="279" t="s">
        <v>435</v>
      </c>
      <c r="D147" s="279" t="s">
        <v>37</v>
      </c>
      <c r="E147" s="280">
        <v>35000</v>
      </c>
      <c r="F147" s="280">
        <v>35000</v>
      </c>
      <c r="G147" s="280">
        <v>35000</v>
      </c>
      <c r="H147" s="280">
        <v>35000</v>
      </c>
      <c r="I147" s="280">
        <f t="shared" si="22"/>
        <v>140000</v>
      </c>
    </row>
    <row r="148" spans="1:9">
      <c r="A148" s="279">
        <v>19</v>
      </c>
      <c r="B148" s="279" t="s">
        <v>953</v>
      </c>
      <c r="C148" s="279" t="s">
        <v>437</v>
      </c>
      <c r="D148" s="279" t="s">
        <v>24</v>
      </c>
      <c r="E148" s="280">
        <v>35000</v>
      </c>
      <c r="F148" s="280">
        <v>35000</v>
      </c>
      <c r="G148" s="280">
        <v>35000</v>
      </c>
      <c r="H148" s="280">
        <v>35000</v>
      </c>
      <c r="I148" s="280">
        <f t="shared" si="22"/>
        <v>140000</v>
      </c>
    </row>
    <row r="149" spans="1:9">
      <c r="A149" s="279">
        <v>20</v>
      </c>
      <c r="B149" s="279" t="s">
        <v>438</v>
      </c>
      <c r="C149" s="279" t="s">
        <v>439</v>
      </c>
      <c r="D149" s="279" t="s">
        <v>301</v>
      </c>
      <c r="E149" s="280">
        <v>35000</v>
      </c>
      <c r="F149" s="280">
        <v>35000</v>
      </c>
      <c r="G149" s="280">
        <v>35000</v>
      </c>
      <c r="H149" s="280">
        <v>35000</v>
      </c>
      <c r="I149" s="280">
        <f t="shared" si="22"/>
        <v>140000</v>
      </c>
    </row>
    <row r="150" spans="1:9">
      <c r="A150" s="279">
        <v>21</v>
      </c>
      <c r="B150" s="279" t="s">
        <v>440</v>
      </c>
      <c r="C150" s="279" t="s">
        <v>441</v>
      </c>
      <c r="D150" s="279" t="s">
        <v>283</v>
      </c>
      <c r="E150" s="280">
        <v>35000</v>
      </c>
      <c r="F150" s="280">
        <v>35000</v>
      </c>
      <c r="G150" s="280">
        <v>35000</v>
      </c>
      <c r="H150" s="280">
        <v>35000</v>
      </c>
      <c r="I150" s="280">
        <f t="shared" si="22"/>
        <v>140000</v>
      </c>
    </row>
    <row r="151" spans="1:9">
      <c r="A151" s="279">
        <v>22</v>
      </c>
      <c r="B151" s="279" t="s">
        <v>442</v>
      </c>
      <c r="C151" s="279" t="s">
        <v>443</v>
      </c>
      <c r="D151" s="279" t="s">
        <v>301</v>
      </c>
      <c r="E151" s="280">
        <v>35000</v>
      </c>
      <c r="F151" s="280">
        <v>35000</v>
      </c>
      <c r="G151" s="280">
        <v>35000</v>
      </c>
      <c r="H151" s="280">
        <v>35000</v>
      </c>
      <c r="I151" s="280">
        <f t="shared" si="22"/>
        <v>140000</v>
      </c>
    </row>
    <row r="152" spans="1:9">
      <c r="A152" s="279">
        <v>23</v>
      </c>
      <c r="B152" s="279" t="s">
        <v>444</v>
      </c>
      <c r="C152" s="279" t="s">
        <v>445</v>
      </c>
      <c r="D152" s="279" t="s">
        <v>283</v>
      </c>
      <c r="E152" s="280">
        <v>35000</v>
      </c>
      <c r="F152" s="280">
        <v>35000</v>
      </c>
      <c r="G152" s="280">
        <v>35000</v>
      </c>
      <c r="H152" s="280">
        <v>35000</v>
      </c>
      <c r="I152" s="280">
        <f t="shared" si="22"/>
        <v>140000</v>
      </c>
    </row>
    <row r="153" spans="1:9">
      <c r="A153" s="279">
        <v>24</v>
      </c>
      <c r="B153" s="279" t="s">
        <v>446</v>
      </c>
      <c r="C153" s="279" t="s">
        <v>451</v>
      </c>
      <c r="D153" s="279" t="s">
        <v>945</v>
      </c>
      <c r="E153" s="280">
        <v>35000</v>
      </c>
      <c r="F153" s="280">
        <v>35000</v>
      </c>
      <c r="G153" s="280">
        <v>35000</v>
      </c>
      <c r="H153" s="280">
        <v>35000</v>
      </c>
      <c r="I153" s="280">
        <f t="shared" si="22"/>
        <v>140000</v>
      </c>
    </row>
    <row r="154" spans="1:9">
      <c r="A154" s="279">
        <v>25</v>
      </c>
      <c r="B154" s="279" t="s">
        <v>448</v>
      </c>
      <c r="C154" s="279" t="s">
        <v>449</v>
      </c>
      <c r="D154" s="279" t="s">
        <v>30</v>
      </c>
      <c r="E154" s="280">
        <v>35000</v>
      </c>
      <c r="F154" s="280">
        <v>35000</v>
      </c>
      <c r="G154" s="280">
        <v>35000</v>
      </c>
      <c r="H154" s="280">
        <v>35000</v>
      </c>
      <c r="I154" s="280">
        <f t="shared" si="22"/>
        <v>140000</v>
      </c>
    </row>
    <row r="155" spans="1:9">
      <c r="A155" s="279">
        <v>26</v>
      </c>
      <c r="B155" s="279" t="s">
        <v>450</v>
      </c>
      <c r="C155" s="279" t="s">
        <v>451</v>
      </c>
      <c r="D155" s="279" t="s">
        <v>30</v>
      </c>
      <c r="E155" s="280">
        <v>35000</v>
      </c>
      <c r="F155" s="280">
        <v>35000</v>
      </c>
      <c r="G155" s="280">
        <v>35000</v>
      </c>
      <c r="H155" s="280">
        <v>35000</v>
      </c>
      <c r="I155" s="280">
        <f t="shared" si="22"/>
        <v>140000</v>
      </c>
    </row>
    <row r="156" spans="1:9">
      <c r="A156" s="279">
        <v>27</v>
      </c>
      <c r="B156" s="279" t="s">
        <v>452</v>
      </c>
      <c r="C156" s="279" t="s">
        <v>453</v>
      </c>
      <c r="D156" s="279" t="s">
        <v>30</v>
      </c>
      <c r="E156" s="280">
        <v>35000</v>
      </c>
      <c r="F156" s="280">
        <v>35000</v>
      </c>
      <c r="G156" s="280">
        <v>35000</v>
      </c>
      <c r="H156" s="280">
        <v>35000</v>
      </c>
      <c r="I156" s="280">
        <f t="shared" si="22"/>
        <v>140000</v>
      </c>
    </row>
    <row r="157" spans="1:9">
      <c r="A157" s="279">
        <v>28</v>
      </c>
      <c r="B157" s="279" t="s">
        <v>454</v>
      </c>
      <c r="C157" s="279" t="s">
        <v>455</v>
      </c>
      <c r="D157" s="279" t="s">
        <v>294</v>
      </c>
      <c r="E157" s="280">
        <v>35000</v>
      </c>
      <c r="F157" s="280">
        <v>35000</v>
      </c>
      <c r="G157" s="280">
        <v>35000</v>
      </c>
      <c r="H157" s="280">
        <v>35000</v>
      </c>
      <c r="I157" s="280">
        <f t="shared" si="22"/>
        <v>140000</v>
      </c>
    </row>
    <row r="158" spans="1:9">
      <c r="A158" s="279">
        <v>29</v>
      </c>
      <c r="B158" s="279" t="s">
        <v>456</v>
      </c>
      <c r="C158" s="279" t="s">
        <v>451</v>
      </c>
      <c r="D158" s="279" t="s">
        <v>30</v>
      </c>
      <c r="E158" s="280">
        <v>35000</v>
      </c>
      <c r="F158" s="280">
        <v>35000</v>
      </c>
      <c r="G158" s="280">
        <v>35000</v>
      </c>
      <c r="H158" s="280">
        <v>35000</v>
      </c>
      <c r="I158" s="280">
        <f t="shared" si="22"/>
        <v>140000</v>
      </c>
    </row>
    <row r="159" spans="1:9">
      <c r="A159" s="279">
        <v>30</v>
      </c>
      <c r="B159" s="279" t="s">
        <v>457</v>
      </c>
      <c r="C159" s="279" t="s">
        <v>458</v>
      </c>
      <c r="D159" s="279" t="s">
        <v>465</v>
      </c>
      <c r="E159" s="280">
        <v>35000</v>
      </c>
      <c r="F159" s="280">
        <v>35000</v>
      </c>
      <c r="G159" s="280">
        <v>35000</v>
      </c>
      <c r="H159" s="280">
        <v>35000</v>
      </c>
      <c r="I159" s="280">
        <f t="shared" si="22"/>
        <v>140000</v>
      </c>
    </row>
    <row r="160" spans="1:9">
      <c r="A160" s="279">
        <v>31</v>
      </c>
      <c r="B160" s="279" t="s">
        <v>460</v>
      </c>
      <c r="C160" s="279" t="s">
        <v>458</v>
      </c>
      <c r="D160" s="279" t="s">
        <v>465</v>
      </c>
      <c r="E160" s="280">
        <v>35000</v>
      </c>
      <c r="F160" s="280">
        <v>35000</v>
      </c>
      <c r="G160" s="280">
        <v>35000</v>
      </c>
      <c r="H160" s="280">
        <v>35000</v>
      </c>
      <c r="I160" s="280">
        <f t="shared" si="22"/>
        <v>140000</v>
      </c>
    </row>
    <row r="161" spans="1:9">
      <c r="A161" s="279">
        <v>32</v>
      </c>
      <c r="B161" s="279" t="s">
        <v>461</v>
      </c>
      <c r="C161" s="279" t="s">
        <v>458</v>
      </c>
      <c r="D161" s="279" t="s">
        <v>465</v>
      </c>
      <c r="E161" s="280">
        <v>35000</v>
      </c>
      <c r="F161" s="280">
        <v>35000</v>
      </c>
      <c r="G161" s="280">
        <v>35000</v>
      </c>
      <c r="H161" s="280">
        <v>35000</v>
      </c>
      <c r="I161" s="280">
        <f t="shared" si="22"/>
        <v>140000</v>
      </c>
    </row>
    <row r="162" spans="1:9">
      <c r="A162" s="279">
        <v>33</v>
      </c>
      <c r="B162" s="279" t="s">
        <v>462</v>
      </c>
      <c r="C162" s="279" t="s">
        <v>458</v>
      </c>
      <c r="D162" s="279" t="s">
        <v>465</v>
      </c>
      <c r="E162" s="280">
        <v>35000</v>
      </c>
      <c r="F162" s="280">
        <v>35000</v>
      </c>
      <c r="G162" s="280">
        <v>35000</v>
      </c>
      <c r="H162" s="280">
        <v>35000</v>
      </c>
      <c r="I162" s="280">
        <f t="shared" si="22"/>
        <v>140000</v>
      </c>
    </row>
    <row r="163" spans="1:9">
      <c r="A163" s="279">
        <v>34</v>
      </c>
      <c r="B163" s="279" t="s">
        <v>463</v>
      </c>
      <c r="C163" s="279" t="s">
        <v>458</v>
      </c>
      <c r="D163" s="279" t="s">
        <v>465</v>
      </c>
      <c r="E163" s="280">
        <v>35000</v>
      </c>
      <c r="F163" s="280">
        <v>35000</v>
      </c>
      <c r="G163" s="280">
        <v>35000</v>
      </c>
      <c r="H163" s="280">
        <v>35000</v>
      </c>
      <c r="I163" s="280">
        <f t="shared" si="22"/>
        <v>140000</v>
      </c>
    </row>
    <row r="164" spans="1:9">
      <c r="A164" s="279">
        <v>35</v>
      </c>
      <c r="B164" s="279" t="s">
        <v>464</v>
      </c>
      <c r="C164" s="279" t="s">
        <v>458</v>
      </c>
      <c r="D164" s="279" t="s">
        <v>476</v>
      </c>
      <c r="E164" s="280">
        <v>35000</v>
      </c>
      <c r="F164" s="280">
        <v>35000</v>
      </c>
      <c r="G164" s="280">
        <v>35000</v>
      </c>
      <c r="H164" s="280">
        <v>35000</v>
      </c>
      <c r="I164" s="280">
        <f t="shared" si="22"/>
        <v>140000</v>
      </c>
    </row>
    <row r="165" spans="1:9">
      <c r="A165" s="279">
        <v>36</v>
      </c>
      <c r="B165" s="279" t="s">
        <v>466</v>
      </c>
      <c r="C165" s="279" t="s">
        <v>458</v>
      </c>
      <c r="D165" s="279" t="s">
        <v>476</v>
      </c>
      <c r="E165" s="280">
        <v>35000</v>
      </c>
      <c r="F165" s="280">
        <v>35000</v>
      </c>
      <c r="G165" s="280">
        <v>35000</v>
      </c>
      <c r="H165" s="280">
        <v>35000</v>
      </c>
      <c r="I165" s="280">
        <f t="shared" si="22"/>
        <v>140000</v>
      </c>
    </row>
    <row r="166" spans="1:9">
      <c r="A166" s="279">
        <v>37</v>
      </c>
      <c r="B166" s="279" t="s">
        <v>467</v>
      </c>
      <c r="C166" s="279" t="s">
        <v>458</v>
      </c>
      <c r="D166" s="279" t="s">
        <v>476</v>
      </c>
      <c r="E166" s="280">
        <v>35000</v>
      </c>
      <c r="F166" s="280">
        <v>35000</v>
      </c>
      <c r="G166" s="280">
        <v>35000</v>
      </c>
      <c r="H166" s="280">
        <v>35000</v>
      </c>
      <c r="I166" s="280">
        <f t="shared" si="22"/>
        <v>140000</v>
      </c>
    </row>
    <row r="167" spans="1:9">
      <c r="A167" s="279">
        <v>38</v>
      </c>
      <c r="B167" s="279" t="s">
        <v>468</v>
      </c>
      <c r="C167" s="279" t="s">
        <v>458</v>
      </c>
      <c r="D167" s="279" t="s">
        <v>476</v>
      </c>
      <c r="E167" s="280">
        <v>35000</v>
      </c>
      <c r="F167" s="280">
        <v>35000</v>
      </c>
      <c r="G167" s="280">
        <v>35000</v>
      </c>
      <c r="H167" s="280">
        <v>35000</v>
      </c>
      <c r="I167" s="280">
        <f t="shared" si="22"/>
        <v>140000</v>
      </c>
    </row>
    <row r="168" spans="1:9">
      <c r="A168" s="279">
        <v>39</v>
      </c>
      <c r="B168" s="279" t="s">
        <v>469</v>
      </c>
      <c r="C168" s="279" t="s">
        <v>458</v>
      </c>
      <c r="D168" s="279" t="s">
        <v>476</v>
      </c>
      <c r="E168" s="280">
        <v>35000</v>
      </c>
      <c r="F168" s="280">
        <v>35000</v>
      </c>
      <c r="G168" s="280">
        <v>35000</v>
      </c>
      <c r="H168" s="280">
        <v>35000</v>
      </c>
      <c r="I168" s="280">
        <f t="shared" si="22"/>
        <v>140000</v>
      </c>
    </row>
    <row r="169" spans="1:9">
      <c r="A169" s="279">
        <v>40</v>
      </c>
      <c r="B169" s="279" t="s">
        <v>470</v>
      </c>
      <c r="C169" s="279" t="s">
        <v>458</v>
      </c>
      <c r="D169" s="279" t="s">
        <v>476</v>
      </c>
      <c r="E169" s="280">
        <v>35000</v>
      </c>
      <c r="F169" s="280">
        <v>35000</v>
      </c>
      <c r="G169" s="280">
        <v>35000</v>
      </c>
      <c r="H169" s="280">
        <v>35000</v>
      </c>
      <c r="I169" s="280">
        <f t="shared" si="22"/>
        <v>140000</v>
      </c>
    </row>
    <row r="170" spans="1:9">
      <c r="A170" s="279">
        <v>41</v>
      </c>
      <c r="B170" s="279" t="s">
        <v>471</v>
      </c>
      <c r="C170" s="279" t="s">
        <v>478</v>
      </c>
      <c r="D170" s="279" t="s">
        <v>479</v>
      </c>
      <c r="E170" s="280">
        <v>35000</v>
      </c>
      <c r="F170" s="280">
        <v>35000</v>
      </c>
      <c r="G170" s="280">
        <v>35000</v>
      </c>
      <c r="H170" s="280">
        <v>35000</v>
      </c>
      <c r="I170" s="280">
        <f t="shared" si="22"/>
        <v>140000</v>
      </c>
    </row>
    <row r="171" spans="1:9">
      <c r="A171" s="279">
        <v>42</v>
      </c>
      <c r="B171" s="279" t="s">
        <v>474</v>
      </c>
      <c r="C171" s="279" t="s">
        <v>478</v>
      </c>
      <c r="D171" s="279" t="s">
        <v>479</v>
      </c>
      <c r="E171" s="280">
        <v>35000</v>
      </c>
      <c r="F171" s="280">
        <v>35000</v>
      </c>
      <c r="G171" s="280">
        <v>35000</v>
      </c>
      <c r="H171" s="280">
        <v>35000</v>
      </c>
      <c r="I171" s="280">
        <f t="shared" si="22"/>
        <v>140000</v>
      </c>
    </row>
    <row r="172" spans="1:9">
      <c r="A172" s="279">
        <v>43</v>
      </c>
      <c r="B172" s="279" t="s">
        <v>475</v>
      </c>
      <c r="C172" s="279" t="s">
        <v>478</v>
      </c>
      <c r="D172" s="279" t="s">
        <v>948</v>
      </c>
      <c r="E172" s="280">
        <v>35000</v>
      </c>
      <c r="F172" s="280">
        <v>35000</v>
      </c>
      <c r="G172" s="280">
        <v>35000</v>
      </c>
      <c r="H172" s="280">
        <v>35000</v>
      </c>
      <c r="I172" s="280">
        <f t="shared" si="22"/>
        <v>140000</v>
      </c>
    </row>
    <row r="173" spans="1:9">
      <c r="A173" s="279">
        <v>44</v>
      </c>
      <c r="B173" s="279" t="s">
        <v>477</v>
      </c>
      <c r="C173" s="279" t="s">
        <v>478</v>
      </c>
      <c r="D173" s="279" t="s">
        <v>954</v>
      </c>
      <c r="E173" s="280">
        <v>35000</v>
      </c>
      <c r="F173" s="280">
        <v>35000</v>
      </c>
      <c r="G173" s="280">
        <v>35000</v>
      </c>
      <c r="H173" s="280">
        <v>35000</v>
      </c>
      <c r="I173" s="280">
        <f t="shared" si="22"/>
        <v>140000</v>
      </c>
    </row>
    <row r="174" spans="1:9">
      <c r="A174" s="279">
        <v>45</v>
      </c>
      <c r="B174" s="279" t="s">
        <v>480</v>
      </c>
      <c r="C174" s="279" t="s">
        <v>481</v>
      </c>
      <c r="D174" s="279" t="s">
        <v>955</v>
      </c>
      <c r="E174" s="280">
        <v>35000</v>
      </c>
      <c r="F174" s="280">
        <v>35000</v>
      </c>
      <c r="G174" s="280">
        <v>35000</v>
      </c>
      <c r="H174" s="280">
        <v>35000</v>
      </c>
      <c r="I174" s="280">
        <f t="shared" si="22"/>
        <v>140000</v>
      </c>
    </row>
    <row r="175" spans="1:9">
      <c r="A175" s="279">
        <v>46</v>
      </c>
      <c r="B175" s="279" t="s">
        <v>483</v>
      </c>
      <c r="C175" s="279" t="s">
        <v>481</v>
      </c>
      <c r="D175" s="279" t="s">
        <v>955</v>
      </c>
      <c r="E175" s="280">
        <v>35000</v>
      </c>
      <c r="F175" s="280">
        <v>35000</v>
      </c>
      <c r="G175" s="280">
        <v>35000</v>
      </c>
      <c r="H175" s="280">
        <v>35000</v>
      </c>
      <c r="I175" s="280">
        <f t="shared" si="22"/>
        <v>140000</v>
      </c>
    </row>
    <row r="176" spans="1:9">
      <c r="A176" s="279">
        <v>47</v>
      </c>
      <c r="B176" s="279" t="s">
        <v>484</v>
      </c>
      <c r="C176" s="279" t="s">
        <v>481</v>
      </c>
      <c r="D176" s="279" t="s">
        <v>955</v>
      </c>
      <c r="E176" s="280">
        <v>35000</v>
      </c>
      <c r="F176" s="280">
        <v>35000</v>
      </c>
      <c r="G176" s="280">
        <v>35000</v>
      </c>
      <c r="H176" s="280">
        <v>35000</v>
      </c>
      <c r="I176" s="280">
        <f t="shared" si="22"/>
        <v>140000</v>
      </c>
    </row>
    <row r="177" spans="1:9">
      <c r="A177" s="279">
        <v>48</v>
      </c>
      <c r="B177" s="279" t="s">
        <v>485</v>
      </c>
      <c r="C177" s="279" t="s">
        <v>481</v>
      </c>
      <c r="D177" s="279" t="s">
        <v>955</v>
      </c>
      <c r="E177" s="280">
        <v>35000</v>
      </c>
      <c r="F177" s="280">
        <v>35000</v>
      </c>
      <c r="G177" s="280">
        <v>35000</v>
      </c>
      <c r="H177" s="280">
        <v>35000</v>
      </c>
      <c r="I177" s="280">
        <f t="shared" si="22"/>
        <v>140000</v>
      </c>
    </row>
    <row r="178" spans="1:9">
      <c r="A178" s="279">
        <v>49</v>
      </c>
      <c r="B178" s="279" t="s">
        <v>486</v>
      </c>
      <c r="C178" s="279" t="s">
        <v>481</v>
      </c>
      <c r="D178" s="279" t="s">
        <v>955</v>
      </c>
      <c r="E178" s="280">
        <v>35000</v>
      </c>
      <c r="F178" s="280">
        <v>35000</v>
      </c>
      <c r="G178" s="280">
        <v>35000</v>
      </c>
      <c r="H178" s="280">
        <v>35000</v>
      </c>
      <c r="I178" s="280">
        <f t="shared" si="22"/>
        <v>140000</v>
      </c>
    </row>
    <row r="179" spans="1:9">
      <c r="A179" s="279">
        <v>50</v>
      </c>
      <c r="B179" s="279" t="s">
        <v>487</v>
      </c>
      <c r="C179" s="279" t="s">
        <v>481</v>
      </c>
      <c r="D179" s="279" t="s">
        <v>955</v>
      </c>
      <c r="E179" s="280">
        <v>35000</v>
      </c>
      <c r="F179" s="280">
        <v>35000</v>
      </c>
      <c r="G179" s="280">
        <v>35000</v>
      </c>
      <c r="H179" s="280">
        <v>35000</v>
      </c>
      <c r="I179" s="280">
        <f t="shared" si="22"/>
        <v>140000</v>
      </c>
    </row>
    <row r="180" spans="1:9">
      <c r="A180" s="279">
        <v>51</v>
      </c>
      <c r="B180" s="279" t="s">
        <v>488</v>
      </c>
      <c r="C180" s="279" t="s">
        <v>481</v>
      </c>
      <c r="D180" s="279" t="s">
        <v>955</v>
      </c>
      <c r="E180" s="280">
        <v>35000</v>
      </c>
      <c r="F180" s="280">
        <v>35000</v>
      </c>
      <c r="G180" s="280">
        <v>35000</v>
      </c>
      <c r="H180" s="280">
        <v>35000</v>
      </c>
      <c r="I180" s="280">
        <f t="shared" si="22"/>
        <v>140000</v>
      </c>
    </row>
    <row r="181" spans="1:9">
      <c r="A181" s="279">
        <v>52</v>
      </c>
      <c r="B181" s="279" t="s">
        <v>489</v>
      </c>
      <c r="C181" s="279" t="s">
        <v>478</v>
      </c>
      <c r="D181" s="279" t="s">
        <v>955</v>
      </c>
      <c r="E181" s="280">
        <v>35000</v>
      </c>
      <c r="F181" s="280">
        <v>35000</v>
      </c>
      <c r="G181" s="280">
        <v>35000</v>
      </c>
      <c r="H181" s="280">
        <v>35000</v>
      </c>
      <c r="I181" s="280">
        <f t="shared" si="22"/>
        <v>140000</v>
      </c>
    </row>
    <row r="182" spans="1:9">
      <c r="A182" s="279">
        <v>53</v>
      </c>
      <c r="B182" s="279" t="s">
        <v>490</v>
      </c>
      <c r="C182" s="279" t="s">
        <v>478</v>
      </c>
      <c r="D182" s="279" t="s">
        <v>955</v>
      </c>
      <c r="E182" s="280">
        <v>35000</v>
      </c>
      <c r="F182" s="280">
        <v>35000</v>
      </c>
      <c r="G182" s="280">
        <v>35000</v>
      </c>
      <c r="H182" s="280">
        <v>35000</v>
      </c>
      <c r="I182" s="280">
        <f t="shared" si="22"/>
        <v>140000</v>
      </c>
    </row>
    <row r="183" spans="1:9">
      <c r="A183" s="279">
        <v>54</v>
      </c>
      <c r="B183" s="279" t="s">
        <v>491</v>
      </c>
      <c r="C183" s="279" t="s">
        <v>481</v>
      </c>
      <c r="D183" s="279" t="s">
        <v>972</v>
      </c>
      <c r="E183" s="280">
        <v>35000</v>
      </c>
      <c r="F183" s="280">
        <v>35000</v>
      </c>
      <c r="G183" s="280">
        <v>35000</v>
      </c>
      <c r="H183" s="280">
        <v>35000</v>
      </c>
      <c r="I183" s="280">
        <f t="shared" si="22"/>
        <v>140000</v>
      </c>
    </row>
    <row r="184" spans="1:9">
      <c r="A184" s="279">
        <v>55</v>
      </c>
      <c r="B184" s="279" t="s">
        <v>493</v>
      </c>
      <c r="C184" s="279" t="s">
        <v>481</v>
      </c>
      <c r="D184" s="279" t="s">
        <v>956</v>
      </c>
      <c r="E184" s="280">
        <v>35000</v>
      </c>
      <c r="F184" s="280">
        <v>35000</v>
      </c>
      <c r="G184" s="280">
        <v>35000</v>
      </c>
      <c r="H184" s="280">
        <v>35000</v>
      </c>
      <c r="I184" s="280">
        <f t="shared" si="22"/>
        <v>140000</v>
      </c>
    </row>
    <row r="185" spans="1:9">
      <c r="A185" s="279">
        <v>56</v>
      </c>
      <c r="B185" s="279" t="s">
        <v>495</v>
      </c>
      <c r="C185" s="279" t="s">
        <v>496</v>
      </c>
      <c r="D185" s="279" t="s">
        <v>957</v>
      </c>
      <c r="E185" s="280">
        <v>35000</v>
      </c>
      <c r="F185" s="280">
        <v>35000</v>
      </c>
      <c r="G185" s="280">
        <v>35000</v>
      </c>
      <c r="H185" s="280">
        <v>35000</v>
      </c>
      <c r="I185" s="280">
        <f t="shared" si="22"/>
        <v>140000</v>
      </c>
    </row>
    <row r="186" spans="1:9">
      <c r="A186" s="279">
        <v>57</v>
      </c>
      <c r="B186" s="279" t="s">
        <v>498</v>
      </c>
      <c r="C186" s="279" t="s">
        <v>496</v>
      </c>
      <c r="D186" s="279" t="s">
        <v>957</v>
      </c>
      <c r="E186" s="280">
        <v>35000</v>
      </c>
      <c r="F186" s="280">
        <v>35000</v>
      </c>
      <c r="G186" s="280">
        <v>35000</v>
      </c>
      <c r="H186" s="280">
        <v>35000</v>
      </c>
      <c r="I186" s="280">
        <f t="shared" si="22"/>
        <v>140000</v>
      </c>
    </row>
    <row r="187" spans="1:9">
      <c r="A187" s="279">
        <v>58</v>
      </c>
      <c r="B187" s="279" t="s">
        <v>499</v>
      </c>
      <c r="C187" s="279" t="s">
        <v>496</v>
      </c>
      <c r="D187" s="279" t="s">
        <v>957</v>
      </c>
      <c r="E187" s="280">
        <v>35000</v>
      </c>
      <c r="F187" s="280">
        <v>35000</v>
      </c>
      <c r="G187" s="280">
        <v>35000</v>
      </c>
      <c r="H187" s="280">
        <v>35000</v>
      </c>
      <c r="I187" s="280">
        <f t="shared" si="22"/>
        <v>140000</v>
      </c>
    </row>
    <row r="188" spans="1:9">
      <c r="A188" s="279">
        <v>59</v>
      </c>
      <c r="B188" s="279" t="s">
        <v>500</v>
      </c>
      <c r="C188" s="279" t="s">
        <v>501</v>
      </c>
      <c r="D188" s="279" t="s">
        <v>173</v>
      </c>
      <c r="E188" s="280">
        <v>35000</v>
      </c>
      <c r="F188" s="280">
        <v>35000</v>
      </c>
      <c r="G188" s="280">
        <v>35000</v>
      </c>
      <c r="H188" s="280">
        <v>35000</v>
      </c>
      <c r="I188" s="280">
        <f t="shared" si="22"/>
        <v>140000</v>
      </c>
    </row>
    <row r="189" spans="1:9">
      <c r="A189" s="279">
        <v>60</v>
      </c>
      <c r="B189" s="279" t="s">
        <v>503</v>
      </c>
      <c r="C189" s="279" t="s">
        <v>501</v>
      </c>
      <c r="D189" s="279" t="s">
        <v>173</v>
      </c>
      <c r="E189" s="282">
        <v>35000</v>
      </c>
      <c r="F189" s="282">
        <v>35000</v>
      </c>
      <c r="G189" s="282">
        <v>35000</v>
      </c>
      <c r="H189" s="282">
        <v>35000</v>
      </c>
      <c r="I189" s="282">
        <f t="shared" si="22"/>
        <v>140000</v>
      </c>
    </row>
    <row r="190" spans="1:9">
      <c r="A190" s="279"/>
      <c r="B190" s="283" t="s">
        <v>1036</v>
      </c>
      <c r="C190" s="279"/>
      <c r="D190" s="279"/>
      <c r="E190" s="284">
        <f>SUM(E131:E189)</f>
        <v>2065000</v>
      </c>
      <c r="F190" s="284">
        <f t="shared" ref="F190:I190" si="23">SUM(F131:F189)</f>
        <v>2065000</v>
      </c>
      <c r="G190" s="284">
        <f t="shared" si="23"/>
        <v>2065000</v>
      </c>
      <c r="H190" s="284">
        <f t="shared" si="23"/>
        <v>2065000</v>
      </c>
      <c r="I190" s="284">
        <f t="shared" si="23"/>
        <v>8260000</v>
      </c>
    </row>
    <row r="191" spans="5:9">
      <c r="E191" s="269"/>
      <c r="F191" s="269"/>
      <c r="G191" s="269"/>
      <c r="H191" s="269"/>
      <c r="I191" s="270"/>
    </row>
    <row r="192" ht="24" customHeight="1" spans="1:9">
      <c r="A192" s="279"/>
      <c r="B192" s="287" t="s">
        <v>1037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69"/>
      <c r="F193" s="269"/>
      <c r="G193" s="269"/>
      <c r="H193" s="26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73"/>
      <c r="J1" s="273"/>
    </row>
    <row r="2" ht="17.5" spans="1:10">
      <c r="A2" s="3" t="s">
        <v>1008</v>
      </c>
      <c r="B2" s="3"/>
      <c r="C2" s="3"/>
      <c r="D2" s="3"/>
      <c r="E2" s="3"/>
      <c r="F2" s="3"/>
      <c r="G2" s="3"/>
      <c r="H2" s="3"/>
      <c r="I2" s="274"/>
      <c r="J2" s="274"/>
    </row>
    <row r="3" ht="37.5" customHeight="1" spans="1:8">
      <c r="A3" s="264" t="s">
        <v>1009</v>
      </c>
      <c r="B3" s="264"/>
      <c r="C3" s="264"/>
      <c r="D3" s="264"/>
      <c r="E3" s="264"/>
      <c r="F3" s="264"/>
      <c r="G3" s="264"/>
      <c r="H3" s="264"/>
    </row>
    <row r="5" ht="42.75" customHeight="1" spans="1:9">
      <c r="A5" s="265" t="s">
        <v>20</v>
      </c>
      <c r="B5" s="55" t="s">
        <v>2</v>
      </c>
      <c r="C5" s="55" t="s">
        <v>3</v>
      </c>
      <c r="D5" s="266" t="s">
        <v>1038</v>
      </c>
      <c r="E5" s="266" t="s">
        <v>960</v>
      </c>
      <c r="F5" s="266" t="s">
        <v>961</v>
      </c>
      <c r="G5" s="266" t="s">
        <v>1039</v>
      </c>
      <c r="H5" s="267" t="s">
        <v>1014</v>
      </c>
      <c r="I5" s="46"/>
    </row>
    <row r="6" ht="18" spans="1:9">
      <c r="A6" s="43">
        <v>1</v>
      </c>
      <c r="B6" s="43" t="s">
        <v>1040</v>
      </c>
      <c r="C6" s="43" t="s">
        <v>1041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9">
      <c r="A7" s="43">
        <v>2</v>
      </c>
      <c r="B7" s="43" t="s">
        <v>1042</v>
      </c>
      <c r="C7" s="43" t="s">
        <v>1041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9">
      <c r="A8" s="43">
        <v>3</v>
      </c>
      <c r="B8" s="43" t="s">
        <v>1043</v>
      </c>
      <c r="C8" s="43" t="s">
        <v>1044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9">
      <c r="A9" s="43">
        <v>4</v>
      </c>
      <c r="B9" s="43" t="s">
        <v>1042</v>
      </c>
      <c r="C9" s="43" t="s">
        <v>1041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9">
      <c r="A10" s="43">
        <v>5</v>
      </c>
      <c r="B10" s="43" t="s">
        <v>1045</v>
      </c>
      <c r="C10" s="43" t="s">
        <v>1046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9">
      <c r="A11" s="43">
        <v>6</v>
      </c>
      <c r="B11" s="43" t="s">
        <v>1047</v>
      </c>
      <c r="C11" s="43" t="s">
        <v>1048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9">
      <c r="A12" s="43">
        <v>7</v>
      </c>
      <c r="B12" s="43" t="s">
        <v>1049</v>
      </c>
      <c r="C12" s="43" t="s">
        <v>1050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9">
      <c r="A13" s="43">
        <v>8</v>
      </c>
      <c r="B13" s="43" t="s">
        <v>1051</v>
      </c>
      <c r="C13" s="43" t="s">
        <v>1052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9">
      <c r="A14" s="43">
        <v>9</v>
      </c>
      <c r="B14" s="43" t="s">
        <v>1053</v>
      </c>
      <c r="C14" s="43" t="s">
        <v>1052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9">
      <c r="A15" s="43">
        <v>10</v>
      </c>
      <c r="B15" s="43" t="s">
        <v>1054</v>
      </c>
      <c r="C15" s="43" t="s">
        <v>1050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9">
      <c r="A16" s="43">
        <v>11</v>
      </c>
      <c r="B16" s="43" t="s">
        <v>1055</v>
      </c>
      <c r="C16" s="43" t="s">
        <v>1056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1057</v>
      </c>
      <c r="C17" s="43" t="s">
        <v>1044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1058</v>
      </c>
      <c r="C18" s="43" t="s">
        <v>1059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1060</v>
      </c>
      <c r="C19" s="43" t="s">
        <v>1046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1061</v>
      </c>
      <c r="C20" s="43" t="s">
        <v>1062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1063</v>
      </c>
      <c r="C21" s="43" t="s">
        <v>1064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1065</v>
      </c>
      <c r="C22" s="43" t="s">
        <v>1046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1066</v>
      </c>
      <c r="C23" s="43" t="s">
        <v>207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1067</v>
      </c>
      <c r="C24" s="43" t="s">
        <v>207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1068</v>
      </c>
      <c r="C25" s="43" t="s">
        <v>207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1069</v>
      </c>
      <c r="C26" s="43" t="s">
        <v>207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1070</v>
      </c>
      <c r="C27" s="43" t="s">
        <v>1071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1072</v>
      </c>
      <c r="C28" s="43" t="s">
        <v>1073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1074</v>
      </c>
      <c r="C29" s="43" t="s">
        <v>1075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1076</v>
      </c>
      <c r="C30" s="43" t="s">
        <v>1056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203</v>
      </c>
      <c r="C31" s="43" t="s">
        <v>207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1077</v>
      </c>
      <c r="C32" s="43" t="s">
        <v>1044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1078</v>
      </c>
      <c r="C33" s="43" t="s">
        <v>1044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183</v>
      </c>
      <c r="C34" s="43" t="s">
        <v>207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206</v>
      </c>
      <c r="C35" s="43" t="s">
        <v>207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1079</v>
      </c>
      <c r="C36" s="43" t="s">
        <v>1080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208</v>
      </c>
      <c r="C37" s="43" t="s">
        <v>207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210</v>
      </c>
      <c r="C38" s="43" t="s">
        <v>1081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1082</v>
      </c>
      <c r="C39" s="43" t="s">
        <v>207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212</v>
      </c>
      <c r="C40" s="43" t="s">
        <v>207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1083</v>
      </c>
      <c r="C41" s="43" t="s">
        <v>1046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1084</v>
      </c>
      <c r="C42" s="43" t="s">
        <v>1046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1085</v>
      </c>
      <c r="C43" s="43" t="s">
        <v>1046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1086</v>
      </c>
      <c r="C44" s="43" t="s">
        <v>1046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1087</v>
      </c>
      <c r="C45" s="43" t="s">
        <v>1046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1088</v>
      </c>
      <c r="C46" s="43" t="s">
        <v>1046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1089</v>
      </c>
      <c r="C47" s="43" t="s">
        <v>207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1090</v>
      </c>
      <c r="C48" s="43" t="s">
        <v>1046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1091</v>
      </c>
      <c r="C49" s="43" t="s">
        <v>1046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1092</v>
      </c>
      <c r="C50" s="43" t="s">
        <v>207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1093</v>
      </c>
      <c r="C51" s="43" t="s">
        <v>1046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1094</v>
      </c>
      <c r="C52" s="43" t="s">
        <v>1046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1095</v>
      </c>
      <c r="C53" s="43" t="s">
        <v>207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1096</v>
      </c>
      <c r="C54" s="43" t="s">
        <v>207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1097</v>
      </c>
      <c r="C55" s="43" t="s">
        <v>207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1098</v>
      </c>
      <c r="C56" s="43" t="s">
        <v>207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1099</v>
      </c>
      <c r="C57" s="43" t="s">
        <v>1046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1100</v>
      </c>
      <c r="C58" s="43" t="s">
        <v>1046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68">
        <f>SUM(D8:D58)</f>
        <v>1785000</v>
      </c>
      <c r="E59" s="268">
        <f>SUM(E8:E58)</f>
        <v>1785000</v>
      </c>
      <c r="F59" s="268">
        <f>SUM(F8:F58)</f>
        <v>1785000</v>
      </c>
      <c r="G59" s="268">
        <f>SUM(G8:G58)</f>
        <v>1785000</v>
      </c>
      <c r="H59" s="268">
        <f>SUM(H8:H58)</f>
        <v>7140000</v>
      </c>
      <c r="I59" s="46"/>
    </row>
    <row r="60" spans="4:8">
      <c r="D60" s="269"/>
      <c r="E60" s="269"/>
      <c r="F60" s="269"/>
      <c r="G60" s="269"/>
      <c r="H60" s="269"/>
    </row>
    <row r="61" spans="4:8">
      <c r="D61" s="269"/>
      <c r="E61" s="269"/>
      <c r="F61" s="269"/>
      <c r="G61" s="269"/>
      <c r="H61" s="270"/>
    </row>
    <row r="62" spans="1:8">
      <c r="A62" s="271"/>
      <c r="B62" s="271"/>
      <c r="C62" s="271"/>
      <c r="D62" s="270"/>
      <c r="E62" s="270"/>
      <c r="F62" s="270"/>
      <c r="G62" s="270"/>
      <c r="H62" s="272"/>
    </row>
    <row r="63" spans="4:7">
      <c r="D63" s="269"/>
      <c r="E63" s="269"/>
      <c r="F63" s="269"/>
      <c r="G63" s="26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178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68" t="s">
        <v>20</v>
      </c>
      <c r="B2" s="42" t="s">
        <v>145</v>
      </c>
      <c r="C2" s="42" t="s">
        <v>3</v>
      </c>
      <c r="D2" s="259" t="s">
        <v>1101</v>
      </c>
      <c r="E2" s="259" t="s">
        <v>14</v>
      </c>
      <c r="F2" s="259" t="s">
        <v>1102</v>
      </c>
      <c r="G2" s="46"/>
      <c r="H2" s="46"/>
      <c r="I2" s="46"/>
      <c r="J2" s="46"/>
    </row>
    <row r="3" ht="35.1" customHeight="1" spans="1:10">
      <c r="A3" s="49">
        <v>1</v>
      </c>
      <c r="B3" s="43" t="s">
        <v>337</v>
      </c>
      <c r="C3" s="43" t="s">
        <v>63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1103</v>
      </c>
      <c r="C4" s="43" t="s">
        <v>1104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33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1105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132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236</v>
      </c>
      <c r="C7" s="12" t="s">
        <v>237</v>
      </c>
      <c r="D7" s="12" t="s">
        <v>238</v>
      </c>
      <c r="E7" s="242">
        <v>450000</v>
      </c>
      <c r="F7" s="13"/>
    </row>
    <row r="8" customHeight="1" spans="1:6">
      <c r="A8" s="10">
        <v>2</v>
      </c>
      <c r="B8" s="11" t="s">
        <v>1016</v>
      </c>
      <c r="C8" s="4" t="s">
        <v>1106</v>
      </c>
      <c r="D8" s="10" t="s">
        <v>231</v>
      </c>
      <c r="E8" s="242">
        <v>150000</v>
      </c>
      <c r="F8" s="13"/>
    </row>
    <row r="9" customHeight="1" spans="1:6">
      <c r="A9" s="10">
        <v>3</v>
      </c>
      <c r="B9" s="14" t="s">
        <v>1107</v>
      </c>
      <c r="C9" s="4" t="s">
        <v>1108</v>
      </c>
      <c r="D9" s="10" t="s">
        <v>231</v>
      </c>
      <c r="E9" s="242">
        <v>150000</v>
      </c>
      <c r="F9" s="13"/>
    </row>
    <row r="10" customHeight="1" spans="1:6">
      <c r="A10" s="10">
        <v>4</v>
      </c>
      <c r="B10" s="11" t="s">
        <v>239</v>
      </c>
      <c r="C10" s="12" t="s">
        <v>240</v>
      </c>
      <c r="D10" s="10" t="s">
        <v>234</v>
      </c>
      <c r="E10" s="242">
        <v>150000</v>
      </c>
      <c r="F10" s="13"/>
    </row>
    <row r="11" customHeight="1" spans="1:6">
      <c r="A11" s="10">
        <v>5</v>
      </c>
      <c r="B11" s="14" t="s">
        <v>241</v>
      </c>
      <c r="C11" s="4" t="s">
        <v>242</v>
      </c>
      <c r="D11" s="15" t="s">
        <v>308</v>
      </c>
      <c r="E11" s="242">
        <v>150000</v>
      </c>
      <c r="F11" s="13"/>
    </row>
    <row r="12" customHeight="1" spans="1:6">
      <c r="A12" s="10">
        <v>6</v>
      </c>
      <c r="B12" s="14" t="s">
        <v>363</v>
      </c>
      <c r="C12" s="4" t="s">
        <v>1018</v>
      </c>
      <c r="D12" s="16" t="s">
        <v>308</v>
      </c>
      <c r="E12" s="242">
        <v>150000</v>
      </c>
      <c r="F12" s="13"/>
    </row>
    <row r="13" customHeight="1" spans="1:6">
      <c r="A13" s="10">
        <v>7</v>
      </c>
      <c r="B13" s="11" t="s">
        <v>243</v>
      </c>
      <c r="C13" s="17" t="s">
        <v>244</v>
      </c>
      <c r="D13" s="16" t="s">
        <v>308</v>
      </c>
      <c r="E13" s="242">
        <v>150000</v>
      </c>
      <c r="F13" s="13"/>
    </row>
    <row r="14" customHeight="1" spans="1:6">
      <c r="A14" s="10">
        <v>8</v>
      </c>
      <c r="B14" s="14" t="s">
        <v>245</v>
      </c>
      <c r="C14" s="4" t="s">
        <v>246</v>
      </c>
      <c r="D14" s="16" t="s">
        <v>308</v>
      </c>
      <c r="E14" s="242">
        <v>150000</v>
      </c>
      <c r="F14" s="13"/>
    </row>
    <row r="15" customHeight="1" spans="1:6">
      <c r="A15" s="10">
        <v>9</v>
      </c>
      <c r="B15" s="11" t="s">
        <v>247</v>
      </c>
      <c r="C15" s="12" t="s">
        <v>248</v>
      </c>
      <c r="D15" s="15" t="s">
        <v>249</v>
      </c>
      <c r="E15" s="242">
        <v>105000</v>
      </c>
      <c r="F15" s="13"/>
    </row>
    <row r="16" customHeight="1" spans="1:6">
      <c r="A16" s="10">
        <v>10</v>
      </c>
      <c r="B16" s="18" t="s">
        <v>223</v>
      </c>
      <c r="C16" s="12" t="s">
        <v>224</v>
      </c>
      <c r="D16" s="10" t="s">
        <v>222</v>
      </c>
      <c r="E16" s="242">
        <v>105000</v>
      </c>
      <c r="F16" s="13"/>
    </row>
    <row r="17" customHeight="1" spans="1:6">
      <c r="A17" s="10">
        <v>11</v>
      </c>
      <c r="B17" s="19" t="s">
        <v>1109</v>
      </c>
      <c r="C17" s="4" t="s">
        <v>1110</v>
      </c>
      <c r="D17" s="16" t="s">
        <v>257</v>
      </c>
      <c r="E17" s="242">
        <v>75000</v>
      </c>
      <c r="F17" s="13"/>
    </row>
    <row r="18" ht="19.5" customHeight="1" spans="1:6">
      <c r="A18" s="10">
        <v>12</v>
      </c>
      <c r="B18" s="14" t="s">
        <v>1019</v>
      </c>
      <c r="C18" s="4" t="s">
        <v>253</v>
      </c>
      <c r="D18" s="10" t="s">
        <v>257</v>
      </c>
      <c r="E18" s="242">
        <v>75000</v>
      </c>
      <c r="F18" s="13"/>
    </row>
    <row r="19" ht="19.5" customHeight="1" spans="1:6">
      <c r="A19" s="10">
        <v>13</v>
      </c>
      <c r="B19" s="14" t="s">
        <v>1111</v>
      </c>
      <c r="C19" s="4" t="s">
        <v>1112</v>
      </c>
      <c r="D19" s="10" t="s">
        <v>257</v>
      </c>
      <c r="E19" s="242">
        <v>75000</v>
      </c>
      <c r="F19" s="13"/>
    </row>
    <row r="20" customHeight="1" spans="1:6">
      <c r="A20" s="10">
        <v>14</v>
      </c>
      <c r="B20" s="11" t="s">
        <v>252</v>
      </c>
      <c r="C20" s="4" t="s">
        <v>253</v>
      </c>
      <c r="D20" s="15" t="s">
        <v>257</v>
      </c>
      <c r="E20" s="242">
        <v>75000</v>
      </c>
      <c r="F20" s="13"/>
    </row>
    <row r="21" customHeight="1" spans="1:6">
      <c r="A21" s="10">
        <v>15</v>
      </c>
      <c r="B21" s="11" t="s">
        <v>264</v>
      </c>
      <c r="C21" s="12" t="s">
        <v>265</v>
      </c>
      <c r="D21" s="15" t="s">
        <v>950</v>
      </c>
      <c r="E21" s="242">
        <v>75000</v>
      </c>
      <c r="F21" s="13"/>
    </row>
    <row r="22" customHeight="1" spans="1:6">
      <c r="A22" s="10">
        <v>16</v>
      </c>
      <c r="B22" s="18" t="s">
        <v>267</v>
      </c>
      <c r="C22" s="4" t="s">
        <v>268</v>
      </c>
      <c r="D22" s="15" t="s">
        <v>951</v>
      </c>
      <c r="E22" s="242">
        <v>75000</v>
      </c>
      <c r="F22" s="13"/>
    </row>
    <row r="23" customHeight="1" spans="1:6">
      <c r="A23" s="10">
        <v>17</v>
      </c>
      <c r="B23" s="11" t="s">
        <v>389</v>
      </c>
      <c r="C23" s="12" t="s">
        <v>390</v>
      </c>
      <c r="D23" s="15" t="s">
        <v>271</v>
      </c>
      <c r="E23" s="242">
        <v>45000</v>
      </c>
      <c r="F23" s="13"/>
    </row>
    <row r="24" ht="18.75" customHeight="1" spans="1:6">
      <c r="A24" s="10">
        <v>18</v>
      </c>
      <c r="B24" s="11" t="s">
        <v>270</v>
      </c>
      <c r="C24" s="12" t="s">
        <v>50</v>
      </c>
      <c r="D24" s="15" t="s">
        <v>332</v>
      </c>
      <c r="E24" s="242">
        <v>45000</v>
      </c>
      <c r="F24" s="13"/>
    </row>
    <row r="25" ht="18.75" customHeight="1" spans="1:6">
      <c r="A25" s="10">
        <v>19</v>
      </c>
      <c r="B25" s="11" t="s">
        <v>387</v>
      </c>
      <c r="C25" s="4" t="s">
        <v>388</v>
      </c>
      <c r="D25" s="15" t="s">
        <v>332</v>
      </c>
      <c r="E25" s="242">
        <v>45000</v>
      </c>
      <c r="F25" s="13"/>
    </row>
    <row r="26" ht="18.75" customHeight="1" spans="1:6">
      <c r="A26" s="10">
        <v>20</v>
      </c>
      <c r="B26" s="18" t="s">
        <v>1113</v>
      </c>
      <c r="C26" s="12" t="s">
        <v>293</v>
      </c>
      <c r="D26" s="15" t="s">
        <v>345</v>
      </c>
      <c r="E26" s="242">
        <v>45000</v>
      </c>
      <c r="F26" s="13"/>
    </row>
    <row r="27" ht="18.75" customHeight="1" spans="1:6">
      <c r="A27" s="10">
        <v>21</v>
      </c>
      <c r="B27" s="4" t="s">
        <v>278</v>
      </c>
      <c r="C27" s="4" t="s">
        <v>176</v>
      </c>
      <c r="D27" s="10" t="s">
        <v>283</v>
      </c>
      <c r="E27" s="242">
        <v>45000</v>
      </c>
      <c r="F27" s="13"/>
    </row>
    <row r="28" ht="18.75" customHeight="1" spans="1:6">
      <c r="A28" s="10">
        <v>22</v>
      </c>
      <c r="B28" s="18" t="s">
        <v>280</v>
      </c>
      <c r="C28" s="12" t="s">
        <v>176</v>
      </c>
      <c r="D28" s="15" t="s">
        <v>283</v>
      </c>
      <c r="E28" s="242">
        <v>45000</v>
      </c>
      <c r="F28" s="13"/>
    </row>
    <row r="29" ht="18.75" customHeight="1" spans="1:6">
      <c r="A29" s="10">
        <v>23</v>
      </c>
      <c r="B29" s="11" t="s">
        <v>1020</v>
      </c>
      <c r="C29" s="12" t="s">
        <v>1021</v>
      </c>
      <c r="D29" s="15" t="s">
        <v>283</v>
      </c>
      <c r="E29" s="242">
        <v>45000</v>
      </c>
      <c r="F29" s="13"/>
    </row>
    <row r="30" ht="18.75" customHeight="1" spans="1:6">
      <c r="A30" s="10">
        <v>24</v>
      </c>
      <c r="B30" s="18" t="s">
        <v>282</v>
      </c>
      <c r="C30" s="12" t="s">
        <v>967</v>
      </c>
      <c r="D30" s="15" t="s">
        <v>945</v>
      </c>
      <c r="E30" s="242">
        <v>45000</v>
      </c>
      <c r="F30" s="13"/>
    </row>
    <row r="31" ht="18.75" customHeight="1" spans="1:6">
      <c r="A31" s="10">
        <v>25</v>
      </c>
      <c r="B31" s="18" t="s">
        <v>284</v>
      </c>
      <c r="C31" s="4" t="s">
        <v>1022</v>
      </c>
      <c r="D31" s="10" t="s">
        <v>945</v>
      </c>
      <c r="E31" s="242">
        <v>45000</v>
      </c>
      <c r="F31" s="13"/>
    </row>
    <row r="32" ht="18.75" customHeight="1" spans="1:6">
      <c r="A32" s="10">
        <v>26</v>
      </c>
      <c r="B32" s="18" t="s">
        <v>287</v>
      </c>
      <c r="C32" s="17" t="s">
        <v>288</v>
      </c>
      <c r="D32" s="15" t="s">
        <v>283</v>
      </c>
      <c r="E32" s="242">
        <v>45000</v>
      </c>
      <c r="F32" s="13"/>
    </row>
    <row r="33" ht="18.75" customHeight="1" spans="1:6">
      <c r="A33" s="10">
        <v>27</v>
      </c>
      <c r="B33" s="18" t="s">
        <v>289</v>
      </c>
      <c r="C33" s="4" t="s">
        <v>290</v>
      </c>
      <c r="D33" s="10" t="s">
        <v>294</v>
      </c>
      <c r="E33" s="242">
        <v>45000</v>
      </c>
      <c r="F33" s="13"/>
    </row>
    <row r="34" ht="18.75" customHeight="1" spans="1:6">
      <c r="A34" s="10">
        <v>28</v>
      </c>
      <c r="B34" s="18" t="s">
        <v>933</v>
      </c>
      <c r="C34" s="12" t="s">
        <v>293</v>
      </c>
      <c r="D34" s="15" t="s">
        <v>294</v>
      </c>
      <c r="E34" s="242">
        <v>45000</v>
      </c>
      <c r="F34" s="13"/>
    </row>
    <row r="35" ht="18.75" customHeight="1" spans="1:6">
      <c r="A35" s="10">
        <v>29</v>
      </c>
      <c r="B35" s="18" t="s">
        <v>1114</v>
      </c>
      <c r="C35" s="12" t="s">
        <v>293</v>
      </c>
      <c r="D35" s="15" t="s">
        <v>294</v>
      </c>
      <c r="E35" s="242">
        <v>45000</v>
      </c>
      <c r="F35" s="13"/>
    </row>
    <row r="36" ht="18.75" customHeight="1" spans="1:6">
      <c r="A36" s="10">
        <v>30</v>
      </c>
      <c r="B36" s="18" t="s">
        <v>405</v>
      </c>
      <c r="C36" s="12" t="s">
        <v>69</v>
      </c>
      <c r="D36" s="15" t="s">
        <v>30</v>
      </c>
      <c r="E36" s="242">
        <v>45000</v>
      </c>
      <c r="F36" s="13"/>
    </row>
    <row r="37" ht="26.25" customHeight="1" spans="1:6">
      <c r="A37" s="10"/>
      <c r="B37" s="20" t="s">
        <v>33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34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295</v>
      </c>
      <c r="C40" s="4" t="s">
        <v>296</v>
      </c>
      <c r="D40" s="10" t="s">
        <v>297</v>
      </c>
      <c r="E40" s="242">
        <v>225000</v>
      </c>
      <c r="F40" s="13"/>
    </row>
    <row r="41" ht="18.75" customHeight="1" spans="1:6">
      <c r="A41" s="10">
        <v>2</v>
      </c>
      <c r="B41" s="18" t="s">
        <v>298</v>
      </c>
      <c r="C41" s="4" t="s">
        <v>537</v>
      </c>
      <c r="D41" s="10" t="s">
        <v>30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38</v>
      </c>
      <c r="C44" s="5"/>
      <c r="D44" s="24"/>
      <c r="E44" s="242"/>
      <c r="F44" s="13"/>
    </row>
    <row r="45" customHeight="1" spans="1:6">
      <c r="A45" s="10">
        <v>1</v>
      </c>
      <c r="B45" s="11" t="s">
        <v>302</v>
      </c>
      <c r="C45" s="4" t="s">
        <v>303</v>
      </c>
      <c r="D45" s="10" t="s">
        <v>297</v>
      </c>
      <c r="E45" s="242">
        <v>225000</v>
      </c>
      <c r="F45" s="13"/>
    </row>
    <row r="46" customHeight="1" spans="1:6">
      <c r="A46" s="10">
        <v>2</v>
      </c>
      <c r="B46" s="11" t="s">
        <v>304</v>
      </c>
      <c r="C46" s="4" t="s">
        <v>305</v>
      </c>
      <c r="D46" s="10" t="s">
        <v>249</v>
      </c>
      <c r="E46" s="242">
        <v>105000</v>
      </c>
      <c r="F46" s="13"/>
    </row>
    <row r="47" customHeight="1" spans="1:6">
      <c r="A47" s="10">
        <v>3</v>
      </c>
      <c r="B47" s="11" t="s">
        <v>306</v>
      </c>
      <c r="C47" s="4" t="s">
        <v>310</v>
      </c>
      <c r="D47" s="10" t="s">
        <v>249</v>
      </c>
      <c r="E47" s="242">
        <v>105000</v>
      </c>
      <c r="F47" s="13"/>
    </row>
    <row r="48" customHeight="1" spans="1:6">
      <c r="A48" s="10">
        <v>4</v>
      </c>
      <c r="B48" s="11" t="s">
        <v>309</v>
      </c>
      <c r="C48" s="4" t="s">
        <v>310</v>
      </c>
      <c r="D48" s="10" t="s">
        <v>249</v>
      </c>
      <c r="E48" s="242">
        <v>105000</v>
      </c>
      <c r="F48" s="13"/>
    </row>
    <row r="49" customHeight="1" spans="1:6">
      <c r="A49" s="10">
        <v>5</v>
      </c>
      <c r="B49" s="11" t="s">
        <v>311</v>
      </c>
      <c r="C49" s="4" t="s">
        <v>310</v>
      </c>
      <c r="D49" s="10" t="s">
        <v>327</v>
      </c>
      <c r="E49" s="242">
        <v>105000</v>
      </c>
      <c r="F49" s="13"/>
    </row>
    <row r="50" customHeight="1" spans="1:6">
      <c r="A50" s="10">
        <v>6</v>
      </c>
      <c r="B50" s="11" t="s">
        <v>312</v>
      </c>
      <c r="C50" s="4" t="s">
        <v>259</v>
      </c>
      <c r="D50" s="10" t="s">
        <v>257</v>
      </c>
      <c r="E50" s="242">
        <v>75000</v>
      </c>
      <c r="F50" s="13"/>
    </row>
    <row r="51" customHeight="1" spans="1:6">
      <c r="A51" s="10">
        <v>7</v>
      </c>
      <c r="B51" s="14" t="s">
        <v>313</v>
      </c>
      <c r="C51" s="4" t="s">
        <v>256</v>
      </c>
      <c r="D51" s="16" t="s">
        <v>257</v>
      </c>
      <c r="E51" s="242">
        <v>75000</v>
      </c>
      <c r="F51" s="13"/>
    </row>
    <row r="52" customHeight="1" spans="1:6">
      <c r="A52" s="10">
        <v>8</v>
      </c>
      <c r="B52" s="11" t="s">
        <v>1025</v>
      </c>
      <c r="C52" s="4" t="s">
        <v>256</v>
      </c>
      <c r="D52" s="10" t="s">
        <v>342</v>
      </c>
      <c r="E52" s="242">
        <v>75000</v>
      </c>
      <c r="F52" s="13"/>
    </row>
    <row r="53" customHeight="1" spans="1:6">
      <c r="A53" s="10">
        <v>9</v>
      </c>
      <c r="B53" s="11" t="s">
        <v>258</v>
      </c>
      <c r="C53" s="4" t="s">
        <v>353</v>
      </c>
      <c r="D53" s="10" t="s">
        <v>266</v>
      </c>
      <c r="E53" s="242">
        <v>75000</v>
      </c>
      <c r="F53" s="13"/>
    </row>
    <row r="54" customHeight="1" spans="1:6">
      <c r="A54" s="10">
        <v>10</v>
      </c>
      <c r="B54" s="11" t="s">
        <v>315</v>
      </c>
      <c r="C54" s="4" t="s">
        <v>63</v>
      </c>
      <c r="D54" s="10" t="s">
        <v>24</v>
      </c>
      <c r="E54" s="242">
        <v>45000</v>
      </c>
      <c r="F54" s="13"/>
    </row>
    <row r="55" customHeight="1" spans="1:6">
      <c r="A55" s="10">
        <v>11</v>
      </c>
      <c r="B55" s="11" t="s">
        <v>316</v>
      </c>
      <c r="C55" s="4" t="s">
        <v>63</v>
      </c>
      <c r="D55" s="10" t="s">
        <v>24</v>
      </c>
      <c r="E55" s="242">
        <v>45000</v>
      </c>
      <c r="F55" s="13"/>
    </row>
    <row r="56" customHeight="1" spans="1:6">
      <c r="A56" s="10">
        <v>12</v>
      </c>
      <c r="B56" s="11" t="s">
        <v>317</v>
      </c>
      <c r="C56" s="4" t="s">
        <v>63</v>
      </c>
      <c r="D56" s="10" t="s">
        <v>24</v>
      </c>
      <c r="E56" s="242">
        <v>45000</v>
      </c>
      <c r="F56" s="13"/>
    </row>
    <row r="57" ht="25.5" customHeight="1" spans="1:6">
      <c r="A57" s="10"/>
      <c r="B57" s="20" t="s">
        <v>33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318</v>
      </c>
      <c r="C59" s="21"/>
      <c r="D59" s="21"/>
      <c r="E59" s="246"/>
      <c r="F59" s="13"/>
    </row>
    <row r="60" customHeight="1" spans="1:6">
      <c r="A60" s="10">
        <v>1</v>
      </c>
      <c r="B60" s="11" t="s">
        <v>319</v>
      </c>
      <c r="C60" s="12" t="s">
        <v>320</v>
      </c>
      <c r="D60" s="15" t="s">
        <v>297</v>
      </c>
      <c r="E60" s="242">
        <v>225000</v>
      </c>
      <c r="F60" s="13"/>
    </row>
    <row r="61" customHeight="1" spans="1:6">
      <c r="A61" s="10">
        <v>2</v>
      </c>
      <c r="B61" s="11" t="s">
        <v>321</v>
      </c>
      <c r="C61" s="12" t="s">
        <v>322</v>
      </c>
      <c r="D61" s="15" t="s">
        <v>222</v>
      </c>
      <c r="E61" s="242">
        <v>105000</v>
      </c>
      <c r="F61" s="13"/>
    </row>
    <row r="62" customHeight="1" spans="1:6">
      <c r="A62" s="10"/>
      <c r="B62" s="20" t="s">
        <v>33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44</v>
      </c>
      <c r="C64" s="21"/>
      <c r="D64" s="21"/>
      <c r="E64" s="246"/>
      <c r="F64" s="13"/>
    </row>
    <row r="65" customHeight="1" spans="1:6">
      <c r="A65" s="10">
        <v>1</v>
      </c>
      <c r="B65" s="11" t="s">
        <v>323</v>
      </c>
      <c r="C65" s="17" t="s">
        <v>324</v>
      </c>
      <c r="D65" s="10" t="s">
        <v>297</v>
      </c>
      <c r="E65" s="242">
        <v>225000</v>
      </c>
      <c r="F65" s="13"/>
    </row>
    <row r="66" customHeight="1" spans="1:6">
      <c r="A66" s="10">
        <v>2</v>
      </c>
      <c r="B66" s="18" t="s">
        <v>325</v>
      </c>
      <c r="C66" s="17" t="s">
        <v>326</v>
      </c>
      <c r="D66" s="15" t="s">
        <v>952</v>
      </c>
      <c r="E66" s="242">
        <v>105000</v>
      </c>
      <c r="F66" s="13"/>
    </row>
    <row r="67" customHeight="1" spans="1:6">
      <c r="A67" s="10">
        <v>3</v>
      </c>
      <c r="B67" s="11" t="s">
        <v>328</v>
      </c>
      <c r="C67" s="4" t="s">
        <v>46</v>
      </c>
      <c r="D67" s="10" t="s">
        <v>266</v>
      </c>
      <c r="E67" s="242">
        <v>75000</v>
      </c>
      <c r="F67" s="13"/>
    </row>
    <row r="68" customHeight="1" spans="1:6">
      <c r="A68" s="10">
        <v>4</v>
      </c>
      <c r="B68" s="18" t="s">
        <v>329</v>
      </c>
      <c r="C68" s="17" t="s">
        <v>46</v>
      </c>
      <c r="D68" s="15" t="s">
        <v>950</v>
      </c>
      <c r="E68" s="242">
        <v>75000</v>
      </c>
      <c r="F68" s="13"/>
    </row>
    <row r="69" customHeight="1" spans="1:6">
      <c r="A69" s="10">
        <v>5</v>
      </c>
      <c r="B69" s="14" t="s">
        <v>330</v>
      </c>
      <c r="C69" s="17" t="s">
        <v>256</v>
      </c>
      <c r="D69" s="15" t="s">
        <v>257</v>
      </c>
      <c r="E69" s="242">
        <v>75000</v>
      </c>
      <c r="F69" s="13"/>
    </row>
    <row r="70" customHeight="1" spans="1:6">
      <c r="A70" s="10">
        <v>6</v>
      </c>
      <c r="B70" s="14" t="s">
        <v>255</v>
      </c>
      <c r="C70" s="17" t="s">
        <v>256</v>
      </c>
      <c r="D70" s="15" t="s">
        <v>342</v>
      </c>
      <c r="E70" s="242">
        <v>75000</v>
      </c>
      <c r="F70" s="13"/>
    </row>
    <row r="71" customHeight="1" spans="1:6">
      <c r="A71" s="10">
        <v>7</v>
      </c>
      <c r="B71" s="11" t="s">
        <v>331</v>
      </c>
      <c r="C71" s="4" t="s">
        <v>63</v>
      </c>
      <c r="D71" s="10" t="s">
        <v>41</v>
      </c>
      <c r="E71" s="242">
        <v>45000</v>
      </c>
      <c r="F71" s="13"/>
    </row>
    <row r="72" customHeight="1" spans="1:6">
      <c r="A72" s="10">
        <v>8</v>
      </c>
      <c r="B72" s="11" t="s">
        <v>1033</v>
      </c>
      <c r="C72" s="17" t="s">
        <v>275</v>
      </c>
      <c r="D72" s="15" t="s">
        <v>271</v>
      </c>
      <c r="E72" s="242">
        <v>45000</v>
      </c>
      <c r="F72" s="13"/>
    </row>
    <row r="73" customHeight="1" spans="1:6">
      <c r="A73" s="10">
        <v>9</v>
      </c>
      <c r="B73" s="11" t="s">
        <v>333</v>
      </c>
      <c r="C73" s="17" t="s">
        <v>275</v>
      </c>
      <c r="D73" s="15" t="s">
        <v>41</v>
      </c>
      <c r="E73" s="242">
        <v>45000</v>
      </c>
      <c r="F73" s="13"/>
    </row>
    <row r="74" customHeight="1" spans="1:6">
      <c r="A74" s="10">
        <v>10</v>
      </c>
      <c r="B74" s="11" t="s">
        <v>334</v>
      </c>
      <c r="C74" s="17" t="s">
        <v>275</v>
      </c>
      <c r="D74" s="15" t="s">
        <v>41</v>
      </c>
      <c r="E74" s="242">
        <v>45000</v>
      </c>
      <c r="F74" s="13"/>
    </row>
    <row r="75" customHeight="1" spans="1:6">
      <c r="A75" s="10">
        <v>11</v>
      </c>
      <c r="B75" s="11" t="s">
        <v>335</v>
      </c>
      <c r="C75" s="4" t="s">
        <v>336</v>
      </c>
      <c r="D75" s="10" t="s">
        <v>332</v>
      </c>
      <c r="E75" s="242">
        <v>45000</v>
      </c>
      <c r="F75" s="13"/>
    </row>
    <row r="76" customHeight="1" spans="1:6">
      <c r="A76" s="10">
        <v>12</v>
      </c>
      <c r="B76" s="11" t="s">
        <v>1115</v>
      </c>
      <c r="C76" s="17" t="s">
        <v>63</v>
      </c>
      <c r="D76" s="10" t="s">
        <v>301</v>
      </c>
      <c r="E76" s="242">
        <v>45000</v>
      </c>
      <c r="F76" s="13"/>
    </row>
    <row r="77" customHeight="1" spans="1:6">
      <c r="A77" s="10">
        <v>13</v>
      </c>
      <c r="B77" s="11" t="s">
        <v>281</v>
      </c>
      <c r="C77" s="17" t="s">
        <v>273</v>
      </c>
      <c r="D77" s="10" t="s">
        <v>283</v>
      </c>
      <c r="E77" s="242">
        <v>45000</v>
      </c>
      <c r="F77" s="13"/>
    </row>
    <row r="78" customHeight="1" spans="1:6">
      <c r="A78" s="10">
        <v>14</v>
      </c>
      <c r="B78" s="14" t="s">
        <v>272</v>
      </c>
      <c r="C78" s="17" t="s">
        <v>273</v>
      </c>
      <c r="D78" s="10" t="s">
        <v>294</v>
      </c>
      <c r="E78" s="242">
        <v>45000</v>
      </c>
      <c r="F78" s="13"/>
    </row>
    <row r="79" customHeight="1" spans="1:6">
      <c r="A79" s="10"/>
      <c r="B79" s="20" t="s">
        <v>33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51</v>
      </c>
      <c r="C81" s="21"/>
      <c r="D81" s="21"/>
      <c r="E81" s="246"/>
      <c r="F81" s="13"/>
    </row>
    <row r="82" customHeight="1" spans="1:6">
      <c r="A82" s="10">
        <v>1</v>
      </c>
      <c r="B82" s="11" t="s">
        <v>338</v>
      </c>
      <c r="C82" s="4" t="s">
        <v>339</v>
      </c>
      <c r="D82" s="10" t="s">
        <v>297</v>
      </c>
      <c r="E82" s="242">
        <v>225000</v>
      </c>
      <c r="F82" s="13"/>
    </row>
    <row r="83" customHeight="1" spans="1:6">
      <c r="A83" s="10">
        <v>2</v>
      </c>
      <c r="B83" s="14" t="s">
        <v>220</v>
      </c>
      <c r="C83" s="4" t="s">
        <v>221</v>
      </c>
      <c r="D83" s="15" t="s">
        <v>952</v>
      </c>
      <c r="E83" s="242">
        <v>105000</v>
      </c>
      <c r="F83" s="13"/>
    </row>
    <row r="84" customHeight="1" spans="1:6">
      <c r="A84" s="10">
        <v>3</v>
      </c>
      <c r="B84" s="14" t="s">
        <v>1116</v>
      </c>
      <c r="C84" s="4" t="s">
        <v>1117</v>
      </c>
      <c r="D84" s="15" t="s">
        <v>952</v>
      </c>
      <c r="E84" s="242">
        <v>105000</v>
      </c>
      <c r="F84" s="13"/>
    </row>
    <row r="85" customHeight="1" spans="1:6">
      <c r="A85" s="10">
        <v>4</v>
      </c>
      <c r="B85" s="11" t="s">
        <v>340</v>
      </c>
      <c r="C85" s="4" t="s">
        <v>968</v>
      </c>
      <c r="D85" s="15" t="s">
        <v>266</v>
      </c>
      <c r="E85" s="242">
        <v>75000</v>
      </c>
      <c r="F85" s="13"/>
    </row>
    <row r="86" customHeight="1" spans="1:6">
      <c r="A86" s="10">
        <v>5</v>
      </c>
      <c r="B86" s="11" t="s">
        <v>343</v>
      </c>
      <c r="C86" s="4" t="s">
        <v>344</v>
      </c>
      <c r="D86" s="10" t="s">
        <v>301</v>
      </c>
      <c r="E86" s="242">
        <v>45000</v>
      </c>
      <c r="F86" s="13"/>
    </row>
    <row r="87" customHeight="1" spans="1:6">
      <c r="A87" s="10"/>
      <c r="B87" s="20" t="s">
        <v>33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56</v>
      </c>
      <c r="C89" s="25"/>
      <c r="D89" s="21"/>
      <c r="E89" s="242"/>
      <c r="F89" s="13"/>
    </row>
    <row r="90" customHeight="1" spans="1:6">
      <c r="A90" s="10">
        <v>1</v>
      </c>
      <c r="B90" s="11" t="s">
        <v>349</v>
      </c>
      <c r="C90" s="4" t="s">
        <v>310</v>
      </c>
      <c r="D90" s="10" t="s">
        <v>249</v>
      </c>
      <c r="E90" s="242">
        <v>105000</v>
      </c>
      <c r="F90" s="13"/>
    </row>
    <row r="91" customHeight="1" spans="1:6">
      <c r="A91" s="10">
        <v>2</v>
      </c>
      <c r="B91" s="11" t="s">
        <v>350</v>
      </c>
      <c r="C91" s="4" t="s">
        <v>310</v>
      </c>
      <c r="D91" s="10" t="s">
        <v>249</v>
      </c>
      <c r="E91" s="242">
        <v>105000</v>
      </c>
      <c r="F91" s="13"/>
    </row>
    <row r="92" customHeight="1" spans="1:6">
      <c r="A92" s="10">
        <v>3</v>
      </c>
      <c r="B92" s="14" t="s">
        <v>386</v>
      </c>
      <c r="C92" s="4" t="s">
        <v>256</v>
      </c>
      <c r="D92" s="10" t="s">
        <v>254</v>
      </c>
      <c r="E92" s="242">
        <v>75000</v>
      </c>
      <c r="F92" s="13"/>
    </row>
    <row r="93" customHeight="1" spans="1:6">
      <c r="A93" s="10">
        <v>4</v>
      </c>
      <c r="B93" s="11" t="s">
        <v>351</v>
      </c>
      <c r="C93" s="4" t="s">
        <v>259</v>
      </c>
      <c r="D93" s="10" t="s">
        <v>257</v>
      </c>
      <c r="E93" s="242">
        <v>75000</v>
      </c>
      <c r="F93" s="13"/>
    </row>
    <row r="94" ht="21.6" customHeight="1" spans="1:6">
      <c r="A94" s="10">
        <v>5</v>
      </c>
      <c r="B94" s="11" t="s">
        <v>352</v>
      </c>
      <c r="C94" s="4" t="s">
        <v>353</v>
      </c>
      <c r="D94" s="15" t="s">
        <v>266</v>
      </c>
      <c r="E94" s="242">
        <v>75000</v>
      </c>
      <c r="F94" s="13"/>
    </row>
    <row r="95" ht="21.6" customHeight="1" spans="1:6">
      <c r="A95" s="10">
        <v>6</v>
      </c>
      <c r="B95" s="11" t="s">
        <v>354</v>
      </c>
      <c r="C95" s="12" t="s">
        <v>46</v>
      </c>
      <c r="D95" s="15" t="s">
        <v>950</v>
      </c>
      <c r="E95" s="242">
        <v>75000</v>
      </c>
      <c r="F95" s="13"/>
    </row>
    <row r="96" ht="21.6" customHeight="1" spans="1:6">
      <c r="A96" s="10">
        <v>7</v>
      </c>
      <c r="B96" s="11" t="s">
        <v>355</v>
      </c>
      <c r="C96" s="12" t="s">
        <v>46</v>
      </c>
      <c r="D96" s="15" t="s">
        <v>950</v>
      </c>
      <c r="E96" s="242">
        <v>75000</v>
      </c>
      <c r="F96" s="13"/>
    </row>
    <row r="97" ht="21.6" customHeight="1" spans="1:6">
      <c r="A97" s="10">
        <v>8</v>
      </c>
      <c r="B97" s="11" t="s">
        <v>357</v>
      </c>
      <c r="C97" s="17" t="s">
        <v>275</v>
      </c>
      <c r="D97" s="15" t="s">
        <v>41</v>
      </c>
      <c r="E97" s="242">
        <v>45000</v>
      </c>
      <c r="F97" s="13"/>
    </row>
    <row r="98" ht="21.6" customHeight="1" spans="1:6">
      <c r="A98" s="10">
        <v>9</v>
      </c>
      <c r="B98" s="11" t="s">
        <v>359</v>
      </c>
      <c r="C98" s="4" t="s">
        <v>360</v>
      </c>
      <c r="D98" s="10" t="s">
        <v>37</v>
      </c>
      <c r="E98" s="242">
        <v>45000</v>
      </c>
      <c r="F98" s="13"/>
    </row>
    <row r="99" ht="21.6" customHeight="1" spans="1:6">
      <c r="A99" s="10">
        <v>10</v>
      </c>
      <c r="B99" s="11" t="s">
        <v>361</v>
      </c>
      <c r="C99" s="17" t="s">
        <v>362</v>
      </c>
      <c r="D99" s="15" t="s">
        <v>294</v>
      </c>
      <c r="E99" s="242">
        <v>45000</v>
      </c>
      <c r="F99" s="13"/>
    </row>
    <row r="100" customHeight="1" spans="1:6">
      <c r="A100" s="10"/>
      <c r="B100" s="20" t="s">
        <v>33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58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232</v>
      </c>
      <c r="C103" s="10" t="s">
        <v>233</v>
      </c>
      <c r="D103" s="15" t="s">
        <v>308</v>
      </c>
      <c r="E103" s="242">
        <v>150000</v>
      </c>
      <c r="F103" s="13"/>
    </row>
    <row r="104" customHeight="1" spans="1:6">
      <c r="A104" s="10">
        <v>2</v>
      </c>
      <c r="B104" s="11" t="s">
        <v>250</v>
      </c>
      <c r="C104" s="4" t="s">
        <v>367</v>
      </c>
      <c r="D104" s="10" t="s">
        <v>257</v>
      </c>
      <c r="E104" s="242">
        <v>75000</v>
      </c>
      <c r="F104" s="13"/>
    </row>
    <row r="105" customHeight="1" spans="1:6">
      <c r="A105" s="10">
        <v>3</v>
      </c>
      <c r="B105" s="11" t="s">
        <v>368</v>
      </c>
      <c r="C105" s="4" t="s">
        <v>369</v>
      </c>
      <c r="D105" s="15" t="s">
        <v>332</v>
      </c>
      <c r="E105" s="242">
        <v>45000</v>
      </c>
      <c r="F105" s="13"/>
    </row>
    <row r="106" customHeight="1" spans="1:6">
      <c r="A106" s="10">
        <v>4</v>
      </c>
      <c r="B106" s="11" t="s">
        <v>1118</v>
      </c>
      <c r="C106" s="4" t="s">
        <v>1119</v>
      </c>
      <c r="D106" s="15" t="s">
        <v>945</v>
      </c>
      <c r="E106" s="242">
        <v>45000</v>
      </c>
      <c r="F106" s="13"/>
    </row>
    <row r="107" customHeight="1" spans="1:6">
      <c r="A107" s="4"/>
      <c r="B107" s="20" t="s">
        <v>33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372</v>
      </c>
      <c r="C109" s="4"/>
      <c r="D109" s="4"/>
      <c r="E109" s="247"/>
      <c r="F109" s="13"/>
    </row>
    <row r="110" customHeight="1" spans="1:6">
      <c r="A110" s="4">
        <v>1</v>
      </c>
      <c r="B110" s="11" t="s">
        <v>373</v>
      </c>
      <c r="C110" s="12" t="s">
        <v>374</v>
      </c>
      <c r="D110" s="15" t="s">
        <v>297</v>
      </c>
      <c r="E110" s="242">
        <v>225000</v>
      </c>
      <c r="F110" s="13"/>
    </row>
    <row r="111" customHeight="1" spans="1:6">
      <c r="A111" s="4">
        <v>2</v>
      </c>
      <c r="B111" s="11" t="s">
        <v>375</v>
      </c>
      <c r="C111" s="4" t="s">
        <v>376</v>
      </c>
      <c r="D111" s="16" t="s">
        <v>308</v>
      </c>
      <c r="E111" s="242">
        <v>150000</v>
      </c>
      <c r="F111" s="13"/>
    </row>
    <row r="112" customHeight="1" spans="1:6">
      <c r="A112" s="4">
        <v>3</v>
      </c>
      <c r="B112" s="11" t="s">
        <v>377</v>
      </c>
      <c r="C112" s="4" t="s">
        <v>378</v>
      </c>
      <c r="D112" s="10" t="s">
        <v>263</v>
      </c>
      <c r="E112" s="242">
        <v>75000</v>
      </c>
      <c r="F112" s="13"/>
    </row>
    <row r="113" customHeight="1" spans="1:6">
      <c r="A113" s="4">
        <v>4</v>
      </c>
      <c r="B113" s="11" t="s">
        <v>379</v>
      </c>
      <c r="C113" s="4" t="s">
        <v>378</v>
      </c>
      <c r="D113" s="10" t="s">
        <v>263</v>
      </c>
      <c r="E113" s="242">
        <v>75000</v>
      </c>
      <c r="F113" s="13"/>
    </row>
    <row r="114" customHeight="1" spans="1:6">
      <c r="A114" s="4">
        <v>5</v>
      </c>
      <c r="B114" s="11" t="s">
        <v>380</v>
      </c>
      <c r="C114" s="4" t="s">
        <v>381</v>
      </c>
      <c r="D114" s="15" t="s">
        <v>384</v>
      </c>
      <c r="E114" s="242">
        <v>45000</v>
      </c>
      <c r="F114" s="13"/>
    </row>
    <row r="115" customHeight="1" spans="1:6">
      <c r="A115" s="4">
        <v>6</v>
      </c>
      <c r="B115" s="18" t="s">
        <v>383</v>
      </c>
      <c r="C115" s="4" t="s">
        <v>381</v>
      </c>
      <c r="D115" s="10" t="s">
        <v>945</v>
      </c>
      <c r="E115" s="242">
        <v>45000</v>
      </c>
      <c r="F115" s="13"/>
    </row>
    <row r="116" customHeight="1" spans="1:6">
      <c r="A116" s="4">
        <v>7</v>
      </c>
      <c r="B116" s="18" t="s">
        <v>385</v>
      </c>
      <c r="C116" s="4" t="s">
        <v>381</v>
      </c>
      <c r="D116" s="15" t="s">
        <v>294</v>
      </c>
      <c r="E116" s="242">
        <v>45000</v>
      </c>
      <c r="F116" s="13"/>
    </row>
    <row r="117" customHeight="1" spans="1:6">
      <c r="A117" s="4"/>
      <c r="B117" s="20" t="s">
        <v>33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67</v>
      </c>
      <c r="C119" s="21"/>
      <c r="D119" s="21"/>
      <c r="E119" s="242"/>
      <c r="F119" s="13"/>
    </row>
    <row r="120" customHeight="1" spans="1:6">
      <c r="A120" s="4">
        <v>1</v>
      </c>
      <c r="B120" s="11" t="s">
        <v>392</v>
      </c>
      <c r="C120" s="12" t="s">
        <v>393</v>
      </c>
      <c r="D120" s="15" t="s">
        <v>297</v>
      </c>
      <c r="E120" s="242">
        <v>225000</v>
      </c>
      <c r="F120" s="13"/>
    </row>
    <row r="121" customHeight="1" spans="1:6">
      <c r="A121" s="4">
        <v>2</v>
      </c>
      <c r="B121" s="11" t="s">
        <v>128</v>
      </c>
      <c r="C121" s="12" t="s">
        <v>227</v>
      </c>
      <c r="D121" s="15" t="s">
        <v>249</v>
      </c>
      <c r="E121" s="242">
        <v>105000</v>
      </c>
      <c r="F121" s="13"/>
    </row>
    <row r="122" customHeight="1" spans="1:6">
      <c r="A122" s="4">
        <v>3</v>
      </c>
      <c r="B122" s="14" t="s">
        <v>395</v>
      </c>
      <c r="C122" s="12" t="s">
        <v>227</v>
      </c>
      <c r="D122" s="15" t="s">
        <v>249</v>
      </c>
      <c r="E122" s="242">
        <v>105000</v>
      </c>
      <c r="F122" s="13"/>
    </row>
    <row r="123" customHeight="1" spans="1:6">
      <c r="A123" s="4">
        <v>4</v>
      </c>
      <c r="B123" s="14" t="s">
        <v>226</v>
      </c>
      <c r="C123" s="12" t="s">
        <v>227</v>
      </c>
      <c r="D123" s="15" t="s">
        <v>228</v>
      </c>
      <c r="E123" s="242">
        <v>105000</v>
      </c>
      <c r="F123" s="13"/>
    </row>
    <row r="124" customHeight="1" spans="1:6">
      <c r="A124" s="4">
        <v>5</v>
      </c>
      <c r="B124" s="11" t="s">
        <v>396</v>
      </c>
      <c r="C124" s="12" t="s">
        <v>397</v>
      </c>
      <c r="D124" s="15" t="s">
        <v>342</v>
      </c>
      <c r="E124" s="242">
        <v>75000</v>
      </c>
      <c r="F124" s="13"/>
    </row>
    <row r="125" customHeight="1" spans="1:6">
      <c r="A125" s="4">
        <v>6</v>
      </c>
      <c r="B125" s="11" t="s">
        <v>398</v>
      </c>
      <c r="C125" s="12" t="s">
        <v>399</v>
      </c>
      <c r="D125" s="15" t="s">
        <v>266</v>
      </c>
      <c r="E125" s="242">
        <v>75000</v>
      </c>
      <c r="F125" s="13"/>
    </row>
    <row r="126" customHeight="1" spans="1:6">
      <c r="A126" s="4">
        <v>7</v>
      </c>
      <c r="B126" s="11" t="s">
        <v>400</v>
      </c>
      <c r="C126" s="12" t="s">
        <v>970</v>
      </c>
      <c r="D126" s="15" t="s">
        <v>266</v>
      </c>
      <c r="E126" s="242">
        <v>75000</v>
      </c>
      <c r="F126" s="13"/>
    </row>
    <row r="127" customHeight="1" spans="1:6">
      <c r="A127" s="4">
        <v>8</v>
      </c>
      <c r="B127" s="11" t="s">
        <v>401</v>
      </c>
      <c r="C127" s="12" t="s">
        <v>402</v>
      </c>
      <c r="D127" s="10" t="s">
        <v>283</v>
      </c>
      <c r="E127" s="242">
        <v>45000</v>
      </c>
      <c r="F127" s="13"/>
    </row>
    <row r="128" customHeight="1" spans="1:6">
      <c r="A128" s="4">
        <v>9</v>
      </c>
      <c r="B128" s="18" t="s">
        <v>403</v>
      </c>
      <c r="C128" s="12" t="s">
        <v>404</v>
      </c>
      <c r="D128" s="15" t="s">
        <v>294</v>
      </c>
      <c r="E128" s="242">
        <v>45000</v>
      </c>
      <c r="F128" s="13"/>
    </row>
    <row r="129" customHeight="1" spans="1:6">
      <c r="A129" s="4"/>
      <c r="B129" s="20" t="s">
        <v>33</v>
      </c>
      <c r="C129" s="26" t="s">
        <v>1120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71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407</v>
      </c>
      <c r="C132" s="12" t="s">
        <v>408</v>
      </c>
      <c r="D132" s="15" t="s">
        <v>297</v>
      </c>
      <c r="E132" s="242">
        <v>225000</v>
      </c>
      <c r="F132" s="13"/>
    </row>
    <row r="133" customHeight="1" spans="1:6">
      <c r="A133" s="27">
        <v>2</v>
      </c>
      <c r="B133" s="11" t="s">
        <v>229</v>
      </c>
      <c r="C133" s="12" t="s">
        <v>230</v>
      </c>
      <c r="D133" s="15" t="s">
        <v>231</v>
      </c>
      <c r="E133" s="242">
        <v>150000</v>
      </c>
      <c r="F133" s="13"/>
    </row>
    <row r="134" customHeight="1" spans="1:6">
      <c r="A134" s="27">
        <v>3</v>
      </c>
      <c r="B134" s="14" t="s">
        <v>409</v>
      </c>
      <c r="C134" s="4" t="s">
        <v>410</v>
      </c>
      <c r="D134" s="16" t="s">
        <v>308</v>
      </c>
      <c r="E134" s="242">
        <v>150000</v>
      </c>
      <c r="F134" s="13"/>
    </row>
    <row r="135" customHeight="1" spans="1:6">
      <c r="A135" s="27">
        <v>4</v>
      </c>
      <c r="B135" s="11" t="s">
        <v>411</v>
      </c>
      <c r="C135" s="12" t="s">
        <v>412</v>
      </c>
      <c r="D135" s="15" t="s">
        <v>257</v>
      </c>
      <c r="E135" s="242">
        <v>75000</v>
      </c>
      <c r="F135" s="13"/>
    </row>
    <row r="136" customHeight="1" spans="1:6">
      <c r="A136" s="27">
        <v>5</v>
      </c>
      <c r="B136" s="11" t="s">
        <v>413</v>
      </c>
      <c r="C136" s="4" t="s">
        <v>414</v>
      </c>
      <c r="D136" s="15" t="s">
        <v>257</v>
      </c>
      <c r="E136" s="242">
        <v>75000</v>
      </c>
      <c r="F136" s="13"/>
    </row>
    <row r="137" customHeight="1" spans="1:6">
      <c r="A137" s="27">
        <v>6</v>
      </c>
      <c r="B137" s="11" t="s">
        <v>366</v>
      </c>
      <c r="C137" s="4" t="s">
        <v>420</v>
      </c>
      <c r="D137" s="15" t="s">
        <v>266</v>
      </c>
      <c r="E137" s="242">
        <v>75000</v>
      </c>
      <c r="F137" s="13"/>
    </row>
    <row r="138" customHeight="1" spans="1:6">
      <c r="A138" s="27">
        <v>7</v>
      </c>
      <c r="B138" s="11" t="s">
        <v>416</v>
      </c>
      <c r="C138" s="12" t="s">
        <v>417</v>
      </c>
      <c r="D138" s="15" t="s">
        <v>271</v>
      </c>
      <c r="E138" s="242">
        <v>45000</v>
      </c>
      <c r="F138" s="13"/>
    </row>
    <row r="139" customHeight="1" spans="1:6">
      <c r="A139" s="27">
        <v>8</v>
      </c>
      <c r="B139" s="11" t="s">
        <v>418</v>
      </c>
      <c r="C139" s="12" t="s">
        <v>417</v>
      </c>
      <c r="D139" s="15" t="s">
        <v>271</v>
      </c>
      <c r="E139" s="242">
        <v>45000</v>
      </c>
      <c r="F139" s="13"/>
    </row>
    <row r="140" customHeight="1" spans="1:6">
      <c r="A140" s="27">
        <v>9</v>
      </c>
      <c r="B140" s="11" t="s">
        <v>419</v>
      </c>
      <c r="C140" s="4" t="s">
        <v>420</v>
      </c>
      <c r="D140" s="15" t="s">
        <v>271</v>
      </c>
      <c r="E140" s="242">
        <v>45000</v>
      </c>
      <c r="F140" s="13"/>
    </row>
    <row r="141" customHeight="1" spans="1:6">
      <c r="A141" s="27">
        <v>10</v>
      </c>
      <c r="B141" s="11" t="s">
        <v>421</v>
      </c>
      <c r="C141" s="12" t="s">
        <v>426</v>
      </c>
      <c r="D141" s="15" t="s">
        <v>332</v>
      </c>
      <c r="E141" s="242">
        <v>45000</v>
      </c>
      <c r="F141" s="13"/>
    </row>
    <row r="142" customHeight="1" spans="1:6">
      <c r="A142" s="27">
        <v>11</v>
      </c>
      <c r="B142" s="11" t="s">
        <v>423</v>
      </c>
      <c r="C142" s="12" t="s">
        <v>971</v>
      </c>
      <c r="D142" s="15" t="s">
        <v>432</v>
      </c>
      <c r="E142" s="242">
        <v>45000</v>
      </c>
      <c r="F142" s="13"/>
    </row>
    <row r="143" customHeight="1" spans="1:6">
      <c r="A143" s="27">
        <v>12</v>
      </c>
      <c r="B143" s="11" t="s">
        <v>425</v>
      </c>
      <c r="C143" s="12" t="s">
        <v>426</v>
      </c>
      <c r="D143" s="15" t="s">
        <v>271</v>
      </c>
      <c r="E143" s="242">
        <v>45000</v>
      </c>
      <c r="F143" s="13"/>
    </row>
    <row r="144" customHeight="1" spans="1:6">
      <c r="A144" s="27">
        <v>13</v>
      </c>
      <c r="B144" s="18" t="s">
        <v>427</v>
      </c>
      <c r="C144" s="4" t="s">
        <v>437</v>
      </c>
      <c r="D144" s="15" t="s">
        <v>432</v>
      </c>
      <c r="E144" s="242">
        <v>45000</v>
      </c>
      <c r="F144" s="13"/>
    </row>
    <row r="145" customHeight="1" spans="1:6">
      <c r="A145" s="27">
        <v>14</v>
      </c>
      <c r="B145" s="11" t="s">
        <v>429</v>
      </c>
      <c r="C145" s="4" t="s">
        <v>430</v>
      </c>
      <c r="D145" s="15" t="s">
        <v>301</v>
      </c>
      <c r="E145" s="242">
        <v>45000</v>
      </c>
      <c r="F145" s="13"/>
    </row>
    <row r="146" customHeight="1" spans="1:6">
      <c r="A146" s="27">
        <v>15</v>
      </c>
      <c r="B146" s="11" t="s">
        <v>431</v>
      </c>
      <c r="C146" s="4" t="s">
        <v>430</v>
      </c>
      <c r="D146" s="15" t="s">
        <v>345</v>
      </c>
      <c r="E146" s="242">
        <v>45000</v>
      </c>
      <c r="F146" s="13"/>
    </row>
    <row r="147" customHeight="1" spans="1:6">
      <c r="A147" s="27">
        <v>16</v>
      </c>
      <c r="B147" s="11" t="s">
        <v>433</v>
      </c>
      <c r="C147" s="4" t="s">
        <v>430</v>
      </c>
      <c r="D147" s="15" t="s">
        <v>345</v>
      </c>
      <c r="E147" s="242">
        <v>45000</v>
      </c>
      <c r="F147" s="13"/>
    </row>
    <row r="148" customHeight="1" spans="1:6">
      <c r="A148" s="27">
        <v>17</v>
      </c>
      <c r="B148" s="11" t="s">
        <v>434</v>
      </c>
      <c r="C148" s="12" t="s">
        <v>435</v>
      </c>
      <c r="D148" s="15" t="s">
        <v>37</v>
      </c>
      <c r="E148" s="242">
        <v>45000</v>
      </c>
      <c r="F148" s="13"/>
    </row>
    <row r="149" customHeight="1" spans="1:6">
      <c r="A149" s="27">
        <v>18</v>
      </c>
      <c r="B149" s="11" t="s">
        <v>953</v>
      </c>
      <c r="C149" s="12" t="s">
        <v>437</v>
      </c>
      <c r="D149" s="10" t="s">
        <v>24</v>
      </c>
      <c r="E149" s="242">
        <v>45000</v>
      </c>
      <c r="F149" s="13"/>
    </row>
    <row r="150" customHeight="1" spans="1:6">
      <c r="A150" s="27">
        <v>19</v>
      </c>
      <c r="B150" s="11" t="s">
        <v>438</v>
      </c>
      <c r="C150" s="12" t="s">
        <v>439</v>
      </c>
      <c r="D150" s="15" t="s">
        <v>301</v>
      </c>
      <c r="E150" s="242">
        <v>45000</v>
      </c>
      <c r="F150" s="13"/>
    </row>
    <row r="151" customHeight="1" spans="1:6">
      <c r="A151" s="27">
        <v>20</v>
      </c>
      <c r="B151" s="11" t="s">
        <v>440</v>
      </c>
      <c r="C151" s="12" t="s">
        <v>441</v>
      </c>
      <c r="D151" s="15" t="s">
        <v>283</v>
      </c>
      <c r="E151" s="242">
        <v>45000</v>
      </c>
      <c r="F151" s="13"/>
    </row>
    <row r="152" customHeight="1" spans="1:6">
      <c r="A152" s="27">
        <v>21</v>
      </c>
      <c r="B152" s="11" t="s">
        <v>442</v>
      </c>
      <c r="C152" s="12" t="s">
        <v>443</v>
      </c>
      <c r="D152" s="15" t="s">
        <v>301</v>
      </c>
      <c r="E152" s="242">
        <v>45000</v>
      </c>
      <c r="F152" s="13"/>
    </row>
    <row r="153" customHeight="1" spans="1:6">
      <c r="A153" s="27">
        <v>22</v>
      </c>
      <c r="B153" s="11" t="s">
        <v>444</v>
      </c>
      <c r="C153" s="12" t="s">
        <v>445</v>
      </c>
      <c r="D153" s="15" t="s">
        <v>283</v>
      </c>
      <c r="E153" s="242">
        <v>45000</v>
      </c>
      <c r="F153" s="13"/>
    </row>
    <row r="154" customHeight="1" spans="1:6">
      <c r="A154" s="27">
        <v>23</v>
      </c>
      <c r="B154" s="18" t="s">
        <v>446</v>
      </c>
      <c r="C154" s="12" t="s">
        <v>451</v>
      </c>
      <c r="D154" s="15" t="s">
        <v>945</v>
      </c>
      <c r="E154" s="242">
        <v>45000</v>
      </c>
      <c r="F154" s="13"/>
    </row>
    <row r="155" customHeight="1" spans="1:6">
      <c r="A155" s="27">
        <v>24</v>
      </c>
      <c r="B155" s="18" t="s">
        <v>448</v>
      </c>
      <c r="C155" s="12" t="s">
        <v>449</v>
      </c>
      <c r="D155" s="15" t="s">
        <v>30</v>
      </c>
      <c r="E155" s="242">
        <v>45000</v>
      </c>
      <c r="F155" s="13"/>
    </row>
    <row r="156" customHeight="1" spans="1:6">
      <c r="A156" s="27">
        <v>25</v>
      </c>
      <c r="B156" s="18" t="s">
        <v>450</v>
      </c>
      <c r="C156" s="12" t="s">
        <v>451</v>
      </c>
      <c r="D156" s="15" t="s">
        <v>30</v>
      </c>
      <c r="E156" s="242">
        <v>45000</v>
      </c>
      <c r="F156" s="13"/>
    </row>
    <row r="157" customHeight="1" spans="1:6">
      <c r="A157" s="27">
        <v>26</v>
      </c>
      <c r="B157" s="18" t="s">
        <v>452</v>
      </c>
      <c r="C157" s="12" t="s">
        <v>453</v>
      </c>
      <c r="D157" s="15" t="s">
        <v>294</v>
      </c>
      <c r="E157" s="242">
        <v>45000</v>
      </c>
      <c r="F157" s="13"/>
    </row>
    <row r="158" customHeight="1" spans="1:6">
      <c r="A158" s="27">
        <v>27</v>
      </c>
      <c r="B158" s="18" t="s">
        <v>454</v>
      </c>
      <c r="C158" s="12" t="s">
        <v>455</v>
      </c>
      <c r="D158" s="15" t="s">
        <v>294</v>
      </c>
      <c r="E158" s="242">
        <v>45000</v>
      </c>
      <c r="F158" s="13"/>
    </row>
    <row r="159" customHeight="1" spans="1:6">
      <c r="A159" s="27">
        <v>28</v>
      </c>
      <c r="B159" s="11" t="s">
        <v>457</v>
      </c>
      <c r="C159" s="12" t="s">
        <v>458</v>
      </c>
      <c r="D159" s="15" t="s">
        <v>465</v>
      </c>
      <c r="E159" s="242">
        <v>30000</v>
      </c>
      <c r="F159" s="13"/>
    </row>
    <row r="160" customHeight="1" spans="1:6">
      <c r="A160" s="27">
        <v>29</v>
      </c>
      <c r="B160" s="11" t="s">
        <v>460</v>
      </c>
      <c r="C160" s="12" t="s">
        <v>458</v>
      </c>
      <c r="D160" s="15" t="s">
        <v>465</v>
      </c>
      <c r="E160" s="242">
        <v>30000</v>
      </c>
      <c r="F160" s="13"/>
    </row>
    <row r="161" customHeight="1" spans="1:6">
      <c r="A161" s="27">
        <v>30</v>
      </c>
      <c r="B161" s="11" t="s">
        <v>461</v>
      </c>
      <c r="C161" s="12" t="s">
        <v>458</v>
      </c>
      <c r="D161" s="15" t="s">
        <v>465</v>
      </c>
      <c r="E161" s="242">
        <v>30000</v>
      </c>
      <c r="F161" s="13"/>
    </row>
    <row r="162" customHeight="1" spans="1:6">
      <c r="A162" s="27">
        <v>32</v>
      </c>
      <c r="B162" s="11" t="s">
        <v>462</v>
      </c>
      <c r="C162" s="12" t="s">
        <v>458</v>
      </c>
      <c r="D162" s="15" t="s">
        <v>465</v>
      </c>
      <c r="E162" s="242">
        <v>30000</v>
      </c>
      <c r="F162" s="13"/>
    </row>
    <row r="163" customHeight="1" spans="1:6">
      <c r="A163" s="27">
        <v>33</v>
      </c>
      <c r="B163" s="11" t="s">
        <v>463</v>
      </c>
      <c r="C163" s="12" t="s">
        <v>458</v>
      </c>
      <c r="D163" s="15" t="s">
        <v>465</v>
      </c>
      <c r="E163" s="242">
        <v>30000</v>
      </c>
      <c r="F163" s="13"/>
    </row>
    <row r="164" customHeight="1" spans="1:6">
      <c r="A164" s="27">
        <v>34</v>
      </c>
      <c r="B164" s="11" t="s">
        <v>464</v>
      </c>
      <c r="C164" s="12" t="s">
        <v>458</v>
      </c>
      <c r="D164" s="15" t="s">
        <v>476</v>
      </c>
      <c r="E164" s="242">
        <v>30000</v>
      </c>
      <c r="F164" s="13"/>
    </row>
    <row r="165" customHeight="1" spans="1:6">
      <c r="A165" s="27">
        <v>35</v>
      </c>
      <c r="B165" s="11" t="s">
        <v>466</v>
      </c>
      <c r="C165" s="12" t="s">
        <v>458</v>
      </c>
      <c r="D165" s="15" t="s">
        <v>476</v>
      </c>
      <c r="E165" s="242">
        <v>30000</v>
      </c>
      <c r="F165" s="13"/>
    </row>
    <row r="166" customHeight="1" spans="1:6">
      <c r="A166" s="27">
        <v>36</v>
      </c>
      <c r="B166" s="11" t="s">
        <v>1121</v>
      </c>
      <c r="C166" s="12" t="s">
        <v>458</v>
      </c>
      <c r="D166" s="15" t="s">
        <v>476</v>
      </c>
      <c r="E166" s="242">
        <v>30000</v>
      </c>
      <c r="F166" s="13"/>
    </row>
    <row r="167" customHeight="1" spans="1:6">
      <c r="A167" s="27">
        <v>37</v>
      </c>
      <c r="B167" s="14" t="s">
        <v>467</v>
      </c>
      <c r="C167" s="12" t="s">
        <v>458</v>
      </c>
      <c r="D167" s="15" t="s">
        <v>476</v>
      </c>
      <c r="E167" s="242">
        <v>30000</v>
      </c>
      <c r="F167" s="13"/>
    </row>
    <row r="168" customHeight="1" spans="1:6">
      <c r="A168" s="27">
        <v>38</v>
      </c>
      <c r="B168" s="11" t="s">
        <v>468</v>
      </c>
      <c r="C168" s="12" t="s">
        <v>458</v>
      </c>
      <c r="D168" s="15" t="s">
        <v>476</v>
      </c>
      <c r="E168" s="242">
        <v>30000</v>
      </c>
      <c r="F168" s="13"/>
    </row>
    <row r="169" customHeight="1" spans="1:6">
      <c r="A169" s="27">
        <v>39</v>
      </c>
      <c r="B169" s="18" t="s">
        <v>469</v>
      </c>
      <c r="C169" s="12" t="s">
        <v>458</v>
      </c>
      <c r="D169" s="15" t="s">
        <v>476</v>
      </c>
      <c r="E169" s="242">
        <v>30000</v>
      </c>
      <c r="F169" s="13"/>
    </row>
    <row r="170" customHeight="1" spans="1:6">
      <c r="A170" s="27">
        <v>40</v>
      </c>
      <c r="B170" s="18" t="s">
        <v>470</v>
      </c>
      <c r="C170" s="12" t="s">
        <v>458</v>
      </c>
      <c r="D170" s="15" t="s">
        <v>476</v>
      </c>
      <c r="E170" s="242">
        <v>30000</v>
      </c>
      <c r="F170" s="13"/>
    </row>
    <row r="171" customHeight="1" spans="1:6">
      <c r="A171" s="27">
        <v>41</v>
      </c>
      <c r="B171" s="11" t="s">
        <v>471</v>
      </c>
      <c r="C171" s="12" t="s">
        <v>478</v>
      </c>
      <c r="D171" s="15" t="s">
        <v>479</v>
      </c>
      <c r="E171" s="242">
        <v>30000</v>
      </c>
      <c r="F171" s="13"/>
    </row>
    <row r="172" customHeight="1" spans="1:6">
      <c r="A172" s="27">
        <v>42</v>
      </c>
      <c r="B172" s="11" t="s">
        <v>474</v>
      </c>
      <c r="C172" s="12" t="s">
        <v>478</v>
      </c>
      <c r="D172" s="15" t="s">
        <v>479</v>
      </c>
      <c r="E172" s="242">
        <v>30000</v>
      </c>
      <c r="F172" s="13"/>
    </row>
    <row r="173" customHeight="1" spans="1:6">
      <c r="A173" s="27">
        <v>43</v>
      </c>
      <c r="B173" s="18" t="s">
        <v>475</v>
      </c>
      <c r="C173" s="12" t="s">
        <v>478</v>
      </c>
      <c r="D173" s="15" t="s">
        <v>948</v>
      </c>
      <c r="E173" s="242">
        <v>30000</v>
      </c>
      <c r="F173" s="13"/>
    </row>
    <row r="174" customHeight="1" spans="1:6">
      <c r="A174" s="27">
        <v>44</v>
      </c>
      <c r="B174" s="11" t="s">
        <v>477</v>
      </c>
      <c r="C174" s="12" t="s">
        <v>478</v>
      </c>
      <c r="D174" s="15" t="s">
        <v>954</v>
      </c>
      <c r="E174" s="242">
        <v>30000</v>
      </c>
      <c r="F174" s="13"/>
    </row>
    <row r="175" customHeight="1" spans="1:6">
      <c r="A175" s="27">
        <v>45</v>
      </c>
      <c r="B175" s="11" t="s">
        <v>480</v>
      </c>
      <c r="C175" s="12" t="s">
        <v>481</v>
      </c>
      <c r="D175" s="15" t="s">
        <v>955</v>
      </c>
      <c r="E175" s="242">
        <v>30000</v>
      </c>
      <c r="F175" s="13"/>
    </row>
    <row r="176" customHeight="1" spans="1:6">
      <c r="A176" s="27">
        <v>46</v>
      </c>
      <c r="B176" s="11" t="s">
        <v>483</v>
      </c>
      <c r="C176" s="12" t="s">
        <v>481</v>
      </c>
      <c r="D176" s="15" t="s">
        <v>955</v>
      </c>
      <c r="E176" s="242">
        <v>30000</v>
      </c>
      <c r="F176" s="13"/>
    </row>
    <row r="177" customHeight="1" spans="1:6">
      <c r="A177" s="27">
        <v>47</v>
      </c>
      <c r="B177" s="11" t="s">
        <v>484</v>
      </c>
      <c r="C177" s="12" t="s">
        <v>481</v>
      </c>
      <c r="D177" s="15" t="s">
        <v>955</v>
      </c>
      <c r="E177" s="242">
        <v>30000</v>
      </c>
      <c r="F177" s="13"/>
    </row>
    <row r="178" customHeight="1" spans="1:6">
      <c r="A178" s="27">
        <v>48</v>
      </c>
      <c r="B178" s="11" t="s">
        <v>485</v>
      </c>
      <c r="C178" s="12" t="s">
        <v>481</v>
      </c>
      <c r="D178" s="15" t="s">
        <v>955</v>
      </c>
      <c r="E178" s="242">
        <v>30000</v>
      </c>
      <c r="F178" s="13"/>
    </row>
    <row r="179" customHeight="1" spans="1:6">
      <c r="A179" s="27">
        <v>49</v>
      </c>
      <c r="B179" s="11" t="s">
        <v>486</v>
      </c>
      <c r="C179" s="12" t="s">
        <v>481</v>
      </c>
      <c r="D179" s="15" t="s">
        <v>955</v>
      </c>
      <c r="E179" s="242">
        <v>30000</v>
      </c>
      <c r="F179" s="13"/>
    </row>
    <row r="180" customHeight="1" spans="1:6">
      <c r="A180" s="27">
        <v>50</v>
      </c>
      <c r="B180" s="18" t="s">
        <v>487</v>
      </c>
      <c r="C180" s="12" t="s">
        <v>481</v>
      </c>
      <c r="D180" s="15" t="s">
        <v>955</v>
      </c>
      <c r="E180" s="242">
        <v>30000</v>
      </c>
      <c r="F180" s="13"/>
    </row>
    <row r="181" customHeight="1" spans="1:6">
      <c r="A181" s="27">
        <v>51</v>
      </c>
      <c r="B181" s="18" t="s">
        <v>488</v>
      </c>
      <c r="C181" s="12" t="s">
        <v>481</v>
      </c>
      <c r="D181" s="15" t="s">
        <v>955</v>
      </c>
      <c r="E181" s="242">
        <v>30000</v>
      </c>
      <c r="F181" s="13"/>
    </row>
    <row r="182" customHeight="1" spans="1:6">
      <c r="A182" s="27">
        <v>52</v>
      </c>
      <c r="B182" s="11" t="s">
        <v>489</v>
      </c>
      <c r="C182" s="12" t="s">
        <v>478</v>
      </c>
      <c r="D182" s="15" t="s">
        <v>955</v>
      </c>
      <c r="E182" s="242">
        <v>30000</v>
      </c>
      <c r="F182" s="13"/>
    </row>
    <row r="183" customHeight="1" spans="1:6">
      <c r="A183" s="27">
        <v>53</v>
      </c>
      <c r="B183" s="11" t="s">
        <v>490</v>
      </c>
      <c r="C183" s="12" t="s">
        <v>478</v>
      </c>
      <c r="D183" s="15" t="s">
        <v>955</v>
      </c>
      <c r="E183" s="242">
        <v>30000</v>
      </c>
      <c r="F183" s="13"/>
    </row>
    <row r="184" customHeight="1" spans="1:6">
      <c r="A184" s="27">
        <v>54</v>
      </c>
      <c r="B184" s="18" t="s">
        <v>491</v>
      </c>
      <c r="C184" s="12" t="s">
        <v>481</v>
      </c>
      <c r="D184" s="15" t="s">
        <v>972</v>
      </c>
      <c r="E184" s="242">
        <v>30000</v>
      </c>
      <c r="F184" s="13"/>
    </row>
    <row r="185" customHeight="1" spans="1:6">
      <c r="A185" s="27">
        <v>55</v>
      </c>
      <c r="B185" s="18" t="s">
        <v>493</v>
      </c>
      <c r="C185" s="12" t="s">
        <v>481</v>
      </c>
      <c r="D185" s="15" t="s">
        <v>956</v>
      </c>
      <c r="E185" s="242">
        <v>30000</v>
      </c>
      <c r="F185" s="13"/>
    </row>
    <row r="186" customHeight="1" spans="1:6">
      <c r="A186" s="27"/>
      <c r="B186" s="8" t="s">
        <v>33</v>
      </c>
      <c r="C186" s="28" t="s">
        <v>1122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80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2:6">
      <c r="B189" s="33"/>
      <c r="D189" s="34"/>
      <c r="E189" s="103"/>
      <c r="F189" s="35"/>
    </row>
    <row r="190" ht="65.25" customHeight="1" spans="2:5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1105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132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236</v>
      </c>
      <c r="C7" s="12" t="s">
        <v>237</v>
      </c>
      <c r="D7" s="12" t="s">
        <v>238</v>
      </c>
      <c r="E7" s="242">
        <v>450000</v>
      </c>
      <c r="F7" s="13"/>
    </row>
    <row r="8" customHeight="1" spans="1:6">
      <c r="A8" s="10">
        <v>2</v>
      </c>
      <c r="B8" s="11" t="s">
        <v>1016</v>
      </c>
      <c r="C8" s="4" t="s">
        <v>1106</v>
      </c>
      <c r="D8" s="10" t="s">
        <v>231</v>
      </c>
      <c r="E8" s="242">
        <v>150000</v>
      </c>
      <c r="F8" s="13"/>
    </row>
    <row r="9" customHeight="1" spans="1:6">
      <c r="A9" s="10">
        <v>3</v>
      </c>
      <c r="B9" s="14" t="s">
        <v>1107</v>
      </c>
      <c r="C9" s="4" t="s">
        <v>1108</v>
      </c>
      <c r="D9" s="10" t="s">
        <v>231</v>
      </c>
      <c r="E9" s="242">
        <v>150000</v>
      </c>
      <c r="F9" s="13"/>
    </row>
    <row r="10" customHeight="1" spans="1:6">
      <c r="A10" s="10">
        <v>4</v>
      </c>
      <c r="B10" s="11" t="s">
        <v>239</v>
      </c>
      <c r="C10" s="12" t="s">
        <v>240</v>
      </c>
      <c r="D10" s="10" t="s">
        <v>234</v>
      </c>
      <c r="E10" s="242">
        <v>150000</v>
      </c>
      <c r="F10" s="13"/>
    </row>
    <row r="11" customHeight="1" spans="1:6">
      <c r="A11" s="10">
        <v>5</v>
      </c>
      <c r="B11" s="14" t="s">
        <v>241</v>
      </c>
      <c r="C11" s="4" t="s">
        <v>242</v>
      </c>
      <c r="D11" s="15" t="s">
        <v>308</v>
      </c>
      <c r="E11" s="242">
        <v>150000</v>
      </c>
      <c r="F11" s="13"/>
    </row>
    <row r="12" customHeight="1" spans="1:6">
      <c r="A12" s="10">
        <v>6</v>
      </c>
      <c r="B12" s="14" t="s">
        <v>363</v>
      </c>
      <c r="C12" s="4" t="s">
        <v>1018</v>
      </c>
      <c r="D12" s="16" t="s">
        <v>308</v>
      </c>
      <c r="E12" s="242">
        <v>150000</v>
      </c>
      <c r="F12" s="13"/>
    </row>
    <row r="13" customHeight="1" spans="1:6">
      <c r="A13" s="10">
        <v>7</v>
      </c>
      <c r="B13" s="11" t="s">
        <v>243</v>
      </c>
      <c r="C13" s="17" t="s">
        <v>244</v>
      </c>
      <c r="D13" s="16" t="s">
        <v>308</v>
      </c>
      <c r="E13" s="242">
        <v>150000</v>
      </c>
      <c r="F13" s="13"/>
    </row>
    <row r="14" customHeight="1" spans="1:6">
      <c r="A14" s="10">
        <v>8</v>
      </c>
      <c r="B14" s="14" t="s">
        <v>245</v>
      </c>
      <c r="C14" s="4" t="s">
        <v>246</v>
      </c>
      <c r="D14" s="16" t="s">
        <v>308</v>
      </c>
      <c r="E14" s="242">
        <v>150000</v>
      </c>
      <c r="F14" s="13"/>
    </row>
    <row r="15" customHeight="1" spans="1:6">
      <c r="A15" s="10">
        <v>9</v>
      </c>
      <c r="B15" s="11" t="s">
        <v>247</v>
      </c>
      <c r="C15" s="12" t="s">
        <v>248</v>
      </c>
      <c r="D15" s="15" t="s">
        <v>249</v>
      </c>
      <c r="E15" s="242">
        <v>105000</v>
      </c>
      <c r="F15" s="13"/>
    </row>
    <row r="16" customHeight="1" spans="1:6">
      <c r="A16" s="10">
        <v>10</v>
      </c>
      <c r="B16" s="18" t="s">
        <v>223</v>
      </c>
      <c r="C16" s="12" t="s">
        <v>224</v>
      </c>
      <c r="D16" s="10" t="s">
        <v>222</v>
      </c>
      <c r="E16" s="242">
        <v>105000</v>
      </c>
      <c r="F16" s="13"/>
    </row>
    <row r="17" customHeight="1" spans="1:6">
      <c r="A17" s="10">
        <v>11</v>
      </c>
      <c r="B17" s="19" t="s">
        <v>1109</v>
      </c>
      <c r="C17" s="4" t="s">
        <v>1110</v>
      </c>
      <c r="D17" s="16" t="s">
        <v>257</v>
      </c>
      <c r="E17" s="242">
        <v>75000</v>
      </c>
      <c r="F17" s="13"/>
    </row>
    <row r="18" ht="19.5" customHeight="1" spans="1:6">
      <c r="A18" s="10">
        <v>12</v>
      </c>
      <c r="B18" s="14" t="s">
        <v>1019</v>
      </c>
      <c r="C18" s="4" t="s">
        <v>253</v>
      </c>
      <c r="D18" s="10" t="s">
        <v>257</v>
      </c>
      <c r="E18" s="242">
        <v>75000</v>
      </c>
      <c r="F18" s="13"/>
    </row>
    <row r="19" ht="19.5" customHeight="1" spans="1:6">
      <c r="A19" s="10">
        <v>13</v>
      </c>
      <c r="B19" s="14" t="s">
        <v>1111</v>
      </c>
      <c r="C19" s="4" t="s">
        <v>1112</v>
      </c>
      <c r="D19" s="10" t="s">
        <v>257</v>
      </c>
      <c r="E19" s="242">
        <v>75000</v>
      </c>
      <c r="F19" s="13"/>
    </row>
    <row r="20" customHeight="1" spans="1:6">
      <c r="A20" s="10">
        <v>14</v>
      </c>
      <c r="B20" s="11" t="s">
        <v>252</v>
      </c>
      <c r="C20" s="4" t="s">
        <v>253</v>
      </c>
      <c r="D20" s="15" t="s">
        <v>257</v>
      </c>
      <c r="E20" s="242">
        <v>75000</v>
      </c>
      <c r="F20" s="13"/>
    </row>
    <row r="21" customHeight="1" spans="1:6">
      <c r="A21" s="10">
        <v>15</v>
      </c>
      <c r="B21" s="11" t="s">
        <v>264</v>
      </c>
      <c r="C21" s="12" t="s">
        <v>265</v>
      </c>
      <c r="D21" s="15" t="s">
        <v>950</v>
      </c>
      <c r="E21" s="242">
        <v>75000</v>
      </c>
      <c r="F21" s="13"/>
    </row>
    <row r="22" customHeight="1" spans="1:6">
      <c r="A22" s="10">
        <v>16</v>
      </c>
      <c r="B22" s="18" t="s">
        <v>267</v>
      </c>
      <c r="C22" s="4" t="s">
        <v>268</v>
      </c>
      <c r="D22" s="15" t="s">
        <v>951</v>
      </c>
      <c r="E22" s="242">
        <v>75000</v>
      </c>
      <c r="F22" s="13"/>
    </row>
    <row r="23" customHeight="1" spans="1:6">
      <c r="A23" s="10">
        <v>17</v>
      </c>
      <c r="B23" s="11" t="s">
        <v>389</v>
      </c>
      <c r="C23" s="12" t="s">
        <v>390</v>
      </c>
      <c r="D23" s="15" t="s">
        <v>271</v>
      </c>
      <c r="E23" s="242">
        <v>45000</v>
      </c>
      <c r="F23" s="13"/>
    </row>
    <row r="24" ht="18.75" customHeight="1" spans="1:6">
      <c r="A24" s="10">
        <v>18</v>
      </c>
      <c r="B24" s="11" t="s">
        <v>270</v>
      </c>
      <c r="C24" s="12" t="s">
        <v>50</v>
      </c>
      <c r="D24" s="15" t="s">
        <v>332</v>
      </c>
      <c r="E24" s="242">
        <v>45000</v>
      </c>
      <c r="F24" s="13"/>
    </row>
    <row r="25" ht="18.75" customHeight="1" spans="1:6">
      <c r="A25" s="10">
        <v>19</v>
      </c>
      <c r="B25" s="18" t="s">
        <v>1113</v>
      </c>
      <c r="C25" s="12" t="s">
        <v>293</v>
      </c>
      <c r="D25" s="15" t="s">
        <v>345</v>
      </c>
      <c r="E25" s="242">
        <v>45000</v>
      </c>
      <c r="F25" s="13"/>
    </row>
    <row r="26" ht="18.75" customHeight="1" spans="1:6">
      <c r="A26" s="10">
        <v>20</v>
      </c>
      <c r="B26" s="4" t="s">
        <v>278</v>
      </c>
      <c r="C26" s="4" t="s">
        <v>176</v>
      </c>
      <c r="D26" s="10" t="s">
        <v>283</v>
      </c>
      <c r="E26" s="242">
        <v>45000</v>
      </c>
      <c r="F26" s="13"/>
    </row>
    <row r="27" ht="18.75" customHeight="1" spans="1:6">
      <c r="A27" s="10">
        <v>21</v>
      </c>
      <c r="B27" s="18" t="s">
        <v>280</v>
      </c>
      <c r="C27" s="12" t="s">
        <v>176</v>
      </c>
      <c r="D27" s="15" t="s">
        <v>283</v>
      </c>
      <c r="E27" s="242">
        <v>45000</v>
      </c>
      <c r="F27" s="13"/>
    </row>
    <row r="28" ht="18.75" customHeight="1" spans="1:6">
      <c r="A28" s="10">
        <v>22</v>
      </c>
      <c r="B28" s="11" t="s">
        <v>1020</v>
      </c>
      <c r="C28" s="12" t="s">
        <v>1021</v>
      </c>
      <c r="D28" s="15" t="s">
        <v>283</v>
      </c>
      <c r="E28" s="242">
        <v>45000</v>
      </c>
      <c r="F28" s="13"/>
    </row>
    <row r="29" ht="18.75" customHeight="1" spans="1:6">
      <c r="A29" s="10">
        <v>23</v>
      </c>
      <c r="B29" s="18" t="s">
        <v>282</v>
      </c>
      <c r="C29" s="12" t="s">
        <v>967</v>
      </c>
      <c r="D29" s="15" t="s">
        <v>945</v>
      </c>
      <c r="E29" s="242">
        <v>45000</v>
      </c>
      <c r="F29" s="13"/>
    </row>
    <row r="30" ht="18.75" customHeight="1" spans="1:6">
      <c r="A30" s="10">
        <v>24</v>
      </c>
      <c r="B30" s="18" t="s">
        <v>284</v>
      </c>
      <c r="C30" s="4" t="s">
        <v>1022</v>
      </c>
      <c r="D30" s="10" t="s">
        <v>945</v>
      </c>
      <c r="E30" s="242">
        <v>45000</v>
      </c>
      <c r="F30" s="13"/>
    </row>
    <row r="31" ht="18.75" customHeight="1" spans="1:6">
      <c r="A31" s="10">
        <v>25</v>
      </c>
      <c r="B31" s="18" t="s">
        <v>287</v>
      </c>
      <c r="C31" s="17" t="s">
        <v>288</v>
      </c>
      <c r="D31" s="15" t="s">
        <v>283</v>
      </c>
      <c r="E31" s="242">
        <v>45000</v>
      </c>
      <c r="F31" s="13"/>
    </row>
    <row r="32" ht="18.75" customHeight="1" spans="1:6">
      <c r="A32" s="10">
        <v>26</v>
      </c>
      <c r="B32" s="18" t="s">
        <v>289</v>
      </c>
      <c r="C32" s="4" t="s">
        <v>290</v>
      </c>
      <c r="D32" s="10" t="s">
        <v>294</v>
      </c>
      <c r="E32" s="242">
        <v>45000</v>
      </c>
      <c r="F32" s="13"/>
    </row>
    <row r="33" ht="18.75" customHeight="1" spans="1:6">
      <c r="A33" s="10">
        <v>27</v>
      </c>
      <c r="B33" s="18" t="s">
        <v>933</v>
      </c>
      <c r="C33" s="12" t="s">
        <v>293</v>
      </c>
      <c r="D33" s="15" t="s">
        <v>294</v>
      </c>
      <c r="E33" s="242">
        <v>45000</v>
      </c>
      <c r="F33" s="13"/>
    </row>
    <row r="34" ht="18.75" customHeight="1" spans="1:6">
      <c r="A34" s="10">
        <v>28</v>
      </c>
      <c r="B34" s="18" t="s">
        <v>1114</v>
      </c>
      <c r="C34" s="12" t="s">
        <v>293</v>
      </c>
      <c r="D34" s="15" t="s">
        <v>294</v>
      </c>
      <c r="E34" s="242">
        <v>45000</v>
      </c>
      <c r="F34" s="13"/>
    </row>
    <row r="35" ht="18.75" customHeight="1" spans="1:6">
      <c r="A35" s="10">
        <v>29</v>
      </c>
      <c r="B35" s="18" t="s">
        <v>405</v>
      </c>
      <c r="C35" s="12" t="s">
        <v>69</v>
      </c>
      <c r="D35" s="15" t="s">
        <v>30</v>
      </c>
      <c r="E35" s="242">
        <v>45000</v>
      </c>
      <c r="F35" s="13"/>
    </row>
    <row r="36" ht="26.25" customHeight="1" spans="1:6">
      <c r="A36" s="10"/>
      <c r="B36" s="20" t="s">
        <v>33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34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295</v>
      </c>
      <c r="C39" s="4" t="s">
        <v>296</v>
      </c>
      <c r="D39" s="10" t="s">
        <v>297</v>
      </c>
      <c r="E39" s="242">
        <v>225000</v>
      </c>
      <c r="F39" s="13"/>
    </row>
    <row r="40" ht="18.75" customHeight="1" spans="1:6">
      <c r="A40" s="10">
        <v>2</v>
      </c>
      <c r="B40" s="18" t="s">
        <v>298</v>
      </c>
      <c r="C40" s="4" t="s">
        <v>537</v>
      </c>
      <c r="D40" s="10" t="s">
        <v>30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38</v>
      </c>
      <c r="C43" s="5"/>
      <c r="D43" s="24"/>
      <c r="E43" s="242"/>
      <c r="F43" s="13"/>
    </row>
    <row r="44" customHeight="1" spans="1:6">
      <c r="A44" s="10">
        <v>1</v>
      </c>
      <c r="B44" s="11" t="s">
        <v>302</v>
      </c>
      <c r="C44" s="4" t="s">
        <v>303</v>
      </c>
      <c r="D44" s="10" t="s">
        <v>297</v>
      </c>
      <c r="E44" s="242">
        <v>225000</v>
      </c>
      <c r="F44" s="13"/>
    </row>
    <row r="45" customHeight="1" spans="1:6">
      <c r="A45" s="10">
        <v>2</v>
      </c>
      <c r="B45" s="11" t="s">
        <v>304</v>
      </c>
      <c r="C45" s="4" t="s">
        <v>305</v>
      </c>
      <c r="D45" s="10" t="s">
        <v>249</v>
      </c>
      <c r="E45" s="242">
        <v>105000</v>
      </c>
      <c r="F45" s="13"/>
    </row>
    <row r="46" customHeight="1" spans="1:6">
      <c r="A46" s="10">
        <v>3</v>
      </c>
      <c r="B46" s="11" t="s">
        <v>306</v>
      </c>
      <c r="C46" s="4" t="s">
        <v>310</v>
      </c>
      <c r="D46" s="10" t="s">
        <v>249</v>
      </c>
      <c r="E46" s="242">
        <v>105000</v>
      </c>
      <c r="F46" s="13"/>
    </row>
    <row r="47" customHeight="1" spans="1:6">
      <c r="A47" s="10">
        <v>4</v>
      </c>
      <c r="B47" s="11" t="s">
        <v>309</v>
      </c>
      <c r="C47" s="4" t="s">
        <v>310</v>
      </c>
      <c r="D47" s="10" t="s">
        <v>249</v>
      </c>
      <c r="E47" s="242">
        <v>105000</v>
      </c>
      <c r="F47" s="13"/>
    </row>
    <row r="48" customHeight="1" spans="1:6">
      <c r="A48" s="10">
        <v>5</v>
      </c>
      <c r="B48" s="11" t="s">
        <v>311</v>
      </c>
      <c r="C48" s="4" t="s">
        <v>310</v>
      </c>
      <c r="D48" s="10" t="s">
        <v>327</v>
      </c>
      <c r="E48" s="242">
        <v>105000</v>
      </c>
      <c r="F48" s="13"/>
    </row>
    <row r="49" customHeight="1" spans="1:6">
      <c r="A49" s="10">
        <v>6</v>
      </c>
      <c r="B49" s="11" t="s">
        <v>312</v>
      </c>
      <c r="C49" s="4" t="s">
        <v>259</v>
      </c>
      <c r="D49" s="10" t="s">
        <v>257</v>
      </c>
      <c r="E49" s="242">
        <v>75000</v>
      </c>
      <c r="F49" s="13"/>
    </row>
    <row r="50" customHeight="1" spans="1:6">
      <c r="A50" s="10">
        <v>7</v>
      </c>
      <c r="B50" s="14" t="s">
        <v>313</v>
      </c>
      <c r="C50" s="4" t="s">
        <v>256</v>
      </c>
      <c r="D50" s="16" t="s">
        <v>257</v>
      </c>
      <c r="E50" s="242">
        <v>75000</v>
      </c>
      <c r="F50" s="13"/>
    </row>
    <row r="51" customHeight="1" spans="1:6">
      <c r="A51" s="10">
        <v>8</v>
      </c>
      <c r="B51" s="11" t="s">
        <v>1025</v>
      </c>
      <c r="C51" s="4" t="s">
        <v>256</v>
      </c>
      <c r="D51" s="10" t="s">
        <v>342</v>
      </c>
      <c r="E51" s="242">
        <v>75000</v>
      </c>
      <c r="F51" s="13"/>
    </row>
    <row r="52" customHeight="1" spans="1:6">
      <c r="A52" s="10">
        <v>9</v>
      </c>
      <c r="B52" s="11" t="s">
        <v>258</v>
      </c>
      <c r="C52" s="4" t="s">
        <v>353</v>
      </c>
      <c r="D52" s="10" t="s">
        <v>266</v>
      </c>
      <c r="E52" s="242">
        <v>75000</v>
      </c>
      <c r="F52" s="13"/>
    </row>
    <row r="53" customHeight="1" spans="1:6">
      <c r="A53" s="10">
        <v>10</v>
      </c>
      <c r="B53" s="11" t="s">
        <v>315</v>
      </c>
      <c r="C53" s="4" t="s">
        <v>63</v>
      </c>
      <c r="D53" s="10" t="s">
        <v>24</v>
      </c>
      <c r="E53" s="242">
        <v>45000</v>
      </c>
      <c r="F53" s="13"/>
    </row>
    <row r="54" customHeight="1" spans="1:6">
      <c r="A54" s="10">
        <v>11</v>
      </c>
      <c r="B54" s="11" t="s">
        <v>316</v>
      </c>
      <c r="C54" s="4" t="s">
        <v>63</v>
      </c>
      <c r="D54" s="10" t="s">
        <v>24</v>
      </c>
      <c r="E54" s="242">
        <v>45000</v>
      </c>
      <c r="F54" s="13"/>
    </row>
    <row r="55" customHeight="1" spans="1:6">
      <c r="A55" s="10">
        <v>12</v>
      </c>
      <c r="B55" s="11" t="s">
        <v>317</v>
      </c>
      <c r="C55" s="4" t="s">
        <v>63</v>
      </c>
      <c r="D55" s="10" t="s">
        <v>24</v>
      </c>
      <c r="E55" s="242">
        <v>45000</v>
      </c>
      <c r="F55" s="13"/>
    </row>
    <row r="56" ht="25.5" customHeight="1" spans="1:6">
      <c r="A56" s="10"/>
      <c r="B56" s="20" t="s">
        <v>33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318</v>
      </c>
      <c r="C58" s="21"/>
      <c r="D58" s="21"/>
      <c r="E58" s="246"/>
      <c r="F58" s="13"/>
    </row>
    <row r="59" customHeight="1" spans="1:6">
      <c r="A59" s="10">
        <v>1</v>
      </c>
      <c r="B59" s="11" t="s">
        <v>319</v>
      </c>
      <c r="C59" s="12" t="s">
        <v>320</v>
      </c>
      <c r="D59" s="15" t="s">
        <v>297</v>
      </c>
      <c r="E59" s="242">
        <v>225000</v>
      </c>
      <c r="F59" s="13"/>
    </row>
    <row r="60" customHeight="1" spans="1:6">
      <c r="A60" s="10">
        <v>2</v>
      </c>
      <c r="B60" s="11" t="s">
        <v>321</v>
      </c>
      <c r="C60" s="12" t="s">
        <v>322</v>
      </c>
      <c r="D60" s="15" t="s">
        <v>222</v>
      </c>
      <c r="E60" s="242">
        <v>105000</v>
      </c>
      <c r="F60" s="13"/>
    </row>
    <row r="61" customHeight="1" spans="1:6">
      <c r="A61" s="10"/>
      <c r="B61" s="20" t="s">
        <v>33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44</v>
      </c>
      <c r="C63" s="21"/>
      <c r="D63" s="21"/>
      <c r="E63" s="246"/>
      <c r="F63" s="13"/>
    </row>
    <row r="64" customHeight="1" spans="1:6">
      <c r="A64" s="10">
        <v>1</v>
      </c>
      <c r="B64" s="11" t="s">
        <v>323</v>
      </c>
      <c r="C64" s="17" t="s">
        <v>324</v>
      </c>
      <c r="D64" s="10" t="s">
        <v>297</v>
      </c>
      <c r="E64" s="242">
        <v>225000</v>
      </c>
      <c r="F64" s="13"/>
    </row>
    <row r="65" customHeight="1" spans="1:6">
      <c r="A65" s="10">
        <v>2</v>
      </c>
      <c r="B65" s="18" t="s">
        <v>325</v>
      </c>
      <c r="C65" s="17" t="s">
        <v>326</v>
      </c>
      <c r="D65" s="15" t="s">
        <v>952</v>
      </c>
      <c r="E65" s="242">
        <v>105000</v>
      </c>
      <c r="F65" s="13"/>
    </row>
    <row r="66" customHeight="1" spans="1:6">
      <c r="A66" s="10">
        <v>3</v>
      </c>
      <c r="B66" s="11" t="s">
        <v>328</v>
      </c>
      <c r="C66" s="4" t="s">
        <v>46</v>
      </c>
      <c r="D66" s="10" t="s">
        <v>266</v>
      </c>
      <c r="E66" s="242">
        <v>75000</v>
      </c>
      <c r="F66" s="13"/>
    </row>
    <row r="67" customHeight="1" spans="1:6">
      <c r="A67" s="10">
        <v>4</v>
      </c>
      <c r="B67" s="18" t="s">
        <v>329</v>
      </c>
      <c r="C67" s="17" t="s">
        <v>46</v>
      </c>
      <c r="D67" s="15" t="s">
        <v>950</v>
      </c>
      <c r="E67" s="242">
        <v>75000</v>
      </c>
      <c r="F67" s="13"/>
    </row>
    <row r="68" customHeight="1" spans="1:6">
      <c r="A68" s="10">
        <v>5</v>
      </c>
      <c r="B68" s="14" t="s">
        <v>330</v>
      </c>
      <c r="C68" s="17" t="s">
        <v>256</v>
      </c>
      <c r="D68" s="15" t="s">
        <v>257</v>
      </c>
      <c r="E68" s="242">
        <v>75000</v>
      </c>
      <c r="F68" s="13"/>
    </row>
    <row r="69" customHeight="1" spans="1:6">
      <c r="A69" s="10">
        <v>6</v>
      </c>
      <c r="B69" s="14" t="s">
        <v>255</v>
      </c>
      <c r="C69" s="17" t="s">
        <v>256</v>
      </c>
      <c r="D69" s="15" t="s">
        <v>342</v>
      </c>
      <c r="E69" s="242">
        <v>75000</v>
      </c>
      <c r="F69" s="13"/>
    </row>
    <row r="70" customHeight="1" spans="1:6">
      <c r="A70" s="10">
        <v>7</v>
      </c>
      <c r="B70" s="11" t="s">
        <v>331</v>
      </c>
      <c r="C70" s="4" t="s">
        <v>63</v>
      </c>
      <c r="D70" s="10" t="s">
        <v>41</v>
      </c>
      <c r="E70" s="242">
        <v>45000</v>
      </c>
      <c r="F70" s="13"/>
    </row>
    <row r="71" customHeight="1" spans="1:6">
      <c r="A71" s="10">
        <v>8</v>
      </c>
      <c r="B71" s="11" t="s">
        <v>333</v>
      </c>
      <c r="C71" s="17" t="s">
        <v>275</v>
      </c>
      <c r="D71" s="15" t="s">
        <v>41</v>
      </c>
      <c r="E71" s="242">
        <v>45000</v>
      </c>
      <c r="F71" s="13"/>
    </row>
    <row r="72" customHeight="1" spans="1:6">
      <c r="A72" s="10">
        <v>9</v>
      </c>
      <c r="B72" s="11" t="s">
        <v>334</v>
      </c>
      <c r="C72" s="17" t="s">
        <v>275</v>
      </c>
      <c r="D72" s="15" t="s">
        <v>41</v>
      </c>
      <c r="E72" s="242">
        <v>45000</v>
      </c>
      <c r="F72" s="13"/>
    </row>
    <row r="73" customHeight="1" spans="1:6">
      <c r="A73" s="10">
        <v>10</v>
      </c>
      <c r="B73" s="11" t="s">
        <v>335</v>
      </c>
      <c r="C73" s="4" t="s">
        <v>336</v>
      </c>
      <c r="D73" s="10" t="s">
        <v>332</v>
      </c>
      <c r="E73" s="242">
        <v>45000</v>
      </c>
      <c r="F73" s="13"/>
    </row>
    <row r="74" customHeight="1" spans="1:6">
      <c r="A74" s="10">
        <v>11</v>
      </c>
      <c r="B74" s="11" t="s">
        <v>1115</v>
      </c>
      <c r="C74" s="17" t="s">
        <v>63</v>
      </c>
      <c r="D74" s="10" t="s">
        <v>301</v>
      </c>
      <c r="E74" s="242">
        <v>45000</v>
      </c>
      <c r="F74" s="13"/>
    </row>
    <row r="75" customHeight="1" spans="1:6">
      <c r="A75" s="10">
        <v>12</v>
      </c>
      <c r="B75" s="11" t="s">
        <v>281</v>
      </c>
      <c r="C75" s="17" t="s">
        <v>273</v>
      </c>
      <c r="D75" s="10" t="s">
        <v>283</v>
      </c>
      <c r="E75" s="242">
        <v>45000</v>
      </c>
      <c r="F75" s="13"/>
    </row>
    <row r="76" customHeight="1" spans="1:6">
      <c r="A76" s="10">
        <v>13</v>
      </c>
      <c r="B76" s="14" t="s">
        <v>272</v>
      </c>
      <c r="C76" s="17" t="s">
        <v>273</v>
      </c>
      <c r="D76" s="10" t="s">
        <v>294</v>
      </c>
      <c r="E76" s="242">
        <v>45000</v>
      </c>
      <c r="F76" s="13"/>
    </row>
    <row r="77" customHeight="1" spans="1:6">
      <c r="A77" s="10"/>
      <c r="B77" s="20" t="s">
        <v>33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51</v>
      </c>
      <c r="C79" s="21"/>
      <c r="D79" s="21"/>
      <c r="E79" s="246"/>
      <c r="F79" s="13"/>
    </row>
    <row r="80" customHeight="1" spans="1:6">
      <c r="A80" s="10">
        <v>1</v>
      </c>
      <c r="B80" s="11" t="s">
        <v>338</v>
      </c>
      <c r="C80" s="4" t="s">
        <v>339</v>
      </c>
      <c r="D80" s="10" t="s">
        <v>297</v>
      </c>
      <c r="E80" s="242">
        <v>225000</v>
      </c>
      <c r="F80" s="13"/>
    </row>
    <row r="81" customHeight="1" spans="1:6">
      <c r="A81" s="10">
        <v>2</v>
      </c>
      <c r="B81" s="14" t="s">
        <v>220</v>
      </c>
      <c r="C81" s="4" t="s">
        <v>221</v>
      </c>
      <c r="D81" s="15" t="s">
        <v>952</v>
      </c>
      <c r="E81" s="242">
        <v>105000</v>
      </c>
      <c r="F81" s="13"/>
    </row>
    <row r="82" customHeight="1" spans="1:6">
      <c r="A82" s="10">
        <v>3</v>
      </c>
      <c r="B82" s="14" t="s">
        <v>1116</v>
      </c>
      <c r="C82" s="4" t="s">
        <v>1117</v>
      </c>
      <c r="D82" s="15" t="s">
        <v>952</v>
      </c>
      <c r="E82" s="242">
        <v>105000</v>
      </c>
      <c r="F82" s="13"/>
    </row>
    <row r="83" customHeight="1" spans="1:6">
      <c r="A83" s="10">
        <v>4</v>
      </c>
      <c r="B83" s="11" t="s">
        <v>340</v>
      </c>
      <c r="C83" s="4" t="s">
        <v>968</v>
      </c>
      <c r="D83" s="15" t="s">
        <v>266</v>
      </c>
      <c r="E83" s="242">
        <v>75000</v>
      </c>
      <c r="F83" s="13"/>
    </row>
    <row r="84" customHeight="1" spans="1:6">
      <c r="A84" s="10">
        <v>5</v>
      </c>
      <c r="B84" s="11" t="s">
        <v>343</v>
      </c>
      <c r="C84" s="4" t="s">
        <v>344</v>
      </c>
      <c r="D84" s="10" t="s">
        <v>301</v>
      </c>
      <c r="E84" s="242">
        <v>45000</v>
      </c>
      <c r="F84" s="13"/>
    </row>
    <row r="85" customHeight="1" spans="1:6">
      <c r="A85" s="10"/>
      <c r="B85" s="20" t="s">
        <v>33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56</v>
      </c>
      <c r="C87" s="25"/>
      <c r="D87" s="21"/>
      <c r="E87" s="242"/>
      <c r="F87" s="13"/>
    </row>
    <row r="88" customHeight="1" spans="1:6">
      <c r="A88" s="10">
        <v>1</v>
      </c>
      <c r="B88" s="11" t="s">
        <v>349</v>
      </c>
      <c r="C88" s="4" t="s">
        <v>310</v>
      </c>
      <c r="D88" s="10" t="s">
        <v>249</v>
      </c>
      <c r="E88" s="242">
        <v>105000</v>
      </c>
      <c r="F88" s="13"/>
    </row>
    <row r="89" customHeight="1" spans="1:6">
      <c r="A89" s="10">
        <v>2</v>
      </c>
      <c r="B89" s="11" t="s">
        <v>350</v>
      </c>
      <c r="C89" s="4" t="s">
        <v>310</v>
      </c>
      <c r="D89" s="10" t="s">
        <v>249</v>
      </c>
      <c r="E89" s="242">
        <v>105000</v>
      </c>
      <c r="F89" s="13"/>
    </row>
    <row r="90" customHeight="1" spans="1:6">
      <c r="A90" s="10">
        <v>3</v>
      </c>
      <c r="B90" s="14" t="s">
        <v>386</v>
      </c>
      <c r="C90" s="4" t="s">
        <v>256</v>
      </c>
      <c r="D90" s="10" t="s">
        <v>254</v>
      </c>
      <c r="E90" s="242">
        <v>75000</v>
      </c>
      <c r="F90" s="13"/>
    </row>
    <row r="91" customHeight="1" spans="1:6">
      <c r="A91" s="10">
        <v>4</v>
      </c>
      <c r="B91" s="11" t="s">
        <v>351</v>
      </c>
      <c r="C91" s="4" t="s">
        <v>259</v>
      </c>
      <c r="D91" s="10" t="s">
        <v>257</v>
      </c>
      <c r="E91" s="242">
        <v>75000</v>
      </c>
      <c r="F91" s="13"/>
    </row>
    <row r="92" ht="21.6" customHeight="1" spans="1:6">
      <c r="A92" s="10">
        <v>5</v>
      </c>
      <c r="B92" s="11" t="s">
        <v>352</v>
      </c>
      <c r="C92" s="4" t="s">
        <v>353</v>
      </c>
      <c r="D92" s="15" t="s">
        <v>266</v>
      </c>
      <c r="E92" s="242">
        <v>75000</v>
      </c>
      <c r="F92" s="13"/>
    </row>
    <row r="93" ht="21.6" customHeight="1" spans="1:6">
      <c r="A93" s="10">
        <v>6</v>
      </c>
      <c r="B93" s="11" t="s">
        <v>354</v>
      </c>
      <c r="C93" s="12" t="s">
        <v>46</v>
      </c>
      <c r="D93" s="15" t="s">
        <v>950</v>
      </c>
      <c r="E93" s="242">
        <v>75000</v>
      </c>
      <c r="F93" s="13"/>
    </row>
    <row r="94" ht="21.6" customHeight="1" spans="1:6">
      <c r="A94" s="10">
        <v>7</v>
      </c>
      <c r="B94" s="11" t="s">
        <v>355</v>
      </c>
      <c r="C94" s="12" t="s">
        <v>46</v>
      </c>
      <c r="D94" s="15" t="s">
        <v>950</v>
      </c>
      <c r="E94" s="242">
        <v>75000</v>
      </c>
      <c r="F94" s="13"/>
    </row>
    <row r="95" ht="21.6" customHeight="1" spans="1:6">
      <c r="A95" s="10">
        <v>8</v>
      </c>
      <c r="B95" s="11" t="s">
        <v>357</v>
      </c>
      <c r="C95" s="17" t="s">
        <v>275</v>
      </c>
      <c r="D95" s="15" t="s">
        <v>41</v>
      </c>
      <c r="E95" s="242">
        <v>45000</v>
      </c>
      <c r="F95" s="13"/>
    </row>
    <row r="96" ht="21.6" customHeight="1" spans="1:6">
      <c r="A96" s="10">
        <v>9</v>
      </c>
      <c r="B96" s="11" t="s">
        <v>359</v>
      </c>
      <c r="C96" s="4" t="s">
        <v>360</v>
      </c>
      <c r="D96" s="10" t="s">
        <v>37</v>
      </c>
      <c r="E96" s="242">
        <v>45000</v>
      </c>
      <c r="F96" s="13"/>
    </row>
    <row r="97" ht="21.6" customHeight="1" spans="1:6">
      <c r="A97" s="10">
        <v>10</v>
      </c>
      <c r="B97" s="11" t="s">
        <v>361</v>
      </c>
      <c r="C97" s="17" t="s">
        <v>362</v>
      </c>
      <c r="D97" s="15" t="s">
        <v>294</v>
      </c>
      <c r="E97" s="242">
        <v>45000</v>
      </c>
      <c r="F97" s="13"/>
    </row>
    <row r="98" customHeight="1" spans="1:6">
      <c r="A98" s="10"/>
      <c r="B98" s="20" t="s">
        <v>33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58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232</v>
      </c>
      <c r="C101" s="10" t="s">
        <v>233</v>
      </c>
      <c r="D101" s="15" t="s">
        <v>308</v>
      </c>
      <c r="E101" s="242">
        <v>150000</v>
      </c>
      <c r="F101" s="13"/>
    </row>
    <row r="102" customHeight="1" spans="1:6">
      <c r="A102" s="10">
        <v>2</v>
      </c>
      <c r="B102" s="11" t="s">
        <v>250</v>
      </c>
      <c r="C102" s="4" t="s">
        <v>367</v>
      </c>
      <c r="D102" s="10" t="s">
        <v>257</v>
      </c>
      <c r="E102" s="242">
        <v>75000</v>
      </c>
      <c r="F102" s="13"/>
    </row>
    <row r="103" customHeight="1" spans="1:6">
      <c r="A103" s="10">
        <v>3</v>
      </c>
      <c r="B103" s="11" t="s">
        <v>368</v>
      </c>
      <c r="C103" s="4" t="s">
        <v>369</v>
      </c>
      <c r="D103" s="15" t="s">
        <v>332</v>
      </c>
      <c r="E103" s="242">
        <v>45000</v>
      </c>
      <c r="F103" s="13"/>
    </row>
    <row r="104" customHeight="1" spans="1:6">
      <c r="A104" s="10">
        <v>4</v>
      </c>
      <c r="B104" s="11" t="s">
        <v>1118</v>
      </c>
      <c r="C104" s="4" t="s">
        <v>1119</v>
      </c>
      <c r="D104" s="15" t="s">
        <v>945</v>
      </c>
      <c r="E104" s="242">
        <v>45000</v>
      </c>
      <c r="F104" s="13"/>
    </row>
    <row r="105" customHeight="1" spans="1:6">
      <c r="A105" s="4"/>
      <c r="B105" s="20" t="s">
        <v>33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372</v>
      </c>
      <c r="C107" s="4"/>
      <c r="D107" s="4"/>
      <c r="E107" s="247"/>
      <c r="F107" s="13"/>
    </row>
    <row r="108" customHeight="1" spans="1:6">
      <c r="A108" s="4">
        <v>1</v>
      </c>
      <c r="B108" s="11" t="s">
        <v>373</v>
      </c>
      <c r="C108" s="12" t="s">
        <v>374</v>
      </c>
      <c r="D108" s="15" t="s">
        <v>297</v>
      </c>
      <c r="E108" s="242">
        <v>225000</v>
      </c>
      <c r="F108" s="13"/>
    </row>
    <row r="109" customHeight="1" spans="1:6">
      <c r="A109" s="4">
        <v>2</v>
      </c>
      <c r="B109" s="11" t="s">
        <v>375</v>
      </c>
      <c r="C109" s="4" t="s">
        <v>376</v>
      </c>
      <c r="D109" s="16" t="s">
        <v>308</v>
      </c>
      <c r="E109" s="242">
        <v>150000</v>
      </c>
      <c r="F109" s="13"/>
    </row>
    <row r="110" customHeight="1" spans="1:6">
      <c r="A110" s="4">
        <v>3</v>
      </c>
      <c r="B110" s="11" t="s">
        <v>377</v>
      </c>
      <c r="C110" s="4" t="s">
        <v>378</v>
      </c>
      <c r="D110" s="10" t="s">
        <v>263</v>
      </c>
      <c r="E110" s="242">
        <v>75000</v>
      </c>
      <c r="F110" s="13"/>
    </row>
    <row r="111" customHeight="1" spans="1:6">
      <c r="A111" s="4">
        <v>4</v>
      </c>
      <c r="B111" s="11" t="s">
        <v>379</v>
      </c>
      <c r="C111" s="4" t="s">
        <v>378</v>
      </c>
      <c r="D111" s="10" t="s">
        <v>263</v>
      </c>
      <c r="E111" s="242">
        <v>75000</v>
      </c>
      <c r="F111" s="13"/>
    </row>
    <row r="112" customHeight="1" spans="1:6">
      <c r="A112" s="4">
        <v>5</v>
      </c>
      <c r="B112" s="11" t="s">
        <v>380</v>
      </c>
      <c r="C112" s="4" t="s">
        <v>381</v>
      </c>
      <c r="D112" s="15" t="s">
        <v>384</v>
      </c>
      <c r="E112" s="242">
        <v>45000</v>
      </c>
      <c r="F112" s="13"/>
    </row>
    <row r="113" customHeight="1" spans="1:6">
      <c r="A113" s="4">
        <v>6</v>
      </c>
      <c r="B113" s="18" t="s">
        <v>383</v>
      </c>
      <c r="C113" s="4" t="s">
        <v>381</v>
      </c>
      <c r="D113" s="10" t="s">
        <v>945</v>
      </c>
      <c r="E113" s="242">
        <v>45000</v>
      </c>
      <c r="F113" s="13"/>
    </row>
    <row r="114" customHeight="1" spans="1:6">
      <c r="A114" s="4">
        <v>7</v>
      </c>
      <c r="B114" s="18" t="s">
        <v>385</v>
      </c>
      <c r="C114" s="4" t="s">
        <v>381</v>
      </c>
      <c r="D114" s="15" t="s">
        <v>294</v>
      </c>
      <c r="E114" s="242">
        <v>45000</v>
      </c>
      <c r="F114" s="13"/>
    </row>
    <row r="115" customHeight="1" spans="1:6">
      <c r="A115" s="4"/>
      <c r="B115" s="20" t="s">
        <v>33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1123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1033</v>
      </c>
      <c r="C118" s="17" t="s">
        <v>275</v>
      </c>
      <c r="D118" s="15" t="s">
        <v>271</v>
      </c>
      <c r="E118" s="242">
        <v>45000</v>
      </c>
      <c r="F118" s="13"/>
    </row>
    <row r="119" ht="27" customHeight="1" spans="1:6">
      <c r="A119" s="10">
        <v>2</v>
      </c>
      <c r="B119" s="11" t="s">
        <v>387</v>
      </c>
      <c r="C119" s="4" t="s">
        <v>388</v>
      </c>
      <c r="D119" s="15" t="s">
        <v>332</v>
      </c>
      <c r="E119" s="242">
        <v>45000</v>
      </c>
      <c r="F119" s="13"/>
    </row>
    <row r="120" ht="27" customHeight="1" spans="1:6">
      <c r="A120" s="4"/>
      <c r="B120" s="20" t="s">
        <v>33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67</v>
      </c>
      <c r="C122" s="21"/>
      <c r="D122" s="21"/>
      <c r="E122" s="242"/>
      <c r="F122" s="13"/>
    </row>
    <row r="123" customHeight="1" spans="1:6">
      <c r="A123" s="4">
        <v>1</v>
      </c>
      <c r="B123" s="11" t="s">
        <v>392</v>
      </c>
      <c r="C123" s="12" t="s">
        <v>393</v>
      </c>
      <c r="D123" s="15" t="s">
        <v>297</v>
      </c>
      <c r="E123" s="242">
        <v>225000</v>
      </c>
      <c r="F123" s="13"/>
    </row>
    <row r="124" customHeight="1" spans="1:6">
      <c r="A124" s="4">
        <v>2</v>
      </c>
      <c r="B124" s="11" t="s">
        <v>128</v>
      </c>
      <c r="C124" s="12" t="s">
        <v>227</v>
      </c>
      <c r="D124" s="15" t="s">
        <v>249</v>
      </c>
      <c r="E124" s="242">
        <v>105000</v>
      </c>
      <c r="F124" s="13"/>
    </row>
    <row r="125" customHeight="1" spans="1:6">
      <c r="A125" s="4">
        <v>3</v>
      </c>
      <c r="B125" s="14" t="s">
        <v>395</v>
      </c>
      <c r="C125" s="12" t="s">
        <v>227</v>
      </c>
      <c r="D125" s="15" t="s">
        <v>249</v>
      </c>
      <c r="E125" s="242">
        <v>105000</v>
      </c>
      <c r="F125" s="13"/>
    </row>
    <row r="126" customHeight="1" spans="1:6">
      <c r="A126" s="4">
        <v>4</v>
      </c>
      <c r="B126" s="14" t="s">
        <v>226</v>
      </c>
      <c r="C126" s="12" t="s">
        <v>227</v>
      </c>
      <c r="D126" s="15" t="s">
        <v>228</v>
      </c>
      <c r="E126" s="242">
        <v>105000</v>
      </c>
      <c r="F126" s="13"/>
    </row>
    <row r="127" customHeight="1" spans="1:6">
      <c r="A127" s="4">
        <v>5</v>
      </c>
      <c r="B127" s="11" t="s">
        <v>396</v>
      </c>
      <c r="C127" s="12" t="s">
        <v>397</v>
      </c>
      <c r="D127" s="15" t="s">
        <v>342</v>
      </c>
      <c r="E127" s="242">
        <v>75000</v>
      </c>
      <c r="F127" s="13"/>
    </row>
    <row r="128" customHeight="1" spans="1:6">
      <c r="A128" s="4">
        <v>6</v>
      </c>
      <c r="B128" s="11" t="s">
        <v>398</v>
      </c>
      <c r="C128" s="12" t="s">
        <v>399</v>
      </c>
      <c r="D128" s="15" t="s">
        <v>266</v>
      </c>
      <c r="E128" s="242">
        <v>75000</v>
      </c>
      <c r="F128" s="13"/>
    </row>
    <row r="129" customHeight="1" spans="1:6">
      <c r="A129" s="4">
        <v>7</v>
      </c>
      <c r="B129" s="11" t="s">
        <v>400</v>
      </c>
      <c r="C129" s="12" t="s">
        <v>970</v>
      </c>
      <c r="D129" s="15" t="s">
        <v>266</v>
      </c>
      <c r="E129" s="242">
        <v>75000</v>
      </c>
      <c r="F129" s="13"/>
    </row>
    <row r="130" customHeight="1" spans="1:6">
      <c r="A130" s="4">
        <v>8</v>
      </c>
      <c r="B130" s="11" t="s">
        <v>401</v>
      </c>
      <c r="C130" s="12" t="s">
        <v>402</v>
      </c>
      <c r="D130" s="10" t="s">
        <v>283</v>
      </c>
      <c r="E130" s="242">
        <v>45000</v>
      </c>
      <c r="F130" s="13"/>
    </row>
    <row r="131" customHeight="1" spans="1:6">
      <c r="A131" s="4">
        <v>9</v>
      </c>
      <c r="B131" s="18" t="s">
        <v>403</v>
      </c>
      <c r="C131" s="12" t="s">
        <v>404</v>
      </c>
      <c r="D131" s="15" t="s">
        <v>294</v>
      </c>
      <c r="E131" s="242">
        <v>45000</v>
      </c>
      <c r="F131" s="13"/>
    </row>
    <row r="132" customHeight="1" spans="1:6">
      <c r="A132" s="4"/>
      <c r="B132" s="20" t="s">
        <v>33</v>
      </c>
      <c r="C132" s="26" t="s">
        <v>1120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71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407</v>
      </c>
      <c r="C135" s="12" t="s">
        <v>408</v>
      </c>
      <c r="D135" s="15" t="s">
        <v>297</v>
      </c>
      <c r="E135" s="242">
        <v>225000</v>
      </c>
      <c r="F135" s="13"/>
    </row>
    <row r="136" customHeight="1" spans="1:6">
      <c r="A136" s="27">
        <v>2</v>
      </c>
      <c r="B136" s="11" t="s">
        <v>229</v>
      </c>
      <c r="C136" s="12" t="s">
        <v>230</v>
      </c>
      <c r="D136" s="15" t="s">
        <v>231</v>
      </c>
      <c r="E136" s="242">
        <v>150000</v>
      </c>
      <c r="F136" s="13"/>
    </row>
    <row r="137" customHeight="1" spans="1:6">
      <c r="A137" s="27">
        <v>3</v>
      </c>
      <c r="B137" s="14" t="s">
        <v>409</v>
      </c>
      <c r="C137" s="4" t="s">
        <v>410</v>
      </c>
      <c r="D137" s="16" t="s">
        <v>308</v>
      </c>
      <c r="E137" s="242">
        <v>150000</v>
      </c>
      <c r="F137" s="13"/>
    </row>
    <row r="138" customHeight="1" spans="1:6">
      <c r="A138" s="27">
        <v>4</v>
      </c>
      <c r="B138" s="11" t="s">
        <v>411</v>
      </c>
      <c r="C138" s="12" t="s">
        <v>412</v>
      </c>
      <c r="D138" s="15" t="s">
        <v>257</v>
      </c>
      <c r="E138" s="242">
        <v>75000</v>
      </c>
      <c r="F138" s="13"/>
    </row>
    <row r="139" customHeight="1" spans="1:6">
      <c r="A139" s="27">
        <v>5</v>
      </c>
      <c r="B139" s="11" t="s">
        <v>413</v>
      </c>
      <c r="C139" s="4" t="s">
        <v>414</v>
      </c>
      <c r="D139" s="15" t="s">
        <v>257</v>
      </c>
      <c r="E139" s="242">
        <v>75000</v>
      </c>
      <c r="F139" s="13"/>
    </row>
    <row r="140" customHeight="1" spans="1:6">
      <c r="A140" s="27">
        <v>6</v>
      </c>
      <c r="B140" s="11" t="s">
        <v>366</v>
      </c>
      <c r="C140" s="4" t="s">
        <v>420</v>
      </c>
      <c r="D140" s="15" t="s">
        <v>266</v>
      </c>
      <c r="E140" s="242">
        <v>75000</v>
      </c>
      <c r="F140" s="13"/>
    </row>
    <row r="141" customHeight="1" spans="1:6">
      <c r="A141" s="27">
        <v>7</v>
      </c>
      <c r="B141" s="11" t="s">
        <v>416</v>
      </c>
      <c r="C141" s="12" t="s">
        <v>417</v>
      </c>
      <c r="D141" s="15" t="s">
        <v>271</v>
      </c>
      <c r="E141" s="242">
        <v>45000</v>
      </c>
      <c r="F141" s="13"/>
    </row>
    <row r="142" customHeight="1" spans="1:6">
      <c r="A142" s="27">
        <v>8</v>
      </c>
      <c r="B142" s="11" t="s">
        <v>418</v>
      </c>
      <c r="C142" s="12" t="s">
        <v>417</v>
      </c>
      <c r="D142" s="15" t="s">
        <v>271</v>
      </c>
      <c r="E142" s="242">
        <v>45000</v>
      </c>
      <c r="F142" s="13"/>
    </row>
    <row r="143" customHeight="1" spans="1:6">
      <c r="A143" s="27">
        <v>9</v>
      </c>
      <c r="B143" s="11" t="s">
        <v>419</v>
      </c>
      <c r="C143" s="4" t="s">
        <v>420</v>
      </c>
      <c r="D143" s="15" t="s">
        <v>271</v>
      </c>
      <c r="E143" s="242">
        <v>45000</v>
      </c>
      <c r="F143" s="13"/>
    </row>
    <row r="144" customHeight="1" spans="1:6">
      <c r="A144" s="27">
        <v>10</v>
      </c>
      <c r="B144" s="11" t="s">
        <v>421</v>
      </c>
      <c r="C144" s="12" t="s">
        <v>426</v>
      </c>
      <c r="D144" s="15" t="s">
        <v>332</v>
      </c>
      <c r="E144" s="242">
        <v>45000</v>
      </c>
      <c r="F144" s="13"/>
    </row>
    <row r="145" customHeight="1" spans="1:6">
      <c r="A145" s="27">
        <v>11</v>
      </c>
      <c r="B145" s="11" t="s">
        <v>423</v>
      </c>
      <c r="C145" s="12" t="s">
        <v>971</v>
      </c>
      <c r="D145" s="15" t="s">
        <v>432</v>
      </c>
      <c r="E145" s="242">
        <v>45000</v>
      </c>
      <c r="F145" s="13"/>
    </row>
    <row r="146" customHeight="1" spans="1:6">
      <c r="A146" s="27">
        <v>12</v>
      </c>
      <c r="B146" s="11" t="s">
        <v>425</v>
      </c>
      <c r="C146" s="12" t="s">
        <v>426</v>
      </c>
      <c r="D146" s="15" t="s">
        <v>271</v>
      </c>
      <c r="E146" s="242">
        <v>45000</v>
      </c>
      <c r="F146" s="13"/>
    </row>
    <row r="147" customHeight="1" spans="1:6">
      <c r="A147" s="27">
        <v>13</v>
      </c>
      <c r="B147" s="18" t="s">
        <v>427</v>
      </c>
      <c r="C147" s="4" t="s">
        <v>437</v>
      </c>
      <c r="D147" s="15" t="s">
        <v>432</v>
      </c>
      <c r="E147" s="242">
        <v>45000</v>
      </c>
      <c r="F147" s="13"/>
    </row>
    <row r="148" customHeight="1" spans="1:6">
      <c r="A148" s="27">
        <v>14</v>
      </c>
      <c r="B148" s="11" t="s">
        <v>429</v>
      </c>
      <c r="C148" s="4" t="s">
        <v>430</v>
      </c>
      <c r="D148" s="15" t="s">
        <v>301</v>
      </c>
      <c r="E148" s="242">
        <v>45000</v>
      </c>
      <c r="F148" s="13"/>
    </row>
    <row r="149" customHeight="1" spans="1:6">
      <c r="A149" s="27">
        <v>15</v>
      </c>
      <c r="B149" s="11" t="s">
        <v>431</v>
      </c>
      <c r="C149" s="4" t="s">
        <v>430</v>
      </c>
      <c r="D149" s="15" t="s">
        <v>345</v>
      </c>
      <c r="E149" s="242">
        <v>45000</v>
      </c>
      <c r="F149" s="13"/>
    </row>
    <row r="150" customHeight="1" spans="1:6">
      <c r="A150" s="27">
        <v>16</v>
      </c>
      <c r="B150" s="11" t="s">
        <v>433</v>
      </c>
      <c r="C150" s="4" t="s">
        <v>430</v>
      </c>
      <c r="D150" s="15" t="s">
        <v>345</v>
      </c>
      <c r="E150" s="242">
        <v>45000</v>
      </c>
      <c r="F150" s="13"/>
    </row>
    <row r="151" customHeight="1" spans="1:6">
      <c r="A151" s="27">
        <v>17</v>
      </c>
      <c r="B151" s="11" t="s">
        <v>434</v>
      </c>
      <c r="C151" s="12" t="s">
        <v>435</v>
      </c>
      <c r="D151" s="15" t="s">
        <v>37</v>
      </c>
      <c r="E151" s="242">
        <v>45000</v>
      </c>
      <c r="F151" s="13"/>
    </row>
    <row r="152" customHeight="1" spans="1:6">
      <c r="A152" s="27">
        <v>18</v>
      </c>
      <c r="B152" s="11" t="s">
        <v>953</v>
      </c>
      <c r="C152" s="12" t="s">
        <v>437</v>
      </c>
      <c r="D152" s="10" t="s">
        <v>24</v>
      </c>
      <c r="E152" s="242">
        <v>45000</v>
      </c>
      <c r="F152" s="13"/>
    </row>
    <row r="153" customHeight="1" spans="1:6">
      <c r="A153" s="27">
        <v>19</v>
      </c>
      <c r="B153" s="11" t="s">
        <v>438</v>
      </c>
      <c r="C153" s="12" t="s">
        <v>439</v>
      </c>
      <c r="D153" s="15" t="s">
        <v>301</v>
      </c>
      <c r="E153" s="242">
        <v>45000</v>
      </c>
      <c r="F153" s="13"/>
    </row>
    <row r="154" customHeight="1" spans="1:6">
      <c r="A154" s="27">
        <v>20</v>
      </c>
      <c r="B154" s="11" t="s">
        <v>440</v>
      </c>
      <c r="C154" s="12" t="s">
        <v>441</v>
      </c>
      <c r="D154" s="15" t="s">
        <v>283</v>
      </c>
      <c r="E154" s="242">
        <v>45000</v>
      </c>
      <c r="F154" s="13"/>
    </row>
    <row r="155" customHeight="1" spans="1:6">
      <c r="A155" s="27">
        <v>21</v>
      </c>
      <c r="B155" s="11" t="s">
        <v>442</v>
      </c>
      <c r="C155" s="12" t="s">
        <v>443</v>
      </c>
      <c r="D155" s="15" t="s">
        <v>301</v>
      </c>
      <c r="E155" s="242">
        <v>45000</v>
      </c>
      <c r="F155" s="13"/>
    </row>
    <row r="156" customHeight="1" spans="1:6">
      <c r="A156" s="27">
        <v>22</v>
      </c>
      <c r="B156" s="11" t="s">
        <v>444</v>
      </c>
      <c r="C156" s="12" t="s">
        <v>445</v>
      </c>
      <c r="D156" s="15" t="s">
        <v>283</v>
      </c>
      <c r="E156" s="242">
        <v>45000</v>
      </c>
      <c r="F156" s="13"/>
    </row>
    <row r="157" customHeight="1" spans="1:6">
      <c r="A157" s="27">
        <v>23</v>
      </c>
      <c r="B157" s="18" t="s">
        <v>446</v>
      </c>
      <c r="C157" s="12" t="s">
        <v>451</v>
      </c>
      <c r="D157" s="15" t="s">
        <v>945</v>
      </c>
      <c r="E157" s="242">
        <v>45000</v>
      </c>
      <c r="F157" s="13"/>
    </row>
    <row r="158" customHeight="1" spans="1:6">
      <c r="A158" s="27">
        <v>24</v>
      </c>
      <c r="B158" s="18" t="s">
        <v>448</v>
      </c>
      <c r="C158" s="12" t="s">
        <v>449</v>
      </c>
      <c r="D158" s="15" t="s">
        <v>30</v>
      </c>
      <c r="E158" s="242">
        <v>45000</v>
      </c>
      <c r="F158" s="13"/>
    </row>
    <row r="159" customHeight="1" spans="1:6">
      <c r="A159" s="27">
        <v>25</v>
      </c>
      <c r="B159" s="18" t="s">
        <v>450</v>
      </c>
      <c r="C159" s="12" t="s">
        <v>451</v>
      </c>
      <c r="D159" s="15" t="s">
        <v>30</v>
      </c>
      <c r="E159" s="242">
        <v>45000</v>
      </c>
      <c r="F159" s="13"/>
    </row>
    <row r="160" customHeight="1" spans="1:6">
      <c r="A160" s="27">
        <v>26</v>
      </c>
      <c r="B160" s="18" t="s">
        <v>452</v>
      </c>
      <c r="C160" s="12" t="s">
        <v>453</v>
      </c>
      <c r="D160" s="15" t="s">
        <v>294</v>
      </c>
      <c r="E160" s="242">
        <v>45000</v>
      </c>
      <c r="F160" s="13"/>
    </row>
    <row r="161" customHeight="1" spans="1:6">
      <c r="A161" s="27">
        <v>27</v>
      </c>
      <c r="B161" s="18" t="s">
        <v>454</v>
      </c>
      <c r="C161" s="12" t="s">
        <v>455</v>
      </c>
      <c r="D161" s="15" t="s">
        <v>294</v>
      </c>
      <c r="E161" s="242">
        <v>45000</v>
      </c>
      <c r="F161" s="13"/>
    </row>
    <row r="162" customHeight="1" spans="1:6">
      <c r="A162" s="27">
        <v>28</v>
      </c>
      <c r="B162" s="11" t="s">
        <v>457</v>
      </c>
      <c r="C162" s="12" t="s">
        <v>458</v>
      </c>
      <c r="D162" s="15" t="s">
        <v>465</v>
      </c>
      <c r="E162" s="242">
        <v>30000</v>
      </c>
      <c r="F162" s="13"/>
    </row>
    <row r="163" customHeight="1" spans="1:6">
      <c r="A163" s="27">
        <v>29</v>
      </c>
      <c r="B163" s="11" t="s">
        <v>460</v>
      </c>
      <c r="C163" s="12" t="s">
        <v>458</v>
      </c>
      <c r="D163" s="15" t="s">
        <v>465</v>
      </c>
      <c r="E163" s="242">
        <v>30000</v>
      </c>
      <c r="F163" s="13"/>
    </row>
    <row r="164" customHeight="1" spans="1:6">
      <c r="A164" s="27">
        <v>30</v>
      </c>
      <c r="B164" s="11" t="s">
        <v>461</v>
      </c>
      <c r="C164" s="12" t="s">
        <v>458</v>
      </c>
      <c r="D164" s="15" t="s">
        <v>465</v>
      </c>
      <c r="E164" s="242">
        <v>30000</v>
      </c>
      <c r="F164" s="13"/>
    </row>
    <row r="165" customHeight="1" spans="1:6">
      <c r="A165" s="27">
        <v>32</v>
      </c>
      <c r="B165" s="11" t="s">
        <v>462</v>
      </c>
      <c r="C165" s="12" t="s">
        <v>458</v>
      </c>
      <c r="D165" s="15" t="s">
        <v>465</v>
      </c>
      <c r="E165" s="242">
        <v>30000</v>
      </c>
      <c r="F165" s="13"/>
    </row>
    <row r="166" customHeight="1" spans="1:6">
      <c r="A166" s="27">
        <v>33</v>
      </c>
      <c r="B166" s="11" t="s">
        <v>463</v>
      </c>
      <c r="C166" s="12" t="s">
        <v>458</v>
      </c>
      <c r="D166" s="15" t="s">
        <v>465</v>
      </c>
      <c r="E166" s="242">
        <v>30000</v>
      </c>
      <c r="F166" s="13"/>
    </row>
    <row r="167" customHeight="1" spans="1:6">
      <c r="A167" s="27">
        <v>34</v>
      </c>
      <c r="B167" s="11" t="s">
        <v>464</v>
      </c>
      <c r="C167" s="12" t="s">
        <v>458</v>
      </c>
      <c r="D167" s="15" t="s">
        <v>476</v>
      </c>
      <c r="E167" s="242">
        <v>30000</v>
      </c>
      <c r="F167" s="13"/>
    </row>
    <row r="168" customHeight="1" spans="1:6">
      <c r="A168" s="27">
        <v>35</v>
      </c>
      <c r="B168" s="11" t="s">
        <v>466</v>
      </c>
      <c r="C168" s="12" t="s">
        <v>458</v>
      </c>
      <c r="D168" s="15" t="s">
        <v>476</v>
      </c>
      <c r="E168" s="242">
        <v>30000</v>
      </c>
      <c r="F168" s="13"/>
    </row>
    <row r="169" customHeight="1" spans="1:6">
      <c r="A169" s="27">
        <v>36</v>
      </c>
      <c r="B169" s="14" t="s">
        <v>467</v>
      </c>
      <c r="C169" s="12" t="s">
        <v>458</v>
      </c>
      <c r="D169" s="15" t="s">
        <v>476</v>
      </c>
      <c r="E169" s="242">
        <v>30000</v>
      </c>
      <c r="F169" s="13"/>
    </row>
    <row r="170" customHeight="1" spans="1:6">
      <c r="A170" s="27">
        <v>37</v>
      </c>
      <c r="B170" s="11" t="s">
        <v>468</v>
      </c>
      <c r="C170" s="12" t="s">
        <v>458</v>
      </c>
      <c r="D170" s="15" t="s">
        <v>476</v>
      </c>
      <c r="E170" s="242">
        <v>30000</v>
      </c>
      <c r="F170" s="13"/>
    </row>
    <row r="171" customHeight="1" spans="1:6">
      <c r="A171" s="27">
        <v>38</v>
      </c>
      <c r="B171" s="18" t="s">
        <v>469</v>
      </c>
      <c r="C171" s="12" t="s">
        <v>458</v>
      </c>
      <c r="D171" s="15" t="s">
        <v>476</v>
      </c>
      <c r="E171" s="242">
        <v>30000</v>
      </c>
      <c r="F171" s="13"/>
    </row>
    <row r="172" customHeight="1" spans="1:6">
      <c r="A172" s="27">
        <v>39</v>
      </c>
      <c r="B172" s="18" t="s">
        <v>470</v>
      </c>
      <c r="C172" s="12" t="s">
        <v>458</v>
      </c>
      <c r="D172" s="15" t="s">
        <v>476</v>
      </c>
      <c r="E172" s="242">
        <v>30000</v>
      </c>
      <c r="F172" s="13"/>
    </row>
    <row r="173" customHeight="1" spans="1:6">
      <c r="A173" s="27">
        <v>40</v>
      </c>
      <c r="B173" s="11" t="s">
        <v>471</v>
      </c>
      <c r="C173" s="12" t="s">
        <v>478</v>
      </c>
      <c r="D173" s="15" t="s">
        <v>479</v>
      </c>
      <c r="E173" s="242">
        <v>30000</v>
      </c>
      <c r="F173" s="13"/>
    </row>
    <row r="174" customHeight="1" spans="1:6">
      <c r="A174" s="27">
        <v>41</v>
      </c>
      <c r="B174" s="11" t="s">
        <v>474</v>
      </c>
      <c r="C174" s="12" t="s">
        <v>478</v>
      </c>
      <c r="D174" s="15" t="s">
        <v>479</v>
      </c>
      <c r="E174" s="242">
        <v>30000</v>
      </c>
      <c r="F174" s="13"/>
    </row>
    <row r="175" customHeight="1" spans="1:6">
      <c r="A175" s="27">
        <v>42</v>
      </c>
      <c r="B175" s="18" t="s">
        <v>475</v>
      </c>
      <c r="C175" s="12" t="s">
        <v>478</v>
      </c>
      <c r="D175" s="15" t="s">
        <v>948</v>
      </c>
      <c r="E175" s="242">
        <v>30000</v>
      </c>
      <c r="F175" s="13"/>
    </row>
    <row r="176" customHeight="1" spans="1:6">
      <c r="A176" s="27">
        <v>43</v>
      </c>
      <c r="B176" s="11" t="s">
        <v>477</v>
      </c>
      <c r="C176" s="12" t="s">
        <v>478</v>
      </c>
      <c r="D176" s="15" t="s">
        <v>954</v>
      </c>
      <c r="E176" s="242">
        <v>30000</v>
      </c>
      <c r="F176" s="13"/>
    </row>
    <row r="177" customHeight="1" spans="1:6">
      <c r="A177" s="27">
        <v>44</v>
      </c>
      <c r="B177" s="11" t="s">
        <v>480</v>
      </c>
      <c r="C177" s="12" t="s">
        <v>481</v>
      </c>
      <c r="D177" s="15" t="s">
        <v>955</v>
      </c>
      <c r="E177" s="242">
        <v>30000</v>
      </c>
      <c r="F177" s="13"/>
    </row>
    <row r="178" customHeight="1" spans="1:6">
      <c r="A178" s="27">
        <v>45</v>
      </c>
      <c r="B178" s="11" t="s">
        <v>483</v>
      </c>
      <c r="C178" s="12" t="s">
        <v>481</v>
      </c>
      <c r="D178" s="15" t="s">
        <v>955</v>
      </c>
      <c r="E178" s="242">
        <v>30000</v>
      </c>
      <c r="F178" s="13"/>
    </row>
    <row r="179" customHeight="1" spans="1:6">
      <c r="A179" s="27">
        <v>46</v>
      </c>
      <c r="B179" s="11" t="s">
        <v>484</v>
      </c>
      <c r="C179" s="12" t="s">
        <v>481</v>
      </c>
      <c r="D179" s="15" t="s">
        <v>955</v>
      </c>
      <c r="E179" s="242">
        <v>30000</v>
      </c>
      <c r="F179" s="13"/>
    </row>
    <row r="180" customHeight="1" spans="1:6">
      <c r="A180" s="27">
        <v>47</v>
      </c>
      <c r="B180" s="11" t="s">
        <v>485</v>
      </c>
      <c r="C180" s="12" t="s">
        <v>481</v>
      </c>
      <c r="D180" s="15" t="s">
        <v>955</v>
      </c>
      <c r="E180" s="242">
        <v>30000</v>
      </c>
      <c r="F180" s="13"/>
    </row>
    <row r="181" customHeight="1" spans="1:6">
      <c r="A181" s="27">
        <v>48</v>
      </c>
      <c r="B181" s="11" t="s">
        <v>486</v>
      </c>
      <c r="C181" s="12" t="s">
        <v>481</v>
      </c>
      <c r="D181" s="15" t="s">
        <v>955</v>
      </c>
      <c r="E181" s="242">
        <v>30000</v>
      </c>
      <c r="F181" s="13"/>
    </row>
    <row r="182" customHeight="1" spans="1:6">
      <c r="A182" s="27">
        <v>49</v>
      </c>
      <c r="B182" s="18" t="s">
        <v>487</v>
      </c>
      <c r="C182" s="12" t="s">
        <v>481</v>
      </c>
      <c r="D182" s="15" t="s">
        <v>955</v>
      </c>
      <c r="E182" s="242">
        <v>30000</v>
      </c>
      <c r="F182" s="13"/>
    </row>
    <row r="183" customHeight="1" spans="1:6">
      <c r="A183" s="27">
        <v>50</v>
      </c>
      <c r="B183" s="18" t="s">
        <v>488</v>
      </c>
      <c r="C183" s="12" t="s">
        <v>481</v>
      </c>
      <c r="D183" s="15" t="s">
        <v>955</v>
      </c>
      <c r="E183" s="242">
        <v>30000</v>
      </c>
      <c r="F183" s="13"/>
    </row>
    <row r="184" customHeight="1" spans="1:6">
      <c r="A184" s="27">
        <v>51</v>
      </c>
      <c r="B184" s="11" t="s">
        <v>489</v>
      </c>
      <c r="C184" s="12" t="s">
        <v>478</v>
      </c>
      <c r="D184" s="15" t="s">
        <v>955</v>
      </c>
      <c r="E184" s="242">
        <v>30000</v>
      </c>
      <c r="F184" s="13"/>
    </row>
    <row r="185" customHeight="1" spans="1:6">
      <c r="A185" s="27">
        <v>52</v>
      </c>
      <c r="B185" s="11" t="s">
        <v>490</v>
      </c>
      <c r="C185" s="12" t="s">
        <v>478</v>
      </c>
      <c r="D185" s="15" t="s">
        <v>955</v>
      </c>
      <c r="E185" s="242">
        <v>30000</v>
      </c>
      <c r="F185" s="13"/>
    </row>
    <row r="186" customHeight="1" spans="1:6">
      <c r="A186" s="27">
        <v>53</v>
      </c>
      <c r="B186" s="18" t="s">
        <v>491</v>
      </c>
      <c r="C186" s="12" t="s">
        <v>481</v>
      </c>
      <c r="D186" s="15" t="s">
        <v>972</v>
      </c>
      <c r="E186" s="242">
        <v>30000</v>
      </c>
      <c r="F186" s="13"/>
    </row>
    <row r="187" customHeight="1" spans="1:6">
      <c r="A187" s="27">
        <v>54</v>
      </c>
      <c r="B187" s="18" t="s">
        <v>493</v>
      </c>
      <c r="C187" s="12" t="s">
        <v>481</v>
      </c>
      <c r="D187" s="15" t="s">
        <v>956</v>
      </c>
      <c r="E187" s="242">
        <v>30000</v>
      </c>
      <c r="F187" s="13"/>
    </row>
    <row r="188" customHeight="1" spans="1:6">
      <c r="A188" s="27"/>
      <c r="B188" s="8" t="s">
        <v>33</v>
      </c>
      <c r="C188" s="28" t="s">
        <v>1124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80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2:6">
      <c r="B191" s="33"/>
      <c r="D191" s="34"/>
      <c r="E191" s="103"/>
      <c r="F191" s="35"/>
    </row>
    <row r="192" ht="65.25" customHeight="1" spans="2:6">
      <c r="B192" s="33"/>
      <c r="C192" s="34"/>
      <c r="D192" s="34"/>
      <c r="E192" s="104"/>
      <c r="F192" s="256">
        <f>'[10]Sallah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1105</v>
      </c>
      <c r="B2" s="77"/>
      <c r="C2" s="76"/>
      <c r="D2" s="76"/>
      <c r="E2" s="76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132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236</v>
      </c>
      <c r="C7" s="12" t="s">
        <v>237</v>
      </c>
      <c r="D7" s="12" t="s">
        <v>238</v>
      </c>
      <c r="E7" s="242">
        <v>540000</v>
      </c>
      <c r="F7" s="13"/>
    </row>
    <row r="8" customHeight="1" spans="1:6">
      <c r="A8" s="10">
        <v>2</v>
      </c>
      <c r="B8" s="11" t="s">
        <v>1016</v>
      </c>
      <c r="C8" s="4" t="s">
        <v>1106</v>
      </c>
      <c r="D8" s="10" t="s">
        <v>231</v>
      </c>
      <c r="E8" s="242">
        <v>180000</v>
      </c>
      <c r="F8" s="13"/>
    </row>
    <row r="9" customHeight="1" spans="1:6">
      <c r="A9" s="10">
        <v>3</v>
      </c>
      <c r="B9" s="11" t="s">
        <v>239</v>
      </c>
      <c r="C9" s="12" t="s">
        <v>240</v>
      </c>
      <c r="D9" s="10" t="s">
        <v>234</v>
      </c>
      <c r="E9" s="242">
        <v>180000</v>
      </c>
      <c r="F9" s="13"/>
    </row>
    <row r="10" customHeight="1" spans="1:6">
      <c r="A10" s="10">
        <v>4</v>
      </c>
      <c r="B10" s="14" t="s">
        <v>241</v>
      </c>
      <c r="C10" s="4" t="s">
        <v>242</v>
      </c>
      <c r="D10" s="15" t="s">
        <v>308</v>
      </c>
      <c r="E10" s="242">
        <v>180000</v>
      </c>
      <c r="F10" s="13"/>
    </row>
    <row r="11" customHeight="1" spans="1:6">
      <c r="A11" s="10">
        <v>5</v>
      </c>
      <c r="B11" s="14" t="s">
        <v>363</v>
      </c>
      <c r="C11" s="4" t="s">
        <v>1018</v>
      </c>
      <c r="D11" s="16" t="s">
        <v>308</v>
      </c>
      <c r="E11" s="242">
        <v>180000</v>
      </c>
      <c r="F11" s="13"/>
    </row>
    <row r="12" customHeight="1" spans="1:6">
      <c r="A12" s="10">
        <v>6</v>
      </c>
      <c r="B12" s="11" t="s">
        <v>243</v>
      </c>
      <c r="C12" s="17" t="s">
        <v>244</v>
      </c>
      <c r="D12" s="16" t="s">
        <v>308</v>
      </c>
      <c r="E12" s="242">
        <v>180000</v>
      </c>
      <c r="F12" s="13"/>
    </row>
    <row r="13" customHeight="1" spans="1:6">
      <c r="A13" s="10">
        <v>7</v>
      </c>
      <c r="B13" s="14" t="s">
        <v>245</v>
      </c>
      <c r="C13" s="4" t="s">
        <v>246</v>
      </c>
      <c r="D13" s="16" t="s">
        <v>308</v>
      </c>
      <c r="E13" s="242">
        <v>180000</v>
      </c>
      <c r="F13" s="13"/>
    </row>
    <row r="14" customHeight="1" spans="1:6">
      <c r="A14" s="10">
        <v>8</v>
      </c>
      <c r="B14" s="11" t="s">
        <v>247</v>
      </c>
      <c r="C14" s="12" t="s">
        <v>248</v>
      </c>
      <c r="D14" s="15" t="s">
        <v>249</v>
      </c>
      <c r="E14" s="242">
        <v>126000</v>
      </c>
      <c r="F14" s="13"/>
    </row>
    <row r="15" customHeight="1" spans="1:6">
      <c r="A15" s="10">
        <v>9</v>
      </c>
      <c r="B15" s="18" t="s">
        <v>223</v>
      </c>
      <c r="C15" s="12" t="s">
        <v>224</v>
      </c>
      <c r="D15" s="10" t="s">
        <v>222</v>
      </c>
      <c r="E15" s="242">
        <v>126000</v>
      </c>
      <c r="F15" s="13"/>
    </row>
    <row r="16" customHeight="1" spans="1:6">
      <c r="A16" s="10">
        <v>10</v>
      </c>
      <c r="B16" s="19" t="s">
        <v>1109</v>
      </c>
      <c r="C16" s="4" t="s">
        <v>1110</v>
      </c>
      <c r="D16" s="16" t="s">
        <v>257</v>
      </c>
      <c r="E16" s="242">
        <v>90000</v>
      </c>
      <c r="F16" s="13"/>
    </row>
    <row r="17" ht="19.5" customHeight="1" spans="1:6">
      <c r="A17" s="10">
        <v>11</v>
      </c>
      <c r="B17" s="14" t="s">
        <v>1019</v>
      </c>
      <c r="C17" s="4" t="s">
        <v>253</v>
      </c>
      <c r="D17" s="10" t="s">
        <v>257</v>
      </c>
      <c r="E17" s="242">
        <v>90000</v>
      </c>
      <c r="F17" s="13"/>
    </row>
    <row r="18" ht="19.5" customHeight="1" spans="1:6">
      <c r="A18" s="10">
        <v>12</v>
      </c>
      <c r="B18" s="14" t="s">
        <v>1111</v>
      </c>
      <c r="C18" s="4" t="s">
        <v>1112</v>
      </c>
      <c r="D18" s="10" t="s">
        <v>257</v>
      </c>
      <c r="E18" s="242">
        <v>90000</v>
      </c>
      <c r="F18" s="13"/>
    </row>
    <row r="19" customHeight="1" spans="1:6">
      <c r="A19" s="10">
        <v>13</v>
      </c>
      <c r="B19" s="11" t="s">
        <v>252</v>
      </c>
      <c r="C19" s="4" t="s">
        <v>253</v>
      </c>
      <c r="D19" s="15" t="s">
        <v>257</v>
      </c>
      <c r="E19" s="242">
        <v>90000</v>
      </c>
      <c r="F19" s="13"/>
    </row>
    <row r="20" customHeight="1" spans="1:6">
      <c r="A20" s="10">
        <v>14</v>
      </c>
      <c r="B20" s="11" t="s">
        <v>264</v>
      </c>
      <c r="C20" s="12" t="s">
        <v>265</v>
      </c>
      <c r="D20" s="15" t="s">
        <v>950</v>
      </c>
      <c r="E20" s="242">
        <v>90000</v>
      </c>
      <c r="F20" s="13"/>
    </row>
    <row r="21" customHeight="1" spans="1:6">
      <c r="A21" s="10">
        <v>15</v>
      </c>
      <c r="B21" s="18" t="s">
        <v>267</v>
      </c>
      <c r="C21" s="4" t="s">
        <v>268</v>
      </c>
      <c r="D21" s="15" t="s">
        <v>951</v>
      </c>
      <c r="E21" s="242">
        <v>90000</v>
      </c>
      <c r="F21" s="13"/>
    </row>
    <row r="22" customHeight="1" spans="1:6">
      <c r="A22" s="10">
        <v>16</v>
      </c>
      <c r="B22" s="11" t="s">
        <v>389</v>
      </c>
      <c r="C22" s="12" t="s">
        <v>390</v>
      </c>
      <c r="D22" s="15" t="s">
        <v>271</v>
      </c>
      <c r="E22" s="242">
        <v>54000</v>
      </c>
      <c r="F22" s="13"/>
    </row>
    <row r="23" ht="18.75" customHeight="1" spans="1:6">
      <c r="A23" s="10">
        <v>17</v>
      </c>
      <c r="B23" s="11" t="s">
        <v>270</v>
      </c>
      <c r="C23" s="12" t="s">
        <v>50</v>
      </c>
      <c r="D23" s="15" t="s">
        <v>332</v>
      </c>
      <c r="E23" s="242">
        <v>54000</v>
      </c>
      <c r="F23" s="13"/>
    </row>
    <row r="24" ht="18.75" customHeight="1" spans="1:6">
      <c r="A24" s="10">
        <v>18</v>
      </c>
      <c r="B24" s="18" t="s">
        <v>1113</v>
      </c>
      <c r="C24" s="12" t="s">
        <v>293</v>
      </c>
      <c r="D24" s="15" t="s">
        <v>345</v>
      </c>
      <c r="E24" s="242">
        <v>54000</v>
      </c>
      <c r="F24" s="13"/>
    </row>
    <row r="25" ht="18.75" customHeight="1" spans="1:6">
      <c r="A25" s="10">
        <v>19</v>
      </c>
      <c r="B25" s="4" t="s">
        <v>278</v>
      </c>
      <c r="C25" s="4" t="s">
        <v>176</v>
      </c>
      <c r="D25" s="10" t="s">
        <v>283</v>
      </c>
      <c r="E25" s="242">
        <v>54000</v>
      </c>
      <c r="F25" s="13"/>
    </row>
    <row r="26" ht="18.75" customHeight="1" spans="1:6">
      <c r="A26" s="10">
        <v>20</v>
      </c>
      <c r="B26" s="18" t="s">
        <v>280</v>
      </c>
      <c r="C26" s="12" t="s">
        <v>176</v>
      </c>
      <c r="D26" s="15" t="s">
        <v>283</v>
      </c>
      <c r="E26" s="242">
        <v>54000</v>
      </c>
      <c r="F26" s="13"/>
    </row>
    <row r="27" ht="18.75" customHeight="1" spans="1:6">
      <c r="A27" s="10">
        <v>21</v>
      </c>
      <c r="B27" s="11" t="s">
        <v>1020</v>
      </c>
      <c r="C27" s="12" t="s">
        <v>1021</v>
      </c>
      <c r="D27" s="15" t="s">
        <v>283</v>
      </c>
      <c r="E27" s="242">
        <v>54000</v>
      </c>
      <c r="F27" s="13"/>
    </row>
    <row r="28" ht="18.75" customHeight="1" spans="1:6">
      <c r="A28" s="10">
        <v>22</v>
      </c>
      <c r="B28" s="18" t="s">
        <v>282</v>
      </c>
      <c r="C28" s="12" t="s">
        <v>967</v>
      </c>
      <c r="D28" s="15" t="s">
        <v>945</v>
      </c>
      <c r="E28" s="242">
        <v>54000</v>
      </c>
      <c r="F28" s="13"/>
    </row>
    <row r="29" ht="18.75" customHeight="1" spans="1:6">
      <c r="A29" s="10">
        <v>23</v>
      </c>
      <c r="B29" s="18" t="s">
        <v>284</v>
      </c>
      <c r="C29" s="4" t="s">
        <v>1022</v>
      </c>
      <c r="D29" s="10" t="s">
        <v>945</v>
      </c>
      <c r="E29" s="242">
        <v>54000</v>
      </c>
      <c r="F29" s="13"/>
    </row>
    <row r="30" ht="18.75" customHeight="1" spans="1:6">
      <c r="A30" s="10">
        <v>24</v>
      </c>
      <c r="B30" s="18" t="s">
        <v>287</v>
      </c>
      <c r="C30" s="17" t="s">
        <v>288</v>
      </c>
      <c r="D30" s="15" t="s">
        <v>283</v>
      </c>
      <c r="E30" s="242">
        <v>54000</v>
      </c>
      <c r="F30" s="13"/>
    </row>
    <row r="31" ht="18.75" customHeight="1" spans="1:6">
      <c r="A31" s="10">
        <v>25</v>
      </c>
      <c r="B31" s="18" t="s">
        <v>289</v>
      </c>
      <c r="C31" s="4" t="s">
        <v>290</v>
      </c>
      <c r="D31" s="10" t="s">
        <v>294</v>
      </c>
      <c r="E31" s="242">
        <v>54000</v>
      </c>
      <c r="F31" s="13"/>
    </row>
    <row r="32" ht="18.75" customHeight="1" spans="1:6">
      <c r="A32" s="10">
        <v>26</v>
      </c>
      <c r="B32" s="18" t="s">
        <v>933</v>
      </c>
      <c r="C32" s="12" t="s">
        <v>293</v>
      </c>
      <c r="D32" s="15" t="s">
        <v>294</v>
      </c>
      <c r="E32" s="242">
        <v>54000</v>
      </c>
      <c r="F32" s="13"/>
    </row>
    <row r="33" ht="18.75" customHeight="1" spans="1:6">
      <c r="A33" s="10">
        <v>27</v>
      </c>
      <c r="B33" s="18" t="s">
        <v>1114</v>
      </c>
      <c r="C33" s="12" t="s">
        <v>293</v>
      </c>
      <c r="D33" s="15" t="s">
        <v>294</v>
      </c>
      <c r="E33" s="242">
        <v>54000</v>
      </c>
      <c r="F33" s="13"/>
    </row>
    <row r="34" ht="18.75" customHeight="1" spans="1:6">
      <c r="A34" s="10">
        <v>28</v>
      </c>
      <c r="B34" s="18" t="s">
        <v>405</v>
      </c>
      <c r="C34" s="12" t="s">
        <v>69</v>
      </c>
      <c r="D34" s="15" t="s">
        <v>30</v>
      </c>
      <c r="E34" s="242">
        <v>54000</v>
      </c>
      <c r="F34" s="13"/>
    </row>
    <row r="35" ht="26.25" customHeight="1" spans="1:6">
      <c r="A35" s="10"/>
      <c r="B35" s="20" t="s">
        <v>33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34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295</v>
      </c>
      <c r="C38" s="4" t="s">
        <v>296</v>
      </c>
      <c r="D38" s="10" t="s">
        <v>297</v>
      </c>
      <c r="E38" s="242">
        <v>270000</v>
      </c>
      <c r="F38" s="13"/>
    </row>
    <row r="39" ht="18.75" customHeight="1" spans="1:6">
      <c r="A39" s="10">
        <v>2</v>
      </c>
      <c r="B39" s="18" t="s">
        <v>298</v>
      </c>
      <c r="C39" s="4" t="s">
        <v>537</v>
      </c>
      <c r="D39" s="10" t="s">
        <v>30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38</v>
      </c>
      <c r="C42" s="5"/>
      <c r="D42" s="24"/>
      <c r="E42" s="242"/>
      <c r="F42" s="13"/>
    </row>
    <row r="43" customHeight="1" spans="1:6">
      <c r="A43" s="10">
        <v>1</v>
      </c>
      <c r="B43" s="11" t="s">
        <v>302</v>
      </c>
      <c r="C43" s="4" t="s">
        <v>303</v>
      </c>
      <c r="D43" s="10" t="s">
        <v>297</v>
      </c>
      <c r="E43" s="242">
        <v>270000</v>
      </c>
      <c r="F43" s="13"/>
    </row>
    <row r="44" customHeight="1" spans="1:6">
      <c r="A44" s="10">
        <v>2</v>
      </c>
      <c r="B44" s="11" t="s">
        <v>304</v>
      </c>
      <c r="C44" s="4" t="s">
        <v>305</v>
      </c>
      <c r="D44" s="10" t="s">
        <v>249</v>
      </c>
      <c r="E44" s="242">
        <v>126000</v>
      </c>
      <c r="F44" s="13"/>
    </row>
    <row r="45" customHeight="1" spans="1:6">
      <c r="A45" s="10">
        <v>3</v>
      </c>
      <c r="B45" s="11" t="s">
        <v>306</v>
      </c>
      <c r="C45" s="4" t="s">
        <v>310</v>
      </c>
      <c r="D45" s="10" t="s">
        <v>249</v>
      </c>
      <c r="E45" s="242">
        <v>126000</v>
      </c>
      <c r="F45" s="13"/>
    </row>
    <row r="46" customHeight="1" spans="1:6">
      <c r="A46" s="10">
        <v>4</v>
      </c>
      <c r="B46" s="11" t="s">
        <v>309</v>
      </c>
      <c r="C46" s="4" t="s">
        <v>310</v>
      </c>
      <c r="D46" s="10" t="s">
        <v>249</v>
      </c>
      <c r="E46" s="242">
        <v>126000</v>
      </c>
      <c r="F46" s="13"/>
    </row>
    <row r="47" customHeight="1" spans="1:6">
      <c r="A47" s="10">
        <v>5</v>
      </c>
      <c r="B47" s="11" t="s">
        <v>311</v>
      </c>
      <c r="C47" s="4" t="s">
        <v>310</v>
      </c>
      <c r="D47" s="10" t="s">
        <v>327</v>
      </c>
      <c r="E47" s="242">
        <v>126000</v>
      </c>
      <c r="F47" s="13"/>
    </row>
    <row r="48" customHeight="1" spans="1:6">
      <c r="A48" s="10">
        <v>6</v>
      </c>
      <c r="B48" s="11" t="s">
        <v>312</v>
      </c>
      <c r="C48" s="4" t="s">
        <v>259</v>
      </c>
      <c r="D48" s="10" t="s">
        <v>257</v>
      </c>
      <c r="E48" s="242">
        <v>90000</v>
      </c>
      <c r="F48" s="13"/>
    </row>
    <row r="49" customHeight="1" spans="1:6">
      <c r="A49" s="10">
        <v>7</v>
      </c>
      <c r="B49" s="14" t="s">
        <v>313</v>
      </c>
      <c r="C49" s="4" t="s">
        <v>256</v>
      </c>
      <c r="D49" s="16" t="s">
        <v>257</v>
      </c>
      <c r="E49" s="242">
        <v>90000</v>
      </c>
      <c r="F49" s="13"/>
    </row>
    <row r="50" customHeight="1" spans="1:6">
      <c r="A50" s="10">
        <v>8</v>
      </c>
      <c r="B50" s="11" t="s">
        <v>1025</v>
      </c>
      <c r="C50" s="4" t="s">
        <v>256</v>
      </c>
      <c r="D50" s="10" t="s">
        <v>342</v>
      </c>
      <c r="E50" s="242">
        <v>90000</v>
      </c>
      <c r="F50" s="13"/>
    </row>
    <row r="51" customHeight="1" spans="1:6">
      <c r="A51" s="10">
        <v>9</v>
      </c>
      <c r="B51" s="11" t="s">
        <v>258</v>
      </c>
      <c r="C51" s="4" t="s">
        <v>353</v>
      </c>
      <c r="D51" s="10" t="s">
        <v>266</v>
      </c>
      <c r="E51" s="242">
        <v>90000</v>
      </c>
      <c r="F51" s="13"/>
    </row>
    <row r="52" customHeight="1" spans="1:6">
      <c r="A52" s="10">
        <v>10</v>
      </c>
      <c r="B52" s="11" t="s">
        <v>315</v>
      </c>
      <c r="C52" s="4" t="s">
        <v>63</v>
      </c>
      <c r="D52" s="10" t="s">
        <v>24</v>
      </c>
      <c r="E52" s="242">
        <v>54000</v>
      </c>
      <c r="F52" s="13"/>
    </row>
    <row r="53" customHeight="1" spans="1:6">
      <c r="A53" s="10">
        <v>11</v>
      </c>
      <c r="B53" s="11" t="s">
        <v>316</v>
      </c>
      <c r="C53" s="4" t="s">
        <v>63</v>
      </c>
      <c r="D53" s="10" t="s">
        <v>24</v>
      </c>
      <c r="E53" s="242">
        <v>54000</v>
      </c>
      <c r="F53" s="13"/>
    </row>
    <row r="54" customHeight="1" spans="1:6">
      <c r="A54" s="10">
        <v>12</v>
      </c>
      <c r="B54" s="11" t="s">
        <v>317</v>
      </c>
      <c r="C54" s="4" t="s">
        <v>63</v>
      </c>
      <c r="D54" s="10" t="s">
        <v>24</v>
      </c>
      <c r="E54" s="242">
        <v>54000</v>
      </c>
      <c r="F54" s="13"/>
    </row>
    <row r="55" ht="25.5" customHeight="1" spans="1:6">
      <c r="A55" s="10"/>
      <c r="B55" s="20" t="s">
        <v>33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318</v>
      </c>
      <c r="C57" s="21"/>
      <c r="D57" s="21"/>
      <c r="E57" s="246"/>
      <c r="F57" s="13"/>
    </row>
    <row r="58" customHeight="1" spans="1:6">
      <c r="A58" s="10">
        <v>1</v>
      </c>
      <c r="B58" s="11" t="s">
        <v>319</v>
      </c>
      <c r="C58" s="12" t="s">
        <v>320</v>
      </c>
      <c r="D58" s="15" t="s">
        <v>297</v>
      </c>
      <c r="E58" s="242">
        <v>270000</v>
      </c>
      <c r="F58" s="13"/>
    </row>
    <row r="59" customHeight="1" spans="1:6">
      <c r="A59" s="10">
        <v>2</v>
      </c>
      <c r="B59" s="11" t="s">
        <v>321</v>
      </c>
      <c r="C59" s="12" t="s">
        <v>322</v>
      </c>
      <c r="D59" s="15" t="s">
        <v>222</v>
      </c>
      <c r="E59" s="242">
        <v>126000</v>
      </c>
      <c r="F59" s="13"/>
    </row>
    <row r="60" customHeight="1" spans="1:6">
      <c r="A60" s="10"/>
      <c r="B60" s="20" t="s">
        <v>33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44</v>
      </c>
      <c r="C62" s="21"/>
      <c r="D62" s="21"/>
      <c r="E62" s="246"/>
      <c r="F62" s="13"/>
    </row>
    <row r="63" customHeight="1" spans="1:6">
      <c r="A63" s="10">
        <v>1</v>
      </c>
      <c r="B63" s="11" t="s">
        <v>323</v>
      </c>
      <c r="C63" s="17" t="s">
        <v>324</v>
      </c>
      <c r="D63" s="10" t="s">
        <v>297</v>
      </c>
      <c r="E63" s="242">
        <v>270000</v>
      </c>
      <c r="F63" s="13"/>
    </row>
    <row r="64" customHeight="1" spans="1:6">
      <c r="A64" s="10">
        <v>2</v>
      </c>
      <c r="B64" s="18" t="s">
        <v>325</v>
      </c>
      <c r="C64" s="17" t="s">
        <v>326</v>
      </c>
      <c r="D64" s="15" t="s">
        <v>952</v>
      </c>
      <c r="E64" s="242">
        <v>126000</v>
      </c>
      <c r="F64" s="13"/>
    </row>
    <row r="65" customHeight="1" spans="1:6">
      <c r="A65" s="10">
        <v>3</v>
      </c>
      <c r="B65" s="11" t="s">
        <v>328</v>
      </c>
      <c r="C65" s="4" t="s">
        <v>46</v>
      </c>
      <c r="D65" s="10" t="s">
        <v>266</v>
      </c>
      <c r="E65" s="242">
        <v>90000</v>
      </c>
      <c r="F65" s="13"/>
    </row>
    <row r="66" customHeight="1" spans="1:6">
      <c r="A66" s="10">
        <v>4</v>
      </c>
      <c r="B66" s="18" t="s">
        <v>329</v>
      </c>
      <c r="C66" s="17" t="s">
        <v>46</v>
      </c>
      <c r="D66" s="15" t="s">
        <v>950</v>
      </c>
      <c r="E66" s="242">
        <v>90000</v>
      </c>
      <c r="F66" s="13"/>
    </row>
    <row r="67" customHeight="1" spans="1:6">
      <c r="A67" s="10">
        <v>5</v>
      </c>
      <c r="B67" s="14" t="s">
        <v>330</v>
      </c>
      <c r="C67" s="17" t="s">
        <v>256</v>
      </c>
      <c r="D67" s="15" t="s">
        <v>257</v>
      </c>
      <c r="E67" s="242">
        <v>90000</v>
      </c>
      <c r="F67" s="13"/>
    </row>
    <row r="68" customHeight="1" spans="1:6">
      <c r="A68" s="10">
        <v>6</v>
      </c>
      <c r="B68" s="14" t="s">
        <v>255</v>
      </c>
      <c r="C68" s="17" t="s">
        <v>256</v>
      </c>
      <c r="D68" s="15" t="s">
        <v>342</v>
      </c>
      <c r="E68" s="242">
        <v>90000</v>
      </c>
      <c r="F68" s="13"/>
    </row>
    <row r="69" customHeight="1" spans="1:6">
      <c r="A69" s="10">
        <v>7</v>
      </c>
      <c r="B69" s="11" t="s">
        <v>331</v>
      </c>
      <c r="C69" s="4" t="s">
        <v>63</v>
      </c>
      <c r="D69" s="10" t="s">
        <v>41</v>
      </c>
      <c r="E69" s="242">
        <v>54000</v>
      </c>
      <c r="F69" s="13"/>
    </row>
    <row r="70" customHeight="1" spans="1:6">
      <c r="A70" s="10">
        <v>8</v>
      </c>
      <c r="B70" s="11" t="s">
        <v>333</v>
      </c>
      <c r="C70" s="17" t="s">
        <v>275</v>
      </c>
      <c r="D70" s="15" t="s">
        <v>41</v>
      </c>
      <c r="E70" s="242">
        <v>54000</v>
      </c>
      <c r="F70" s="13"/>
    </row>
    <row r="71" customHeight="1" spans="1:6">
      <c r="A71" s="10">
        <v>9</v>
      </c>
      <c r="B71" s="11" t="s">
        <v>334</v>
      </c>
      <c r="C71" s="17" t="s">
        <v>275</v>
      </c>
      <c r="D71" s="15" t="s">
        <v>41</v>
      </c>
      <c r="E71" s="242">
        <v>54000</v>
      </c>
      <c r="F71" s="13"/>
    </row>
    <row r="72" customHeight="1" spans="1:6">
      <c r="A72" s="10">
        <v>10</v>
      </c>
      <c r="B72" s="11" t="s">
        <v>335</v>
      </c>
      <c r="C72" s="4" t="s">
        <v>336</v>
      </c>
      <c r="D72" s="10" t="s">
        <v>332</v>
      </c>
      <c r="E72" s="242">
        <v>54000</v>
      </c>
      <c r="F72" s="13"/>
    </row>
    <row r="73" customHeight="1" spans="1:6">
      <c r="A73" s="10">
        <v>11</v>
      </c>
      <c r="B73" s="11" t="s">
        <v>1115</v>
      </c>
      <c r="C73" s="17" t="s">
        <v>63</v>
      </c>
      <c r="D73" s="10" t="s">
        <v>301</v>
      </c>
      <c r="E73" s="242">
        <v>54000</v>
      </c>
      <c r="F73" s="13"/>
    </row>
    <row r="74" customHeight="1" spans="1:6">
      <c r="A74" s="10">
        <v>12</v>
      </c>
      <c r="B74" s="11" t="s">
        <v>281</v>
      </c>
      <c r="C74" s="17" t="s">
        <v>273</v>
      </c>
      <c r="D74" s="10" t="s">
        <v>283</v>
      </c>
      <c r="E74" s="242">
        <v>54000</v>
      </c>
      <c r="F74" s="13"/>
    </row>
    <row r="75" customHeight="1" spans="1:6">
      <c r="A75" s="10">
        <v>13</v>
      </c>
      <c r="B75" s="14" t="s">
        <v>272</v>
      </c>
      <c r="C75" s="17" t="s">
        <v>273</v>
      </c>
      <c r="D75" s="10" t="s">
        <v>294</v>
      </c>
      <c r="E75" s="242">
        <v>54000</v>
      </c>
      <c r="F75" s="13"/>
    </row>
    <row r="76" customHeight="1" spans="1:6">
      <c r="A76" s="10"/>
      <c r="B76" s="20" t="s">
        <v>33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51</v>
      </c>
      <c r="C78" s="21"/>
      <c r="D78" s="21"/>
      <c r="E78" s="246"/>
      <c r="F78" s="13"/>
    </row>
    <row r="79" customHeight="1" spans="1:6">
      <c r="A79" s="10">
        <v>1</v>
      </c>
      <c r="B79" s="11" t="s">
        <v>338</v>
      </c>
      <c r="C79" s="4" t="s">
        <v>339</v>
      </c>
      <c r="D79" s="10" t="s">
        <v>297</v>
      </c>
      <c r="E79" s="242">
        <v>270000</v>
      </c>
      <c r="F79" s="13"/>
    </row>
    <row r="80" customHeight="1" spans="1:6">
      <c r="A80" s="10">
        <v>2</v>
      </c>
      <c r="B80" s="14" t="s">
        <v>220</v>
      </c>
      <c r="C80" s="4" t="s">
        <v>221</v>
      </c>
      <c r="D80" s="15" t="s">
        <v>952</v>
      </c>
      <c r="E80" s="242">
        <v>126000</v>
      </c>
      <c r="F80" s="13"/>
    </row>
    <row r="81" customHeight="1" spans="1:6">
      <c r="A81" s="10">
        <v>3</v>
      </c>
      <c r="B81" s="14" t="s">
        <v>1116</v>
      </c>
      <c r="C81" s="4" t="s">
        <v>1117</v>
      </c>
      <c r="D81" s="15" t="s">
        <v>952</v>
      </c>
      <c r="E81" s="242">
        <v>126000</v>
      </c>
      <c r="F81" s="13"/>
    </row>
    <row r="82" customHeight="1" spans="1:6">
      <c r="A82" s="10">
        <v>4</v>
      </c>
      <c r="B82" s="11" t="s">
        <v>340</v>
      </c>
      <c r="C82" s="4" t="s">
        <v>968</v>
      </c>
      <c r="D82" s="15" t="s">
        <v>266</v>
      </c>
      <c r="E82" s="242">
        <v>90000</v>
      </c>
      <c r="F82" s="13"/>
    </row>
    <row r="83" customHeight="1" spans="1:6">
      <c r="A83" s="10">
        <v>5</v>
      </c>
      <c r="B83" s="11" t="s">
        <v>343</v>
      </c>
      <c r="C83" s="4" t="s">
        <v>344</v>
      </c>
      <c r="D83" s="10" t="s">
        <v>301</v>
      </c>
      <c r="E83" s="242">
        <v>54000</v>
      </c>
      <c r="F83" s="13"/>
    </row>
    <row r="84" customHeight="1" spans="1:6">
      <c r="A84" s="10"/>
      <c r="B84" s="20" t="s">
        <v>33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56</v>
      </c>
      <c r="C86" s="25"/>
      <c r="D86" s="21"/>
      <c r="E86" s="242"/>
      <c r="F86" s="13"/>
    </row>
    <row r="87" customHeight="1" spans="1:6">
      <c r="A87" s="10">
        <v>1</v>
      </c>
      <c r="B87" s="11" t="s">
        <v>349</v>
      </c>
      <c r="C87" s="4" t="s">
        <v>310</v>
      </c>
      <c r="D87" s="10" t="s">
        <v>249</v>
      </c>
      <c r="E87" s="242">
        <v>126000</v>
      </c>
      <c r="F87" s="13"/>
    </row>
    <row r="88" customHeight="1" spans="1:6">
      <c r="A88" s="10">
        <v>2</v>
      </c>
      <c r="B88" s="11" t="s">
        <v>350</v>
      </c>
      <c r="C88" s="4" t="s">
        <v>310</v>
      </c>
      <c r="D88" s="10" t="s">
        <v>249</v>
      </c>
      <c r="E88" s="242">
        <v>126000</v>
      </c>
      <c r="F88" s="13"/>
    </row>
    <row r="89" customHeight="1" spans="1:6">
      <c r="A89" s="10">
        <v>3</v>
      </c>
      <c r="B89" s="14" t="s">
        <v>386</v>
      </c>
      <c r="C89" s="4" t="s">
        <v>256</v>
      </c>
      <c r="D89" s="10" t="s">
        <v>254</v>
      </c>
      <c r="E89" s="242">
        <v>90000</v>
      </c>
      <c r="F89" s="13"/>
    </row>
    <row r="90" customHeight="1" spans="1:6">
      <c r="A90" s="10">
        <v>4</v>
      </c>
      <c r="B90" s="11" t="s">
        <v>351</v>
      </c>
      <c r="C90" s="4" t="s">
        <v>259</v>
      </c>
      <c r="D90" s="10" t="s">
        <v>257</v>
      </c>
      <c r="E90" s="242">
        <v>90000</v>
      </c>
      <c r="F90" s="13"/>
    </row>
    <row r="91" ht="21.6" customHeight="1" spans="1:6">
      <c r="A91" s="10">
        <v>5</v>
      </c>
      <c r="B91" s="11" t="s">
        <v>352</v>
      </c>
      <c r="C91" s="4" t="s">
        <v>353</v>
      </c>
      <c r="D91" s="15" t="s">
        <v>266</v>
      </c>
      <c r="E91" s="242">
        <v>90000</v>
      </c>
      <c r="F91" s="13"/>
    </row>
    <row r="92" ht="21.6" customHeight="1" spans="1:6">
      <c r="A92" s="10">
        <v>6</v>
      </c>
      <c r="B92" s="11" t="s">
        <v>354</v>
      </c>
      <c r="C92" s="12" t="s">
        <v>46</v>
      </c>
      <c r="D92" s="15" t="s">
        <v>950</v>
      </c>
      <c r="E92" s="242">
        <v>90000</v>
      </c>
      <c r="F92" s="13"/>
    </row>
    <row r="93" ht="21.6" customHeight="1" spans="1:6">
      <c r="A93" s="10">
        <v>7</v>
      </c>
      <c r="B93" s="11" t="s">
        <v>355</v>
      </c>
      <c r="C93" s="12" t="s">
        <v>46</v>
      </c>
      <c r="D93" s="15" t="s">
        <v>950</v>
      </c>
      <c r="E93" s="242">
        <v>90000</v>
      </c>
      <c r="F93" s="13"/>
    </row>
    <row r="94" ht="21.6" customHeight="1" spans="1:6">
      <c r="A94" s="10">
        <v>8</v>
      </c>
      <c r="B94" s="11" t="s">
        <v>357</v>
      </c>
      <c r="C94" s="17" t="s">
        <v>275</v>
      </c>
      <c r="D94" s="15" t="s">
        <v>41</v>
      </c>
      <c r="E94" s="242">
        <v>54000</v>
      </c>
      <c r="F94" s="13"/>
    </row>
    <row r="95" ht="21.6" customHeight="1" spans="1:6">
      <c r="A95" s="10">
        <v>9</v>
      </c>
      <c r="B95" s="11" t="s">
        <v>359</v>
      </c>
      <c r="C95" s="4" t="s">
        <v>360</v>
      </c>
      <c r="D95" s="10" t="s">
        <v>37</v>
      </c>
      <c r="E95" s="242">
        <v>54000</v>
      </c>
      <c r="F95" s="13"/>
    </row>
    <row r="96" ht="21.6" customHeight="1" spans="1:6">
      <c r="A96" s="10">
        <v>10</v>
      </c>
      <c r="B96" s="11" t="s">
        <v>361</v>
      </c>
      <c r="C96" s="17" t="s">
        <v>362</v>
      </c>
      <c r="D96" s="15" t="s">
        <v>294</v>
      </c>
      <c r="E96" s="242">
        <v>54000</v>
      </c>
      <c r="F96" s="13"/>
    </row>
    <row r="97" customHeight="1" spans="1:6">
      <c r="A97" s="10"/>
      <c r="B97" s="20" t="s">
        <v>33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58</v>
      </c>
      <c r="C99" s="21"/>
      <c r="D99" s="21"/>
      <c r="E99" s="246"/>
      <c r="F99" s="13"/>
    </row>
    <row r="100" customHeight="1" spans="1:6">
      <c r="A100" s="10">
        <v>1</v>
      </c>
      <c r="B100" s="18" t="s">
        <v>232</v>
      </c>
      <c r="C100" s="10" t="s">
        <v>233</v>
      </c>
      <c r="D100" s="15" t="s">
        <v>308</v>
      </c>
      <c r="E100" s="242">
        <v>180000</v>
      </c>
      <c r="F100" s="13"/>
    </row>
    <row r="101" customHeight="1" spans="1:6">
      <c r="A101" s="10">
        <v>2</v>
      </c>
      <c r="B101" s="11" t="s">
        <v>250</v>
      </c>
      <c r="C101" s="4" t="s">
        <v>367</v>
      </c>
      <c r="D101" s="10" t="s">
        <v>257</v>
      </c>
      <c r="E101" s="242">
        <v>90000</v>
      </c>
      <c r="F101" s="13"/>
    </row>
    <row r="102" customHeight="1" spans="1:6">
      <c r="A102" s="10">
        <v>3</v>
      </c>
      <c r="B102" s="11" t="s">
        <v>368</v>
      </c>
      <c r="C102" s="4" t="s">
        <v>369</v>
      </c>
      <c r="D102" s="15" t="s">
        <v>332</v>
      </c>
      <c r="E102" s="242">
        <v>54000</v>
      </c>
      <c r="F102" s="13"/>
    </row>
    <row r="103" customHeight="1" spans="1:6">
      <c r="A103" s="10">
        <v>4</v>
      </c>
      <c r="B103" s="11" t="s">
        <v>1118</v>
      </c>
      <c r="C103" s="4" t="s">
        <v>1119</v>
      </c>
      <c r="D103" s="15" t="s">
        <v>945</v>
      </c>
      <c r="E103" s="242">
        <v>54000</v>
      </c>
      <c r="F103" s="13"/>
    </row>
    <row r="104" customHeight="1" spans="1:6">
      <c r="A104" s="4"/>
      <c r="B104" s="20" t="s">
        <v>33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372</v>
      </c>
      <c r="C106" s="4"/>
      <c r="D106" s="4"/>
      <c r="E106" s="247"/>
      <c r="F106" s="13"/>
    </row>
    <row r="107" customHeight="1" spans="1:6">
      <c r="A107" s="4">
        <v>1</v>
      </c>
      <c r="B107" s="11" t="s">
        <v>373</v>
      </c>
      <c r="C107" s="12" t="s">
        <v>374</v>
      </c>
      <c r="D107" s="15" t="s">
        <v>297</v>
      </c>
      <c r="E107" s="242">
        <v>270000</v>
      </c>
      <c r="F107" s="13"/>
    </row>
    <row r="108" customHeight="1" spans="1:6">
      <c r="A108" s="4">
        <v>2</v>
      </c>
      <c r="B108" s="11" t="s">
        <v>375</v>
      </c>
      <c r="C108" s="4" t="s">
        <v>376</v>
      </c>
      <c r="D108" s="16" t="s">
        <v>308</v>
      </c>
      <c r="E108" s="242">
        <v>180000</v>
      </c>
      <c r="F108" s="13"/>
    </row>
    <row r="109" customHeight="1" spans="1:6">
      <c r="A109" s="4">
        <v>3</v>
      </c>
      <c r="B109" s="11" t="s">
        <v>377</v>
      </c>
      <c r="C109" s="4" t="s">
        <v>378</v>
      </c>
      <c r="D109" s="10" t="s">
        <v>263</v>
      </c>
      <c r="E109" s="242">
        <v>90000</v>
      </c>
      <c r="F109" s="13"/>
    </row>
    <row r="110" customHeight="1" spans="1:6">
      <c r="A110" s="4">
        <v>4</v>
      </c>
      <c r="B110" s="11" t="s">
        <v>379</v>
      </c>
      <c r="C110" s="4" t="s">
        <v>378</v>
      </c>
      <c r="D110" s="10" t="s">
        <v>263</v>
      </c>
      <c r="E110" s="242">
        <v>90000</v>
      </c>
      <c r="F110" s="13"/>
    </row>
    <row r="111" customHeight="1" spans="1:6">
      <c r="A111" s="4">
        <v>5</v>
      </c>
      <c r="B111" s="11" t="s">
        <v>380</v>
      </c>
      <c r="C111" s="4" t="s">
        <v>381</v>
      </c>
      <c r="D111" s="15" t="s">
        <v>384</v>
      </c>
      <c r="E111" s="242">
        <v>54000</v>
      </c>
      <c r="F111" s="13"/>
    </row>
    <row r="112" customHeight="1" spans="1:6">
      <c r="A112" s="4">
        <v>6</v>
      </c>
      <c r="B112" s="18" t="s">
        <v>383</v>
      </c>
      <c r="C112" s="4" t="s">
        <v>381</v>
      </c>
      <c r="D112" s="10" t="s">
        <v>945</v>
      </c>
      <c r="E112" s="242">
        <v>54000</v>
      </c>
      <c r="F112" s="13"/>
    </row>
    <row r="113" customHeight="1" spans="1:6">
      <c r="A113" s="4">
        <v>7</v>
      </c>
      <c r="B113" s="18" t="s">
        <v>385</v>
      </c>
      <c r="C113" s="4" t="s">
        <v>381</v>
      </c>
      <c r="D113" s="15" t="s">
        <v>294</v>
      </c>
      <c r="E113" s="242">
        <v>54000</v>
      </c>
      <c r="F113" s="13"/>
    </row>
    <row r="114" customHeight="1" spans="1:6">
      <c r="A114" s="4"/>
      <c r="B114" s="20" t="s">
        <v>33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1125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1033</v>
      </c>
      <c r="C117" s="17" t="s">
        <v>275</v>
      </c>
      <c r="D117" s="15" t="s">
        <v>271</v>
      </c>
      <c r="E117" s="242">
        <v>54000</v>
      </c>
      <c r="F117" s="13"/>
    </row>
    <row r="118" ht="27" customHeight="1" spans="1:6">
      <c r="A118" s="10">
        <v>2</v>
      </c>
      <c r="B118" s="11" t="s">
        <v>387</v>
      </c>
      <c r="C118" s="4" t="s">
        <v>388</v>
      </c>
      <c r="D118" s="15" t="s">
        <v>332</v>
      </c>
      <c r="E118" s="242">
        <v>54000</v>
      </c>
      <c r="F118" s="13"/>
    </row>
    <row r="119" ht="27" customHeight="1" spans="1:6">
      <c r="A119" s="4"/>
      <c r="B119" s="20" t="s">
        <v>33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67</v>
      </c>
      <c r="C121" s="21"/>
      <c r="D121" s="21"/>
      <c r="E121" s="242"/>
      <c r="F121" s="13"/>
    </row>
    <row r="122" customHeight="1" spans="1:6">
      <c r="A122" s="4">
        <v>1</v>
      </c>
      <c r="B122" s="11" t="s">
        <v>392</v>
      </c>
      <c r="C122" s="12" t="s">
        <v>393</v>
      </c>
      <c r="D122" s="15" t="s">
        <v>297</v>
      </c>
      <c r="E122" s="242">
        <v>270000</v>
      </c>
      <c r="F122" s="13"/>
    </row>
    <row r="123" customHeight="1" spans="1:6">
      <c r="A123" s="4">
        <v>2</v>
      </c>
      <c r="B123" s="11" t="s">
        <v>128</v>
      </c>
      <c r="C123" s="12" t="s">
        <v>227</v>
      </c>
      <c r="D123" s="15" t="s">
        <v>249</v>
      </c>
      <c r="E123" s="242">
        <v>126000</v>
      </c>
      <c r="F123" s="13"/>
    </row>
    <row r="124" customHeight="1" spans="1:6">
      <c r="A124" s="4">
        <v>3</v>
      </c>
      <c r="B124" s="14" t="s">
        <v>395</v>
      </c>
      <c r="C124" s="12" t="s">
        <v>227</v>
      </c>
      <c r="D124" s="15" t="s">
        <v>249</v>
      </c>
      <c r="E124" s="242">
        <v>126000</v>
      </c>
      <c r="F124" s="13"/>
    </row>
    <row r="125" customHeight="1" spans="1:6">
      <c r="A125" s="4">
        <v>4</v>
      </c>
      <c r="B125" s="14" t="s">
        <v>226</v>
      </c>
      <c r="C125" s="12" t="s">
        <v>227</v>
      </c>
      <c r="D125" s="15" t="s">
        <v>228</v>
      </c>
      <c r="E125" s="242">
        <v>126000</v>
      </c>
      <c r="F125" s="13"/>
    </row>
    <row r="126" customHeight="1" spans="1:6">
      <c r="A126" s="4">
        <v>5</v>
      </c>
      <c r="B126" s="11" t="s">
        <v>396</v>
      </c>
      <c r="C126" s="12" t="s">
        <v>397</v>
      </c>
      <c r="D126" s="15" t="s">
        <v>342</v>
      </c>
      <c r="E126" s="242">
        <v>90000</v>
      </c>
      <c r="F126" s="13"/>
    </row>
    <row r="127" customHeight="1" spans="1:6">
      <c r="A127" s="4">
        <v>6</v>
      </c>
      <c r="B127" s="11" t="s">
        <v>398</v>
      </c>
      <c r="C127" s="12" t="s">
        <v>399</v>
      </c>
      <c r="D127" s="15" t="s">
        <v>266</v>
      </c>
      <c r="E127" s="242">
        <v>90000</v>
      </c>
      <c r="F127" s="13"/>
    </row>
    <row r="128" customHeight="1" spans="1:6">
      <c r="A128" s="4">
        <v>7</v>
      </c>
      <c r="B128" s="11" t="s">
        <v>400</v>
      </c>
      <c r="C128" s="12" t="s">
        <v>970</v>
      </c>
      <c r="D128" s="15" t="s">
        <v>266</v>
      </c>
      <c r="E128" s="242">
        <v>90000</v>
      </c>
      <c r="F128" s="13"/>
    </row>
    <row r="129" customHeight="1" spans="1:6">
      <c r="A129" s="4">
        <v>8</v>
      </c>
      <c r="B129" s="11" t="s">
        <v>401</v>
      </c>
      <c r="C129" s="12" t="s">
        <v>402</v>
      </c>
      <c r="D129" s="10" t="s">
        <v>283</v>
      </c>
      <c r="E129" s="242">
        <v>54000</v>
      </c>
      <c r="F129" s="13"/>
    </row>
    <row r="130" customHeight="1" spans="1:6">
      <c r="A130" s="4">
        <v>9</v>
      </c>
      <c r="B130" s="18" t="s">
        <v>403</v>
      </c>
      <c r="C130" s="12" t="s">
        <v>404</v>
      </c>
      <c r="D130" s="15" t="s">
        <v>294</v>
      </c>
      <c r="E130" s="242">
        <v>54000</v>
      </c>
      <c r="F130" s="13"/>
    </row>
    <row r="131" customHeight="1" spans="1:6">
      <c r="A131" s="4"/>
      <c r="B131" s="20" t="s">
        <v>33</v>
      </c>
      <c r="C131" s="26" t="s">
        <v>1120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71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407</v>
      </c>
      <c r="C134" s="12" t="s">
        <v>408</v>
      </c>
      <c r="D134" s="15" t="s">
        <v>297</v>
      </c>
      <c r="E134" s="242">
        <v>270000</v>
      </c>
      <c r="F134" s="13"/>
    </row>
    <row r="135" customHeight="1" spans="1:6">
      <c r="A135" s="27">
        <v>2</v>
      </c>
      <c r="B135" s="11" t="s">
        <v>229</v>
      </c>
      <c r="C135" s="12" t="s">
        <v>230</v>
      </c>
      <c r="D135" s="15" t="s">
        <v>231</v>
      </c>
      <c r="E135" s="242">
        <v>180000</v>
      </c>
      <c r="F135" s="13"/>
    </row>
    <row r="136" customHeight="1" spans="1:6">
      <c r="A136" s="27">
        <v>3</v>
      </c>
      <c r="B136" s="14" t="s">
        <v>409</v>
      </c>
      <c r="C136" s="4" t="s">
        <v>410</v>
      </c>
      <c r="D136" s="16" t="s">
        <v>308</v>
      </c>
      <c r="E136" s="242">
        <v>180000</v>
      </c>
      <c r="F136" s="13"/>
    </row>
    <row r="137" customHeight="1" spans="1:6">
      <c r="A137" s="27">
        <v>4</v>
      </c>
      <c r="B137" s="11" t="s">
        <v>411</v>
      </c>
      <c r="C137" s="12" t="s">
        <v>412</v>
      </c>
      <c r="D137" s="15" t="s">
        <v>257</v>
      </c>
      <c r="E137" s="242">
        <v>90000</v>
      </c>
      <c r="F137" s="13"/>
    </row>
    <row r="138" customHeight="1" spans="1:6">
      <c r="A138" s="27">
        <v>5</v>
      </c>
      <c r="B138" s="11" t="s">
        <v>413</v>
      </c>
      <c r="C138" s="4" t="s">
        <v>414</v>
      </c>
      <c r="D138" s="15" t="s">
        <v>257</v>
      </c>
      <c r="E138" s="242">
        <v>90000</v>
      </c>
      <c r="F138" s="13"/>
    </row>
    <row r="139" customHeight="1" spans="1:6">
      <c r="A139" s="27">
        <v>6</v>
      </c>
      <c r="B139" s="11" t="s">
        <v>366</v>
      </c>
      <c r="C139" s="4" t="s">
        <v>420</v>
      </c>
      <c r="D139" s="15" t="s">
        <v>266</v>
      </c>
      <c r="E139" s="242">
        <v>90000</v>
      </c>
      <c r="F139" s="13"/>
    </row>
    <row r="140" customHeight="1" spans="1:6">
      <c r="A140" s="27">
        <v>7</v>
      </c>
      <c r="B140" s="11" t="s">
        <v>416</v>
      </c>
      <c r="C140" s="12" t="s">
        <v>417</v>
      </c>
      <c r="D140" s="15" t="s">
        <v>271</v>
      </c>
      <c r="E140" s="242">
        <v>54000</v>
      </c>
      <c r="F140" s="13"/>
    </row>
    <row r="141" customHeight="1" spans="1:6">
      <c r="A141" s="27">
        <v>8</v>
      </c>
      <c r="B141" s="11" t="s">
        <v>418</v>
      </c>
      <c r="C141" s="12" t="s">
        <v>417</v>
      </c>
      <c r="D141" s="15" t="s">
        <v>271</v>
      </c>
      <c r="E141" s="242">
        <v>54000</v>
      </c>
      <c r="F141" s="13"/>
    </row>
    <row r="142" customHeight="1" spans="1:6">
      <c r="A142" s="27">
        <v>9</v>
      </c>
      <c r="B142" s="11" t="s">
        <v>419</v>
      </c>
      <c r="C142" s="4" t="s">
        <v>420</v>
      </c>
      <c r="D142" s="15" t="s">
        <v>271</v>
      </c>
      <c r="E142" s="242">
        <v>54000</v>
      </c>
      <c r="F142" s="13"/>
    </row>
    <row r="143" customHeight="1" spans="1:6">
      <c r="A143" s="27">
        <v>10</v>
      </c>
      <c r="B143" s="11" t="s">
        <v>421</v>
      </c>
      <c r="C143" s="12" t="s">
        <v>426</v>
      </c>
      <c r="D143" s="15" t="s">
        <v>332</v>
      </c>
      <c r="E143" s="242">
        <v>54000</v>
      </c>
      <c r="F143" s="13"/>
    </row>
    <row r="144" customHeight="1" spans="1:6">
      <c r="A144" s="27">
        <v>11</v>
      </c>
      <c r="B144" s="11" t="s">
        <v>423</v>
      </c>
      <c r="C144" s="12" t="s">
        <v>971</v>
      </c>
      <c r="D144" s="15" t="s">
        <v>432</v>
      </c>
      <c r="E144" s="242">
        <v>54000</v>
      </c>
      <c r="F144" s="13"/>
    </row>
    <row r="145" customHeight="1" spans="1:6">
      <c r="A145" s="27">
        <v>12</v>
      </c>
      <c r="B145" s="11" t="s">
        <v>425</v>
      </c>
      <c r="C145" s="12" t="s">
        <v>426</v>
      </c>
      <c r="D145" s="15" t="s">
        <v>271</v>
      </c>
      <c r="E145" s="242">
        <v>54000</v>
      </c>
      <c r="F145" s="13"/>
    </row>
    <row r="146" customHeight="1" spans="1:6">
      <c r="A146" s="27">
        <v>13</v>
      </c>
      <c r="B146" s="18" t="s">
        <v>427</v>
      </c>
      <c r="C146" s="4" t="s">
        <v>437</v>
      </c>
      <c r="D146" s="15" t="s">
        <v>432</v>
      </c>
      <c r="E146" s="242">
        <v>54000</v>
      </c>
      <c r="F146" s="13"/>
    </row>
    <row r="147" customHeight="1" spans="1:6">
      <c r="A147" s="27">
        <v>14</v>
      </c>
      <c r="B147" s="11" t="s">
        <v>429</v>
      </c>
      <c r="C147" s="4" t="s">
        <v>430</v>
      </c>
      <c r="D147" s="15" t="s">
        <v>301</v>
      </c>
      <c r="E147" s="242">
        <v>54000</v>
      </c>
      <c r="F147" s="13"/>
    </row>
    <row r="148" customHeight="1" spans="1:6">
      <c r="A148" s="27">
        <v>15</v>
      </c>
      <c r="B148" s="11" t="s">
        <v>431</v>
      </c>
      <c r="C148" s="4" t="s">
        <v>430</v>
      </c>
      <c r="D148" s="15" t="s">
        <v>345</v>
      </c>
      <c r="E148" s="242">
        <v>54000</v>
      </c>
      <c r="F148" s="13"/>
    </row>
    <row r="149" customHeight="1" spans="1:6">
      <c r="A149" s="27">
        <v>16</v>
      </c>
      <c r="B149" s="11" t="s">
        <v>433</v>
      </c>
      <c r="C149" s="4" t="s">
        <v>430</v>
      </c>
      <c r="D149" s="15" t="s">
        <v>345</v>
      </c>
      <c r="E149" s="242">
        <v>54000</v>
      </c>
      <c r="F149" s="13"/>
    </row>
    <row r="150" customHeight="1" spans="1:6">
      <c r="A150" s="27">
        <v>17</v>
      </c>
      <c r="B150" s="11" t="s">
        <v>434</v>
      </c>
      <c r="C150" s="12" t="s">
        <v>435</v>
      </c>
      <c r="D150" s="15" t="s">
        <v>37</v>
      </c>
      <c r="E150" s="242">
        <v>54000</v>
      </c>
      <c r="F150" s="13"/>
    </row>
    <row r="151" customHeight="1" spans="1:6">
      <c r="A151" s="27">
        <v>18</v>
      </c>
      <c r="B151" s="11" t="s">
        <v>953</v>
      </c>
      <c r="C151" s="12" t="s">
        <v>437</v>
      </c>
      <c r="D151" s="10" t="s">
        <v>24</v>
      </c>
      <c r="E151" s="242">
        <v>54000</v>
      </c>
      <c r="F151" s="13"/>
    </row>
    <row r="152" customHeight="1" spans="1:6">
      <c r="A152" s="27">
        <v>19</v>
      </c>
      <c r="B152" s="11" t="s">
        <v>438</v>
      </c>
      <c r="C152" s="12" t="s">
        <v>439</v>
      </c>
      <c r="D152" s="15" t="s">
        <v>301</v>
      </c>
      <c r="E152" s="242">
        <v>54000</v>
      </c>
      <c r="F152" s="13"/>
    </row>
    <row r="153" customHeight="1" spans="1:6">
      <c r="A153" s="27">
        <v>20</v>
      </c>
      <c r="B153" s="11" t="s">
        <v>440</v>
      </c>
      <c r="C153" s="12" t="s">
        <v>441</v>
      </c>
      <c r="D153" s="15" t="s">
        <v>283</v>
      </c>
      <c r="E153" s="242">
        <v>54000</v>
      </c>
      <c r="F153" s="13"/>
    </row>
    <row r="154" customHeight="1" spans="1:6">
      <c r="A154" s="27">
        <v>21</v>
      </c>
      <c r="B154" s="11" t="s">
        <v>442</v>
      </c>
      <c r="C154" s="12" t="s">
        <v>443</v>
      </c>
      <c r="D154" s="15" t="s">
        <v>301</v>
      </c>
      <c r="E154" s="242">
        <v>54000</v>
      </c>
      <c r="F154" s="13"/>
    </row>
    <row r="155" customHeight="1" spans="1:6">
      <c r="A155" s="27">
        <v>22</v>
      </c>
      <c r="B155" s="11" t="s">
        <v>444</v>
      </c>
      <c r="C155" s="12" t="s">
        <v>445</v>
      </c>
      <c r="D155" s="15" t="s">
        <v>283</v>
      </c>
      <c r="E155" s="242">
        <v>54000</v>
      </c>
      <c r="F155" s="13"/>
    </row>
    <row r="156" customHeight="1" spans="1:6">
      <c r="A156" s="27">
        <v>23</v>
      </c>
      <c r="B156" s="18" t="s">
        <v>446</v>
      </c>
      <c r="C156" s="12" t="s">
        <v>451</v>
      </c>
      <c r="D156" s="15" t="s">
        <v>945</v>
      </c>
      <c r="E156" s="242">
        <v>54000</v>
      </c>
      <c r="F156" s="13"/>
    </row>
    <row r="157" customHeight="1" spans="1:6">
      <c r="A157" s="27">
        <v>24</v>
      </c>
      <c r="B157" s="18" t="s">
        <v>448</v>
      </c>
      <c r="C157" s="12" t="s">
        <v>449</v>
      </c>
      <c r="D157" s="15" t="s">
        <v>30</v>
      </c>
      <c r="E157" s="242">
        <v>54000</v>
      </c>
      <c r="F157" s="13"/>
    </row>
    <row r="158" customHeight="1" spans="1:6">
      <c r="A158" s="27">
        <v>25</v>
      </c>
      <c r="B158" s="18" t="s">
        <v>450</v>
      </c>
      <c r="C158" s="12" t="s">
        <v>451</v>
      </c>
      <c r="D158" s="15" t="s">
        <v>30</v>
      </c>
      <c r="E158" s="242">
        <v>54000</v>
      </c>
      <c r="F158" s="13"/>
    </row>
    <row r="159" customHeight="1" spans="1:6">
      <c r="A159" s="27">
        <v>26</v>
      </c>
      <c r="B159" s="18" t="s">
        <v>452</v>
      </c>
      <c r="C159" s="12" t="s">
        <v>453</v>
      </c>
      <c r="D159" s="15" t="s">
        <v>294</v>
      </c>
      <c r="E159" s="242">
        <v>54000</v>
      </c>
      <c r="F159" s="13"/>
    </row>
    <row r="160" customHeight="1" spans="1:6">
      <c r="A160" s="27">
        <v>27</v>
      </c>
      <c r="B160" s="18" t="s">
        <v>454</v>
      </c>
      <c r="C160" s="12" t="s">
        <v>455</v>
      </c>
      <c r="D160" s="15" t="s">
        <v>294</v>
      </c>
      <c r="E160" s="242">
        <v>54000</v>
      </c>
      <c r="F160" s="13"/>
    </row>
    <row r="161" customHeight="1" spans="1:6">
      <c r="A161" s="27">
        <v>28</v>
      </c>
      <c r="B161" s="11" t="s">
        <v>457</v>
      </c>
      <c r="C161" s="12" t="s">
        <v>458</v>
      </c>
      <c r="D161" s="15" t="s">
        <v>465</v>
      </c>
      <c r="E161" s="242">
        <v>36000</v>
      </c>
      <c r="F161" s="13"/>
    </row>
    <row r="162" customHeight="1" spans="1:6">
      <c r="A162" s="27">
        <v>29</v>
      </c>
      <c r="B162" s="11" t="s">
        <v>460</v>
      </c>
      <c r="C162" s="12" t="s">
        <v>458</v>
      </c>
      <c r="D162" s="15" t="s">
        <v>465</v>
      </c>
      <c r="E162" s="242">
        <v>36000</v>
      </c>
      <c r="F162" s="13"/>
    </row>
    <row r="163" customHeight="1" spans="1:6">
      <c r="A163" s="27">
        <v>30</v>
      </c>
      <c r="B163" s="11" t="s">
        <v>461</v>
      </c>
      <c r="C163" s="12" t="s">
        <v>458</v>
      </c>
      <c r="D163" s="15" t="s">
        <v>465</v>
      </c>
      <c r="E163" s="242">
        <v>36000</v>
      </c>
      <c r="F163" s="13"/>
    </row>
    <row r="164" customHeight="1" spans="1:6">
      <c r="A164" s="27">
        <v>32</v>
      </c>
      <c r="B164" s="11" t="s">
        <v>462</v>
      </c>
      <c r="C164" s="12" t="s">
        <v>458</v>
      </c>
      <c r="D164" s="15" t="s">
        <v>465</v>
      </c>
      <c r="E164" s="242">
        <v>36000</v>
      </c>
      <c r="F164" s="13"/>
    </row>
    <row r="165" customHeight="1" spans="1:6">
      <c r="A165" s="27">
        <v>33</v>
      </c>
      <c r="B165" s="11" t="s">
        <v>463</v>
      </c>
      <c r="C165" s="12" t="s">
        <v>458</v>
      </c>
      <c r="D165" s="15" t="s">
        <v>465</v>
      </c>
      <c r="E165" s="242">
        <v>36000</v>
      </c>
      <c r="F165" s="13"/>
    </row>
    <row r="166" customHeight="1" spans="1:6">
      <c r="A166" s="27">
        <v>34</v>
      </c>
      <c r="B166" s="11" t="s">
        <v>464</v>
      </c>
      <c r="C166" s="12" t="s">
        <v>458</v>
      </c>
      <c r="D166" s="15" t="s">
        <v>476</v>
      </c>
      <c r="E166" s="242">
        <v>36000</v>
      </c>
      <c r="F166" s="13"/>
    </row>
    <row r="167" customHeight="1" spans="1:6">
      <c r="A167" s="27">
        <v>35</v>
      </c>
      <c r="B167" s="11" t="s">
        <v>466</v>
      </c>
      <c r="C167" s="12" t="s">
        <v>458</v>
      </c>
      <c r="D167" s="15" t="s">
        <v>476</v>
      </c>
      <c r="E167" s="242">
        <v>36000</v>
      </c>
      <c r="F167" s="13"/>
    </row>
    <row r="168" customHeight="1" spans="1:6">
      <c r="A168" s="27">
        <v>36</v>
      </c>
      <c r="B168" s="14" t="s">
        <v>467</v>
      </c>
      <c r="C168" s="12" t="s">
        <v>458</v>
      </c>
      <c r="D168" s="15" t="s">
        <v>476</v>
      </c>
      <c r="E168" s="242">
        <v>36000</v>
      </c>
      <c r="F168" s="13"/>
    </row>
    <row r="169" customHeight="1" spans="1:6">
      <c r="A169" s="27">
        <v>37</v>
      </c>
      <c r="B169" s="11" t="s">
        <v>468</v>
      </c>
      <c r="C169" s="12" t="s">
        <v>458</v>
      </c>
      <c r="D169" s="15" t="s">
        <v>476</v>
      </c>
      <c r="E169" s="242">
        <v>36000</v>
      </c>
      <c r="F169" s="13"/>
    </row>
    <row r="170" customHeight="1" spans="1:6">
      <c r="A170" s="27">
        <v>38</v>
      </c>
      <c r="B170" s="18" t="s">
        <v>469</v>
      </c>
      <c r="C170" s="12" t="s">
        <v>458</v>
      </c>
      <c r="D170" s="15" t="s">
        <v>476</v>
      </c>
      <c r="E170" s="242">
        <v>36000</v>
      </c>
      <c r="F170" s="13"/>
    </row>
    <row r="171" customHeight="1" spans="1:6">
      <c r="A171" s="27">
        <v>39</v>
      </c>
      <c r="B171" s="18" t="s">
        <v>470</v>
      </c>
      <c r="C171" s="12" t="s">
        <v>458</v>
      </c>
      <c r="D171" s="15" t="s">
        <v>476</v>
      </c>
      <c r="E171" s="242">
        <v>36000</v>
      </c>
      <c r="F171" s="13"/>
    </row>
    <row r="172" customHeight="1" spans="1:6">
      <c r="A172" s="27">
        <v>40</v>
      </c>
      <c r="B172" s="11" t="s">
        <v>471</v>
      </c>
      <c r="C172" s="12" t="s">
        <v>478</v>
      </c>
      <c r="D172" s="15" t="s">
        <v>479</v>
      </c>
      <c r="E172" s="242">
        <v>36000</v>
      </c>
      <c r="F172" s="13"/>
    </row>
    <row r="173" customHeight="1" spans="1:6">
      <c r="A173" s="27">
        <v>41</v>
      </c>
      <c r="B173" s="11" t="s">
        <v>474</v>
      </c>
      <c r="C173" s="12" t="s">
        <v>478</v>
      </c>
      <c r="D173" s="15" t="s">
        <v>479</v>
      </c>
      <c r="E173" s="242">
        <v>36000</v>
      </c>
      <c r="F173" s="13"/>
    </row>
    <row r="174" customHeight="1" spans="1:6">
      <c r="A174" s="27">
        <v>42</v>
      </c>
      <c r="B174" s="18" t="s">
        <v>475</v>
      </c>
      <c r="C174" s="12" t="s">
        <v>478</v>
      </c>
      <c r="D174" s="15" t="s">
        <v>948</v>
      </c>
      <c r="E174" s="242">
        <v>36000</v>
      </c>
      <c r="F174" s="13"/>
    </row>
    <row r="175" customHeight="1" spans="1:6">
      <c r="A175" s="27">
        <v>43</v>
      </c>
      <c r="B175" s="11" t="s">
        <v>477</v>
      </c>
      <c r="C175" s="12" t="s">
        <v>478</v>
      </c>
      <c r="D175" s="15" t="s">
        <v>954</v>
      </c>
      <c r="E175" s="242">
        <v>36000</v>
      </c>
      <c r="F175" s="13"/>
    </row>
    <row r="176" customHeight="1" spans="1:6">
      <c r="A176" s="27">
        <v>44</v>
      </c>
      <c r="B176" s="11" t="s">
        <v>480</v>
      </c>
      <c r="C176" s="12" t="s">
        <v>481</v>
      </c>
      <c r="D176" s="15" t="s">
        <v>955</v>
      </c>
      <c r="E176" s="242">
        <v>36000</v>
      </c>
      <c r="F176" s="13"/>
    </row>
    <row r="177" customHeight="1" spans="1:6">
      <c r="A177" s="27">
        <v>45</v>
      </c>
      <c r="B177" s="11" t="s">
        <v>483</v>
      </c>
      <c r="C177" s="12" t="s">
        <v>481</v>
      </c>
      <c r="D177" s="15" t="s">
        <v>955</v>
      </c>
      <c r="E177" s="242">
        <v>36000</v>
      </c>
      <c r="F177" s="13"/>
    </row>
    <row r="178" customHeight="1" spans="1:6">
      <c r="A178" s="27">
        <v>46</v>
      </c>
      <c r="B178" s="11" t="s">
        <v>484</v>
      </c>
      <c r="C178" s="12" t="s">
        <v>481</v>
      </c>
      <c r="D178" s="15" t="s">
        <v>955</v>
      </c>
      <c r="E178" s="242">
        <v>36000</v>
      </c>
      <c r="F178" s="13"/>
    </row>
    <row r="179" customHeight="1" spans="1:6">
      <c r="A179" s="27">
        <v>47</v>
      </c>
      <c r="B179" s="11" t="s">
        <v>485</v>
      </c>
      <c r="C179" s="12" t="s">
        <v>481</v>
      </c>
      <c r="D179" s="15" t="s">
        <v>955</v>
      </c>
      <c r="E179" s="242">
        <v>36000</v>
      </c>
      <c r="F179" s="13"/>
    </row>
    <row r="180" customHeight="1" spans="1:6">
      <c r="A180" s="27">
        <v>48</v>
      </c>
      <c r="B180" s="11" t="s">
        <v>486</v>
      </c>
      <c r="C180" s="12" t="s">
        <v>481</v>
      </c>
      <c r="D180" s="15" t="s">
        <v>955</v>
      </c>
      <c r="E180" s="242">
        <v>36000</v>
      </c>
      <c r="F180" s="13"/>
    </row>
    <row r="181" customHeight="1" spans="1:6">
      <c r="A181" s="27">
        <v>49</v>
      </c>
      <c r="B181" s="18" t="s">
        <v>487</v>
      </c>
      <c r="C181" s="12" t="s">
        <v>481</v>
      </c>
      <c r="D181" s="15" t="s">
        <v>955</v>
      </c>
      <c r="E181" s="242">
        <v>36000</v>
      </c>
      <c r="F181" s="13"/>
    </row>
    <row r="182" customHeight="1" spans="1:6">
      <c r="A182" s="27">
        <v>50</v>
      </c>
      <c r="B182" s="18" t="s">
        <v>488</v>
      </c>
      <c r="C182" s="12" t="s">
        <v>481</v>
      </c>
      <c r="D182" s="15" t="s">
        <v>955</v>
      </c>
      <c r="E182" s="242">
        <v>36000</v>
      </c>
      <c r="F182" s="13"/>
    </row>
    <row r="183" customHeight="1" spans="1:6">
      <c r="A183" s="27">
        <v>51</v>
      </c>
      <c r="B183" s="11" t="s">
        <v>489</v>
      </c>
      <c r="C183" s="12" t="s">
        <v>478</v>
      </c>
      <c r="D183" s="15" t="s">
        <v>955</v>
      </c>
      <c r="E183" s="242">
        <v>36000</v>
      </c>
      <c r="F183" s="13"/>
    </row>
    <row r="184" customHeight="1" spans="1:6">
      <c r="A184" s="27">
        <v>52</v>
      </c>
      <c r="B184" s="11" t="s">
        <v>490</v>
      </c>
      <c r="C184" s="12" t="s">
        <v>478</v>
      </c>
      <c r="D184" s="15" t="s">
        <v>955</v>
      </c>
      <c r="E184" s="242">
        <v>36000</v>
      </c>
      <c r="F184" s="13"/>
    </row>
    <row r="185" customHeight="1" spans="1:6">
      <c r="A185" s="27">
        <v>53</v>
      </c>
      <c r="B185" s="18" t="s">
        <v>491</v>
      </c>
      <c r="C185" s="12" t="s">
        <v>481</v>
      </c>
      <c r="D185" s="15" t="s">
        <v>972</v>
      </c>
      <c r="E185" s="242">
        <v>36000</v>
      </c>
      <c r="F185" s="13"/>
    </row>
    <row r="186" customHeight="1" spans="1:6">
      <c r="A186" s="27">
        <v>54</v>
      </c>
      <c r="B186" s="18" t="s">
        <v>493</v>
      </c>
      <c r="C186" s="12" t="s">
        <v>481</v>
      </c>
      <c r="D186" s="15" t="s">
        <v>956</v>
      </c>
      <c r="E186" s="242">
        <v>36000</v>
      </c>
      <c r="F186" s="13"/>
    </row>
    <row r="187" customHeight="1" spans="1:6">
      <c r="A187" s="27"/>
      <c r="B187" s="8" t="s">
        <v>33</v>
      </c>
      <c r="C187" s="28" t="s">
        <v>1124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80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2:6">
      <c r="B190" s="33"/>
      <c r="D190" s="34"/>
      <c r="E190" s="34"/>
      <c r="F190" s="35"/>
    </row>
    <row r="191" ht="65.25" customHeight="1" spans="2:6">
      <c r="B191" s="33"/>
      <c r="C191" s="34"/>
      <c r="D191" s="34"/>
      <c r="E191" s="34"/>
      <c r="F191" s="256"/>
    </row>
    <row r="192" customHeight="1" spans="6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7">
      <c r="A2" s="76" t="s">
        <v>1126</v>
      </c>
      <c r="B2" s="77"/>
      <c r="C2" s="76"/>
      <c r="D2" s="76"/>
      <c r="E2" s="78"/>
      <c r="F2" s="78"/>
      <c r="G2" s="78"/>
    </row>
    <row r="3" ht="9.75" customHeight="1"/>
    <row r="4" ht="45" customHeight="1" spans="1:7">
      <c r="A4" s="4"/>
      <c r="B4" s="5" t="s">
        <v>2</v>
      </c>
      <c r="C4" s="6" t="s">
        <v>3</v>
      </c>
      <c r="D4" s="7" t="s">
        <v>4</v>
      </c>
      <c r="E4" s="24" t="s">
        <v>509</v>
      </c>
      <c r="F4" s="24" t="s">
        <v>516</v>
      </c>
      <c r="G4" s="80" t="s">
        <v>1127</v>
      </c>
    </row>
    <row r="5" customHeight="1" spans="1:7">
      <c r="A5" s="9" t="s">
        <v>20</v>
      </c>
      <c r="B5" s="8" t="s">
        <v>21</v>
      </c>
      <c r="C5" s="8"/>
      <c r="D5" s="8"/>
      <c r="E5" s="82" t="s">
        <v>19</v>
      </c>
      <c r="F5" s="230" t="s">
        <v>19</v>
      </c>
      <c r="G5" s="82" t="s">
        <v>19</v>
      </c>
    </row>
    <row r="6" customHeight="1" spans="1:9">
      <c r="A6" s="10">
        <v>1</v>
      </c>
      <c r="B6" s="11" t="s">
        <v>236</v>
      </c>
      <c r="C6" s="12" t="s">
        <v>237</v>
      </c>
      <c r="D6" s="12" t="s">
        <v>238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1016</v>
      </c>
      <c r="C7" s="4" t="s">
        <v>1106</v>
      </c>
      <c r="D7" s="10" t="s">
        <v>231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1107</v>
      </c>
      <c r="C8" s="4" t="s">
        <v>1108</v>
      </c>
      <c r="D8" s="10" t="s">
        <v>231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239</v>
      </c>
      <c r="C9" s="12" t="s">
        <v>240</v>
      </c>
      <c r="D9" s="10" t="s">
        <v>234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241</v>
      </c>
      <c r="C10" s="4" t="s">
        <v>242</v>
      </c>
      <c r="D10" s="15" t="s">
        <v>308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363</v>
      </c>
      <c r="C11" s="4" t="s">
        <v>1018</v>
      </c>
      <c r="D11" s="16" t="s">
        <v>308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243</v>
      </c>
      <c r="C12" s="17" t="s">
        <v>244</v>
      </c>
      <c r="D12" s="16" t="s">
        <v>308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245</v>
      </c>
      <c r="C13" s="4" t="s">
        <v>246</v>
      </c>
      <c r="D13" s="16" t="s">
        <v>308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247</v>
      </c>
      <c r="C14" s="12" t="s">
        <v>248</v>
      </c>
      <c r="D14" s="15" t="s">
        <v>249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223</v>
      </c>
      <c r="C15" s="12" t="s">
        <v>224</v>
      </c>
      <c r="D15" s="10" t="s">
        <v>222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1109</v>
      </c>
      <c r="C16" s="4" t="s">
        <v>1110</v>
      </c>
      <c r="D16" s="16" t="s">
        <v>257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1019</v>
      </c>
      <c r="C17" s="4" t="s">
        <v>253</v>
      </c>
      <c r="D17" s="10" t="s">
        <v>257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1111</v>
      </c>
      <c r="C18" s="4" t="s">
        <v>1112</v>
      </c>
      <c r="D18" s="10" t="s">
        <v>257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252</v>
      </c>
      <c r="C19" s="4" t="s">
        <v>253</v>
      </c>
      <c r="D19" s="15" t="s">
        <v>257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264</v>
      </c>
      <c r="C20" s="12" t="s">
        <v>265</v>
      </c>
      <c r="D20" s="15" t="s">
        <v>950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267</v>
      </c>
      <c r="C21" s="4" t="s">
        <v>268</v>
      </c>
      <c r="D21" s="15" t="s">
        <v>951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389</v>
      </c>
      <c r="C22" s="12" t="s">
        <v>390</v>
      </c>
      <c r="D22" s="15" t="s">
        <v>271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270</v>
      </c>
      <c r="C23" s="12" t="s">
        <v>50</v>
      </c>
      <c r="D23" s="15" t="s">
        <v>332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387</v>
      </c>
      <c r="C24" s="4" t="s">
        <v>388</v>
      </c>
      <c r="D24" s="15" t="s">
        <v>332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427</v>
      </c>
      <c r="C25" s="4" t="s">
        <v>1128</v>
      </c>
      <c r="D25" s="15" t="s">
        <v>432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1113</v>
      </c>
      <c r="C26" s="12" t="s">
        <v>293</v>
      </c>
      <c r="D26" s="15" t="s">
        <v>345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278</v>
      </c>
      <c r="C27" s="4" t="s">
        <v>176</v>
      </c>
      <c r="D27" s="10" t="s">
        <v>283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280</v>
      </c>
      <c r="C28" s="12" t="s">
        <v>176</v>
      </c>
      <c r="D28" s="15" t="s">
        <v>283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1020</v>
      </c>
      <c r="C29" s="12" t="s">
        <v>1021</v>
      </c>
      <c r="D29" s="15" t="s">
        <v>283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282</v>
      </c>
      <c r="C30" s="12" t="s">
        <v>967</v>
      </c>
      <c r="D30" s="15" t="s">
        <v>1129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370</v>
      </c>
      <c r="C31" s="17" t="s">
        <v>1130</v>
      </c>
      <c r="D31" s="15" t="s">
        <v>945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284</v>
      </c>
      <c r="C32" s="4" t="s">
        <v>1022</v>
      </c>
      <c r="D32" s="10" t="s">
        <v>945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287</v>
      </c>
      <c r="C33" s="17" t="s">
        <v>288</v>
      </c>
      <c r="D33" s="15" t="s">
        <v>283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289</v>
      </c>
      <c r="C34" s="4" t="s">
        <v>1131</v>
      </c>
      <c r="D34" s="10" t="s">
        <v>294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933</v>
      </c>
      <c r="C35" s="12" t="s">
        <v>293</v>
      </c>
      <c r="D35" s="15" t="s">
        <v>294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1114</v>
      </c>
      <c r="C36" s="12" t="s">
        <v>293</v>
      </c>
      <c r="D36" s="15" t="s">
        <v>294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33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34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295</v>
      </c>
      <c r="C40" s="4" t="s">
        <v>296</v>
      </c>
      <c r="D40" s="10" t="s">
        <v>297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298</v>
      </c>
      <c r="C41" s="4" t="s">
        <v>537</v>
      </c>
      <c r="D41" s="10" t="s">
        <v>30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38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302</v>
      </c>
      <c r="C45" s="4" t="s">
        <v>303</v>
      </c>
      <c r="D45" s="10" t="s">
        <v>297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304</v>
      </c>
      <c r="C46" s="4" t="s">
        <v>305</v>
      </c>
      <c r="D46" s="10" t="s">
        <v>249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306</v>
      </c>
      <c r="C47" s="4" t="s">
        <v>310</v>
      </c>
      <c r="D47" s="10" t="s">
        <v>249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309</v>
      </c>
      <c r="C48" s="4" t="s">
        <v>310</v>
      </c>
      <c r="D48" s="10" t="s">
        <v>249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311</v>
      </c>
      <c r="C49" s="4" t="s">
        <v>310</v>
      </c>
      <c r="D49" s="10" t="s">
        <v>327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312</v>
      </c>
      <c r="C50" s="4" t="s">
        <v>259</v>
      </c>
      <c r="D50" s="10" t="s">
        <v>257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313</v>
      </c>
      <c r="C51" s="4" t="s">
        <v>256</v>
      </c>
      <c r="D51" s="16" t="s">
        <v>257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1025</v>
      </c>
      <c r="C52" s="4" t="s">
        <v>256</v>
      </c>
      <c r="D52" s="10" t="s">
        <v>342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258</v>
      </c>
      <c r="C53" s="4" t="s">
        <v>353</v>
      </c>
      <c r="D53" s="10" t="s">
        <v>266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315</v>
      </c>
      <c r="C54" s="4" t="s">
        <v>63</v>
      </c>
      <c r="D54" s="10" t="s">
        <v>24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316</v>
      </c>
      <c r="C55" s="4" t="s">
        <v>63</v>
      </c>
      <c r="D55" s="10" t="s">
        <v>24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317</v>
      </c>
      <c r="C56" s="4" t="s">
        <v>63</v>
      </c>
      <c r="D56" s="10" t="s">
        <v>24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33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46"/>
      <c r="F58" s="233"/>
      <c r="G58" s="146"/>
      <c r="H58" s="13"/>
      <c r="I58" s="13"/>
    </row>
    <row r="59" customHeight="1" spans="1:9">
      <c r="A59" s="10"/>
      <c r="B59" s="20" t="s">
        <v>318</v>
      </c>
      <c r="C59" s="21"/>
      <c r="D59" s="21"/>
      <c r="E59" s="146"/>
      <c r="F59" s="233"/>
      <c r="G59" s="146"/>
      <c r="H59" s="13"/>
      <c r="I59" s="13"/>
    </row>
    <row r="60" customHeight="1" spans="1:9">
      <c r="A60" s="10">
        <v>1</v>
      </c>
      <c r="B60" s="11" t="s">
        <v>319</v>
      </c>
      <c r="C60" s="12" t="s">
        <v>320</v>
      </c>
      <c r="D60" s="15" t="s">
        <v>297</v>
      </c>
      <c r="E60" s="85">
        <f>180306.81</f>
        <v>180306.81</v>
      </c>
      <c r="F60" s="231">
        <f>'[11]August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33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46"/>
      <c r="F62" s="233"/>
      <c r="G62" s="146"/>
      <c r="H62" s="13"/>
      <c r="I62" s="13"/>
    </row>
    <row r="63" customHeight="1" spans="1:9">
      <c r="A63" s="10"/>
      <c r="B63" s="20" t="s">
        <v>44</v>
      </c>
      <c r="C63" s="21"/>
      <c r="D63" s="21"/>
      <c r="E63" s="146"/>
      <c r="F63" s="233"/>
      <c r="G63" s="146"/>
      <c r="H63" s="13"/>
      <c r="I63" s="13"/>
    </row>
    <row r="64" customHeight="1" spans="1:9">
      <c r="A64" s="10">
        <v>1</v>
      </c>
      <c r="B64" s="11" t="s">
        <v>323</v>
      </c>
      <c r="C64" s="17" t="s">
        <v>324</v>
      </c>
      <c r="D64" s="10" t="s">
        <v>297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325</v>
      </c>
      <c r="C65" s="17" t="s">
        <v>326</v>
      </c>
      <c r="D65" s="15" t="s">
        <v>952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328</v>
      </c>
      <c r="C66" s="4" t="s">
        <v>46</v>
      </c>
      <c r="D66" s="10" t="s">
        <v>266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329</v>
      </c>
      <c r="C67" s="17" t="s">
        <v>46</v>
      </c>
      <c r="D67" s="15" t="s">
        <v>950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330</v>
      </c>
      <c r="C68" s="17" t="s">
        <v>256</v>
      </c>
      <c r="D68" s="15" t="s">
        <v>257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331</v>
      </c>
      <c r="C69" s="4" t="s">
        <v>63</v>
      </c>
      <c r="D69" s="10" t="s">
        <v>1132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1033</v>
      </c>
      <c r="C70" s="17" t="s">
        <v>275</v>
      </c>
      <c r="D70" s="15" t="s">
        <v>271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333</v>
      </c>
      <c r="C71" s="17" t="s">
        <v>275</v>
      </c>
      <c r="D71" s="15" t="s">
        <v>41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334</v>
      </c>
      <c r="C72" s="17" t="s">
        <v>275</v>
      </c>
      <c r="D72" s="15" t="s">
        <v>41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335</v>
      </c>
      <c r="C73" s="4" t="s">
        <v>336</v>
      </c>
      <c r="D73" s="10" t="s">
        <v>332</v>
      </c>
      <c r="E73" s="85" t="e">
        <f>#REF!</f>
        <v>#REF!</v>
      </c>
      <c r="F73" s="231">
        <f>'[11]August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1115</v>
      </c>
      <c r="C74" s="17" t="s">
        <v>63</v>
      </c>
      <c r="D74" s="10" t="s">
        <v>301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281</v>
      </c>
      <c r="C75" s="17" t="s">
        <v>273</v>
      </c>
      <c r="D75" s="10" t="s">
        <v>283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272</v>
      </c>
      <c r="C76" s="17" t="s">
        <v>273</v>
      </c>
      <c r="D76" s="10" t="s">
        <v>294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33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46"/>
      <c r="F78" s="233"/>
      <c r="G78" s="146"/>
      <c r="H78" s="13"/>
      <c r="I78" s="13"/>
    </row>
    <row r="79" customHeight="1" spans="1:9">
      <c r="A79" s="10"/>
      <c r="B79" s="20" t="s">
        <v>51</v>
      </c>
      <c r="C79" s="21"/>
      <c r="D79" s="21"/>
      <c r="E79" s="146"/>
      <c r="F79" s="233"/>
      <c r="G79" s="146"/>
      <c r="H79" s="13"/>
      <c r="I79" s="13"/>
    </row>
    <row r="80" customHeight="1" spans="1:9">
      <c r="A80" s="10">
        <v>1</v>
      </c>
      <c r="B80" s="11" t="s">
        <v>338</v>
      </c>
      <c r="C80" s="4" t="s">
        <v>339</v>
      </c>
      <c r="D80" s="10" t="s">
        <v>297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220</v>
      </c>
      <c r="C81" s="4" t="s">
        <v>221</v>
      </c>
      <c r="D81" s="15" t="s">
        <v>952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1116</v>
      </c>
      <c r="C82" s="4" t="s">
        <v>1117</v>
      </c>
      <c r="D82" s="15" t="s">
        <v>952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340</v>
      </c>
      <c r="C83" s="4" t="s">
        <v>968</v>
      </c>
      <c r="D83" s="15" t="s">
        <v>266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343</v>
      </c>
      <c r="C84" s="4" t="s">
        <v>344</v>
      </c>
      <c r="D84" s="10" t="s">
        <v>301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33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46"/>
      <c r="F86" s="231"/>
      <c r="G86" s="85"/>
      <c r="H86" s="13"/>
      <c r="I86" s="13"/>
    </row>
    <row r="87" customHeight="1" spans="1:9">
      <c r="A87" s="10"/>
      <c r="B87" s="20" t="s">
        <v>56</v>
      </c>
      <c r="C87" s="25"/>
      <c r="D87" s="21"/>
      <c r="E87" s="146"/>
      <c r="F87" s="231"/>
      <c r="G87" s="85"/>
      <c r="H87" s="13"/>
      <c r="I87" s="13"/>
    </row>
    <row r="88" ht="23.25" customHeight="1" spans="1:9">
      <c r="A88" s="10">
        <v>1</v>
      </c>
      <c r="B88" s="11" t="s">
        <v>1133</v>
      </c>
      <c r="C88" s="4" t="s">
        <v>1134</v>
      </c>
      <c r="D88" s="10" t="s">
        <v>231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349</v>
      </c>
      <c r="C89" s="4" t="s">
        <v>310</v>
      </c>
      <c r="D89" s="10" t="s">
        <v>249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350</v>
      </c>
      <c r="C90" s="4" t="s">
        <v>310</v>
      </c>
      <c r="D90" s="10" t="s">
        <v>249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386</v>
      </c>
      <c r="C91" s="4" t="s">
        <v>256</v>
      </c>
      <c r="D91" s="10" t="s">
        <v>254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351</v>
      </c>
      <c r="C92" s="4" t="s">
        <v>259</v>
      </c>
      <c r="D92" s="10" t="s">
        <v>257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352</v>
      </c>
      <c r="C93" s="4" t="s">
        <v>353</v>
      </c>
      <c r="D93" s="15" t="s">
        <v>266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354</v>
      </c>
      <c r="C94" s="12" t="s">
        <v>46</v>
      </c>
      <c r="D94" s="15" t="s">
        <v>950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355</v>
      </c>
      <c r="C95" s="12" t="s">
        <v>46</v>
      </c>
      <c r="D95" s="15" t="s">
        <v>950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357</v>
      </c>
      <c r="C96" s="17" t="s">
        <v>275</v>
      </c>
      <c r="D96" s="15" t="s">
        <v>41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359</v>
      </c>
      <c r="C97" s="4" t="s">
        <v>360</v>
      </c>
      <c r="D97" s="10" t="s">
        <v>37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361</v>
      </c>
      <c r="C98" s="17" t="s">
        <v>362</v>
      </c>
      <c r="D98" s="15" t="s">
        <v>294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33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46"/>
      <c r="F100" s="233"/>
      <c r="G100" s="146"/>
      <c r="H100" s="13"/>
      <c r="I100" s="13"/>
    </row>
    <row r="101" customHeight="1" spans="1:9">
      <c r="A101" s="10"/>
      <c r="B101" s="20" t="s">
        <v>58</v>
      </c>
      <c r="C101" s="21"/>
      <c r="D101" s="21"/>
      <c r="E101" s="146"/>
      <c r="F101" s="233"/>
      <c r="G101" s="146"/>
      <c r="H101" s="13"/>
      <c r="I101" s="13"/>
    </row>
    <row r="102" customHeight="1" spans="1:9">
      <c r="A102" s="10">
        <v>1</v>
      </c>
      <c r="B102" s="18" t="s">
        <v>232</v>
      </c>
      <c r="C102" s="10" t="s">
        <v>233</v>
      </c>
      <c r="D102" s="15" t="s">
        <v>308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250</v>
      </c>
      <c r="C103" s="4" t="s">
        <v>367</v>
      </c>
      <c r="D103" s="10" t="s">
        <v>257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1135</v>
      </c>
      <c r="C104" s="4" t="s">
        <v>1136</v>
      </c>
      <c r="D104" s="15" t="s">
        <v>950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368</v>
      </c>
      <c r="C105" s="4" t="s">
        <v>369</v>
      </c>
      <c r="D105" s="15" t="s">
        <v>332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33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46"/>
      <c r="F107" s="233"/>
      <c r="G107" s="146"/>
      <c r="H107" s="13"/>
      <c r="I107" s="13"/>
    </row>
    <row r="108" customHeight="1" spans="1:9">
      <c r="A108" s="4"/>
      <c r="B108" s="20" t="s">
        <v>372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373</v>
      </c>
      <c r="C109" s="12" t="s">
        <v>374</v>
      </c>
      <c r="D109" s="15" t="s">
        <v>297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375</v>
      </c>
      <c r="C110" s="4" t="s">
        <v>376</v>
      </c>
      <c r="D110" s="16" t="s">
        <v>308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377</v>
      </c>
      <c r="C111" s="4" t="s">
        <v>378</v>
      </c>
      <c r="D111" s="10" t="s">
        <v>263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379</v>
      </c>
      <c r="C112" s="4" t="s">
        <v>378</v>
      </c>
      <c r="D112" s="10" t="s">
        <v>263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380</v>
      </c>
      <c r="C113" s="4" t="s">
        <v>381</v>
      </c>
      <c r="D113" s="15" t="s">
        <v>384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383</v>
      </c>
      <c r="C114" s="4" t="s">
        <v>381</v>
      </c>
      <c r="D114" s="10" t="s">
        <v>945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385</v>
      </c>
      <c r="C115" s="4" t="s">
        <v>381</v>
      </c>
      <c r="D115" s="15" t="s">
        <v>294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33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67</v>
      </c>
      <c r="C118" s="21"/>
      <c r="D118" s="21"/>
      <c r="E118" s="146"/>
      <c r="F118" s="231"/>
      <c r="G118" s="85"/>
      <c r="H118" s="13"/>
      <c r="I118" s="13"/>
    </row>
    <row r="119" customHeight="1" spans="1:9">
      <c r="A119" s="4">
        <v>1</v>
      </c>
      <c r="B119" s="11" t="s">
        <v>392</v>
      </c>
      <c r="C119" s="12" t="s">
        <v>393</v>
      </c>
      <c r="D119" s="15" t="s">
        <v>297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1137</v>
      </c>
      <c r="B120" s="11" t="s">
        <v>1138</v>
      </c>
      <c r="C120" s="12" t="s">
        <v>1139</v>
      </c>
      <c r="D120" s="15" t="s">
        <v>231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128</v>
      </c>
      <c r="C121" s="12" t="s">
        <v>227</v>
      </c>
      <c r="D121" s="15" t="s">
        <v>249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395</v>
      </c>
      <c r="C122" s="12" t="s">
        <v>227</v>
      </c>
      <c r="D122" s="15" t="s">
        <v>249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226</v>
      </c>
      <c r="C123" s="12" t="s">
        <v>227</v>
      </c>
      <c r="D123" s="15" t="s">
        <v>228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396</v>
      </c>
      <c r="C124" s="12" t="s">
        <v>397</v>
      </c>
      <c r="D124" s="15" t="s">
        <v>342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398</v>
      </c>
      <c r="C125" s="12" t="s">
        <v>399</v>
      </c>
      <c r="D125" s="15" t="s">
        <v>266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400</v>
      </c>
      <c r="C126" s="12" t="s">
        <v>970</v>
      </c>
      <c r="D126" s="15" t="s">
        <v>266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1140</v>
      </c>
      <c r="C127" s="12" t="s">
        <v>1141</v>
      </c>
      <c r="D127" s="15" t="s">
        <v>269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401</v>
      </c>
      <c r="C128" s="12" t="s">
        <v>402</v>
      </c>
      <c r="D128" s="10" t="s">
        <v>283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403</v>
      </c>
      <c r="C129" s="12" t="s">
        <v>404</v>
      </c>
      <c r="D129" s="15" t="s">
        <v>294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33</v>
      </c>
      <c r="C130" s="26" t="s">
        <v>1142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46"/>
      <c r="F131" s="233"/>
      <c r="G131" s="146"/>
      <c r="H131" s="13"/>
      <c r="I131" s="13"/>
    </row>
    <row r="132" customHeight="1" spans="1:9">
      <c r="A132" s="4"/>
      <c r="B132" s="20" t="s">
        <v>71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407</v>
      </c>
      <c r="C133" s="12" t="s">
        <v>408</v>
      </c>
      <c r="D133" s="15" t="s">
        <v>297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229</v>
      </c>
      <c r="C134" s="12" t="s">
        <v>230</v>
      </c>
      <c r="D134" s="15" t="s">
        <v>231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409</v>
      </c>
      <c r="C135" s="4" t="s">
        <v>410</v>
      </c>
      <c r="D135" s="16" t="s">
        <v>308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411</v>
      </c>
      <c r="C136" s="12" t="s">
        <v>412</v>
      </c>
      <c r="D136" s="15" t="s">
        <v>257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413</v>
      </c>
      <c r="C137" s="4" t="s">
        <v>414</v>
      </c>
      <c r="D137" s="15" t="s">
        <v>257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366</v>
      </c>
      <c r="C138" s="4" t="s">
        <v>420</v>
      </c>
      <c r="D138" s="15" t="s">
        <v>266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416</v>
      </c>
      <c r="C139" s="12" t="s">
        <v>417</v>
      </c>
      <c r="D139" s="15" t="s">
        <v>271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418</v>
      </c>
      <c r="C140" s="12" t="s">
        <v>417</v>
      </c>
      <c r="D140" s="15" t="s">
        <v>271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419</v>
      </c>
      <c r="C141" s="4" t="s">
        <v>420</v>
      </c>
      <c r="D141" s="15" t="s">
        <v>271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421</v>
      </c>
      <c r="C142" s="12" t="s">
        <v>426</v>
      </c>
      <c r="D142" s="15" t="s">
        <v>332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423</v>
      </c>
      <c r="C143" s="12" t="s">
        <v>971</v>
      </c>
      <c r="D143" s="15" t="s">
        <v>432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425</v>
      </c>
      <c r="C144" s="12" t="s">
        <v>426</v>
      </c>
      <c r="D144" s="15" t="s">
        <v>271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429</v>
      </c>
      <c r="C145" s="4" t="s">
        <v>430</v>
      </c>
      <c r="D145" s="15" t="s">
        <v>301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431</v>
      </c>
      <c r="C146" s="4" t="s">
        <v>430</v>
      </c>
      <c r="D146" s="15" t="s">
        <v>345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433</v>
      </c>
      <c r="C147" s="4" t="s">
        <v>430</v>
      </c>
      <c r="D147" s="15" t="s">
        <v>345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434</v>
      </c>
      <c r="C148" s="12" t="s">
        <v>435</v>
      </c>
      <c r="D148" s="15" t="s">
        <v>37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953</v>
      </c>
      <c r="C149" s="12" t="s">
        <v>437</v>
      </c>
      <c r="D149" s="10" t="s">
        <v>24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438</v>
      </c>
      <c r="C150" s="12" t="s">
        <v>439</v>
      </c>
      <c r="D150" s="15" t="s">
        <v>301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440</v>
      </c>
      <c r="C151" s="12" t="s">
        <v>441</v>
      </c>
      <c r="D151" s="15" t="s">
        <v>283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442</v>
      </c>
      <c r="C152" s="12" t="s">
        <v>443</v>
      </c>
      <c r="D152" s="15" t="s">
        <v>301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444</v>
      </c>
      <c r="C153" s="12" t="s">
        <v>445</v>
      </c>
      <c r="D153" s="15" t="s">
        <v>283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446</v>
      </c>
      <c r="C154" s="12" t="s">
        <v>451</v>
      </c>
      <c r="D154" s="15" t="s">
        <v>1129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1143</v>
      </c>
      <c r="C155" s="12" t="s">
        <v>449</v>
      </c>
      <c r="D155" s="15" t="s">
        <v>294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448</v>
      </c>
      <c r="C156" s="12" t="s">
        <v>449</v>
      </c>
      <c r="D156" s="15" t="s">
        <v>30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450</v>
      </c>
      <c r="C157" s="12" t="s">
        <v>451</v>
      </c>
      <c r="D157" s="15" t="s">
        <v>30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452</v>
      </c>
      <c r="C158" s="12" t="s">
        <v>453</v>
      </c>
      <c r="D158" s="15" t="s">
        <v>294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454</v>
      </c>
      <c r="C159" s="12" t="s">
        <v>455</v>
      </c>
      <c r="D159" s="15" t="s">
        <v>294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457</v>
      </c>
      <c r="C160" s="12" t="s">
        <v>458</v>
      </c>
      <c r="D160" s="15" t="s">
        <v>465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460</v>
      </c>
      <c r="C161" s="12" t="s">
        <v>458</v>
      </c>
      <c r="D161" s="15" t="s">
        <v>465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461</v>
      </c>
      <c r="C162" s="12" t="s">
        <v>458</v>
      </c>
      <c r="D162" s="15" t="s">
        <v>465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662</v>
      </c>
      <c r="C163" s="12" t="s">
        <v>458</v>
      </c>
      <c r="D163" s="15" t="s">
        <v>465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462</v>
      </c>
      <c r="C164" s="12" t="s">
        <v>458</v>
      </c>
      <c r="D164" s="15" t="s">
        <v>465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463</v>
      </c>
      <c r="C165" s="12" t="s">
        <v>458</v>
      </c>
      <c r="D165" s="15" t="s">
        <v>465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464</v>
      </c>
      <c r="C166" s="12" t="s">
        <v>458</v>
      </c>
      <c r="D166" s="15" t="s">
        <v>476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466</v>
      </c>
      <c r="C167" s="12" t="s">
        <v>458</v>
      </c>
      <c r="D167" s="15" t="s">
        <v>476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1121</v>
      </c>
      <c r="C168" s="12" t="s">
        <v>458</v>
      </c>
      <c r="D168" s="15" t="s">
        <v>476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467</v>
      </c>
      <c r="C169" s="12" t="s">
        <v>458</v>
      </c>
      <c r="D169" s="15" t="s">
        <v>476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468</v>
      </c>
      <c r="C170" s="12" t="s">
        <v>458</v>
      </c>
      <c r="D170" s="15" t="s">
        <v>476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469</v>
      </c>
      <c r="C171" s="12" t="s">
        <v>458</v>
      </c>
      <c r="D171" s="15" t="s">
        <v>476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470</v>
      </c>
      <c r="C172" s="12" t="s">
        <v>458</v>
      </c>
      <c r="D172" s="15" t="s">
        <v>476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471</v>
      </c>
      <c r="C173" s="12" t="s">
        <v>478</v>
      </c>
      <c r="D173" s="15" t="s">
        <v>479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474</v>
      </c>
      <c r="C174" s="12" t="s">
        <v>478</v>
      </c>
      <c r="D174" s="15" t="s">
        <v>479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475</v>
      </c>
      <c r="C175" s="12" t="s">
        <v>478</v>
      </c>
      <c r="D175" s="15" t="s">
        <v>948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477</v>
      </c>
      <c r="C176" s="12" t="s">
        <v>478</v>
      </c>
      <c r="D176" s="15" t="s">
        <v>954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480</v>
      </c>
      <c r="C177" s="12" t="s">
        <v>481</v>
      </c>
      <c r="D177" s="15" t="s">
        <v>955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483</v>
      </c>
      <c r="C178" s="12" t="s">
        <v>481</v>
      </c>
      <c r="D178" s="15" t="s">
        <v>955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484</v>
      </c>
      <c r="C179" s="12" t="s">
        <v>481</v>
      </c>
      <c r="D179" s="15" t="s">
        <v>955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485</v>
      </c>
      <c r="C180" s="12" t="s">
        <v>481</v>
      </c>
      <c r="D180" s="15" t="s">
        <v>955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486</v>
      </c>
      <c r="C181" s="12" t="s">
        <v>481</v>
      </c>
      <c r="D181" s="15" t="s">
        <v>955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487</v>
      </c>
      <c r="C182" s="12" t="s">
        <v>481</v>
      </c>
      <c r="D182" s="15" t="s">
        <v>955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488</v>
      </c>
      <c r="C183" s="12" t="s">
        <v>481</v>
      </c>
      <c r="D183" s="15" t="s">
        <v>955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489</v>
      </c>
      <c r="C184" s="12" t="s">
        <v>478</v>
      </c>
      <c r="D184" s="15" t="s">
        <v>955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490</v>
      </c>
      <c r="C185" s="12" t="s">
        <v>478</v>
      </c>
      <c r="D185" s="15" t="s">
        <v>955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491</v>
      </c>
      <c r="C186" s="12" t="s">
        <v>481</v>
      </c>
      <c r="D186" s="15" t="s">
        <v>972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493</v>
      </c>
      <c r="C187" s="12" t="s">
        <v>481</v>
      </c>
      <c r="D187" s="15" t="s">
        <v>956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33</v>
      </c>
      <c r="C188" s="28" t="s">
        <v>1122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80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2:9">
      <c r="B190" s="33"/>
      <c r="D190" s="34"/>
      <c r="E190" s="229"/>
      <c r="F190" s="229"/>
      <c r="G190" s="229"/>
      <c r="I190" s="35"/>
    </row>
    <row r="191" ht="65.25" customHeight="1" spans="2:7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8">
      <c r="A2" s="76" t="s">
        <v>1126</v>
      </c>
      <c r="B2" s="77"/>
      <c r="C2" s="76"/>
      <c r="D2" s="76"/>
      <c r="E2" s="216"/>
      <c r="F2" s="78"/>
      <c r="G2" s="78"/>
      <c r="H2" s="78"/>
    </row>
    <row r="3" ht="9.75" customHeight="1" spans="5:5">
      <c r="E3" s="217" t="e">
        <f>'[1]FEB 08'!E11/'[1]FEB 08'!M11</f>
        <v>#REF!</v>
      </c>
    </row>
    <row r="4" ht="45" customHeight="1" spans="1:8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1144</v>
      </c>
      <c r="G4" s="218" t="s">
        <v>1145</v>
      </c>
      <c r="H4" s="24" t="s">
        <v>511</v>
      </c>
    </row>
    <row r="5" customHeight="1" spans="1:8">
      <c r="A5" s="9" t="s">
        <v>20</v>
      </c>
      <c r="B5" s="8" t="s">
        <v>21</v>
      </c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</row>
    <row r="6" customHeight="1" spans="1:9">
      <c r="A6" s="10">
        <v>1</v>
      </c>
      <c r="B6" s="11" t="s">
        <v>236</v>
      </c>
      <c r="C6" s="12" t="s">
        <v>237</v>
      </c>
      <c r="D6" s="12" t="s">
        <v>238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1016</v>
      </c>
      <c r="C7" s="4" t="s">
        <v>1106</v>
      </c>
      <c r="D7" s="10" t="s">
        <v>231</v>
      </c>
      <c r="E7" s="85">
        <f>42653.17</f>
        <v>42653.17</v>
      </c>
      <c r="F7" s="85">
        <f>0.025*E7</f>
        <v>1066.32925</v>
      </c>
      <c r="G7" s="85">
        <f>'[12]April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1107</v>
      </c>
      <c r="C8" s="4" t="s">
        <v>1108</v>
      </c>
      <c r="D8" s="10" t="s">
        <v>231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239</v>
      </c>
      <c r="C9" s="12" t="s">
        <v>240</v>
      </c>
      <c r="D9" s="10" t="s">
        <v>234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241</v>
      </c>
      <c r="C10" s="4" t="s">
        <v>242</v>
      </c>
      <c r="D10" s="15" t="s">
        <v>308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363</v>
      </c>
      <c r="C11" s="4" t="s">
        <v>1018</v>
      </c>
      <c r="D11" s="16" t="s">
        <v>308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243</v>
      </c>
      <c r="C12" s="17" t="s">
        <v>244</v>
      </c>
      <c r="D12" s="16" t="s">
        <v>308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245</v>
      </c>
      <c r="C13" s="4" t="s">
        <v>246</v>
      </c>
      <c r="D13" s="16" t="s">
        <v>308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247</v>
      </c>
      <c r="C14" s="12" t="s">
        <v>248</v>
      </c>
      <c r="D14" s="15" t="s">
        <v>249</v>
      </c>
      <c r="E14" s="85">
        <v>33507.5</v>
      </c>
      <c r="F14" s="85">
        <f>0.025*E14</f>
        <v>837.6875</v>
      </c>
      <c r="G14" s="85">
        <f>'[12]April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223</v>
      </c>
      <c r="C15" s="12" t="s">
        <v>224</v>
      </c>
      <c r="D15" s="10" t="s">
        <v>222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1109</v>
      </c>
      <c r="C16" s="4" t="s">
        <v>1110</v>
      </c>
      <c r="D16" s="16" t="s">
        <v>257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1019</v>
      </c>
      <c r="C17" s="4" t="s">
        <v>253</v>
      </c>
      <c r="D17" s="10" t="s">
        <v>257</v>
      </c>
      <c r="E17" s="85">
        <v>27611.23</v>
      </c>
      <c r="F17" s="85">
        <f>0.025*E17</f>
        <v>690.28075</v>
      </c>
      <c r="G17" s="85">
        <f>'[12]April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1111</v>
      </c>
      <c r="C18" s="4" t="s">
        <v>1112</v>
      </c>
      <c r="D18" s="10" t="s">
        <v>257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252</v>
      </c>
      <c r="C19" s="4" t="s">
        <v>253</v>
      </c>
      <c r="D19" s="15" t="s">
        <v>257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264</v>
      </c>
      <c r="C20" s="12" t="s">
        <v>265</v>
      </c>
      <c r="D20" s="15" t="s">
        <v>950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267</v>
      </c>
      <c r="C21" s="4" t="s">
        <v>268</v>
      </c>
      <c r="D21" s="15" t="s">
        <v>951</v>
      </c>
      <c r="E21" s="85">
        <f>23891.12</f>
        <v>23891.12</v>
      </c>
      <c r="F21" s="85">
        <f>0.025*E21</f>
        <v>597.278</v>
      </c>
      <c r="G21" s="85">
        <f>'[12]April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389</v>
      </c>
      <c r="C22" s="12" t="s">
        <v>390</v>
      </c>
      <c r="D22" s="15" t="s">
        <v>271</v>
      </c>
      <c r="E22" s="85">
        <f>22837.82</f>
        <v>22837.82</v>
      </c>
      <c r="F22" s="85">
        <f>0.025*E22</f>
        <v>570.9455</v>
      </c>
      <c r="G22" s="85">
        <f>'[12]April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270</v>
      </c>
      <c r="C23" s="12" t="s">
        <v>50</v>
      </c>
      <c r="D23" s="15" t="s">
        <v>332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387</v>
      </c>
      <c r="C24" s="4" t="s">
        <v>388</v>
      </c>
      <c r="D24" s="15" t="s">
        <v>332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427</v>
      </c>
      <c r="C25" s="4" t="s">
        <v>1128</v>
      </c>
      <c r="D25" s="15" t="s">
        <v>432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1113</v>
      </c>
      <c r="C26" s="12" t="s">
        <v>293</v>
      </c>
      <c r="D26" s="15" t="s">
        <v>345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278</v>
      </c>
      <c r="C27" s="4" t="s">
        <v>176</v>
      </c>
      <c r="D27" s="10" t="s">
        <v>283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280</v>
      </c>
      <c r="C28" s="12" t="s">
        <v>176</v>
      </c>
      <c r="D28" s="15" t="s">
        <v>283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1020</v>
      </c>
      <c r="C29" s="12" t="s">
        <v>1021</v>
      </c>
      <c r="D29" s="15" t="s">
        <v>283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282</v>
      </c>
      <c r="C30" s="12" t="s">
        <v>967</v>
      </c>
      <c r="D30" s="15" t="s">
        <v>1129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370</v>
      </c>
      <c r="C31" s="17" t="s">
        <v>1130</v>
      </c>
      <c r="D31" s="15" t="s">
        <v>945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284</v>
      </c>
      <c r="C32" s="4" t="s">
        <v>1022</v>
      </c>
      <c r="D32" s="10" t="s">
        <v>945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287</v>
      </c>
      <c r="C33" s="17" t="s">
        <v>288</v>
      </c>
      <c r="D33" s="15" t="s">
        <v>283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289</v>
      </c>
      <c r="C34" s="4" t="s">
        <v>1131</v>
      </c>
      <c r="D34" s="10" t="s">
        <v>294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933</v>
      </c>
      <c r="C35" s="12" t="s">
        <v>293</v>
      </c>
      <c r="D35" s="15" t="s">
        <v>294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1114</v>
      </c>
      <c r="C36" s="12" t="s">
        <v>293</v>
      </c>
      <c r="D36" s="15" t="s">
        <v>294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33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4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34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295</v>
      </c>
      <c r="C40" s="4" t="s">
        <v>296</v>
      </c>
      <c r="D40" s="10" t="s">
        <v>297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298</v>
      </c>
      <c r="C41" s="4" t="s">
        <v>537</v>
      </c>
      <c r="D41" s="10" t="s">
        <v>30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38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302</v>
      </c>
      <c r="C45" s="4" t="s">
        <v>303</v>
      </c>
      <c r="D45" s="10" t="s">
        <v>297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304</v>
      </c>
      <c r="C46" s="4" t="s">
        <v>305</v>
      </c>
      <c r="D46" s="10" t="s">
        <v>249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306</v>
      </c>
      <c r="C47" s="4" t="s">
        <v>310</v>
      </c>
      <c r="D47" s="10" t="s">
        <v>249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309</v>
      </c>
      <c r="C48" s="4" t="s">
        <v>310</v>
      </c>
      <c r="D48" s="10" t="s">
        <v>249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311</v>
      </c>
      <c r="C49" s="4" t="s">
        <v>310</v>
      </c>
      <c r="D49" s="10" t="s">
        <v>327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312</v>
      </c>
      <c r="C50" s="4" t="s">
        <v>259</v>
      </c>
      <c r="D50" s="10" t="s">
        <v>257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313</v>
      </c>
      <c r="C51" s="4" t="s">
        <v>256</v>
      </c>
      <c r="D51" s="16" t="s">
        <v>257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1025</v>
      </c>
      <c r="C52" s="4" t="s">
        <v>256</v>
      </c>
      <c r="D52" s="10" t="s">
        <v>342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258</v>
      </c>
      <c r="C53" s="4" t="s">
        <v>353</v>
      </c>
      <c r="D53" s="10" t="s">
        <v>266</v>
      </c>
      <c r="E53" s="85">
        <v>25523.45</v>
      </c>
      <c r="F53" s="85">
        <f>0.025*E53</f>
        <v>638.08625</v>
      </c>
      <c r="G53" s="85">
        <f>'[12]April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315</v>
      </c>
      <c r="C54" s="4" t="s">
        <v>63</v>
      </c>
      <c r="D54" s="10" t="s">
        <v>24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316</v>
      </c>
      <c r="C55" s="4" t="s">
        <v>63</v>
      </c>
      <c r="D55" s="10" t="s">
        <v>24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317</v>
      </c>
      <c r="C56" s="4" t="s">
        <v>63</v>
      </c>
      <c r="D56" s="10" t="s">
        <v>24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33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46"/>
      <c r="F58" s="146"/>
      <c r="G58" s="146"/>
      <c r="H58" s="85">
        <f t="shared" si="0"/>
        <v>0</v>
      </c>
      <c r="I58" s="13"/>
    </row>
    <row r="59" customHeight="1" spans="1:9">
      <c r="A59" s="10"/>
      <c r="B59" s="20" t="s">
        <v>318</v>
      </c>
      <c r="C59" s="21"/>
      <c r="D59" s="21"/>
      <c r="E59" s="146"/>
      <c r="F59" s="146"/>
      <c r="G59" s="146"/>
      <c r="H59" s="85">
        <f t="shared" si="0"/>
        <v>0</v>
      </c>
      <c r="I59" s="13"/>
    </row>
    <row r="60" customHeight="1" spans="1:9">
      <c r="A60" s="10">
        <v>1</v>
      </c>
      <c r="B60" s="11" t="s">
        <v>319</v>
      </c>
      <c r="C60" s="12" t="s">
        <v>320</v>
      </c>
      <c r="D60" s="15" t="s">
        <v>297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33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46"/>
      <c r="F62" s="146"/>
      <c r="G62" s="146"/>
      <c r="H62" s="85">
        <f t="shared" si="0"/>
        <v>0</v>
      </c>
      <c r="I62" s="13"/>
    </row>
    <row r="63" customHeight="1" spans="1:9">
      <c r="A63" s="10"/>
      <c r="B63" s="20" t="s">
        <v>44</v>
      </c>
      <c r="C63" s="21"/>
      <c r="D63" s="21"/>
      <c r="E63" s="146"/>
      <c r="F63" s="146"/>
      <c r="G63" s="146"/>
      <c r="H63" s="85">
        <f t="shared" si="0"/>
        <v>0</v>
      </c>
      <c r="I63" s="13"/>
    </row>
    <row r="64" customHeight="1" spans="1:9">
      <c r="A64" s="10">
        <v>1</v>
      </c>
      <c r="B64" s="11" t="s">
        <v>323</v>
      </c>
      <c r="C64" s="17" t="s">
        <v>324</v>
      </c>
      <c r="D64" s="10" t="s">
        <v>297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325</v>
      </c>
      <c r="C65" s="17" t="s">
        <v>326</v>
      </c>
      <c r="D65" s="15" t="s">
        <v>952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328</v>
      </c>
      <c r="C66" s="4" t="s">
        <v>46</v>
      </c>
      <c r="D66" s="10" t="s">
        <v>266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329</v>
      </c>
      <c r="C67" s="17" t="s">
        <v>46</v>
      </c>
      <c r="D67" s="15" t="s">
        <v>950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330</v>
      </c>
      <c r="C68" s="17" t="s">
        <v>256</v>
      </c>
      <c r="D68" s="15" t="s">
        <v>257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331</v>
      </c>
      <c r="C69" s="4" t="s">
        <v>63</v>
      </c>
      <c r="D69" s="10" t="s">
        <v>1132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1033</v>
      </c>
      <c r="C70" s="17" t="s">
        <v>275</v>
      </c>
      <c r="D70" s="15" t="s">
        <v>271</v>
      </c>
      <c r="E70" s="85">
        <f>22837.82</f>
        <v>22837.82</v>
      </c>
      <c r="F70" s="85">
        <f>0.025*E70</f>
        <v>570.9455</v>
      </c>
      <c r="G70" s="85">
        <f>'[12]April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333</v>
      </c>
      <c r="C71" s="17" t="s">
        <v>275</v>
      </c>
      <c r="D71" s="15" t="s">
        <v>41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334</v>
      </c>
      <c r="C72" s="17" t="s">
        <v>275</v>
      </c>
      <c r="D72" s="15" t="s">
        <v>41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335</v>
      </c>
      <c r="C73" s="4" t="s">
        <v>336</v>
      </c>
      <c r="D73" s="10" t="s">
        <v>332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1115</v>
      </c>
      <c r="C74" s="17" t="s">
        <v>63</v>
      </c>
      <c r="D74" s="10" t="s">
        <v>301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281</v>
      </c>
      <c r="C75" s="17" t="s">
        <v>273</v>
      </c>
      <c r="D75" s="10" t="s">
        <v>283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272</v>
      </c>
      <c r="C76" s="17" t="s">
        <v>273</v>
      </c>
      <c r="D76" s="10" t="s">
        <v>294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33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46"/>
      <c r="F78" s="146"/>
      <c r="G78" s="146"/>
      <c r="H78" s="85">
        <f t="shared" si="6"/>
        <v>0</v>
      </c>
      <c r="I78" s="13"/>
    </row>
    <row r="79" customHeight="1" spans="1:9">
      <c r="A79" s="10"/>
      <c r="B79" s="20" t="s">
        <v>51</v>
      </c>
      <c r="C79" s="21"/>
      <c r="D79" s="21"/>
      <c r="E79" s="146"/>
      <c r="F79" s="146"/>
      <c r="G79" s="146"/>
      <c r="H79" s="85">
        <f t="shared" si="6"/>
        <v>0</v>
      </c>
      <c r="I79" s="13"/>
    </row>
    <row r="80" customHeight="1" spans="1:9">
      <c r="A80" s="10">
        <v>1</v>
      </c>
      <c r="B80" s="11" t="s">
        <v>338</v>
      </c>
      <c r="C80" s="4" t="s">
        <v>339</v>
      </c>
      <c r="D80" s="10" t="s">
        <v>297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220</v>
      </c>
      <c r="C81" s="4" t="s">
        <v>221</v>
      </c>
      <c r="D81" s="15" t="s">
        <v>952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1116</v>
      </c>
      <c r="C82" s="4" t="s">
        <v>1117</v>
      </c>
      <c r="D82" s="15" t="s">
        <v>952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340</v>
      </c>
      <c r="C83" s="4" t="s">
        <v>968</v>
      </c>
      <c r="D83" s="15" t="s">
        <v>266</v>
      </c>
      <c r="E83" s="85">
        <v>25523.45</v>
      </c>
      <c r="F83" s="85">
        <f>0.025*E83</f>
        <v>638.08625</v>
      </c>
      <c r="G83" s="85">
        <f>'[12]April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343</v>
      </c>
      <c r="C84" s="4" t="s">
        <v>344</v>
      </c>
      <c r="D84" s="10" t="s">
        <v>301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33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46"/>
      <c r="F86" s="146"/>
      <c r="G86" s="146"/>
      <c r="H86" s="85">
        <f t="shared" si="6"/>
        <v>0</v>
      </c>
      <c r="I86" s="13"/>
    </row>
    <row r="87" customHeight="1" spans="1:9">
      <c r="A87" s="10"/>
      <c r="B87" s="20" t="s">
        <v>56</v>
      </c>
      <c r="C87" s="25"/>
      <c r="D87" s="21"/>
      <c r="E87" s="146"/>
      <c r="F87" s="146"/>
      <c r="G87" s="146"/>
      <c r="H87" s="85">
        <f t="shared" si="6"/>
        <v>0</v>
      </c>
      <c r="I87" s="13"/>
    </row>
    <row r="88" ht="23.25" customHeight="1" spans="1:9">
      <c r="A88" s="10">
        <v>1</v>
      </c>
      <c r="B88" s="11" t="s">
        <v>1133</v>
      </c>
      <c r="C88" s="4" t="s">
        <v>1134</v>
      </c>
      <c r="D88" s="10" t="s">
        <v>231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349</v>
      </c>
      <c r="C89" s="4" t="s">
        <v>310</v>
      </c>
      <c r="D89" s="10" t="s">
        <v>249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350</v>
      </c>
      <c r="C90" s="4" t="s">
        <v>310</v>
      </c>
      <c r="D90" s="10" t="s">
        <v>249</v>
      </c>
      <c r="E90" s="85">
        <v>33507.5</v>
      </c>
      <c r="F90" s="85">
        <f>0.025*E90</f>
        <v>837.6875</v>
      </c>
      <c r="G90" s="85">
        <f>'[12]April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386</v>
      </c>
      <c r="C91" s="4" t="s">
        <v>256</v>
      </c>
      <c r="D91" s="10" t="s">
        <v>254</v>
      </c>
      <c r="E91" s="85">
        <f>28489.81</f>
        <v>28489.81</v>
      </c>
      <c r="F91" s="85">
        <f>0.025*E91</f>
        <v>712.24525</v>
      </c>
      <c r="G91" s="85">
        <f>'[12]April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351</v>
      </c>
      <c r="C92" s="4" t="s">
        <v>259</v>
      </c>
      <c r="D92" s="10" t="s">
        <v>257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352</v>
      </c>
      <c r="C93" s="4" t="s">
        <v>353</v>
      </c>
      <c r="D93" s="15" t="s">
        <v>266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354</v>
      </c>
      <c r="C94" s="12" t="s">
        <v>46</v>
      </c>
      <c r="D94" s="15" t="s">
        <v>950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355</v>
      </c>
      <c r="C95" s="12" t="s">
        <v>46</v>
      </c>
      <c r="D95" s="15" t="s">
        <v>950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357</v>
      </c>
      <c r="C96" s="17" t="s">
        <v>275</v>
      </c>
      <c r="D96" s="15" t="s">
        <v>41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359</v>
      </c>
      <c r="C97" s="4" t="s">
        <v>360</v>
      </c>
      <c r="D97" s="10" t="s">
        <v>37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361</v>
      </c>
      <c r="C98" s="17" t="s">
        <v>362</v>
      </c>
      <c r="D98" s="15" t="s">
        <v>294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33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46"/>
      <c r="F100" s="146"/>
      <c r="G100" s="146"/>
      <c r="H100" s="85">
        <f t="shared" si="6"/>
        <v>0</v>
      </c>
      <c r="I100" s="13"/>
    </row>
    <row r="101" customHeight="1" spans="1:9">
      <c r="A101" s="10"/>
      <c r="B101" s="20" t="s">
        <v>58</v>
      </c>
      <c r="C101" s="21"/>
      <c r="D101" s="21"/>
      <c r="E101" s="146"/>
      <c r="F101" s="146"/>
      <c r="G101" s="146"/>
      <c r="H101" s="85">
        <f t="shared" si="6"/>
        <v>0</v>
      </c>
      <c r="I101" s="13"/>
    </row>
    <row r="102" customHeight="1" spans="1:9">
      <c r="A102" s="10">
        <v>1</v>
      </c>
      <c r="B102" s="18" t="s">
        <v>232</v>
      </c>
      <c r="C102" s="10" t="s">
        <v>233</v>
      </c>
      <c r="D102" s="15" t="s">
        <v>308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250</v>
      </c>
      <c r="C103" s="4" t="s">
        <v>367</v>
      </c>
      <c r="D103" s="10" t="s">
        <v>257</v>
      </c>
      <c r="E103" s="85">
        <v>27611.23</v>
      </c>
      <c r="F103" s="85">
        <f>0.025*E103</f>
        <v>690.28075</v>
      </c>
      <c r="G103" s="85">
        <f>'[12]April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1135</v>
      </c>
      <c r="C104" s="4" t="s">
        <v>1136</v>
      </c>
      <c r="D104" s="15" t="s">
        <v>950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368</v>
      </c>
      <c r="C105" s="4" t="s">
        <v>369</v>
      </c>
      <c r="D105" s="15" t="s">
        <v>332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33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46"/>
      <c r="F107" s="146"/>
      <c r="G107" s="146"/>
      <c r="H107" s="85">
        <f t="shared" si="6"/>
        <v>0</v>
      </c>
      <c r="I107" s="13"/>
    </row>
    <row r="108" customHeight="1" spans="1:9">
      <c r="A108" s="4"/>
      <c r="B108" s="20" t="s">
        <v>372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373</v>
      </c>
      <c r="C109" s="12" t="s">
        <v>374</v>
      </c>
      <c r="D109" s="15" t="s">
        <v>297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375</v>
      </c>
      <c r="C110" s="4" t="s">
        <v>376</v>
      </c>
      <c r="D110" s="16" t="s">
        <v>308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377</v>
      </c>
      <c r="C111" s="4" t="s">
        <v>378</v>
      </c>
      <c r="D111" s="10" t="s">
        <v>263</v>
      </c>
      <c r="E111" s="85">
        <v>26339.3</v>
      </c>
      <c r="F111" s="85">
        <f>0.025*E111</f>
        <v>658.4825</v>
      </c>
      <c r="G111" s="85">
        <f>'[12]April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379</v>
      </c>
      <c r="C112" s="4" t="s">
        <v>378</v>
      </c>
      <c r="D112" s="10" t="s">
        <v>263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380</v>
      </c>
      <c r="C113" s="4" t="s">
        <v>381</v>
      </c>
      <c r="D113" s="15" t="s">
        <v>384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383</v>
      </c>
      <c r="C114" s="4" t="s">
        <v>381</v>
      </c>
      <c r="D114" s="10" t="s">
        <v>945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385</v>
      </c>
      <c r="C115" s="4" t="s">
        <v>381</v>
      </c>
      <c r="D115" s="15" t="s">
        <v>294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33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67</v>
      </c>
      <c r="C118" s="21"/>
      <c r="D118" s="21"/>
      <c r="E118" s="146"/>
      <c r="F118" s="146"/>
      <c r="G118" s="146"/>
      <c r="H118" s="85">
        <f t="shared" si="6"/>
        <v>0</v>
      </c>
      <c r="I118" s="13"/>
    </row>
    <row r="119" customHeight="1" spans="1:9">
      <c r="A119" s="4">
        <v>1</v>
      </c>
      <c r="B119" s="11" t="s">
        <v>392</v>
      </c>
      <c r="C119" s="12" t="s">
        <v>393</v>
      </c>
      <c r="D119" s="15" t="s">
        <v>297</v>
      </c>
      <c r="E119" s="85">
        <v>81740.02</v>
      </c>
      <c r="F119" s="85">
        <f>0.025*E119</f>
        <v>2043.5005</v>
      </c>
      <c r="G119" s="85">
        <f>'[12]April 2022'!$H$21</f>
        <v>2043.5005</v>
      </c>
      <c r="H119" s="85">
        <f t="shared" si="6"/>
        <v>0</v>
      </c>
      <c r="I119" s="13"/>
    </row>
    <row r="120" customHeight="1" spans="1:9">
      <c r="A120" s="4" t="s">
        <v>1137</v>
      </c>
      <c r="B120" s="11" t="s">
        <v>1138</v>
      </c>
      <c r="C120" s="12" t="s">
        <v>1139</v>
      </c>
      <c r="D120" s="15" t="s">
        <v>231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128</v>
      </c>
      <c r="C121" s="12" t="s">
        <v>227</v>
      </c>
      <c r="D121" s="15" t="s">
        <v>249</v>
      </c>
      <c r="E121" s="85">
        <v>33507.5</v>
      </c>
      <c r="F121" s="85">
        <f>0.025*E121</f>
        <v>837.6875</v>
      </c>
      <c r="G121" s="85">
        <f>'[12]April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395</v>
      </c>
      <c r="C122" s="12" t="s">
        <v>227</v>
      </c>
      <c r="D122" s="15" t="s">
        <v>249</v>
      </c>
      <c r="E122" s="85">
        <v>33507.5</v>
      </c>
      <c r="F122" s="85">
        <f>0.025*E122</f>
        <v>837.6875</v>
      </c>
      <c r="G122" s="85">
        <f>'[12]April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226</v>
      </c>
      <c r="C123" s="12" t="s">
        <v>227</v>
      </c>
      <c r="D123" s="15" t="s">
        <v>228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396</v>
      </c>
      <c r="C124" s="12" t="s">
        <v>397</v>
      </c>
      <c r="D124" s="15" t="s">
        <v>342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398</v>
      </c>
      <c r="C125" s="12" t="s">
        <v>399</v>
      </c>
      <c r="D125" s="15" t="s">
        <v>266</v>
      </c>
      <c r="E125" s="85">
        <v>25523.45</v>
      </c>
      <c r="F125" s="85">
        <f>0.025*E125</f>
        <v>638.08625</v>
      </c>
      <c r="G125" s="85">
        <f>'[12]April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400</v>
      </c>
      <c r="C126" s="12" t="s">
        <v>970</v>
      </c>
      <c r="D126" s="15" t="s">
        <v>266</v>
      </c>
      <c r="E126" s="85">
        <v>25523.45</v>
      </c>
      <c r="F126" s="85">
        <f>0.025*E126</f>
        <v>638.08625</v>
      </c>
      <c r="G126" s="85">
        <f>'[12]April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1140</v>
      </c>
      <c r="C127" s="12" t="s">
        <v>1141</v>
      </c>
      <c r="D127" s="15" t="s">
        <v>269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401</v>
      </c>
      <c r="C128" s="12" t="s">
        <v>402</v>
      </c>
      <c r="D128" s="10" t="s">
        <v>283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403</v>
      </c>
      <c r="C129" s="12" t="s">
        <v>404</v>
      </c>
      <c r="D129" s="15" t="s">
        <v>294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33</v>
      </c>
      <c r="C130" s="26" t="s">
        <v>1142</v>
      </c>
      <c r="D130" s="15"/>
      <c r="E130" s="14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4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46"/>
      <c r="F131" s="146"/>
      <c r="G131" s="146"/>
      <c r="H131" s="85">
        <f t="shared" si="6"/>
        <v>0</v>
      </c>
      <c r="I131" s="13"/>
    </row>
    <row r="132" customHeight="1" spans="1:9">
      <c r="A132" s="4"/>
      <c r="B132" s="20" t="s">
        <v>71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407</v>
      </c>
      <c r="C133" s="12" t="s">
        <v>408</v>
      </c>
      <c r="D133" s="15" t="s">
        <v>297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229</v>
      </c>
      <c r="C134" s="12" t="s">
        <v>230</v>
      </c>
      <c r="D134" s="15" t="s">
        <v>231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409</v>
      </c>
      <c r="C135" s="4" t="s">
        <v>410</v>
      </c>
      <c r="D135" s="16" t="s">
        <v>308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411</v>
      </c>
      <c r="C136" s="12" t="s">
        <v>412</v>
      </c>
      <c r="D136" s="15" t="s">
        <v>257</v>
      </c>
      <c r="E136" s="85">
        <v>27611.23</v>
      </c>
      <c r="F136" s="85">
        <f>0.025*E136</f>
        <v>690.28075</v>
      </c>
      <c r="G136" s="85">
        <f>'[12]April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413</v>
      </c>
      <c r="C137" s="4" t="s">
        <v>414</v>
      </c>
      <c r="D137" s="15" t="s">
        <v>257</v>
      </c>
      <c r="E137" s="85">
        <v>27611.23</v>
      </c>
      <c r="F137" s="85">
        <f>0.025*E137</f>
        <v>690.28075</v>
      </c>
      <c r="G137" s="85">
        <f>'[12]April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366</v>
      </c>
      <c r="C138" s="4" t="s">
        <v>420</v>
      </c>
      <c r="D138" s="15" t="s">
        <v>266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416</v>
      </c>
      <c r="C139" s="12" t="s">
        <v>417</v>
      </c>
      <c r="D139" s="15" t="s">
        <v>271</v>
      </c>
      <c r="E139" s="85">
        <f>22837.82</f>
        <v>22837.82</v>
      </c>
      <c r="F139" s="85">
        <f>0.025*E139</f>
        <v>570.9455</v>
      </c>
      <c r="G139" s="85">
        <f>'[12]April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418</v>
      </c>
      <c r="C140" s="12" t="s">
        <v>417</v>
      </c>
      <c r="D140" s="15" t="s">
        <v>271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419</v>
      </c>
      <c r="C141" s="4" t="s">
        <v>420</v>
      </c>
      <c r="D141" s="15" t="s">
        <v>271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421</v>
      </c>
      <c r="C142" s="12" t="s">
        <v>426</v>
      </c>
      <c r="D142" s="15" t="s">
        <v>332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423</v>
      </c>
      <c r="C143" s="12" t="s">
        <v>971</v>
      </c>
      <c r="D143" s="15" t="s">
        <v>432</v>
      </c>
      <c r="E143" s="220">
        <v>18779.3</v>
      </c>
      <c r="F143" s="85">
        <f>0.025*E143</f>
        <v>469.4825</v>
      </c>
      <c r="G143" s="85">
        <f>'[12]April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425</v>
      </c>
      <c r="C144" s="12" t="s">
        <v>426</v>
      </c>
      <c r="D144" s="15" t="s">
        <v>271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429</v>
      </c>
      <c r="C145" s="4" t="s">
        <v>430</v>
      </c>
      <c r="D145" s="15" t="s">
        <v>301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431</v>
      </c>
      <c r="C146" s="4" t="s">
        <v>430</v>
      </c>
      <c r="D146" s="15" t="s">
        <v>345</v>
      </c>
      <c r="E146" s="220">
        <v>18281.64</v>
      </c>
      <c r="F146" s="85">
        <f>0.025*E146</f>
        <v>457.041</v>
      </c>
      <c r="G146" s="85">
        <f>'[12]April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433</v>
      </c>
      <c r="C147" s="4" t="s">
        <v>430</v>
      </c>
      <c r="D147" s="15" t="s">
        <v>345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434</v>
      </c>
      <c r="C148" s="12" t="s">
        <v>435</v>
      </c>
      <c r="D148" s="15" t="s">
        <v>37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953</v>
      </c>
      <c r="C149" s="12" t="s">
        <v>437</v>
      </c>
      <c r="D149" s="10" t="s">
        <v>24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438</v>
      </c>
      <c r="C150" s="12" t="s">
        <v>439</v>
      </c>
      <c r="D150" s="15" t="s">
        <v>301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440</v>
      </c>
      <c r="C151" s="12" t="s">
        <v>441</v>
      </c>
      <c r="D151" s="15" t="s">
        <v>283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442</v>
      </c>
      <c r="C152" s="12" t="s">
        <v>443</v>
      </c>
      <c r="D152" s="15" t="s">
        <v>301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444</v>
      </c>
      <c r="C153" s="12" t="s">
        <v>445</v>
      </c>
      <c r="D153" s="15" t="s">
        <v>283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446</v>
      </c>
      <c r="C154" s="12" t="s">
        <v>451</v>
      </c>
      <c r="D154" s="15" t="s">
        <v>1129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1143</v>
      </c>
      <c r="C155" s="12" t="s">
        <v>449</v>
      </c>
      <c r="D155" s="15" t="s">
        <v>294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448</v>
      </c>
      <c r="C156" s="12" t="s">
        <v>449</v>
      </c>
      <c r="D156" s="15" t="s">
        <v>30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450</v>
      </c>
      <c r="C157" s="12" t="s">
        <v>451</v>
      </c>
      <c r="D157" s="15" t="s">
        <v>30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452</v>
      </c>
      <c r="C158" s="12" t="s">
        <v>453</v>
      </c>
      <c r="D158" s="15" t="s">
        <v>294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454</v>
      </c>
      <c r="C159" s="12" t="s">
        <v>455</v>
      </c>
      <c r="D159" s="15" t="s">
        <v>294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457</v>
      </c>
      <c r="C160" s="12" t="s">
        <v>458</v>
      </c>
      <c r="D160" s="15" t="s">
        <v>465</v>
      </c>
      <c r="E160" s="226">
        <f>10527.6</f>
        <v>10527.6</v>
      </c>
      <c r="F160" s="85">
        <f>0.025*E160</f>
        <v>263.19</v>
      </c>
      <c r="G160" s="85">
        <f>'[12]April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460</v>
      </c>
      <c r="C161" s="12" t="s">
        <v>458</v>
      </c>
      <c r="D161" s="15" t="s">
        <v>465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461</v>
      </c>
      <c r="C162" s="12" t="s">
        <v>458</v>
      </c>
      <c r="D162" s="15" t="s">
        <v>465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662</v>
      </c>
      <c r="C163" s="12" t="s">
        <v>458</v>
      </c>
      <c r="D163" s="15" t="s">
        <v>465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462</v>
      </c>
      <c r="C164" s="12" t="s">
        <v>458</v>
      </c>
      <c r="D164" s="15" t="s">
        <v>465</v>
      </c>
      <c r="E164" s="226">
        <f t="shared" si="16"/>
        <v>10527.6</v>
      </c>
      <c r="F164" s="85">
        <v>263.19</v>
      </c>
      <c r="G164" s="85">
        <f>'[12]April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463</v>
      </c>
      <c r="C165" s="12" t="s">
        <v>458</v>
      </c>
      <c r="D165" s="15" t="s">
        <v>465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464</v>
      </c>
      <c r="C166" s="12" t="s">
        <v>458</v>
      </c>
      <c r="D166" s="15" t="s">
        <v>476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466</v>
      </c>
      <c r="C167" s="12" t="s">
        <v>458</v>
      </c>
      <c r="D167" s="15" t="s">
        <v>476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1121</v>
      </c>
      <c r="C168" s="12" t="s">
        <v>458</v>
      </c>
      <c r="D168" s="15" t="s">
        <v>476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467</v>
      </c>
      <c r="C169" s="12" t="s">
        <v>458</v>
      </c>
      <c r="D169" s="15" t="s">
        <v>476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468</v>
      </c>
      <c r="C170" s="12" t="s">
        <v>458</v>
      </c>
      <c r="D170" s="15" t="s">
        <v>476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469</v>
      </c>
      <c r="C171" s="12" t="s">
        <v>458</v>
      </c>
      <c r="D171" s="15" t="s">
        <v>476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470</v>
      </c>
      <c r="C172" s="12" t="s">
        <v>458</v>
      </c>
      <c r="D172" s="15" t="s">
        <v>476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471</v>
      </c>
      <c r="C173" s="12" t="s">
        <v>478</v>
      </c>
      <c r="D173" s="15" t="s">
        <v>479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474</v>
      </c>
      <c r="C174" s="12" t="s">
        <v>478</v>
      </c>
      <c r="D174" s="15" t="s">
        <v>479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475</v>
      </c>
      <c r="C175" s="12" t="s">
        <v>478</v>
      </c>
      <c r="D175" s="15" t="s">
        <v>948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477</v>
      </c>
      <c r="C176" s="12" t="s">
        <v>478</v>
      </c>
      <c r="D176" s="15" t="s">
        <v>954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480</v>
      </c>
      <c r="C177" s="12" t="s">
        <v>481</v>
      </c>
      <c r="D177" s="15" t="s">
        <v>955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483</v>
      </c>
      <c r="C178" s="12" t="s">
        <v>481</v>
      </c>
      <c r="D178" s="15" t="s">
        <v>955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484</v>
      </c>
      <c r="C179" s="12" t="s">
        <v>481</v>
      </c>
      <c r="D179" s="15" t="s">
        <v>955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485</v>
      </c>
      <c r="C180" s="12" t="s">
        <v>481</v>
      </c>
      <c r="D180" s="15" t="s">
        <v>955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486</v>
      </c>
      <c r="C181" s="12" t="s">
        <v>481</v>
      </c>
      <c r="D181" s="15" t="s">
        <v>955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487</v>
      </c>
      <c r="C182" s="12" t="s">
        <v>481</v>
      </c>
      <c r="D182" s="15" t="s">
        <v>955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488</v>
      </c>
      <c r="C183" s="12" t="s">
        <v>481</v>
      </c>
      <c r="D183" s="15" t="s">
        <v>955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489</v>
      </c>
      <c r="C184" s="12" t="s">
        <v>478</v>
      </c>
      <c r="D184" s="15" t="s">
        <v>955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490</v>
      </c>
      <c r="C185" s="12" t="s">
        <v>478</v>
      </c>
      <c r="D185" s="15" t="s">
        <v>955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491</v>
      </c>
      <c r="C186" s="12" t="s">
        <v>481</v>
      </c>
      <c r="D186" s="15" t="s">
        <v>972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493</v>
      </c>
      <c r="C187" s="12" t="s">
        <v>481</v>
      </c>
      <c r="D187" s="15" t="s">
        <v>956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33</v>
      </c>
      <c r="C188" s="28" t="s">
        <v>1122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46">
        <f t="shared" si="14"/>
        <v>220.9675</v>
      </c>
      <c r="I188" s="13"/>
    </row>
    <row r="189" customHeight="1" spans="1:9">
      <c r="A189" s="4"/>
      <c r="B189" s="30" t="s">
        <v>80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46">
        <f t="shared" si="14"/>
        <v>457.61175</v>
      </c>
      <c r="I189" s="13"/>
    </row>
    <row r="190" customHeight="1" spans="2:9">
      <c r="B190" s="33"/>
      <c r="D190" s="34"/>
      <c r="E190" s="34"/>
      <c r="F190" s="228"/>
      <c r="G190" s="228"/>
      <c r="H190" s="229"/>
      <c r="I190" s="35"/>
    </row>
    <row r="191" ht="65.25" customHeight="1" spans="2:8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1">
      <c r="A1" s="214" t="s">
        <v>0</v>
      </c>
    </row>
    <row r="2" ht="13" spans="1:1">
      <c r="A2" s="214" t="s">
        <v>142</v>
      </c>
    </row>
    <row r="3" ht="13" spans="1:1">
      <c r="A3" s="214" t="s">
        <v>1146</v>
      </c>
    </row>
    <row r="4" ht="90" customHeight="1" spans="1:28">
      <c r="A4" s="215" t="s">
        <v>144</v>
      </c>
      <c r="B4" s="215" t="s">
        <v>145</v>
      </c>
      <c r="C4" s="215" t="s">
        <v>146</v>
      </c>
      <c r="D4" s="215" t="s">
        <v>147</v>
      </c>
      <c r="E4" s="215" t="s">
        <v>148</v>
      </c>
      <c r="F4" s="215" t="s">
        <v>149</v>
      </c>
      <c r="G4" s="215" t="s">
        <v>150</v>
      </c>
      <c r="H4" s="215" t="s">
        <v>151</v>
      </c>
      <c r="I4" s="215" t="s">
        <v>152</v>
      </c>
      <c r="J4" s="215"/>
      <c r="K4" s="215"/>
      <c r="L4" s="215"/>
      <c r="M4" s="215" t="s">
        <v>153</v>
      </c>
      <c r="N4" s="215" t="s">
        <v>154</v>
      </c>
      <c r="O4" s="215" t="s">
        <v>155</v>
      </c>
      <c r="P4" s="215" t="s">
        <v>156</v>
      </c>
      <c r="Q4" s="215" t="s">
        <v>157</v>
      </c>
      <c r="R4" s="215" t="s">
        <v>158</v>
      </c>
      <c r="S4" s="215" t="s">
        <v>159</v>
      </c>
      <c r="T4" s="215" t="s">
        <v>160</v>
      </c>
      <c r="U4" s="215" t="s">
        <v>161</v>
      </c>
      <c r="V4" s="215" t="s">
        <v>162</v>
      </c>
      <c r="W4" s="215"/>
      <c r="X4" s="215" t="s">
        <v>163</v>
      </c>
      <c r="Y4" s="215" t="s">
        <v>164</v>
      </c>
      <c r="Z4" s="215" t="s">
        <v>165</v>
      </c>
      <c r="AA4" s="215" t="s">
        <v>1147</v>
      </c>
      <c r="AB4" s="215" t="s">
        <v>520</v>
      </c>
    </row>
    <row r="5" spans="1:28">
      <c r="A5">
        <v>1</v>
      </c>
      <c r="B5" s="213" t="s">
        <v>236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1016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1107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239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241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363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243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245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247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223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1109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1019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1111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252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264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267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389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270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387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427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1113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278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280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1020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282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370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284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287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289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933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1114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1">
      <c r="A37"/>
    </row>
    <row r="38" spans="1:28">
      <c r="A38">
        <v>33</v>
      </c>
      <c r="B38" s="213" t="s">
        <v>295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298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1">
      <c r="A40"/>
    </row>
    <row r="41" spans="1:1">
      <c r="A41"/>
    </row>
    <row r="42" spans="1:28">
      <c r="A42">
        <v>35</v>
      </c>
      <c r="B42" s="213" t="s">
        <v>302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304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306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309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311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312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313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1025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258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315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316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317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1">
      <c r="A54"/>
    </row>
    <row r="55" spans="1:1">
      <c r="A55"/>
    </row>
    <row r="56" spans="1:28">
      <c r="A56">
        <v>47</v>
      </c>
      <c r="B56" s="213" t="s">
        <v>319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6">
      <c r="A57">
        <v>48</v>
      </c>
      <c r="B57" s="213" t="s">
        <v>321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1">
      <c r="A58"/>
    </row>
    <row r="59" spans="1:1">
      <c r="A59"/>
    </row>
    <row r="60" spans="1:28">
      <c r="A60">
        <v>49</v>
      </c>
      <c r="B60" s="213" t="s">
        <v>323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325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328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329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330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331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1033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333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334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335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1115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281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272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1">
      <c r="A73"/>
    </row>
    <row r="74" spans="1:1">
      <c r="A74"/>
    </row>
    <row r="75" spans="1:28">
      <c r="A75">
        <v>62</v>
      </c>
      <c r="B75" s="213" t="s">
        <v>338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220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1116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340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343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1">
      <c r="A80"/>
    </row>
    <row r="81" spans="1:1">
      <c r="A81"/>
    </row>
    <row r="82" spans="1:28">
      <c r="A82">
        <v>66</v>
      </c>
      <c r="B82" s="213" t="s">
        <v>1133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349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350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386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351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352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354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355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357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359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361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1">
      <c r="A93"/>
    </row>
    <row r="94" spans="1:1">
      <c r="A94"/>
    </row>
    <row r="95" spans="1:1">
      <c r="A95"/>
    </row>
    <row r="96" spans="1:28">
      <c r="A96">
        <v>78</v>
      </c>
      <c r="B96" s="213" t="s">
        <v>232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250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1135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368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1">
      <c r="A100"/>
    </row>
    <row r="101" spans="1:1">
      <c r="A101"/>
    </row>
    <row r="102" spans="1:28">
      <c r="A102">
        <v>83</v>
      </c>
      <c r="B102" s="213" t="s">
        <v>373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375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377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379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380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383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385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0">
      <c r="A109"/>
      <c r="O109" s="213">
        <v>0</v>
      </c>
      <c r="P109" s="213">
        <v>0</v>
      </c>
      <c r="T109" s="213">
        <v>0</v>
      </c>
    </row>
    <row r="110" spans="1:20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392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1138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128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395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226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396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398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400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1140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401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403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1">
      <c r="A122"/>
    </row>
    <row r="123" spans="1:1">
      <c r="A123"/>
    </row>
    <row r="124" spans="1:28">
      <c r="A124">
        <v>101</v>
      </c>
      <c r="B124" s="213" t="s">
        <v>407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229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409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411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413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366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416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418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419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421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423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425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429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431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433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434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953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438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440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442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444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446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1143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448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450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452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454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457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460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461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662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462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463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464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466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1121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467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468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469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470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471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474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475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477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480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483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484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485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486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487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488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489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490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491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493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6">
      <c r="A179"/>
      <c r="Z179" s="213">
        <v>8914137.54022931</v>
      </c>
    </row>
    <row r="180" spans="26:26">
      <c r="Z180" s="213">
        <v>1553125.57022931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2:12">
      <c r="B1" s="106"/>
      <c r="C1" s="106"/>
      <c r="D1" s="106"/>
      <c r="E1" s="106"/>
      <c r="L1" s="46" t="s">
        <v>1148</v>
      </c>
    </row>
    <row r="2" ht="5.25" customHeight="1" spans="6:7">
      <c r="F2" s="150"/>
      <c r="G2" s="150"/>
    </row>
    <row r="3" customHeight="1" spans="2:7">
      <c r="B3" s="107" t="s">
        <v>1149</v>
      </c>
      <c r="C3" s="107"/>
      <c r="D3" s="107"/>
      <c r="E3" s="107"/>
      <c r="F3" s="151"/>
      <c r="G3" s="151"/>
    </row>
    <row r="4" ht="2.25" customHeight="1"/>
    <row r="5" customHeight="1" spans="2:7">
      <c r="B5" s="107" t="s">
        <v>2</v>
      </c>
      <c r="C5" s="109"/>
      <c r="D5" s="109"/>
      <c r="E5" s="109"/>
      <c r="F5" s="109"/>
      <c r="G5" s="109"/>
    </row>
    <row r="6" ht="26.45" customHeight="1" spans="1:7">
      <c r="A6" s="43"/>
      <c r="B6" s="55"/>
      <c r="C6" s="55" t="s">
        <v>3</v>
      </c>
      <c r="D6" s="55" t="s">
        <v>1150</v>
      </c>
      <c r="E6" s="55"/>
      <c r="F6" s="68"/>
      <c r="G6" s="68"/>
    </row>
    <row r="7" ht="37.15" customHeight="1" spans="1:7">
      <c r="A7" s="43"/>
      <c r="B7" s="42"/>
      <c r="C7" s="55"/>
      <c r="D7" s="55" t="s">
        <v>1151</v>
      </c>
      <c r="E7" s="111" t="s">
        <v>1152</v>
      </c>
      <c r="F7" s="111" t="s">
        <v>1153</v>
      </c>
      <c r="G7" s="57" t="s">
        <v>511</v>
      </c>
    </row>
    <row r="8" customHeight="1" spans="1:7">
      <c r="A8" s="42" t="s">
        <v>20</v>
      </c>
      <c r="B8" s="182" t="s">
        <v>21</v>
      </c>
      <c r="C8" s="113"/>
      <c r="D8" s="113"/>
      <c r="E8" s="114" t="s">
        <v>19</v>
      </c>
      <c r="F8" s="114" t="s">
        <v>19</v>
      </c>
      <c r="G8" s="114" t="s">
        <v>19</v>
      </c>
    </row>
    <row r="9" customHeight="1" spans="1:8">
      <c r="A9" s="49">
        <v>1</v>
      </c>
      <c r="B9" s="183" t="s">
        <v>236</v>
      </c>
      <c r="C9" s="117" t="s">
        <v>237</v>
      </c>
      <c r="D9" s="117" t="s">
        <v>238</v>
      </c>
      <c r="E9" s="184">
        <v>113176.97</v>
      </c>
      <c r="F9" s="118">
        <f>201165.84</f>
        <v>201165.84</v>
      </c>
      <c r="G9" s="118">
        <f>F9-E9</f>
        <v>87988.87</v>
      </c>
      <c r="H9" s="156"/>
    </row>
    <row r="10" customHeight="1" spans="1:8">
      <c r="A10" s="49">
        <v>2</v>
      </c>
      <c r="B10" s="183" t="s">
        <v>1154</v>
      </c>
      <c r="C10" s="117" t="s">
        <v>1155</v>
      </c>
      <c r="D10" s="119" t="s">
        <v>297</v>
      </c>
      <c r="E10" s="185">
        <v>52776.63</v>
      </c>
      <c r="F10" s="118">
        <f>0</f>
        <v>0</v>
      </c>
      <c r="G10" s="118">
        <f t="shared" ref="G10:G75" si="0">F10-E10</f>
        <v>-52776.63</v>
      </c>
      <c r="H10" s="156"/>
    </row>
    <row r="11" customHeight="1" spans="1:8">
      <c r="A11" s="49">
        <v>3</v>
      </c>
      <c r="B11" s="183" t="s">
        <v>1016</v>
      </c>
      <c r="C11" s="43" t="s">
        <v>1156</v>
      </c>
      <c r="D11" s="49" t="s">
        <v>308</v>
      </c>
      <c r="E11" s="185">
        <v>21618.09</v>
      </c>
      <c r="F11" s="118">
        <f>125875.96</f>
        <v>125875.96</v>
      </c>
      <c r="G11" s="118">
        <f t="shared" si="0"/>
        <v>104257.87</v>
      </c>
      <c r="H11" s="156"/>
    </row>
    <row r="12" customHeight="1" spans="1:8">
      <c r="A12" s="49">
        <v>4</v>
      </c>
      <c r="B12" s="186" t="s">
        <v>1107</v>
      </c>
      <c r="C12" s="120" t="s">
        <v>1108</v>
      </c>
      <c r="D12" s="121" t="s">
        <v>308</v>
      </c>
      <c r="E12" s="187">
        <v>21618.09</v>
      </c>
      <c r="F12" s="118">
        <f>116473.51</f>
        <v>116473.51</v>
      </c>
      <c r="G12" s="118">
        <f t="shared" si="0"/>
        <v>94855.42</v>
      </c>
      <c r="H12" s="156"/>
    </row>
    <row r="13" customHeight="1" spans="1:8">
      <c r="A13" s="49">
        <v>5</v>
      </c>
      <c r="B13" s="183" t="s">
        <v>239</v>
      </c>
      <c r="C13" s="117" t="s">
        <v>240</v>
      </c>
      <c r="D13" s="49" t="s">
        <v>1157</v>
      </c>
      <c r="E13" s="185">
        <v>21618.09</v>
      </c>
      <c r="F13" s="118">
        <f>79993.51</f>
        <v>79993.51</v>
      </c>
      <c r="G13" s="118">
        <f t="shared" si="0"/>
        <v>58375.42</v>
      </c>
      <c r="H13" s="156"/>
    </row>
    <row r="14" customHeight="1" spans="1:8">
      <c r="A14" s="49">
        <v>6</v>
      </c>
      <c r="B14" s="186" t="s">
        <v>241</v>
      </c>
      <c r="C14" s="43" t="s">
        <v>242</v>
      </c>
      <c r="D14" s="119" t="s">
        <v>952</v>
      </c>
      <c r="E14" s="185">
        <v>21618.09</v>
      </c>
      <c r="F14" s="118">
        <f>107095.69</f>
        <v>107095.69</v>
      </c>
      <c r="G14" s="118">
        <f t="shared" si="0"/>
        <v>85477.6</v>
      </c>
      <c r="H14" s="156"/>
    </row>
    <row r="15" customHeight="1" spans="1:8">
      <c r="A15" s="49">
        <v>7</v>
      </c>
      <c r="B15" s="186" t="s">
        <v>363</v>
      </c>
      <c r="C15" s="43" t="s">
        <v>1158</v>
      </c>
      <c r="D15" s="124" t="s">
        <v>249</v>
      </c>
      <c r="E15" s="185">
        <v>15548.33</v>
      </c>
      <c r="F15" s="118">
        <f>83636.1</f>
        <v>83636.1</v>
      </c>
      <c r="G15" s="118">
        <f t="shared" si="0"/>
        <v>68087.77</v>
      </c>
      <c r="H15" s="156"/>
    </row>
    <row r="16" customHeight="1" spans="1:8">
      <c r="A16" s="49">
        <v>8</v>
      </c>
      <c r="B16" s="188" t="s">
        <v>243</v>
      </c>
      <c r="C16" s="17" t="s">
        <v>326</v>
      </c>
      <c r="D16" s="10" t="s">
        <v>249</v>
      </c>
      <c r="E16" s="189">
        <v>15548.33</v>
      </c>
      <c r="F16" s="85">
        <f>64436.1</f>
        <v>64436.1</v>
      </c>
      <c r="G16" s="118">
        <f t="shared" si="0"/>
        <v>48887.77</v>
      </c>
      <c r="H16" s="156"/>
    </row>
    <row r="17" customHeight="1" spans="1:8">
      <c r="A17" s="49">
        <v>9</v>
      </c>
      <c r="B17" s="186" t="s">
        <v>245</v>
      </c>
      <c r="C17" s="43" t="s">
        <v>1159</v>
      </c>
      <c r="D17" s="49" t="s">
        <v>249</v>
      </c>
      <c r="E17" s="185">
        <v>15548.33</v>
      </c>
      <c r="F17" s="118">
        <f>64436.1</f>
        <v>64436.1</v>
      </c>
      <c r="G17" s="118">
        <f t="shared" si="0"/>
        <v>48887.77</v>
      </c>
      <c r="H17" s="156"/>
    </row>
    <row r="18" customHeight="1" spans="1:8">
      <c r="A18" s="49">
        <v>10</v>
      </c>
      <c r="B18" s="190" t="s">
        <v>247</v>
      </c>
      <c r="C18" s="117" t="s">
        <v>1160</v>
      </c>
      <c r="D18" s="119" t="s">
        <v>249</v>
      </c>
      <c r="E18" s="185">
        <v>15548.33</v>
      </c>
      <c r="F18" s="118">
        <f>64436.1</f>
        <v>64436.1</v>
      </c>
      <c r="G18" s="118">
        <f t="shared" si="0"/>
        <v>48887.77</v>
      </c>
      <c r="H18" s="156"/>
    </row>
    <row r="19" customHeight="1" spans="1:8">
      <c r="A19" s="49">
        <v>11</v>
      </c>
      <c r="B19" s="191" t="s">
        <v>223</v>
      </c>
      <c r="C19" s="117" t="s">
        <v>224</v>
      </c>
      <c r="D19" s="50" t="s">
        <v>952</v>
      </c>
      <c r="E19" s="192">
        <v>15548.33</v>
      </c>
      <c r="F19" s="118">
        <f>60212.92</f>
        <v>60212.92</v>
      </c>
      <c r="G19" s="118">
        <f t="shared" si="0"/>
        <v>44664.59</v>
      </c>
      <c r="H19" s="156"/>
    </row>
    <row r="20" customHeight="1" spans="1:8">
      <c r="A20" s="49">
        <v>12</v>
      </c>
      <c r="B20" s="193" t="s">
        <v>1109</v>
      </c>
      <c r="C20" s="120" t="s">
        <v>1110</v>
      </c>
      <c r="D20" s="127" t="s">
        <v>342</v>
      </c>
      <c r="E20" s="187">
        <v>7709.76</v>
      </c>
      <c r="F20" s="122">
        <f>52638.9</f>
        <v>52638.9</v>
      </c>
      <c r="G20" s="118">
        <f t="shared" si="0"/>
        <v>44929.14</v>
      </c>
      <c r="H20" s="156"/>
    </row>
    <row r="21" ht="19.5" customHeight="1" spans="1:8">
      <c r="A21" s="49">
        <v>13</v>
      </c>
      <c r="B21" s="186" t="s">
        <v>1019</v>
      </c>
      <c r="C21" s="120" t="s">
        <v>253</v>
      </c>
      <c r="D21" s="49" t="s">
        <v>342</v>
      </c>
      <c r="E21" s="185">
        <v>7709.76</v>
      </c>
      <c r="F21" s="118">
        <f>43380</f>
        <v>43380</v>
      </c>
      <c r="G21" s="118">
        <f t="shared" si="0"/>
        <v>35670.24</v>
      </c>
      <c r="H21" s="156"/>
    </row>
    <row r="22" ht="19.5" customHeight="1" spans="1:8">
      <c r="A22" s="49">
        <v>14</v>
      </c>
      <c r="B22" s="186" t="s">
        <v>1111</v>
      </c>
      <c r="C22" s="43" t="s">
        <v>1112</v>
      </c>
      <c r="D22" s="49" t="s">
        <v>342</v>
      </c>
      <c r="E22" s="185">
        <v>7709.76</v>
      </c>
      <c r="F22" s="118">
        <f>85278.9</f>
        <v>85278.9</v>
      </c>
      <c r="G22" s="118">
        <f t="shared" si="0"/>
        <v>77569.14</v>
      </c>
      <c r="H22" s="156"/>
    </row>
    <row r="23" customHeight="1" spans="1:8">
      <c r="A23" s="49">
        <v>15</v>
      </c>
      <c r="B23" s="183" t="s">
        <v>252</v>
      </c>
      <c r="C23" s="120" t="s">
        <v>1161</v>
      </c>
      <c r="D23" s="119" t="s">
        <v>263</v>
      </c>
      <c r="E23" s="185">
        <v>7709.76</v>
      </c>
      <c r="F23" s="118">
        <f>42046.06</f>
        <v>42046.06</v>
      </c>
      <c r="G23" s="118">
        <f t="shared" si="0"/>
        <v>34336.3</v>
      </c>
      <c r="H23" s="156"/>
    </row>
    <row r="24" customHeight="1" spans="1:8">
      <c r="A24" s="49">
        <v>16</v>
      </c>
      <c r="B24" s="190" t="s">
        <v>340</v>
      </c>
      <c r="C24" s="43" t="s">
        <v>968</v>
      </c>
      <c r="D24" s="119" t="s">
        <v>950</v>
      </c>
      <c r="E24" s="185">
        <v>7709.76</v>
      </c>
      <c r="F24" s="118">
        <f>39478.93</f>
        <v>39478.93</v>
      </c>
      <c r="G24" s="118">
        <f t="shared" si="0"/>
        <v>31769.17</v>
      </c>
      <c r="H24" s="156"/>
    </row>
    <row r="25" customHeight="1" spans="1:8">
      <c r="A25" s="49">
        <v>17</v>
      </c>
      <c r="B25" s="183" t="s">
        <v>264</v>
      </c>
      <c r="C25" s="117" t="s">
        <v>265</v>
      </c>
      <c r="D25" s="119" t="s">
        <v>1162</v>
      </c>
      <c r="E25" s="185">
        <v>7709.76</v>
      </c>
      <c r="F25" s="118">
        <f>46673.26</f>
        <v>46673.26</v>
      </c>
      <c r="G25" s="118">
        <f t="shared" si="0"/>
        <v>38963.5</v>
      </c>
      <c r="H25" s="156"/>
    </row>
    <row r="26" customHeight="1" spans="1:8">
      <c r="A26" s="49">
        <v>18</v>
      </c>
      <c r="B26" s="191" t="s">
        <v>267</v>
      </c>
      <c r="C26" s="43" t="s">
        <v>268</v>
      </c>
      <c r="D26" s="119" t="s">
        <v>1163</v>
      </c>
      <c r="E26" s="185">
        <v>7709.76</v>
      </c>
      <c r="F26" s="118">
        <f>63364.81</f>
        <v>63364.81</v>
      </c>
      <c r="G26" s="118">
        <f t="shared" si="0"/>
        <v>55655.05</v>
      </c>
      <c r="H26" s="156"/>
    </row>
    <row r="27" customHeight="1" spans="1:8">
      <c r="A27" s="49">
        <v>19</v>
      </c>
      <c r="B27" s="183" t="s">
        <v>389</v>
      </c>
      <c r="C27" s="117" t="s">
        <v>390</v>
      </c>
      <c r="D27" s="119" t="s">
        <v>332</v>
      </c>
      <c r="E27" s="185">
        <v>3369.51</v>
      </c>
      <c r="F27" s="118">
        <f>31848.56</f>
        <v>31848.56</v>
      </c>
      <c r="G27" s="118">
        <f t="shared" si="0"/>
        <v>28479.05</v>
      </c>
      <c r="H27" s="156"/>
    </row>
    <row r="28" ht="18.75" customHeight="1" spans="1:8">
      <c r="A28" s="49">
        <v>20</v>
      </c>
      <c r="B28" s="183" t="s">
        <v>270</v>
      </c>
      <c r="C28" s="117" t="s">
        <v>1164</v>
      </c>
      <c r="D28" s="119" t="s">
        <v>432</v>
      </c>
      <c r="E28" s="185">
        <v>3369.51</v>
      </c>
      <c r="F28" s="118">
        <f>27873.08</f>
        <v>27873.08</v>
      </c>
      <c r="G28" s="118">
        <f t="shared" si="0"/>
        <v>24503.57</v>
      </c>
      <c r="H28" s="156"/>
    </row>
    <row r="29" ht="18.75" customHeight="1" spans="1:8">
      <c r="A29" s="49">
        <v>21</v>
      </c>
      <c r="B29" s="183" t="s">
        <v>387</v>
      </c>
      <c r="C29" s="43" t="s">
        <v>1165</v>
      </c>
      <c r="D29" s="119" t="s">
        <v>432</v>
      </c>
      <c r="E29" s="185">
        <v>3369.51</v>
      </c>
      <c r="F29" s="118">
        <f>27873.08</f>
        <v>27873.08</v>
      </c>
      <c r="G29" s="118">
        <f t="shared" si="0"/>
        <v>24503.57</v>
      </c>
      <c r="H29" s="156"/>
    </row>
    <row r="30" ht="18.75" customHeight="1" spans="1:8">
      <c r="A30" s="49">
        <v>22</v>
      </c>
      <c r="B30" s="191" t="s">
        <v>427</v>
      </c>
      <c r="C30" s="43" t="s">
        <v>1128</v>
      </c>
      <c r="D30" s="119" t="s">
        <v>345</v>
      </c>
      <c r="E30" s="185">
        <v>3369.51</v>
      </c>
      <c r="F30" s="118">
        <f>27105.99</f>
        <v>27105.99</v>
      </c>
      <c r="G30" s="118">
        <f t="shared" si="0"/>
        <v>23736.48</v>
      </c>
      <c r="H30" s="156"/>
    </row>
    <row r="31" ht="18.75" customHeight="1" spans="1:8">
      <c r="A31" s="49">
        <v>23</v>
      </c>
      <c r="B31" s="191" t="s">
        <v>1113</v>
      </c>
      <c r="C31" s="117" t="s">
        <v>293</v>
      </c>
      <c r="D31" s="119" t="s">
        <v>301</v>
      </c>
      <c r="E31" s="185">
        <v>1484.37</v>
      </c>
      <c r="F31" s="44">
        <f>26339.08</f>
        <v>26339.08</v>
      </c>
      <c r="G31" s="118">
        <f t="shared" si="0"/>
        <v>24854.71</v>
      </c>
      <c r="H31" s="156"/>
    </row>
    <row r="32" ht="18.75" customHeight="1" spans="1:8">
      <c r="A32" s="49">
        <v>24</v>
      </c>
      <c r="B32" s="46" t="s">
        <v>278</v>
      </c>
      <c r="C32" s="46" t="s">
        <v>176</v>
      </c>
      <c r="D32" s="49" t="s">
        <v>24</v>
      </c>
      <c r="E32" s="185">
        <v>3369.51</v>
      </c>
      <c r="F32" s="118">
        <f>21640.95</f>
        <v>21640.95</v>
      </c>
      <c r="G32" s="118">
        <f t="shared" si="0"/>
        <v>18271.44</v>
      </c>
      <c r="H32" s="156"/>
    </row>
    <row r="33" ht="18.75" customHeight="1" spans="1:8">
      <c r="A33" s="49">
        <v>25</v>
      </c>
      <c r="B33" s="191" t="s">
        <v>280</v>
      </c>
      <c r="C33" s="117" t="s">
        <v>176</v>
      </c>
      <c r="D33" s="119" t="s">
        <v>1129</v>
      </c>
      <c r="E33" s="185">
        <v>1484.37</v>
      </c>
      <c r="F33" s="118">
        <f>18102.9</f>
        <v>18102.9</v>
      </c>
      <c r="G33" s="118">
        <f t="shared" si="0"/>
        <v>16618.53</v>
      </c>
      <c r="H33" s="156"/>
    </row>
    <row r="34" ht="18.75" customHeight="1" spans="1:8">
      <c r="A34" s="49">
        <v>26</v>
      </c>
      <c r="B34" s="183" t="s">
        <v>1020</v>
      </c>
      <c r="C34" s="117" t="s">
        <v>967</v>
      </c>
      <c r="D34" s="119" t="s">
        <v>945</v>
      </c>
      <c r="E34" s="185">
        <v>1484.37</v>
      </c>
      <c r="F34" s="118">
        <f>18102.9</f>
        <v>18102.9</v>
      </c>
      <c r="G34" s="118">
        <f t="shared" si="0"/>
        <v>16618.53</v>
      </c>
      <c r="H34" s="156"/>
    </row>
    <row r="35" ht="18.75" customHeight="1" spans="1:8">
      <c r="A35" s="49">
        <v>27</v>
      </c>
      <c r="B35" s="191" t="s">
        <v>282</v>
      </c>
      <c r="C35" s="117" t="s">
        <v>967</v>
      </c>
      <c r="D35" s="119" t="s">
        <v>1166</v>
      </c>
      <c r="E35" s="185">
        <v>1484.37</v>
      </c>
      <c r="F35" s="118">
        <f>17572.89</f>
        <v>17572.89</v>
      </c>
      <c r="G35" s="118">
        <f t="shared" si="0"/>
        <v>16088.52</v>
      </c>
      <c r="H35" s="156"/>
    </row>
    <row r="36" ht="18.75" customHeight="1" spans="1:8">
      <c r="A36" s="49">
        <v>28</v>
      </c>
      <c r="B36" s="188" t="s">
        <v>370</v>
      </c>
      <c r="C36" s="17" t="s">
        <v>1130</v>
      </c>
      <c r="D36" s="119" t="s">
        <v>291</v>
      </c>
      <c r="E36" s="185">
        <v>1484.37</v>
      </c>
      <c r="F36" s="44">
        <f>17572.89</f>
        <v>17572.89</v>
      </c>
      <c r="G36" s="118">
        <f t="shared" si="0"/>
        <v>16088.52</v>
      </c>
      <c r="H36" s="156"/>
    </row>
    <row r="37" ht="18.75" customHeight="1" spans="1:8">
      <c r="A37" s="49">
        <v>29</v>
      </c>
      <c r="B37" s="191" t="s">
        <v>284</v>
      </c>
      <c r="C37" s="43" t="s">
        <v>1022</v>
      </c>
      <c r="D37" s="49" t="s">
        <v>291</v>
      </c>
      <c r="E37" s="185">
        <v>1484.37</v>
      </c>
      <c r="F37" s="118">
        <f>17572.89</f>
        <v>17572.89</v>
      </c>
      <c r="G37" s="118">
        <f t="shared" si="0"/>
        <v>16088.52</v>
      </c>
      <c r="H37" s="156"/>
    </row>
    <row r="38" ht="18.75" customHeight="1" spans="1:8">
      <c r="A38" s="49">
        <v>30</v>
      </c>
      <c r="B38" s="194" t="s">
        <v>287</v>
      </c>
      <c r="C38" s="17" t="s">
        <v>288</v>
      </c>
      <c r="D38" s="119" t="s">
        <v>30</v>
      </c>
      <c r="E38" s="185">
        <v>1484.37</v>
      </c>
      <c r="F38" s="44">
        <f>16512.68</f>
        <v>16512.68</v>
      </c>
      <c r="G38" s="118">
        <f t="shared" si="0"/>
        <v>15028.31</v>
      </c>
      <c r="H38" s="156"/>
    </row>
    <row r="39" ht="18.75" customHeight="1" spans="1:8">
      <c r="A39" s="49">
        <v>31</v>
      </c>
      <c r="B39" s="194" t="s">
        <v>1167</v>
      </c>
      <c r="C39" s="17" t="s">
        <v>288</v>
      </c>
      <c r="D39" s="119" t="s">
        <v>30</v>
      </c>
      <c r="E39" s="185">
        <v>1484.37</v>
      </c>
      <c r="F39" s="44">
        <f>16512.68</f>
        <v>16512.68</v>
      </c>
      <c r="G39" s="118">
        <f t="shared" si="0"/>
        <v>15028.31</v>
      </c>
      <c r="H39" s="156"/>
    </row>
    <row r="40" ht="18.75" customHeight="1" spans="1:8">
      <c r="A40" s="49">
        <v>32</v>
      </c>
      <c r="B40" s="191" t="s">
        <v>289</v>
      </c>
      <c r="C40" s="43" t="s">
        <v>1131</v>
      </c>
      <c r="D40" s="49" t="s">
        <v>30</v>
      </c>
      <c r="E40" s="185">
        <v>1484.37</v>
      </c>
      <c r="F40" s="118">
        <f>16512.68</f>
        <v>16512.68</v>
      </c>
      <c r="G40" s="118">
        <f t="shared" si="0"/>
        <v>15028.31</v>
      </c>
      <c r="H40" s="156"/>
    </row>
    <row r="41" ht="18.75" customHeight="1" spans="1:8">
      <c r="A41" s="49">
        <v>33</v>
      </c>
      <c r="B41" s="191" t="s">
        <v>933</v>
      </c>
      <c r="C41" s="117" t="s">
        <v>293</v>
      </c>
      <c r="D41" s="119" t="s">
        <v>30</v>
      </c>
      <c r="E41" s="185">
        <v>1484.37</v>
      </c>
      <c r="F41" s="44">
        <f>16512.68</f>
        <v>16512.68</v>
      </c>
      <c r="G41" s="118">
        <f t="shared" si="0"/>
        <v>15028.31</v>
      </c>
      <c r="H41" s="156"/>
    </row>
    <row r="42" ht="18.75" customHeight="1" spans="1:8">
      <c r="A42" s="49">
        <v>34</v>
      </c>
      <c r="B42" s="191" t="s">
        <v>1114</v>
      </c>
      <c r="C42" s="117" t="s">
        <v>293</v>
      </c>
      <c r="D42" s="119" t="s">
        <v>30</v>
      </c>
      <c r="E42" s="185">
        <v>0</v>
      </c>
      <c r="F42" s="44">
        <f>16512.68</f>
        <v>16512.68</v>
      </c>
      <c r="G42" s="118">
        <f t="shared" ref="G42" si="1">F42-E42</f>
        <v>16512.68</v>
      </c>
      <c r="H42" s="156"/>
    </row>
    <row r="43" ht="26.25" customHeight="1" spans="1:8">
      <c r="A43" s="49"/>
      <c r="B43" s="195" t="s">
        <v>33</v>
      </c>
      <c r="C43" s="68">
        <v>33</v>
      </c>
      <c r="D43" s="119"/>
      <c r="E43" s="196">
        <f>SUM(E9:E42)</f>
        <v>415827.18</v>
      </c>
      <c r="F43" s="130">
        <f>SUM(F9:F41)</f>
        <v>1658278.62</v>
      </c>
      <c r="G43" s="153">
        <f t="shared" si="0"/>
        <v>1242451.44</v>
      </c>
      <c r="H43" s="156"/>
    </row>
    <row r="44" ht="18.75" customHeight="1" spans="1:7">
      <c r="A44" s="49"/>
      <c r="B44" s="197"/>
      <c r="C44" s="43"/>
      <c r="D44" s="119"/>
      <c r="E44" s="185"/>
      <c r="F44" s="130"/>
      <c r="G44" s="118">
        <f t="shared" si="0"/>
        <v>0</v>
      </c>
    </row>
    <row r="45" ht="18.75" customHeight="1" spans="1:7">
      <c r="A45" s="49"/>
      <c r="B45" s="195" t="s">
        <v>34</v>
      </c>
      <c r="C45" s="43"/>
      <c r="D45" s="119"/>
      <c r="E45" s="185"/>
      <c r="F45" s="118"/>
      <c r="G45" s="118">
        <f t="shared" si="0"/>
        <v>0</v>
      </c>
    </row>
    <row r="46" ht="18.75" customHeight="1" spans="1:7">
      <c r="A46" s="49">
        <v>1</v>
      </c>
      <c r="B46" s="191" t="s">
        <v>295</v>
      </c>
      <c r="C46" s="43" t="s">
        <v>296</v>
      </c>
      <c r="D46" s="49" t="s">
        <v>1168</v>
      </c>
      <c r="E46" s="185">
        <v>52776.63</v>
      </c>
      <c r="F46" s="118">
        <f>156349.82</f>
        <v>156349.82</v>
      </c>
      <c r="G46" s="118">
        <f t="shared" si="0"/>
        <v>103573.19</v>
      </c>
    </row>
    <row r="47" ht="18.75" customHeight="1" spans="1:7">
      <c r="A47" s="49">
        <v>2</v>
      </c>
      <c r="B47" s="191" t="s">
        <v>298</v>
      </c>
      <c r="C47" s="43" t="s">
        <v>537</v>
      </c>
      <c r="D47" s="49" t="s">
        <v>30</v>
      </c>
      <c r="E47" s="185">
        <v>1484.37</v>
      </c>
      <c r="F47" s="118">
        <f>16512.68</f>
        <v>16512.68</v>
      </c>
      <c r="G47" s="118">
        <f t="shared" si="0"/>
        <v>15028.31</v>
      </c>
    </row>
    <row r="48" ht="19.5" customHeight="1" spans="1:8">
      <c r="A48" s="49"/>
      <c r="B48" s="198"/>
      <c r="C48" s="68">
        <v>2</v>
      </c>
      <c r="D48" s="49"/>
      <c r="E48" s="196">
        <v>54261</v>
      </c>
      <c r="F48" s="130">
        <f>SUM(F46:F47)</f>
        <v>172862.5</v>
      </c>
      <c r="G48" s="153">
        <f t="shared" si="0"/>
        <v>118601.5</v>
      </c>
      <c r="H48" s="199"/>
    </row>
    <row r="49" customHeight="1" spans="1:7">
      <c r="A49" s="49"/>
      <c r="B49" s="186"/>
      <c r="C49" s="43"/>
      <c r="D49" s="49"/>
      <c r="E49" s="185"/>
      <c r="F49" s="130"/>
      <c r="G49" s="118">
        <f t="shared" si="0"/>
        <v>0</v>
      </c>
    </row>
    <row r="50" customHeight="1" spans="1:7">
      <c r="A50" s="49"/>
      <c r="B50" s="200" t="s">
        <v>38</v>
      </c>
      <c r="C50" s="135"/>
      <c r="D50" s="57"/>
      <c r="E50" s="201"/>
      <c r="F50" s="118"/>
      <c r="G50" s="118">
        <f t="shared" si="0"/>
        <v>0</v>
      </c>
    </row>
    <row r="51" customHeight="1" spans="1:7">
      <c r="A51" s="49">
        <v>1</v>
      </c>
      <c r="B51" s="183" t="s">
        <v>302</v>
      </c>
      <c r="C51" s="43" t="s">
        <v>303</v>
      </c>
      <c r="D51" s="49" t="s">
        <v>297</v>
      </c>
      <c r="E51" s="185">
        <v>52776.63</v>
      </c>
      <c r="F51" s="118">
        <f>180306.81</f>
        <v>180306.81</v>
      </c>
      <c r="G51" s="118">
        <f t="shared" si="0"/>
        <v>127530.18</v>
      </c>
    </row>
    <row r="52" customHeight="1" spans="1:7">
      <c r="A52" s="49">
        <v>2</v>
      </c>
      <c r="B52" s="183" t="s">
        <v>304</v>
      </c>
      <c r="C52" s="43" t="s">
        <v>305</v>
      </c>
      <c r="D52" s="49" t="s">
        <v>249</v>
      </c>
      <c r="E52" s="185">
        <v>15548.33</v>
      </c>
      <c r="F52" s="118">
        <f>79956.94</f>
        <v>79956.94</v>
      </c>
      <c r="G52" s="118">
        <f t="shared" si="0"/>
        <v>64408.61</v>
      </c>
    </row>
    <row r="53" customHeight="1" spans="1:7">
      <c r="A53" s="49">
        <v>3</v>
      </c>
      <c r="B53" s="183" t="s">
        <v>306</v>
      </c>
      <c r="C53" s="43" t="s">
        <v>310</v>
      </c>
      <c r="D53" s="49" t="s">
        <v>249</v>
      </c>
      <c r="E53" s="185">
        <v>15548.33</v>
      </c>
      <c r="F53" s="118">
        <f>79956.94</f>
        <v>79956.94</v>
      </c>
      <c r="G53" s="118">
        <f t="shared" si="0"/>
        <v>64408.61</v>
      </c>
    </row>
    <row r="54" customHeight="1" spans="1:7">
      <c r="A54" s="49">
        <v>4</v>
      </c>
      <c r="B54" s="183" t="s">
        <v>309</v>
      </c>
      <c r="C54" s="43" t="s">
        <v>310</v>
      </c>
      <c r="D54" s="49" t="s">
        <v>327</v>
      </c>
      <c r="E54" s="185">
        <v>15548.33</v>
      </c>
      <c r="F54" s="118">
        <f>77764.98</f>
        <v>77764.98</v>
      </c>
      <c r="G54" s="118">
        <f t="shared" si="0"/>
        <v>62216.65</v>
      </c>
    </row>
    <row r="55" customHeight="1" spans="1:7">
      <c r="A55" s="49">
        <v>5</v>
      </c>
      <c r="B55" s="183" t="s">
        <v>311</v>
      </c>
      <c r="C55" s="43" t="s">
        <v>259</v>
      </c>
      <c r="D55" s="49" t="s">
        <v>254</v>
      </c>
      <c r="E55" s="185">
        <v>7709.76</v>
      </c>
      <c r="F55" s="118">
        <f>59437.57</f>
        <v>59437.57</v>
      </c>
      <c r="G55" s="118">
        <f t="shared" si="0"/>
        <v>51727.81</v>
      </c>
    </row>
    <row r="56" customHeight="1" spans="1:7">
      <c r="A56" s="49">
        <v>6</v>
      </c>
      <c r="B56" s="183" t="s">
        <v>312</v>
      </c>
      <c r="C56" s="43" t="s">
        <v>259</v>
      </c>
      <c r="D56" s="49" t="s">
        <v>342</v>
      </c>
      <c r="E56" s="185">
        <v>7709.76</v>
      </c>
      <c r="F56" s="118">
        <f>56478.9</f>
        <v>56478.9</v>
      </c>
      <c r="G56" s="118">
        <f t="shared" si="0"/>
        <v>48769.14</v>
      </c>
    </row>
    <row r="57" customHeight="1" spans="1:7">
      <c r="A57" s="49">
        <v>7</v>
      </c>
      <c r="B57" s="202" t="s">
        <v>313</v>
      </c>
      <c r="C57" s="43" t="s">
        <v>256</v>
      </c>
      <c r="D57" s="16" t="s">
        <v>342</v>
      </c>
      <c r="E57" s="189">
        <v>7709.76</v>
      </c>
      <c r="F57" s="85">
        <f>56478.9</f>
        <v>56478.9</v>
      </c>
      <c r="G57" s="118">
        <f t="shared" si="0"/>
        <v>48769.14</v>
      </c>
    </row>
    <row r="58" customHeight="1" spans="1:7">
      <c r="A58" s="49">
        <v>8</v>
      </c>
      <c r="B58" s="183" t="s">
        <v>1025</v>
      </c>
      <c r="C58" s="43" t="s">
        <v>46</v>
      </c>
      <c r="D58" s="49" t="s">
        <v>266</v>
      </c>
      <c r="E58" s="185">
        <v>7709.76</v>
      </c>
      <c r="F58" s="118">
        <f>49548.78</f>
        <v>49548.78</v>
      </c>
      <c r="G58" s="118">
        <f t="shared" si="0"/>
        <v>41839.02</v>
      </c>
    </row>
    <row r="59" customHeight="1" spans="1:7">
      <c r="A59" s="49">
        <v>9</v>
      </c>
      <c r="B59" s="188" t="s">
        <v>258</v>
      </c>
      <c r="C59" s="43" t="s">
        <v>353</v>
      </c>
      <c r="D59" s="10" t="s">
        <v>950</v>
      </c>
      <c r="E59" s="189">
        <v>7709.76</v>
      </c>
      <c r="F59" s="85">
        <f>48052.11</f>
        <v>48052.11</v>
      </c>
      <c r="G59" s="118">
        <f t="shared" si="0"/>
        <v>40342.35</v>
      </c>
    </row>
    <row r="60" customHeight="1" spans="1:7">
      <c r="A60" s="49">
        <v>10</v>
      </c>
      <c r="B60" s="188" t="s">
        <v>315</v>
      </c>
      <c r="C60" s="43" t="s">
        <v>63</v>
      </c>
      <c r="D60" s="49" t="s">
        <v>24</v>
      </c>
      <c r="E60" s="185">
        <v>3369.51</v>
      </c>
      <c r="F60" s="118">
        <f>28360.95</f>
        <v>28360.95</v>
      </c>
      <c r="G60" s="118">
        <f t="shared" si="0"/>
        <v>24991.44</v>
      </c>
    </row>
    <row r="61" customHeight="1" spans="1:7">
      <c r="A61" s="49">
        <v>11</v>
      </c>
      <c r="B61" s="188" t="s">
        <v>316</v>
      </c>
      <c r="C61" s="43" t="s">
        <v>63</v>
      </c>
      <c r="D61" s="49" t="s">
        <v>24</v>
      </c>
      <c r="E61" s="185">
        <v>3369.51</v>
      </c>
      <c r="F61" s="118">
        <f>28360.95</f>
        <v>28360.95</v>
      </c>
      <c r="G61" s="118">
        <f t="shared" si="0"/>
        <v>24991.44</v>
      </c>
    </row>
    <row r="62" customHeight="1" spans="1:7">
      <c r="A62" s="49">
        <v>12</v>
      </c>
      <c r="B62" s="188" t="s">
        <v>317</v>
      </c>
      <c r="C62" s="43" t="s">
        <v>63</v>
      </c>
      <c r="D62" s="49" t="s">
        <v>24</v>
      </c>
      <c r="E62" s="185">
        <v>0</v>
      </c>
      <c r="F62" s="118">
        <f>28360.95*23/31</f>
        <v>21041.9951612903</v>
      </c>
      <c r="G62" s="118">
        <f t="shared" ref="G62" si="2">F62-E62</f>
        <v>21041.9951612903</v>
      </c>
    </row>
    <row r="63" ht="25.5" customHeight="1" spans="1:8">
      <c r="A63" s="49"/>
      <c r="B63" s="203" t="s">
        <v>33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7">
      <c r="A64" s="49"/>
      <c r="B64" s="22"/>
      <c r="C64" s="21"/>
      <c r="D64" s="21"/>
      <c r="E64" s="204"/>
      <c r="F64" s="146"/>
      <c r="G64" s="118">
        <f t="shared" si="0"/>
        <v>0</v>
      </c>
    </row>
    <row r="65" customHeight="1" spans="1:7">
      <c r="A65" s="49"/>
      <c r="B65" s="203" t="s">
        <v>318</v>
      </c>
      <c r="C65" s="21"/>
      <c r="D65" s="21"/>
      <c r="E65" s="204"/>
      <c r="F65" s="146"/>
      <c r="G65" s="118">
        <f t="shared" si="0"/>
        <v>0</v>
      </c>
    </row>
    <row r="66" customHeight="1" spans="1:7">
      <c r="A66" s="49">
        <v>1</v>
      </c>
      <c r="B66" s="183" t="s">
        <v>319</v>
      </c>
      <c r="C66" s="117" t="s">
        <v>320</v>
      </c>
      <c r="D66" s="119" t="s">
        <v>297</v>
      </c>
      <c r="E66" s="185">
        <v>52776.63</v>
      </c>
      <c r="F66" s="118">
        <f>180306.81</f>
        <v>180306.81</v>
      </c>
      <c r="G66" s="118">
        <f t="shared" si="0"/>
        <v>127530.18</v>
      </c>
    </row>
    <row r="67" customHeight="1" spans="1:7">
      <c r="A67" s="49">
        <v>2</v>
      </c>
      <c r="B67" s="191" t="s">
        <v>321</v>
      </c>
      <c r="C67" s="117" t="s">
        <v>322</v>
      </c>
      <c r="D67" s="119" t="s">
        <v>222</v>
      </c>
      <c r="E67" s="185">
        <v>15548.33</v>
      </c>
      <c r="F67" s="118">
        <f>62404.98</f>
        <v>62404.98</v>
      </c>
      <c r="G67" s="118">
        <f t="shared" si="0"/>
        <v>46856.65</v>
      </c>
    </row>
    <row r="68" customHeight="1" spans="1:8">
      <c r="A68" s="49"/>
      <c r="B68" s="203" t="s">
        <v>33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18">
        <f t="shared" si="0"/>
        <v>174386.83</v>
      </c>
      <c r="H68" s="199"/>
    </row>
    <row r="69" customHeight="1" spans="1:7">
      <c r="A69" s="49"/>
      <c r="B69" s="203"/>
      <c r="C69" s="21"/>
      <c r="D69" s="21"/>
      <c r="E69" s="204"/>
      <c r="F69" s="146"/>
      <c r="G69" s="118">
        <f t="shared" si="0"/>
        <v>0</v>
      </c>
    </row>
    <row r="70" customHeight="1" spans="1:7">
      <c r="A70" s="49"/>
      <c r="B70" s="203" t="s">
        <v>1169</v>
      </c>
      <c r="C70" s="21"/>
      <c r="D70" s="21"/>
      <c r="E70" s="204"/>
      <c r="F70" s="146"/>
      <c r="G70" s="118">
        <f t="shared" si="0"/>
        <v>0</v>
      </c>
    </row>
    <row r="71" customHeight="1" spans="1:7">
      <c r="A71" s="49">
        <v>1</v>
      </c>
      <c r="B71" s="188" t="s">
        <v>323</v>
      </c>
      <c r="C71" s="17" t="s">
        <v>324</v>
      </c>
      <c r="D71" s="10" t="s">
        <v>297</v>
      </c>
      <c r="E71" s="189">
        <v>52776.63</v>
      </c>
      <c r="F71" s="85">
        <f>180306.81</f>
        <v>180306.81</v>
      </c>
      <c r="G71" s="118">
        <f t="shared" si="0"/>
        <v>127530.18</v>
      </c>
    </row>
    <row r="72" customHeight="1" spans="1:7">
      <c r="A72" s="49">
        <v>2</v>
      </c>
      <c r="B72" s="194" t="s">
        <v>325</v>
      </c>
      <c r="C72" s="17" t="s">
        <v>326</v>
      </c>
      <c r="D72" s="119" t="s">
        <v>952</v>
      </c>
      <c r="E72" s="185">
        <v>15548.33</v>
      </c>
      <c r="F72" s="118">
        <v>75572.92</v>
      </c>
      <c r="G72" s="118">
        <f t="shared" si="0"/>
        <v>60024.59</v>
      </c>
    </row>
    <row r="73" customHeight="1" spans="1:7">
      <c r="A73" s="49">
        <v>3</v>
      </c>
      <c r="B73" s="188" t="s">
        <v>328</v>
      </c>
      <c r="C73" s="43" t="s">
        <v>46</v>
      </c>
      <c r="D73" s="10" t="s">
        <v>950</v>
      </c>
      <c r="E73" s="189">
        <v>7709.76</v>
      </c>
      <c r="F73" s="85">
        <f>48170.87</f>
        <v>48170.87</v>
      </c>
      <c r="G73" s="118">
        <f t="shared" si="0"/>
        <v>40461.11</v>
      </c>
    </row>
    <row r="74" customHeight="1" spans="1:7">
      <c r="A74" s="49">
        <v>4</v>
      </c>
      <c r="B74" s="194" t="s">
        <v>329</v>
      </c>
      <c r="C74" s="17" t="s">
        <v>46</v>
      </c>
      <c r="D74" s="119" t="s">
        <v>1162</v>
      </c>
      <c r="E74" s="185">
        <v>7709.76</v>
      </c>
      <c r="F74" s="118">
        <f>46673.26</f>
        <v>46673.26</v>
      </c>
      <c r="G74" s="118">
        <f t="shared" si="0"/>
        <v>38963.5</v>
      </c>
    </row>
    <row r="75" customHeight="1" spans="1:7">
      <c r="A75" s="49">
        <v>5</v>
      </c>
      <c r="B75" s="186" t="s">
        <v>330</v>
      </c>
      <c r="C75" s="17" t="s">
        <v>256</v>
      </c>
      <c r="D75" s="119" t="s">
        <v>342</v>
      </c>
      <c r="E75" s="185">
        <v>7709.76</v>
      </c>
      <c r="F75" s="118">
        <v>56478.9</v>
      </c>
      <c r="G75" s="118">
        <f t="shared" si="0"/>
        <v>48769.14</v>
      </c>
    </row>
    <row r="76" customHeight="1" spans="1:7">
      <c r="A76" s="49">
        <v>6</v>
      </c>
      <c r="B76" s="188" t="s">
        <v>331</v>
      </c>
      <c r="C76" s="4" t="s">
        <v>63</v>
      </c>
      <c r="D76" s="10" t="s">
        <v>1170</v>
      </c>
      <c r="E76" s="189">
        <v>3369.51</v>
      </c>
      <c r="F76" s="85">
        <v>36127.27</v>
      </c>
      <c r="G76" s="118">
        <f t="shared" ref="G76:G139" si="5">F76-E76</f>
        <v>32757.76</v>
      </c>
    </row>
    <row r="77" customHeight="1" spans="1:7">
      <c r="A77" s="49">
        <v>7</v>
      </c>
      <c r="B77" s="190" t="s">
        <v>1033</v>
      </c>
      <c r="C77" s="17" t="s">
        <v>275</v>
      </c>
      <c r="D77" s="119" t="s">
        <v>332</v>
      </c>
      <c r="E77" s="185">
        <v>3369.51</v>
      </c>
      <c r="F77" s="118">
        <v>41248.56</v>
      </c>
      <c r="G77" s="118">
        <f t="shared" si="5"/>
        <v>37879.05</v>
      </c>
    </row>
    <row r="78" customHeight="1" spans="1:7">
      <c r="A78" s="49">
        <v>8</v>
      </c>
      <c r="B78" s="183" t="s">
        <v>333</v>
      </c>
      <c r="C78" s="17" t="s">
        <v>275</v>
      </c>
      <c r="D78" s="119" t="s">
        <v>41</v>
      </c>
      <c r="E78" s="185">
        <v>3369.51</v>
      </c>
      <c r="F78" s="118">
        <f>40149.18</f>
        <v>40149.18</v>
      </c>
      <c r="G78" s="118">
        <f t="shared" si="5"/>
        <v>36779.67</v>
      </c>
    </row>
    <row r="79" customHeight="1" spans="1:7">
      <c r="A79" s="49">
        <v>9</v>
      </c>
      <c r="B79" s="183" t="s">
        <v>334</v>
      </c>
      <c r="C79" s="17" t="s">
        <v>275</v>
      </c>
      <c r="D79" s="119" t="s">
        <v>41</v>
      </c>
      <c r="E79" s="185">
        <v>3369.51</v>
      </c>
      <c r="F79" s="118">
        <f>40149.18</f>
        <v>40149.18</v>
      </c>
      <c r="G79" s="118">
        <f t="shared" si="5"/>
        <v>36779.67</v>
      </c>
    </row>
    <row r="80" customHeight="1" spans="1:7">
      <c r="A80" s="49">
        <v>10</v>
      </c>
      <c r="B80" s="183" t="s">
        <v>335</v>
      </c>
      <c r="C80" s="43" t="s">
        <v>344</v>
      </c>
      <c r="D80" s="49" t="s">
        <v>432</v>
      </c>
      <c r="E80" s="185">
        <v>3369.51</v>
      </c>
      <c r="F80" s="118">
        <f>34593.08</f>
        <v>34593.08</v>
      </c>
      <c r="G80" s="118">
        <f t="shared" si="5"/>
        <v>31223.57</v>
      </c>
    </row>
    <row r="81" customHeight="1" spans="1:7">
      <c r="A81" s="49">
        <v>11</v>
      </c>
      <c r="B81" s="188" t="s">
        <v>1115</v>
      </c>
      <c r="C81" s="17" t="s">
        <v>63</v>
      </c>
      <c r="D81" s="49" t="s">
        <v>37</v>
      </c>
      <c r="E81" s="185">
        <v>3369.51</v>
      </c>
      <c r="F81" s="118">
        <f>32291.82</f>
        <v>32291.82</v>
      </c>
      <c r="G81" s="118">
        <f t="shared" si="5"/>
        <v>28922.31</v>
      </c>
    </row>
    <row r="82" customHeight="1" spans="1:7">
      <c r="A82" s="49">
        <v>12</v>
      </c>
      <c r="B82" s="188" t="s">
        <v>281</v>
      </c>
      <c r="C82" s="17" t="s">
        <v>273</v>
      </c>
      <c r="D82" s="49" t="s">
        <v>24</v>
      </c>
      <c r="E82" s="185">
        <v>1484.37</v>
      </c>
      <c r="F82" s="118">
        <f>24685.95</f>
        <v>24685.95</v>
      </c>
      <c r="G82" s="118">
        <f t="shared" si="5"/>
        <v>23201.58</v>
      </c>
    </row>
    <row r="83" customHeight="1" spans="1:7">
      <c r="A83" s="49">
        <v>13</v>
      </c>
      <c r="B83" s="186" t="s">
        <v>272</v>
      </c>
      <c r="C83" s="17" t="s">
        <v>273</v>
      </c>
      <c r="D83" s="49" t="s">
        <v>30</v>
      </c>
      <c r="E83" s="185">
        <v>1484.37</v>
      </c>
      <c r="F83" s="118">
        <f>24685.95</f>
        <v>24685.95</v>
      </c>
      <c r="G83" s="118">
        <f t="shared" si="5"/>
        <v>23201.58</v>
      </c>
    </row>
    <row r="84" customHeight="1" spans="1:8">
      <c r="A84" s="49"/>
      <c r="B84" s="203" t="s">
        <v>33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53">
        <f t="shared" si="5"/>
        <v>566493.71</v>
      </c>
      <c r="H84" s="199"/>
    </row>
    <row r="85" customHeight="1" spans="1:7">
      <c r="A85" s="49"/>
      <c r="B85" s="205"/>
      <c r="C85" s="21"/>
      <c r="D85" s="21"/>
      <c r="E85" s="204"/>
      <c r="F85" s="146"/>
      <c r="G85" s="118">
        <f t="shared" si="5"/>
        <v>0</v>
      </c>
    </row>
    <row r="86" customHeight="1" spans="1:7">
      <c r="A86" s="49"/>
      <c r="B86" s="203" t="s">
        <v>1171</v>
      </c>
      <c r="C86" s="21"/>
      <c r="D86" s="21"/>
      <c r="E86" s="204"/>
      <c r="F86" s="146"/>
      <c r="G86" s="118">
        <f t="shared" si="5"/>
        <v>0</v>
      </c>
    </row>
    <row r="87" customHeight="1" spans="1:7">
      <c r="A87" s="49">
        <v>1</v>
      </c>
      <c r="B87" s="183" t="s">
        <v>338</v>
      </c>
      <c r="C87" s="43" t="s">
        <v>339</v>
      </c>
      <c r="D87" s="49" t="s">
        <v>297</v>
      </c>
      <c r="E87" s="185">
        <v>52776.63</v>
      </c>
      <c r="F87" s="118">
        <f>180306.81</f>
        <v>180306.81</v>
      </c>
      <c r="G87" s="118">
        <f t="shared" si="5"/>
        <v>127530.18</v>
      </c>
    </row>
    <row r="88" customHeight="1" spans="1:7">
      <c r="A88" s="49">
        <v>2</v>
      </c>
      <c r="B88" s="206" t="s">
        <v>220</v>
      </c>
      <c r="C88" s="46" t="s">
        <v>221</v>
      </c>
      <c r="D88" s="119" t="s">
        <v>952</v>
      </c>
      <c r="E88" s="185">
        <v>15548.33</v>
      </c>
      <c r="F88" s="118">
        <f>75572.92</f>
        <v>75572.92</v>
      </c>
      <c r="G88" s="118">
        <f t="shared" si="5"/>
        <v>60024.59</v>
      </c>
    </row>
    <row r="89" customHeight="1" spans="1:7">
      <c r="A89" s="49">
        <v>3</v>
      </c>
      <c r="B89" s="206" t="s">
        <v>1116</v>
      </c>
      <c r="C89" s="46" t="s">
        <v>1117</v>
      </c>
      <c r="D89" s="119" t="s">
        <v>952</v>
      </c>
      <c r="E89" s="185">
        <v>15548.33</v>
      </c>
      <c r="F89" s="118">
        <f>75572.92</f>
        <v>75572.92</v>
      </c>
      <c r="G89" s="118">
        <f t="shared" si="5"/>
        <v>60024.59</v>
      </c>
    </row>
    <row r="90" customHeight="1" spans="1:7">
      <c r="A90" s="49">
        <v>4</v>
      </c>
      <c r="B90" s="183" t="s">
        <v>343</v>
      </c>
      <c r="C90" s="43" t="s">
        <v>344</v>
      </c>
      <c r="D90" s="49" t="s">
        <v>37</v>
      </c>
      <c r="E90" s="185">
        <v>3369.51</v>
      </c>
      <c r="F90" s="118">
        <f>32291.82</f>
        <v>32291.82</v>
      </c>
      <c r="G90" s="118">
        <f t="shared" si="5"/>
        <v>28922.31</v>
      </c>
    </row>
    <row r="91" customHeight="1" spans="1:8">
      <c r="A91" s="49"/>
      <c r="B91" s="203" t="s">
        <v>33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53">
        <f t="shared" si="5"/>
        <v>276501.67</v>
      </c>
      <c r="H91" s="199"/>
    </row>
    <row r="92" customHeight="1" spans="1:7">
      <c r="A92" s="49"/>
      <c r="B92" s="207"/>
      <c r="C92" s="68"/>
      <c r="D92" s="68"/>
      <c r="E92" s="196"/>
      <c r="F92" s="153"/>
      <c r="G92" s="118">
        <f t="shared" si="5"/>
        <v>0</v>
      </c>
    </row>
    <row r="93" customHeight="1" spans="1:7">
      <c r="A93" s="49"/>
      <c r="B93" s="207" t="s">
        <v>1172</v>
      </c>
      <c r="C93" s="161"/>
      <c r="D93" s="68"/>
      <c r="E93" s="196"/>
      <c r="F93" s="153"/>
      <c r="G93" s="118">
        <f t="shared" si="5"/>
        <v>0</v>
      </c>
    </row>
    <row r="94" customHeight="1" spans="1:7">
      <c r="A94" s="49">
        <v>1</v>
      </c>
      <c r="B94" s="183" t="s">
        <v>1173</v>
      </c>
      <c r="C94" s="43" t="s">
        <v>1134</v>
      </c>
      <c r="D94" s="49" t="s">
        <v>308</v>
      </c>
      <c r="E94" s="185">
        <v>21618.09</v>
      </c>
      <c r="F94" s="118">
        <f>97273.51</f>
        <v>97273.51</v>
      </c>
      <c r="G94" s="118">
        <f t="shared" si="5"/>
        <v>75655.42</v>
      </c>
    </row>
    <row r="95" customHeight="1" spans="1:7">
      <c r="A95" s="49">
        <v>2</v>
      </c>
      <c r="B95" s="183" t="s">
        <v>349</v>
      </c>
      <c r="C95" s="43" t="s">
        <v>310</v>
      </c>
      <c r="D95" s="49" t="s">
        <v>249</v>
      </c>
      <c r="E95" s="185">
        <v>15548.33</v>
      </c>
      <c r="F95" s="118">
        <f>79956.94</f>
        <v>79956.94</v>
      </c>
      <c r="G95" s="118">
        <f t="shared" si="5"/>
        <v>64408.61</v>
      </c>
    </row>
    <row r="96" customHeight="1" spans="1:7">
      <c r="A96" s="49">
        <v>3</v>
      </c>
      <c r="B96" s="183" t="s">
        <v>350</v>
      </c>
      <c r="C96" s="43" t="s">
        <v>310</v>
      </c>
      <c r="D96" s="49" t="s">
        <v>249</v>
      </c>
      <c r="E96" s="185">
        <v>15548.33</v>
      </c>
      <c r="F96" s="118">
        <f>79796.1</f>
        <v>79796.1</v>
      </c>
      <c r="G96" s="118">
        <f t="shared" si="5"/>
        <v>64247.77</v>
      </c>
    </row>
    <row r="97" customHeight="1" spans="1:7">
      <c r="A97" s="49">
        <v>4</v>
      </c>
      <c r="B97" s="186" t="s">
        <v>386</v>
      </c>
      <c r="C97" s="43" t="s">
        <v>256</v>
      </c>
      <c r="D97" s="49" t="s">
        <v>257</v>
      </c>
      <c r="E97" s="185">
        <v>7709.76</v>
      </c>
      <c r="F97" s="118">
        <f>57894.08</f>
        <v>57894.08</v>
      </c>
      <c r="G97" s="118">
        <f t="shared" si="5"/>
        <v>50184.32</v>
      </c>
    </row>
    <row r="98" customHeight="1" spans="1:7">
      <c r="A98" s="49">
        <v>5</v>
      </c>
      <c r="B98" s="188" t="s">
        <v>351</v>
      </c>
      <c r="C98" s="43" t="s">
        <v>259</v>
      </c>
      <c r="D98" s="49" t="s">
        <v>342</v>
      </c>
      <c r="E98" s="185">
        <v>7709.76</v>
      </c>
      <c r="F98" s="118">
        <f>56478.9</f>
        <v>56478.9</v>
      </c>
      <c r="G98" s="118">
        <f t="shared" si="5"/>
        <v>48769.14</v>
      </c>
    </row>
    <row r="99" customHeight="1" spans="1:7">
      <c r="A99" s="49">
        <v>6</v>
      </c>
      <c r="B99" s="188" t="s">
        <v>1174</v>
      </c>
      <c r="C99" s="43" t="s">
        <v>259</v>
      </c>
      <c r="D99" s="49" t="s">
        <v>356</v>
      </c>
      <c r="E99" s="185">
        <v>7709.76</v>
      </c>
      <c r="F99" s="118">
        <f>53384.05</f>
        <v>53384.05</v>
      </c>
      <c r="G99" s="118">
        <f t="shared" si="5"/>
        <v>45674.29</v>
      </c>
    </row>
    <row r="100" ht="21.6" customHeight="1" spans="1:7">
      <c r="A100" s="49">
        <v>7</v>
      </c>
      <c r="B100" s="190" t="s">
        <v>352</v>
      </c>
      <c r="C100" s="43" t="s">
        <v>353</v>
      </c>
      <c r="D100" s="119" t="s">
        <v>950</v>
      </c>
      <c r="E100" s="185">
        <v>7709.76</v>
      </c>
      <c r="F100" s="118">
        <f>48170.87</f>
        <v>48170.87</v>
      </c>
      <c r="G100" s="118">
        <f t="shared" si="5"/>
        <v>40461.11</v>
      </c>
    </row>
    <row r="101" ht="21.6" customHeight="1" spans="1:7">
      <c r="A101" s="49">
        <v>8</v>
      </c>
      <c r="B101" s="183" t="s">
        <v>354</v>
      </c>
      <c r="C101" s="117" t="s">
        <v>46</v>
      </c>
      <c r="D101" s="119" t="s">
        <v>1162</v>
      </c>
      <c r="E101" s="185">
        <v>7709.76</v>
      </c>
      <c r="F101" s="118">
        <f>46673.26</f>
        <v>46673.26</v>
      </c>
      <c r="G101" s="118">
        <f t="shared" si="5"/>
        <v>38963.5</v>
      </c>
    </row>
    <row r="102" ht="21.6" customHeight="1" spans="1:7">
      <c r="A102" s="49">
        <v>9</v>
      </c>
      <c r="B102" s="183" t="s">
        <v>355</v>
      </c>
      <c r="C102" s="117" t="s">
        <v>46</v>
      </c>
      <c r="D102" s="119" t="s">
        <v>1162</v>
      </c>
      <c r="E102" s="185">
        <v>7709.76</v>
      </c>
      <c r="F102" s="118">
        <f>46673.26</f>
        <v>46673.26</v>
      </c>
      <c r="G102" s="118">
        <f t="shared" si="5"/>
        <v>38963.5</v>
      </c>
    </row>
    <row r="103" ht="21.6" customHeight="1" spans="1:7">
      <c r="A103" s="49">
        <v>10</v>
      </c>
      <c r="B103" s="183" t="s">
        <v>357</v>
      </c>
      <c r="C103" s="17" t="s">
        <v>275</v>
      </c>
      <c r="D103" s="119" t="s">
        <v>41</v>
      </c>
      <c r="E103" s="185">
        <v>3369.51</v>
      </c>
      <c r="F103" s="118">
        <f>40149.18</f>
        <v>40149.18</v>
      </c>
      <c r="G103" s="118">
        <f t="shared" si="5"/>
        <v>36779.67</v>
      </c>
    </row>
    <row r="104" ht="21.6" customHeight="1" spans="1:7">
      <c r="A104" s="49">
        <v>11</v>
      </c>
      <c r="B104" s="183" t="s">
        <v>359</v>
      </c>
      <c r="C104" s="43" t="s">
        <v>63</v>
      </c>
      <c r="D104" s="49" t="s">
        <v>24</v>
      </c>
      <c r="E104" s="185">
        <v>3369.51</v>
      </c>
      <c r="F104" s="118">
        <f>28360.95</f>
        <v>28360.95</v>
      </c>
      <c r="G104" s="118">
        <f t="shared" si="5"/>
        <v>24991.44</v>
      </c>
    </row>
    <row r="105" ht="21.6" customHeight="1" spans="1:7">
      <c r="A105" s="49">
        <v>12</v>
      </c>
      <c r="B105" s="183" t="s">
        <v>361</v>
      </c>
      <c r="C105" s="17" t="s">
        <v>362</v>
      </c>
      <c r="D105" s="119" t="s">
        <v>30</v>
      </c>
      <c r="E105" s="185">
        <v>1484.37</v>
      </c>
      <c r="F105" s="118">
        <f>24685.95</f>
        <v>24685.95</v>
      </c>
      <c r="G105" s="118">
        <f t="shared" si="5"/>
        <v>23201.58</v>
      </c>
    </row>
    <row r="106" customHeight="1" spans="1:8">
      <c r="A106" s="49"/>
      <c r="B106" s="195" t="s">
        <v>33</v>
      </c>
      <c r="C106" s="68">
        <v>12</v>
      </c>
      <c r="D106" s="68"/>
      <c r="E106" s="196">
        <v>107196.7</v>
      </c>
      <c r="F106" s="154">
        <f t="shared" ref="F106" si="8">SUM(F94:F105)</f>
        <v>659497.05</v>
      </c>
      <c r="G106" s="154">
        <f t="shared" si="5"/>
        <v>552300.35</v>
      </c>
      <c r="H106" s="199"/>
    </row>
    <row r="107" customHeight="1" spans="1:7">
      <c r="A107" s="49"/>
      <c r="B107" s="197"/>
      <c r="C107" s="68"/>
      <c r="D107" s="68"/>
      <c r="E107" s="196"/>
      <c r="F107" s="153"/>
      <c r="G107" s="118">
        <f t="shared" si="5"/>
        <v>0</v>
      </c>
    </row>
    <row r="108" customHeight="1" spans="1:7">
      <c r="A108" s="49"/>
      <c r="B108" s="195" t="s">
        <v>1175</v>
      </c>
      <c r="C108" s="68"/>
      <c r="D108" s="68"/>
      <c r="E108" s="196"/>
      <c r="F108" s="153"/>
      <c r="G108" s="118">
        <f t="shared" si="5"/>
        <v>0</v>
      </c>
    </row>
    <row r="109" customHeight="1" spans="1:7">
      <c r="A109" s="49">
        <v>1</v>
      </c>
      <c r="B109" s="191" t="s">
        <v>232</v>
      </c>
      <c r="C109" s="49" t="s">
        <v>233</v>
      </c>
      <c r="D109" s="119" t="s">
        <v>308</v>
      </c>
      <c r="E109" s="185">
        <v>21618.09</v>
      </c>
      <c r="F109" s="118">
        <f>79993.51</f>
        <v>79993.51</v>
      </c>
      <c r="G109" s="118">
        <f t="shared" si="5"/>
        <v>58375.42</v>
      </c>
    </row>
    <row r="110" customHeight="1" spans="1:8">
      <c r="A110" s="49">
        <v>2</v>
      </c>
      <c r="B110" s="188" t="s">
        <v>250</v>
      </c>
      <c r="C110" s="4" t="s">
        <v>367</v>
      </c>
      <c r="D110" s="10" t="s">
        <v>342</v>
      </c>
      <c r="E110" s="189">
        <v>7709.76</v>
      </c>
      <c r="F110" s="118">
        <f>43380.1</f>
        <v>43380.1</v>
      </c>
      <c r="G110" s="118">
        <f t="shared" si="5"/>
        <v>35670.34</v>
      </c>
      <c r="H110" s="156"/>
    </row>
    <row r="111" customHeight="1" spans="1:8">
      <c r="A111" s="49">
        <v>3</v>
      </c>
      <c r="B111" s="194" t="s">
        <v>1135</v>
      </c>
      <c r="C111" s="4" t="s">
        <v>1136</v>
      </c>
      <c r="D111" s="119" t="s">
        <v>1162</v>
      </c>
      <c r="E111" s="185">
        <v>7709.76</v>
      </c>
      <c r="F111" s="118">
        <f>38272.44</f>
        <v>38272.44</v>
      </c>
      <c r="G111" s="118">
        <f t="shared" si="5"/>
        <v>30562.68</v>
      </c>
      <c r="H111" s="156"/>
    </row>
    <row r="112" customHeight="1" spans="1:8">
      <c r="A112" s="49">
        <v>4</v>
      </c>
      <c r="B112" s="183" t="s">
        <v>368</v>
      </c>
      <c r="C112" s="43" t="s">
        <v>1176</v>
      </c>
      <c r="D112" s="119" t="s">
        <v>1177</v>
      </c>
      <c r="E112" s="185">
        <v>3369.51</v>
      </c>
      <c r="F112" s="118">
        <f>28640.16</f>
        <v>28640.16</v>
      </c>
      <c r="G112" s="118">
        <f t="shared" si="5"/>
        <v>25270.65</v>
      </c>
      <c r="H112" s="156"/>
    </row>
    <row r="113" customHeight="1" spans="1:8">
      <c r="A113" s="43"/>
      <c r="B113" s="195" t="s">
        <v>33</v>
      </c>
      <c r="C113" s="68">
        <v>4</v>
      </c>
      <c r="D113" s="162"/>
      <c r="E113" s="196">
        <v>40407.12</v>
      </c>
      <c r="F113" s="93">
        <f t="shared" ref="F113" si="9">SUM(F109:F112)</f>
        <v>190286.21</v>
      </c>
      <c r="G113" s="154">
        <f t="shared" si="5"/>
        <v>149879.09</v>
      </c>
      <c r="H113" s="156"/>
    </row>
    <row r="114" customHeight="1" spans="1:7">
      <c r="A114" s="43"/>
      <c r="B114" s="197"/>
      <c r="C114" s="68"/>
      <c r="D114" s="162"/>
      <c r="E114" s="196"/>
      <c r="F114" s="146"/>
      <c r="G114" s="118">
        <f t="shared" si="5"/>
        <v>0</v>
      </c>
    </row>
    <row r="115" customHeight="1" spans="1:7">
      <c r="A115" s="43"/>
      <c r="B115" s="195" t="s">
        <v>1178</v>
      </c>
      <c r="C115" s="43"/>
      <c r="D115" s="43"/>
      <c r="E115" s="128"/>
      <c r="F115" s="43"/>
      <c r="G115" s="118">
        <f t="shared" si="5"/>
        <v>0</v>
      </c>
    </row>
    <row r="116" customHeight="1" spans="1:7">
      <c r="A116" s="43">
        <v>1</v>
      </c>
      <c r="B116" s="183" t="s">
        <v>373</v>
      </c>
      <c r="C116" s="117" t="s">
        <v>374</v>
      </c>
      <c r="D116" s="119" t="s">
        <v>297</v>
      </c>
      <c r="E116" s="185">
        <v>52776.63</v>
      </c>
      <c r="F116" s="118">
        <f>180306.81</f>
        <v>180306.81</v>
      </c>
      <c r="G116" s="118">
        <f t="shared" si="5"/>
        <v>127530.18</v>
      </c>
    </row>
    <row r="117" customHeight="1" spans="1:7">
      <c r="A117" s="43">
        <v>2</v>
      </c>
      <c r="B117" s="183" t="s">
        <v>375</v>
      </c>
      <c r="C117" s="43" t="s">
        <v>376</v>
      </c>
      <c r="D117" s="49" t="s">
        <v>249</v>
      </c>
      <c r="E117" s="185">
        <v>15548.33</v>
      </c>
      <c r="F117" s="118">
        <f>79796.1</f>
        <v>79796.1</v>
      </c>
      <c r="G117" s="118">
        <f t="shared" si="5"/>
        <v>64247.77</v>
      </c>
    </row>
    <row r="118" customHeight="1" spans="1:7">
      <c r="A118" s="43">
        <v>3</v>
      </c>
      <c r="B118" s="183" t="s">
        <v>377</v>
      </c>
      <c r="C118" s="43" t="s">
        <v>378</v>
      </c>
      <c r="D118" s="49" t="s">
        <v>263</v>
      </c>
      <c r="E118" s="185">
        <v>7709.76</v>
      </c>
      <c r="F118" s="118">
        <f>58814.67</f>
        <v>58814.67</v>
      </c>
      <c r="G118" s="118">
        <f t="shared" si="5"/>
        <v>51104.91</v>
      </c>
    </row>
    <row r="119" customHeight="1" spans="1:7">
      <c r="A119" s="43">
        <v>4</v>
      </c>
      <c r="B119" s="188" t="s">
        <v>379</v>
      </c>
      <c r="C119" s="43" t="s">
        <v>378</v>
      </c>
      <c r="D119" s="10" t="s">
        <v>266</v>
      </c>
      <c r="E119" s="189">
        <v>7709.76</v>
      </c>
      <c r="F119" s="85">
        <f>57194.24</f>
        <v>57194.24</v>
      </c>
      <c r="G119" s="118">
        <f t="shared" si="5"/>
        <v>49484.48</v>
      </c>
    </row>
    <row r="120" customHeight="1" spans="1:7">
      <c r="A120" s="43">
        <v>5</v>
      </c>
      <c r="B120" s="183" t="s">
        <v>380</v>
      </c>
      <c r="C120" s="46" t="s">
        <v>381</v>
      </c>
      <c r="D120" s="119" t="s">
        <v>945</v>
      </c>
      <c r="E120" s="185">
        <v>1484.37</v>
      </c>
      <c r="F120" s="118">
        <f>30699.58</f>
        <v>30699.58</v>
      </c>
      <c r="G120" s="118">
        <f t="shared" si="5"/>
        <v>29215.21</v>
      </c>
    </row>
    <row r="121" customHeight="1" spans="1:7">
      <c r="A121" s="43">
        <v>6</v>
      </c>
      <c r="B121" s="194" t="s">
        <v>383</v>
      </c>
      <c r="C121" s="46" t="s">
        <v>381</v>
      </c>
      <c r="D121" s="49" t="s">
        <v>291</v>
      </c>
      <c r="E121" s="185">
        <v>1484.37</v>
      </c>
      <c r="F121" s="118">
        <f>30049.31</f>
        <v>30049.31</v>
      </c>
      <c r="G121" s="118">
        <f t="shared" si="5"/>
        <v>28564.94</v>
      </c>
    </row>
    <row r="122" customHeight="1" spans="1:7">
      <c r="A122" s="43">
        <v>7</v>
      </c>
      <c r="B122" s="191" t="s">
        <v>385</v>
      </c>
      <c r="C122" s="46" t="s">
        <v>381</v>
      </c>
      <c r="D122" s="119" t="s">
        <v>30</v>
      </c>
      <c r="E122" s="185">
        <v>1484.37</v>
      </c>
      <c r="F122" s="118">
        <f>28813.07</f>
        <v>28813.07</v>
      </c>
      <c r="G122" s="118">
        <f t="shared" si="5"/>
        <v>27328.7</v>
      </c>
    </row>
    <row r="123" customHeight="1" spans="1:8">
      <c r="A123" s="43"/>
      <c r="B123" s="195" t="s">
        <v>33</v>
      </c>
      <c r="C123" s="68">
        <v>7</v>
      </c>
      <c r="D123" s="43"/>
      <c r="E123" s="208">
        <v>88197.59</v>
      </c>
      <c r="F123" s="165">
        <f t="shared" ref="F123" si="10">SUM(F116:F122)</f>
        <v>465673.78</v>
      </c>
      <c r="G123" s="154">
        <f t="shared" si="5"/>
        <v>377476.19</v>
      </c>
      <c r="H123" s="199"/>
    </row>
    <row r="124" customHeight="1" spans="1:7">
      <c r="A124" s="43"/>
      <c r="B124" s="197"/>
      <c r="C124" s="49"/>
      <c r="D124" s="43"/>
      <c r="E124" s="128"/>
      <c r="F124" s="56"/>
      <c r="G124" s="118">
        <f t="shared" si="5"/>
        <v>0</v>
      </c>
    </row>
    <row r="125" customHeight="1" spans="1:7">
      <c r="A125" s="43"/>
      <c r="B125" s="195" t="s">
        <v>1179</v>
      </c>
      <c r="C125" s="68"/>
      <c r="D125" s="68"/>
      <c r="E125" s="196"/>
      <c r="F125" s="153"/>
      <c r="G125" s="118">
        <f t="shared" si="5"/>
        <v>0</v>
      </c>
    </row>
    <row r="126" customHeight="1" spans="1:7">
      <c r="A126" s="43">
        <v>1</v>
      </c>
      <c r="B126" s="190" t="s">
        <v>392</v>
      </c>
      <c r="C126" s="117" t="s">
        <v>393</v>
      </c>
      <c r="D126" s="119" t="s">
        <v>297</v>
      </c>
      <c r="E126" s="185">
        <v>52776.63</v>
      </c>
      <c r="F126" s="118">
        <f>179914.45</f>
        <v>179914.45</v>
      </c>
      <c r="G126" s="118">
        <f t="shared" si="5"/>
        <v>127137.82</v>
      </c>
    </row>
    <row r="127" customHeight="1" spans="1:7">
      <c r="A127" s="43">
        <v>2</v>
      </c>
      <c r="B127" s="190" t="s">
        <v>1138</v>
      </c>
      <c r="C127" s="117" t="s">
        <v>1139</v>
      </c>
      <c r="D127" s="119" t="s">
        <v>231</v>
      </c>
      <c r="E127" s="185">
        <v>21618.09</v>
      </c>
      <c r="F127" s="118">
        <f>101827.95</f>
        <v>101827.95</v>
      </c>
      <c r="G127" s="118">
        <f t="shared" si="5"/>
        <v>80209.86</v>
      </c>
    </row>
    <row r="128" customHeight="1" spans="1:7">
      <c r="A128" s="43">
        <v>3</v>
      </c>
      <c r="B128" s="190" t="s">
        <v>128</v>
      </c>
      <c r="C128" s="117" t="s">
        <v>227</v>
      </c>
      <c r="D128" s="119" t="s">
        <v>249</v>
      </c>
      <c r="E128" s="185">
        <v>15548.33</v>
      </c>
      <c r="F128" s="118">
        <f>64436.1</f>
        <v>64436.1</v>
      </c>
      <c r="G128" s="118">
        <f t="shared" si="5"/>
        <v>48887.77</v>
      </c>
    </row>
    <row r="129" customHeight="1" spans="1:7">
      <c r="A129" s="43">
        <v>4</v>
      </c>
      <c r="B129" s="198" t="s">
        <v>395</v>
      </c>
      <c r="C129" s="117" t="s">
        <v>227</v>
      </c>
      <c r="D129" s="119" t="s">
        <v>249</v>
      </c>
      <c r="E129" s="185">
        <v>15548.33</v>
      </c>
      <c r="F129" s="118">
        <f>83636.1</f>
        <v>83636.1</v>
      </c>
      <c r="G129" s="118">
        <f t="shared" si="5"/>
        <v>68087.77</v>
      </c>
    </row>
    <row r="130" customHeight="1" spans="1:7">
      <c r="A130" s="43">
        <v>5</v>
      </c>
      <c r="B130" s="206" t="s">
        <v>226</v>
      </c>
      <c r="C130" s="117" t="s">
        <v>227</v>
      </c>
      <c r="D130" s="119" t="s">
        <v>228</v>
      </c>
      <c r="E130" s="185">
        <v>15548.33</v>
      </c>
      <c r="F130" s="118">
        <f>60212.92</f>
        <v>60212.92</v>
      </c>
      <c r="G130" s="118">
        <f t="shared" si="5"/>
        <v>44664.59</v>
      </c>
    </row>
    <row r="131" customHeight="1" spans="1:7">
      <c r="A131" s="43">
        <v>6</v>
      </c>
      <c r="B131" s="190" t="s">
        <v>396</v>
      </c>
      <c r="C131" s="117" t="s">
        <v>1141</v>
      </c>
      <c r="D131" s="119" t="s">
        <v>266</v>
      </c>
      <c r="E131" s="185">
        <v>7709.76</v>
      </c>
      <c r="F131" s="118">
        <f>40788.51</f>
        <v>40788.51</v>
      </c>
      <c r="G131" s="118">
        <f t="shared" si="5"/>
        <v>33078.75</v>
      </c>
    </row>
    <row r="132" customHeight="1" spans="1:7">
      <c r="A132" s="43">
        <v>7</v>
      </c>
      <c r="B132" s="190" t="s">
        <v>398</v>
      </c>
      <c r="C132" s="117" t="s">
        <v>399</v>
      </c>
      <c r="D132" s="119" t="s">
        <v>950</v>
      </c>
      <c r="E132" s="185">
        <v>7709.76</v>
      </c>
      <c r="F132" s="118">
        <f>44518.93</f>
        <v>44518.93</v>
      </c>
      <c r="G132" s="118">
        <f t="shared" si="5"/>
        <v>36809.17</v>
      </c>
    </row>
    <row r="133" customHeight="1" spans="1:7">
      <c r="A133" s="43">
        <v>8</v>
      </c>
      <c r="B133" s="190" t="s">
        <v>400</v>
      </c>
      <c r="C133" s="117" t="s">
        <v>970</v>
      </c>
      <c r="D133" s="119" t="s">
        <v>950</v>
      </c>
      <c r="E133" s="185">
        <v>7709.76</v>
      </c>
      <c r="F133" s="118">
        <f>39478.93</f>
        <v>39478.93</v>
      </c>
      <c r="G133" s="118">
        <f t="shared" si="5"/>
        <v>31769.17</v>
      </c>
    </row>
    <row r="134" customHeight="1" spans="1:7">
      <c r="A134" s="43">
        <v>9</v>
      </c>
      <c r="B134" s="191" t="s">
        <v>1140</v>
      </c>
      <c r="C134" s="117" t="s">
        <v>1141</v>
      </c>
      <c r="D134" s="119" t="s">
        <v>951</v>
      </c>
      <c r="E134" s="185">
        <v>7709.76</v>
      </c>
      <c r="F134" s="118">
        <f>38272.44</f>
        <v>38272.44</v>
      </c>
      <c r="G134" s="118">
        <f t="shared" si="5"/>
        <v>30562.68</v>
      </c>
    </row>
    <row r="135" customHeight="1" spans="1:7">
      <c r="A135" s="43">
        <v>10</v>
      </c>
      <c r="B135" s="183" t="s">
        <v>401</v>
      </c>
      <c r="C135" s="117" t="s">
        <v>402</v>
      </c>
      <c r="D135" s="49" t="s">
        <v>24</v>
      </c>
      <c r="E135" s="185">
        <v>3369.51</v>
      </c>
      <c r="F135" s="118">
        <f>21640.95</f>
        <v>21640.95</v>
      </c>
      <c r="G135" s="118">
        <f t="shared" si="5"/>
        <v>18271.44</v>
      </c>
    </row>
    <row r="136" customHeight="1" spans="1:7">
      <c r="A136" s="43">
        <v>11</v>
      </c>
      <c r="B136" s="191" t="s">
        <v>403</v>
      </c>
      <c r="C136" s="117" t="s">
        <v>404</v>
      </c>
      <c r="D136" s="119" t="s">
        <v>30</v>
      </c>
      <c r="E136" s="185">
        <v>1484.37</v>
      </c>
      <c r="F136" s="118">
        <f>25245.23</f>
        <v>25245.23</v>
      </c>
      <c r="G136" s="118">
        <f t="shared" si="5"/>
        <v>23760.86</v>
      </c>
    </row>
    <row r="137" customHeight="1" spans="1:8">
      <c r="A137" s="43"/>
      <c r="B137" s="195" t="s">
        <v>33</v>
      </c>
      <c r="C137" s="162" t="s">
        <v>1142</v>
      </c>
      <c r="D137" s="119"/>
      <c r="E137" s="209">
        <v>156732.63</v>
      </c>
      <c r="F137" s="154">
        <f t="shared" ref="F137" si="11">SUM(F126:F136)</f>
        <v>699972.51</v>
      </c>
      <c r="G137" s="154">
        <f t="shared" si="5"/>
        <v>543239.88</v>
      </c>
      <c r="H137" s="199"/>
    </row>
    <row r="138" customHeight="1" spans="1:7">
      <c r="A138" s="43"/>
      <c r="B138" s="197"/>
      <c r="C138" s="162"/>
      <c r="D138" s="119"/>
      <c r="E138" s="185"/>
      <c r="F138" s="153"/>
      <c r="G138" s="118">
        <f t="shared" si="5"/>
        <v>0</v>
      </c>
    </row>
    <row r="139" customHeight="1" spans="1:7">
      <c r="A139" s="43"/>
      <c r="B139" s="195" t="s">
        <v>1180</v>
      </c>
      <c r="C139" s="117"/>
      <c r="D139" s="119"/>
      <c r="E139" s="185"/>
      <c r="F139" s="118"/>
      <c r="G139" s="118">
        <f t="shared" si="5"/>
        <v>0</v>
      </c>
    </row>
    <row r="140" customHeight="1" spans="1:7">
      <c r="A140" s="210">
        <v>1</v>
      </c>
      <c r="B140" s="190" t="s">
        <v>1181</v>
      </c>
      <c r="C140" s="117" t="s">
        <v>1182</v>
      </c>
      <c r="D140" s="119" t="s">
        <v>297</v>
      </c>
      <c r="E140" s="185">
        <v>52776.63</v>
      </c>
      <c r="F140" s="118"/>
      <c r="G140" s="118">
        <f t="shared" ref="G140:G199" si="12">F140-E140</f>
        <v>-52776.63</v>
      </c>
    </row>
    <row r="141" customHeight="1" spans="1:7">
      <c r="A141" s="210">
        <v>2</v>
      </c>
      <c r="B141" s="190" t="s">
        <v>407</v>
      </c>
      <c r="C141" s="117" t="s">
        <v>408</v>
      </c>
      <c r="D141" s="119" t="s">
        <v>297</v>
      </c>
      <c r="E141" s="185">
        <v>52776.63</v>
      </c>
      <c r="F141" s="118">
        <f>161106.81</f>
        <v>161106.81</v>
      </c>
      <c r="G141" s="118">
        <f t="shared" si="12"/>
        <v>108330.18</v>
      </c>
    </row>
    <row r="142" customHeight="1" spans="1:7">
      <c r="A142" s="210">
        <v>3</v>
      </c>
      <c r="B142" s="190" t="s">
        <v>229</v>
      </c>
      <c r="C142" s="117" t="s">
        <v>230</v>
      </c>
      <c r="D142" s="119" t="s">
        <v>231</v>
      </c>
      <c r="E142" s="185">
        <v>21618.09</v>
      </c>
      <c r="F142" s="118">
        <f>82627.95</f>
        <v>82627.95</v>
      </c>
      <c r="G142" s="118">
        <f t="shared" si="12"/>
        <v>61009.86</v>
      </c>
    </row>
    <row r="143" customHeight="1" spans="1:7">
      <c r="A143" s="210">
        <v>4</v>
      </c>
      <c r="B143" s="202" t="s">
        <v>409</v>
      </c>
      <c r="C143" s="4" t="s">
        <v>1183</v>
      </c>
      <c r="D143" s="16" t="s">
        <v>249</v>
      </c>
      <c r="E143" s="189">
        <v>15548.33</v>
      </c>
      <c r="F143" s="85">
        <f>74036.1</f>
        <v>74036.1</v>
      </c>
      <c r="G143" s="118">
        <f t="shared" si="12"/>
        <v>58487.77</v>
      </c>
    </row>
    <row r="144" customHeight="1" spans="1:7">
      <c r="A144" s="210">
        <v>5</v>
      </c>
      <c r="B144" s="202" t="s">
        <v>1184</v>
      </c>
      <c r="C144" s="4" t="s">
        <v>1185</v>
      </c>
      <c r="D144" s="16" t="s">
        <v>249</v>
      </c>
      <c r="E144" s="189">
        <v>15548.33</v>
      </c>
      <c r="F144" s="85"/>
      <c r="G144" s="118">
        <f t="shared" si="12"/>
        <v>-15548.33</v>
      </c>
    </row>
    <row r="145" customHeight="1" spans="1:7">
      <c r="A145" s="210">
        <v>6</v>
      </c>
      <c r="B145" s="190" t="s">
        <v>411</v>
      </c>
      <c r="C145" s="117" t="s">
        <v>412</v>
      </c>
      <c r="D145" s="119" t="s">
        <v>342</v>
      </c>
      <c r="E145" s="185">
        <v>7709.76</v>
      </c>
      <c r="F145" s="118">
        <f>43380.1</f>
        <v>43380.1</v>
      </c>
      <c r="G145" s="118">
        <f t="shared" si="12"/>
        <v>35670.34</v>
      </c>
    </row>
    <row r="146" customHeight="1" spans="1:7">
      <c r="A146" s="210">
        <v>7</v>
      </c>
      <c r="B146" s="190" t="s">
        <v>413</v>
      </c>
      <c r="C146" s="43" t="s">
        <v>414</v>
      </c>
      <c r="D146" s="119" t="s">
        <v>342</v>
      </c>
      <c r="E146" s="185">
        <v>7709.76</v>
      </c>
      <c r="F146" s="118">
        <f>43380.1</f>
        <v>43380.1</v>
      </c>
      <c r="G146" s="118">
        <f t="shared" si="12"/>
        <v>35670.34</v>
      </c>
    </row>
    <row r="147" customHeight="1" spans="1:7">
      <c r="A147" s="210">
        <v>8</v>
      </c>
      <c r="B147" s="190" t="s">
        <v>366</v>
      </c>
      <c r="C147" s="43" t="s">
        <v>420</v>
      </c>
      <c r="D147" s="119" t="s">
        <v>950</v>
      </c>
      <c r="E147" s="185">
        <v>7709.76</v>
      </c>
      <c r="F147" s="118">
        <f>39582.84</f>
        <v>39582.84</v>
      </c>
      <c r="G147" s="118">
        <f t="shared" si="12"/>
        <v>31873.08</v>
      </c>
    </row>
    <row r="148" customHeight="1" spans="1:7">
      <c r="A148" s="210">
        <v>9</v>
      </c>
      <c r="B148" s="183" t="s">
        <v>416</v>
      </c>
      <c r="C148" s="117" t="s">
        <v>417</v>
      </c>
      <c r="D148" s="119" t="s">
        <v>332</v>
      </c>
      <c r="E148" s="185">
        <v>3369.51</v>
      </c>
      <c r="F148" s="118">
        <f>32848.56</f>
        <v>32848.56</v>
      </c>
      <c r="G148" s="118">
        <f t="shared" si="12"/>
        <v>29479.05</v>
      </c>
    </row>
    <row r="149" customHeight="1" spans="1:7">
      <c r="A149" s="210">
        <v>10</v>
      </c>
      <c r="B149" s="190" t="s">
        <v>418</v>
      </c>
      <c r="C149" s="117" t="s">
        <v>417</v>
      </c>
      <c r="D149" s="119" t="s">
        <v>332</v>
      </c>
      <c r="E149" s="185">
        <v>3369.51</v>
      </c>
      <c r="F149" s="118">
        <f>32938.95</f>
        <v>32938.95</v>
      </c>
      <c r="G149" s="118">
        <f t="shared" si="12"/>
        <v>29569.44</v>
      </c>
    </row>
    <row r="150" customHeight="1" spans="1:7">
      <c r="A150" s="210">
        <v>11</v>
      </c>
      <c r="B150" s="183" t="s">
        <v>419</v>
      </c>
      <c r="C150" s="43" t="s">
        <v>420</v>
      </c>
      <c r="D150" s="119" t="s">
        <v>332</v>
      </c>
      <c r="E150" s="185">
        <v>3369.51</v>
      </c>
      <c r="F150" s="118">
        <f>32938.95</f>
        <v>32938.95</v>
      </c>
      <c r="G150" s="118">
        <f t="shared" si="12"/>
        <v>29569.44</v>
      </c>
    </row>
    <row r="151" customHeight="1" spans="1:7">
      <c r="A151" s="210">
        <v>12</v>
      </c>
      <c r="B151" s="183" t="s">
        <v>421</v>
      </c>
      <c r="C151" s="43" t="s">
        <v>430</v>
      </c>
      <c r="D151" s="119" t="s">
        <v>432</v>
      </c>
      <c r="E151" s="185">
        <v>3369.51</v>
      </c>
      <c r="F151" s="118">
        <f>27873.08</f>
        <v>27873.08</v>
      </c>
      <c r="G151" s="118">
        <f t="shared" si="12"/>
        <v>24503.57</v>
      </c>
    </row>
    <row r="152" customHeight="1" spans="1:7">
      <c r="A152" s="210">
        <v>13</v>
      </c>
      <c r="B152" s="183" t="s">
        <v>423</v>
      </c>
      <c r="C152" s="117" t="s">
        <v>971</v>
      </c>
      <c r="D152" s="119" t="s">
        <v>345</v>
      </c>
      <c r="E152" s="185">
        <v>3369.51</v>
      </c>
      <c r="F152" s="118">
        <f>27029.2</f>
        <v>27029.2</v>
      </c>
      <c r="G152" s="118">
        <f t="shared" si="12"/>
        <v>23659.69</v>
      </c>
    </row>
    <row r="153" customHeight="1" spans="1:7">
      <c r="A153" s="210">
        <v>14</v>
      </c>
      <c r="B153" s="183" t="s">
        <v>425</v>
      </c>
      <c r="C153" s="117" t="s">
        <v>449</v>
      </c>
      <c r="D153" s="119" t="s">
        <v>432</v>
      </c>
      <c r="E153" s="185">
        <v>3369.51</v>
      </c>
      <c r="F153" s="118">
        <f>27794.21</f>
        <v>27794.21</v>
      </c>
      <c r="G153" s="118">
        <f t="shared" si="12"/>
        <v>24424.7</v>
      </c>
    </row>
    <row r="154" customHeight="1" spans="1:7">
      <c r="A154" s="210">
        <v>15</v>
      </c>
      <c r="B154" s="183" t="s">
        <v>1186</v>
      </c>
      <c r="C154" s="43" t="s">
        <v>430</v>
      </c>
      <c r="D154" s="119" t="s">
        <v>301</v>
      </c>
      <c r="E154" s="185">
        <v>1484.37</v>
      </c>
      <c r="F154" s="118">
        <f>26339.08</f>
        <v>26339.08</v>
      </c>
      <c r="G154" s="118">
        <f t="shared" si="12"/>
        <v>24854.71</v>
      </c>
    </row>
    <row r="155" customHeight="1" spans="1:7">
      <c r="A155" s="210">
        <v>16</v>
      </c>
      <c r="B155" s="183" t="s">
        <v>1187</v>
      </c>
      <c r="C155" s="43" t="s">
        <v>430</v>
      </c>
      <c r="D155" s="119" t="s">
        <v>301</v>
      </c>
      <c r="E155" s="185">
        <v>1484.37</v>
      </c>
      <c r="F155" s="118">
        <f>26264.39</f>
        <v>26264.39</v>
      </c>
      <c r="G155" s="118">
        <f t="shared" si="12"/>
        <v>24780.02</v>
      </c>
    </row>
    <row r="156" customHeight="1" spans="1:7">
      <c r="A156" s="210">
        <v>17</v>
      </c>
      <c r="B156" s="183" t="s">
        <v>433</v>
      </c>
      <c r="C156" s="43" t="s">
        <v>430</v>
      </c>
      <c r="D156" s="119" t="s">
        <v>301</v>
      </c>
      <c r="E156" s="185">
        <v>1484.37</v>
      </c>
      <c r="F156" s="118">
        <f>26339.08</f>
        <v>26339.08</v>
      </c>
      <c r="G156" s="118">
        <f t="shared" si="12"/>
        <v>24854.71</v>
      </c>
    </row>
    <row r="157" customHeight="1" spans="1:7">
      <c r="A157" s="210">
        <v>18</v>
      </c>
      <c r="B157" s="183" t="s">
        <v>434</v>
      </c>
      <c r="C157" s="117" t="s">
        <v>435</v>
      </c>
      <c r="D157" s="119" t="s">
        <v>37</v>
      </c>
      <c r="E157" s="185">
        <v>3369.51</v>
      </c>
      <c r="F157" s="118">
        <f>25571.82</f>
        <v>25571.82</v>
      </c>
      <c r="G157" s="118">
        <f t="shared" si="12"/>
        <v>22202.31</v>
      </c>
    </row>
    <row r="158" customHeight="1" spans="1:7">
      <c r="A158" s="210">
        <v>19</v>
      </c>
      <c r="B158" s="183" t="s">
        <v>953</v>
      </c>
      <c r="C158" s="117" t="s">
        <v>437</v>
      </c>
      <c r="D158" s="49" t="s">
        <v>24</v>
      </c>
      <c r="E158" s="185">
        <v>3369.51</v>
      </c>
      <c r="F158" s="118">
        <f>21640.95</f>
        <v>21640.95</v>
      </c>
      <c r="G158" s="118">
        <f t="shared" si="12"/>
        <v>18271.44</v>
      </c>
    </row>
    <row r="159" customHeight="1" spans="1:7">
      <c r="A159" s="210">
        <v>20</v>
      </c>
      <c r="B159" s="183" t="s">
        <v>438</v>
      </c>
      <c r="C159" s="117" t="s">
        <v>449</v>
      </c>
      <c r="D159" s="119" t="s">
        <v>945</v>
      </c>
      <c r="E159" s="185">
        <v>1484.37</v>
      </c>
      <c r="F159" s="118">
        <f>18102.9</f>
        <v>18102.9</v>
      </c>
      <c r="G159" s="118">
        <f t="shared" si="12"/>
        <v>16618.53</v>
      </c>
    </row>
    <row r="160" customHeight="1" spans="1:7">
      <c r="A160" s="210">
        <v>21</v>
      </c>
      <c r="B160" s="183" t="s">
        <v>440</v>
      </c>
      <c r="C160" s="117" t="s">
        <v>1188</v>
      </c>
      <c r="D160" s="119" t="s">
        <v>945</v>
      </c>
      <c r="E160" s="185">
        <v>1484.37</v>
      </c>
      <c r="F160" s="118">
        <f>18102.9</f>
        <v>18102.9</v>
      </c>
      <c r="G160" s="118">
        <f t="shared" si="12"/>
        <v>16618.53</v>
      </c>
    </row>
    <row r="161" customHeight="1" spans="1:7">
      <c r="A161" s="210">
        <v>22</v>
      </c>
      <c r="B161" s="183" t="s">
        <v>442</v>
      </c>
      <c r="C161" s="117" t="s">
        <v>449</v>
      </c>
      <c r="D161" s="119" t="s">
        <v>945</v>
      </c>
      <c r="E161" s="185">
        <v>1484.37</v>
      </c>
      <c r="F161" s="118">
        <f>18051.63</f>
        <v>18051.63</v>
      </c>
      <c r="G161" s="118">
        <f t="shared" si="12"/>
        <v>16567.26</v>
      </c>
    </row>
    <row r="162" customHeight="1" spans="1:7">
      <c r="A162" s="210">
        <v>23</v>
      </c>
      <c r="B162" s="183" t="s">
        <v>444</v>
      </c>
      <c r="C162" s="117" t="s">
        <v>445</v>
      </c>
      <c r="D162" s="119" t="s">
        <v>945</v>
      </c>
      <c r="E162" s="185">
        <v>1484.37</v>
      </c>
      <c r="F162" s="118">
        <f>18102.9</f>
        <v>18102.9</v>
      </c>
      <c r="G162" s="118">
        <f t="shared" si="12"/>
        <v>16618.53</v>
      </c>
    </row>
    <row r="163" customHeight="1" spans="1:7">
      <c r="A163" s="210">
        <v>24</v>
      </c>
      <c r="B163" s="191" t="s">
        <v>446</v>
      </c>
      <c r="C163" s="117" t="s">
        <v>451</v>
      </c>
      <c r="D163" s="119" t="s">
        <v>1166</v>
      </c>
      <c r="E163" s="185">
        <v>3369.51</v>
      </c>
      <c r="F163" s="118">
        <f>17572.89</f>
        <v>17572.89</v>
      </c>
      <c r="G163" s="118">
        <f t="shared" si="12"/>
        <v>14203.38</v>
      </c>
    </row>
    <row r="164" customHeight="1" spans="1:7">
      <c r="A164" s="210">
        <v>25</v>
      </c>
      <c r="B164" s="191" t="s">
        <v>1143</v>
      </c>
      <c r="C164" s="117" t="s">
        <v>449</v>
      </c>
      <c r="D164" s="119" t="s">
        <v>30</v>
      </c>
      <c r="E164" s="185">
        <v>1484.37</v>
      </c>
      <c r="F164" s="118">
        <f>16512.68</f>
        <v>16512.68</v>
      </c>
      <c r="G164" s="118">
        <f t="shared" si="12"/>
        <v>15028.31</v>
      </c>
    </row>
    <row r="165" customHeight="1" spans="1:7">
      <c r="A165" s="210">
        <v>26</v>
      </c>
      <c r="B165" s="191" t="s">
        <v>448</v>
      </c>
      <c r="C165" s="117" t="s">
        <v>449</v>
      </c>
      <c r="D165" s="119" t="s">
        <v>30</v>
      </c>
      <c r="E165" s="185">
        <v>1484.37</v>
      </c>
      <c r="F165" s="118">
        <f>16512.68</f>
        <v>16512.68</v>
      </c>
      <c r="G165" s="118">
        <f t="shared" si="12"/>
        <v>15028.31</v>
      </c>
    </row>
    <row r="166" customHeight="1" spans="1:7">
      <c r="A166" s="210">
        <v>27</v>
      </c>
      <c r="B166" s="191" t="s">
        <v>450</v>
      </c>
      <c r="C166" s="117" t="s">
        <v>451</v>
      </c>
      <c r="D166" s="119" t="s">
        <v>30</v>
      </c>
      <c r="E166" s="185">
        <v>1484.37</v>
      </c>
      <c r="F166" s="118">
        <f>16512.68</f>
        <v>16512.68</v>
      </c>
      <c r="G166" s="118">
        <f t="shared" si="12"/>
        <v>15028.31</v>
      </c>
    </row>
    <row r="167" customHeight="1" spans="1:7">
      <c r="A167" s="210">
        <v>28</v>
      </c>
      <c r="B167" s="191" t="s">
        <v>452</v>
      </c>
      <c r="C167" s="117" t="s">
        <v>453</v>
      </c>
      <c r="D167" s="119" t="s">
        <v>30</v>
      </c>
      <c r="E167" s="185">
        <v>1484.37</v>
      </c>
      <c r="F167" s="118">
        <f>16512.68</f>
        <v>16512.68</v>
      </c>
      <c r="G167" s="118">
        <f t="shared" si="12"/>
        <v>15028.31</v>
      </c>
    </row>
    <row r="168" customHeight="1" spans="1:7">
      <c r="A168" s="210">
        <v>29</v>
      </c>
      <c r="B168" s="191" t="s">
        <v>454</v>
      </c>
      <c r="C168" s="117" t="s">
        <v>455</v>
      </c>
      <c r="D168" s="119" t="s">
        <v>30</v>
      </c>
      <c r="E168" s="185">
        <v>1484.37</v>
      </c>
      <c r="F168" s="118">
        <f>16512.68</f>
        <v>16512.68</v>
      </c>
      <c r="G168" s="118">
        <f t="shared" si="12"/>
        <v>15028.31</v>
      </c>
    </row>
    <row r="169" customHeight="1" spans="1:7">
      <c r="A169" s="210">
        <v>30</v>
      </c>
      <c r="B169" s="190" t="s">
        <v>457</v>
      </c>
      <c r="C169" s="117" t="s">
        <v>458</v>
      </c>
      <c r="D169" s="119" t="s">
        <v>476</v>
      </c>
      <c r="E169" s="185">
        <v>236.04</v>
      </c>
      <c r="F169" s="118">
        <f>9117.05</f>
        <v>9117.05</v>
      </c>
      <c r="G169" s="118">
        <f t="shared" si="12"/>
        <v>8881.01</v>
      </c>
    </row>
    <row r="170" customHeight="1" spans="1:7">
      <c r="A170" s="210">
        <v>31</v>
      </c>
      <c r="B170" s="190" t="s">
        <v>460</v>
      </c>
      <c r="C170" s="117" t="s">
        <v>458</v>
      </c>
      <c r="D170" s="119" t="s">
        <v>476</v>
      </c>
      <c r="E170" s="185">
        <v>236.04</v>
      </c>
      <c r="F170" s="118">
        <f>9504.2</f>
        <v>9504.2</v>
      </c>
      <c r="G170" s="118">
        <f t="shared" si="12"/>
        <v>9268.16</v>
      </c>
    </row>
    <row r="171" customHeight="1" spans="1:7">
      <c r="A171" s="210">
        <v>32</v>
      </c>
      <c r="B171" s="190" t="s">
        <v>461</v>
      </c>
      <c r="C171" s="117" t="s">
        <v>458</v>
      </c>
      <c r="D171" s="119" t="s">
        <v>476</v>
      </c>
      <c r="E171" s="185">
        <v>236.04</v>
      </c>
      <c r="F171" s="118">
        <f>9144.2</f>
        <v>9144.2</v>
      </c>
      <c r="G171" s="118">
        <f t="shared" si="12"/>
        <v>8908.16</v>
      </c>
    </row>
    <row r="172" customHeight="1" spans="1:7">
      <c r="A172" s="210">
        <v>33</v>
      </c>
      <c r="B172" s="190" t="s">
        <v>664</v>
      </c>
      <c r="C172" s="117" t="s">
        <v>458</v>
      </c>
      <c r="D172" s="119" t="s">
        <v>476</v>
      </c>
      <c r="E172" s="185">
        <v>236.04</v>
      </c>
      <c r="F172" s="118">
        <f>9144.2</f>
        <v>9144.2</v>
      </c>
      <c r="G172" s="118">
        <f t="shared" si="12"/>
        <v>8908.16</v>
      </c>
    </row>
    <row r="173" customHeight="1" spans="1:7">
      <c r="A173" s="210">
        <v>34</v>
      </c>
      <c r="B173" s="190" t="s">
        <v>662</v>
      </c>
      <c r="C173" s="117" t="s">
        <v>458</v>
      </c>
      <c r="D173" s="119" t="s">
        <v>476</v>
      </c>
      <c r="E173" s="185">
        <v>236.04</v>
      </c>
      <c r="F173" s="118">
        <f>9144.2</f>
        <v>9144.2</v>
      </c>
      <c r="G173" s="118">
        <f t="shared" si="12"/>
        <v>8908.16</v>
      </c>
    </row>
    <row r="174" customHeight="1" spans="1:7">
      <c r="A174" s="210">
        <v>35</v>
      </c>
      <c r="B174" s="190" t="s">
        <v>462</v>
      </c>
      <c r="C174" s="117" t="s">
        <v>458</v>
      </c>
      <c r="D174" s="119" t="s">
        <v>476</v>
      </c>
      <c r="E174" s="185">
        <v>236.04</v>
      </c>
      <c r="F174" s="118">
        <f>9117.05</f>
        <v>9117.05</v>
      </c>
      <c r="G174" s="118">
        <f t="shared" si="12"/>
        <v>8881.01</v>
      </c>
    </row>
    <row r="175" customHeight="1" spans="1:7">
      <c r="A175" s="210">
        <v>36</v>
      </c>
      <c r="B175" s="190" t="s">
        <v>463</v>
      </c>
      <c r="C175" s="117" t="s">
        <v>458</v>
      </c>
      <c r="D175" s="119" t="s">
        <v>476</v>
      </c>
      <c r="E175" s="185">
        <v>236.04</v>
      </c>
      <c r="F175" s="118">
        <f>9144.2</f>
        <v>9144.2</v>
      </c>
      <c r="G175" s="118">
        <f t="shared" si="12"/>
        <v>8908.16</v>
      </c>
    </row>
    <row r="176" customHeight="1" spans="1:7">
      <c r="A176" s="210">
        <v>37</v>
      </c>
      <c r="B176" s="190" t="s">
        <v>464</v>
      </c>
      <c r="C176" s="117" t="s">
        <v>478</v>
      </c>
      <c r="D176" s="119" t="s">
        <v>1189</v>
      </c>
      <c r="E176" s="185">
        <v>236.04</v>
      </c>
      <c r="F176" s="118">
        <f>4692.33</f>
        <v>4692.33</v>
      </c>
      <c r="G176" s="118">
        <f t="shared" si="12"/>
        <v>4456.29</v>
      </c>
    </row>
    <row r="177" customHeight="1" spans="1:7">
      <c r="A177" s="210">
        <v>38</v>
      </c>
      <c r="B177" s="190" t="s">
        <v>466</v>
      </c>
      <c r="C177" s="117" t="s">
        <v>478</v>
      </c>
      <c r="D177" s="119" t="s">
        <v>1189</v>
      </c>
      <c r="E177" s="185">
        <v>236.04</v>
      </c>
      <c r="F177" s="118">
        <f>4377.04</f>
        <v>4377.04</v>
      </c>
      <c r="G177" s="118">
        <f t="shared" si="12"/>
        <v>4141</v>
      </c>
    </row>
    <row r="178" customHeight="1" spans="1:7">
      <c r="A178" s="210">
        <v>39</v>
      </c>
      <c r="B178" s="190" t="s">
        <v>1121</v>
      </c>
      <c r="C178" s="117" t="s">
        <v>478</v>
      </c>
      <c r="D178" s="119" t="s">
        <v>1189</v>
      </c>
      <c r="E178" s="185">
        <v>236.04</v>
      </c>
      <c r="F178" s="118">
        <f>4377.04</f>
        <v>4377.04</v>
      </c>
      <c r="G178" s="118">
        <f t="shared" si="12"/>
        <v>4141</v>
      </c>
    </row>
    <row r="179" customHeight="1" spans="1:7">
      <c r="A179" s="210">
        <v>40</v>
      </c>
      <c r="B179" s="198" t="s">
        <v>467</v>
      </c>
      <c r="C179" s="117" t="s">
        <v>478</v>
      </c>
      <c r="D179" s="119" t="s">
        <v>1189</v>
      </c>
      <c r="E179" s="185">
        <v>236.04</v>
      </c>
      <c r="F179" s="118">
        <f>4692.33</f>
        <v>4692.33</v>
      </c>
      <c r="G179" s="118">
        <f t="shared" si="12"/>
        <v>4456.29</v>
      </c>
    </row>
    <row r="180" customHeight="1" spans="1:7">
      <c r="A180" s="210">
        <v>41</v>
      </c>
      <c r="B180" s="183" t="s">
        <v>468</v>
      </c>
      <c r="C180" s="117" t="s">
        <v>478</v>
      </c>
      <c r="D180" s="119" t="s">
        <v>1189</v>
      </c>
      <c r="E180" s="185">
        <v>236.04</v>
      </c>
      <c r="F180" s="118">
        <f>4377.04</f>
        <v>4377.04</v>
      </c>
      <c r="G180" s="118">
        <f t="shared" si="12"/>
        <v>4141</v>
      </c>
    </row>
    <row r="181" customHeight="1" spans="1:7">
      <c r="A181" s="210">
        <v>42</v>
      </c>
      <c r="B181" s="211" t="s">
        <v>469</v>
      </c>
      <c r="C181" s="117" t="s">
        <v>478</v>
      </c>
      <c r="D181" s="119" t="s">
        <v>1189</v>
      </c>
      <c r="E181" s="185">
        <v>236.04</v>
      </c>
      <c r="F181" s="118">
        <f>4377.04</f>
        <v>4377.04</v>
      </c>
      <c r="G181" s="118">
        <f t="shared" si="12"/>
        <v>4141</v>
      </c>
    </row>
    <row r="182" customHeight="1" spans="1:7">
      <c r="A182" s="210">
        <v>43</v>
      </c>
      <c r="B182" s="211" t="s">
        <v>470</v>
      </c>
      <c r="C182" s="117" t="s">
        <v>478</v>
      </c>
      <c r="D182" s="119" t="s">
        <v>1189</v>
      </c>
      <c r="E182" s="185">
        <v>236.04</v>
      </c>
      <c r="F182" s="118">
        <f>4692.33</f>
        <v>4692.33</v>
      </c>
      <c r="G182" s="118">
        <f t="shared" si="12"/>
        <v>4456.29</v>
      </c>
    </row>
    <row r="183" customHeight="1" spans="1:7">
      <c r="A183" s="210">
        <v>44</v>
      </c>
      <c r="B183" s="183" t="s">
        <v>471</v>
      </c>
      <c r="C183" s="117" t="s">
        <v>478</v>
      </c>
      <c r="D183" s="119" t="s">
        <v>954</v>
      </c>
      <c r="E183" s="185">
        <v>236.04</v>
      </c>
      <c r="F183" s="118">
        <f>4227.52</f>
        <v>4227.52</v>
      </c>
      <c r="G183" s="118">
        <f t="shared" si="12"/>
        <v>3991.48</v>
      </c>
    </row>
    <row r="184" customHeight="1" spans="1:7">
      <c r="A184" s="210">
        <v>45</v>
      </c>
      <c r="B184" s="183" t="s">
        <v>474</v>
      </c>
      <c r="C184" s="117" t="s">
        <v>478</v>
      </c>
      <c r="D184" s="119" t="s">
        <v>954</v>
      </c>
      <c r="E184" s="185">
        <v>236.04</v>
      </c>
      <c r="F184" s="118">
        <f>4227.52</f>
        <v>4227.52</v>
      </c>
      <c r="G184" s="118">
        <f t="shared" si="12"/>
        <v>3991.48</v>
      </c>
    </row>
    <row r="185" customHeight="1" spans="1:7">
      <c r="A185" s="210">
        <v>46</v>
      </c>
      <c r="B185" s="211" t="s">
        <v>475</v>
      </c>
      <c r="C185" s="117" t="s">
        <v>478</v>
      </c>
      <c r="D185" s="119" t="s">
        <v>479</v>
      </c>
      <c r="E185" s="185">
        <v>236.04</v>
      </c>
      <c r="F185" s="118">
        <f>4365.33</f>
        <v>4365.33</v>
      </c>
      <c r="G185" s="118">
        <f t="shared" si="12"/>
        <v>4129.29</v>
      </c>
    </row>
    <row r="186" customHeight="1" spans="1:7">
      <c r="A186" s="210">
        <v>47</v>
      </c>
      <c r="B186" s="183" t="s">
        <v>477</v>
      </c>
      <c r="C186" s="117" t="s">
        <v>478</v>
      </c>
      <c r="D186" s="119" t="s">
        <v>492</v>
      </c>
      <c r="E186" s="185">
        <v>236.04</v>
      </c>
      <c r="F186" s="118">
        <f>4089.72</f>
        <v>4089.72</v>
      </c>
      <c r="G186" s="118">
        <f t="shared" si="12"/>
        <v>3853.68</v>
      </c>
    </row>
    <row r="187" customHeight="1" spans="1:7">
      <c r="A187" s="210">
        <v>48</v>
      </c>
      <c r="B187" s="183" t="s">
        <v>480</v>
      </c>
      <c r="C187" s="117" t="s">
        <v>481</v>
      </c>
      <c r="D187" s="119" t="s">
        <v>1190</v>
      </c>
      <c r="E187" s="185">
        <v>236.04</v>
      </c>
      <c r="F187" s="118">
        <f>3951.8</f>
        <v>3951.8</v>
      </c>
      <c r="G187" s="118">
        <f t="shared" si="12"/>
        <v>3715.76</v>
      </c>
    </row>
    <row r="188" customHeight="1" spans="1:7">
      <c r="A188" s="210">
        <v>49</v>
      </c>
      <c r="B188" s="183" t="s">
        <v>483</v>
      </c>
      <c r="C188" s="117" t="s">
        <v>481</v>
      </c>
      <c r="D188" s="119" t="s">
        <v>1190</v>
      </c>
      <c r="E188" s="185">
        <v>236.04</v>
      </c>
      <c r="F188" s="118">
        <f>3687.8</f>
        <v>3687.8</v>
      </c>
      <c r="G188" s="118">
        <f t="shared" si="12"/>
        <v>3451.76</v>
      </c>
    </row>
    <row r="189" customHeight="1" spans="1:7">
      <c r="A189" s="210">
        <v>50</v>
      </c>
      <c r="B189" s="183" t="s">
        <v>484</v>
      </c>
      <c r="C189" s="117" t="s">
        <v>481</v>
      </c>
      <c r="D189" s="119" t="s">
        <v>1190</v>
      </c>
      <c r="E189" s="185">
        <v>236.04</v>
      </c>
      <c r="F189" s="118">
        <f>3951.8</f>
        <v>3951.8</v>
      </c>
      <c r="G189" s="118">
        <f t="shared" si="12"/>
        <v>3715.76</v>
      </c>
    </row>
    <row r="190" customHeight="1" spans="1:7">
      <c r="A190" s="210">
        <v>51</v>
      </c>
      <c r="B190" s="183" t="s">
        <v>485</v>
      </c>
      <c r="C190" s="117" t="s">
        <v>481</v>
      </c>
      <c r="D190" s="119" t="s">
        <v>1190</v>
      </c>
      <c r="E190" s="185">
        <v>236.04</v>
      </c>
      <c r="F190" s="118">
        <f>3687.8</f>
        <v>3687.8</v>
      </c>
      <c r="G190" s="118">
        <f t="shared" si="12"/>
        <v>3451.76</v>
      </c>
    </row>
    <row r="191" customHeight="1" spans="1:7">
      <c r="A191" s="210">
        <v>52</v>
      </c>
      <c r="B191" s="183" t="s">
        <v>486</v>
      </c>
      <c r="C191" s="117" t="s">
        <v>481</v>
      </c>
      <c r="D191" s="119" t="s">
        <v>1190</v>
      </c>
      <c r="E191" s="185">
        <v>236.04</v>
      </c>
      <c r="F191" s="118">
        <f>3951.8</f>
        <v>3951.8</v>
      </c>
      <c r="G191" s="118">
        <f t="shared" si="12"/>
        <v>3715.76</v>
      </c>
    </row>
    <row r="192" customHeight="1" spans="1:7">
      <c r="A192" s="210">
        <v>53</v>
      </c>
      <c r="B192" s="211" t="s">
        <v>487</v>
      </c>
      <c r="C192" s="117" t="s">
        <v>481</v>
      </c>
      <c r="D192" s="119" t="s">
        <v>502</v>
      </c>
      <c r="E192" s="185">
        <v>236.04</v>
      </c>
      <c r="F192" s="118">
        <f>3687.8</f>
        <v>3687.8</v>
      </c>
      <c r="G192" s="118">
        <f t="shared" si="12"/>
        <v>3451.76</v>
      </c>
    </row>
    <row r="193" customHeight="1" spans="1:7">
      <c r="A193" s="210">
        <v>54</v>
      </c>
      <c r="B193" s="211" t="s">
        <v>488</v>
      </c>
      <c r="C193" s="117" t="s">
        <v>481</v>
      </c>
      <c r="D193" s="119" t="s">
        <v>502</v>
      </c>
      <c r="E193" s="185">
        <v>236.04</v>
      </c>
      <c r="F193" s="118">
        <f>3951.8</f>
        <v>3951.8</v>
      </c>
      <c r="G193" s="118">
        <f t="shared" si="12"/>
        <v>3715.76</v>
      </c>
    </row>
    <row r="194" customHeight="1" spans="1:7">
      <c r="A194" s="210">
        <v>55</v>
      </c>
      <c r="B194" s="190" t="s">
        <v>489</v>
      </c>
      <c r="C194" s="117" t="s">
        <v>481</v>
      </c>
      <c r="D194" s="119" t="s">
        <v>494</v>
      </c>
      <c r="E194" s="185">
        <v>236.04</v>
      </c>
      <c r="F194" s="118">
        <f>3447.66</f>
        <v>3447.66</v>
      </c>
      <c r="G194" s="118">
        <f t="shared" si="12"/>
        <v>3211.62</v>
      </c>
    </row>
    <row r="195" customHeight="1" spans="1:7">
      <c r="A195" s="210">
        <v>56</v>
      </c>
      <c r="B195" s="190" t="s">
        <v>490</v>
      </c>
      <c r="C195" s="117" t="s">
        <v>481</v>
      </c>
      <c r="D195" s="119" t="s">
        <v>494</v>
      </c>
      <c r="E195" s="185">
        <v>236.04</v>
      </c>
      <c r="F195" s="118">
        <f>3447.66</f>
        <v>3447.66</v>
      </c>
      <c r="G195" s="118">
        <f t="shared" si="12"/>
        <v>3211.62</v>
      </c>
    </row>
    <row r="196" customHeight="1" spans="1:7">
      <c r="A196" s="210">
        <v>57</v>
      </c>
      <c r="B196" s="211" t="s">
        <v>491</v>
      </c>
      <c r="C196" s="117" t="s">
        <v>481</v>
      </c>
      <c r="D196" s="119" t="s">
        <v>494</v>
      </c>
      <c r="E196" s="185">
        <v>236.04</v>
      </c>
      <c r="F196" s="118">
        <f>3183.66</f>
        <v>3183.66</v>
      </c>
      <c r="G196" s="118">
        <f t="shared" si="12"/>
        <v>2947.62</v>
      </c>
    </row>
    <row r="197" customHeight="1" spans="1:7">
      <c r="A197" s="210">
        <v>58</v>
      </c>
      <c r="B197" s="211" t="s">
        <v>493</v>
      </c>
      <c r="C197" s="117" t="s">
        <v>481</v>
      </c>
      <c r="D197" s="119" t="s">
        <v>497</v>
      </c>
      <c r="E197" s="185">
        <v>236.04</v>
      </c>
      <c r="F197" s="118">
        <f>2972.91</f>
        <v>2972.91</v>
      </c>
      <c r="G197" s="118">
        <f t="shared" si="12"/>
        <v>2736.87</v>
      </c>
    </row>
    <row r="198" customHeight="1" spans="1:7">
      <c r="A198" s="210"/>
      <c r="B198" s="113" t="s">
        <v>33</v>
      </c>
      <c r="C198" s="172" t="s">
        <v>1191</v>
      </c>
      <c r="D198" s="173"/>
      <c r="E198" s="212">
        <v>236380.48</v>
      </c>
      <c r="F198" s="154">
        <f t="shared" ref="F198" si="13">SUM(F140:F197)</f>
        <v>1076921.62</v>
      </c>
      <c r="G198" s="153">
        <f t="shared" si="12"/>
        <v>840541.14</v>
      </c>
    </row>
    <row r="199" customHeight="1" spans="1:8">
      <c r="A199" s="43"/>
      <c r="B199" s="174" t="s">
        <v>80</v>
      </c>
      <c r="C199" s="175">
        <f>C43+C48+C63+C68+C84+C91+C106+C113+C123+C137+C198</f>
        <v>157</v>
      </c>
      <c r="D199" s="176"/>
      <c r="E199" s="209">
        <v>1513919.94</v>
      </c>
      <c r="F199" s="154">
        <f>F43+F48+F63+F68+F84+F91+F106+F113+F123+F137+F198</f>
        <v>6976828.12516129</v>
      </c>
      <c r="G199" s="154">
        <f t="shared" si="12"/>
        <v>5462908.18516129</v>
      </c>
      <c r="H199" s="199"/>
    </row>
    <row r="200" customHeight="1" spans="1:7">
      <c r="A200" s="43"/>
      <c r="B200" s="178"/>
      <c r="C200" s="174"/>
      <c r="D200" s="178"/>
      <c r="E200" s="178"/>
      <c r="F200" s="179"/>
      <c r="G200" s="179"/>
    </row>
    <row r="201" customHeight="1" spans="1:7">
      <c r="A201" s="43"/>
      <c r="B201" s="178"/>
      <c r="C201" s="180" t="s">
        <v>1192</v>
      </c>
      <c r="D201" s="180"/>
      <c r="E201" s="180"/>
      <c r="F201" s="179"/>
      <c r="G201" s="179"/>
    </row>
    <row r="202" customHeight="1" spans="1:7">
      <c r="A202" s="43"/>
      <c r="B202" s="178"/>
      <c r="C202" s="180"/>
      <c r="D202" s="180"/>
      <c r="E202" s="180"/>
      <c r="F202" s="179"/>
      <c r="G202" s="179"/>
    </row>
    <row r="203" customHeight="1" spans="2:7">
      <c r="B203" s="181"/>
      <c r="C203" s="181"/>
      <c r="D203" s="181"/>
      <c r="E203" s="181"/>
      <c r="F203" s="181"/>
      <c r="G203" s="181"/>
    </row>
    <row r="204" customHeight="1" spans="2:7">
      <c r="B204" s="181"/>
      <c r="C204" s="181"/>
      <c r="D204" s="181"/>
      <c r="E204" s="181"/>
      <c r="F204" s="181"/>
      <c r="G204" s="181"/>
    </row>
    <row r="205" customHeight="1" spans="3:7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2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1148</v>
      </c>
    </row>
    <row r="2" ht="5.25" customHeight="1" spans="19:28"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customHeight="1" spans="2:28">
      <c r="B3" s="107" t="s">
        <v>1193</v>
      </c>
      <c r="C3" s="107"/>
      <c r="D3" s="107"/>
      <c r="E3" s="107"/>
      <c r="F3" s="107"/>
      <c r="G3" s="107"/>
      <c r="H3" s="10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2.25" customHeight="1" spans="6:18">
      <c r="F4" s="108">
        <f>'[1]FEB 08'!E8/'[1]FEB 08'!M8</f>
        <v>0.22</v>
      </c>
      <c r="G4" s="108"/>
      <c r="H4" s="108"/>
      <c r="I4" s="108">
        <f>'[1]FEB 08'!F8/'[1]FEB 08'!Q8</f>
        <v>0.3</v>
      </c>
      <c r="J4" s="108"/>
      <c r="K4" s="108"/>
      <c r="L4" s="108"/>
      <c r="M4" s="108"/>
      <c r="N4" s="108"/>
      <c r="O4" s="108"/>
      <c r="P4" s="108"/>
      <c r="Q4" s="108"/>
      <c r="R4" s="108"/>
    </row>
    <row r="5" customHeight="1" spans="2:28">
      <c r="B5" s="107" t="s">
        <v>2</v>
      </c>
      <c r="C5" s="107"/>
      <c r="D5" s="109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09"/>
      <c r="V5" s="109"/>
      <c r="W5" s="109"/>
      <c r="X5" s="109"/>
      <c r="Y5" s="109"/>
      <c r="Z5" s="109"/>
      <c r="AA5" s="109"/>
      <c r="AB5" s="109"/>
    </row>
    <row r="6" ht="35.45" customHeight="1" spans="1:28">
      <c r="A6" s="43"/>
      <c r="B6" s="55"/>
      <c r="C6" s="55"/>
      <c r="D6" s="55" t="s">
        <v>3</v>
      </c>
      <c r="E6" s="55" t="s">
        <v>1150</v>
      </c>
      <c r="F6" s="57" t="s">
        <v>1194</v>
      </c>
      <c r="G6" s="43"/>
      <c r="H6" s="57"/>
      <c r="I6" s="57"/>
      <c r="J6" s="57"/>
      <c r="K6" s="57"/>
      <c r="L6" s="57"/>
      <c r="M6" s="57" t="s">
        <v>1195</v>
      </c>
      <c r="N6" s="57" t="s">
        <v>1196</v>
      </c>
      <c r="O6" s="57" t="s">
        <v>1197</v>
      </c>
      <c r="P6" s="57" t="s">
        <v>1198</v>
      </c>
      <c r="Q6" s="57" t="s">
        <v>1199</v>
      </c>
      <c r="R6" s="57" t="s">
        <v>1200</v>
      </c>
      <c r="S6" s="57" t="s">
        <v>1201</v>
      </c>
      <c r="T6" s="57" t="s">
        <v>1202</v>
      </c>
      <c r="U6" s="57" t="s">
        <v>511</v>
      </c>
      <c r="V6" s="57"/>
      <c r="W6" s="57"/>
      <c r="X6" s="57"/>
      <c r="Y6" s="68"/>
      <c r="Z6" s="68"/>
      <c r="AA6" s="155"/>
      <c r="AB6" s="155"/>
    </row>
    <row r="7" ht="48" customHeight="1" spans="1:28">
      <c r="A7" s="43"/>
      <c r="B7" s="68"/>
      <c r="C7" s="68"/>
      <c r="D7" s="55"/>
      <c r="E7" s="55" t="s">
        <v>1151</v>
      </c>
      <c r="F7" s="57" t="s">
        <v>195</v>
      </c>
      <c r="G7" s="111" t="s">
        <v>1203</v>
      </c>
      <c r="H7" s="57" t="s">
        <v>566</v>
      </c>
      <c r="I7" s="57" t="s">
        <v>567</v>
      </c>
      <c r="J7" s="57" t="s">
        <v>568</v>
      </c>
      <c r="K7" s="57" t="s">
        <v>569</v>
      </c>
      <c r="L7" s="57" t="s">
        <v>570</v>
      </c>
      <c r="M7" s="57" t="s">
        <v>571</v>
      </c>
      <c r="N7" s="57" t="s">
        <v>7</v>
      </c>
      <c r="O7" s="57" t="s">
        <v>7</v>
      </c>
      <c r="P7" s="57" t="s">
        <v>572</v>
      </c>
      <c r="Q7" s="57" t="s">
        <v>572</v>
      </c>
      <c r="R7" s="57" t="s">
        <v>8</v>
      </c>
      <c r="S7" s="57" t="s">
        <v>195</v>
      </c>
      <c r="T7" s="111" t="s">
        <v>195</v>
      </c>
      <c r="U7" s="111"/>
      <c r="V7" s="111"/>
      <c r="W7" s="57" t="s">
        <v>509</v>
      </c>
      <c r="X7" s="111" t="s">
        <v>516</v>
      </c>
      <c r="Y7" s="57" t="s">
        <v>511</v>
      </c>
      <c r="Z7" s="57"/>
      <c r="AA7" s="57"/>
      <c r="AB7" s="57"/>
    </row>
    <row r="8" customHeight="1" spans="1:28">
      <c r="A8" s="42" t="s">
        <v>20</v>
      </c>
      <c r="B8" s="112" t="s">
        <v>1204</v>
      </c>
      <c r="C8" s="112"/>
      <c r="D8" s="113"/>
      <c r="E8" s="113"/>
      <c r="F8" s="114" t="s">
        <v>19</v>
      </c>
      <c r="G8" s="68"/>
      <c r="H8" s="114"/>
      <c r="I8" s="114" t="s">
        <v>19</v>
      </c>
      <c r="J8" s="114"/>
      <c r="K8" s="114"/>
      <c r="L8" s="114"/>
      <c r="M8" s="114"/>
      <c r="N8" s="114"/>
      <c r="O8" s="114"/>
      <c r="P8" s="114"/>
      <c r="Q8" s="114"/>
      <c r="R8" s="114"/>
      <c r="S8" s="114" t="s">
        <v>19</v>
      </c>
      <c r="T8" s="114" t="s">
        <v>19</v>
      </c>
      <c r="U8" s="114" t="s">
        <v>19</v>
      </c>
      <c r="V8" s="114"/>
      <c r="W8" s="114" t="s">
        <v>19</v>
      </c>
      <c r="X8" s="114" t="s">
        <v>19</v>
      </c>
      <c r="Y8" s="114" t="s">
        <v>19</v>
      </c>
      <c r="Z8" s="114"/>
      <c r="AA8" s="114"/>
      <c r="AB8" s="114"/>
    </row>
    <row r="9" customHeight="1" spans="1:29">
      <c r="A9" s="49">
        <v>1</v>
      </c>
      <c r="B9" s="115" t="s">
        <v>236</v>
      </c>
      <c r="C9" s="116"/>
      <c r="D9" s="117" t="s">
        <v>237</v>
      </c>
      <c r="E9" s="117" t="s">
        <v>238</v>
      </c>
      <c r="F9" s="118">
        <v>160488.75</v>
      </c>
      <c r="G9" s="118"/>
      <c r="H9" s="118">
        <v>320977.5</v>
      </c>
      <c r="I9" s="118">
        <v>48146.63</v>
      </c>
      <c r="J9" s="118">
        <v>120366.57</v>
      </c>
      <c r="K9" s="118">
        <v>72219.94</v>
      </c>
      <c r="L9" s="118">
        <v>0</v>
      </c>
      <c r="M9" s="118">
        <v>120366.57</v>
      </c>
      <c r="N9" s="44">
        <f>250000</f>
        <v>250000</v>
      </c>
      <c r="O9" s="44"/>
      <c r="P9" s="118">
        <v>16048.88</v>
      </c>
      <c r="Q9" s="118">
        <v>25000</v>
      </c>
      <c r="R9" s="118">
        <v>25235</v>
      </c>
      <c r="S9" s="118">
        <f>R9+Q9+P9+O9+N9+M9+L9+K9+J9+I9+H9+G9+F9</f>
        <v>1158849.84</v>
      </c>
      <c r="T9" s="118">
        <v>1158849.84</v>
      </c>
      <c r="U9" s="118">
        <f>S9-T9</f>
        <v>0</v>
      </c>
      <c r="V9" s="118"/>
      <c r="W9" s="118">
        <v>113176.97</v>
      </c>
      <c r="X9" s="118">
        <v>113176.97</v>
      </c>
      <c r="Y9" s="118">
        <f>X9-W9</f>
        <v>0</v>
      </c>
      <c r="Z9" s="118"/>
      <c r="AA9" s="118"/>
      <c r="AB9" s="118"/>
      <c r="AC9" s="156"/>
    </row>
    <row r="10" customHeight="1" spans="1:29">
      <c r="A10" s="49">
        <v>2</v>
      </c>
      <c r="B10" s="115" t="s">
        <v>1154</v>
      </c>
      <c r="C10" s="116"/>
      <c r="D10" s="117" t="s">
        <v>1155</v>
      </c>
      <c r="E10" s="119" t="s">
        <v>297</v>
      </c>
      <c r="F10" s="118">
        <v>81740.02</v>
      </c>
      <c r="G10" s="118"/>
      <c r="H10" s="118">
        <f>F10*300%</f>
        <v>245220.06</v>
      </c>
      <c r="I10" s="118">
        <f>F10*7.5%</f>
        <v>6130.5015</v>
      </c>
      <c r="J10" s="118">
        <v>80244.38</v>
      </c>
      <c r="K10" s="118">
        <f>F10*50%</f>
        <v>40870.01</v>
      </c>
      <c r="L10" s="118">
        <f>F10*350%</f>
        <v>286090.07</v>
      </c>
      <c r="M10" s="118">
        <f>F10*100%</f>
        <v>81740.02</v>
      </c>
      <c r="N10" s="44">
        <f>200000</f>
        <v>200000</v>
      </c>
      <c r="O10" s="44"/>
      <c r="P10" s="118">
        <f>F10*10%</f>
        <v>8174.002</v>
      </c>
      <c r="Q10" s="118">
        <v>20000</v>
      </c>
      <c r="R10" s="118">
        <v>0</v>
      </c>
      <c r="S10" s="118">
        <f t="shared" ref="S10:S38" si="0">R10+Q10+P10+O10+N10+M10+L10+K10+J10+I10+H10+G10+F10</f>
        <v>1050209.0635</v>
      </c>
      <c r="T10" s="118">
        <v>1050209.0635</v>
      </c>
      <c r="U10" s="118">
        <f t="shared" ref="U10:U73" si="1">S10-T10</f>
        <v>0</v>
      </c>
      <c r="V10" s="118"/>
      <c r="W10" s="118">
        <v>52776.63</v>
      </c>
      <c r="X10" s="118">
        <v>52776.63</v>
      </c>
      <c r="Y10" s="118">
        <f t="shared" ref="Y10:Y73" si="2">X10-W10</f>
        <v>0</v>
      </c>
      <c r="Z10" s="118"/>
      <c r="AA10" s="118"/>
      <c r="AB10" s="118"/>
      <c r="AC10" s="156"/>
    </row>
    <row r="11" customHeight="1" spans="1:29">
      <c r="A11" s="49">
        <v>3</v>
      </c>
      <c r="B11" s="52" t="s">
        <v>1205</v>
      </c>
      <c r="C11" s="54"/>
      <c r="D11" s="120" t="s">
        <v>1206</v>
      </c>
      <c r="E11" s="121" t="s">
        <v>231</v>
      </c>
      <c r="F11" s="122">
        <f>42653.17</f>
        <v>42653.17</v>
      </c>
      <c r="G11" s="123"/>
      <c r="H11" s="118">
        <f>F11*300%</f>
        <v>127959.51</v>
      </c>
      <c r="I11" s="118">
        <f>F11*7.5%</f>
        <v>3198.98775</v>
      </c>
      <c r="J11" s="118">
        <v>40122.19</v>
      </c>
      <c r="K11" s="118">
        <f>F11*50%</f>
        <v>21326.585</v>
      </c>
      <c r="L11" s="118">
        <f>F11*350%</f>
        <v>149286.095</v>
      </c>
      <c r="M11" s="118">
        <f>F11*100%</f>
        <v>42653.17</v>
      </c>
      <c r="N11" s="44"/>
      <c r="O11" s="44">
        <f>90000</f>
        <v>90000</v>
      </c>
      <c r="P11" s="118">
        <f>F11*10%</f>
        <v>4265.317</v>
      </c>
      <c r="Q11" s="118">
        <v>20000</v>
      </c>
      <c r="R11" s="152"/>
      <c r="S11" s="118">
        <f t="shared" si="0"/>
        <v>541465.02475</v>
      </c>
      <c r="T11" s="122">
        <v>541465.02475</v>
      </c>
      <c r="U11" s="118">
        <f t="shared" si="1"/>
        <v>0</v>
      </c>
      <c r="V11" s="122"/>
      <c r="W11" s="118">
        <v>21618.09</v>
      </c>
      <c r="X11" s="122">
        <v>21618.09</v>
      </c>
      <c r="Y11" s="118">
        <f t="shared" si="2"/>
        <v>0</v>
      </c>
      <c r="Z11" s="118"/>
      <c r="AA11" s="118"/>
      <c r="AB11" s="118"/>
      <c r="AC11" s="156"/>
    </row>
    <row r="12" customHeight="1" spans="1:29">
      <c r="A12" s="49">
        <v>4</v>
      </c>
      <c r="B12" s="115" t="s">
        <v>1016</v>
      </c>
      <c r="C12" s="116"/>
      <c r="D12" s="43" t="s">
        <v>1156</v>
      </c>
      <c r="E12" s="49" t="s">
        <v>308</v>
      </c>
      <c r="F12" s="118">
        <f>41157.69</f>
        <v>41157.69</v>
      </c>
      <c r="G12" s="118"/>
      <c r="H12" s="118">
        <f>F12*300%</f>
        <v>123473.07</v>
      </c>
      <c r="I12" s="118">
        <f>F12*7.5%</f>
        <v>3086.82675</v>
      </c>
      <c r="J12" s="118">
        <v>40122.19</v>
      </c>
      <c r="K12" s="118">
        <f>F12*50%</f>
        <v>20578.845</v>
      </c>
      <c r="L12" s="118">
        <f>F12*350%</f>
        <v>144051.915</v>
      </c>
      <c r="M12" s="118">
        <f>F12*100%</f>
        <v>41157.69</v>
      </c>
      <c r="N12" s="44">
        <f>180000</f>
        <v>180000</v>
      </c>
      <c r="O12" s="44"/>
      <c r="P12" s="118">
        <f>F12*10%</f>
        <v>4115.769</v>
      </c>
      <c r="Q12" s="118">
        <v>20000</v>
      </c>
      <c r="R12" s="118">
        <v>150000</v>
      </c>
      <c r="S12" s="118">
        <f t="shared" si="0"/>
        <v>767743.99575</v>
      </c>
      <c r="T12" s="118">
        <v>754023.33375</v>
      </c>
      <c r="U12" s="118">
        <f t="shared" si="1"/>
        <v>13720.662</v>
      </c>
      <c r="V12" s="118"/>
      <c r="W12" s="118">
        <f>21618.09</f>
        <v>21618.09</v>
      </c>
      <c r="X12" s="118">
        <v>21618.09</v>
      </c>
      <c r="Y12" s="118">
        <f t="shared" si="2"/>
        <v>0</v>
      </c>
      <c r="Z12" s="118"/>
      <c r="AA12" s="118"/>
      <c r="AB12" s="118"/>
      <c r="AC12" s="156"/>
    </row>
    <row r="13" customHeight="1" spans="1:29">
      <c r="A13" s="49">
        <v>5</v>
      </c>
      <c r="B13" s="52" t="s">
        <v>1107</v>
      </c>
      <c r="C13" s="54"/>
      <c r="D13" s="120" t="s">
        <v>1108</v>
      </c>
      <c r="E13" s="121" t="s">
        <v>308</v>
      </c>
      <c r="F13" s="122">
        <f>41157.69</f>
        <v>41157.69</v>
      </c>
      <c r="G13" s="122"/>
      <c r="H13" s="118">
        <f>F13*300%</f>
        <v>123473.07</v>
      </c>
      <c r="I13" s="118">
        <f>F13*7.5%</f>
        <v>3086.82675</v>
      </c>
      <c r="J13" s="118">
        <v>40122.19</v>
      </c>
      <c r="K13" s="118">
        <f>F13*50%</f>
        <v>20578.845</v>
      </c>
      <c r="L13" s="118">
        <f>F13*350%</f>
        <v>144051.915</v>
      </c>
      <c r="M13" s="118">
        <f>F13*100%</f>
        <v>41157.69</v>
      </c>
      <c r="N13" s="44">
        <f>180000</f>
        <v>180000</v>
      </c>
      <c r="O13" s="44"/>
      <c r="P13" s="118">
        <f>F13*10%</f>
        <v>4115.769</v>
      </c>
      <c r="Q13" s="118">
        <v>20000</v>
      </c>
      <c r="R13" s="122">
        <f>100000</f>
        <v>100000</v>
      </c>
      <c r="S13" s="118">
        <f t="shared" si="0"/>
        <v>717743.99575</v>
      </c>
      <c r="T13" s="122">
        <v>704023.33375</v>
      </c>
      <c r="U13" s="118">
        <f t="shared" si="1"/>
        <v>13720.662</v>
      </c>
      <c r="V13" s="122"/>
      <c r="W13" s="118">
        <f>21618.09</f>
        <v>21618.09</v>
      </c>
      <c r="X13" s="122">
        <v>21618.09</v>
      </c>
      <c r="Y13" s="118">
        <f t="shared" si="2"/>
        <v>0</v>
      </c>
      <c r="Z13" s="118"/>
      <c r="AA13" s="118"/>
      <c r="AB13" s="118"/>
      <c r="AC13" s="156"/>
    </row>
    <row r="14" customHeight="1" spans="1:29">
      <c r="A14" s="49">
        <v>6</v>
      </c>
      <c r="B14" s="115" t="s">
        <v>239</v>
      </c>
      <c r="C14" s="116"/>
      <c r="D14" s="117" t="s">
        <v>240</v>
      </c>
      <c r="E14" s="49" t="s">
        <v>1157</v>
      </c>
      <c r="F14" s="122">
        <f>41157.69</f>
        <v>41157.69</v>
      </c>
      <c r="G14" s="122"/>
      <c r="H14" s="118">
        <f>F14*300%</f>
        <v>123473.07</v>
      </c>
      <c r="I14" s="118">
        <f>F14*7.5%</f>
        <v>3086.82675</v>
      </c>
      <c r="J14" s="118">
        <v>40122.19</v>
      </c>
      <c r="K14" s="118">
        <f>F14*50%</f>
        <v>20578.845</v>
      </c>
      <c r="L14" s="118">
        <f>F14*350%</f>
        <v>144051.915</v>
      </c>
      <c r="M14" s="118">
        <f>F14*100%</f>
        <v>41157.69</v>
      </c>
      <c r="N14" s="44"/>
      <c r="O14" s="44">
        <f>90000</f>
        <v>90000</v>
      </c>
      <c r="P14" s="118">
        <f>F14*10%</f>
        <v>4115.769</v>
      </c>
      <c r="Q14" s="118">
        <v>20000</v>
      </c>
      <c r="R14" s="122">
        <v>0</v>
      </c>
      <c r="S14" s="118">
        <f t="shared" si="0"/>
        <v>527743.99575</v>
      </c>
      <c r="T14" s="122">
        <v>514023.33375</v>
      </c>
      <c r="U14" s="118">
        <f t="shared" si="1"/>
        <v>13720.662</v>
      </c>
      <c r="V14" s="122"/>
      <c r="W14" s="118">
        <f>21618.09</f>
        <v>21618.09</v>
      </c>
      <c r="X14" s="122">
        <v>21618.09</v>
      </c>
      <c r="Y14" s="118">
        <f t="shared" si="2"/>
        <v>0</v>
      </c>
      <c r="Z14" s="118"/>
      <c r="AA14" s="118"/>
      <c r="AB14" s="118"/>
      <c r="AC14" s="156"/>
    </row>
    <row r="15" customHeight="1" spans="1:29">
      <c r="A15" s="49">
        <v>7</v>
      </c>
      <c r="B15" s="52" t="s">
        <v>363</v>
      </c>
      <c r="C15" s="54"/>
      <c r="D15" s="43" t="s">
        <v>1158</v>
      </c>
      <c r="E15" s="124" t="s">
        <v>249</v>
      </c>
      <c r="F15" s="118">
        <v>33507.5</v>
      </c>
      <c r="G15" s="118"/>
      <c r="H15" s="118">
        <f t="shared" ref="H15:H34" si="3">F15*300%</f>
        <v>100522.5</v>
      </c>
      <c r="I15" s="118">
        <f t="shared" ref="I15:I34" si="4">F15*7.5%</f>
        <v>2513.0625</v>
      </c>
      <c r="J15" s="118">
        <v>40122.19</v>
      </c>
      <c r="K15" s="118">
        <f t="shared" ref="K15:K34" si="5">F15*50%</f>
        <v>16753.75</v>
      </c>
      <c r="L15" s="118">
        <f t="shared" ref="L15:L34" si="6">F15*350%</f>
        <v>117276.25</v>
      </c>
      <c r="M15" s="118">
        <f t="shared" ref="M15:M34" si="7">F15*100%</f>
        <v>33507.5</v>
      </c>
      <c r="N15" s="44"/>
      <c r="O15" s="44">
        <f>80000</f>
        <v>80000</v>
      </c>
      <c r="P15" s="118">
        <f t="shared" ref="P15:P34" si="8">F15*10%</f>
        <v>3350.75</v>
      </c>
      <c r="Q15" s="118">
        <v>20000</v>
      </c>
      <c r="R15" s="118">
        <f>100000</f>
        <v>100000</v>
      </c>
      <c r="S15" s="118">
        <f t="shared" si="0"/>
        <v>547553.5025</v>
      </c>
      <c r="T15" s="118">
        <v>547553.5025</v>
      </c>
      <c r="U15" s="118">
        <f t="shared" si="1"/>
        <v>0</v>
      </c>
      <c r="V15" s="118"/>
      <c r="W15" s="118">
        <v>15548.33</v>
      </c>
      <c r="X15" s="118">
        <v>15548.33</v>
      </c>
      <c r="Y15" s="118">
        <f t="shared" si="2"/>
        <v>0</v>
      </c>
      <c r="Z15" s="118"/>
      <c r="AA15" s="118"/>
      <c r="AB15" s="118"/>
      <c r="AC15" s="156"/>
    </row>
    <row r="16" customHeight="1" spans="1:29">
      <c r="A16" s="49">
        <v>8</v>
      </c>
      <c r="B16" s="125" t="s">
        <v>243</v>
      </c>
      <c r="C16" s="126"/>
      <c r="D16" s="17" t="s">
        <v>326</v>
      </c>
      <c r="E16" s="10" t="s">
        <v>249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18">
        <f t="shared" si="0"/>
        <v>447553.5025</v>
      </c>
      <c r="T16" s="118">
        <v>447553.5025</v>
      </c>
      <c r="U16" s="118">
        <f t="shared" si="1"/>
        <v>0</v>
      </c>
      <c r="V16" s="85"/>
      <c r="W16" s="85">
        <v>15548.33</v>
      </c>
      <c r="X16" s="85">
        <v>15548.33</v>
      </c>
      <c r="Y16" s="118">
        <f t="shared" si="2"/>
        <v>0</v>
      </c>
      <c r="Z16" s="118"/>
      <c r="AA16" s="85"/>
      <c r="AB16" s="85"/>
      <c r="AC16" s="156"/>
    </row>
    <row r="17" customHeight="1" spans="1:29">
      <c r="A17" s="49">
        <v>9</v>
      </c>
      <c r="B17" s="52" t="s">
        <v>245</v>
      </c>
      <c r="C17" s="54"/>
      <c r="D17" s="43" t="s">
        <v>1159</v>
      </c>
      <c r="E17" s="49" t="s">
        <v>249</v>
      </c>
      <c r="F17" s="118">
        <f>33507.5</f>
        <v>33507.5</v>
      </c>
      <c r="G17" s="118"/>
      <c r="H17" s="118">
        <f t="shared" si="3"/>
        <v>100522.5</v>
      </c>
      <c r="I17" s="118">
        <f t="shared" si="4"/>
        <v>2513.0625</v>
      </c>
      <c r="J17" s="118">
        <v>40122.19</v>
      </c>
      <c r="K17" s="118">
        <f t="shared" si="5"/>
        <v>16753.75</v>
      </c>
      <c r="L17" s="118">
        <f t="shared" si="6"/>
        <v>117276.25</v>
      </c>
      <c r="M17" s="118">
        <f t="shared" si="7"/>
        <v>33507.5</v>
      </c>
      <c r="N17" s="44"/>
      <c r="O17" s="44">
        <f>80000</f>
        <v>80000</v>
      </c>
      <c r="P17" s="118">
        <f t="shared" si="8"/>
        <v>3350.75</v>
      </c>
      <c r="Q17" s="118">
        <v>20000</v>
      </c>
      <c r="R17" s="153">
        <v>0</v>
      </c>
      <c r="S17" s="118">
        <f t="shared" si="0"/>
        <v>447553.5025</v>
      </c>
      <c r="T17" s="118">
        <v>447553.5025</v>
      </c>
      <c r="U17" s="118">
        <f t="shared" si="1"/>
        <v>0</v>
      </c>
      <c r="V17" s="118"/>
      <c r="W17" s="118">
        <v>15548.33</v>
      </c>
      <c r="X17" s="118">
        <v>15548.33</v>
      </c>
      <c r="Y17" s="118">
        <f t="shared" si="2"/>
        <v>0</v>
      </c>
      <c r="Z17" s="118"/>
      <c r="AA17" s="118"/>
      <c r="AB17" s="118"/>
      <c r="AC17" s="156"/>
    </row>
    <row r="18" customHeight="1" spans="1:29">
      <c r="A18" s="49">
        <v>10</v>
      </c>
      <c r="B18" s="117" t="s">
        <v>247</v>
      </c>
      <c r="C18" s="117"/>
      <c r="D18" s="117" t="s">
        <v>1160</v>
      </c>
      <c r="E18" s="119" t="s">
        <v>249</v>
      </c>
      <c r="F18" s="118">
        <f>33507.5</f>
        <v>33507.5</v>
      </c>
      <c r="G18" s="118"/>
      <c r="H18" s="118">
        <f t="shared" si="3"/>
        <v>100522.5</v>
      </c>
      <c r="I18" s="118">
        <f t="shared" si="4"/>
        <v>2513.0625</v>
      </c>
      <c r="J18" s="118">
        <f>40122.19</f>
        <v>40122.19</v>
      </c>
      <c r="K18" s="118">
        <f t="shared" si="5"/>
        <v>16753.75</v>
      </c>
      <c r="L18" s="118">
        <f t="shared" si="6"/>
        <v>117276.25</v>
      </c>
      <c r="M18" s="118">
        <f t="shared" si="7"/>
        <v>33507.5</v>
      </c>
      <c r="N18" s="44"/>
      <c r="O18" s="44">
        <f t="shared" ref="O18:O124" si="9">80000</f>
        <v>80000</v>
      </c>
      <c r="P18" s="118">
        <f t="shared" si="8"/>
        <v>3350.75</v>
      </c>
      <c r="Q18" s="118">
        <v>20000</v>
      </c>
      <c r="R18" s="118">
        <v>0</v>
      </c>
      <c r="S18" s="118">
        <f>SUM(F18:R18)</f>
        <v>447553.5025</v>
      </c>
      <c r="T18" s="118">
        <v>436137.05</v>
      </c>
      <c r="U18" s="118">
        <f t="shared" si="1"/>
        <v>11416.4525</v>
      </c>
      <c r="V18" s="118"/>
      <c r="W18" s="118">
        <f>15548.33</f>
        <v>15548.33</v>
      </c>
      <c r="X18" s="118">
        <v>15548.33</v>
      </c>
      <c r="Y18" s="118">
        <f t="shared" si="2"/>
        <v>0</v>
      </c>
      <c r="Z18" s="118"/>
      <c r="AA18" s="118"/>
      <c r="AB18" s="118"/>
      <c r="AC18" s="156"/>
    </row>
    <row r="19" customHeight="1" spans="1:29">
      <c r="A19" s="49">
        <v>11</v>
      </c>
      <c r="B19" s="115" t="s">
        <v>223</v>
      </c>
      <c r="C19" s="116"/>
      <c r="D19" s="117" t="s">
        <v>224</v>
      </c>
      <c r="E19" s="50" t="s">
        <v>952</v>
      </c>
      <c r="F19" s="118">
        <v>31018.84</v>
      </c>
      <c r="G19" s="118"/>
      <c r="H19" s="118">
        <f t="shared" ref="H19" si="10">F19*300%</f>
        <v>93056.52</v>
      </c>
      <c r="I19" s="118">
        <f t="shared" ref="I19" si="11">F19*7.5%</f>
        <v>2326.413</v>
      </c>
      <c r="J19" s="118">
        <v>40122.19</v>
      </c>
      <c r="K19" s="118">
        <f t="shared" ref="K19" si="12">F19*50%</f>
        <v>15509.42</v>
      </c>
      <c r="L19" s="118">
        <f t="shared" ref="L19" si="13">F19*350%</f>
        <v>108565.94</v>
      </c>
      <c r="M19" s="118">
        <f t="shared" ref="M19" si="14">F19*100%</f>
        <v>31018.84</v>
      </c>
      <c r="N19" s="44"/>
      <c r="O19" s="44">
        <f t="shared" si="9"/>
        <v>80000</v>
      </c>
      <c r="P19" s="118">
        <f t="shared" ref="P19" si="15">F19*10%</f>
        <v>3101.884</v>
      </c>
      <c r="Q19" s="118">
        <v>20000</v>
      </c>
      <c r="R19" s="153">
        <v>0</v>
      </c>
      <c r="S19" s="118">
        <f t="shared" si="0"/>
        <v>424720.047</v>
      </c>
      <c r="T19" s="118">
        <v>424720.047</v>
      </c>
      <c r="U19" s="118">
        <f t="shared" si="1"/>
        <v>0</v>
      </c>
      <c r="V19" s="118"/>
      <c r="W19" s="118">
        <v>15548.33</v>
      </c>
      <c r="X19" s="118">
        <v>15548.33</v>
      </c>
      <c r="Y19" s="118">
        <f t="shared" si="2"/>
        <v>0</v>
      </c>
      <c r="Z19" s="118"/>
      <c r="AA19" s="118"/>
      <c r="AB19" s="118"/>
      <c r="AC19" s="156"/>
    </row>
    <row r="20" customHeight="1" spans="1:29">
      <c r="A20" s="49">
        <v>12</v>
      </c>
      <c r="B20" s="52" t="s">
        <v>1109</v>
      </c>
      <c r="C20" s="54"/>
      <c r="D20" s="120" t="s">
        <v>1110</v>
      </c>
      <c r="E20" s="127" t="s">
        <v>342</v>
      </c>
      <c r="F20" s="122">
        <f>26732.65</f>
        <v>26732.65</v>
      </c>
      <c r="G20" s="122"/>
      <c r="H20" s="122">
        <f t="shared" si="3"/>
        <v>80197.95</v>
      </c>
      <c r="I20" s="122">
        <f t="shared" si="4"/>
        <v>2004.94875</v>
      </c>
      <c r="J20" s="122"/>
      <c r="K20" s="122">
        <f t="shared" si="5"/>
        <v>13366.325</v>
      </c>
      <c r="L20" s="122">
        <f t="shared" si="6"/>
        <v>93564.275</v>
      </c>
      <c r="M20" s="122">
        <f t="shared" si="7"/>
        <v>26732.65</v>
      </c>
      <c r="N20" s="44"/>
      <c r="O20" s="44">
        <f t="shared" ref="O20:O24" si="16">70000</f>
        <v>70000</v>
      </c>
      <c r="P20" s="122">
        <f t="shared" si="8"/>
        <v>2673.265</v>
      </c>
      <c r="Q20" s="122">
        <v>20000</v>
      </c>
      <c r="R20" s="122">
        <v>50000</v>
      </c>
      <c r="S20" s="118">
        <f t="shared" si="0"/>
        <v>385272.06375</v>
      </c>
      <c r="T20" s="122">
        <v>377211.3675</v>
      </c>
      <c r="U20" s="118">
        <f t="shared" si="1"/>
        <v>8060.69625000004</v>
      </c>
      <c r="V20" s="122"/>
      <c r="W20" s="122">
        <v>7709.76</v>
      </c>
      <c r="X20" s="122">
        <v>7709.76</v>
      </c>
      <c r="Y20" s="118">
        <f t="shared" si="2"/>
        <v>0</v>
      </c>
      <c r="Z20" s="118"/>
      <c r="AA20" s="118"/>
      <c r="AB20" s="118"/>
      <c r="AC20" s="156"/>
    </row>
    <row r="21" ht="19.5" customHeight="1" spans="1:29">
      <c r="A21" s="49">
        <v>13</v>
      </c>
      <c r="B21" s="52" t="s">
        <v>1019</v>
      </c>
      <c r="C21" s="54"/>
      <c r="D21" s="120" t="s">
        <v>253</v>
      </c>
      <c r="E21" s="49" t="s">
        <v>342</v>
      </c>
      <c r="F21" s="122">
        <f>26732.65</f>
        <v>26732.65</v>
      </c>
      <c r="G21" s="118"/>
      <c r="H21" s="118">
        <f t="shared" si="3"/>
        <v>80197.95</v>
      </c>
      <c r="I21" s="118">
        <f t="shared" si="4"/>
        <v>2004.94875</v>
      </c>
      <c r="J21" s="118"/>
      <c r="K21" s="118">
        <f t="shared" si="5"/>
        <v>13366.325</v>
      </c>
      <c r="L21" s="118">
        <f t="shared" si="6"/>
        <v>93564.275</v>
      </c>
      <c r="M21" s="118">
        <f t="shared" si="7"/>
        <v>26732.65</v>
      </c>
      <c r="N21" s="44"/>
      <c r="O21" s="44">
        <f t="shared" si="16"/>
        <v>70000</v>
      </c>
      <c r="P21" s="118">
        <f t="shared" si="8"/>
        <v>2673.265</v>
      </c>
      <c r="Q21" s="118">
        <v>20000</v>
      </c>
      <c r="R21" s="118">
        <v>0</v>
      </c>
      <c r="S21" s="118">
        <f t="shared" si="0"/>
        <v>335272.06375</v>
      </c>
      <c r="T21" s="118">
        <v>327211.3675</v>
      </c>
      <c r="U21" s="118">
        <f t="shared" si="1"/>
        <v>8060.6962500001</v>
      </c>
      <c r="V21" s="118"/>
      <c r="W21" s="118">
        <v>7709.76</v>
      </c>
      <c r="X21" s="118">
        <v>7709.76</v>
      </c>
      <c r="Y21" s="118">
        <f t="shared" si="2"/>
        <v>0</v>
      </c>
      <c r="Z21" s="118"/>
      <c r="AA21" s="118"/>
      <c r="AB21" s="118"/>
      <c r="AC21" s="156"/>
    </row>
    <row r="22" ht="19.5" customHeight="1" spans="1:29">
      <c r="A22" s="49">
        <v>14</v>
      </c>
      <c r="B22" s="52" t="s">
        <v>1111</v>
      </c>
      <c r="C22" s="54"/>
      <c r="D22" s="43" t="s">
        <v>1112</v>
      </c>
      <c r="E22" s="49" t="s">
        <v>342</v>
      </c>
      <c r="F22" s="122">
        <f>26732.65</f>
        <v>26732.65</v>
      </c>
      <c r="G22" s="118"/>
      <c r="H22" s="118">
        <f t="shared" si="3"/>
        <v>80197.95</v>
      </c>
      <c r="I22" s="118">
        <f t="shared" si="4"/>
        <v>2004.94875</v>
      </c>
      <c r="J22" s="118"/>
      <c r="K22" s="118">
        <f t="shared" si="5"/>
        <v>13366.325</v>
      </c>
      <c r="L22" s="118">
        <f t="shared" si="6"/>
        <v>93564.275</v>
      </c>
      <c r="M22" s="118">
        <f t="shared" si="7"/>
        <v>26732.65</v>
      </c>
      <c r="N22" s="44">
        <f>140000</f>
        <v>140000</v>
      </c>
      <c r="O22" s="44"/>
      <c r="P22" s="118">
        <f t="shared" si="8"/>
        <v>2673.265</v>
      </c>
      <c r="Q22" s="118">
        <v>20000</v>
      </c>
      <c r="R22" s="118">
        <f>50000+100000</f>
        <v>150000</v>
      </c>
      <c r="S22" s="118">
        <f t="shared" si="0"/>
        <v>555272.06375</v>
      </c>
      <c r="T22" s="118">
        <v>547211.3675</v>
      </c>
      <c r="U22" s="118">
        <f t="shared" si="1"/>
        <v>8060.69625000004</v>
      </c>
      <c r="V22" s="118"/>
      <c r="W22" s="118">
        <f t="shared" ref="W22:W104" si="17">7709.76</f>
        <v>7709.76</v>
      </c>
      <c r="X22" s="118">
        <v>7709.76</v>
      </c>
      <c r="Y22" s="118">
        <f t="shared" si="2"/>
        <v>0</v>
      </c>
      <c r="Z22" s="118"/>
      <c r="AA22" s="118"/>
      <c r="AB22" s="118"/>
      <c r="AC22" s="156"/>
    </row>
    <row r="23" customHeight="1" spans="1:29">
      <c r="A23" s="49">
        <v>15</v>
      </c>
      <c r="B23" s="115" t="s">
        <v>252</v>
      </c>
      <c r="C23" s="116"/>
      <c r="D23" s="120" t="s">
        <v>1161</v>
      </c>
      <c r="E23" s="119" t="s">
        <v>263</v>
      </c>
      <c r="F23" s="118">
        <f>26339.3</f>
        <v>26339.3</v>
      </c>
      <c r="G23" s="118"/>
      <c r="H23" s="118">
        <f t="shared" si="3"/>
        <v>79017.9</v>
      </c>
      <c r="I23" s="118">
        <f t="shared" si="4"/>
        <v>1975.4475</v>
      </c>
      <c r="J23" s="118">
        <v>0</v>
      </c>
      <c r="K23" s="118">
        <f t="shared" si="5"/>
        <v>13169.65</v>
      </c>
      <c r="L23" s="118">
        <f t="shared" si="6"/>
        <v>92187.55</v>
      </c>
      <c r="M23" s="118">
        <f t="shared" si="7"/>
        <v>26339.3</v>
      </c>
      <c r="N23" s="44"/>
      <c r="O23" s="44">
        <f t="shared" si="16"/>
        <v>70000</v>
      </c>
      <c r="P23" s="118">
        <f t="shared" si="8"/>
        <v>2633.93</v>
      </c>
      <c r="Q23" s="118">
        <v>15000</v>
      </c>
      <c r="R23" s="118">
        <f>0</f>
        <v>0</v>
      </c>
      <c r="S23" s="118">
        <f t="shared" si="0"/>
        <v>326663.0775</v>
      </c>
      <c r="T23" s="118">
        <v>326663.0775</v>
      </c>
      <c r="U23" s="118">
        <f t="shared" si="1"/>
        <v>0</v>
      </c>
      <c r="V23" s="118"/>
      <c r="W23" s="118">
        <f t="shared" si="17"/>
        <v>7709.76</v>
      </c>
      <c r="X23" s="118">
        <v>7709.76</v>
      </c>
      <c r="Y23" s="118">
        <f t="shared" si="2"/>
        <v>0</v>
      </c>
      <c r="Z23" s="118"/>
      <c r="AA23" s="118"/>
      <c r="AB23" s="118"/>
      <c r="AC23" s="156"/>
    </row>
    <row r="24" customHeight="1" spans="1:29">
      <c r="A24" s="49">
        <v>16</v>
      </c>
      <c r="B24" s="52" t="s">
        <v>241</v>
      </c>
      <c r="C24" s="54"/>
      <c r="D24" s="43" t="s">
        <v>1207</v>
      </c>
      <c r="E24" s="119" t="s">
        <v>1163</v>
      </c>
      <c r="F24" s="118">
        <f>23074.99</f>
        <v>23074.99</v>
      </c>
      <c r="G24" s="118"/>
      <c r="H24" s="118">
        <f t="shared" si="3"/>
        <v>69224.97</v>
      </c>
      <c r="I24" s="118">
        <f t="shared" si="4"/>
        <v>1730.62425</v>
      </c>
      <c r="J24" s="118">
        <f>265272</f>
        <v>265272</v>
      </c>
      <c r="K24" s="118">
        <f t="shared" si="5"/>
        <v>11537.495</v>
      </c>
      <c r="L24" s="118">
        <f t="shared" si="6"/>
        <v>80762.465</v>
      </c>
      <c r="M24" s="118">
        <f t="shared" si="7"/>
        <v>23074.99</v>
      </c>
      <c r="N24" s="44"/>
      <c r="O24" s="44">
        <f t="shared" si="16"/>
        <v>70000</v>
      </c>
      <c r="P24" s="118">
        <f t="shared" si="8"/>
        <v>2307.499</v>
      </c>
      <c r="Q24" s="118">
        <v>15000</v>
      </c>
      <c r="R24" s="118">
        <f>100000+100000</f>
        <v>200000</v>
      </c>
      <c r="S24" s="118">
        <f t="shared" si="0"/>
        <v>761985.03325</v>
      </c>
      <c r="T24" s="118">
        <v>761985.03325</v>
      </c>
      <c r="U24" s="118">
        <f t="shared" si="1"/>
        <v>0</v>
      </c>
      <c r="V24" s="118"/>
      <c r="W24" s="118">
        <f t="shared" si="17"/>
        <v>7709.76</v>
      </c>
      <c r="X24" s="118">
        <v>7709.76</v>
      </c>
      <c r="Y24" s="118">
        <f t="shared" si="2"/>
        <v>0</v>
      </c>
      <c r="Z24" s="118"/>
      <c r="AA24" s="118"/>
      <c r="AB24" s="118"/>
      <c r="AC24" s="156"/>
    </row>
    <row r="25" customHeight="1" spans="1:29">
      <c r="A25" s="49">
        <v>17</v>
      </c>
      <c r="B25" s="115" t="s">
        <v>264</v>
      </c>
      <c r="C25" s="116"/>
      <c r="D25" s="117" t="s">
        <v>265</v>
      </c>
      <c r="E25" s="119" t="s">
        <v>1162</v>
      </c>
      <c r="F25" s="118">
        <f>23891.12</f>
        <v>23891.12</v>
      </c>
      <c r="G25" s="118"/>
      <c r="H25" s="118">
        <f t="shared" si="3"/>
        <v>71673.36</v>
      </c>
      <c r="I25" s="118">
        <f t="shared" si="4"/>
        <v>1791.834</v>
      </c>
      <c r="J25" s="118">
        <v>0</v>
      </c>
      <c r="K25" s="118">
        <f t="shared" si="5"/>
        <v>11945.56</v>
      </c>
      <c r="L25" s="118">
        <f t="shared" si="6"/>
        <v>83618.92</v>
      </c>
      <c r="M25" s="118">
        <f t="shared" si="7"/>
        <v>23891.12</v>
      </c>
      <c r="N25" s="44">
        <f>120000</f>
        <v>120000</v>
      </c>
      <c r="O25" s="44"/>
      <c r="P25" s="118">
        <f t="shared" si="8"/>
        <v>2389.112</v>
      </c>
      <c r="Q25" s="118">
        <v>15000</v>
      </c>
      <c r="R25" s="118">
        <v>0</v>
      </c>
      <c r="S25" s="118">
        <f t="shared" si="0"/>
        <v>354201.026</v>
      </c>
      <c r="T25" s="118">
        <v>346713.03325</v>
      </c>
      <c r="U25" s="118">
        <f t="shared" si="1"/>
        <v>7487.99275000003</v>
      </c>
      <c r="V25" s="118"/>
      <c r="W25" s="118">
        <f t="shared" ref="W25:W98" si="18">7709.76</f>
        <v>7709.76</v>
      </c>
      <c r="X25" s="118">
        <v>7709.76</v>
      </c>
      <c r="Y25" s="118">
        <f t="shared" si="2"/>
        <v>0</v>
      </c>
      <c r="Z25" s="118"/>
      <c r="AA25" s="118"/>
      <c r="AB25" s="118"/>
      <c r="AC25" s="156"/>
    </row>
    <row r="26" customHeight="1" spans="1:29">
      <c r="A26" s="49">
        <v>18</v>
      </c>
      <c r="B26" s="115" t="s">
        <v>270</v>
      </c>
      <c r="C26" s="116"/>
      <c r="D26" s="117" t="s">
        <v>1164</v>
      </c>
      <c r="E26" s="119" t="s">
        <v>432</v>
      </c>
      <c r="F26" s="118">
        <f>18779.3</f>
        <v>18779.3</v>
      </c>
      <c r="G26" s="118"/>
      <c r="H26" s="118">
        <f t="shared" si="3"/>
        <v>56337.9</v>
      </c>
      <c r="I26" s="118">
        <f t="shared" si="4"/>
        <v>1408.4475</v>
      </c>
      <c r="J26" s="118"/>
      <c r="K26" s="118">
        <f t="shared" si="5"/>
        <v>9389.65</v>
      </c>
      <c r="L26" s="118">
        <f t="shared" si="6"/>
        <v>65727.55</v>
      </c>
      <c r="M26" s="118">
        <f t="shared" si="7"/>
        <v>18779.3</v>
      </c>
      <c r="N26" s="44"/>
      <c r="O26" s="44">
        <f>60000</f>
        <v>60000</v>
      </c>
      <c r="P26" s="118">
        <f t="shared" si="8"/>
        <v>1877.93</v>
      </c>
      <c r="Q26" s="118">
        <v>10000</v>
      </c>
      <c r="R26" s="118"/>
      <c r="S26" s="118">
        <f t="shared" si="0"/>
        <v>242300.0775</v>
      </c>
      <c r="T26" s="118">
        <v>237734.047</v>
      </c>
      <c r="U26" s="118">
        <f t="shared" si="1"/>
        <v>4566.03049999999</v>
      </c>
      <c r="V26" s="118"/>
      <c r="W26" s="118">
        <v>3369.51</v>
      </c>
      <c r="X26" s="118">
        <v>3369.51</v>
      </c>
      <c r="Y26" s="118">
        <f t="shared" si="2"/>
        <v>0</v>
      </c>
      <c r="Z26" s="118"/>
      <c r="AA26" s="118"/>
      <c r="AB26" s="118"/>
      <c r="AC26" s="156"/>
    </row>
    <row r="27" ht="18.75" customHeight="1" spans="1:29">
      <c r="A27" s="49">
        <v>19</v>
      </c>
      <c r="B27" s="115" t="s">
        <v>389</v>
      </c>
      <c r="C27" s="116"/>
      <c r="D27" s="117" t="s">
        <v>390</v>
      </c>
      <c r="E27" s="119" t="s">
        <v>332</v>
      </c>
      <c r="F27" s="118">
        <f>21520.88</f>
        <v>21520.88</v>
      </c>
      <c r="G27" s="118"/>
      <c r="H27" s="118">
        <f t="shared" si="3"/>
        <v>64562.64</v>
      </c>
      <c r="I27" s="118">
        <f t="shared" si="4"/>
        <v>1614.066</v>
      </c>
      <c r="J27" s="118"/>
      <c r="K27" s="118">
        <f t="shared" si="5"/>
        <v>10760.44</v>
      </c>
      <c r="L27" s="118">
        <f t="shared" si="6"/>
        <v>75323.08</v>
      </c>
      <c r="M27" s="118">
        <f t="shared" si="7"/>
        <v>21520.88</v>
      </c>
      <c r="N27" s="44"/>
      <c r="O27" s="44">
        <f>60000</f>
        <v>60000</v>
      </c>
      <c r="P27" s="118">
        <f t="shared" si="8"/>
        <v>2152.088</v>
      </c>
      <c r="Q27" s="118">
        <v>15000</v>
      </c>
      <c r="R27" s="118"/>
      <c r="S27" s="118">
        <f t="shared" si="0"/>
        <v>272454.074</v>
      </c>
      <c r="T27" s="118">
        <v>265372.075</v>
      </c>
      <c r="U27" s="118">
        <f t="shared" si="1"/>
        <v>7081.99900000001</v>
      </c>
      <c r="V27" s="118"/>
      <c r="W27" s="118">
        <v>3369.51</v>
      </c>
      <c r="X27" s="118">
        <v>3369.51</v>
      </c>
      <c r="Y27" s="118">
        <f t="shared" si="2"/>
        <v>0</v>
      </c>
      <c r="Z27" s="118"/>
      <c r="AA27" s="118"/>
      <c r="AB27" s="118"/>
      <c r="AC27" s="156"/>
    </row>
    <row r="28" ht="18.75" customHeight="1" spans="1:29">
      <c r="A28" s="49">
        <v>20</v>
      </c>
      <c r="B28" s="115" t="s">
        <v>267</v>
      </c>
      <c r="C28" s="116"/>
      <c r="D28" s="43" t="s">
        <v>268</v>
      </c>
      <c r="E28" s="119" t="s">
        <v>345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18">
        <f t="shared" si="0"/>
        <v>377734.047</v>
      </c>
      <c r="T28" s="118">
        <v>373168.2</v>
      </c>
      <c r="U28" s="118">
        <f t="shared" si="1"/>
        <v>4565.84700000001</v>
      </c>
      <c r="V28" s="85"/>
      <c r="W28" s="85">
        <v>3369.51</v>
      </c>
      <c r="X28" s="85">
        <v>3369.51</v>
      </c>
      <c r="Y28" s="118">
        <f t="shared" si="2"/>
        <v>0</v>
      </c>
      <c r="Z28" s="118"/>
      <c r="AA28" s="85"/>
      <c r="AB28" s="85"/>
      <c r="AC28" s="156"/>
    </row>
    <row r="29" ht="18.75" customHeight="1" spans="1:29">
      <c r="A29" s="49">
        <v>21</v>
      </c>
      <c r="B29" s="115" t="s">
        <v>280</v>
      </c>
      <c r="C29" s="116"/>
      <c r="D29" s="117" t="s">
        <v>176</v>
      </c>
      <c r="E29" s="119" t="s">
        <v>1129</v>
      </c>
      <c r="F29" s="128">
        <f>13492.21</f>
        <v>13492.21</v>
      </c>
      <c r="G29" s="118"/>
      <c r="H29" s="118">
        <f t="shared" si="3"/>
        <v>40476.63</v>
      </c>
      <c r="I29" s="118">
        <f t="shared" si="4"/>
        <v>1011.91575</v>
      </c>
      <c r="J29" s="118"/>
      <c r="K29" s="118">
        <f t="shared" si="5"/>
        <v>6746.105</v>
      </c>
      <c r="L29" s="118">
        <f t="shared" si="6"/>
        <v>47222.735</v>
      </c>
      <c r="M29" s="118">
        <f t="shared" si="7"/>
        <v>13492.21</v>
      </c>
      <c r="N29" s="44"/>
      <c r="O29" s="44">
        <f>50000</f>
        <v>50000</v>
      </c>
      <c r="P29" s="118">
        <f t="shared" si="8"/>
        <v>1349.221</v>
      </c>
      <c r="Q29" s="118">
        <v>10000</v>
      </c>
      <c r="R29" s="118"/>
      <c r="S29" s="118">
        <f t="shared" si="0"/>
        <v>183791.02675</v>
      </c>
      <c r="T29" s="118">
        <v>180304.068</v>
      </c>
      <c r="U29" s="118">
        <f t="shared" si="1"/>
        <v>3486.95874999999</v>
      </c>
      <c r="V29" s="118"/>
      <c r="W29" s="118">
        <v>1484.37</v>
      </c>
      <c r="X29" s="118">
        <v>1484.37</v>
      </c>
      <c r="Y29" s="118">
        <f t="shared" si="2"/>
        <v>0</v>
      </c>
      <c r="Z29" s="118"/>
      <c r="AA29" s="118"/>
      <c r="AB29" s="118"/>
      <c r="AC29" s="156"/>
    </row>
    <row r="30" ht="18.75" customHeight="1" spans="1:29">
      <c r="A30" s="49">
        <v>22</v>
      </c>
      <c r="B30" s="115" t="s">
        <v>933</v>
      </c>
      <c r="C30" s="116"/>
      <c r="D30" s="117" t="s">
        <v>293</v>
      </c>
      <c r="E30" s="119" t="s">
        <v>30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18">
        <f t="shared" si="0"/>
        <v>173329.0495</v>
      </c>
      <c r="T30" s="118">
        <v>173329.0495</v>
      </c>
      <c r="U30" s="118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18">
        <f t="shared" si="2"/>
        <v>0</v>
      </c>
      <c r="Z30" s="118"/>
      <c r="AA30" s="85"/>
      <c r="AB30" s="85"/>
      <c r="AC30" s="156"/>
    </row>
    <row r="31" ht="18.75" customHeight="1" spans="1:29">
      <c r="A31" s="49">
        <v>23</v>
      </c>
      <c r="B31" s="115" t="s">
        <v>1113</v>
      </c>
      <c r="C31" s="116"/>
      <c r="D31" s="117" t="s">
        <v>293</v>
      </c>
      <c r="E31" s="119" t="s">
        <v>301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18">
        <f t="shared" si="0"/>
        <v>233169.1175</v>
      </c>
      <c r="T31" s="118">
        <v>228602.07775</v>
      </c>
      <c r="U31" s="118">
        <f t="shared" si="1"/>
        <v>4567.03974999997</v>
      </c>
      <c r="V31" s="85"/>
      <c r="W31" s="44">
        <f t="shared" si="19"/>
        <v>1484.37</v>
      </c>
      <c r="X31" s="85">
        <v>1484.37</v>
      </c>
      <c r="Y31" s="118">
        <f t="shared" si="2"/>
        <v>0</v>
      </c>
      <c r="Z31" s="118"/>
      <c r="AA31" s="85"/>
      <c r="AB31" s="85"/>
      <c r="AC31" s="156"/>
    </row>
    <row r="32" ht="18.75" customHeight="1" spans="1:29">
      <c r="A32" s="49">
        <v>24</v>
      </c>
      <c r="B32" s="117" t="s">
        <v>340</v>
      </c>
      <c r="C32" s="117"/>
      <c r="D32" s="43" t="s">
        <v>968</v>
      </c>
      <c r="E32" s="119" t="s">
        <v>950</v>
      </c>
      <c r="F32" s="118">
        <f>24741.26</f>
        <v>24741.26</v>
      </c>
      <c r="G32" s="118"/>
      <c r="H32" s="118">
        <f t="shared" si="3"/>
        <v>74223.78</v>
      </c>
      <c r="I32" s="118">
        <f t="shared" si="4"/>
        <v>1855.5945</v>
      </c>
      <c r="J32" s="118">
        <v>0</v>
      </c>
      <c r="K32" s="118">
        <f t="shared" si="5"/>
        <v>12370.63</v>
      </c>
      <c r="L32" s="118">
        <f t="shared" si="6"/>
        <v>86594.41</v>
      </c>
      <c r="M32" s="118">
        <f t="shared" si="7"/>
        <v>24741.26</v>
      </c>
      <c r="N32" s="44"/>
      <c r="O32" s="44">
        <f>70000</f>
        <v>70000</v>
      </c>
      <c r="P32" s="118">
        <f t="shared" si="8"/>
        <v>2474.126</v>
      </c>
      <c r="Q32" s="118">
        <v>15000</v>
      </c>
      <c r="R32" s="118">
        <v>0</v>
      </c>
      <c r="S32" s="118">
        <f t="shared" si="0"/>
        <v>312001.0605</v>
      </c>
      <c r="T32" s="118">
        <v>304201.026</v>
      </c>
      <c r="U32" s="118">
        <f t="shared" si="1"/>
        <v>7800.03450000001</v>
      </c>
      <c r="V32" s="118"/>
      <c r="W32" s="118">
        <f>7709.76</f>
        <v>7709.76</v>
      </c>
      <c r="X32" s="118">
        <v>7709.76</v>
      </c>
      <c r="Y32" s="118">
        <f t="shared" si="2"/>
        <v>0</v>
      </c>
      <c r="Z32" s="118"/>
      <c r="AA32" s="118"/>
      <c r="AB32" s="118"/>
      <c r="AC32" s="156"/>
    </row>
    <row r="33" ht="18.75" customHeight="1" spans="1:29">
      <c r="A33" s="49">
        <v>25</v>
      </c>
      <c r="B33" s="115" t="s">
        <v>387</v>
      </c>
      <c r="C33" s="116"/>
      <c r="D33" s="43" t="s">
        <v>1165</v>
      </c>
      <c r="E33" s="119" t="s">
        <v>432</v>
      </c>
      <c r="F33" s="118">
        <f>18779.3</f>
        <v>18779.3</v>
      </c>
      <c r="G33" s="118"/>
      <c r="H33" s="118">
        <f t="shared" si="3"/>
        <v>56337.9</v>
      </c>
      <c r="I33" s="118">
        <f t="shared" si="4"/>
        <v>1408.4475</v>
      </c>
      <c r="J33" s="118"/>
      <c r="K33" s="118">
        <f t="shared" si="5"/>
        <v>9389.65</v>
      </c>
      <c r="L33" s="118">
        <f t="shared" si="6"/>
        <v>65727.55</v>
      </c>
      <c r="M33" s="118">
        <f t="shared" si="7"/>
        <v>18779.3</v>
      </c>
      <c r="N33" s="44"/>
      <c r="O33" s="44">
        <f>60000</f>
        <v>60000</v>
      </c>
      <c r="P33" s="118">
        <f t="shared" si="8"/>
        <v>1877.93</v>
      </c>
      <c r="Q33" s="118">
        <v>10000</v>
      </c>
      <c r="R33" s="118"/>
      <c r="S33" s="118">
        <f t="shared" si="0"/>
        <v>242300.0775</v>
      </c>
      <c r="T33" s="118">
        <v>237734.047</v>
      </c>
      <c r="U33" s="118">
        <f t="shared" si="1"/>
        <v>4566.03049999999</v>
      </c>
      <c r="V33" s="118"/>
      <c r="W33" s="118">
        <v>3369.51</v>
      </c>
      <c r="X33" s="118">
        <v>3369.51</v>
      </c>
      <c r="Y33" s="118">
        <f t="shared" si="2"/>
        <v>0</v>
      </c>
      <c r="Z33" s="118"/>
      <c r="AA33" s="118"/>
      <c r="AB33" s="118"/>
      <c r="AC33" s="156"/>
    </row>
    <row r="34" ht="18.75" customHeight="1" spans="1:29">
      <c r="A34" s="49">
        <v>26</v>
      </c>
      <c r="B34" s="115" t="s">
        <v>427</v>
      </c>
      <c r="C34" s="116"/>
      <c r="D34" s="43" t="s">
        <v>1128</v>
      </c>
      <c r="E34" s="119" t="s">
        <v>345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18">
        <f t="shared" si="0"/>
        <v>237734.047</v>
      </c>
      <c r="T34" s="118">
        <v>233168.2</v>
      </c>
      <c r="U34" s="118">
        <f t="shared" si="1"/>
        <v>4565.84700000001</v>
      </c>
      <c r="V34" s="118"/>
      <c r="W34" s="118">
        <v>3369.51</v>
      </c>
      <c r="X34" s="118">
        <v>3369.51</v>
      </c>
      <c r="Y34" s="118">
        <f t="shared" si="2"/>
        <v>0</v>
      </c>
      <c r="Z34" s="118"/>
      <c r="AA34" s="118"/>
      <c r="AB34" s="118"/>
      <c r="AC34" s="156"/>
    </row>
    <row r="35" ht="18.75" customHeight="1" spans="1:29">
      <c r="A35" s="49">
        <v>27</v>
      </c>
      <c r="B35" s="115" t="s">
        <v>1020</v>
      </c>
      <c r="C35" s="116"/>
      <c r="D35" s="117" t="s">
        <v>967</v>
      </c>
      <c r="E35" s="119" t="s">
        <v>945</v>
      </c>
      <c r="F35" s="128">
        <f>13492.21</f>
        <v>13492.21</v>
      </c>
      <c r="G35" s="118"/>
      <c r="H35" s="118">
        <f t="shared" ref="H35:H38" si="20">F35*300%</f>
        <v>40476.63</v>
      </c>
      <c r="I35" s="118">
        <f t="shared" ref="I35:I38" si="21">F35*7.5%</f>
        <v>1011.91575</v>
      </c>
      <c r="J35" s="118"/>
      <c r="K35" s="118">
        <f t="shared" ref="K35:K38" si="22">F35*50%</f>
        <v>6746.105</v>
      </c>
      <c r="L35" s="118">
        <f t="shared" ref="L35:L38" si="23">F35*350%</f>
        <v>47222.735</v>
      </c>
      <c r="M35" s="118">
        <f t="shared" ref="M35:M38" si="24">F35*100%</f>
        <v>13492.21</v>
      </c>
      <c r="N35" s="44"/>
      <c r="O35" s="44">
        <f>50000</f>
        <v>50000</v>
      </c>
      <c r="P35" s="118">
        <f t="shared" ref="P35:P38" si="25">F35*10%</f>
        <v>1349.221</v>
      </c>
      <c r="Q35" s="118">
        <v>10000</v>
      </c>
      <c r="R35" s="118"/>
      <c r="S35" s="118">
        <f t="shared" ref="S35:S36" si="26">SUM(F35:R35)</f>
        <v>183791.02675</v>
      </c>
      <c r="T35" s="118">
        <v>180304.068</v>
      </c>
      <c r="U35" s="118">
        <f t="shared" si="1"/>
        <v>3486.95874999999</v>
      </c>
      <c r="V35" s="118"/>
      <c r="W35" s="118">
        <v>1484.37</v>
      </c>
      <c r="X35" s="118">
        <v>1484.37</v>
      </c>
      <c r="Y35" s="118">
        <f t="shared" si="2"/>
        <v>0</v>
      </c>
      <c r="Z35" s="118"/>
      <c r="AA35" s="118"/>
      <c r="AB35" s="118"/>
      <c r="AC35" s="156"/>
    </row>
    <row r="36" ht="18.75" customHeight="1" spans="1:29">
      <c r="A36" s="49">
        <v>28</v>
      </c>
      <c r="B36" s="115" t="s">
        <v>282</v>
      </c>
      <c r="C36" s="116"/>
      <c r="D36" s="117" t="s">
        <v>967</v>
      </c>
      <c r="E36" s="119" t="s">
        <v>1166</v>
      </c>
      <c r="F36" s="128">
        <f>13112.16</f>
        <v>13112.16</v>
      </c>
      <c r="G36" s="118"/>
      <c r="H36" s="118">
        <f t="shared" si="20"/>
        <v>39336.48</v>
      </c>
      <c r="I36" s="118">
        <f t="shared" si="21"/>
        <v>983.412</v>
      </c>
      <c r="J36" s="118"/>
      <c r="K36" s="118">
        <f t="shared" si="22"/>
        <v>6556.08</v>
      </c>
      <c r="L36" s="118">
        <f t="shared" si="23"/>
        <v>45892.56</v>
      </c>
      <c r="M36" s="118">
        <f t="shared" si="24"/>
        <v>13112.16</v>
      </c>
      <c r="N36" s="44"/>
      <c r="O36" s="44">
        <f>50000</f>
        <v>50000</v>
      </c>
      <c r="P36" s="118">
        <f t="shared" si="25"/>
        <v>1311.216</v>
      </c>
      <c r="Q36" s="118">
        <v>10000</v>
      </c>
      <c r="S36" s="118">
        <f t="shared" si="26"/>
        <v>180304.068</v>
      </c>
      <c r="T36" s="118">
        <v>176816.1</v>
      </c>
      <c r="U36" s="118">
        <f t="shared" si="1"/>
        <v>3487.96799999999</v>
      </c>
      <c r="V36" s="118"/>
      <c r="W36" s="118">
        <f>(1484.37)</f>
        <v>1484.37</v>
      </c>
      <c r="X36" s="118">
        <v>1484.37</v>
      </c>
      <c r="Y36" s="118">
        <f t="shared" si="2"/>
        <v>0</v>
      </c>
      <c r="Z36" s="118"/>
      <c r="AA36" s="118"/>
      <c r="AB36" s="118"/>
      <c r="AC36" s="156"/>
    </row>
    <row r="37" ht="18.75" customHeight="1" spans="1:29">
      <c r="A37" s="49">
        <v>29</v>
      </c>
      <c r="B37" s="125" t="s">
        <v>370</v>
      </c>
      <c r="C37" s="126"/>
      <c r="D37" s="17" t="s">
        <v>1130</v>
      </c>
      <c r="E37" s="119" t="s">
        <v>291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18">
        <f t="shared" si="0"/>
        <v>180304.068</v>
      </c>
      <c r="T37" s="118">
        <v>176816.1</v>
      </c>
      <c r="U37" s="118">
        <f t="shared" si="1"/>
        <v>3487.96799999999</v>
      </c>
      <c r="V37" s="118"/>
      <c r="W37" s="44">
        <f t="shared" ref="W37:W38" si="27">1484.37</f>
        <v>1484.37</v>
      </c>
      <c r="X37" s="118">
        <v>1484.37</v>
      </c>
      <c r="Y37" s="118">
        <f t="shared" si="2"/>
        <v>0</v>
      </c>
      <c r="Z37" s="118"/>
      <c r="AA37" s="118"/>
      <c r="AB37" s="118"/>
      <c r="AC37" s="156"/>
    </row>
    <row r="38" ht="18.75" customHeight="1" spans="1:29">
      <c r="A38" s="49">
        <v>30</v>
      </c>
      <c r="B38" s="125" t="s">
        <v>287</v>
      </c>
      <c r="C38" s="126"/>
      <c r="D38" s="17" t="s">
        <v>288</v>
      </c>
      <c r="E38" s="119" t="s">
        <v>30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18">
        <f t="shared" si="0"/>
        <v>173329.0495</v>
      </c>
      <c r="T38" s="118">
        <v>173329.0495</v>
      </c>
      <c r="U38" s="118">
        <f t="shared" si="1"/>
        <v>0</v>
      </c>
      <c r="V38" s="118"/>
      <c r="W38" s="44">
        <f t="shared" si="27"/>
        <v>1484.37</v>
      </c>
      <c r="X38" s="118">
        <v>1484.37</v>
      </c>
      <c r="Y38" s="118">
        <f t="shared" si="2"/>
        <v>0</v>
      </c>
      <c r="Z38" s="118"/>
      <c r="AA38" s="118"/>
      <c r="AB38" s="118"/>
      <c r="AC38" s="156"/>
    </row>
    <row r="39" ht="18.75" customHeight="1" spans="1:29">
      <c r="A39" s="49"/>
      <c r="B39" s="129" t="s">
        <v>33</v>
      </c>
      <c r="C39" s="129"/>
      <c r="D39" s="68">
        <v>30</v>
      </c>
      <c r="E39" s="119"/>
      <c r="F39" s="130">
        <f t="shared" ref="F39:S39" si="28">SUM(F9:F38)</f>
        <v>942987.95</v>
      </c>
      <c r="G39" s="130">
        <f t="shared" si="28"/>
        <v>0</v>
      </c>
      <c r="H39" s="130">
        <f t="shared" si="28"/>
        <v>2668475.1</v>
      </c>
      <c r="I39" s="130">
        <f t="shared" si="28"/>
        <v>106834.07</v>
      </c>
      <c r="J39" s="130">
        <f t="shared" si="28"/>
        <v>826982.66</v>
      </c>
      <c r="K39" s="130">
        <f t="shared" si="28"/>
        <v>463469.54</v>
      </c>
      <c r="L39" s="130">
        <f t="shared" si="28"/>
        <v>2738747.2</v>
      </c>
      <c r="M39" s="130">
        <f t="shared" si="28"/>
        <v>902865.77</v>
      </c>
      <c r="N39" s="148">
        <f t="shared" si="28"/>
        <v>1170000</v>
      </c>
      <c r="O39" s="148">
        <f t="shared" si="28"/>
        <v>1530000</v>
      </c>
      <c r="P39" s="130">
        <f t="shared" si="28"/>
        <v>94298.8</v>
      </c>
      <c r="Q39" s="130">
        <f t="shared" si="28"/>
        <v>470000</v>
      </c>
      <c r="R39" s="130">
        <f t="shared" si="28"/>
        <v>875235</v>
      </c>
      <c r="S39" s="130">
        <f t="shared" si="28"/>
        <v>12789896.09</v>
      </c>
      <c r="T39" s="130">
        <v>12388712.88825</v>
      </c>
      <c r="U39" s="154">
        <f>SUM(U9:U38)</f>
        <v>135911.20175</v>
      </c>
      <c r="V39" s="130"/>
      <c r="W39" s="130">
        <f t="shared" ref="W39" si="29">SUM(W9:W38)</f>
        <v>411374.07</v>
      </c>
      <c r="X39" s="130">
        <v>411374.07</v>
      </c>
      <c r="Y39" s="118">
        <f t="shared" si="2"/>
        <v>0</v>
      </c>
      <c r="Z39" s="130"/>
      <c r="AA39" s="130"/>
      <c r="AB39" s="130"/>
      <c r="AC39" s="156"/>
    </row>
    <row r="40" ht="18.75" customHeight="1" spans="1:28">
      <c r="A40" s="49"/>
      <c r="B40" s="129"/>
      <c r="C40" s="129"/>
      <c r="D40" s="43"/>
      <c r="E40" s="119"/>
      <c r="F40" s="130"/>
      <c r="G40" s="130"/>
      <c r="H40" s="130"/>
      <c r="I40" s="130"/>
      <c r="J40" s="130"/>
      <c r="K40" s="130"/>
      <c r="L40" s="130"/>
      <c r="M40" s="130"/>
      <c r="N40" s="44"/>
      <c r="O40" s="44"/>
      <c r="P40" s="130"/>
      <c r="Q40" s="130"/>
      <c r="R40" s="130"/>
      <c r="S40" s="130"/>
      <c r="T40" s="130"/>
      <c r="U40" s="118">
        <f t="shared" si="1"/>
        <v>0</v>
      </c>
      <c r="V40" s="130"/>
      <c r="W40" s="130"/>
      <c r="X40" s="130"/>
      <c r="Y40" s="118">
        <f t="shared" si="2"/>
        <v>0</v>
      </c>
      <c r="Z40" s="130"/>
      <c r="AA40" s="130"/>
      <c r="AB40" s="130"/>
    </row>
    <row r="41" ht="18.75" customHeight="1" spans="1:28">
      <c r="A41" s="49"/>
      <c r="B41" s="129" t="s">
        <v>34</v>
      </c>
      <c r="C41" s="129"/>
      <c r="D41" s="43"/>
      <c r="E41" s="119"/>
      <c r="F41" s="118"/>
      <c r="G41" s="118"/>
      <c r="H41" s="118"/>
      <c r="I41" s="118"/>
      <c r="J41" s="118"/>
      <c r="K41" s="118"/>
      <c r="L41" s="118"/>
      <c r="M41" s="118"/>
      <c r="N41" s="44"/>
      <c r="O41" s="44"/>
      <c r="P41" s="118"/>
      <c r="Q41" s="118"/>
      <c r="R41" s="118"/>
      <c r="S41" s="118"/>
      <c r="T41" s="118"/>
      <c r="U41" s="118">
        <f t="shared" si="1"/>
        <v>0</v>
      </c>
      <c r="V41" s="118"/>
      <c r="W41" s="118"/>
      <c r="X41" s="118"/>
      <c r="Y41" s="118">
        <f t="shared" si="2"/>
        <v>0</v>
      </c>
      <c r="Z41" s="118"/>
      <c r="AA41" s="118"/>
      <c r="AB41" s="118"/>
    </row>
    <row r="42" ht="18.75" customHeight="1" spans="1:28">
      <c r="A42" s="49">
        <v>1</v>
      </c>
      <c r="B42" s="115" t="s">
        <v>295</v>
      </c>
      <c r="C42" s="116"/>
      <c r="D42" s="43" t="s">
        <v>296</v>
      </c>
      <c r="E42" s="49" t="s">
        <v>1168</v>
      </c>
      <c r="F42" s="118">
        <f>79039.64</f>
        <v>79039.64</v>
      </c>
      <c r="G42" s="118"/>
      <c r="H42" s="118">
        <f>F42*300%</f>
        <v>237118.92</v>
      </c>
      <c r="I42" s="118">
        <f>F42*7.5%</f>
        <v>5927.973</v>
      </c>
      <c r="J42" s="118">
        <v>80244.38</v>
      </c>
      <c r="K42" s="118">
        <f>F42*50%</f>
        <v>39519.82</v>
      </c>
      <c r="L42" s="118">
        <f>F42*350%</f>
        <v>276638.74</v>
      </c>
      <c r="M42" s="118">
        <f t="shared" ref="M42" si="30">F42*100%</f>
        <v>79039.64</v>
      </c>
      <c r="N42" s="44"/>
      <c r="O42" s="44">
        <f>100000</f>
        <v>100000</v>
      </c>
      <c r="P42" s="118">
        <f t="shared" ref="P42" si="31">F42*10%</f>
        <v>7903.964</v>
      </c>
      <c r="Q42" s="118">
        <v>20000</v>
      </c>
      <c r="R42" s="118"/>
      <c r="S42" s="118">
        <f>SUM(F42:R42)</f>
        <v>925433.077</v>
      </c>
      <c r="T42" s="118">
        <v>900657.4575</v>
      </c>
      <c r="U42" s="118">
        <f t="shared" si="1"/>
        <v>24775.6195</v>
      </c>
      <c r="V42" s="118"/>
      <c r="W42" s="118">
        <f>(52776.63)</f>
        <v>52776.63</v>
      </c>
      <c r="X42" s="118">
        <v>52776.63</v>
      </c>
      <c r="Y42" s="118">
        <f t="shared" si="2"/>
        <v>0</v>
      </c>
      <c r="Z42" s="118"/>
      <c r="AA42" s="118"/>
      <c r="AB42" s="118"/>
    </row>
    <row r="43" ht="19.5" customHeight="1" spans="1:28">
      <c r="A43" s="49"/>
      <c r="B43" s="43"/>
      <c r="C43" s="42" t="s">
        <v>33</v>
      </c>
      <c r="D43" s="68">
        <v>1</v>
      </c>
      <c r="E43" s="49"/>
      <c r="F43" s="130">
        <f t="shared" ref="F43:M43" si="32">SUM(F42:F42)</f>
        <v>79039.64</v>
      </c>
      <c r="G43" s="130">
        <f t="shared" si="32"/>
        <v>0</v>
      </c>
      <c r="H43" s="130">
        <f t="shared" si="32"/>
        <v>237118.92</v>
      </c>
      <c r="I43" s="130">
        <f t="shared" si="32"/>
        <v>5927.973</v>
      </c>
      <c r="J43" s="130">
        <f t="shared" si="32"/>
        <v>80244.38</v>
      </c>
      <c r="K43" s="130">
        <f t="shared" si="32"/>
        <v>39519.82</v>
      </c>
      <c r="L43" s="130">
        <f t="shared" si="32"/>
        <v>276638.74</v>
      </c>
      <c r="M43" s="130">
        <f t="shared" si="32"/>
        <v>79039.64</v>
      </c>
      <c r="N43" s="148"/>
      <c r="O43" s="148">
        <f>SUM(O42:O42)</f>
        <v>100000</v>
      </c>
      <c r="P43" s="130">
        <f>SUM(P42:P42)</f>
        <v>7903.964</v>
      </c>
      <c r="Q43" s="130">
        <f>SUM(Q42:Q42)</f>
        <v>20000</v>
      </c>
      <c r="R43" s="130">
        <f>SUM(R42:R42)</f>
        <v>0</v>
      </c>
      <c r="S43" s="130">
        <f>SUM(S42:S42)</f>
        <v>925433.077</v>
      </c>
      <c r="T43" s="130">
        <v>900657.4575</v>
      </c>
      <c r="U43" s="154">
        <f t="shared" si="1"/>
        <v>24775.6195</v>
      </c>
      <c r="V43" s="130"/>
      <c r="W43" s="130">
        <f>SUM(W42:W42)</f>
        <v>52776.63</v>
      </c>
      <c r="X43" s="130">
        <v>52776.63</v>
      </c>
      <c r="Y43" s="118">
        <f t="shared" si="2"/>
        <v>0</v>
      </c>
      <c r="Z43" s="130"/>
      <c r="AA43" s="130"/>
      <c r="AB43" s="130"/>
    </row>
    <row r="44" customHeight="1" spans="1:28">
      <c r="A44" s="49"/>
      <c r="B44" s="131"/>
      <c r="C44" s="132"/>
      <c r="D44" s="43"/>
      <c r="E44" s="49"/>
      <c r="F44" s="130"/>
      <c r="G44" s="130"/>
      <c r="H44" s="130"/>
      <c r="I44" s="130"/>
      <c r="J44" s="130"/>
      <c r="K44" s="130"/>
      <c r="L44" s="130"/>
      <c r="M44" s="130"/>
      <c r="N44" s="44"/>
      <c r="O44" s="44"/>
      <c r="P44" s="130"/>
      <c r="Q44" s="130"/>
      <c r="R44" s="130"/>
      <c r="S44" s="130"/>
      <c r="T44" s="130"/>
      <c r="U44" s="118">
        <f t="shared" si="1"/>
        <v>0</v>
      </c>
      <c r="V44" s="130"/>
      <c r="W44" s="130"/>
      <c r="X44" s="130"/>
      <c r="Y44" s="118">
        <f t="shared" si="2"/>
        <v>0</v>
      </c>
      <c r="Z44" s="118"/>
      <c r="AA44" s="118"/>
      <c r="AB44" s="118"/>
    </row>
    <row r="45" customHeight="1" spans="1:28">
      <c r="A45" s="49"/>
      <c r="B45" s="133" t="s">
        <v>38</v>
      </c>
      <c r="C45" s="134"/>
      <c r="D45" s="135"/>
      <c r="E45" s="57"/>
      <c r="F45" s="130"/>
      <c r="G45" s="130"/>
      <c r="H45" s="130"/>
      <c r="I45" s="118"/>
      <c r="J45" s="118"/>
      <c r="K45" s="118"/>
      <c r="L45" s="118"/>
      <c r="M45" s="118"/>
      <c r="N45" s="44"/>
      <c r="O45" s="44"/>
      <c r="P45" s="118"/>
      <c r="Q45" s="118"/>
      <c r="R45" s="118"/>
      <c r="S45" s="118"/>
      <c r="T45" s="118"/>
      <c r="U45" s="118">
        <f t="shared" si="1"/>
        <v>0</v>
      </c>
      <c r="V45" s="118"/>
      <c r="W45" s="118"/>
      <c r="X45" s="118"/>
      <c r="Y45" s="118">
        <f t="shared" si="2"/>
        <v>0</v>
      </c>
      <c r="Z45" s="118"/>
      <c r="AA45" s="118"/>
      <c r="AB45" s="118"/>
    </row>
    <row r="46" customHeight="1" spans="1:28">
      <c r="A46" s="49">
        <v>1</v>
      </c>
      <c r="B46" s="115" t="s">
        <v>302</v>
      </c>
      <c r="C46" s="116"/>
      <c r="D46" s="43" t="s">
        <v>303</v>
      </c>
      <c r="E46" s="49" t="s">
        <v>297</v>
      </c>
      <c r="F46" s="118">
        <f>81740.02</f>
        <v>81740.02</v>
      </c>
      <c r="G46" s="118"/>
      <c r="H46" s="118">
        <f>F46*300%</f>
        <v>245220.06</v>
      </c>
      <c r="I46" s="118">
        <f>F46*7.5%</f>
        <v>6130.5015</v>
      </c>
      <c r="J46" s="118">
        <v>80244.38</v>
      </c>
      <c r="K46" s="118">
        <f>F46*50%</f>
        <v>40870.01</v>
      </c>
      <c r="L46" s="118">
        <f>F46*350%</f>
        <v>286090.07</v>
      </c>
      <c r="M46" s="118">
        <f t="shared" ref="M46:M55" si="33">F46*100%</f>
        <v>81740.02</v>
      </c>
      <c r="N46" s="44">
        <f>200000</f>
        <v>200000</v>
      </c>
      <c r="O46" s="44"/>
      <c r="P46" s="118">
        <f t="shared" ref="P46:P55" si="34">F46*10%</f>
        <v>8174.002</v>
      </c>
      <c r="Q46" s="118">
        <v>20000</v>
      </c>
      <c r="R46" s="118"/>
      <c r="S46" s="118">
        <f t="shared" ref="S46:S55" si="35">SUM(F46:R46)</f>
        <v>1050209.0635</v>
      </c>
      <c r="T46" s="118">
        <v>1050209.0635</v>
      </c>
      <c r="U46" s="118">
        <f t="shared" si="1"/>
        <v>0</v>
      </c>
      <c r="V46" s="118"/>
      <c r="W46" s="118">
        <f>52776.63</f>
        <v>52776.63</v>
      </c>
      <c r="X46" s="118">
        <v>52776.63</v>
      </c>
      <c r="Y46" s="118">
        <f t="shared" si="2"/>
        <v>0</v>
      </c>
      <c r="Z46" s="118"/>
      <c r="AA46" s="118"/>
      <c r="AB46" s="118"/>
    </row>
    <row r="47" customHeight="1" spans="1:28">
      <c r="A47" s="49">
        <v>2</v>
      </c>
      <c r="B47" s="115" t="s">
        <v>304</v>
      </c>
      <c r="C47" s="116"/>
      <c r="D47" s="43" t="s">
        <v>305</v>
      </c>
      <c r="E47" s="49" t="s">
        <v>249</v>
      </c>
      <c r="F47" s="118">
        <f>33507.5</f>
        <v>33507.5</v>
      </c>
      <c r="G47" s="118"/>
      <c r="H47" s="118">
        <f>F47*300%</f>
        <v>100522.5</v>
      </c>
      <c r="I47" s="118">
        <f>F47*7.5%</f>
        <v>2513.0625</v>
      </c>
      <c r="J47" s="118">
        <v>40122.19</v>
      </c>
      <c r="K47" s="118">
        <f>F47*50%</f>
        <v>16753.75</v>
      </c>
      <c r="L47" s="118">
        <f>F47*350%</f>
        <v>117276.25</v>
      </c>
      <c r="M47" s="118">
        <f t="shared" si="33"/>
        <v>33507.5</v>
      </c>
      <c r="N47" s="44">
        <f>160000</f>
        <v>160000</v>
      </c>
      <c r="O47" s="44"/>
      <c r="P47" s="118">
        <f t="shared" si="34"/>
        <v>3350.75</v>
      </c>
      <c r="Q47" s="118">
        <v>20000</v>
      </c>
      <c r="R47" s="118">
        <v>0</v>
      </c>
      <c r="S47" s="118">
        <f t="shared" si="35"/>
        <v>527553.5025</v>
      </c>
      <c r="T47" s="118">
        <v>527553.5025</v>
      </c>
      <c r="U47" s="118">
        <f t="shared" si="1"/>
        <v>0</v>
      </c>
      <c r="V47" s="118"/>
      <c r="W47" s="118">
        <v>15548.33</v>
      </c>
      <c r="X47" s="118">
        <v>15548.33</v>
      </c>
      <c r="Y47" s="118">
        <f t="shared" si="2"/>
        <v>0</v>
      </c>
      <c r="Z47" s="118"/>
      <c r="AA47" s="118"/>
      <c r="AB47" s="118"/>
    </row>
    <row r="48" customHeight="1" spans="1:28">
      <c r="A48" s="49">
        <v>3</v>
      </c>
      <c r="B48" s="115" t="s">
        <v>306</v>
      </c>
      <c r="C48" s="116"/>
      <c r="D48" s="43" t="s">
        <v>310</v>
      </c>
      <c r="E48" s="49" t="s">
        <v>249</v>
      </c>
      <c r="F48" s="118">
        <f>33507.5</f>
        <v>33507.5</v>
      </c>
      <c r="G48" s="118"/>
      <c r="H48" s="118">
        <f>F48*300%</f>
        <v>100522.5</v>
      </c>
      <c r="I48" s="118">
        <f>F48*7.5%</f>
        <v>2513.0625</v>
      </c>
      <c r="J48" s="118">
        <v>40122.19</v>
      </c>
      <c r="K48" s="118">
        <f>F48*50%</f>
        <v>16753.75</v>
      </c>
      <c r="L48" s="118">
        <f>F48*350%</f>
        <v>117276.25</v>
      </c>
      <c r="M48" s="118">
        <f t="shared" si="33"/>
        <v>33507.5</v>
      </c>
      <c r="N48" s="44">
        <f>160000</f>
        <v>160000</v>
      </c>
      <c r="O48" s="44"/>
      <c r="P48" s="118">
        <f t="shared" si="34"/>
        <v>3350.75</v>
      </c>
      <c r="Q48" s="118">
        <v>20000</v>
      </c>
      <c r="R48" s="118"/>
      <c r="S48" s="118">
        <f t="shared" si="35"/>
        <v>527553.5025</v>
      </c>
      <c r="T48" s="118">
        <v>527553.5025</v>
      </c>
      <c r="U48" s="118">
        <f t="shared" si="1"/>
        <v>0</v>
      </c>
      <c r="V48" s="118"/>
      <c r="W48" s="118">
        <v>15548.33</v>
      </c>
      <c r="X48" s="118">
        <v>15548.33</v>
      </c>
      <c r="Y48" s="118">
        <f t="shared" si="2"/>
        <v>0</v>
      </c>
      <c r="Z48" s="118"/>
      <c r="AA48" s="118"/>
      <c r="AB48" s="118"/>
    </row>
    <row r="49" customHeight="1" spans="1:28">
      <c r="A49" s="49">
        <v>4</v>
      </c>
      <c r="B49" s="115" t="s">
        <v>309</v>
      </c>
      <c r="C49" s="116"/>
      <c r="D49" s="43" t="s">
        <v>310</v>
      </c>
      <c r="E49" s="49" t="s">
        <v>327</v>
      </c>
      <c r="F49" s="118">
        <f>32263.2</f>
        <v>32263.2</v>
      </c>
      <c r="G49" s="118"/>
      <c r="H49" s="118">
        <f>F49*300%</f>
        <v>96789.6</v>
      </c>
      <c r="I49" s="118">
        <f>F49*7.5%</f>
        <v>2419.74</v>
      </c>
      <c r="J49" s="118">
        <v>40122.19</v>
      </c>
      <c r="K49" s="118">
        <f>F49*50%</f>
        <v>16131.6</v>
      </c>
      <c r="L49" s="118">
        <f>F49*350%</f>
        <v>112921.2</v>
      </c>
      <c r="M49" s="118">
        <f t="shared" si="33"/>
        <v>32263.2</v>
      </c>
      <c r="N49" s="44">
        <f>160000</f>
        <v>160000</v>
      </c>
      <c r="O49" s="44"/>
      <c r="P49" s="118">
        <f t="shared" si="34"/>
        <v>3226.32</v>
      </c>
      <c r="Q49" s="118">
        <v>20000</v>
      </c>
      <c r="R49" s="118"/>
      <c r="S49" s="118">
        <f t="shared" si="35"/>
        <v>516137.05</v>
      </c>
      <c r="T49" s="118">
        <v>504720.047</v>
      </c>
      <c r="U49" s="118">
        <f t="shared" si="1"/>
        <v>11417.003</v>
      </c>
      <c r="V49" s="118"/>
      <c r="W49" s="118">
        <f>15548.33</f>
        <v>15548.33</v>
      </c>
      <c r="X49" s="118">
        <v>15548.33</v>
      </c>
      <c r="Y49" s="118">
        <f t="shared" si="2"/>
        <v>0</v>
      </c>
      <c r="Z49" s="118"/>
      <c r="AA49" s="118"/>
      <c r="AB49" s="118"/>
    </row>
    <row r="50" customHeight="1" spans="1:28">
      <c r="A50" s="49">
        <v>5</v>
      </c>
      <c r="B50" s="115" t="s">
        <v>311</v>
      </c>
      <c r="C50" s="116"/>
      <c r="D50" s="43" t="s">
        <v>259</v>
      </c>
      <c r="E50" s="49" t="s">
        <v>254</v>
      </c>
      <c r="F50" s="118">
        <f>28489.81</f>
        <v>28489.81</v>
      </c>
      <c r="G50" s="118"/>
      <c r="H50" s="118">
        <f t="shared" ref="H50:H55" si="36">F50*300%</f>
        <v>85469.43</v>
      </c>
      <c r="I50" s="118">
        <f t="shared" ref="I50:I55" si="37">F50*7.5%</f>
        <v>2136.73575</v>
      </c>
      <c r="J50" s="118">
        <v>0</v>
      </c>
      <c r="K50" s="118">
        <f t="shared" ref="K50:K55" si="38">F50*50%</f>
        <v>14244.905</v>
      </c>
      <c r="L50" s="118">
        <f t="shared" ref="L50:L55" si="39">F50*350%</f>
        <v>99714.335</v>
      </c>
      <c r="M50" s="118">
        <f t="shared" si="33"/>
        <v>28489.81</v>
      </c>
      <c r="N50" s="44">
        <f t="shared" ref="N50:N52" si="40">140000</f>
        <v>140000</v>
      </c>
      <c r="O50" s="44"/>
      <c r="P50" s="118">
        <f t="shared" si="34"/>
        <v>2848.981</v>
      </c>
      <c r="Q50" s="118">
        <v>20000</v>
      </c>
      <c r="R50" s="118">
        <v>0</v>
      </c>
      <c r="S50" s="118">
        <f t="shared" si="35"/>
        <v>421394.00675</v>
      </c>
      <c r="T50" s="118">
        <v>421394.00675</v>
      </c>
      <c r="U50" s="118">
        <f t="shared" si="1"/>
        <v>0</v>
      </c>
      <c r="V50" s="118"/>
      <c r="W50" s="118">
        <v>7709.76</v>
      </c>
      <c r="X50" s="118">
        <v>7709.76</v>
      </c>
      <c r="Y50" s="118">
        <f t="shared" si="2"/>
        <v>0</v>
      </c>
      <c r="Z50" s="118"/>
      <c r="AA50" s="118"/>
      <c r="AB50" s="118"/>
    </row>
    <row r="51" customHeight="1" spans="1:28">
      <c r="A51" s="49">
        <v>6</v>
      </c>
      <c r="B51" s="115" t="s">
        <v>312</v>
      </c>
      <c r="C51" s="116"/>
      <c r="D51" s="43" t="s">
        <v>259</v>
      </c>
      <c r="E51" s="49" t="s">
        <v>342</v>
      </c>
      <c r="F51" s="118">
        <f>26732.65</f>
        <v>26732.65</v>
      </c>
      <c r="G51" s="118"/>
      <c r="H51" s="118">
        <f t="shared" si="36"/>
        <v>80197.95</v>
      </c>
      <c r="I51" s="118">
        <f t="shared" si="37"/>
        <v>2004.94875</v>
      </c>
      <c r="J51" s="118"/>
      <c r="K51" s="118">
        <f t="shared" si="38"/>
        <v>13366.325</v>
      </c>
      <c r="L51" s="118">
        <f t="shared" si="39"/>
        <v>93564.275</v>
      </c>
      <c r="M51" s="118">
        <f t="shared" si="33"/>
        <v>26732.65</v>
      </c>
      <c r="N51" s="44">
        <f t="shared" si="40"/>
        <v>140000</v>
      </c>
      <c r="O51" s="44"/>
      <c r="P51" s="118">
        <f t="shared" si="34"/>
        <v>2673.265</v>
      </c>
      <c r="Q51" s="118">
        <v>20000</v>
      </c>
      <c r="R51" s="118"/>
      <c r="S51" s="118">
        <f t="shared" si="35"/>
        <v>405272.06375</v>
      </c>
      <c r="T51" s="118">
        <v>397211.3675</v>
      </c>
      <c r="U51" s="118">
        <f t="shared" si="1"/>
        <v>8060.69624999998</v>
      </c>
      <c r="V51" s="118"/>
      <c r="W51" s="118">
        <v>7709.76</v>
      </c>
      <c r="X51" s="118">
        <v>7709.76</v>
      </c>
      <c r="Y51" s="118">
        <f t="shared" si="2"/>
        <v>0</v>
      </c>
      <c r="Z51" s="118"/>
      <c r="AA51" s="118"/>
      <c r="AB51" s="118"/>
    </row>
    <row r="52" customHeight="1" spans="1:28">
      <c r="A52" s="49">
        <v>7</v>
      </c>
      <c r="B52" s="136" t="s">
        <v>313</v>
      </c>
      <c r="C52" s="137"/>
      <c r="D52" s="43" t="s">
        <v>256</v>
      </c>
      <c r="E52" s="16" t="s">
        <v>342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18">
        <f t="shared" si="35"/>
        <v>405272.06375</v>
      </c>
      <c r="T52" s="118">
        <v>397211.3675</v>
      </c>
      <c r="U52" s="118">
        <f t="shared" si="1"/>
        <v>8060.69624999998</v>
      </c>
      <c r="V52" s="85"/>
      <c r="W52" s="85">
        <v>7709.76</v>
      </c>
      <c r="X52" s="85">
        <v>7709.76</v>
      </c>
      <c r="Y52" s="118">
        <f t="shared" si="2"/>
        <v>0</v>
      </c>
      <c r="Z52" s="118"/>
      <c r="AA52" s="118"/>
      <c r="AB52" s="118"/>
    </row>
    <row r="53" customHeight="1" spans="1:28">
      <c r="A53" s="49">
        <v>8</v>
      </c>
      <c r="B53" s="115" t="s">
        <v>1025</v>
      </c>
      <c r="C53" s="116"/>
      <c r="D53" s="43" t="s">
        <v>46</v>
      </c>
      <c r="E53" s="49" t="s">
        <v>266</v>
      </c>
      <c r="F53" s="118">
        <f>25523.45</f>
        <v>25523.45</v>
      </c>
      <c r="G53" s="118"/>
      <c r="H53" s="118">
        <f t="shared" si="36"/>
        <v>76570.35</v>
      </c>
      <c r="I53" s="118">
        <f t="shared" si="37"/>
        <v>1914.25875</v>
      </c>
      <c r="J53" s="118">
        <v>0</v>
      </c>
      <c r="K53" s="118">
        <f t="shared" si="38"/>
        <v>12761.725</v>
      </c>
      <c r="L53" s="118">
        <f t="shared" si="39"/>
        <v>89332.075</v>
      </c>
      <c r="M53" s="118">
        <f t="shared" si="33"/>
        <v>25523.45</v>
      </c>
      <c r="N53" s="44">
        <f>120000</f>
        <v>120000</v>
      </c>
      <c r="O53" s="44"/>
      <c r="P53" s="118">
        <f t="shared" si="34"/>
        <v>2552.345</v>
      </c>
      <c r="Q53" s="118">
        <v>15000</v>
      </c>
      <c r="R53" s="118">
        <v>0</v>
      </c>
      <c r="S53" s="118">
        <f t="shared" si="35"/>
        <v>369177.65375</v>
      </c>
      <c r="T53" s="118">
        <v>362001.0605</v>
      </c>
      <c r="U53" s="118">
        <f t="shared" si="1"/>
        <v>7176.59324999998</v>
      </c>
      <c r="V53" s="118"/>
      <c r="W53" s="118">
        <v>7709.76</v>
      </c>
      <c r="X53" s="118">
        <v>7709.76</v>
      </c>
      <c r="Y53" s="118">
        <f t="shared" si="2"/>
        <v>0</v>
      </c>
      <c r="Z53" s="118"/>
      <c r="AA53" s="118"/>
      <c r="AB53" s="118"/>
    </row>
    <row r="54" customHeight="1" spans="1:28">
      <c r="A54" s="49">
        <v>9</v>
      </c>
      <c r="B54" s="138" t="s">
        <v>1208</v>
      </c>
      <c r="C54" s="139"/>
      <c r="D54" s="140" t="s">
        <v>256</v>
      </c>
      <c r="E54" s="141" t="s">
        <v>260</v>
      </c>
      <c r="F54" s="142">
        <f>25854.1</f>
        <v>25854.1</v>
      </c>
      <c r="G54" s="142"/>
      <c r="H54" s="142">
        <f t="shared" si="36"/>
        <v>77562.3</v>
      </c>
      <c r="I54" s="142">
        <f t="shared" si="37"/>
        <v>1939.0575</v>
      </c>
      <c r="J54" s="142">
        <v>0</v>
      </c>
      <c r="K54" s="142">
        <f t="shared" si="38"/>
        <v>12927.05</v>
      </c>
      <c r="L54" s="142">
        <f t="shared" si="39"/>
        <v>90489.35</v>
      </c>
      <c r="M54" s="142">
        <f t="shared" si="33"/>
        <v>25854.1</v>
      </c>
      <c r="N54" s="149">
        <v>140000</v>
      </c>
      <c r="O54" s="149"/>
      <c r="P54" s="142">
        <f t="shared" si="34"/>
        <v>2585.41</v>
      </c>
      <c r="Q54" s="142">
        <v>20000</v>
      </c>
      <c r="R54" s="142">
        <v>0</v>
      </c>
      <c r="S54" s="142">
        <f t="shared" si="35"/>
        <v>397211.3675</v>
      </c>
      <c r="T54" s="142">
        <v>397211.3675</v>
      </c>
      <c r="U54" s="118">
        <f t="shared" si="1"/>
        <v>0</v>
      </c>
      <c r="V54" s="142"/>
      <c r="W54" s="142">
        <v>7709.76</v>
      </c>
      <c r="X54" s="142">
        <v>7709.76</v>
      </c>
      <c r="Y54" s="118">
        <f t="shared" si="2"/>
        <v>0</v>
      </c>
      <c r="Z54" s="118"/>
      <c r="AA54" s="118"/>
      <c r="AB54" s="118"/>
    </row>
    <row r="55" customHeight="1" spans="1:28">
      <c r="A55" s="49">
        <v>10</v>
      </c>
      <c r="B55" s="125" t="s">
        <v>258</v>
      </c>
      <c r="C55" s="126"/>
      <c r="D55" s="43" t="s">
        <v>353</v>
      </c>
      <c r="E55" s="10" t="s">
        <v>950</v>
      </c>
      <c r="F55" s="85">
        <f>24741.26</f>
        <v>24741.26</v>
      </c>
      <c r="G55" s="118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18">
        <f t="shared" si="35"/>
        <v>362001.0605</v>
      </c>
      <c r="T55" s="118">
        <v>354201.026</v>
      </c>
      <c r="U55" s="118">
        <f t="shared" si="1"/>
        <v>7800.03449999995</v>
      </c>
      <c r="V55" s="85"/>
      <c r="W55" s="85">
        <f>7709.76</f>
        <v>7709.76</v>
      </c>
      <c r="X55" s="85">
        <v>7709.76</v>
      </c>
      <c r="Y55" s="118">
        <f t="shared" si="2"/>
        <v>0</v>
      </c>
      <c r="Z55" s="118"/>
      <c r="AA55" s="118"/>
      <c r="AB55" s="118"/>
    </row>
    <row r="56" customHeight="1" spans="1:28">
      <c r="A56" s="49"/>
      <c r="B56" s="143" t="s">
        <v>33</v>
      </c>
      <c r="C56" s="14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48">
        <f t="shared" si="42"/>
        <v>1480000</v>
      </c>
      <c r="O56" s="14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54">
        <f t="shared" si="1"/>
        <v>42515.0232499987</v>
      </c>
      <c r="V56" s="93"/>
      <c r="W56" s="93">
        <f>SUM(W46:W55)</f>
        <v>145680.18</v>
      </c>
      <c r="X56" s="93">
        <v>145680.18</v>
      </c>
      <c r="Y56" s="118">
        <f t="shared" si="2"/>
        <v>0</v>
      </c>
      <c r="Z56" s="93"/>
      <c r="AA56" s="93"/>
      <c r="AB56" s="93"/>
    </row>
    <row r="57" customHeight="1" spans="1:28">
      <c r="A57" s="49"/>
      <c r="B57" s="145"/>
      <c r="C57" s="145"/>
      <c r="D57" s="21"/>
      <c r="E57" s="21"/>
      <c r="F57" s="146"/>
      <c r="G57" s="146"/>
      <c r="H57" s="146"/>
      <c r="I57" s="146"/>
      <c r="J57" s="146"/>
      <c r="K57" s="146"/>
      <c r="L57" s="146"/>
      <c r="M57" s="146"/>
      <c r="N57" s="44"/>
      <c r="O57" s="44"/>
      <c r="P57" s="146"/>
      <c r="Q57" s="146"/>
      <c r="R57" s="146"/>
      <c r="S57" s="146"/>
      <c r="T57" s="146"/>
      <c r="U57" s="118">
        <f t="shared" si="1"/>
        <v>0</v>
      </c>
      <c r="V57" s="146"/>
      <c r="W57" s="146"/>
      <c r="X57" s="146"/>
      <c r="Y57" s="118">
        <f t="shared" si="2"/>
        <v>0</v>
      </c>
      <c r="Z57" s="146"/>
      <c r="AA57" s="146"/>
      <c r="AB57" s="146"/>
    </row>
    <row r="58" customHeight="1" spans="1:28">
      <c r="A58" s="49"/>
      <c r="B58" s="143" t="s">
        <v>318</v>
      </c>
      <c r="C58" s="144"/>
      <c r="D58" s="21"/>
      <c r="E58" s="21"/>
      <c r="F58" s="146"/>
      <c r="G58" s="146"/>
      <c r="H58" s="146"/>
      <c r="I58" s="146"/>
      <c r="J58" s="146"/>
      <c r="K58" s="146"/>
      <c r="L58" s="146"/>
      <c r="M58" s="146"/>
      <c r="N58" s="44"/>
      <c r="O58" s="44"/>
      <c r="P58" s="146"/>
      <c r="Q58" s="146"/>
      <c r="R58" s="146"/>
      <c r="S58" s="146"/>
      <c r="T58" s="146"/>
      <c r="U58" s="118">
        <f t="shared" si="1"/>
        <v>0</v>
      </c>
      <c r="V58" s="146"/>
      <c r="W58" s="146"/>
      <c r="X58" s="146"/>
      <c r="Y58" s="118">
        <f t="shared" si="2"/>
        <v>0</v>
      </c>
      <c r="Z58" s="146"/>
      <c r="AA58" s="146"/>
      <c r="AB58" s="146"/>
    </row>
    <row r="59" customHeight="1" spans="1:28">
      <c r="A59" s="49">
        <v>1</v>
      </c>
      <c r="B59" s="115" t="s">
        <v>319</v>
      </c>
      <c r="C59" s="116"/>
      <c r="D59" s="117" t="s">
        <v>320</v>
      </c>
      <c r="E59" s="119" t="s">
        <v>297</v>
      </c>
      <c r="F59" s="118">
        <f>81740.02</f>
        <v>81740.02</v>
      </c>
      <c r="G59" s="118"/>
      <c r="H59" s="118">
        <f>F59*300%</f>
        <v>245220.06</v>
      </c>
      <c r="I59" s="118">
        <f>F59*7.5%</f>
        <v>6130.5015</v>
      </c>
      <c r="J59" s="118">
        <v>80244.38</v>
      </c>
      <c r="K59" s="118">
        <f>F59*50%</f>
        <v>40870.01</v>
      </c>
      <c r="L59" s="118">
        <f>F59*350%</f>
        <v>286090.07</v>
      </c>
      <c r="M59" s="118">
        <f>F59*100%</f>
        <v>81740.02</v>
      </c>
      <c r="N59" s="44">
        <f>200000</f>
        <v>200000</v>
      </c>
      <c r="O59" s="44"/>
      <c r="P59" s="118">
        <f>F59*10%</f>
        <v>8174.002</v>
      </c>
      <c r="Q59" s="118">
        <v>20000</v>
      </c>
      <c r="R59" s="118">
        <v>0</v>
      </c>
      <c r="S59" s="118">
        <f>SUM(F59:R59)</f>
        <v>1050209.0635</v>
      </c>
      <c r="T59" s="118">
        <v>1050209.0635</v>
      </c>
      <c r="U59" s="118">
        <f t="shared" si="1"/>
        <v>0</v>
      </c>
      <c r="V59" s="118"/>
      <c r="W59" s="118">
        <v>52776.63</v>
      </c>
      <c r="X59" s="118">
        <v>52776.63</v>
      </c>
      <c r="Y59" s="118">
        <f t="shared" si="2"/>
        <v>0</v>
      </c>
      <c r="Z59" s="118"/>
      <c r="AA59" s="118"/>
      <c r="AB59" s="118"/>
    </row>
    <row r="60" customHeight="1" spans="1:28">
      <c r="A60" s="49">
        <v>2</v>
      </c>
      <c r="B60" s="115" t="s">
        <v>321</v>
      </c>
      <c r="C60" s="116"/>
      <c r="D60" s="117" t="s">
        <v>322</v>
      </c>
      <c r="E60" s="119" t="s">
        <v>222</v>
      </c>
      <c r="F60" s="118">
        <f>32263.2</f>
        <v>32263.2</v>
      </c>
      <c r="G60" s="118"/>
      <c r="H60" s="118">
        <f t="shared" ref="H60" si="43">F60*300%</f>
        <v>96789.6</v>
      </c>
      <c r="I60" s="118">
        <f t="shared" ref="I60" si="44">F60*7.5%</f>
        <v>2419.74</v>
      </c>
      <c r="J60" s="118">
        <v>40122.19</v>
      </c>
      <c r="K60" s="118">
        <f t="shared" ref="K60" si="45">F60*50%</f>
        <v>16131.6</v>
      </c>
      <c r="L60" s="118">
        <f t="shared" ref="L60" si="46">F60*350%</f>
        <v>112921.2</v>
      </c>
      <c r="M60" s="118">
        <f t="shared" ref="M60" si="47">F60*100%</f>
        <v>32263.2</v>
      </c>
      <c r="N60" s="44"/>
      <c r="O60" s="44">
        <f>80000</f>
        <v>80000</v>
      </c>
      <c r="P60" s="118">
        <f t="shared" ref="P60" si="48">F60*10%</f>
        <v>3226.32</v>
      </c>
      <c r="Q60" s="118">
        <v>20000</v>
      </c>
      <c r="R60" s="153">
        <v>0</v>
      </c>
      <c r="S60" s="118">
        <f t="shared" ref="S60" si="49">SUM(F60:R60)</f>
        <v>436137.05</v>
      </c>
      <c r="T60" s="118">
        <v>424720.047</v>
      </c>
      <c r="U60" s="118">
        <f t="shared" si="1"/>
        <v>11417.003</v>
      </c>
      <c r="V60" s="118"/>
      <c r="W60" s="118">
        <f>15548.33</f>
        <v>15548.33</v>
      </c>
      <c r="X60" s="118">
        <v>15548.33</v>
      </c>
      <c r="Y60" s="118">
        <f t="shared" si="2"/>
        <v>0</v>
      </c>
      <c r="Z60" s="118"/>
      <c r="AA60" s="118"/>
      <c r="AB60" s="118"/>
    </row>
    <row r="61" customHeight="1" spans="1:28">
      <c r="A61" s="49"/>
      <c r="B61" s="143" t="s">
        <v>33</v>
      </c>
      <c r="C61" s="14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48">
        <f t="shared" si="50"/>
        <v>200000</v>
      </c>
      <c r="O61" s="14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54">
        <f t="shared" si="1"/>
        <v>11417.0030000003</v>
      </c>
      <c r="V61" s="93"/>
      <c r="W61" s="93">
        <f>SUM(W59:W60)</f>
        <v>68324.96</v>
      </c>
      <c r="X61" s="93">
        <v>68324.96</v>
      </c>
      <c r="Y61" s="118">
        <f t="shared" si="2"/>
        <v>0</v>
      </c>
      <c r="Z61" s="93"/>
      <c r="AA61" s="93"/>
      <c r="AB61" s="93"/>
    </row>
    <row r="62" customHeight="1" spans="1:28">
      <c r="A62" s="49"/>
      <c r="B62" s="143"/>
      <c r="C62" s="144"/>
      <c r="D62" s="21"/>
      <c r="E62" s="21"/>
      <c r="F62" s="146"/>
      <c r="G62" s="146"/>
      <c r="H62" s="146"/>
      <c r="I62" s="146"/>
      <c r="J62" s="146"/>
      <c r="K62" s="146"/>
      <c r="L62" s="146"/>
      <c r="M62" s="146"/>
      <c r="N62" s="44"/>
      <c r="O62" s="44"/>
      <c r="P62" s="146"/>
      <c r="Q62" s="146"/>
      <c r="R62" s="146"/>
      <c r="S62" s="146"/>
      <c r="T62" s="146"/>
      <c r="U62" s="118">
        <f t="shared" si="1"/>
        <v>0</v>
      </c>
      <c r="V62" s="146"/>
      <c r="W62" s="146"/>
      <c r="X62" s="146"/>
      <c r="Y62" s="118">
        <f t="shared" si="2"/>
        <v>0</v>
      </c>
      <c r="Z62" s="146"/>
      <c r="AA62" s="146"/>
      <c r="AB62" s="146"/>
    </row>
    <row r="63" customHeight="1" spans="1:28">
      <c r="A63" s="49"/>
      <c r="B63" s="143" t="s">
        <v>1169</v>
      </c>
      <c r="C63" s="144"/>
      <c r="D63" s="21"/>
      <c r="E63" s="21"/>
      <c r="F63" s="146"/>
      <c r="G63" s="146"/>
      <c r="H63" s="146"/>
      <c r="I63" s="146"/>
      <c r="J63" s="146"/>
      <c r="K63" s="146"/>
      <c r="L63" s="146"/>
      <c r="M63" s="146"/>
      <c r="N63" s="44"/>
      <c r="O63" s="44"/>
      <c r="P63" s="146"/>
      <c r="Q63" s="146"/>
      <c r="R63" s="146"/>
      <c r="S63" s="146"/>
      <c r="T63" s="146"/>
      <c r="U63" s="118">
        <f t="shared" si="1"/>
        <v>0</v>
      </c>
      <c r="V63" s="146"/>
      <c r="W63" s="146"/>
      <c r="X63" s="146"/>
      <c r="Y63" s="118">
        <f t="shared" si="2"/>
        <v>0</v>
      </c>
      <c r="Z63" s="146"/>
      <c r="AA63" s="146"/>
      <c r="AB63" s="146"/>
    </row>
    <row r="64" customHeight="1" spans="1:28">
      <c r="A64" s="49">
        <v>1</v>
      </c>
      <c r="B64" s="125" t="s">
        <v>323</v>
      </c>
      <c r="C64" s="126"/>
      <c r="D64" s="17" t="s">
        <v>324</v>
      </c>
      <c r="E64" s="10" t="s">
        <v>297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18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18">
        <f t="shared" si="1"/>
        <v>24775.9864999999</v>
      </c>
      <c r="V64" s="85"/>
      <c r="W64" s="85">
        <f>52776.63</f>
        <v>52776.63</v>
      </c>
      <c r="X64" s="85">
        <v>52776.63</v>
      </c>
      <c r="Y64" s="118">
        <f t="shared" si="2"/>
        <v>0</v>
      </c>
      <c r="Z64" s="85"/>
      <c r="AA64" s="85"/>
      <c r="AB64" s="85"/>
    </row>
    <row r="65" customHeight="1" spans="1:28">
      <c r="A65" s="49">
        <v>2</v>
      </c>
      <c r="B65" s="125" t="s">
        <v>325</v>
      </c>
      <c r="C65" s="126"/>
      <c r="D65" s="17" t="s">
        <v>326</v>
      </c>
      <c r="E65" s="119" t="s">
        <v>952</v>
      </c>
      <c r="F65" s="118">
        <v>31018.84</v>
      </c>
      <c r="G65" s="118"/>
      <c r="H65" s="118">
        <f t="shared" si="51"/>
        <v>93056.52</v>
      </c>
      <c r="I65" s="118">
        <f t="shared" si="52"/>
        <v>2326.413</v>
      </c>
      <c r="J65" s="118">
        <v>40122.19</v>
      </c>
      <c r="K65" s="118">
        <f t="shared" si="53"/>
        <v>15509.42</v>
      </c>
      <c r="L65" s="118">
        <f t="shared" si="54"/>
        <v>108565.94</v>
      </c>
      <c r="M65" s="118">
        <f t="shared" si="55"/>
        <v>31018.84</v>
      </c>
      <c r="N65" s="44">
        <f>160000</f>
        <v>160000</v>
      </c>
      <c r="O65" s="44"/>
      <c r="P65" s="118">
        <f t="shared" si="56"/>
        <v>3101.884</v>
      </c>
      <c r="Q65" s="118">
        <v>20000</v>
      </c>
      <c r="R65" s="153">
        <v>0</v>
      </c>
      <c r="S65" s="118">
        <f t="shared" ref="S65:S75" si="57">SUM(F65:R65)</f>
        <v>504720.047</v>
      </c>
      <c r="T65" s="118">
        <v>504720.047</v>
      </c>
      <c r="U65" s="118">
        <f t="shared" si="1"/>
        <v>0</v>
      </c>
      <c r="V65" s="118"/>
      <c r="W65" s="118">
        <f>15548.33</f>
        <v>15548.33</v>
      </c>
      <c r="X65" s="118">
        <v>15548.33</v>
      </c>
      <c r="Y65" s="118">
        <f t="shared" si="2"/>
        <v>0</v>
      </c>
      <c r="Z65" s="85"/>
      <c r="AA65" s="118"/>
      <c r="AB65" s="118"/>
    </row>
    <row r="66" customHeight="1" spans="1:28">
      <c r="A66" s="49">
        <v>3</v>
      </c>
      <c r="B66" s="125" t="s">
        <v>1209</v>
      </c>
      <c r="C66" s="126"/>
      <c r="D66" s="4" t="s">
        <v>353</v>
      </c>
      <c r="E66" s="10" t="s">
        <v>263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18">
        <f t="shared" si="57"/>
        <v>376663.0775</v>
      </c>
      <c r="T66" s="118">
        <v>369177.65375</v>
      </c>
      <c r="U66" s="118">
        <f t="shared" si="1"/>
        <v>7485.42374999996</v>
      </c>
      <c r="V66" s="85"/>
      <c r="W66" s="85">
        <v>7709.76</v>
      </c>
      <c r="X66" s="85">
        <v>7709.76</v>
      </c>
      <c r="Y66" s="118">
        <f t="shared" si="2"/>
        <v>0</v>
      </c>
      <c r="Z66" s="85"/>
      <c r="AA66" s="118"/>
      <c r="AB66" s="118"/>
    </row>
    <row r="67" customHeight="1" spans="1:28">
      <c r="A67" s="49">
        <v>4</v>
      </c>
      <c r="B67" s="125" t="s">
        <v>328</v>
      </c>
      <c r="C67" s="126"/>
      <c r="D67" s="43" t="s">
        <v>46</v>
      </c>
      <c r="E67" s="10" t="s">
        <v>950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18">
        <f t="shared" si="1"/>
        <v>7800.03449999995</v>
      </c>
      <c r="V67" s="85"/>
      <c r="W67" s="85">
        <f>7709.76</f>
        <v>7709.76</v>
      </c>
      <c r="X67" s="85">
        <v>7709.76</v>
      </c>
      <c r="Y67" s="118">
        <f t="shared" si="2"/>
        <v>0</v>
      </c>
      <c r="Z67" s="85"/>
      <c r="AA67" s="85"/>
      <c r="AB67" s="85"/>
    </row>
    <row r="68" customHeight="1" spans="1:28">
      <c r="A68" s="49">
        <v>5</v>
      </c>
      <c r="B68" s="125" t="s">
        <v>1210</v>
      </c>
      <c r="C68" s="126"/>
      <c r="D68" s="17" t="s">
        <v>46</v>
      </c>
      <c r="E68" s="119" t="s">
        <v>1162</v>
      </c>
      <c r="F68" s="118">
        <f>23891.12</f>
        <v>23891.12</v>
      </c>
      <c r="G68" s="118"/>
      <c r="H68" s="118">
        <f t="shared" si="51"/>
        <v>71673.36</v>
      </c>
      <c r="I68" s="118">
        <f t="shared" si="52"/>
        <v>1791.834</v>
      </c>
      <c r="J68" s="118">
        <v>0</v>
      </c>
      <c r="K68" s="118">
        <f t="shared" si="53"/>
        <v>11945.56</v>
      </c>
      <c r="L68" s="118">
        <f t="shared" si="54"/>
        <v>83618.92</v>
      </c>
      <c r="M68" s="118">
        <f t="shared" si="55"/>
        <v>23891.12</v>
      </c>
      <c r="N68" s="44">
        <f t="shared" si="58"/>
        <v>120000</v>
      </c>
      <c r="O68" s="44"/>
      <c r="P68" s="118">
        <f t="shared" si="56"/>
        <v>2389.112</v>
      </c>
      <c r="Q68" s="118">
        <v>15000</v>
      </c>
      <c r="R68" s="118">
        <v>0</v>
      </c>
      <c r="S68" s="118">
        <f t="shared" si="57"/>
        <v>354201.026</v>
      </c>
      <c r="T68" s="118">
        <v>346713.03325</v>
      </c>
      <c r="U68" s="118">
        <f t="shared" si="1"/>
        <v>7487.99275000003</v>
      </c>
      <c r="V68" s="118"/>
      <c r="W68" s="118">
        <v>7709.76</v>
      </c>
      <c r="X68" s="118">
        <v>7709.76</v>
      </c>
      <c r="Y68" s="118">
        <f t="shared" si="2"/>
        <v>0</v>
      </c>
      <c r="Z68" s="85"/>
      <c r="AA68" s="118"/>
      <c r="AB68" s="118"/>
    </row>
    <row r="69" customHeight="1" spans="1:28">
      <c r="A69" s="49">
        <v>6</v>
      </c>
      <c r="B69" s="52" t="s">
        <v>330</v>
      </c>
      <c r="C69" s="54"/>
      <c r="D69" s="17" t="s">
        <v>256</v>
      </c>
      <c r="E69" s="119" t="s">
        <v>342</v>
      </c>
      <c r="F69" s="118">
        <f>26732.65</f>
        <v>26732.65</v>
      </c>
      <c r="G69" s="118"/>
      <c r="H69" s="118">
        <f t="shared" si="51"/>
        <v>80197.95</v>
      </c>
      <c r="I69" s="118">
        <f t="shared" si="52"/>
        <v>2004.94875</v>
      </c>
      <c r="J69" s="118"/>
      <c r="K69" s="118">
        <f t="shared" si="53"/>
        <v>13366.325</v>
      </c>
      <c r="L69" s="118">
        <f t="shared" si="54"/>
        <v>93564.275</v>
      </c>
      <c r="M69" s="118">
        <f t="shared" si="55"/>
        <v>26732.65</v>
      </c>
      <c r="N69" s="44">
        <f>140000</f>
        <v>140000</v>
      </c>
      <c r="O69" s="44"/>
      <c r="P69" s="118">
        <f t="shared" si="56"/>
        <v>2673.265</v>
      </c>
      <c r="Q69" s="118">
        <v>20000</v>
      </c>
      <c r="R69" s="118"/>
      <c r="S69" s="118">
        <f t="shared" si="57"/>
        <v>405272.06375</v>
      </c>
      <c r="T69" s="118">
        <v>397211.3675</v>
      </c>
      <c r="U69" s="118">
        <f t="shared" si="1"/>
        <v>8060.69624999998</v>
      </c>
      <c r="V69" s="118"/>
      <c r="W69" s="118">
        <f>7709.76</f>
        <v>7709.76</v>
      </c>
      <c r="X69" s="118">
        <v>7709.76</v>
      </c>
      <c r="Y69" s="118">
        <f t="shared" si="2"/>
        <v>0</v>
      </c>
      <c r="Z69" s="85"/>
      <c r="AA69" s="118"/>
      <c r="AB69" s="118"/>
    </row>
    <row r="70" customHeight="1" spans="1:28">
      <c r="A70" s="49">
        <v>7</v>
      </c>
      <c r="B70" s="125" t="s">
        <v>331</v>
      </c>
      <c r="C70" s="126"/>
      <c r="D70" s="4" t="s">
        <v>63</v>
      </c>
      <c r="E70" s="10" t="s">
        <v>1170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18">
        <f t="shared" si="57"/>
        <v>291432.1385</v>
      </c>
      <c r="T70" s="118">
        <v>291432.1385</v>
      </c>
      <c r="U70" s="118">
        <f t="shared" si="1"/>
        <v>0</v>
      </c>
      <c r="V70" s="85"/>
      <c r="W70" s="85">
        <v>3369.51</v>
      </c>
      <c r="X70" s="85">
        <v>3369.51</v>
      </c>
      <c r="Y70" s="118">
        <f t="shared" si="2"/>
        <v>0</v>
      </c>
      <c r="Z70" s="85"/>
      <c r="AA70" s="118"/>
      <c r="AB70" s="118"/>
    </row>
    <row r="71" customHeight="1" spans="1:28">
      <c r="A71" s="49">
        <v>8</v>
      </c>
      <c r="B71" s="117" t="s">
        <v>1033</v>
      </c>
      <c r="C71" s="117"/>
      <c r="D71" s="17" t="s">
        <v>63</v>
      </c>
      <c r="E71" s="119" t="s">
        <v>332</v>
      </c>
      <c r="F71" s="118">
        <f>21520.88</f>
        <v>21520.88</v>
      </c>
      <c r="G71" s="118"/>
      <c r="H71" s="118">
        <f t="shared" si="51"/>
        <v>64562.64</v>
      </c>
      <c r="I71" s="118">
        <f t="shared" si="52"/>
        <v>1614.066</v>
      </c>
      <c r="J71" s="118">
        <v>0</v>
      </c>
      <c r="K71" s="118">
        <f t="shared" si="53"/>
        <v>10760.44</v>
      </c>
      <c r="L71" s="118">
        <f t="shared" si="54"/>
        <v>75323.08</v>
      </c>
      <c r="M71" s="118">
        <f t="shared" si="55"/>
        <v>21520.88</v>
      </c>
      <c r="N71" s="44">
        <f>110000</f>
        <v>110000</v>
      </c>
      <c r="O71" s="44"/>
      <c r="P71" s="118">
        <f t="shared" si="56"/>
        <v>2152.088</v>
      </c>
      <c r="Q71" s="118">
        <v>15000</v>
      </c>
      <c r="R71" s="118">
        <v>0</v>
      </c>
      <c r="S71" s="118">
        <f t="shared" si="57"/>
        <v>322454.074</v>
      </c>
      <c r="T71" s="118">
        <v>315372.075</v>
      </c>
      <c r="U71" s="118">
        <f t="shared" si="1"/>
        <v>7081.99900000001</v>
      </c>
      <c r="V71" s="118"/>
      <c r="W71" s="118">
        <f>3369.51</f>
        <v>3369.51</v>
      </c>
      <c r="X71" s="118">
        <v>3369.51</v>
      </c>
      <c r="Y71" s="118">
        <f t="shared" si="2"/>
        <v>0</v>
      </c>
      <c r="Z71" s="85"/>
      <c r="AA71" s="118"/>
      <c r="AB71" s="118"/>
    </row>
    <row r="72" customHeight="1" spans="1:28">
      <c r="A72" s="49">
        <v>9</v>
      </c>
      <c r="B72" s="115" t="s">
        <v>335</v>
      </c>
      <c r="C72" s="116"/>
      <c r="D72" s="43" t="s">
        <v>344</v>
      </c>
      <c r="E72" s="49" t="s">
        <v>432</v>
      </c>
      <c r="F72" s="118">
        <f>18779.3</f>
        <v>18779.3</v>
      </c>
      <c r="G72" s="118"/>
      <c r="H72" s="118">
        <f t="shared" si="51"/>
        <v>56337.9</v>
      </c>
      <c r="I72" s="118">
        <f t="shared" si="52"/>
        <v>1408.4475</v>
      </c>
      <c r="J72" s="118"/>
      <c r="K72" s="118">
        <f t="shared" si="53"/>
        <v>9389.65</v>
      </c>
      <c r="L72" s="118">
        <f t="shared" si="54"/>
        <v>65727.55</v>
      </c>
      <c r="M72" s="118">
        <f t="shared" si="55"/>
        <v>18779.3</v>
      </c>
      <c r="N72" s="44">
        <f t="shared" ref="N72:N75" si="59">100000</f>
        <v>100000</v>
      </c>
      <c r="O72" s="44"/>
      <c r="P72" s="118">
        <f t="shared" si="56"/>
        <v>1877.93</v>
      </c>
      <c r="Q72" s="118">
        <v>10000</v>
      </c>
      <c r="R72" s="118"/>
      <c r="S72" s="118">
        <f t="shared" si="57"/>
        <v>282300.0775</v>
      </c>
      <c r="T72" s="118">
        <v>277734.047</v>
      </c>
      <c r="U72" s="118">
        <f t="shared" si="1"/>
        <v>4566.03049999994</v>
      </c>
      <c r="V72" s="118"/>
      <c r="W72" s="118">
        <v>3369.51</v>
      </c>
      <c r="X72" s="118">
        <v>3369.51</v>
      </c>
      <c r="Y72" s="118">
        <f t="shared" si="2"/>
        <v>0</v>
      </c>
      <c r="Z72" s="85"/>
      <c r="AA72" s="118"/>
      <c r="AB72" s="118"/>
    </row>
    <row r="73" customHeight="1" spans="1:28">
      <c r="A73" s="49">
        <v>10</v>
      </c>
      <c r="B73" s="125" t="s">
        <v>1115</v>
      </c>
      <c r="C73" s="126"/>
      <c r="D73" s="17" t="s">
        <v>63</v>
      </c>
      <c r="E73" s="49" t="s">
        <v>37</v>
      </c>
      <c r="F73" s="118">
        <f>17286.33</f>
        <v>17286.33</v>
      </c>
      <c r="G73" s="118"/>
      <c r="H73" s="118">
        <f t="shared" si="51"/>
        <v>51858.99</v>
      </c>
      <c r="I73" s="118">
        <f t="shared" si="52"/>
        <v>1296.47475</v>
      </c>
      <c r="J73" s="118"/>
      <c r="K73" s="118">
        <f t="shared" si="53"/>
        <v>8643.165</v>
      </c>
      <c r="L73" s="118">
        <f t="shared" si="54"/>
        <v>60502.155</v>
      </c>
      <c r="M73" s="118">
        <f t="shared" si="55"/>
        <v>17286.33</v>
      </c>
      <c r="N73" s="44">
        <f t="shared" si="59"/>
        <v>100000</v>
      </c>
      <c r="O73" s="44"/>
      <c r="P73" s="118">
        <f t="shared" si="56"/>
        <v>1728.633</v>
      </c>
      <c r="Q73" s="118">
        <v>10000</v>
      </c>
      <c r="R73" s="118"/>
      <c r="S73" s="118">
        <f t="shared" si="57"/>
        <v>268602.07775</v>
      </c>
      <c r="T73" s="118">
        <v>268602.07775</v>
      </c>
      <c r="U73" s="118">
        <f t="shared" si="1"/>
        <v>0</v>
      </c>
      <c r="V73" s="118"/>
      <c r="W73" s="118">
        <v>3369.51</v>
      </c>
      <c r="X73" s="118">
        <v>3369.51</v>
      </c>
      <c r="Y73" s="118">
        <f t="shared" si="2"/>
        <v>0</v>
      </c>
      <c r="Z73" s="85"/>
      <c r="AA73" s="118"/>
      <c r="AB73" s="118"/>
    </row>
    <row r="74" customHeight="1" spans="1:28">
      <c r="A74" s="49">
        <v>11</v>
      </c>
      <c r="B74" s="125" t="s">
        <v>281</v>
      </c>
      <c r="C74" s="126"/>
      <c r="D74" s="17" t="s">
        <v>273</v>
      </c>
      <c r="E74" s="49" t="s">
        <v>30</v>
      </c>
      <c r="F74" s="118">
        <f>12351.94</f>
        <v>12351.94</v>
      </c>
      <c r="G74" s="118"/>
      <c r="H74" s="118">
        <f t="shared" si="51"/>
        <v>37055.82</v>
      </c>
      <c r="I74" s="118">
        <f t="shared" si="52"/>
        <v>926.3955</v>
      </c>
      <c r="J74" s="118"/>
      <c r="K74" s="118">
        <f t="shared" si="53"/>
        <v>6175.97</v>
      </c>
      <c r="L74" s="118">
        <f t="shared" si="54"/>
        <v>43231.79</v>
      </c>
      <c r="M74" s="118">
        <f t="shared" si="55"/>
        <v>12351.94</v>
      </c>
      <c r="N74" s="44">
        <f t="shared" si="59"/>
        <v>100000</v>
      </c>
      <c r="O74" s="44"/>
      <c r="P74" s="118">
        <f t="shared" si="56"/>
        <v>1235.194</v>
      </c>
      <c r="Q74" s="118">
        <v>10000</v>
      </c>
      <c r="R74" s="118"/>
      <c r="S74" s="118">
        <f t="shared" si="57"/>
        <v>223329.0495</v>
      </c>
      <c r="T74" s="118">
        <v>223329.0495</v>
      </c>
      <c r="U74" s="118">
        <f t="shared" ref="U74:U137" si="60">S74-T74</f>
        <v>0</v>
      </c>
      <c r="V74" s="118"/>
      <c r="W74" s="118">
        <v>1484.37</v>
      </c>
      <c r="X74" s="118">
        <v>1484.37</v>
      </c>
      <c r="Y74" s="118">
        <f t="shared" ref="Y74:Y137" si="61">X74-W74</f>
        <v>0</v>
      </c>
      <c r="Z74" s="85"/>
      <c r="AA74" s="118"/>
      <c r="AB74" s="118"/>
    </row>
    <row r="75" customHeight="1" spans="1:28">
      <c r="A75" s="49">
        <v>12</v>
      </c>
      <c r="B75" s="52" t="s">
        <v>272</v>
      </c>
      <c r="C75" s="54"/>
      <c r="D75" s="17" t="s">
        <v>273</v>
      </c>
      <c r="E75" s="49" t="s">
        <v>30</v>
      </c>
      <c r="F75" s="118">
        <f>12351.94</f>
        <v>12351.94</v>
      </c>
      <c r="G75" s="118"/>
      <c r="H75" s="118">
        <f t="shared" si="51"/>
        <v>37055.82</v>
      </c>
      <c r="I75" s="118">
        <f t="shared" si="52"/>
        <v>926.3955</v>
      </c>
      <c r="J75" s="118"/>
      <c r="K75" s="118">
        <f t="shared" si="53"/>
        <v>6175.97</v>
      </c>
      <c r="L75" s="118">
        <f t="shared" si="54"/>
        <v>43231.79</v>
      </c>
      <c r="M75" s="118">
        <f t="shared" si="55"/>
        <v>12351.94</v>
      </c>
      <c r="N75" s="44">
        <f t="shared" si="59"/>
        <v>100000</v>
      </c>
      <c r="O75" s="44"/>
      <c r="P75" s="118">
        <f t="shared" si="56"/>
        <v>1235.194</v>
      </c>
      <c r="Q75" s="118">
        <v>10000</v>
      </c>
      <c r="R75" s="118"/>
      <c r="S75" s="118">
        <f t="shared" si="57"/>
        <v>223329.0495</v>
      </c>
      <c r="T75" s="118">
        <v>223329.0495</v>
      </c>
      <c r="U75" s="118">
        <f t="shared" si="60"/>
        <v>0</v>
      </c>
      <c r="V75" s="118"/>
      <c r="W75" s="118">
        <v>1484.37</v>
      </c>
      <c r="X75" s="118">
        <v>1484.37</v>
      </c>
      <c r="Y75" s="118">
        <f t="shared" si="61"/>
        <v>0</v>
      </c>
      <c r="Z75" s="85"/>
      <c r="AA75" s="118"/>
      <c r="AB75" s="118"/>
    </row>
    <row r="76" customHeight="1" spans="1:28">
      <c r="A76" s="49"/>
      <c r="B76" s="143" t="s">
        <v>33</v>
      </c>
      <c r="C76" s="14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48">
        <f t="shared" si="62"/>
        <v>1470000</v>
      </c>
      <c r="O76" s="14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54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18">
        <f t="shared" si="61"/>
        <v>0</v>
      </c>
      <c r="Z76" s="93"/>
      <c r="AA76" s="93"/>
      <c r="AB76" s="93"/>
    </row>
    <row r="77" customHeight="1" spans="1:28">
      <c r="A77" s="49"/>
      <c r="B77" s="143"/>
      <c r="C77" s="144"/>
      <c r="D77" s="21"/>
      <c r="E77" s="21"/>
      <c r="F77" s="146"/>
      <c r="G77" s="146"/>
      <c r="H77" s="146"/>
      <c r="I77" s="146"/>
      <c r="J77" s="146"/>
      <c r="K77" s="146"/>
      <c r="L77" s="146"/>
      <c r="M77" s="146"/>
      <c r="N77" s="44"/>
      <c r="O77" s="44"/>
      <c r="P77" s="146"/>
      <c r="Q77" s="146"/>
      <c r="R77" s="146"/>
      <c r="S77" s="146"/>
      <c r="T77" s="146"/>
      <c r="U77" s="118">
        <f t="shared" si="60"/>
        <v>0</v>
      </c>
      <c r="V77" s="146"/>
      <c r="W77" s="146"/>
      <c r="X77" s="146"/>
      <c r="Y77" s="118">
        <f t="shared" si="61"/>
        <v>0</v>
      </c>
      <c r="Z77" s="146"/>
      <c r="AA77" s="146"/>
      <c r="AB77" s="146"/>
    </row>
    <row r="78" customHeight="1" spans="1:28">
      <c r="A78" s="49"/>
      <c r="B78" s="143" t="s">
        <v>1171</v>
      </c>
      <c r="C78" s="144"/>
      <c r="D78" s="21"/>
      <c r="E78" s="21"/>
      <c r="F78" s="146"/>
      <c r="G78" s="146"/>
      <c r="H78" s="146"/>
      <c r="I78" s="146"/>
      <c r="J78" s="146"/>
      <c r="K78" s="146"/>
      <c r="L78" s="146"/>
      <c r="M78" s="146"/>
      <c r="N78" s="44"/>
      <c r="O78" s="44"/>
      <c r="P78" s="146"/>
      <c r="Q78" s="146"/>
      <c r="R78" s="146"/>
      <c r="S78" s="146"/>
      <c r="T78" s="146"/>
      <c r="U78" s="118">
        <f t="shared" si="60"/>
        <v>0</v>
      </c>
      <c r="V78" s="146"/>
      <c r="W78" s="146"/>
      <c r="X78" s="146"/>
      <c r="Y78" s="118">
        <f t="shared" si="61"/>
        <v>0</v>
      </c>
      <c r="Z78" s="146"/>
      <c r="AA78" s="146"/>
      <c r="AB78" s="146"/>
    </row>
    <row r="79" customHeight="1" spans="1:28">
      <c r="A79" s="49">
        <v>1</v>
      </c>
      <c r="B79" s="115" t="s">
        <v>338</v>
      </c>
      <c r="C79" s="116"/>
      <c r="D79" s="43" t="s">
        <v>339</v>
      </c>
      <c r="E79" s="49" t="s">
        <v>297</v>
      </c>
      <c r="F79" s="118">
        <f>81740.02</f>
        <v>81740.02</v>
      </c>
      <c r="G79" s="118"/>
      <c r="H79" s="118">
        <f t="shared" ref="H79:H85" si="64">F79*300%</f>
        <v>245220.06</v>
      </c>
      <c r="I79" s="118">
        <f t="shared" ref="I79:I85" si="65">F79*7.5%</f>
        <v>6130.5015</v>
      </c>
      <c r="J79" s="118">
        <v>80244.38</v>
      </c>
      <c r="K79" s="118">
        <f>F79*50%</f>
        <v>40870.01</v>
      </c>
      <c r="L79" s="118">
        <f t="shared" ref="L79:L85" si="66">F79*350%</f>
        <v>286090.07</v>
      </c>
      <c r="M79" s="118">
        <f>F79*100%</f>
        <v>81740.02</v>
      </c>
      <c r="N79" s="44">
        <f>200000</f>
        <v>200000</v>
      </c>
      <c r="O79" s="44"/>
      <c r="P79" s="118">
        <f>F79*10%</f>
        <v>8174.002</v>
      </c>
      <c r="Q79" s="118">
        <v>20000</v>
      </c>
      <c r="R79" s="118">
        <v>0</v>
      </c>
      <c r="S79" s="118">
        <f>SUM(F79:R79)</f>
        <v>1050209.0635</v>
      </c>
      <c r="T79" s="118">
        <v>1050209.0635</v>
      </c>
      <c r="U79" s="118">
        <f t="shared" si="60"/>
        <v>0</v>
      </c>
      <c r="V79" s="118"/>
      <c r="W79" s="118">
        <v>52776.63</v>
      </c>
      <c r="X79" s="118">
        <v>52776.63</v>
      </c>
      <c r="Y79" s="118">
        <f t="shared" si="61"/>
        <v>0</v>
      </c>
      <c r="Z79" s="118"/>
      <c r="AA79" s="118"/>
      <c r="AB79" s="118"/>
    </row>
    <row r="80" customHeight="1" spans="1:28">
      <c r="A80" s="49">
        <v>2</v>
      </c>
      <c r="B80" s="46" t="s">
        <v>220</v>
      </c>
      <c r="D80" s="46" t="s">
        <v>221</v>
      </c>
      <c r="E80" s="119" t="s">
        <v>952</v>
      </c>
      <c r="F80" s="118">
        <v>31018.84</v>
      </c>
      <c r="G80" s="118"/>
      <c r="H80" s="118">
        <f t="shared" si="64"/>
        <v>93056.52</v>
      </c>
      <c r="I80" s="118">
        <f t="shared" si="65"/>
        <v>2326.413</v>
      </c>
      <c r="J80" s="118">
        <v>40122.19</v>
      </c>
      <c r="K80" s="118">
        <f t="shared" ref="K80:K82" si="67">F80*50%</f>
        <v>15509.42</v>
      </c>
      <c r="L80" s="118">
        <f t="shared" si="66"/>
        <v>108565.94</v>
      </c>
      <c r="M80" s="118">
        <f t="shared" ref="M80:M82" si="68">F80*100%</f>
        <v>31018.84</v>
      </c>
      <c r="N80" s="44">
        <f>160000</f>
        <v>160000</v>
      </c>
      <c r="O80" s="44"/>
      <c r="P80" s="118">
        <f t="shared" ref="P80:P82" si="69">F80*10%</f>
        <v>3101.884</v>
      </c>
      <c r="Q80" s="118">
        <v>20000</v>
      </c>
      <c r="R80" s="153">
        <v>0</v>
      </c>
      <c r="S80" s="118">
        <f t="shared" ref="S80:S82" si="70">SUM(F80:R80)</f>
        <v>504720.047</v>
      </c>
      <c r="T80" s="118">
        <v>504720.047</v>
      </c>
      <c r="U80" s="118">
        <f t="shared" si="60"/>
        <v>0</v>
      </c>
      <c r="V80" s="118"/>
      <c r="W80" s="118">
        <f t="shared" ref="W80:W81" si="71">15548.33</f>
        <v>15548.33</v>
      </c>
      <c r="X80" s="118">
        <v>15548.33</v>
      </c>
      <c r="Y80" s="118">
        <f t="shared" si="61"/>
        <v>0</v>
      </c>
      <c r="Z80" s="118"/>
      <c r="AA80" s="118"/>
      <c r="AB80" s="118"/>
    </row>
    <row r="81" customHeight="1" spans="1:28">
      <c r="A81" s="49">
        <v>3</v>
      </c>
      <c r="B81" s="46" t="s">
        <v>1116</v>
      </c>
      <c r="D81" s="46" t="s">
        <v>1117</v>
      </c>
      <c r="E81" s="119" t="s">
        <v>952</v>
      </c>
      <c r="F81" s="118">
        <v>31018.84</v>
      </c>
      <c r="G81" s="118"/>
      <c r="H81" s="118">
        <f t="shared" si="64"/>
        <v>93056.52</v>
      </c>
      <c r="I81" s="118">
        <f t="shared" si="65"/>
        <v>2326.413</v>
      </c>
      <c r="J81" s="118">
        <v>40122.19</v>
      </c>
      <c r="K81" s="118">
        <f t="shared" si="67"/>
        <v>15509.42</v>
      </c>
      <c r="L81" s="118">
        <f t="shared" si="66"/>
        <v>108565.94</v>
      </c>
      <c r="M81" s="118">
        <f t="shared" si="68"/>
        <v>31018.84</v>
      </c>
      <c r="N81" s="44">
        <f>160000</f>
        <v>160000</v>
      </c>
      <c r="O81" s="44"/>
      <c r="P81" s="118">
        <f t="shared" si="69"/>
        <v>3101.884</v>
      </c>
      <c r="Q81" s="118">
        <v>20000</v>
      </c>
      <c r="R81" s="153">
        <v>0</v>
      </c>
      <c r="S81" s="118">
        <f t="shared" si="70"/>
        <v>504720.047</v>
      </c>
      <c r="T81" s="118">
        <v>504720.047</v>
      </c>
      <c r="U81" s="118">
        <f t="shared" si="60"/>
        <v>0</v>
      </c>
      <c r="V81" s="118"/>
      <c r="W81" s="118">
        <f t="shared" si="71"/>
        <v>15548.33</v>
      </c>
      <c r="X81" s="118">
        <v>15548.33</v>
      </c>
      <c r="Y81" s="118">
        <f t="shared" si="61"/>
        <v>0</v>
      </c>
      <c r="Z81" s="118"/>
      <c r="AA81" s="118"/>
      <c r="AB81" s="118"/>
    </row>
    <row r="82" customHeight="1" spans="1:28">
      <c r="A82" s="49">
        <v>4</v>
      </c>
      <c r="B82" s="115" t="s">
        <v>1211</v>
      </c>
      <c r="C82" s="116"/>
      <c r="D82" s="43" t="s">
        <v>353</v>
      </c>
      <c r="E82" s="119" t="s">
        <v>950</v>
      </c>
      <c r="F82" s="118">
        <f>24741.26</f>
        <v>24741.26</v>
      </c>
      <c r="G82" s="118"/>
      <c r="H82" s="118">
        <f t="shared" si="64"/>
        <v>74223.78</v>
      </c>
      <c r="I82" s="118">
        <f t="shared" si="65"/>
        <v>1855.5945</v>
      </c>
      <c r="J82" s="118">
        <v>0</v>
      </c>
      <c r="K82" s="118">
        <f t="shared" si="67"/>
        <v>12370.63</v>
      </c>
      <c r="L82" s="118">
        <f t="shared" si="66"/>
        <v>86594.41</v>
      </c>
      <c r="M82" s="118">
        <f t="shared" si="68"/>
        <v>24741.26</v>
      </c>
      <c r="N82" s="44">
        <f>120000</f>
        <v>120000</v>
      </c>
      <c r="O82" s="44"/>
      <c r="P82" s="118">
        <f t="shared" si="69"/>
        <v>2474.126</v>
      </c>
      <c r="Q82" s="118">
        <v>15000</v>
      </c>
      <c r="R82" s="118">
        <v>0</v>
      </c>
      <c r="S82" s="118">
        <f t="shared" si="70"/>
        <v>362001.0605</v>
      </c>
      <c r="T82" s="118">
        <v>354201.026</v>
      </c>
      <c r="U82" s="118">
        <f t="shared" si="60"/>
        <v>7800.03449999995</v>
      </c>
      <c r="V82" s="118"/>
      <c r="W82" s="118">
        <f>7709.76</f>
        <v>7709.76</v>
      </c>
      <c r="X82" s="118">
        <v>7709.76</v>
      </c>
      <c r="Y82" s="118">
        <f t="shared" si="61"/>
        <v>0</v>
      </c>
      <c r="Z82" s="118"/>
      <c r="AA82" s="118"/>
      <c r="AB82" s="118"/>
    </row>
    <row r="83" customHeight="1" spans="1:28">
      <c r="A83" s="49">
        <v>5</v>
      </c>
      <c r="B83" s="115" t="s">
        <v>343</v>
      </c>
      <c r="C83" s="116"/>
      <c r="D83" s="43" t="s">
        <v>344</v>
      </c>
      <c r="E83" s="49" t="s">
        <v>37</v>
      </c>
      <c r="F83" s="118">
        <f t="shared" ref="F83" si="72">17286.33</f>
        <v>17286.33</v>
      </c>
      <c r="G83" s="118"/>
      <c r="H83" s="118">
        <f t="shared" si="64"/>
        <v>51858.99</v>
      </c>
      <c r="I83" s="118">
        <f t="shared" si="65"/>
        <v>1296.47475</v>
      </c>
      <c r="J83" s="118"/>
      <c r="K83" s="118">
        <f t="shared" ref="K83:K85" si="73">F83*50%</f>
        <v>8643.165</v>
      </c>
      <c r="L83" s="118">
        <f t="shared" si="66"/>
        <v>60502.155</v>
      </c>
      <c r="M83" s="118">
        <f t="shared" ref="M83:M85" si="74">F83*100%</f>
        <v>17286.33</v>
      </c>
      <c r="N83" s="44">
        <f>100000</f>
        <v>100000</v>
      </c>
      <c r="O83" s="44"/>
      <c r="P83" s="118">
        <f t="shared" ref="P83:P85" si="75">F83*10%</f>
        <v>1728.633</v>
      </c>
      <c r="Q83" s="118">
        <v>10000</v>
      </c>
      <c r="R83" s="118"/>
      <c r="S83" s="118">
        <f t="shared" ref="S83:S85" si="76">SUM(F83:R83)</f>
        <v>268602.07775</v>
      </c>
      <c r="T83" s="118">
        <v>268602.07775</v>
      </c>
      <c r="U83" s="118">
        <f t="shared" si="60"/>
        <v>0</v>
      </c>
      <c r="V83" s="118"/>
      <c r="W83" s="118">
        <v>3369.51</v>
      </c>
      <c r="X83" s="118">
        <v>3369.51</v>
      </c>
      <c r="Y83" s="118">
        <f t="shared" si="61"/>
        <v>0</v>
      </c>
      <c r="Z83" s="118"/>
      <c r="AA83" s="118"/>
      <c r="AB83" s="118"/>
    </row>
    <row r="84" customHeight="1" spans="1:28">
      <c r="A84" s="49">
        <v>6</v>
      </c>
      <c r="B84" s="115" t="s">
        <v>284</v>
      </c>
      <c r="C84" s="116"/>
      <c r="D84" s="43" t="s">
        <v>1022</v>
      </c>
      <c r="E84" s="49" t="s">
        <v>291</v>
      </c>
      <c r="F84" s="118">
        <f>13112.16</f>
        <v>13112.16</v>
      </c>
      <c r="G84" s="118"/>
      <c r="H84" s="118">
        <f t="shared" si="64"/>
        <v>39336.48</v>
      </c>
      <c r="I84" s="118">
        <f t="shared" si="65"/>
        <v>983.412</v>
      </c>
      <c r="J84" s="118"/>
      <c r="K84" s="118">
        <f t="shared" si="73"/>
        <v>6556.08</v>
      </c>
      <c r="L84" s="118">
        <f t="shared" si="66"/>
        <v>45892.56</v>
      </c>
      <c r="M84" s="118">
        <f t="shared" si="74"/>
        <v>13112.16</v>
      </c>
      <c r="N84" s="44">
        <f t="shared" ref="N84:N85" si="77">100000</f>
        <v>100000</v>
      </c>
      <c r="O84" s="44"/>
      <c r="P84" s="118">
        <f t="shared" si="75"/>
        <v>1311.216</v>
      </c>
      <c r="Q84" s="118">
        <v>10000</v>
      </c>
      <c r="R84" s="118"/>
      <c r="S84" s="118">
        <f t="shared" si="76"/>
        <v>230304.068</v>
      </c>
      <c r="T84" s="118">
        <v>226816.1</v>
      </c>
      <c r="U84" s="118">
        <f t="shared" si="60"/>
        <v>3487.96799999999</v>
      </c>
      <c r="V84" s="118"/>
      <c r="W84" s="118">
        <v>1484.37</v>
      </c>
      <c r="X84" s="118">
        <v>1484.37</v>
      </c>
      <c r="Y84" s="118">
        <f t="shared" si="61"/>
        <v>0</v>
      </c>
      <c r="Z84" s="118"/>
      <c r="AA84" s="118"/>
      <c r="AB84" s="118"/>
    </row>
    <row r="85" customHeight="1" spans="1:28">
      <c r="A85" s="49">
        <v>7</v>
      </c>
      <c r="B85" s="115" t="s">
        <v>289</v>
      </c>
      <c r="C85" s="116"/>
      <c r="D85" s="43" t="s">
        <v>1131</v>
      </c>
      <c r="E85" s="49" t="s">
        <v>30</v>
      </c>
      <c r="F85" s="118">
        <f>12351.94</f>
        <v>12351.94</v>
      </c>
      <c r="G85" s="118"/>
      <c r="H85" s="118">
        <f t="shared" si="64"/>
        <v>37055.82</v>
      </c>
      <c r="I85" s="118">
        <f t="shared" si="65"/>
        <v>926.3955</v>
      </c>
      <c r="J85" s="118"/>
      <c r="K85" s="118">
        <f t="shared" si="73"/>
        <v>6175.97</v>
      </c>
      <c r="L85" s="118">
        <f t="shared" si="66"/>
        <v>43231.79</v>
      </c>
      <c r="M85" s="118">
        <f t="shared" si="74"/>
        <v>12351.94</v>
      </c>
      <c r="N85" s="44">
        <f t="shared" si="77"/>
        <v>100000</v>
      </c>
      <c r="O85" s="44"/>
      <c r="P85" s="118">
        <f t="shared" si="75"/>
        <v>1235.194</v>
      </c>
      <c r="Q85" s="118">
        <v>10000</v>
      </c>
      <c r="R85" s="118"/>
      <c r="S85" s="118">
        <f t="shared" si="76"/>
        <v>223329.0495</v>
      </c>
      <c r="T85" s="118">
        <v>223329.0495</v>
      </c>
      <c r="U85" s="118">
        <f t="shared" si="60"/>
        <v>0</v>
      </c>
      <c r="V85" s="118"/>
      <c r="W85" s="118">
        <v>1484.37</v>
      </c>
      <c r="X85" s="118">
        <v>1484.37</v>
      </c>
      <c r="Y85" s="118">
        <f t="shared" si="61"/>
        <v>0</v>
      </c>
      <c r="Z85" s="118"/>
      <c r="AA85" s="118"/>
      <c r="AB85" s="118"/>
    </row>
    <row r="86" customHeight="1" spans="1:28">
      <c r="A86" s="49"/>
      <c r="B86" s="143" t="s">
        <v>33</v>
      </c>
      <c r="C86" s="14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48">
        <f t="shared" si="78"/>
        <v>940000</v>
      </c>
      <c r="O86" s="14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54">
        <f t="shared" si="60"/>
        <v>11288.0025000009</v>
      </c>
      <c r="V86" s="93"/>
      <c r="W86" s="93">
        <f>SUM(W79:W85)</f>
        <v>97921.3</v>
      </c>
      <c r="X86" s="93">
        <v>97921.3</v>
      </c>
      <c r="Y86" s="118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68"/>
      <c r="E87" s="68"/>
      <c r="F87" s="153"/>
      <c r="G87" s="153"/>
      <c r="H87" s="153"/>
      <c r="I87" s="153"/>
      <c r="J87" s="153"/>
      <c r="K87" s="153"/>
      <c r="L87" s="153"/>
      <c r="M87" s="153"/>
      <c r="N87" s="44"/>
      <c r="O87" s="44"/>
      <c r="P87" s="153"/>
      <c r="Q87" s="153"/>
      <c r="R87" s="153"/>
      <c r="S87" s="153"/>
      <c r="T87" s="153"/>
      <c r="U87" s="118">
        <f t="shared" si="60"/>
        <v>0</v>
      </c>
      <c r="V87" s="153"/>
      <c r="W87" s="153"/>
      <c r="X87" s="153"/>
      <c r="Y87" s="118">
        <f t="shared" si="61"/>
        <v>0</v>
      </c>
      <c r="Z87" s="118"/>
      <c r="AA87" s="118"/>
      <c r="AB87" s="118"/>
    </row>
    <row r="88" customHeight="1" spans="1:28">
      <c r="A88" s="49"/>
      <c r="B88" s="159" t="s">
        <v>1172</v>
      </c>
      <c r="C88" s="160"/>
      <c r="D88" s="161"/>
      <c r="E88" s="68"/>
      <c r="F88" s="153"/>
      <c r="G88" s="153"/>
      <c r="H88" s="153"/>
      <c r="I88" s="153"/>
      <c r="J88" s="153"/>
      <c r="K88" s="153"/>
      <c r="L88" s="153"/>
      <c r="M88" s="153"/>
      <c r="N88" s="44"/>
      <c r="O88" s="44"/>
      <c r="P88" s="153"/>
      <c r="Q88" s="153"/>
      <c r="R88" s="153"/>
      <c r="S88" s="153"/>
      <c r="T88" s="153"/>
      <c r="U88" s="118">
        <f t="shared" si="60"/>
        <v>0</v>
      </c>
      <c r="V88" s="153"/>
      <c r="W88" s="153"/>
      <c r="X88" s="153"/>
      <c r="Y88" s="118">
        <f t="shared" si="61"/>
        <v>0</v>
      </c>
      <c r="Z88" s="118"/>
      <c r="AA88" s="118"/>
      <c r="AB88" s="118"/>
    </row>
    <row r="89" customHeight="1" spans="1:28">
      <c r="A89" s="49">
        <v>1</v>
      </c>
      <c r="B89" s="115" t="s">
        <v>1173</v>
      </c>
      <c r="C89" s="116"/>
      <c r="D89" s="43" t="s">
        <v>1134</v>
      </c>
      <c r="E89" s="49" t="s">
        <v>308</v>
      </c>
      <c r="F89" s="118">
        <f>41157.69</f>
        <v>41157.69</v>
      </c>
      <c r="G89" s="118"/>
      <c r="H89" s="118">
        <f t="shared" ref="H89:H98" si="79">F89*300%</f>
        <v>123473.07</v>
      </c>
      <c r="I89" s="118">
        <f t="shared" ref="I89:I98" si="80">F89*7.5%</f>
        <v>3086.82675</v>
      </c>
      <c r="J89" s="118">
        <v>40122.19</v>
      </c>
      <c r="K89" s="118">
        <f t="shared" ref="K89:K98" si="81">F89*50%</f>
        <v>20578.845</v>
      </c>
      <c r="L89" s="118">
        <f t="shared" ref="L89:L98" si="82">F89*350%</f>
        <v>144051.915</v>
      </c>
      <c r="M89" s="118">
        <f t="shared" ref="M89:M98" si="83">F89*100%</f>
        <v>41157.69</v>
      </c>
      <c r="N89" s="44">
        <f>180000</f>
        <v>180000</v>
      </c>
      <c r="O89" s="44"/>
      <c r="P89" s="118">
        <f t="shared" ref="P89:P98" si="84">F89*10%</f>
        <v>4115.769</v>
      </c>
      <c r="Q89" s="118">
        <v>20000</v>
      </c>
      <c r="R89" s="118"/>
      <c r="S89" s="118">
        <f t="shared" ref="S89:S98" si="85">SUM(F89:R89)</f>
        <v>617743.99575</v>
      </c>
      <c r="T89" s="118">
        <v>604023.33375</v>
      </c>
      <c r="U89" s="118">
        <f t="shared" si="60"/>
        <v>13720.662</v>
      </c>
      <c r="V89" s="118"/>
      <c r="W89" s="118">
        <f>21618.09</f>
        <v>21618.09</v>
      </c>
      <c r="X89" s="118">
        <v>21618.09</v>
      </c>
      <c r="Y89" s="118">
        <f t="shared" si="61"/>
        <v>0</v>
      </c>
      <c r="Z89" s="118"/>
      <c r="AA89" s="118"/>
      <c r="AB89" s="118"/>
    </row>
    <row r="90" customHeight="1" spans="1:28">
      <c r="A90" s="49">
        <v>2</v>
      </c>
      <c r="B90" s="115" t="s">
        <v>349</v>
      </c>
      <c r="C90" s="116"/>
      <c r="D90" s="43" t="s">
        <v>310</v>
      </c>
      <c r="E90" s="49" t="s">
        <v>249</v>
      </c>
      <c r="F90" s="118">
        <f>33507.5</f>
        <v>33507.5</v>
      </c>
      <c r="G90" s="118"/>
      <c r="H90" s="118">
        <f t="shared" si="79"/>
        <v>100522.5</v>
      </c>
      <c r="I90" s="118">
        <f t="shared" si="80"/>
        <v>2513.0625</v>
      </c>
      <c r="J90" s="118">
        <f>40122.19</f>
        <v>40122.19</v>
      </c>
      <c r="K90" s="118">
        <f t="shared" si="81"/>
        <v>16753.75</v>
      </c>
      <c r="L90" s="118">
        <f t="shared" si="82"/>
        <v>117276.25</v>
      </c>
      <c r="M90" s="118">
        <f t="shared" si="83"/>
        <v>33507.5</v>
      </c>
      <c r="N90" s="44">
        <f>160000</f>
        <v>160000</v>
      </c>
      <c r="O90" s="44"/>
      <c r="P90" s="118">
        <f t="shared" si="84"/>
        <v>3350.75</v>
      </c>
      <c r="Q90" s="118">
        <v>20000</v>
      </c>
      <c r="R90" s="118"/>
      <c r="S90" s="118">
        <f t="shared" si="85"/>
        <v>527553.5025</v>
      </c>
      <c r="T90" s="118">
        <v>516137.05</v>
      </c>
      <c r="U90" s="118">
        <f t="shared" si="60"/>
        <v>11416.4525</v>
      </c>
      <c r="V90" s="118"/>
      <c r="W90" s="118">
        <f>15548.33</f>
        <v>15548.33</v>
      </c>
      <c r="X90" s="118">
        <v>15548.33</v>
      </c>
      <c r="Y90" s="118">
        <f t="shared" si="61"/>
        <v>0</v>
      </c>
      <c r="Z90" s="118"/>
      <c r="AA90" s="118"/>
      <c r="AB90" s="118"/>
    </row>
    <row r="91" customHeight="1" spans="1:28">
      <c r="A91" s="49">
        <v>3</v>
      </c>
      <c r="B91" s="115" t="s">
        <v>350</v>
      </c>
      <c r="C91" s="116"/>
      <c r="D91" s="43" t="s">
        <v>310</v>
      </c>
      <c r="E91" s="49" t="s">
        <v>249</v>
      </c>
      <c r="F91" s="118">
        <f>33507.5</f>
        <v>33507.5</v>
      </c>
      <c r="G91" s="118"/>
      <c r="H91" s="118">
        <f t="shared" si="79"/>
        <v>100522.5</v>
      </c>
      <c r="I91" s="118">
        <f t="shared" si="80"/>
        <v>2513.0625</v>
      </c>
      <c r="J91" s="118">
        <f>40122.19</f>
        <v>40122.19</v>
      </c>
      <c r="K91" s="118">
        <f t="shared" si="81"/>
        <v>16753.75</v>
      </c>
      <c r="L91" s="118">
        <f t="shared" si="82"/>
        <v>117276.25</v>
      </c>
      <c r="M91" s="118">
        <f t="shared" si="83"/>
        <v>33507.5</v>
      </c>
      <c r="N91" s="44">
        <f>160000</f>
        <v>160000</v>
      </c>
      <c r="O91" s="44"/>
      <c r="P91" s="118">
        <f t="shared" si="84"/>
        <v>3350.75</v>
      </c>
      <c r="Q91" s="118">
        <v>20000</v>
      </c>
      <c r="R91" s="118"/>
      <c r="S91" s="118">
        <f t="shared" si="85"/>
        <v>527553.5025</v>
      </c>
      <c r="T91" s="118">
        <v>516137.05</v>
      </c>
      <c r="U91" s="118">
        <f t="shared" si="60"/>
        <v>11416.4525</v>
      </c>
      <c r="V91" s="118"/>
      <c r="W91" s="118">
        <f>15548.33</f>
        <v>15548.33</v>
      </c>
      <c r="X91" s="118">
        <v>15548.33</v>
      </c>
      <c r="Y91" s="118">
        <f t="shared" si="61"/>
        <v>0</v>
      </c>
      <c r="Z91" s="118"/>
      <c r="AA91" s="118"/>
      <c r="AB91" s="118"/>
    </row>
    <row r="92" customHeight="1" spans="1:28">
      <c r="A92" s="49">
        <v>4</v>
      </c>
      <c r="B92" s="115" t="s">
        <v>1212</v>
      </c>
      <c r="C92" s="116"/>
      <c r="D92" s="43" t="s">
        <v>259</v>
      </c>
      <c r="E92" s="49" t="s">
        <v>342</v>
      </c>
      <c r="F92" s="118">
        <f>26732.65</f>
        <v>26732.65</v>
      </c>
      <c r="G92" s="118"/>
      <c r="H92" s="118">
        <f t="shared" si="79"/>
        <v>80197.95</v>
      </c>
      <c r="I92" s="118">
        <f t="shared" si="80"/>
        <v>2004.94875</v>
      </c>
      <c r="J92" s="118">
        <v>0</v>
      </c>
      <c r="K92" s="118">
        <f t="shared" si="81"/>
        <v>13366.325</v>
      </c>
      <c r="L92" s="118">
        <f t="shared" si="82"/>
        <v>93564.275</v>
      </c>
      <c r="M92" s="118">
        <f t="shared" si="83"/>
        <v>26732.65</v>
      </c>
      <c r="N92" s="44">
        <v>140000</v>
      </c>
      <c r="O92" s="44"/>
      <c r="P92" s="118">
        <f t="shared" si="84"/>
        <v>2673.265</v>
      </c>
      <c r="Q92" s="118">
        <v>20000</v>
      </c>
      <c r="R92" s="118">
        <v>0</v>
      </c>
      <c r="S92" s="118">
        <f t="shared" si="85"/>
        <v>405272.06375</v>
      </c>
      <c r="T92" s="118">
        <v>397211.3675</v>
      </c>
      <c r="U92" s="118">
        <f t="shared" si="60"/>
        <v>8060.69624999998</v>
      </c>
      <c r="V92" s="118"/>
      <c r="W92" s="118">
        <f t="shared" si="17"/>
        <v>7709.76</v>
      </c>
      <c r="X92" s="118">
        <v>7709.76</v>
      </c>
      <c r="Y92" s="118">
        <f t="shared" si="61"/>
        <v>0</v>
      </c>
      <c r="Z92" s="118"/>
      <c r="AA92" s="118"/>
      <c r="AB92" s="118"/>
    </row>
    <row r="93" customHeight="1" spans="1:28">
      <c r="A93" s="49">
        <v>5</v>
      </c>
      <c r="B93" s="52" t="s">
        <v>386</v>
      </c>
      <c r="C93" s="54"/>
      <c r="D93" s="43" t="s">
        <v>256</v>
      </c>
      <c r="E93" s="49" t="s">
        <v>257</v>
      </c>
      <c r="F93" s="118">
        <f>27611.23</f>
        <v>27611.23</v>
      </c>
      <c r="G93" s="118"/>
      <c r="H93" s="118">
        <f t="shared" si="79"/>
        <v>82833.69</v>
      </c>
      <c r="I93" s="118">
        <f t="shared" si="80"/>
        <v>2070.84225</v>
      </c>
      <c r="J93" s="118"/>
      <c r="K93" s="118">
        <f t="shared" si="81"/>
        <v>13805.615</v>
      </c>
      <c r="L93" s="118">
        <f t="shared" si="82"/>
        <v>96639.305</v>
      </c>
      <c r="M93" s="118">
        <f t="shared" si="83"/>
        <v>27611.23</v>
      </c>
      <c r="N93" s="44">
        <v>140000</v>
      </c>
      <c r="O93" s="44"/>
      <c r="P93" s="118">
        <f t="shared" si="84"/>
        <v>2761.123</v>
      </c>
      <c r="Q93" s="118">
        <v>20000</v>
      </c>
      <c r="R93" s="118">
        <v>0</v>
      </c>
      <c r="S93" s="85">
        <f t="shared" si="85"/>
        <v>413333.03525</v>
      </c>
      <c r="T93" s="85">
        <v>405272.06375</v>
      </c>
      <c r="U93" s="118">
        <f t="shared" si="60"/>
        <v>8060.9715000001</v>
      </c>
      <c r="V93" s="118"/>
      <c r="W93" s="118">
        <f t="shared" si="17"/>
        <v>7709.76</v>
      </c>
      <c r="X93" s="118">
        <v>7709.76</v>
      </c>
      <c r="Y93" s="118">
        <f t="shared" si="61"/>
        <v>0</v>
      </c>
      <c r="Z93" s="118"/>
      <c r="AA93" s="85"/>
      <c r="AB93" s="85"/>
    </row>
    <row r="94" customHeight="1" spans="1:28">
      <c r="A94" s="49">
        <v>6</v>
      </c>
      <c r="B94" s="125" t="s">
        <v>351</v>
      </c>
      <c r="C94" s="126"/>
      <c r="D94" s="43" t="s">
        <v>259</v>
      </c>
      <c r="E94" s="49" t="s">
        <v>342</v>
      </c>
      <c r="F94" s="85">
        <f>26732.65</f>
        <v>26732.65</v>
      </c>
      <c r="G94" s="118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18">
        <f t="shared" si="85"/>
        <v>405272.06375</v>
      </c>
      <c r="T94" s="118">
        <v>397211.3675</v>
      </c>
      <c r="U94" s="118">
        <f t="shared" si="60"/>
        <v>8060.69624999998</v>
      </c>
      <c r="V94" s="85"/>
      <c r="W94" s="118">
        <f t="shared" si="17"/>
        <v>7709.76</v>
      </c>
      <c r="X94" s="85">
        <v>7709.76</v>
      </c>
      <c r="Y94" s="118">
        <f t="shared" si="61"/>
        <v>0</v>
      </c>
      <c r="Z94" s="118"/>
      <c r="AA94" s="118"/>
      <c r="AB94" s="118"/>
    </row>
    <row r="95" customHeight="1" spans="1:28">
      <c r="A95" s="49">
        <v>7</v>
      </c>
      <c r="B95" s="115" t="s">
        <v>1213</v>
      </c>
      <c r="C95" s="116"/>
      <c r="D95" s="117" t="s">
        <v>256</v>
      </c>
      <c r="E95" s="119" t="s">
        <v>260</v>
      </c>
      <c r="F95" s="118">
        <f>25854.1</f>
        <v>25854.1</v>
      </c>
      <c r="G95" s="118"/>
      <c r="H95" s="118">
        <f t="shared" si="79"/>
        <v>77562.3</v>
      </c>
      <c r="I95" s="118">
        <f t="shared" si="80"/>
        <v>1939.0575</v>
      </c>
      <c r="J95" s="118">
        <v>0</v>
      </c>
      <c r="K95" s="118">
        <f t="shared" si="81"/>
        <v>12927.05</v>
      </c>
      <c r="L95" s="118">
        <f t="shared" si="82"/>
        <v>90489.35</v>
      </c>
      <c r="M95" s="118">
        <f t="shared" si="83"/>
        <v>25854.1</v>
      </c>
      <c r="N95" s="44">
        <v>140000</v>
      </c>
      <c r="O95" s="44"/>
      <c r="P95" s="118">
        <f t="shared" si="84"/>
        <v>2585.41</v>
      </c>
      <c r="Q95" s="118">
        <v>20000</v>
      </c>
      <c r="R95" s="778" t="s">
        <v>1214</v>
      </c>
      <c r="S95" s="118">
        <f t="shared" si="85"/>
        <v>397211.3675</v>
      </c>
      <c r="T95" s="118">
        <v>389153.05675</v>
      </c>
      <c r="U95" s="118">
        <f t="shared" si="60"/>
        <v>8058.31075</v>
      </c>
      <c r="V95" s="118"/>
      <c r="W95" s="118">
        <f t="shared" si="18"/>
        <v>7709.76</v>
      </c>
      <c r="X95" s="118">
        <v>7709.76</v>
      </c>
      <c r="Y95" s="118">
        <f t="shared" si="61"/>
        <v>0</v>
      </c>
      <c r="Z95" s="118"/>
      <c r="AA95" s="118"/>
      <c r="AB95" s="118"/>
    </row>
    <row r="96" ht="21.6" customHeight="1" spans="1:28">
      <c r="A96" s="49">
        <v>8</v>
      </c>
      <c r="B96" s="117" t="s">
        <v>352</v>
      </c>
      <c r="C96" s="117"/>
      <c r="D96" s="43" t="s">
        <v>353</v>
      </c>
      <c r="E96" s="119" t="s">
        <v>950</v>
      </c>
      <c r="F96" s="118">
        <f>24741.26</f>
        <v>24741.26</v>
      </c>
      <c r="G96" s="118"/>
      <c r="H96" s="118">
        <f t="shared" si="79"/>
        <v>74223.78</v>
      </c>
      <c r="I96" s="118">
        <f t="shared" si="80"/>
        <v>1855.5945</v>
      </c>
      <c r="J96" s="118">
        <v>0</v>
      </c>
      <c r="K96" s="118">
        <f t="shared" si="81"/>
        <v>12370.63</v>
      </c>
      <c r="L96" s="118">
        <f t="shared" si="82"/>
        <v>86594.41</v>
      </c>
      <c r="M96" s="118">
        <f t="shared" si="83"/>
        <v>24741.26</v>
      </c>
      <c r="N96" s="44">
        <f>120000</f>
        <v>120000</v>
      </c>
      <c r="O96" s="44"/>
      <c r="P96" s="118">
        <f t="shared" si="84"/>
        <v>2474.126</v>
      </c>
      <c r="Q96" s="118">
        <v>15000</v>
      </c>
      <c r="R96" s="118">
        <v>0</v>
      </c>
      <c r="S96" s="118">
        <f t="shared" si="85"/>
        <v>362001.0605</v>
      </c>
      <c r="T96" s="118">
        <v>354201.026</v>
      </c>
      <c r="U96" s="118">
        <f t="shared" si="60"/>
        <v>7800.03449999995</v>
      </c>
      <c r="V96" s="118"/>
      <c r="W96" s="118">
        <f t="shared" si="18"/>
        <v>7709.76</v>
      </c>
      <c r="X96" s="118">
        <v>7709.76</v>
      </c>
      <c r="Y96" s="118">
        <f t="shared" si="61"/>
        <v>0</v>
      </c>
      <c r="Z96" s="118"/>
      <c r="AA96" s="118"/>
      <c r="AB96" s="118"/>
    </row>
    <row r="97" ht="21.6" customHeight="1" spans="1:28">
      <c r="A97" s="49">
        <v>9</v>
      </c>
      <c r="B97" s="115" t="s">
        <v>354</v>
      </c>
      <c r="C97" s="116"/>
      <c r="D97" s="117" t="s">
        <v>46</v>
      </c>
      <c r="E97" s="119" t="s">
        <v>1162</v>
      </c>
      <c r="F97" s="118">
        <f>23891.12</f>
        <v>23891.12</v>
      </c>
      <c r="G97" s="118"/>
      <c r="H97" s="118">
        <f t="shared" si="79"/>
        <v>71673.36</v>
      </c>
      <c r="I97" s="118">
        <f t="shared" si="80"/>
        <v>1791.834</v>
      </c>
      <c r="J97" s="118">
        <v>0</v>
      </c>
      <c r="K97" s="118">
        <f t="shared" si="81"/>
        <v>11945.56</v>
      </c>
      <c r="L97" s="118">
        <f t="shared" si="82"/>
        <v>83618.92</v>
      </c>
      <c r="M97" s="118">
        <f t="shared" si="83"/>
        <v>23891.12</v>
      </c>
      <c r="N97" s="44">
        <f t="shared" ref="N97:N98" si="86">120000</f>
        <v>120000</v>
      </c>
      <c r="O97" s="44"/>
      <c r="P97" s="118">
        <f t="shared" si="84"/>
        <v>2389.112</v>
      </c>
      <c r="Q97" s="118">
        <v>15000</v>
      </c>
      <c r="R97" s="118">
        <v>0</v>
      </c>
      <c r="S97" s="118">
        <f t="shared" si="85"/>
        <v>354201.026</v>
      </c>
      <c r="T97" s="118">
        <v>346713.03325</v>
      </c>
      <c r="U97" s="118">
        <f t="shared" si="60"/>
        <v>7487.99275000003</v>
      </c>
      <c r="V97" s="118"/>
      <c r="W97" s="118">
        <f t="shared" si="18"/>
        <v>7709.76</v>
      </c>
      <c r="X97" s="118">
        <v>7709.76</v>
      </c>
      <c r="Y97" s="118">
        <f t="shared" si="61"/>
        <v>0</v>
      </c>
      <c r="Z97" s="118"/>
      <c r="AA97" s="118"/>
      <c r="AB97" s="118"/>
    </row>
    <row r="98" ht="21.6" customHeight="1" spans="1:28">
      <c r="A98" s="49">
        <v>10</v>
      </c>
      <c r="B98" s="115" t="s">
        <v>355</v>
      </c>
      <c r="C98" s="116"/>
      <c r="D98" s="117" t="s">
        <v>46</v>
      </c>
      <c r="E98" s="119" t="s">
        <v>1162</v>
      </c>
      <c r="F98" s="118">
        <f>23891.12</f>
        <v>23891.12</v>
      </c>
      <c r="G98" s="118"/>
      <c r="H98" s="118">
        <f t="shared" si="79"/>
        <v>71673.36</v>
      </c>
      <c r="I98" s="118">
        <f t="shared" si="80"/>
        <v>1791.834</v>
      </c>
      <c r="J98" s="118">
        <v>0</v>
      </c>
      <c r="K98" s="118">
        <f t="shared" si="81"/>
        <v>11945.56</v>
      </c>
      <c r="L98" s="118">
        <f t="shared" si="82"/>
        <v>83618.92</v>
      </c>
      <c r="M98" s="118">
        <f t="shared" si="83"/>
        <v>23891.12</v>
      </c>
      <c r="N98" s="44">
        <f t="shared" si="86"/>
        <v>120000</v>
      </c>
      <c r="O98" s="44"/>
      <c r="P98" s="118">
        <f t="shared" si="84"/>
        <v>2389.112</v>
      </c>
      <c r="Q98" s="118">
        <v>15000</v>
      </c>
      <c r="R98" s="118">
        <v>0</v>
      </c>
      <c r="S98" s="118">
        <f t="shared" si="85"/>
        <v>354201.026</v>
      </c>
      <c r="T98" s="118">
        <v>346713.03325</v>
      </c>
      <c r="U98" s="118">
        <f t="shared" si="60"/>
        <v>7487.99275000003</v>
      </c>
      <c r="V98" s="118"/>
      <c r="W98" s="118">
        <f t="shared" si="18"/>
        <v>7709.76</v>
      </c>
      <c r="X98" s="118">
        <v>7709.76</v>
      </c>
      <c r="Y98" s="118">
        <f t="shared" si="61"/>
        <v>0</v>
      </c>
      <c r="Z98" s="118"/>
      <c r="AA98" s="118"/>
      <c r="AB98" s="118"/>
    </row>
    <row r="99" customHeight="1" spans="1:28">
      <c r="A99" s="49"/>
      <c r="B99" s="129" t="s">
        <v>33</v>
      </c>
      <c r="C99" s="129"/>
      <c r="D99" s="68">
        <v>10</v>
      </c>
      <c r="E99" s="68"/>
      <c r="F99" s="154">
        <f>SUM(F89:F98)</f>
        <v>287626.82</v>
      </c>
      <c r="G99" s="154"/>
      <c r="H99" s="154">
        <f t="shared" ref="H99:N99" si="87">SUM(H89:H98)</f>
        <v>862880.46</v>
      </c>
      <c r="I99" s="154">
        <f t="shared" si="87"/>
        <v>21572.0115</v>
      </c>
      <c r="J99" s="154">
        <f t="shared" si="87"/>
        <v>120366.57</v>
      </c>
      <c r="K99" s="154">
        <f t="shared" si="87"/>
        <v>143813.41</v>
      </c>
      <c r="L99" s="154">
        <f t="shared" si="87"/>
        <v>1006693.87</v>
      </c>
      <c r="M99" s="154">
        <f t="shared" si="87"/>
        <v>287626.82</v>
      </c>
      <c r="N99" s="148">
        <f t="shared" si="87"/>
        <v>1420000</v>
      </c>
      <c r="O99" s="148"/>
      <c r="P99" s="154">
        <f>SUM(P89:P98)</f>
        <v>28762.682</v>
      </c>
      <c r="Q99" s="154">
        <f>SUM(Q89:Q98)</f>
        <v>185000</v>
      </c>
      <c r="R99" s="154">
        <f>SUM(R89:R98)</f>
        <v>0</v>
      </c>
      <c r="S99" s="154">
        <f>SUM(S89:S98)</f>
        <v>4364342.6435</v>
      </c>
      <c r="T99" s="154">
        <v>4272772.38175</v>
      </c>
      <c r="U99" s="154">
        <f t="shared" si="60"/>
        <v>91570.2617500005</v>
      </c>
      <c r="V99" s="154"/>
      <c r="W99" s="154">
        <f>SUM(W89:W98)</f>
        <v>106683.07</v>
      </c>
      <c r="X99" s="154">
        <v>106683.07</v>
      </c>
      <c r="Y99" s="118">
        <f t="shared" si="61"/>
        <v>0</v>
      </c>
      <c r="Z99" s="154"/>
      <c r="AA99" s="154"/>
      <c r="AB99" s="154"/>
    </row>
    <row r="100" customHeight="1" spans="1:28">
      <c r="A100" s="49"/>
      <c r="B100" s="129"/>
      <c r="C100" s="129"/>
      <c r="D100" s="68"/>
      <c r="E100" s="68"/>
      <c r="F100" s="153"/>
      <c r="G100" s="153"/>
      <c r="H100" s="153"/>
      <c r="I100" s="153"/>
      <c r="J100" s="153"/>
      <c r="K100" s="153"/>
      <c r="L100" s="153"/>
      <c r="M100" s="153"/>
      <c r="N100" s="44"/>
      <c r="O100" s="44"/>
      <c r="P100" s="153"/>
      <c r="Q100" s="153"/>
      <c r="R100" s="153"/>
      <c r="S100" s="153"/>
      <c r="T100" s="153"/>
      <c r="U100" s="118">
        <f t="shared" si="60"/>
        <v>0</v>
      </c>
      <c r="V100" s="153"/>
      <c r="W100" s="153"/>
      <c r="X100" s="153"/>
      <c r="Y100" s="118">
        <f t="shared" si="61"/>
        <v>0</v>
      </c>
      <c r="Z100" s="153"/>
      <c r="AA100" s="153"/>
      <c r="AB100" s="153"/>
    </row>
    <row r="101" customHeight="1" spans="1:28">
      <c r="A101" s="49"/>
      <c r="B101" s="129" t="s">
        <v>1175</v>
      </c>
      <c r="C101" s="129"/>
      <c r="D101" s="68"/>
      <c r="E101" s="68"/>
      <c r="F101" s="153"/>
      <c r="G101" s="153"/>
      <c r="H101" s="153"/>
      <c r="I101" s="153"/>
      <c r="J101" s="153"/>
      <c r="K101" s="153"/>
      <c r="L101" s="153"/>
      <c r="M101" s="153"/>
      <c r="N101" s="44"/>
      <c r="O101" s="44"/>
      <c r="P101" s="153"/>
      <c r="Q101" s="153"/>
      <c r="R101" s="153"/>
      <c r="S101" s="153"/>
      <c r="T101" s="153"/>
      <c r="U101" s="118">
        <f t="shared" si="60"/>
        <v>0</v>
      </c>
      <c r="V101" s="153"/>
      <c r="W101" s="153"/>
      <c r="X101" s="153"/>
      <c r="Y101" s="118">
        <f t="shared" si="61"/>
        <v>0</v>
      </c>
      <c r="Z101" s="153"/>
      <c r="AA101" s="153"/>
      <c r="AB101" s="153"/>
    </row>
    <row r="102" customHeight="1" spans="1:28">
      <c r="A102" s="49">
        <v>1</v>
      </c>
      <c r="B102" s="115" t="s">
        <v>232</v>
      </c>
      <c r="C102" s="116"/>
      <c r="D102" s="49" t="s">
        <v>233</v>
      </c>
      <c r="E102" s="119" t="s">
        <v>308</v>
      </c>
      <c r="F102" s="118">
        <f>41157.69</f>
        <v>41157.69</v>
      </c>
      <c r="G102" s="118"/>
      <c r="H102" s="118">
        <f t="shared" ref="H102:H103" si="88">F102*300%</f>
        <v>123473.07</v>
      </c>
      <c r="I102" s="118">
        <f t="shared" ref="I102:I103" si="89">F102*7.5%</f>
        <v>3086.82675</v>
      </c>
      <c r="J102" s="118">
        <v>40122.19</v>
      </c>
      <c r="K102" s="118">
        <f t="shared" ref="K102:K103" si="90">F102*50%</f>
        <v>20578.845</v>
      </c>
      <c r="L102" s="118">
        <f t="shared" ref="L102:L103" si="91">F102*350%</f>
        <v>144051.915</v>
      </c>
      <c r="M102" s="118">
        <f t="shared" ref="M102:M103" si="92">F102*100%</f>
        <v>41157.69</v>
      </c>
      <c r="N102" s="44"/>
      <c r="O102" s="44">
        <f>90000</f>
        <v>90000</v>
      </c>
      <c r="P102" s="118">
        <f t="shared" ref="P102:P103" si="93">F102*10%</f>
        <v>4115.769</v>
      </c>
      <c r="Q102" s="118">
        <v>20000</v>
      </c>
      <c r="R102" s="118"/>
      <c r="S102" s="118">
        <f>SUM(F102:R102)</f>
        <v>527743.99575</v>
      </c>
      <c r="T102" s="118">
        <v>514023.33375</v>
      </c>
      <c r="U102" s="118">
        <f t="shared" si="60"/>
        <v>13720.662</v>
      </c>
      <c r="V102" s="118"/>
      <c r="W102" s="118">
        <f>21618.09</f>
        <v>21618.09</v>
      </c>
      <c r="X102" s="118">
        <v>21618.09</v>
      </c>
      <c r="Y102" s="118">
        <f t="shared" si="61"/>
        <v>0</v>
      </c>
      <c r="Z102" s="118"/>
      <c r="AA102" s="118"/>
      <c r="AB102" s="118"/>
    </row>
    <row r="103" customHeight="1" spans="1:29">
      <c r="A103" s="49">
        <v>2</v>
      </c>
      <c r="B103" s="125" t="s">
        <v>250</v>
      </c>
      <c r="C103" s="126"/>
      <c r="D103" s="4" t="s">
        <v>367</v>
      </c>
      <c r="E103" s="10" t="s">
        <v>342</v>
      </c>
      <c r="F103" s="85">
        <f>26732.65</f>
        <v>26732.65</v>
      </c>
      <c r="G103" s="118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18">
        <f>SUM(F103:R103)</f>
        <v>335272.06375</v>
      </c>
      <c r="T103" s="118">
        <v>327211.3675</v>
      </c>
      <c r="U103" s="118">
        <f t="shared" si="60"/>
        <v>8060.69624999998</v>
      </c>
      <c r="V103" s="85"/>
      <c r="W103" s="118">
        <f t="shared" si="17"/>
        <v>7709.76</v>
      </c>
      <c r="X103" s="85">
        <v>7709.76</v>
      </c>
      <c r="Y103" s="118">
        <f t="shared" si="61"/>
        <v>0</v>
      </c>
      <c r="Z103" s="118"/>
      <c r="AA103" s="118"/>
      <c r="AB103" s="118"/>
      <c r="AC103" s="156"/>
    </row>
    <row r="104" customHeight="1" spans="1:29">
      <c r="A104" s="49">
        <v>3</v>
      </c>
      <c r="B104" s="125" t="s">
        <v>1135</v>
      </c>
      <c r="C104" s="126"/>
      <c r="D104" s="4" t="s">
        <v>1136</v>
      </c>
      <c r="E104" s="119" t="s">
        <v>1162</v>
      </c>
      <c r="F104" s="118">
        <f>23891.12</f>
        <v>23891.12</v>
      </c>
      <c r="G104" s="118"/>
      <c r="H104" s="118">
        <f t="shared" ref="H104:H105" si="94">F104*300%</f>
        <v>71673.36</v>
      </c>
      <c r="I104" s="118">
        <f t="shared" ref="I104:I105" si="95">F104*7.5%</f>
        <v>1791.834</v>
      </c>
      <c r="J104" s="118">
        <v>0</v>
      </c>
      <c r="K104" s="118">
        <f t="shared" ref="K104:K105" si="96">F104*50%</f>
        <v>11945.56</v>
      </c>
      <c r="L104" s="118">
        <f t="shared" ref="L104:L105" si="97">F104*350%</f>
        <v>83618.92</v>
      </c>
      <c r="M104" s="118">
        <f t="shared" ref="M104:M105" si="98">F104*100%</f>
        <v>23891.12</v>
      </c>
      <c r="N104" s="44"/>
      <c r="O104" s="44">
        <v>70000</v>
      </c>
      <c r="P104" s="118">
        <f t="shared" ref="P104:P105" si="99">F104*10%</f>
        <v>2389.112</v>
      </c>
      <c r="Q104" s="118">
        <v>15000</v>
      </c>
      <c r="R104" s="118">
        <v>0</v>
      </c>
      <c r="S104" s="118">
        <f t="shared" ref="S104:S105" si="100">SUM(F104:R104)</f>
        <v>304201.026</v>
      </c>
      <c r="T104" s="118">
        <v>296713.03325</v>
      </c>
      <c r="U104" s="118">
        <f t="shared" si="60"/>
        <v>7487.99275000003</v>
      </c>
      <c r="V104" s="118"/>
      <c r="W104" s="118">
        <f t="shared" si="17"/>
        <v>7709.76</v>
      </c>
      <c r="X104" s="118">
        <v>7709.76</v>
      </c>
      <c r="Y104" s="118">
        <f t="shared" si="61"/>
        <v>0</v>
      </c>
      <c r="Z104" s="118"/>
      <c r="AA104" s="118"/>
      <c r="AB104" s="118"/>
      <c r="AC104" s="156"/>
    </row>
    <row r="105" customHeight="1" spans="1:29">
      <c r="A105" s="49">
        <v>4</v>
      </c>
      <c r="B105" s="115" t="s">
        <v>368</v>
      </c>
      <c r="C105" s="116"/>
      <c r="D105" s="43" t="s">
        <v>1176</v>
      </c>
      <c r="E105" s="119" t="s">
        <v>1177</v>
      </c>
      <c r="F105" s="85">
        <f>19276.95</f>
        <v>19276.95</v>
      </c>
      <c r="G105" s="118"/>
      <c r="H105" s="118">
        <f t="shared" si="94"/>
        <v>57830.85</v>
      </c>
      <c r="I105" s="118">
        <f t="shared" si="95"/>
        <v>1445.77125</v>
      </c>
      <c r="J105" s="118"/>
      <c r="K105" s="118">
        <f t="shared" si="96"/>
        <v>9638.475</v>
      </c>
      <c r="L105" s="118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18">
        <f t="shared" si="99"/>
        <v>1927.695</v>
      </c>
      <c r="Q105" s="118">
        <v>10000</v>
      </c>
      <c r="R105" s="118"/>
      <c r="S105" s="118">
        <f t="shared" si="100"/>
        <v>246866.01625</v>
      </c>
      <c r="T105" s="118">
        <v>237734.047</v>
      </c>
      <c r="U105" s="118">
        <f t="shared" si="60"/>
        <v>9131.96925000005</v>
      </c>
      <c r="V105" s="118"/>
      <c r="W105" s="118">
        <v>3369.51</v>
      </c>
      <c r="X105" s="118">
        <v>3369.51</v>
      </c>
      <c r="Y105" s="118">
        <f t="shared" si="61"/>
        <v>0</v>
      </c>
      <c r="Z105" s="118"/>
      <c r="AA105" s="118"/>
      <c r="AB105" s="118"/>
      <c r="AC105" s="156"/>
    </row>
    <row r="106" customHeight="1" spans="1:29">
      <c r="A106" s="43"/>
      <c r="B106" s="129" t="s">
        <v>33</v>
      </c>
      <c r="C106" s="129"/>
      <c r="D106" s="6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48"/>
      <c r="O106" s="14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54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18">
        <f t="shared" si="61"/>
        <v>0</v>
      </c>
      <c r="Z106" s="93"/>
      <c r="AA106" s="93"/>
      <c r="AB106" s="93"/>
      <c r="AC106" s="156"/>
    </row>
    <row r="107" customHeight="1" spans="1:28">
      <c r="A107" s="43"/>
      <c r="B107" s="129"/>
      <c r="C107" s="129"/>
      <c r="D107" s="68"/>
      <c r="E107" s="162"/>
      <c r="F107" s="146"/>
      <c r="G107" s="146"/>
      <c r="H107" s="146"/>
      <c r="I107" s="146"/>
      <c r="J107" s="146"/>
      <c r="K107" s="146"/>
      <c r="L107" s="146"/>
      <c r="M107" s="146"/>
      <c r="N107" s="44"/>
      <c r="O107" s="44"/>
      <c r="P107" s="146"/>
      <c r="Q107" s="146"/>
      <c r="R107" s="146"/>
      <c r="S107" s="146"/>
      <c r="T107" s="146"/>
      <c r="U107" s="118">
        <f t="shared" si="60"/>
        <v>0</v>
      </c>
      <c r="V107" s="146"/>
      <c r="W107" s="146"/>
      <c r="X107" s="146"/>
      <c r="Y107" s="118">
        <f t="shared" si="61"/>
        <v>0</v>
      </c>
      <c r="Z107" s="146"/>
      <c r="AA107" s="146"/>
      <c r="AB107" s="146"/>
    </row>
    <row r="108" customHeight="1" spans="1:28">
      <c r="A108" s="43"/>
      <c r="B108" s="129" t="s">
        <v>1178</v>
      </c>
      <c r="C108" s="129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18">
        <f t="shared" si="60"/>
        <v>0</v>
      </c>
      <c r="V108" s="43"/>
      <c r="W108" s="43"/>
      <c r="X108" s="43"/>
      <c r="Y108" s="118">
        <f t="shared" si="61"/>
        <v>0</v>
      </c>
      <c r="Z108" s="43"/>
      <c r="AA108" s="43"/>
      <c r="AB108" s="43"/>
    </row>
    <row r="109" customHeight="1" spans="1:28">
      <c r="A109" s="43">
        <v>1</v>
      </c>
      <c r="B109" s="115" t="s">
        <v>373</v>
      </c>
      <c r="C109" s="116"/>
      <c r="D109" s="117" t="s">
        <v>374</v>
      </c>
      <c r="E109" s="119" t="s">
        <v>297</v>
      </c>
      <c r="F109" s="118">
        <f>81740.02</f>
        <v>81740.02</v>
      </c>
      <c r="G109" s="118"/>
      <c r="H109" s="118">
        <f>F109*300%</f>
        <v>245220.06</v>
      </c>
      <c r="I109" s="118">
        <f>F109*7.5%</f>
        <v>6130.5015</v>
      </c>
      <c r="J109" s="118">
        <v>80244.38</v>
      </c>
      <c r="K109" s="118">
        <f>F109*50%</f>
        <v>40870.01</v>
      </c>
      <c r="L109" s="118">
        <f>F109*350%</f>
        <v>286090.07</v>
      </c>
      <c r="M109" s="118">
        <f>F109*100%</f>
        <v>81740.02</v>
      </c>
      <c r="N109" s="44">
        <f>200000</f>
        <v>200000</v>
      </c>
      <c r="O109" s="44"/>
      <c r="P109" s="118">
        <f>F109*10%</f>
        <v>8174.002</v>
      </c>
      <c r="Q109" s="118">
        <v>20000</v>
      </c>
      <c r="R109" s="118">
        <v>0</v>
      </c>
      <c r="S109" s="118">
        <f>SUM(F109:R109)</f>
        <v>1050209.0635</v>
      </c>
      <c r="T109" s="118">
        <v>1025433.077</v>
      </c>
      <c r="U109" s="118">
        <f t="shared" si="60"/>
        <v>24775.9865000001</v>
      </c>
      <c r="V109" s="118"/>
      <c r="W109" s="118">
        <f>52776.63</f>
        <v>52776.63</v>
      </c>
      <c r="X109" s="118">
        <v>52776.63</v>
      </c>
      <c r="Y109" s="118">
        <f t="shared" si="61"/>
        <v>0</v>
      </c>
      <c r="Z109" s="118"/>
      <c r="AA109" s="118"/>
      <c r="AB109" s="118"/>
    </row>
    <row r="110" customHeight="1" spans="1:28">
      <c r="A110" s="43">
        <v>2</v>
      </c>
      <c r="B110" s="163" t="s">
        <v>375</v>
      </c>
      <c r="C110" s="164"/>
      <c r="D110" s="43" t="s">
        <v>376</v>
      </c>
      <c r="E110" s="49" t="s">
        <v>249</v>
      </c>
      <c r="F110" s="118">
        <f>33507.5</f>
        <v>33507.5</v>
      </c>
      <c r="G110" s="118"/>
      <c r="H110" s="118">
        <f>F110*300%</f>
        <v>100522.5</v>
      </c>
      <c r="I110" s="118">
        <f>F110*7.5%</f>
        <v>2513.0625</v>
      </c>
      <c r="J110" s="118">
        <v>40122.19</v>
      </c>
      <c r="K110" s="118">
        <f>F110*50%</f>
        <v>16753.75</v>
      </c>
      <c r="L110" s="118">
        <f>F110*350%</f>
        <v>117276.25</v>
      </c>
      <c r="M110" s="118">
        <f>F110*100%</f>
        <v>33507.5</v>
      </c>
      <c r="N110" s="44">
        <f>160000</f>
        <v>160000</v>
      </c>
      <c r="O110" s="44"/>
      <c r="P110" s="118">
        <f>F110*10%</f>
        <v>3350.75</v>
      </c>
      <c r="Q110" s="118">
        <v>20000</v>
      </c>
      <c r="R110" s="118">
        <v>0</v>
      </c>
      <c r="S110" s="118">
        <f>SUM(F110:R110)</f>
        <v>527553.5025</v>
      </c>
      <c r="T110" s="118">
        <v>527553.5025</v>
      </c>
      <c r="U110" s="118">
        <f t="shared" si="60"/>
        <v>0</v>
      </c>
      <c r="V110" s="118"/>
      <c r="W110" s="118">
        <v>15548.33</v>
      </c>
      <c r="X110" s="118">
        <v>15548.33</v>
      </c>
      <c r="Y110" s="118">
        <f t="shared" si="61"/>
        <v>0</v>
      </c>
      <c r="Z110" s="118"/>
      <c r="AA110" s="118"/>
      <c r="AB110" s="118"/>
    </row>
    <row r="111" customHeight="1" spans="1:28">
      <c r="A111" s="43">
        <v>3</v>
      </c>
      <c r="B111" s="115" t="s">
        <v>377</v>
      </c>
      <c r="C111" s="116"/>
      <c r="D111" s="43" t="s">
        <v>378</v>
      </c>
      <c r="E111" s="49" t="s">
        <v>263</v>
      </c>
      <c r="F111" s="118">
        <f>26339.3</f>
        <v>26339.3</v>
      </c>
      <c r="G111" s="118"/>
      <c r="H111" s="118">
        <f>F111*300%</f>
        <v>79017.9</v>
      </c>
      <c r="I111" s="118">
        <f>F111*7.5%</f>
        <v>1975.4475</v>
      </c>
      <c r="J111" s="118">
        <v>0</v>
      </c>
      <c r="K111" s="118">
        <f>F111*50%</f>
        <v>13169.65</v>
      </c>
      <c r="L111" s="118">
        <f>F111*350%</f>
        <v>92187.55</v>
      </c>
      <c r="M111" s="118">
        <f>F111*100%</f>
        <v>26339.3</v>
      </c>
      <c r="N111" s="44">
        <f>120000</f>
        <v>120000</v>
      </c>
      <c r="O111" s="44"/>
      <c r="P111" s="118">
        <f>F111*10%</f>
        <v>2633.93</v>
      </c>
      <c r="Q111" s="118">
        <v>15000</v>
      </c>
      <c r="R111" s="118" t="e">
        <f>#REF!</f>
        <v>#REF!</v>
      </c>
      <c r="S111" s="118" t="e">
        <f>SUM(F111:R111)</f>
        <v>#REF!</v>
      </c>
      <c r="T111" s="118">
        <v>418096.016025</v>
      </c>
      <c r="U111" s="118" t="e">
        <f t="shared" si="60"/>
        <v>#REF!</v>
      </c>
      <c r="V111" s="118"/>
      <c r="W111" s="118">
        <f>7709.76</f>
        <v>7709.76</v>
      </c>
      <c r="X111" s="118">
        <v>7709.76</v>
      </c>
      <c r="Y111" s="118">
        <f t="shared" si="61"/>
        <v>0</v>
      </c>
      <c r="Z111" s="118"/>
      <c r="AA111" s="118"/>
      <c r="AB111" s="118"/>
    </row>
    <row r="112" customHeight="1" spans="1:28">
      <c r="A112" s="43">
        <v>4</v>
      </c>
      <c r="B112" s="125" t="s">
        <v>379</v>
      </c>
      <c r="C112" s="126"/>
      <c r="D112" s="43" t="s">
        <v>378</v>
      </c>
      <c r="E112" s="10" t="s">
        <v>266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18" t="e">
        <f>SUM(F112:R112)</f>
        <v>#REF!</v>
      </c>
      <c r="T112" s="118">
        <v>401821.177155</v>
      </c>
      <c r="U112" s="118" t="e">
        <f t="shared" si="60"/>
        <v>#REF!</v>
      </c>
      <c r="V112" s="85"/>
      <c r="W112" s="85">
        <f>7709.76</f>
        <v>7709.76</v>
      </c>
      <c r="X112" s="85">
        <v>7709.76</v>
      </c>
      <c r="Y112" s="118">
        <f t="shared" si="61"/>
        <v>0</v>
      </c>
      <c r="Z112" s="118"/>
      <c r="AA112" s="118"/>
      <c r="AB112" s="118"/>
    </row>
    <row r="113" customHeight="1" spans="1:28">
      <c r="A113" s="43">
        <v>5</v>
      </c>
      <c r="B113" s="115" t="s">
        <v>380</v>
      </c>
      <c r="C113" s="116"/>
      <c r="D113" s="46" t="s">
        <v>381</v>
      </c>
      <c r="E113" s="119" t="s">
        <v>945</v>
      </c>
      <c r="F113" s="128">
        <f>13492.21</f>
        <v>13492.21</v>
      </c>
      <c r="G113" s="118"/>
      <c r="H113" s="118">
        <f>F113*300%</f>
        <v>40476.63</v>
      </c>
      <c r="I113" s="118">
        <f>F113*7.5%</f>
        <v>1011.91575</v>
      </c>
      <c r="J113" s="118"/>
      <c r="K113" s="118">
        <f>F113*50%</f>
        <v>6746.105</v>
      </c>
      <c r="L113" s="118">
        <f>F113*350%</f>
        <v>47222.735</v>
      </c>
      <c r="M113" s="118">
        <f>F113*100%</f>
        <v>13492.21</v>
      </c>
      <c r="N113" s="44">
        <f>100000</f>
        <v>100000</v>
      </c>
      <c r="O113" s="44"/>
      <c r="P113" s="118">
        <f>F113*10%</f>
        <v>1349.221</v>
      </c>
      <c r="Q113" s="118">
        <v>10000</v>
      </c>
      <c r="R113" s="118" t="e">
        <f>#REF!</f>
        <v>#REF!</v>
      </c>
      <c r="S113" s="118" t="e">
        <f>SUM(F113:R113)</f>
        <v>#REF!</v>
      </c>
      <c r="T113" s="118">
        <v>255637.51548</v>
      </c>
      <c r="U113" s="118" t="e">
        <f t="shared" si="60"/>
        <v>#REF!</v>
      </c>
      <c r="V113" s="118"/>
      <c r="W113" s="118">
        <v>1484.37</v>
      </c>
      <c r="X113" s="118">
        <v>1484.37</v>
      </c>
      <c r="Y113" s="118">
        <f t="shared" si="61"/>
        <v>0</v>
      </c>
      <c r="Z113" s="118"/>
      <c r="AA113" s="118"/>
      <c r="AB113" s="118"/>
    </row>
    <row r="114" customHeight="1" spans="1:28">
      <c r="A114" s="43">
        <v>6</v>
      </c>
      <c r="B114" s="125" t="s">
        <v>383</v>
      </c>
      <c r="C114" s="126"/>
      <c r="D114" s="46" t="s">
        <v>381</v>
      </c>
      <c r="E114" s="49" t="s">
        <v>291</v>
      </c>
      <c r="F114" s="118">
        <f>13112.16</f>
        <v>13112.16</v>
      </c>
      <c r="G114" s="118"/>
      <c r="H114" s="118">
        <f t="shared" ref="H114:H116" si="103">F114*300%</f>
        <v>39336.48</v>
      </c>
      <c r="I114" s="118">
        <f t="shared" ref="I114:I116" si="104">F114*7.5%</f>
        <v>983.412</v>
      </c>
      <c r="J114" s="118"/>
      <c r="K114" s="118">
        <f t="shared" ref="K114:K116" si="105">F114*50%</f>
        <v>6556.08</v>
      </c>
      <c r="L114" s="118">
        <f t="shared" ref="L114:L116" si="106">F114*350%</f>
        <v>45892.56</v>
      </c>
      <c r="M114" s="118">
        <f t="shared" ref="M114:M116" si="107">F114*100%</f>
        <v>13112.16</v>
      </c>
      <c r="N114" s="44">
        <f>100000</f>
        <v>100000</v>
      </c>
      <c r="O114" s="44"/>
      <c r="P114" s="118">
        <f t="shared" ref="P114:P116" si="108">F114*10%</f>
        <v>1311.216</v>
      </c>
      <c r="Q114" s="118">
        <v>10000</v>
      </c>
      <c r="R114" s="118" t="e">
        <f>#REF!</f>
        <v>#REF!</v>
      </c>
      <c r="S114" s="118" t="e">
        <f t="shared" ref="S114:S116" si="109">SUM(F114:R114)</f>
        <v>#REF!</v>
      </c>
      <c r="T114" s="118">
        <v>251765.871</v>
      </c>
      <c r="U114" s="118" t="e">
        <f t="shared" si="60"/>
        <v>#REF!</v>
      </c>
      <c r="V114" s="118"/>
      <c r="W114" s="118">
        <v>1484.37</v>
      </c>
      <c r="X114" s="118">
        <v>1484.37</v>
      </c>
      <c r="Y114" s="118">
        <f t="shared" si="61"/>
        <v>0</v>
      </c>
      <c r="Z114" s="118"/>
      <c r="AA114" s="118"/>
      <c r="AB114" s="118"/>
    </row>
    <row r="115" customHeight="1" spans="1:28">
      <c r="A115" s="43">
        <v>7</v>
      </c>
      <c r="B115" s="115" t="s">
        <v>385</v>
      </c>
      <c r="C115" s="116"/>
      <c r="D115" s="46" t="s">
        <v>381</v>
      </c>
      <c r="E115" s="119" t="s">
        <v>30</v>
      </c>
      <c r="F115" s="128">
        <f>12351.94</f>
        <v>12351.94</v>
      </c>
      <c r="G115" s="118"/>
      <c r="H115" s="118">
        <f t="shared" si="103"/>
        <v>37055.82</v>
      </c>
      <c r="I115" s="118">
        <f t="shared" si="104"/>
        <v>926.3955</v>
      </c>
      <c r="J115" s="118"/>
      <c r="K115" s="118">
        <f t="shared" si="105"/>
        <v>6175.97</v>
      </c>
      <c r="L115" s="118">
        <f t="shared" si="106"/>
        <v>43231.79</v>
      </c>
      <c r="M115" s="118">
        <f t="shared" si="107"/>
        <v>12351.94</v>
      </c>
      <c r="N115" s="44">
        <f t="shared" ref="N115:N116" si="110">100000</f>
        <v>100000</v>
      </c>
      <c r="O115" s="44"/>
      <c r="P115" s="118">
        <f t="shared" si="108"/>
        <v>1235.194</v>
      </c>
      <c r="Q115" s="118">
        <v>10000</v>
      </c>
      <c r="R115" s="118" t="e">
        <f>#REF!</f>
        <v>#REF!</v>
      </c>
      <c r="S115" s="118" t="e">
        <f t="shared" si="109"/>
        <v>#REF!</v>
      </c>
      <c r="T115" s="118">
        <v>247895.244945</v>
      </c>
      <c r="U115" s="118" t="e">
        <f t="shared" si="60"/>
        <v>#REF!</v>
      </c>
      <c r="V115" s="118"/>
      <c r="W115" s="118">
        <v>1484.37</v>
      </c>
      <c r="X115" s="118">
        <v>1484.37</v>
      </c>
      <c r="Y115" s="118">
        <f t="shared" si="61"/>
        <v>0</v>
      </c>
      <c r="Z115" s="118"/>
      <c r="AA115" s="118"/>
      <c r="AB115" s="118"/>
    </row>
    <row r="116" customHeight="1" spans="1:28">
      <c r="A116" s="43">
        <v>8</v>
      </c>
      <c r="B116" s="115" t="s">
        <v>1215</v>
      </c>
      <c r="C116" s="116"/>
      <c r="D116" s="46" t="s">
        <v>381</v>
      </c>
      <c r="E116" s="119" t="s">
        <v>30</v>
      </c>
      <c r="F116" s="128">
        <f>12351.94</f>
        <v>12351.94</v>
      </c>
      <c r="G116" s="118"/>
      <c r="H116" s="118">
        <f t="shared" si="103"/>
        <v>37055.82</v>
      </c>
      <c r="I116" s="118">
        <f t="shared" si="104"/>
        <v>926.3955</v>
      </c>
      <c r="J116" s="118"/>
      <c r="K116" s="118">
        <f t="shared" si="105"/>
        <v>6175.97</v>
      </c>
      <c r="L116" s="118">
        <f t="shared" si="106"/>
        <v>43231.79</v>
      </c>
      <c r="M116" s="118">
        <f t="shared" si="107"/>
        <v>12351.94</v>
      </c>
      <c r="N116" s="44">
        <f t="shared" si="110"/>
        <v>100000</v>
      </c>
      <c r="O116" s="44"/>
      <c r="P116" s="118">
        <f t="shared" si="108"/>
        <v>1235.194</v>
      </c>
      <c r="Q116" s="118">
        <v>10000</v>
      </c>
      <c r="R116" s="118" t="e">
        <f>#REF!</f>
        <v>#REF!</v>
      </c>
      <c r="S116" s="118" t="e">
        <f t="shared" si="109"/>
        <v>#REF!</v>
      </c>
      <c r="T116" s="118">
        <v>247895.244945</v>
      </c>
      <c r="U116" s="118" t="e">
        <f t="shared" si="60"/>
        <v>#REF!</v>
      </c>
      <c r="V116" s="118"/>
      <c r="W116" s="118">
        <v>1484.37</v>
      </c>
      <c r="X116" s="118">
        <v>1484.37</v>
      </c>
      <c r="Y116" s="118">
        <f t="shared" si="61"/>
        <v>0</v>
      </c>
      <c r="Z116" s="118"/>
      <c r="AA116" s="118"/>
      <c r="AB116" s="118"/>
    </row>
    <row r="117" customHeight="1" spans="1:28">
      <c r="A117" s="43"/>
      <c r="B117" s="129" t="s">
        <v>33</v>
      </c>
      <c r="C117" s="129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48">
        <f t="shared" si="111"/>
        <v>1000000</v>
      </c>
      <c r="O117" s="14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54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18">
        <f t="shared" si="61"/>
        <v>0</v>
      </c>
      <c r="Z117" s="165"/>
      <c r="AA117" s="165"/>
      <c r="AB117" s="165"/>
    </row>
    <row r="118" customHeight="1" spans="1:28">
      <c r="A118" s="43"/>
      <c r="B118" s="129"/>
      <c r="C118" s="129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18">
        <f t="shared" si="60"/>
        <v>0</v>
      </c>
      <c r="V118" s="56"/>
      <c r="W118" s="56"/>
      <c r="X118" s="56"/>
      <c r="Y118" s="118">
        <f t="shared" si="61"/>
        <v>0</v>
      </c>
      <c r="Z118" s="56"/>
      <c r="AA118" s="56"/>
      <c r="AB118" s="56"/>
    </row>
    <row r="119" customHeight="1" spans="1:28">
      <c r="A119" s="43"/>
      <c r="B119" s="129" t="s">
        <v>1179</v>
      </c>
      <c r="C119" s="129"/>
      <c r="D119" s="68"/>
      <c r="E119" s="68"/>
      <c r="F119" s="153"/>
      <c r="G119" s="153"/>
      <c r="H119" s="153"/>
      <c r="I119" s="153"/>
      <c r="J119" s="153"/>
      <c r="K119" s="153"/>
      <c r="L119" s="153"/>
      <c r="M119" s="153"/>
      <c r="N119" s="44"/>
      <c r="O119" s="44"/>
      <c r="P119" s="153"/>
      <c r="Q119" s="153"/>
      <c r="R119" s="153"/>
      <c r="S119" s="153"/>
      <c r="T119" s="153"/>
      <c r="U119" s="118">
        <f t="shared" si="60"/>
        <v>0</v>
      </c>
      <c r="V119" s="153"/>
      <c r="W119" s="153"/>
      <c r="X119" s="153"/>
      <c r="Y119" s="118">
        <f t="shared" si="61"/>
        <v>0</v>
      </c>
      <c r="Z119" s="118"/>
      <c r="AA119" s="118"/>
      <c r="AB119" s="118"/>
    </row>
    <row r="120" customHeight="1" spans="1:28">
      <c r="A120" s="43">
        <v>1</v>
      </c>
      <c r="B120" s="117" t="s">
        <v>392</v>
      </c>
      <c r="C120" s="117"/>
      <c r="D120" s="117" t="s">
        <v>393</v>
      </c>
      <c r="E120" s="119" t="s">
        <v>297</v>
      </c>
      <c r="F120" s="118">
        <f>81740.02</f>
        <v>81740.02</v>
      </c>
      <c r="G120" s="118"/>
      <c r="H120" s="118">
        <f t="shared" ref="H120:H128" si="113">F120*300%</f>
        <v>245220.06</v>
      </c>
      <c r="I120" s="118">
        <f t="shared" ref="I120:I128" si="114">F120*7.5%</f>
        <v>6130.5015</v>
      </c>
      <c r="J120" s="118">
        <f>80244.38</f>
        <v>80244.38</v>
      </c>
      <c r="K120" s="118">
        <f t="shared" ref="K120:K128" si="115">F120*50%</f>
        <v>40870.01</v>
      </c>
      <c r="L120" s="118">
        <f t="shared" ref="L120:L128" si="116">F120*350%</f>
        <v>286090.07</v>
      </c>
      <c r="M120" s="118">
        <f t="shared" ref="M120:M128" si="117">F120*100%</f>
        <v>81740.02</v>
      </c>
      <c r="N120" s="44"/>
      <c r="O120" s="44">
        <f>100000</f>
        <v>100000</v>
      </c>
      <c r="P120" s="118">
        <f t="shared" ref="P120:P128" si="118">F120*10%</f>
        <v>8174.002</v>
      </c>
      <c r="Q120" s="118">
        <v>20000</v>
      </c>
      <c r="R120" s="118">
        <v>100000</v>
      </c>
      <c r="S120" s="118">
        <f t="shared" ref="S120:S128" si="119">SUM(F120:R120)</f>
        <v>1050209.0635</v>
      </c>
      <c r="T120" s="118">
        <v>1050209.0635</v>
      </c>
      <c r="U120" s="118">
        <f t="shared" si="60"/>
        <v>0</v>
      </c>
      <c r="V120" s="118"/>
      <c r="W120" s="118">
        <f>52776.63</f>
        <v>52776.63</v>
      </c>
      <c r="X120" s="118">
        <v>52776.63</v>
      </c>
      <c r="Y120" s="118">
        <f t="shared" si="61"/>
        <v>0</v>
      </c>
      <c r="Z120" s="118"/>
      <c r="AA120" s="118"/>
      <c r="AB120" s="118"/>
    </row>
    <row r="121" customHeight="1" spans="1:28">
      <c r="A121" s="43">
        <v>2</v>
      </c>
      <c r="B121" s="117" t="s">
        <v>1138</v>
      </c>
      <c r="C121" s="117"/>
      <c r="D121" s="117" t="s">
        <v>1139</v>
      </c>
      <c r="E121" s="119" t="s">
        <v>231</v>
      </c>
      <c r="F121" s="118">
        <f>42653.17</f>
        <v>42653.17</v>
      </c>
      <c r="G121" s="118"/>
      <c r="H121" s="118">
        <f t="shared" si="113"/>
        <v>127959.51</v>
      </c>
      <c r="I121" s="118">
        <f t="shared" si="114"/>
        <v>3198.98775</v>
      </c>
      <c r="J121" s="118">
        <v>40122.19</v>
      </c>
      <c r="K121" s="118">
        <f t="shared" si="115"/>
        <v>21326.585</v>
      </c>
      <c r="L121" s="118">
        <f t="shared" si="116"/>
        <v>149286.095</v>
      </c>
      <c r="M121" s="118">
        <f t="shared" si="117"/>
        <v>42653.17</v>
      </c>
      <c r="N121" s="44"/>
      <c r="O121" s="44">
        <f>90000</f>
        <v>90000</v>
      </c>
      <c r="P121" s="118">
        <f t="shared" si="118"/>
        <v>4265.317</v>
      </c>
      <c r="Q121" s="118">
        <v>20000</v>
      </c>
      <c r="R121" s="118">
        <f>100000</f>
        <v>100000</v>
      </c>
      <c r="S121" s="118">
        <f t="shared" si="119"/>
        <v>641465.02475</v>
      </c>
      <c r="T121" s="118">
        <v>641465.02475</v>
      </c>
      <c r="U121" s="118">
        <f t="shared" si="60"/>
        <v>0</v>
      </c>
      <c r="V121" s="118"/>
      <c r="W121" s="118">
        <f>21618.09</f>
        <v>21618.09</v>
      </c>
      <c r="X121" s="118">
        <v>21618.09</v>
      </c>
      <c r="Y121" s="118">
        <f t="shared" si="61"/>
        <v>0</v>
      </c>
      <c r="Z121" s="118"/>
      <c r="AA121" s="118"/>
      <c r="AB121" s="118"/>
    </row>
    <row r="122" customHeight="1" spans="1:28">
      <c r="A122" s="43">
        <v>3</v>
      </c>
      <c r="B122" s="117" t="s">
        <v>128</v>
      </c>
      <c r="C122" s="117"/>
      <c r="D122" s="117" t="s">
        <v>227</v>
      </c>
      <c r="E122" s="119" t="s">
        <v>249</v>
      </c>
      <c r="F122" s="85">
        <f>33507.5</f>
        <v>33507.5</v>
      </c>
      <c r="G122" s="118"/>
      <c r="H122" s="118">
        <f t="shared" si="113"/>
        <v>100522.5</v>
      </c>
      <c r="I122" s="118">
        <f t="shared" si="114"/>
        <v>2513.0625</v>
      </c>
      <c r="J122" s="118">
        <v>40122.19</v>
      </c>
      <c r="K122" s="118">
        <f t="shared" si="115"/>
        <v>16753.75</v>
      </c>
      <c r="L122" s="118">
        <f t="shared" si="116"/>
        <v>117276.25</v>
      </c>
      <c r="M122" s="118">
        <f t="shared" si="117"/>
        <v>33507.5</v>
      </c>
      <c r="N122" s="44"/>
      <c r="O122" s="44">
        <f>80000</f>
        <v>80000</v>
      </c>
      <c r="P122" s="118">
        <f t="shared" si="118"/>
        <v>3350.75</v>
      </c>
      <c r="Q122" s="118">
        <v>20000</v>
      </c>
      <c r="R122" s="118">
        <v>0</v>
      </c>
      <c r="S122" s="118">
        <f t="shared" si="119"/>
        <v>447553.5025</v>
      </c>
      <c r="T122" s="118">
        <v>447553.5025</v>
      </c>
      <c r="U122" s="118">
        <f t="shared" si="60"/>
        <v>0</v>
      </c>
      <c r="V122" s="118"/>
      <c r="W122" s="118">
        <v>15548.33</v>
      </c>
      <c r="X122" s="118">
        <v>15548.33</v>
      </c>
      <c r="Y122" s="118">
        <f t="shared" si="61"/>
        <v>0</v>
      </c>
      <c r="Z122" s="118"/>
      <c r="AA122" s="118"/>
      <c r="AB122" s="118"/>
    </row>
    <row r="123" customHeight="1" spans="1:28">
      <c r="A123" s="43">
        <v>4</v>
      </c>
      <c r="B123" s="48" t="s">
        <v>395</v>
      </c>
      <c r="C123" s="48"/>
      <c r="D123" s="117" t="s">
        <v>227</v>
      </c>
      <c r="E123" s="119" t="s">
        <v>249</v>
      </c>
      <c r="F123" s="118">
        <f>33507.5</f>
        <v>33507.5</v>
      </c>
      <c r="G123" s="118"/>
      <c r="H123" s="118">
        <f t="shared" si="113"/>
        <v>100522.5</v>
      </c>
      <c r="I123" s="118">
        <f t="shared" si="114"/>
        <v>2513.0625</v>
      </c>
      <c r="J123" s="118">
        <f>40122.19</f>
        <v>40122.19</v>
      </c>
      <c r="K123" s="118">
        <f t="shared" si="115"/>
        <v>16753.75</v>
      </c>
      <c r="L123" s="118">
        <f t="shared" si="116"/>
        <v>117276.25</v>
      </c>
      <c r="M123" s="118">
        <f t="shared" si="117"/>
        <v>33507.5</v>
      </c>
      <c r="N123" s="44"/>
      <c r="O123" s="44">
        <f t="shared" si="9"/>
        <v>80000</v>
      </c>
      <c r="P123" s="118">
        <f t="shared" si="118"/>
        <v>3350.75</v>
      </c>
      <c r="Q123" s="118">
        <v>20000</v>
      </c>
      <c r="R123" s="118">
        <f>100000</f>
        <v>100000</v>
      </c>
      <c r="S123" s="118">
        <f t="shared" si="119"/>
        <v>547553.5025</v>
      </c>
      <c r="T123" s="118">
        <v>536137.05</v>
      </c>
      <c r="U123" s="118">
        <f t="shared" si="60"/>
        <v>11416.4524999999</v>
      </c>
      <c r="V123" s="118"/>
      <c r="W123" s="118">
        <f>15548.33</f>
        <v>15548.33</v>
      </c>
      <c r="X123" s="118">
        <v>15548.33</v>
      </c>
      <c r="Y123" s="118">
        <f t="shared" si="61"/>
        <v>0</v>
      </c>
      <c r="Z123" s="118"/>
      <c r="AA123" s="118"/>
      <c r="AB123" s="118"/>
    </row>
    <row r="124" customHeight="1" spans="1:28">
      <c r="A124" s="43">
        <v>5</v>
      </c>
      <c r="B124" s="46" t="s">
        <v>226</v>
      </c>
      <c r="D124" s="117" t="s">
        <v>227</v>
      </c>
      <c r="E124" s="119" t="s">
        <v>228</v>
      </c>
      <c r="F124" s="85">
        <f>31018.84</f>
        <v>31018.84</v>
      </c>
      <c r="G124" s="118"/>
      <c r="H124" s="118">
        <f t="shared" ref="H124" si="120">F124*300%</f>
        <v>93056.52</v>
      </c>
      <c r="I124" s="118">
        <f t="shared" ref="I124" si="121">F124*7.5%</f>
        <v>2326.413</v>
      </c>
      <c r="J124" s="118">
        <v>40122.19</v>
      </c>
      <c r="K124" s="118">
        <f t="shared" ref="K124" si="122">F124*50%</f>
        <v>15509.42</v>
      </c>
      <c r="L124" s="118">
        <f t="shared" ref="L124" si="123">F124*350%</f>
        <v>108565.94</v>
      </c>
      <c r="M124" s="118">
        <f t="shared" ref="M124" si="124">F124*100%</f>
        <v>31018.84</v>
      </c>
      <c r="N124" s="44"/>
      <c r="O124" s="44">
        <f t="shared" si="9"/>
        <v>80000</v>
      </c>
      <c r="P124" s="118">
        <f t="shared" ref="P124" si="125">F124*10%</f>
        <v>3101.884</v>
      </c>
      <c r="Q124" s="118">
        <v>20000</v>
      </c>
      <c r="R124" s="118">
        <v>0</v>
      </c>
      <c r="S124" s="118">
        <f t="shared" si="119"/>
        <v>424720.047</v>
      </c>
      <c r="T124" s="118">
        <v>424720.047</v>
      </c>
      <c r="U124" s="118">
        <f t="shared" si="60"/>
        <v>0</v>
      </c>
      <c r="V124" s="118"/>
      <c r="W124" s="118">
        <f>(15548.33)</f>
        <v>15548.33</v>
      </c>
      <c r="X124" s="118">
        <v>15548.33</v>
      </c>
      <c r="Y124" s="118">
        <f t="shared" si="61"/>
        <v>0</v>
      </c>
      <c r="Z124" s="118"/>
      <c r="AA124" s="118"/>
      <c r="AB124" s="118"/>
    </row>
    <row r="125" customHeight="1" spans="1:28">
      <c r="A125" s="43">
        <v>6</v>
      </c>
      <c r="B125" s="166" t="s">
        <v>396</v>
      </c>
      <c r="C125" s="166"/>
      <c r="D125" s="117" t="s">
        <v>1141</v>
      </c>
      <c r="E125" s="119" t="s">
        <v>266</v>
      </c>
      <c r="F125" s="118">
        <f>25523.45</f>
        <v>25523.45</v>
      </c>
      <c r="G125" s="118"/>
      <c r="H125" s="118">
        <f t="shared" si="113"/>
        <v>76570.35</v>
      </c>
      <c r="I125" s="118">
        <f t="shared" si="114"/>
        <v>1914.25875</v>
      </c>
      <c r="J125" s="118">
        <v>0</v>
      </c>
      <c r="K125" s="118">
        <f t="shared" si="115"/>
        <v>12761.725</v>
      </c>
      <c r="L125" s="118">
        <f t="shared" si="116"/>
        <v>89332.075</v>
      </c>
      <c r="M125" s="118">
        <f t="shared" si="117"/>
        <v>25523.45</v>
      </c>
      <c r="N125" s="44"/>
      <c r="O125" s="44">
        <f>70000</f>
        <v>70000</v>
      </c>
      <c r="P125" s="118">
        <f t="shared" si="118"/>
        <v>2552.345</v>
      </c>
      <c r="Q125" s="118">
        <v>15000</v>
      </c>
      <c r="R125" s="118">
        <v>0</v>
      </c>
      <c r="S125" s="118">
        <f t="shared" si="119"/>
        <v>319177.65375</v>
      </c>
      <c r="T125" s="118">
        <v>312001.0605</v>
      </c>
      <c r="U125" s="118">
        <f t="shared" si="60"/>
        <v>7176.59324999998</v>
      </c>
      <c r="V125" s="118"/>
      <c r="W125" s="118">
        <f>7709.76</f>
        <v>7709.76</v>
      </c>
      <c r="X125" s="118">
        <v>7709.76</v>
      </c>
      <c r="Y125" s="118">
        <f t="shared" si="61"/>
        <v>0</v>
      </c>
      <c r="Z125" s="118"/>
      <c r="AA125" s="118"/>
      <c r="AB125" s="118"/>
    </row>
    <row r="126" customHeight="1" spans="1:28">
      <c r="A126" s="43">
        <v>7</v>
      </c>
      <c r="B126" s="117" t="s">
        <v>398</v>
      </c>
      <c r="C126" s="117"/>
      <c r="D126" s="117" t="s">
        <v>399</v>
      </c>
      <c r="E126" s="119" t="s">
        <v>950</v>
      </c>
      <c r="F126" s="118">
        <f>24741.26</f>
        <v>24741.26</v>
      </c>
      <c r="G126" s="118"/>
      <c r="H126" s="118">
        <f t="shared" si="113"/>
        <v>74223.78</v>
      </c>
      <c r="I126" s="118">
        <f t="shared" si="114"/>
        <v>1855.5945</v>
      </c>
      <c r="J126" s="118"/>
      <c r="K126" s="118">
        <f t="shared" si="115"/>
        <v>12370.63</v>
      </c>
      <c r="L126" s="118">
        <f t="shared" si="116"/>
        <v>86594.41</v>
      </c>
      <c r="M126" s="118">
        <f t="shared" si="117"/>
        <v>24741.26</v>
      </c>
      <c r="N126" s="44"/>
      <c r="O126" s="44">
        <f t="shared" ref="O126:O128" si="126">70000</f>
        <v>70000</v>
      </c>
      <c r="P126" s="118">
        <f t="shared" si="118"/>
        <v>2474.126</v>
      </c>
      <c r="Q126" s="118">
        <v>15000</v>
      </c>
      <c r="R126" s="118">
        <f>30000</f>
        <v>30000</v>
      </c>
      <c r="S126" s="118">
        <f t="shared" si="119"/>
        <v>342001.0605</v>
      </c>
      <c r="T126" s="118">
        <v>334201.026</v>
      </c>
      <c r="U126" s="118">
        <f t="shared" si="60"/>
        <v>7800.03449999995</v>
      </c>
      <c r="V126" s="118"/>
      <c r="W126" s="118">
        <f>7709.76</f>
        <v>7709.76</v>
      </c>
      <c r="X126" s="118">
        <v>7709.76</v>
      </c>
      <c r="Y126" s="118">
        <f t="shared" si="61"/>
        <v>0</v>
      </c>
      <c r="Z126" s="118"/>
      <c r="AA126" s="118"/>
      <c r="AB126" s="118"/>
    </row>
    <row r="127" customHeight="1" spans="1:28">
      <c r="A127" s="43">
        <v>8</v>
      </c>
      <c r="B127" s="117" t="s">
        <v>400</v>
      </c>
      <c r="C127" s="117"/>
      <c r="D127" s="117" t="s">
        <v>970</v>
      </c>
      <c r="E127" s="119" t="s">
        <v>950</v>
      </c>
      <c r="F127" s="118">
        <f>24741.26</f>
        <v>24741.26</v>
      </c>
      <c r="G127" s="118"/>
      <c r="H127" s="118">
        <f t="shared" si="113"/>
        <v>74223.78</v>
      </c>
      <c r="I127" s="118">
        <f t="shared" si="114"/>
        <v>1855.5945</v>
      </c>
      <c r="J127" s="118"/>
      <c r="K127" s="118">
        <f t="shared" si="115"/>
        <v>12370.63</v>
      </c>
      <c r="L127" s="118">
        <f t="shared" si="116"/>
        <v>86594.41</v>
      </c>
      <c r="M127" s="118">
        <f t="shared" si="117"/>
        <v>24741.26</v>
      </c>
      <c r="N127" s="44"/>
      <c r="O127" s="44">
        <f t="shared" si="126"/>
        <v>70000</v>
      </c>
      <c r="P127" s="118">
        <f t="shared" si="118"/>
        <v>2474.126</v>
      </c>
      <c r="Q127" s="118">
        <v>15000</v>
      </c>
      <c r="R127" s="118"/>
      <c r="S127" s="118">
        <f t="shared" si="119"/>
        <v>312001.0605</v>
      </c>
      <c r="T127" s="118">
        <v>304201.026</v>
      </c>
      <c r="U127" s="118">
        <f t="shared" si="60"/>
        <v>7800.03449999995</v>
      </c>
      <c r="V127" s="118"/>
      <c r="W127" s="118">
        <f>7709.76</f>
        <v>7709.76</v>
      </c>
      <c r="X127" s="118">
        <v>7709.76</v>
      </c>
      <c r="Y127" s="118">
        <f t="shared" si="61"/>
        <v>0</v>
      </c>
      <c r="Z127" s="118"/>
      <c r="AA127" s="118"/>
      <c r="AB127" s="118"/>
    </row>
    <row r="128" customHeight="1" spans="1:28">
      <c r="A128" s="43">
        <v>9</v>
      </c>
      <c r="B128" s="115" t="s">
        <v>1140</v>
      </c>
      <c r="C128" s="116"/>
      <c r="D128" s="117" t="s">
        <v>1141</v>
      </c>
      <c r="E128" s="119" t="s">
        <v>951</v>
      </c>
      <c r="F128" s="118">
        <f>23891.12</f>
        <v>23891.12</v>
      </c>
      <c r="G128" s="118"/>
      <c r="H128" s="118">
        <f t="shared" si="113"/>
        <v>71673.36</v>
      </c>
      <c r="I128" s="118">
        <f t="shared" si="114"/>
        <v>1791.834</v>
      </c>
      <c r="J128" s="118"/>
      <c r="K128" s="118">
        <f t="shared" si="115"/>
        <v>11945.56</v>
      </c>
      <c r="L128" s="118">
        <f t="shared" si="116"/>
        <v>83618.92</v>
      </c>
      <c r="M128" s="118">
        <f t="shared" si="117"/>
        <v>23891.12</v>
      </c>
      <c r="N128" s="44"/>
      <c r="O128" s="44">
        <f t="shared" si="126"/>
        <v>70000</v>
      </c>
      <c r="P128" s="118">
        <f t="shared" si="118"/>
        <v>2389.112</v>
      </c>
      <c r="Q128" s="118">
        <v>15000</v>
      </c>
      <c r="R128" s="118"/>
      <c r="S128" s="118">
        <f t="shared" si="119"/>
        <v>304201.026</v>
      </c>
      <c r="T128" s="118">
        <v>296713.03325</v>
      </c>
      <c r="U128" s="118">
        <f t="shared" si="60"/>
        <v>7487.99275000003</v>
      </c>
      <c r="V128" s="118"/>
      <c r="W128" s="118">
        <f>7709.76</f>
        <v>7709.76</v>
      </c>
      <c r="X128" s="118">
        <v>7709.76</v>
      </c>
      <c r="Y128" s="118">
        <f t="shared" si="61"/>
        <v>0</v>
      </c>
      <c r="Z128" s="118"/>
      <c r="AA128" s="118"/>
      <c r="AB128" s="118"/>
    </row>
    <row r="129" customHeight="1" spans="1:28">
      <c r="A129" s="43"/>
      <c r="B129" s="129" t="s">
        <v>33</v>
      </c>
      <c r="C129" s="129"/>
      <c r="D129" s="162" t="s">
        <v>1120</v>
      </c>
      <c r="E129" s="119"/>
      <c r="F129" s="153">
        <f>SUM(F120:F128)</f>
        <v>321324.12</v>
      </c>
      <c r="G129" s="153"/>
      <c r="H129" s="153">
        <f t="shared" ref="H129:M129" si="127">SUM(H120:H128)</f>
        <v>963972.36</v>
      </c>
      <c r="I129" s="153">
        <f t="shared" si="127"/>
        <v>24099.309</v>
      </c>
      <c r="J129" s="153">
        <f t="shared" si="127"/>
        <v>240733.14</v>
      </c>
      <c r="K129" s="153">
        <f t="shared" si="127"/>
        <v>160662.06</v>
      </c>
      <c r="L129" s="153">
        <f t="shared" si="127"/>
        <v>1124634.42</v>
      </c>
      <c r="M129" s="153">
        <f t="shared" si="127"/>
        <v>321324.12</v>
      </c>
      <c r="N129" s="148"/>
      <c r="O129" s="148">
        <f>SUM(O120:O128)</f>
        <v>710000</v>
      </c>
      <c r="P129" s="153">
        <f>SUM(P120:P128)</f>
        <v>32132.412</v>
      </c>
      <c r="Q129" s="153">
        <f>SUM(Q120:Q128)</f>
        <v>160000</v>
      </c>
      <c r="R129" s="153">
        <f>SUM(R120:R128)</f>
        <v>330000</v>
      </c>
      <c r="S129" s="153">
        <f>SUM(S120:S128)</f>
        <v>4388881.941</v>
      </c>
      <c r="T129" s="153">
        <v>4347200.8335</v>
      </c>
      <c r="U129" s="154">
        <f t="shared" si="60"/>
        <v>41681.1075000009</v>
      </c>
      <c r="V129" s="153"/>
      <c r="W129" s="153">
        <f t="shared" ref="W129" si="128">SUM(W120:W128)</f>
        <v>151878.75</v>
      </c>
      <c r="X129" s="153">
        <v>151878.75</v>
      </c>
      <c r="Y129" s="118">
        <f t="shared" si="61"/>
        <v>0</v>
      </c>
      <c r="Z129" s="153"/>
      <c r="AA129" s="153"/>
      <c r="AB129" s="153"/>
    </row>
    <row r="130" customHeight="1" spans="1:28">
      <c r="A130" s="43"/>
      <c r="B130" s="129"/>
      <c r="C130" s="129"/>
      <c r="D130" s="162"/>
      <c r="E130" s="119"/>
      <c r="F130" s="153"/>
      <c r="G130" s="153"/>
      <c r="H130" s="153"/>
      <c r="I130" s="153"/>
      <c r="J130" s="153"/>
      <c r="K130" s="153"/>
      <c r="L130" s="153"/>
      <c r="M130" s="153"/>
      <c r="N130" s="44"/>
      <c r="O130" s="44"/>
      <c r="P130" s="153"/>
      <c r="Q130" s="153"/>
      <c r="R130" s="153"/>
      <c r="S130" s="153"/>
      <c r="T130" s="153"/>
      <c r="U130" s="118">
        <f t="shared" si="60"/>
        <v>0</v>
      </c>
      <c r="V130" s="153"/>
      <c r="W130" s="153"/>
      <c r="X130" s="153"/>
      <c r="Y130" s="118">
        <f t="shared" si="61"/>
        <v>0</v>
      </c>
      <c r="Z130" s="153"/>
      <c r="AA130" s="153"/>
      <c r="AB130" s="153"/>
    </row>
    <row r="131" customHeight="1" spans="1:28">
      <c r="A131" s="43"/>
      <c r="B131" s="129" t="s">
        <v>1180</v>
      </c>
      <c r="C131" s="129"/>
      <c r="D131" s="117"/>
      <c r="E131" s="119"/>
      <c r="F131" s="118"/>
      <c r="G131" s="118"/>
      <c r="H131" s="118"/>
      <c r="I131" s="118"/>
      <c r="J131" s="118"/>
      <c r="K131" s="118"/>
      <c r="L131" s="118"/>
      <c r="M131" s="118"/>
      <c r="N131" s="44"/>
      <c r="O131" s="44"/>
      <c r="P131" s="118"/>
      <c r="Q131" s="118"/>
      <c r="R131" s="118"/>
      <c r="S131" s="118"/>
      <c r="T131" s="118"/>
      <c r="U131" s="118">
        <f t="shared" si="60"/>
        <v>0</v>
      </c>
      <c r="V131" s="118"/>
      <c r="W131" s="118"/>
      <c r="X131" s="118"/>
      <c r="Y131" s="118">
        <f t="shared" si="61"/>
        <v>0</v>
      </c>
      <c r="Z131" s="118"/>
      <c r="AA131" s="118"/>
      <c r="AB131" s="118"/>
    </row>
    <row r="132" customHeight="1" spans="1:28">
      <c r="A132" s="43">
        <v>1</v>
      </c>
      <c r="B132" s="117" t="s">
        <v>1181</v>
      </c>
      <c r="C132" s="117"/>
      <c r="D132" s="117" t="s">
        <v>1182</v>
      </c>
      <c r="E132" s="119" t="s">
        <v>297</v>
      </c>
      <c r="F132" s="118">
        <v>81740.02</v>
      </c>
      <c r="G132" s="118"/>
      <c r="H132" s="118">
        <f>F132*300%</f>
        <v>245220.06</v>
      </c>
      <c r="I132" s="118">
        <f>F132*7.5%</f>
        <v>6130.5015</v>
      </c>
      <c r="J132" s="118">
        <v>80244.38</v>
      </c>
      <c r="K132" s="118">
        <f>F132*50%</f>
        <v>40870.01</v>
      </c>
      <c r="L132" s="118">
        <f>F132*350%</f>
        <v>286090.07</v>
      </c>
      <c r="M132" s="118">
        <f>F132*100%</f>
        <v>81740.02</v>
      </c>
      <c r="N132" s="44"/>
      <c r="O132" s="44">
        <f>100000</f>
        <v>100000</v>
      </c>
      <c r="P132" s="118">
        <f>F132*10%</f>
        <v>8174.002</v>
      </c>
      <c r="Q132" s="118">
        <v>20000</v>
      </c>
      <c r="R132" s="118">
        <v>0</v>
      </c>
      <c r="S132" s="118">
        <f>SUM(F132:R132)</f>
        <v>950209.0635</v>
      </c>
      <c r="T132" s="118">
        <v>950209.0635</v>
      </c>
      <c r="U132" s="118">
        <f t="shared" si="60"/>
        <v>0</v>
      </c>
      <c r="V132" s="118"/>
      <c r="W132" s="118">
        <v>52776.63</v>
      </c>
      <c r="X132" s="118">
        <v>52776.63</v>
      </c>
      <c r="Y132" s="118">
        <f t="shared" si="61"/>
        <v>0</v>
      </c>
      <c r="Z132" s="118"/>
      <c r="AA132" s="118"/>
      <c r="AB132" s="118"/>
    </row>
    <row r="133" customHeight="1" spans="1:28">
      <c r="A133" s="43">
        <v>2</v>
      </c>
      <c r="B133" s="117" t="s">
        <v>407</v>
      </c>
      <c r="C133" s="117"/>
      <c r="D133" s="117" t="s">
        <v>408</v>
      </c>
      <c r="E133" s="119" t="s">
        <v>297</v>
      </c>
      <c r="F133" s="118">
        <f>81740.02</f>
        <v>81740.02</v>
      </c>
      <c r="G133" s="118"/>
      <c r="H133" s="118">
        <f>F133*300%</f>
        <v>245220.06</v>
      </c>
      <c r="I133" s="118">
        <f>F133*7.5%</f>
        <v>6130.5015</v>
      </c>
      <c r="J133" s="118">
        <f>80244.38</f>
        <v>80244.38</v>
      </c>
      <c r="K133" s="118">
        <f>F133*50%</f>
        <v>40870.01</v>
      </c>
      <c r="L133" s="118">
        <f>F133*350%</f>
        <v>286090.07</v>
      </c>
      <c r="M133" s="118">
        <f>F133*100%</f>
        <v>81740.02</v>
      </c>
      <c r="N133" s="44"/>
      <c r="O133" s="44">
        <f>100000</f>
        <v>100000</v>
      </c>
      <c r="P133" s="118">
        <f>F133*10%</f>
        <v>8174.002</v>
      </c>
      <c r="Q133" s="118">
        <v>20000</v>
      </c>
      <c r="R133" s="118">
        <v>0</v>
      </c>
      <c r="S133" s="118">
        <f>SUM(F133:R133)</f>
        <v>950209.0635</v>
      </c>
      <c r="T133" s="118">
        <v>950209.0635</v>
      </c>
      <c r="U133" s="118">
        <f t="shared" si="60"/>
        <v>0</v>
      </c>
      <c r="V133" s="118"/>
      <c r="W133" s="118">
        <f>52776.63</f>
        <v>52776.63</v>
      </c>
      <c r="X133" s="118">
        <v>52776.63</v>
      </c>
      <c r="Y133" s="118">
        <f t="shared" si="61"/>
        <v>0</v>
      </c>
      <c r="Z133" s="118"/>
      <c r="AA133" s="118"/>
      <c r="AB133" s="118"/>
    </row>
    <row r="134" customHeight="1" spans="1:28">
      <c r="A134" s="43">
        <v>3</v>
      </c>
      <c r="B134" s="166" t="s">
        <v>229</v>
      </c>
      <c r="C134" s="166"/>
      <c r="D134" s="117" t="s">
        <v>230</v>
      </c>
      <c r="E134" s="119" t="s">
        <v>231</v>
      </c>
      <c r="F134" s="118">
        <f>42653.17</f>
        <v>42653.17</v>
      </c>
      <c r="G134" s="118"/>
      <c r="H134" s="118">
        <f t="shared" ref="H134:H186" si="129">F134*300%</f>
        <v>127959.51</v>
      </c>
      <c r="I134" s="118">
        <f t="shared" ref="I134:I186" si="130">F134*7.5%</f>
        <v>3198.98775</v>
      </c>
      <c r="J134" s="118">
        <v>40122.19</v>
      </c>
      <c r="K134" s="118">
        <f t="shared" ref="K134:K186" si="131">F134*50%</f>
        <v>21326.585</v>
      </c>
      <c r="L134" s="118">
        <f t="shared" ref="L134:L186" si="132">F134*350%</f>
        <v>149286.095</v>
      </c>
      <c r="M134" s="118">
        <f t="shared" ref="M134:M155" si="133">F134*100%</f>
        <v>42653.17</v>
      </c>
      <c r="N134" s="44"/>
      <c r="O134" s="44">
        <f>90000</f>
        <v>90000</v>
      </c>
      <c r="P134" s="118">
        <f t="shared" ref="P134:P155" si="134">F134*10%</f>
        <v>4265.317</v>
      </c>
      <c r="Q134" s="118">
        <v>20000</v>
      </c>
      <c r="R134" s="118">
        <v>0</v>
      </c>
      <c r="S134" s="118">
        <f t="shared" ref="S134:S154" si="135">SUM(F134:R134)</f>
        <v>541465.02475</v>
      </c>
      <c r="T134" s="118">
        <v>541465.02475</v>
      </c>
      <c r="U134" s="118">
        <f t="shared" si="60"/>
        <v>0</v>
      </c>
      <c r="V134" s="118"/>
      <c r="W134" s="118">
        <f>21618.09</f>
        <v>21618.09</v>
      </c>
      <c r="X134" s="118">
        <v>21618.09</v>
      </c>
      <c r="Y134" s="118">
        <f t="shared" si="61"/>
        <v>0</v>
      </c>
      <c r="Z134" s="118"/>
      <c r="AA134" s="118"/>
      <c r="AB134" s="118"/>
    </row>
    <row r="135" customHeight="1" spans="1:28">
      <c r="A135" s="43">
        <v>4</v>
      </c>
      <c r="B135" s="136" t="s">
        <v>409</v>
      </c>
      <c r="C135" s="137"/>
      <c r="D135" s="4" t="s">
        <v>1183</v>
      </c>
      <c r="E135" s="16" t="s">
        <v>249</v>
      </c>
      <c r="F135" s="118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18">
        <f t="shared" si="135"/>
        <v>497553.5025</v>
      </c>
      <c r="T135" s="118">
        <v>497553.5025</v>
      </c>
      <c r="U135" s="118">
        <f t="shared" si="60"/>
        <v>0</v>
      </c>
      <c r="V135" s="85"/>
      <c r="W135" s="85">
        <v>15548.33</v>
      </c>
      <c r="X135" s="85">
        <v>15548.33</v>
      </c>
      <c r="Y135" s="118">
        <f t="shared" si="61"/>
        <v>0</v>
      </c>
      <c r="Z135" s="118"/>
      <c r="AA135" s="118"/>
      <c r="AB135" s="118"/>
    </row>
    <row r="136" customHeight="1" spans="1:28">
      <c r="A136" s="43">
        <v>5</v>
      </c>
      <c r="B136" s="136" t="s">
        <v>1184</v>
      </c>
      <c r="C136" s="137"/>
      <c r="D136" s="4" t="s">
        <v>1185</v>
      </c>
      <c r="E136" s="16" t="s">
        <v>249</v>
      </c>
      <c r="F136" s="118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18">
        <f t="shared" si="135"/>
        <v>447553.5025</v>
      </c>
      <c r="T136" s="118">
        <v>447553.5025</v>
      </c>
      <c r="U136" s="118">
        <f t="shared" si="60"/>
        <v>0</v>
      </c>
      <c r="V136" s="85"/>
      <c r="W136" s="85">
        <v>15548.33</v>
      </c>
      <c r="X136" s="85">
        <v>15548.33</v>
      </c>
      <c r="Y136" s="118">
        <f t="shared" si="61"/>
        <v>0</v>
      </c>
      <c r="Z136" s="118"/>
      <c r="AA136" s="118"/>
      <c r="AB136" s="118"/>
    </row>
    <row r="137" customHeight="1" spans="1:28">
      <c r="A137" s="43">
        <v>6</v>
      </c>
      <c r="B137" s="117" t="s">
        <v>411</v>
      </c>
      <c r="C137" s="117"/>
      <c r="D137" s="117" t="s">
        <v>412</v>
      </c>
      <c r="E137" s="119" t="s">
        <v>342</v>
      </c>
      <c r="F137" s="118">
        <f>26732.65</f>
        <v>26732.65</v>
      </c>
      <c r="G137" s="118"/>
      <c r="H137" s="118">
        <f t="shared" si="129"/>
        <v>80197.95</v>
      </c>
      <c r="I137" s="118">
        <f t="shared" si="130"/>
        <v>2004.94875</v>
      </c>
      <c r="J137" s="118">
        <v>0</v>
      </c>
      <c r="K137" s="118">
        <f t="shared" si="131"/>
        <v>13366.325</v>
      </c>
      <c r="L137" s="118">
        <f t="shared" si="132"/>
        <v>93564.275</v>
      </c>
      <c r="M137" s="118">
        <f t="shared" si="133"/>
        <v>26732.65</v>
      </c>
      <c r="N137" s="44"/>
      <c r="O137" s="44">
        <v>70000</v>
      </c>
      <c r="P137" s="118">
        <f t="shared" si="134"/>
        <v>2673.265</v>
      </c>
      <c r="Q137" s="85">
        <v>20000</v>
      </c>
      <c r="R137" s="118"/>
      <c r="S137" s="118">
        <f t="shared" si="135"/>
        <v>335272.06375</v>
      </c>
      <c r="T137" s="118">
        <v>327211.3675</v>
      </c>
      <c r="U137" s="118">
        <f t="shared" si="60"/>
        <v>8060.69624999998</v>
      </c>
      <c r="V137" s="118"/>
      <c r="W137" s="118">
        <v>7709.76</v>
      </c>
      <c r="X137" s="118">
        <v>7709.76</v>
      </c>
      <c r="Y137" s="118">
        <f t="shared" si="61"/>
        <v>0</v>
      </c>
      <c r="Z137" s="118"/>
      <c r="AA137" s="118"/>
      <c r="AB137" s="118"/>
    </row>
    <row r="138" customHeight="1" spans="1:28">
      <c r="A138" s="43">
        <v>7</v>
      </c>
      <c r="B138" s="117" t="s">
        <v>413</v>
      </c>
      <c r="C138" s="117"/>
      <c r="D138" s="43" t="s">
        <v>414</v>
      </c>
      <c r="E138" s="119" t="s">
        <v>342</v>
      </c>
      <c r="F138" s="118">
        <f t="shared" ref="F138:F139" si="136">26732.65</f>
        <v>26732.65</v>
      </c>
      <c r="G138" s="118"/>
      <c r="H138" s="118">
        <f t="shared" si="129"/>
        <v>80197.95</v>
      </c>
      <c r="I138" s="118">
        <f t="shared" si="130"/>
        <v>2004.94875</v>
      </c>
      <c r="J138" s="118">
        <v>0</v>
      </c>
      <c r="K138" s="118">
        <f t="shared" si="131"/>
        <v>13366.325</v>
      </c>
      <c r="L138" s="118">
        <f t="shared" si="132"/>
        <v>93564.275</v>
      </c>
      <c r="M138" s="118">
        <f t="shared" si="133"/>
        <v>26732.65</v>
      </c>
      <c r="N138" s="44"/>
      <c r="O138" s="44">
        <v>70000</v>
      </c>
      <c r="P138" s="118">
        <f t="shared" si="134"/>
        <v>2673.265</v>
      </c>
      <c r="Q138" s="85">
        <v>20000</v>
      </c>
      <c r="R138" s="118">
        <v>0</v>
      </c>
      <c r="S138" s="118">
        <f t="shared" si="135"/>
        <v>335272.06375</v>
      </c>
      <c r="T138" s="118">
        <v>327211.3675</v>
      </c>
      <c r="U138" s="118">
        <f t="shared" ref="U138:U186" si="137">S138-T138</f>
        <v>8060.69624999998</v>
      </c>
      <c r="V138" s="118"/>
      <c r="W138" s="118">
        <v>7709.76</v>
      </c>
      <c r="X138" s="118">
        <v>7709.76</v>
      </c>
      <c r="Y138" s="118">
        <f t="shared" ref="Y138:Y186" si="138">X138-W138</f>
        <v>0</v>
      </c>
      <c r="Z138" s="118"/>
      <c r="AA138" s="118"/>
      <c r="AB138" s="118"/>
    </row>
    <row r="139" customHeight="1" spans="1:28">
      <c r="A139" s="43">
        <v>8</v>
      </c>
      <c r="B139" s="117" t="s">
        <v>415</v>
      </c>
      <c r="C139" s="117"/>
      <c r="D139" s="43" t="s">
        <v>414</v>
      </c>
      <c r="E139" s="119" t="s">
        <v>342</v>
      </c>
      <c r="F139" s="118">
        <f t="shared" si="136"/>
        <v>26732.65</v>
      </c>
      <c r="G139" s="118"/>
      <c r="H139" s="118">
        <f t="shared" si="129"/>
        <v>80197.95</v>
      </c>
      <c r="I139" s="118">
        <f t="shared" si="130"/>
        <v>2004.94875</v>
      </c>
      <c r="J139" s="118">
        <v>0</v>
      </c>
      <c r="K139" s="118">
        <f t="shared" si="131"/>
        <v>13366.325</v>
      </c>
      <c r="L139" s="118">
        <f t="shared" si="132"/>
        <v>93564.275</v>
      </c>
      <c r="M139" s="118">
        <f t="shared" si="133"/>
        <v>26732.65</v>
      </c>
      <c r="N139" s="44"/>
      <c r="O139" s="44">
        <v>70000</v>
      </c>
      <c r="P139" s="118">
        <f t="shared" si="134"/>
        <v>2673.265</v>
      </c>
      <c r="Q139" s="85">
        <v>20000</v>
      </c>
      <c r="R139" s="118">
        <v>0</v>
      </c>
      <c r="S139" s="118">
        <f t="shared" si="135"/>
        <v>335272.06375</v>
      </c>
      <c r="T139" s="118">
        <v>327211.3675</v>
      </c>
      <c r="U139" s="118">
        <v>0</v>
      </c>
      <c r="V139" s="118"/>
      <c r="W139" s="118">
        <v>7709.76</v>
      </c>
      <c r="X139" s="118">
        <v>7709.76</v>
      </c>
      <c r="Y139" s="118">
        <f t="shared" si="138"/>
        <v>0</v>
      </c>
      <c r="Z139" s="118"/>
      <c r="AA139" s="118"/>
      <c r="AB139" s="118"/>
    </row>
    <row r="140" customHeight="1" spans="1:28">
      <c r="A140" s="43">
        <v>9</v>
      </c>
      <c r="B140" s="117" t="s">
        <v>366</v>
      </c>
      <c r="C140" s="117"/>
      <c r="D140" s="43" t="s">
        <v>420</v>
      </c>
      <c r="E140" s="119" t="s">
        <v>950</v>
      </c>
      <c r="F140" s="118">
        <f>24741.26</f>
        <v>24741.26</v>
      </c>
      <c r="G140" s="118"/>
      <c r="H140" s="118">
        <f t="shared" si="129"/>
        <v>74223.78</v>
      </c>
      <c r="I140" s="118">
        <f t="shared" si="130"/>
        <v>1855.5945</v>
      </c>
      <c r="J140" s="118">
        <v>0</v>
      </c>
      <c r="K140" s="118">
        <f t="shared" si="131"/>
        <v>12370.63</v>
      </c>
      <c r="L140" s="118">
        <f t="shared" si="132"/>
        <v>86594.41</v>
      </c>
      <c r="M140" s="118">
        <f t="shared" si="133"/>
        <v>24741.26</v>
      </c>
      <c r="N140" s="44"/>
      <c r="O140" s="44">
        <v>70000</v>
      </c>
      <c r="P140" s="118">
        <f t="shared" si="134"/>
        <v>2474.126</v>
      </c>
      <c r="Q140" s="118">
        <v>15000</v>
      </c>
      <c r="R140" s="118">
        <v>0</v>
      </c>
      <c r="S140" s="118">
        <f t="shared" si="135"/>
        <v>312001.0605</v>
      </c>
      <c r="T140" s="118">
        <v>304201.026</v>
      </c>
      <c r="U140" s="118">
        <f t="shared" si="137"/>
        <v>7800.03449999995</v>
      </c>
      <c r="V140" s="118"/>
      <c r="W140" s="118">
        <f>7709.76</f>
        <v>7709.76</v>
      </c>
      <c r="X140" s="118">
        <v>7709.76</v>
      </c>
      <c r="Y140" s="118">
        <f t="shared" si="138"/>
        <v>0</v>
      </c>
      <c r="Z140" s="118"/>
      <c r="AA140" s="118"/>
      <c r="AB140" s="118"/>
    </row>
    <row r="141" customHeight="1" spans="1:28">
      <c r="A141" s="43">
        <v>10</v>
      </c>
      <c r="B141" s="115" t="s">
        <v>416</v>
      </c>
      <c r="C141" s="116"/>
      <c r="D141" s="117" t="s">
        <v>417</v>
      </c>
      <c r="E141" s="119" t="s">
        <v>332</v>
      </c>
      <c r="F141" s="118">
        <f>21520.88</f>
        <v>21520.88</v>
      </c>
      <c r="G141" s="118"/>
      <c r="H141" s="118">
        <f t="shared" si="129"/>
        <v>64562.64</v>
      </c>
      <c r="I141" s="118">
        <f t="shared" si="130"/>
        <v>1614.066</v>
      </c>
      <c r="J141" s="118">
        <v>0</v>
      </c>
      <c r="K141" s="118">
        <f t="shared" si="131"/>
        <v>10760.44</v>
      </c>
      <c r="L141" s="118">
        <f t="shared" si="132"/>
        <v>75323.08</v>
      </c>
      <c r="M141" s="118">
        <f t="shared" si="133"/>
        <v>21520.88</v>
      </c>
      <c r="N141" s="44"/>
      <c r="O141" s="44">
        <f t="shared" ref="O141:O149" si="139">60000</f>
        <v>60000</v>
      </c>
      <c r="P141" s="118">
        <f t="shared" si="134"/>
        <v>2152.088</v>
      </c>
      <c r="Q141" s="118">
        <v>15000</v>
      </c>
      <c r="R141" s="118">
        <v>0</v>
      </c>
      <c r="S141" s="118">
        <f t="shared" si="135"/>
        <v>272454.074</v>
      </c>
      <c r="T141" s="118">
        <v>265372.075</v>
      </c>
      <c r="U141" s="118">
        <f t="shared" si="137"/>
        <v>7081.99900000001</v>
      </c>
      <c r="V141" s="118"/>
      <c r="W141" s="118">
        <f>3369.51</f>
        <v>3369.51</v>
      </c>
      <c r="X141" s="118">
        <v>3369.51</v>
      </c>
      <c r="Y141" s="118">
        <f t="shared" si="138"/>
        <v>0</v>
      </c>
      <c r="Z141" s="118"/>
      <c r="AA141" s="118"/>
      <c r="AB141" s="118"/>
    </row>
    <row r="142" customHeight="1" spans="1:28">
      <c r="A142" s="43">
        <v>11</v>
      </c>
      <c r="B142" s="117" t="s">
        <v>418</v>
      </c>
      <c r="C142" s="117"/>
      <c r="D142" s="117" t="s">
        <v>417</v>
      </c>
      <c r="E142" s="119" t="s">
        <v>332</v>
      </c>
      <c r="F142" s="118">
        <f t="shared" ref="F142:F143" si="140">21520.88</f>
        <v>21520.88</v>
      </c>
      <c r="G142" s="118"/>
      <c r="H142" s="118">
        <f t="shared" si="129"/>
        <v>64562.64</v>
      </c>
      <c r="I142" s="118">
        <f t="shared" si="130"/>
        <v>1614.066</v>
      </c>
      <c r="J142" s="118">
        <v>0</v>
      </c>
      <c r="K142" s="118">
        <f t="shared" si="131"/>
        <v>10760.44</v>
      </c>
      <c r="L142" s="118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18">
        <f t="shared" si="134"/>
        <v>2152.088</v>
      </c>
      <c r="Q142" s="118">
        <v>15000</v>
      </c>
      <c r="R142" s="118">
        <v>0</v>
      </c>
      <c r="S142" s="118">
        <f t="shared" si="135"/>
        <v>272454.074</v>
      </c>
      <c r="T142" s="118">
        <v>265372.075</v>
      </c>
      <c r="U142" s="118">
        <f t="shared" si="137"/>
        <v>7081.99900000001</v>
      </c>
      <c r="V142" s="118"/>
      <c r="W142" s="118">
        <v>3369.51</v>
      </c>
      <c r="X142" s="118">
        <v>3369.51</v>
      </c>
      <c r="Y142" s="118">
        <f t="shared" si="138"/>
        <v>0</v>
      </c>
      <c r="Z142" s="118"/>
      <c r="AA142" s="118"/>
      <c r="AB142" s="118"/>
    </row>
    <row r="143" customHeight="1" spans="1:28">
      <c r="A143" s="43">
        <v>12</v>
      </c>
      <c r="B143" s="115" t="s">
        <v>419</v>
      </c>
      <c r="C143" s="116"/>
      <c r="D143" s="43" t="s">
        <v>420</v>
      </c>
      <c r="E143" s="119" t="s">
        <v>332</v>
      </c>
      <c r="F143" s="118">
        <f t="shared" si="140"/>
        <v>21520.88</v>
      </c>
      <c r="G143" s="118"/>
      <c r="H143" s="118">
        <f t="shared" si="129"/>
        <v>64562.64</v>
      </c>
      <c r="I143" s="118">
        <f t="shared" si="130"/>
        <v>1614.066</v>
      </c>
      <c r="J143" s="118"/>
      <c r="K143" s="118">
        <f t="shared" si="131"/>
        <v>10760.44</v>
      </c>
      <c r="L143" s="118">
        <f t="shared" si="132"/>
        <v>75323.08</v>
      </c>
      <c r="M143" s="118">
        <f t="shared" si="133"/>
        <v>21520.88</v>
      </c>
      <c r="N143" s="44"/>
      <c r="O143" s="44">
        <f t="shared" si="139"/>
        <v>60000</v>
      </c>
      <c r="P143" s="118">
        <f t="shared" si="134"/>
        <v>2152.088</v>
      </c>
      <c r="Q143" s="118">
        <v>15000</v>
      </c>
      <c r="R143" s="118"/>
      <c r="S143" s="118">
        <f t="shared" si="135"/>
        <v>272454.074</v>
      </c>
      <c r="T143" s="118">
        <v>265372.075</v>
      </c>
      <c r="U143" s="118">
        <f t="shared" si="137"/>
        <v>7081.99900000001</v>
      </c>
      <c r="V143" s="118"/>
      <c r="W143" s="118">
        <v>3369.51</v>
      </c>
      <c r="X143" s="118">
        <v>3369.51</v>
      </c>
      <c r="Y143" s="118">
        <f t="shared" si="138"/>
        <v>0</v>
      </c>
      <c r="Z143" s="118"/>
      <c r="AA143" s="118"/>
      <c r="AB143" s="118"/>
    </row>
    <row r="144" customHeight="1" spans="1:28">
      <c r="A144" s="43">
        <v>13</v>
      </c>
      <c r="B144" s="115" t="s">
        <v>421</v>
      </c>
      <c r="C144" s="116"/>
      <c r="D144" s="43" t="s">
        <v>430</v>
      </c>
      <c r="E144" s="119" t="s">
        <v>432</v>
      </c>
      <c r="F144" s="85">
        <f>18779.3</f>
        <v>18779.3</v>
      </c>
      <c r="G144" s="118"/>
      <c r="H144" s="118">
        <f t="shared" si="129"/>
        <v>56337.9</v>
      </c>
      <c r="I144" s="118">
        <f t="shared" si="130"/>
        <v>1408.4475</v>
      </c>
      <c r="J144" s="118"/>
      <c r="K144" s="118">
        <f t="shared" si="131"/>
        <v>9389.65</v>
      </c>
      <c r="L144" s="118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18">
        <f t="shared" si="134"/>
        <v>1877.93</v>
      </c>
      <c r="Q144" s="118">
        <v>10000</v>
      </c>
      <c r="R144" s="118"/>
      <c r="S144" s="118">
        <f t="shared" si="135"/>
        <v>242300.0775</v>
      </c>
      <c r="T144" s="118">
        <v>237734.047</v>
      </c>
      <c r="U144" s="118">
        <f t="shared" si="137"/>
        <v>4566.03049999996</v>
      </c>
      <c r="V144" s="118"/>
      <c r="W144" s="118">
        <v>3369.51</v>
      </c>
      <c r="X144" s="118">
        <v>3369.51</v>
      </c>
      <c r="Y144" s="118">
        <f t="shared" si="138"/>
        <v>0</v>
      </c>
      <c r="Z144" s="118"/>
      <c r="AA144" s="118"/>
      <c r="AB144" s="118"/>
    </row>
    <row r="145" customHeight="1" spans="1:28">
      <c r="A145" s="43">
        <v>14</v>
      </c>
      <c r="B145" s="115" t="s">
        <v>423</v>
      </c>
      <c r="C145" s="116"/>
      <c r="D145" s="117" t="s">
        <v>971</v>
      </c>
      <c r="E145" s="119" t="s">
        <v>345</v>
      </c>
      <c r="F145" s="85">
        <f>18281.64</f>
        <v>18281.64</v>
      </c>
      <c r="G145" s="118"/>
      <c r="H145" s="118">
        <f t="shared" si="129"/>
        <v>54844.92</v>
      </c>
      <c r="I145" s="118">
        <f t="shared" si="130"/>
        <v>1371.123</v>
      </c>
      <c r="J145" s="118"/>
      <c r="K145" s="118">
        <f t="shared" si="131"/>
        <v>9140.82</v>
      </c>
      <c r="L145" s="118">
        <f t="shared" si="132"/>
        <v>63985.74</v>
      </c>
      <c r="M145" s="118">
        <f t="shared" si="133"/>
        <v>18281.64</v>
      </c>
      <c r="N145" s="44"/>
      <c r="O145" s="44">
        <f t="shared" si="139"/>
        <v>60000</v>
      </c>
      <c r="P145" s="118">
        <f t="shared" si="134"/>
        <v>1828.164</v>
      </c>
      <c r="Q145" s="118">
        <v>10000</v>
      </c>
      <c r="R145" s="118"/>
      <c r="S145" s="118">
        <f t="shared" si="135"/>
        <v>237734.047</v>
      </c>
      <c r="T145" s="118">
        <v>233168.2</v>
      </c>
      <c r="U145" s="118">
        <f t="shared" si="137"/>
        <v>4565.84699999995</v>
      </c>
      <c r="V145" s="118"/>
      <c r="W145" s="118">
        <f>3369.51</f>
        <v>3369.51</v>
      </c>
      <c r="X145" s="118">
        <v>3369.51</v>
      </c>
      <c r="Y145" s="118">
        <f t="shared" si="138"/>
        <v>0</v>
      </c>
      <c r="Z145" s="118"/>
      <c r="AA145" s="118"/>
      <c r="AB145" s="118"/>
    </row>
    <row r="146" customHeight="1" spans="1:28">
      <c r="A146" s="43">
        <v>15</v>
      </c>
      <c r="B146" s="115" t="s">
        <v>425</v>
      </c>
      <c r="C146" s="116"/>
      <c r="D146" s="117" t="s">
        <v>449</v>
      </c>
      <c r="E146" s="119" t="s">
        <v>432</v>
      </c>
      <c r="F146" s="85">
        <f>18779.3</f>
        <v>18779.3</v>
      </c>
      <c r="G146" s="118"/>
      <c r="H146" s="118">
        <f t="shared" si="129"/>
        <v>56337.9</v>
      </c>
      <c r="I146" s="118">
        <f t="shared" si="130"/>
        <v>1408.4475</v>
      </c>
      <c r="J146" s="118"/>
      <c r="K146" s="118">
        <f t="shared" si="131"/>
        <v>9389.65</v>
      </c>
      <c r="L146" s="118">
        <f t="shared" si="132"/>
        <v>65727.55</v>
      </c>
      <c r="M146" s="118">
        <f t="shared" si="133"/>
        <v>18779.3</v>
      </c>
      <c r="N146" s="44"/>
      <c r="O146" s="44">
        <f t="shared" si="139"/>
        <v>60000</v>
      </c>
      <c r="P146" s="118">
        <f t="shared" si="134"/>
        <v>1877.93</v>
      </c>
      <c r="Q146" s="118">
        <v>10000</v>
      </c>
      <c r="R146" s="118"/>
      <c r="S146" s="118">
        <f t="shared" si="135"/>
        <v>242300.0775</v>
      </c>
      <c r="T146" s="118">
        <v>237734.047</v>
      </c>
      <c r="U146" s="118">
        <f t="shared" si="137"/>
        <v>4566.03049999996</v>
      </c>
      <c r="V146" s="118"/>
      <c r="W146" s="118">
        <v>3369.51</v>
      </c>
      <c r="X146" s="118">
        <v>3369.51</v>
      </c>
      <c r="Y146" s="118">
        <f t="shared" si="138"/>
        <v>0</v>
      </c>
      <c r="Z146" s="118"/>
      <c r="AA146" s="118"/>
      <c r="AB146" s="118"/>
    </row>
    <row r="147" customHeight="1" spans="1:28">
      <c r="A147" s="43">
        <v>16</v>
      </c>
      <c r="B147" s="115" t="s">
        <v>1186</v>
      </c>
      <c r="C147" s="116"/>
      <c r="D147" s="43" t="s">
        <v>430</v>
      </c>
      <c r="E147" s="119" t="s">
        <v>301</v>
      </c>
      <c r="F147" s="128">
        <f>17784.1</f>
        <v>17784.1</v>
      </c>
      <c r="G147" s="118"/>
      <c r="H147" s="118">
        <f t="shared" si="129"/>
        <v>53352.3</v>
      </c>
      <c r="I147" s="118">
        <f t="shared" si="130"/>
        <v>1333.8075</v>
      </c>
      <c r="J147" s="118"/>
      <c r="K147" s="118">
        <f t="shared" si="131"/>
        <v>8892.05</v>
      </c>
      <c r="L147" s="118">
        <f t="shared" si="132"/>
        <v>62244.35</v>
      </c>
      <c r="M147" s="118">
        <f t="shared" si="133"/>
        <v>17784.1</v>
      </c>
      <c r="N147" s="44"/>
      <c r="O147" s="44">
        <f t="shared" si="139"/>
        <v>60000</v>
      </c>
      <c r="P147" s="118">
        <f t="shared" si="134"/>
        <v>1778.41</v>
      </c>
      <c r="Q147" s="118">
        <v>10000</v>
      </c>
      <c r="R147" s="118"/>
      <c r="S147" s="118">
        <f t="shared" si="135"/>
        <v>233169.1175</v>
      </c>
      <c r="T147" s="118">
        <v>228602.07775</v>
      </c>
      <c r="U147" s="118">
        <f t="shared" si="137"/>
        <v>4567.03975</v>
      </c>
      <c r="V147" s="118"/>
      <c r="W147" s="118">
        <v>1484.37</v>
      </c>
      <c r="X147" s="118">
        <v>1484.37</v>
      </c>
      <c r="Y147" s="118">
        <f t="shared" si="138"/>
        <v>0</v>
      </c>
      <c r="Z147" s="118"/>
      <c r="AA147" s="118"/>
      <c r="AB147" s="118"/>
    </row>
    <row r="148" customHeight="1" spans="1:28">
      <c r="A148" s="43">
        <v>17</v>
      </c>
      <c r="B148" s="115" t="s">
        <v>1187</v>
      </c>
      <c r="C148" s="116"/>
      <c r="D148" s="43" t="s">
        <v>430</v>
      </c>
      <c r="E148" s="119" t="s">
        <v>301</v>
      </c>
      <c r="F148" s="128">
        <f t="shared" ref="F148:F149" si="141">17784.1</f>
        <v>17784.1</v>
      </c>
      <c r="G148" s="118"/>
      <c r="H148" s="118">
        <f t="shared" si="129"/>
        <v>53352.3</v>
      </c>
      <c r="I148" s="118">
        <f t="shared" si="130"/>
        <v>1333.8075</v>
      </c>
      <c r="J148" s="118"/>
      <c r="K148" s="118">
        <f t="shared" si="131"/>
        <v>8892.05</v>
      </c>
      <c r="L148" s="118">
        <f t="shared" si="132"/>
        <v>62244.35</v>
      </c>
      <c r="M148" s="118">
        <f t="shared" si="133"/>
        <v>17784.1</v>
      </c>
      <c r="N148" s="44"/>
      <c r="O148" s="44">
        <f t="shared" si="139"/>
        <v>60000</v>
      </c>
      <c r="P148" s="118">
        <f t="shared" si="134"/>
        <v>1778.41</v>
      </c>
      <c r="Q148" s="118">
        <v>10000</v>
      </c>
      <c r="R148" s="118"/>
      <c r="S148" s="118">
        <f t="shared" si="135"/>
        <v>233169.1175</v>
      </c>
      <c r="T148" s="118">
        <v>228602.07775</v>
      </c>
      <c r="U148" s="118">
        <f t="shared" si="137"/>
        <v>4567.03975</v>
      </c>
      <c r="V148" s="118"/>
      <c r="W148" s="118">
        <v>1484.37</v>
      </c>
      <c r="X148" s="118">
        <v>1484.37</v>
      </c>
      <c r="Y148" s="118">
        <f t="shared" si="138"/>
        <v>0</v>
      </c>
      <c r="Z148" s="118"/>
      <c r="AA148" s="118"/>
      <c r="AB148" s="118"/>
    </row>
    <row r="149" customHeight="1" spans="1:28">
      <c r="A149" s="43">
        <v>18</v>
      </c>
      <c r="B149" s="115" t="s">
        <v>433</v>
      </c>
      <c r="C149" s="116"/>
      <c r="D149" s="43" t="s">
        <v>430</v>
      </c>
      <c r="E149" s="119" t="s">
        <v>301</v>
      </c>
      <c r="F149" s="128">
        <f t="shared" si="141"/>
        <v>17784.1</v>
      </c>
      <c r="G149" s="118"/>
      <c r="H149" s="118">
        <f t="shared" si="129"/>
        <v>53352.3</v>
      </c>
      <c r="I149" s="118">
        <f t="shared" si="130"/>
        <v>1333.8075</v>
      </c>
      <c r="J149" s="118"/>
      <c r="K149" s="118">
        <f t="shared" si="131"/>
        <v>8892.05</v>
      </c>
      <c r="L149" s="118">
        <f t="shared" si="132"/>
        <v>62244.35</v>
      </c>
      <c r="M149" s="118">
        <f t="shared" si="133"/>
        <v>17784.1</v>
      </c>
      <c r="N149" s="44"/>
      <c r="O149" s="44">
        <f t="shared" si="139"/>
        <v>60000</v>
      </c>
      <c r="P149" s="118">
        <f t="shared" si="134"/>
        <v>1778.41</v>
      </c>
      <c r="Q149" s="118">
        <v>10000</v>
      </c>
      <c r="R149" s="118"/>
      <c r="S149" s="118">
        <f t="shared" si="135"/>
        <v>233169.1175</v>
      </c>
      <c r="T149" s="118">
        <v>228602.07775</v>
      </c>
      <c r="U149" s="118">
        <f t="shared" si="137"/>
        <v>4567.03975</v>
      </c>
      <c r="V149" s="118"/>
      <c r="W149" s="118">
        <v>1484.37</v>
      </c>
      <c r="X149" s="118">
        <v>1484.37</v>
      </c>
      <c r="Y149" s="118">
        <f t="shared" si="138"/>
        <v>0</v>
      </c>
      <c r="Z149" s="118"/>
      <c r="AA149" s="118"/>
      <c r="AB149" s="118"/>
    </row>
    <row r="150" customHeight="1" spans="1:28">
      <c r="A150" s="43">
        <v>19</v>
      </c>
      <c r="B150" s="115" t="s">
        <v>438</v>
      </c>
      <c r="C150" s="116"/>
      <c r="D150" s="117" t="s">
        <v>449</v>
      </c>
      <c r="E150" s="119" t="s">
        <v>945</v>
      </c>
      <c r="F150" s="128">
        <f>13492.21</f>
        <v>13492.21</v>
      </c>
      <c r="G150" s="118"/>
      <c r="H150" s="118">
        <f t="shared" si="129"/>
        <v>40476.63</v>
      </c>
      <c r="I150" s="118">
        <f t="shared" si="130"/>
        <v>1011.91575</v>
      </c>
      <c r="J150" s="118"/>
      <c r="K150" s="118">
        <f t="shared" si="131"/>
        <v>6746.105</v>
      </c>
      <c r="L150" s="118">
        <f t="shared" si="132"/>
        <v>47222.735</v>
      </c>
      <c r="M150" s="118">
        <f t="shared" si="133"/>
        <v>13492.21</v>
      </c>
      <c r="N150" s="44"/>
      <c r="O150" s="44">
        <f t="shared" ref="O150:O157" si="142">50000</f>
        <v>50000</v>
      </c>
      <c r="P150" s="118">
        <f t="shared" si="134"/>
        <v>1349.221</v>
      </c>
      <c r="Q150" s="118">
        <v>10000</v>
      </c>
      <c r="R150" s="118"/>
      <c r="S150" s="118">
        <f t="shared" si="135"/>
        <v>183791.02675</v>
      </c>
      <c r="T150" s="118">
        <v>180304.068</v>
      </c>
      <c r="U150" s="118">
        <f t="shared" si="137"/>
        <v>3486.95874999999</v>
      </c>
      <c r="V150" s="118"/>
      <c r="W150" s="118">
        <v>1484.37</v>
      </c>
      <c r="X150" s="118">
        <v>1484.37</v>
      </c>
      <c r="Y150" s="118">
        <f t="shared" si="138"/>
        <v>0</v>
      </c>
      <c r="Z150" s="118"/>
      <c r="AA150" s="118"/>
      <c r="AB150" s="118"/>
    </row>
    <row r="151" customHeight="1" spans="1:28">
      <c r="A151" s="43">
        <v>20</v>
      </c>
      <c r="B151" s="115" t="s">
        <v>440</v>
      </c>
      <c r="C151" s="116"/>
      <c r="D151" s="117" t="s">
        <v>1188</v>
      </c>
      <c r="E151" s="119" t="s">
        <v>945</v>
      </c>
      <c r="F151" s="128">
        <f t="shared" ref="F151:F153" si="143">13492.21</f>
        <v>13492.21</v>
      </c>
      <c r="G151" s="118"/>
      <c r="H151" s="118">
        <f t="shared" si="129"/>
        <v>40476.63</v>
      </c>
      <c r="I151" s="118">
        <f t="shared" si="130"/>
        <v>1011.91575</v>
      </c>
      <c r="J151" s="118"/>
      <c r="K151" s="118">
        <f t="shared" si="131"/>
        <v>6746.105</v>
      </c>
      <c r="L151" s="118">
        <f t="shared" si="132"/>
        <v>47222.735</v>
      </c>
      <c r="M151" s="118">
        <f t="shared" si="133"/>
        <v>13492.21</v>
      </c>
      <c r="N151" s="44"/>
      <c r="O151" s="44">
        <f t="shared" si="142"/>
        <v>50000</v>
      </c>
      <c r="P151" s="118">
        <f t="shared" si="134"/>
        <v>1349.221</v>
      </c>
      <c r="Q151" s="118">
        <v>10000</v>
      </c>
      <c r="R151" s="118"/>
      <c r="S151" s="118">
        <f t="shared" si="135"/>
        <v>183791.02675</v>
      </c>
      <c r="T151" s="118">
        <v>180304.068</v>
      </c>
      <c r="U151" s="118">
        <f t="shared" si="137"/>
        <v>3486.95874999999</v>
      </c>
      <c r="V151" s="118"/>
      <c r="W151" s="118">
        <v>1484.37</v>
      </c>
      <c r="X151" s="118">
        <v>1484.37</v>
      </c>
      <c r="Y151" s="118">
        <f t="shared" si="138"/>
        <v>0</v>
      </c>
      <c r="Z151" s="118"/>
      <c r="AA151" s="118"/>
      <c r="AB151" s="118"/>
    </row>
    <row r="152" customHeight="1" spans="1:28">
      <c r="A152" s="43">
        <v>21</v>
      </c>
      <c r="B152" s="115" t="s">
        <v>442</v>
      </c>
      <c r="C152" s="116"/>
      <c r="D152" s="117" t="s">
        <v>449</v>
      </c>
      <c r="E152" s="119" t="s">
        <v>945</v>
      </c>
      <c r="F152" s="128">
        <f t="shared" si="143"/>
        <v>13492.21</v>
      </c>
      <c r="G152" s="118"/>
      <c r="H152" s="118">
        <f t="shared" si="129"/>
        <v>40476.63</v>
      </c>
      <c r="I152" s="118">
        <f t="shared" si="130"/>
        <v>1011.91575</v>
      </c>
      <c r="J152" s="118"/>
      <c r="K152" s="118">
        <f t="shared" si="131"/>
        <v>6746.105</v>
      </c>
      <c r="L152" s="118">
        <f t="shared" si="132"/>
        <v>47222.735</v>
      </c>
      <c r="M152" s="118">
        <f t="shared" si="133"/>
        <v>13492.21</v>
      </c>
      <c r="N152" s="44"/>
      <c r="O152" s="44">
        <f t="shared" si="142"/>
        <v>50000</v>
      </c>
      <c r="P152" s="118">
        <f t="shared" si="134"/>
        <v>1349.221</v>
      </c>
      <c r="Q152" s="118">
        <v>10000</v>
      </c>
      <c r="R152" s="118"/>
      <c r="S152" s="118">
        <f t="shared" si="135"/>
        <v>183791.02675</v>
      </c>
      <c r="T152" s="118">
        <v>180304.068</v>
      </c>
      <c r="U152" s="118">
        <f t="shared" si="137"/>
        <v>3486.95874999999</v>
      </c>
      <c r="V152" s="118"/>
      <c r="W152" s="118">
        <v>1484.37</v>
      </c>
      <c r="X152" s="118">
        <v>1484.37</v>
      </c>
      <c r="Y152" s="118">
        <f t="shared" si="138"/>
        <v>0</v>
      </c>
      <c r="Z152" s="118"/>
      <c r="AA152" s="118"/>
      <c r="AB152" s="118"/>
    </row>
    <row r="153" customHeight="1" spans="1:28">
      <c r="A153" s="43">
        <v>22</v>
      </c>
      <c r="B153" s="115" t="s">
        <v>444</v>
      </c>
      <c r="C153" s="116"/>
      <c r="D153" s="117" t="s">
        <v>445</v>
      </c>
      <c r="E153" s="119" t="s">
        <v>945</v>
      </c>
      <c r="F153" s="128">
        <f t="shared" si="143"/>
        <v>13492.21</v>
      </c>
      <c r="G153" s="118"/>
      <c r="H153" s="118">
        <f t="shared" si="129"/>
        <v>40476.63</v>
      </c>
      <c r="I153" s="118">
        <f t="shared" si="130"/>
        <v>1011.91575</v>
      </c>
      <c r="J153" s="118"/>
      <c r="K153" s="118">
        <f t="shared" si="131"/>
        <v>6746.105</v>
      </c>
      <c r="L153" s="118">
        <f t="shared" si="132"/>
        <v>47222.735</v>
      </c>
      <c r="M153" s="118">
        <f t="shared" si="133"/>
        <v>13492.21</v>
      </c>
      <c r="N153" s="44"/>
      <c r="O153" s="44">
        <f t="shared" si="142"/>
        <v>50000</v>
      </c>
      <c r="P153" s="118">
        <f t="shared" si="134"/>
        <v>1349.221</v>
      </c>
      <c r="Q153" s="118">
        <v>10000</v>
      </c>
      <c r="R153" s="118"/>
      <c r="S153" s="118">
        <f t="shared" si="135"/>
        <v>183791.02675</v>
      </c>
      <c r="T153" s="118">
        <v>180304.068</v>
      </c>
      <c r="U153" s="118">
        <f t="shared" si="137"/>
        <v>3486.95874999999</v>
      </c>
      <c r="V153" s="118"/>
      <c r="W153" s="118">
        <v>1484.37</v>
      </c>
      <c r="X153" s="118">
        <v>1484.37</v>
      </c>
      <c r="Y153" s="118">
        <f t="shared" si="138"/>
        <v>0</v>
      </c>
      <c r="Z153" s="118"/>
      <c r="AA153" s="118"/>
      <c r="AB153" s="118"/>
    </row>
    <row r="154" customHeight="1" spans="1:28">
      <c r="A154" s="43">
        <v>23</v>
      </c>
      <c r="B154" s="115" t="s">
        <v>446</v>
      </c>
      <c r="C154" s="116"/>
      <c r="D154" s="117" t="s">
        <v>451</v>
      </c>
      <c r="E154" s="119" t="s">
        <v>1166</v>
      </c>
      <c r="F154" s="128">
        <f>13112.16</f>
        <v>13112.16</v>
      </c>
      <c r="G154" s="118"/>
      <c r="H154" s="118">
        <f t="shared" si="129"/>
        <v>39336.48</v>
      </c>
      <c r="I154" s="118">
        <f t="shared" si="130"/>
        <v>983.412</v>
      </c>
      <c r="J154" s="118"/>
      <c r="K154" s="118">
        <f t="shared" si="131"/>
        <v>6556.08</v>
      </c>
      <c r="L154" s="118">
        <f t="shared" si="132"/>
        <v>45892.56</v>
      </c>
      <c r="M154" s="118">
        <f t="shared" si="133"/>
        <v>13112.16</v>
      </c>
      <c r="N154" s="44"/>
      <c r="O154" s="44">
        <f t="shared" si="142"/>
        <v>50000</v>
      </c>
      <c r="P154" s="118">
        <f t="shared" si="134"/>
        <v>1311.216</v>
      </c>
      <c r="Q154" s="118">
        <v>10000</v>
      </c>
      <c r="S154" s="118">
        <f t="shared" si="135"/>
        <v>180304.068</v>
      </c>
      <c r="T154" s="118">
        <v>223168.2</v>
      </c>
      <c r="U154" s="118">
        <f t="shared" si="137"/>
        <v>-42864.132</v>
      </c>
      <c r="V154" s="118"/>
      <c r="W154" s="118">
        <f>3369.51</f>
        <v>3369.51</v>
      </c>
      <c r="X154" s="118">
        <v>3369.51</v>
      </c>
      <c r="Y154" s="118">
        <f t="shared" si="138"/>
        <v>0</v>
      </c>
      <c r="Z154" s="118"/>
      <c r="AA154" s="118"/>
      <c r="AB154" s="118"/>
    </row>
    <row r="155" customHeight="1" spans="1:28">
      <c r="A155" s="43">
        <v>24</v>
      </c>
      <c r="B155" s="115" t="s">
        <v>1143</v>
      </c>
      <c r="C155" s="116"/>
      <c r="D155" s="117" t="s">
        <v>449</v>
      </c>
      <c r="E155" s="119" t="s">
        <v>30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18">
        <f t="shared" ref="S155:S157" si="144">R155+Q155+P155+O155+N155+M155+L155+K155+J155+I155+H155+G155+F155</f>
        <v>173329.0495</v>
      </c>
      <c r="T155" s="118">
        <v>173329.0495</v>
      </c>
      <c r="U155" s="118">
        <f t="shared" si="137"/>
        <v>0</v>
      </c>
      <c r="V155" s="118"/>
      <c r="W155" s="118">
        <v>1484.37</v>
      </c>
      <c r="X155" s="118">
        <v>1484.37</v>
      </c>
      <c r="Y155" s="118">
        <f t="shared" si="138"/>
        <v>0</v>
      </c>
      <c r="Z155" s="118"/>
      <c r="AA155" s="118"/>
      <c r="AB155" s="118"/>
    </row>
    <row r="156" customHeight="1" spans="1:28">
      <c r="A156" s="43">
        <v>25</v>
      </c>
      <c r="B156" s="115" t="s">
        <v>361</v>
      </c>
      <c r="C156" s="116"/>
      <c r="D156" s="117" t="s">
        <v>451</v>
      </c>
      <c r="E156" s="119" t="s">
        <v>30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18">
        <f t="shared" si="144"/>
        <v>173329.0495</v>
      </c>
      <c r="T156" s="118">
        <v>173329.0495</v>
      </c>
      <c r="U156" s="118">
        <f t="shared" si="137"/>
        <v>0</v>
      </c>
      <c r="V156" s="118"/>
      <c r="W156" s="118">
        <v>1484.37</v>
      </c>
      <c r="X156" s="118">
        <v>1484.37</v>
      </c>
      <c r="Y156" s="118">
        <f t="shared" si="138"/>
        <v>0</v>
      </c>
      <c r="Z156" s="118"/>
      <c r="AA156" s="118"/>
      <c r="AB156" s="118"/>
    </row>
    <row r="157" customHeight="1" spans="1:28">
      <c r="A157" s="43">
        <v>26</v>
      </c>
      <c r="B157" s="115" t="s">
        <v>448</v>
      </c>
      <c r="C157" s="116"/>
      <c r="D157" s="117" t="s">
        <v>449</v>
      </c>
      <c r="E157" s="119" t="s">
        <v>30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18">
        <f t="shared" si="144"/>
        <v>173329.0495</v>
      </c>
      <c r="T157" s="118">
        <v>173329.0495</v>
      </c>
      <c r="U157" s="118">
        <f t="shared" si="137"/>
        <v>0</v>
      </c>
      <c r="V157" s="118"/>
      <c r="W157" s="118">
        <v>1484.37</v>
      </c>
      <c r="X157" s="118">
        <v>1484.37</v>
      </c>
      <c r="Y157" s="118">
        <f t="shared" si="138"/>
        <v>0</v>
      </c>
      <c r="Z157" s="118"/>
      <c r="AA157" s="118"/>
      <c r="AB157" s="118"/>
    </row>
    <row r="158" customHeight="1" spans="1:28">
      <c r="A158" s="43">
        <v>27</v>
      </c>
      <c r="B158" s="117" t="s">
        <v>457</v>
      </c>
      <c r="C158" s="117"/>
      <c r="D158" s="117" t="s">
        <v>458</v>
      </c>
      <c r="E158" s="119" t="s">
        <v>476</v>
      </c>
      <c r="F158" s="128">
        <f>9050.14</f>
        <v>9050.14</v>
      </c>
      <c r="G158" s="44"/>
      <c r="H158" s="118">
        <f t="shared" si="129"/>
        <v>27150.42</v>
      </c>
      <c r="I158" s="118">
        <f t="shared" si="130"/>
        <v>678.7605</v>
      </c>
      <c r="J158" s="128">
        <v>0</v>
      </c>
      <c r="K158" s="118">
        <f t="shared" si="131"/>
        <v>4525.07</v>
      </c>
      <c r="L158" s="118">
        <f t="shared" si="132"/>
        <v>31675.49</v>
      </c>
      <c r="M158" s="118">
        <f t="shared" si="150"/>
        <v>9050.14</v>
      </c>
      <c r="N158" s="44"/>
      <c r="O158" s="44">
        <f t="shared" ref="O158:O164" si="152">30000</f>
        <v>30000</v>
      </c>
      <c r="P158" s="118">
        <f t="shared" si="151"/>
        <v>905.014</v>
      </c>
      <c r="Q158" s="128">
        <v>5000</v>
      </c>
      <c r="R158" s="118">
        <f>4000</f>
        <v>4000</v>
      </c>
      <c r="S158" s="118">
        <f t="shared" ref="S158:S182" si="153">SUM(F158:R158)</f>
        <v>122035.0345</v>
      </c>
      <c r="T158" s="118">
        <v>119104.99825</v>
      </c>
      <c r="U158" s="118">
        <f t="shared" si="137"/>
        <v>2930.03624999999</v>
      </c>
      <c r="V158" s="118"/>
      <c r="W158" s="118">
        <v>236.04</v>
      </c>
      <c r="X158" s="118">
        <v>236.04</v>
      </c>
      <c r="Y158" s="118">
        <f t="shared" si="138"/>
        <v>0</v>
      </c>
      <c r="Z158" s="118"/>
      <c r="AA158" s="118"/>
      <c r="AB158" s="118"/>
    </row>
    <row r="159" customHeight="1" spans="1:28">
      <c r="A159" s="43">
        <v>28</v>
      </c>
      <c r="B159" s="117" t="s">
        <v>460</v>
      </c>
      <c r="C159" s="117"/>
      <c r="D159" s="117" t="s">
        <v>458</v>
      </c>
      <c r="E159" s="119" t="s">
        <v>476</v>
      </c>
      <c r="F159" s="128">
        <f t="shared" ref="F159:F164" si="154">9050.14</f>
        <v>9050.14</v>
      </c>
      <c r="G159" s="44"/>
      <c r="H159" s="118">
        <f t="shared" si="129"/>
        <v>27150.42</v>
      </c>
      <c r="I159" s="118">
        <f t="shared" si="130"/>
        <v>678.7605</v>
      </c>
      <c r="J159" s="128">
        <v>0</v>
      </c>
      <c r="K159" s="118">
        <f t="shared" si="131"/>
        <v>4525.07</v>
      </c>
      <c r="L159" s="118">
        <f t="shared" si="132"/>
        <v>31675.49</v>
      </c>
      <c r="M159" s="118">
        <f t="shared" si="150"/>
        <v>9050.14</v>
      </c>
      <c r="N159" s="44"/>
      <c r="O159" s="44">
        <f t="shared" si="152"/>
        <v>30000</v>
      </c>
      <c r="P159" s="118">
        <f t="shared" si="151"/>
        <v>905.014</v>
      </c>
      <c r="Q159" s="128">
        <v>5000</v>
      </c>
      <c r="R159" s="118">
        <f>7000</f>
        <v>7000</v>
      </c>
      <c r="S159" s="118">
        <f t="shared" si="153"/>
        <v>125035.0345</v>
      </c>
      <c r="T159" s="118">
        <v>122104.99825</v>
      </c>
      <c r="U159" s="118">
        <f t="shared" si="137"/>
        <v>2930.03624999999</v>
      </c>
      <c r="V159" s="118"/>
      <c r="W159" s="118">
        <v>236.04</v>
      </c>
      <c r="X159" s="118">
        <v>236.04</v>
      </c>
      <c r="Y159" s="118">
        <f t="shared" si="138"/>
        <v>0</v>
      </c>
      <c r="Z159" s="118"/>
      <c r="AA159" s="118"/>
      <c r="AB159" s="118"/>
    </row>
    <row r="160" customHeight="1" spans="1:28">
      <c r="A160" s="43">
        <v>29</v>
      </c>
      <c r="B160" s="117" t="s">
        <v>461</v>
      </c>
      <c r="C160" s="117"/>
      <c r="D160" s="117" t="s">
        <v>458</v>
      </c>
      <c r="E160" s="119" t="s">
        <v>476</v>
      </c>
      <c r="F160" s="128">
        <f t="shared" si="154"/>
        <v>9050.14</v>
      </c>
      <c r="G160" s="44"/>
      <c r="H160" s="118">
        <f t="shared" si="129"/>
        <v>27150.42</v>
      </c>
      <c r="I160" s="118">
        <f t="shared" si="130"/>
        <v>678.7605</v>
      </c>
      <c r="J160" s="118">
        <v>0</v>
      </c>
      <c r="K160" s="118">
        <f t="shared" si="131"/>
        <v>4525.07</v>
      </c>
      <c r="L160" s="118">
        <f t="shared" si="132"/>
        <v>31675.49</v>
      </c>
      <c r="M160" s="118">
        <f t="shared" si="150"/>
        <v>9050.14</v>
      </c>
      <c r="N160" s="44"/>
      <c r="O160" s="44">
        <f t="shared" si="152"/>
        <v>30000</v>
      </c>
      <c r="P160" s="118">
        <f t="shared" si="151"/>
        <v>905.014</v>
      </c>
      <c r="Q160" s="118">
        <v>5000</v>
      </c>
      <c r="R160" s="118">
        <f>4000</f>
        <v>4000</v>
      </c>
      <c r="S160" s="118">
        <f t="shared" si="153"/>
        <v>122035.0345</v>
      </c>
      <c r="T160" s="118">
        <v>119104.99825</v>
      </c>
      <c r="U160" s="118">
        <f t="shared" si="137"/>
        <v>2930.03624999999</v>
      </c>
      <c r="V160" s="118"/>
      <c r="W160" s="118">
        <v>236.04</v>
      </c>
      <c r="X160" s="118">
        <v>236.04</v>
      </c>
      <c r="Y160" s="118">
        <f t="shared" si="138"/>
        <v>0</v>
      </c>
      <c r="Z160" s="118"/>
      <c r="AA160" s="118"/>
      <c r="AB160" s="118"/>
    </row>
    <row r="161" customHeight="1" spans="1:28">
      <c r="A161" s="43">
        <v>30</v>
      </c>
      <c r="B161" s="117" t="s">
        <v>664</v>
      </c>
      <c r="C161" s="117"/>
      <c r="D161" s="117" t="s">
        <v>458</v>
      </c>
      <c r="E161" s="119" t="s">
        <v>476</v>
      </c>
      <c r="F161" s="128">
        <f t="shared" si="154"/>
        <v>9050.14</v>
      </c>
      <c r="G161" s="44"/>
      <c r="H161" s="118">
        <f t="shared" si="129"/>
        <v>27150.42</v>
      </c>
      <c r="I161" s="118">
        <f t="shared" si="130"/>
        <v>678.7605</v>
      </c>
      <c r="J161" s="118">
        <v>0</v>
      </c>
      <c r="K161" s="118">
        <f t="shared" si="131"/>
        <v>4525.07</v>
      </c>
      <c r="L161" s="118">
        <f t="shared" si="132"/>
        <v>31675.49</v>
      </c>
      <c r="M161" s="118">
        <f t="shared" si="150"/>
        <v>9050.14</v>
      </c>
      <c r="N161" s="44"/>
      <c r="O161" s="44">
        <f t="shared" si="152"/>
        <v>30000</v>
      </c>
      <c r="P161" s="118">
        <f t="shared" si="151"/>
        <v>905.014</v>
      </c>
      <c r="Q161" s="118">
        <v>5000</v>
      </c>
      <c r="R161" s="118">
        <f>4000</f>
        <v>4000</v>
      </c>
      <c r="S161" s="118">
        <f t="shared" si="153"/>
        <v>122035.0345</v>
      </c>
      <c r="T161" s="118">
        <v>119104.99825</v>
      </c>
      <c r="U161" s="118">
        <f t="shared" si="137"/>
        <v>2930.03624999999</v>
      </c>
      <c r="V161" s="118"/>
      <c r="W161" s="118">
        <v>236.04</v>
      </c>
      <c r="X161" s="118">
        <v>236.04</v>
      </c>
      <c r="Y161" s="118">
        <f t="shared" si="138"/>
        <v>0</v>
      </c>
      <c r="Z161" s="118"/>
      <c r="AA161" s="118"/>
      <c r="AB161" s="118"/>
    </row>
    <row r="162" customHeight="1" spans="1:28">
      <c r="A162" s="43">
        <v>31</v>
      </c>
      <c r="B162" s="117" t="s">
        <v>662</v>
      </c>
      <c r="C162" s="117"/>
      <c r="D162" s="117" t="s">
        <v>458</v>
      </c>
      <c r="E162" s="119" t="s">
        <v>476</v>
      </c>
      <c r="F162" s="128">
        <f t="shared" si="154"/>
        <v>9050.14</v>
      </c>
      <c r="G162" s="44"/>
      <c r="H162" s="118">
        <f t="shared" si="129"/>
        <v>27150.42</v>
      </c>
      <c r="I162" s="118">
        <f t="shared" si="130"/>
        <v>678.7605</v>
      </c>
      <c r="J162" s="118">
        <v>0</v>
      </c>
      <c r="K162" s="118">
        <f t="shared" si="131"/>
        <v>4525.07</v>
      </c>
      <c r="L162" s="118">
        <f t="shared" si="132"/>
        <v>31675.49</v>
      </c>
      <c r="M162" s="118">
        <f t="shared" si="150"/>
        <v>9050.14</v>
      </c>
      <c r="N162" s="44"/>
      <c r="O162" s="44">
        <f t="shared" si="152"/>
        <v>30000</v>
      </c>
      <c r="P162" s="118">
        <f t="shared" si="151"/>
        <v>905.014</v>
      </c>
      <c r="Q162" s="118">
        <v>5000</v>
      </c>
      <c r="R162" s="118">
        <f>4000</f>
        <v>4000</v>
      </c>
      <c r="S162" s="118">
        <f t="shared" si="153"/>
        <v>122035.0345</v>
      </c>
      <c r="T162" s="118">
        <v>119104.99825</v>
      </c>
      <c r="U162" s="118">
        <f t="shared" si="137"/>
        <v>2930.03624999999</v>
      </c>
      <c r="V162" s="118"/>
      <c r="W162" s="118">
        <v>236.04</v>
      </c>
      <c r="X162" s="118">
        <v>236.04</v>
      </c>
      <c r="Y162" s="118">
        <f t="shared" si="138"/>
        <v>0</v>
      </c>
      <c r="Z162" s="118"/>
      <c r="AA162" s="118"/>
      <c r="AB162" s="118"/>
    </row>
    <row r="163" customHeight="1" spans="1:28">
      <c r="A163" s="43">
        <v>32</v>
      </c>
      <c r="B163" s="117" t="s">
        <v>462</v>
      </c>
      <c r="C163" s="117"/>
      <c r="D163" s="117" t="s">
        <v>458</v>
      </c>
      <c r="E163" s="119" t="s">
        <v>476</v>
      </c>
      <c r="F163" s="128">
        <f t="shared" si="154"/>
        <v>9050.14</v>
      </c>
      <c r="G163" s="44"/>
      <c r="H163" s="118">
        <f t="shared" si="129"/>
        <v>27150.42</v>
      </c>
      <c r="I163" s="118">
        <f t="shared" si="130"/>
        <v>678.7605</v>
      </c>
      <c r="J163" s="118">
        <v>0</v>
      </c>
      <c r="K163" s="118">
        <f t="shared" si="131"/>
        <v>4525.07</v>
      </c>
      <c r="L163" s="118">
        <f t="shared" si="132"/>
        <v>31675.49</v>
      </c>
      <c r="M163" s="118">
        <f t="shared" si="150"/>
        <v>9050.14</v>
      </c>
      <c r="N163" s="44"/>
      <c r="O163" s="44">
        <f t="shared" si="152"/>
        <v>30000</v>
      </c>
      <c r="P163" s="118">
        <f t="shared" si="151"/>
        <v>905.014</v>
      </c>
      <c r="Q163" s="118">
        <v>5000</v>
      </c>
      <c r="R163" s="118">
        <f>4000</f>
        <v>4000</v>
      </c>
      <c r="S163" s="118">
        <f t="shared" si="153"/>
        <v>122035.0345</v>
      </c>
      <c r="T163" s="118">
        <v>119104.99825</v>
      </c>
      <c r="U163" s="118">
        <f t="shared" si="137"/>
        <v>2930.03624999999</v>
      </c>
      <c r="V163" s="118"/>
      <c r="W163" s="118">
        <v>236.04</v>
      </c>
      <c r="X163" s="118">
        <v>236.04</v>
      </c>
      <c r="Y163" s="118">
        <f t="shared" si="138"/>
        <v>0</v>
      </c>
      <c r="Z163" s="118"/>
      <c r="AA163" s="118"/>
      <c r="AB163" s="118"/>
    </row>
    <row r="164" customHeight="1" spans="1:28">
      <c r="A164" s="43">
        <v>33</v>
      </c>
      <c r="B164" s="117" t="s">
        <v>463</v>
      </c>
      <c r="C164" s="117"/>
      <c r="D164" s="117" t="s">
        <v>458</v>
      </c>
      <c r="E164" s="119" t="s">
        <v>476</v>
      </c>
      <c r="F164" s="128">
        <f t="shared" si="154"/>
        <v>9050.14</v>
      </c>
      <c r="G164" s="44"/>
      <c r="H164" s="118">
        <f t="shared" si="129"/>
        <v>27150.42</v>
      </c>
      <c r="I164" s="118">
        <f t="shared" si="130"/>
        <v>678.7605</v>
      </c>
      <c r="J164" s="118">
        <v>0</v>
      </c>
      <c r="K164" s="118">
        <f t="shared" si="131"/>
        <v>4525.07</v>
      </c>
      <c r="L164" s="118">
        <f t="shared" si="132"/>
        <v>31675.49</v>
      </c>
      <c r="M164" s="118">
        <f t="shared" si="150"/>
        <v>9050.14</v>
      </c>
      <c r="N164" s="44"/>
      <c r="O164" s="44">
        <f t="shared" si="152"/>
        <v>30000</v>
      </c>
      <c r="P164" s="118">
        <f t="shared" si="151"/>
        <v>905.014</v>
      </c>
      <c r="Q164" s="118">
        <v>5000</v>
      </c>
      <c r="R164" s="118">
        <f>4000</f>
        <v>4000</v>
      </c>
      <c r="S164" s="118">
        <f t="shared" si="153"/>
        <v>122035.0345</v>
      </c>
      <c r="T164" s="118">
        <v>119104.99825</v>
      </c>
      <c r="U164" s="118">
        <f t="shared" si="137"/>
        <v>2930.03624999999</v>
      </c>
      <c r="V164" s="118"/>
      <c r="W164" s="118">
        <v>236.04</v>
      </c>
      <c r="X164" s="118">
        <v>236.04</v>
      </c>
      <c r="Y164" s="118">
        <f t="shared" si="138"/>
        <v>0</v>
      </c>
      <c r="Z164" s="118"/>
      <c r="AA164" s="118"/>
      <c r="AB164" s="118"/>
    </row>
    <row r="165" customHeight="1" spans="1:28">
      <c r="A165" s="43">
        <v>34</v>
      </c>
      <c r="B165" s="117" t="s">
        <v>464</v>
      </c>
      <c r="C165" s="117"/>
      <c r="D165" s="117" t="s">
        <v>478</v>
      </c>
      <c r="E165" s="119" t="s">
        <v>1189</v>
      </c>
      <c r="F165" s="118">
        <f>5769.6</f>
        <v>5769.6</v>
      </c>
      <c r="G165" s="44"/>
      <c r="H165" s="118">
        <f t="shared" si="129"/>
        <v>17308.8</v>
      </c>
      <c r="I165" s="118">
        <f t="shared" si="130"/>
        <v>432.72</v>
      </c>
      <c r="J165" s="118">
        <v>0</v>
      </c>
      <c r="K165" s="118">
        <f t="shared" si="131"/>
        <v>2884.8</v>
      </c>
      <c r="L165" s="118">
        <f t="shared" si="132"/>
        <v>20193.6</v>
      </c>
      <c r="M165" s="118">
        <f t="shared" si="150"/>
        <v>5769.6</v>
      </c>
      <c r="N165" s="44"/>
      <c r="O165" s="44">
        <f t="shared" ref="O165:O180" si="155">20000</f>
        <v>20000</v>
      </c>
      <c r="P165" s="118">
        <f t="shared" si="151"/>
        <v>576.96</v>
      </c>
      <c r="Q165" s="118">
        <v>5000</v>
      </c>
      <c r="R165" s="118">
        <f>7000</f>
        <v>7000</v>
      </c>
      <c r="S165" s="118">
        <f t="shared" si="153"/>
        <v>84936.08</v>
      </c>
      <c r="T165" s="118">
        <v>83370.091</v>
      </c>
      <c r="U165" s="118">
        <f t="shared" si="137"/>
        <v>1565.989</v>
      </c>
      <c r="V165" s="118"/>
      <c r="W165" s="118">
        <v>236.04</v>
      </c>
      <c r="X165" s="118">
        <v>236.04</v>
      </c>
      <c r="Y165" s="118">
        <f t="shared" si="138"/>
        <v>0</v>
      </c>
      <c r="Z165" s="118"/>
      <c r="AA165" s="118"/>
      <c r="AB165" s="118"/>
    </row>
    <row r="166" customHeight="1" spans="1:28">
      <c r="A166" s="43">
        <v>35</v>
      </c>
      <c r="B166" s="117" t="s">
        <v>466</v>
      </c>
      <c r="C166" s="117"/>
      <c r="D166" s="117" t="s">
        <v>478</v>
      </c>
      <c r="E166" s="119" t="s">
        <v>1189</v>
      </c>
      <c r="F166" s="118">
        <f t="shared" ref="F166:F171" si="156">5769.6</f>
        <v>5769.6</v>
      </c>
      <c r="G166" s="44"/>
      <c r="H166" s="118">
        <f t="shared" si="129"/>
        <v>17308.8</v>
      </c>
      <c r="I166" s="118">
        <f t="shared" si="130"/>
        <v>432.72</v>
      </c>
      <c r="J166" s="118">
        <v>0</v>
      </c>
      <c r="K166" s="118">
        <f t="shared" si="131"/>
        <v>2884.8</v>
      </c>
      <c r="L166" s="118">
        <f t="shared" si="132"/>
        <v>20193.6</v>
      </c>
      <c r="M166" s="118">
        <f t="shared" si="150"/>
        <v>5769.6</v>
      </c>
      <c r="N166" s="44"/>
      <c r="O166" s="44">
        <f t="shared" si="155"/>
        <v>20000</v>
      </c>
      <c r="P166" s="118">
        <f t="shared" si="151"/>
        <v>576.96</v>
      </c>
      <c r="Q166" s="118">
        <v>5000</v>
      </c>
      <c r="R166" s="118">
        <f>4000</f>
        <v>4000</v>
      </c>
      <c r="S166" s="118">
        <f t="shared" si="153"/>
        <v>81936.08</v>
      </c>
      <c r="T166" s="118">
        <v>80370.091</v>
      </c>
      <c r="U166" s="118">
        <f t="shared" si="137"/>
        <v>1565.989</v>
      </c>
      <c r="V166" s="118"/>
      <c r="W166" s="118">
        <v>236.04</v>
      </c>
      <c r="X166" s="118">
        <v>236.04</v>
      </c>
      <c r="Y166" s="118">
        <f t="shared" si="138"/>
        <v>0</v>
      </c>
      <c r="Z166" s="118"/>
      <c r="AA166" s="118"/>
      <c r="AB166" s="118"/>
    </row>
    <row r="167" customHeight="1" spans="1:28">
      <c r="A167" s="43">
        <v>36</v>
      </c>
      <c r="B167" s="117" t="s">
        <v>1121</v>
      </c>
      <c r="C167" s="117"/>
      <c r="D167" s="117" t="s">
        <v>478</v>
      </c>
      <c r="E167" s="119" t="s">
        <v>1189</v>
      </c>
      <c r="F167" s="118">
        <f t="shared" si="156"/>
        <v>5769.6</v>
      </c>
      <c r="G167" s="44"/>
      <c r="H167" s="118">
        <f t="shared" si="129"/>
        <v>17308.8</v>
      </c>
      <c r="I167" s="118">
        <f t="shared" si="130"/>
        <v>432.72</v>
      </c>
      <c r="J167" s="118">
        <v>0</v>
      </c>
      <c r="K167" s="118">
        <f t="shared" si="131"/>
        <v>2884.8</v>
      </c>
      <c r="L167" s="118">
        <f t="shared" si="132"/>
        <v>20193.6</v>
      </c>
      <c r="M167" s="118">
        <f t="shared" si="150"/>
        <v>5769.6</v>
      </c>
      <c r="N167" s="44"/>
      <c r="O167" s="44">
        <f t="shared" si="155"/>
        <v>20000</v>
      </c>
      <c r="P167" s="118">
        <f t="shared" si="151"/>
        <v>576.96</v>
      </c>
      <c r="Q167" s="118">
        <v>5000</v>
      </c>
      <c r="R167" s="118">
        <f>4000</f>
        <v>4000</v>
      </c>
      <c r="S167" s="118">
        <f t="shared" si="153"/>
        <v>81936.08</v>
      </c>
      <c r="T167" s="118">
        <v>80370.091</v>
      </c>
      <c r="U167" s="118">
        <f t="shared" si="137"/>
        <v>1565.989</v>
      </c>
      <c r="V167" s="118"/>
      <c r="W167" s="118">
        <v>236.04</v>
      </c>
      <c r="X167" s="118">
        <v>236.04</v>
      </c>
      <c r="Y167" s="118">
        <f t="shared" si="138"/>
        <v>0</v>
      </c>
      <c r="Z167" s="118"/>
      <c r="AA167" s="118"/>
      <c r="AB167" s="118"/>
    </row>
    <row r="168" customHeight="1" spans="1:28">
      <c r="A168" s="43">
        <v>37</v>
      </c>
      <c r="B168" s="43" t="s">
        <v>467</v>
      </c>
      <c r="C168" s="43"/>
      <c r="D168" s="117" t="s">
        <v>478</v>
      </c>
      <c r="E168" s="119" t="s">
        <v>1189</v>
      </c>
      <c r="F168" s="118">
        <f t="shared" si="156"/>
        <v>5769.6</v>
      </c>
      <c r="G168" s="44"/>
      <c r="H168" s="118">
        <f t="shared" si="129"/>
        <v>17308.8</v>
      </c>
      <c r="I168" s="118">
        <f t="shared" si="130"/>
        <v>432.72</v>
      </c>
      <c r="J168" s="118">
        <v>0</v>
      </c>
      <c r="K168" s="118">
        <f t="shared" si="131"/>
        <v>2884.8</v>
      </c>
      <c r="L168" s="118">
        <f t="shared" si="132"/>
        <v>20193.6</v>
      </c>
      <c r="M168" s="118">
        <f>F167*100%</f>
        <v>5769.6</v>
      </c>
      <c r="N168" s="44"/>
      <c r="O168" s="44">
        <f t="shared" si="155"/>
        <v>20000</v>
      </c>
      <c r="P168" s="118">
        <f t="shared" si="151"/>
        <v>576.96</v>
      </c>
      <c r="Q168" s="118">
        <v>5000</v>
      </c>
      <c r="R168" s="118">
        <f>7000</f>
        <v>7000</v>
      </c>
      <c r="S168" s="118">
        <f t="shared" si="153"/>
        <v>84936.08</v>
      </c>
      <c r="T168" s="118">
        <v>83370.091</v>
      </c>
      <c r="U168" s="118">
        <f t="shared" si="137"/>
        <v>1565.989</v>
      </c>
      <c r="V168" s="118"/>
      <c r="W168" s="118">
        <v>236.04</v>
      </c>
      <c r="X168" s="118">
        <v>236.04</v>
      </c>
      <c r="Y168" s="118">
        <f t="shared" si="138"/>
        <v>0</v>
      </c>
      <c r="Z168" s="118"/>
      <c r="AA168" s="118"/>
      <c r="AB168" s="118"/>
    </row>
    <row r="169" customHeight="1" spans="1:28">
      <c r="A169" s="43">
        <v>38</v>
      </c>
      <c r="B169" s="115" t="s">
        <v>468</v>
      </c>
      <c r="C169" s="116"/>
      <c r="D169" s="117" t="s">
        <v>478</v>
      </c>
      <c r="E169" s="119" t="s">
        <v>1189</v>
      </c>
      <c r="F169" s="118">
        <f t="shared" si="156"/>
        <v>5769.6</v>
      </c>
      <c r="G169" s="44"/>
      <c r="H169" s="118">
        <f t="shared" si="129"/>
        <v>17308.8</v>
      </c>
      <c r="I169" s="118">
        <f t="shared" si="130"/>
        <v>432.72</v>
      </c>
      <c r="J169" s="118"/>
      <c r="K169" s="118">
        <f t="shared" si="131"/>
        <v>2884.8</v>
      </c>
      <c r="L169" s="118">
        <f t="shared" si="132"/>
        <v>20193.6</v>
      </c>
      <c r="M169" s="118">
        <f t="shared" ref="M169:M186" si="157">F169*100%</f>
        <v>5769.6</v>
      </c>
      <c r="N169" s="44"/>
      <c r="O169" s="44">
        <f t="shared" si="155"/>
        <v>20000</v>
      </c>
      <c r="P169" s="118">
        <f t="shared" si="151"/>
        <v>576.96</v>
      </c>
      <c r="Q169" s="118">
        <v>5000</v>
      </c>
      <c r="R169" s="118">
        <f>4000</f>
        <v>4000</v>
      </c>
      <c r="S169" s="118">
        <f t="shared" si="153"/>
        <v>81936.08</v>
      </c>
      <c r="T169" s="118">
        <v>80370.091</v>
      </c>
      <c r="U169" s="118">
        <f t="shared" si="137"/>
        <v>1565.989</v>
      </c>
      <c r="V169" s="118"/>
      <c r="W169" s="118">
        <v>236.04</v>
      </c>
      <c r="X169" s="118">
        <v>236.04</v>
      </c>
      <c r="Y169" s="118">
        <f t="shared" si="138"/>
        <v>0</v>
      </c>
      <c r="Z169" s="118"/>
      <c r="AA169" s="118"/>
      <c r="AB169" s="118"/>
    </row>
    <row r="170" customHeight="1" spans="1:28">
      <c r="A170" s="43">
        <v>39</v>
      </c>
      <c r="B170" s="117" t="s">
        <v>469</v>
      </c>
      <c r="C170" s="43"/>
      <c r="D170" s="117" t="s">
        <v>478</v>
      </c>
      <c r="E170" s="119" t="s">
        <v>1189</v>
      </c>
      <c r="F170" s="118">
        <f t="shared" si="156"/>
        <v>5769.6</v>
      </c>
      <c r="G170" s="44"/>
      <c r="H170" s="118">
        <f t="shared" si="129"/>
        <v>17308.8</v>
      </c>
      <c r="I170" s="118">
        <f t="shared" si="130"/>
        <v>432.72</v>
      </c>
      <c r="J170" s="118"/>
      <c r="K170" s="118">
        <f t="shared" si="131"/>
        <v>2884.8</v>
      </c>
      <c r="L170" s="118">
        <f t="shared" si="132"/>
        <v>20193.6</v>
      </c>
      <c r="M170" s="118">
        <f t="shared" si="157"/>
        <v>5769.6</v>
      </c>
      <c r="N170" s="44"/>
      <c r="O170" s="44">
        <f t="shared" si="155"/>
        <v>20000</v>
      </c>
      <c r="P170" s="118">
        <f t="shared" si="151"/>
        <v>576.96</v>
      </c>
      <c r="Q170" s="118">
        <v>5000</v>
      </c>
      <c r="R170" s="118">
        <f>4000</f>
        <v>4000</v>
      </c>
      <c r="S170" s="118">
        <f t="shared" si="153"/>
        <v>81936.08</v>
      </c>
      <c r="T170" s="118">
        <v>80370.091</v>
      </c>
      <c r="U170" s="118">
        <f t="shared" si="137"/>
        <v>1565.989</v>
      </c>
      <c r="V170" s="118"/>
      <c r="W170" s="118">
        <v>236.04</v>
      </c>
      <c r="X170" s="118">
        <v>236.04</v>
      </c>
      <c r="Y170" s="118">
        <f t="shared" si="138"/>
        <v>0</v>
      </c>
      <c r="Z170" s="118"/>
      <c r="AA170" s="118"/>
      <c r="AB170" s="118"/>
    </row>
    <row r="171" customHeight="1" spans="1:28">
      <c r="A171" s="43">
        <v>40</v>
      </c>
      <c r="B171" s="117" t="s">
        <v>470</v>
      </c>
      <c r="C171" s="43"/>
      <c r="D171" s="117" t="s">
        <v>478</v>
      </c>
      <c r="E171" s="119" t="s">
        <v>1189</v>
      </c>
      <c r="F171" s="118">
        <f t="shared" si="156"/>
        <v>5769.6</v>
      </c>
      <c r="G171" s="44"/>
      <c r="H171" s="118">
        <f t="shared" si="129"/>
        <v>17308.8</v>
      </c>
      <c r="I171" s="118">
        <f t="shared" si="130"/>
        <v>432.72</v>
      </c>
      <c r="J171" s="118"/>
      <c r="K171" s="118">
        <f t="shared" si="131"/>
        <v>2884.8</v>
      </c>
      <c r="L171" s="118">
        <f t="shared" si="132"/>
        <v>20193.6</v>
      </c>
      <c r="M171" s="118">
        <f t="shared" si="157"/>
        <v>5769.6</v>
      </c>
      <c r="N171" s="44"/>
      <c r="O171" s="44">
        <f t="shared" si="155"/>
        <v>20000</v>
      </c>
      <c r="P171" s="118">
        <f t="shared" si="151"/>
        <v>576.96</v>
      </c>
      <c r="Q171" s="118">
        <v>5000</v>
      </c>
      <c r="R171" s="118">
        <f t="shared" ref="R171:R176" si="158">7000</f>
        <v>7000</v>
      </c>
      <c r="S171" s="118">
        <f t="shared" si="153"/>
        <v>84936.08</v>
      </c>
      <c r="T171" s="118">
        <v>83370.091</v>
      </c>
      <c r="U171" s="118">
        <f t="shared" si="137"/>
        <v>1565.989</v>
      </c>
      <c r="V171" s="118"/>
      <c r="W171" s="118">
        <v>236.04</v>
      </c>
      <c r="X171" s="118">
        <v>236.04</v>
      </c>
      <c r="Y171" s="118">
        <f t="shared" si="138"/>
        <v>0</v>
      </c>
      <c r="Z171" s="118"/>
      <c r="AA171" s="118"/>
      <c r="AB171" s="118"/>
    </row>
    <row r="172" customHeight="1" spans="1:28">
      <c r="A172" s="43">
        <v>41</v>
      </c>
      <c r="B172" s="115" t="s">
        <v>471</v>
      </c>
      <c r="C172" s="116"/>
      <c r="D172" s="117" t="s">
        <v>478</v>
      </c>
      <c r="E172" s="119" t="s">
        <v>954</v>
      </c>
      <c r="F172" s="118">
        <f t="shared" ref="F172:F173" si="159">5257.44</f>
        <v>5257.44</v>
      </c>
      <c r="G172" s="44"/>
      <c r="H172" s="118">
        <f t="shared" si="129"/>
        <v>15772.32</v>
      </c>
      <c r="I172" s="118">
        <f t="shared" si="130"/>
        <v>394.308</v>
      </c>
      <c r="J172" s="118"/>
      <c r="K172" s="118">
        <f t="shared" si="131"/>
        <v>2628.72</v>
      </c>
      <c r="L172" s="118">
        <f t="shared" si="132"/>
        <v>18401.04</v>
      </c>
      <c r="M172" s="118">
        <f t="shared" si="157"/>
        <v>5257.44</v>
      </c>
      <c r="N172" s="44"/>
      <c r="O172" s="44">
        <f t="shared" si="155"/>
        <v>20000</v>
      </c>
      <c r="P172" s="118">
        <f t="shared" si="151"/>
        <v>525.744</v>
      </c>
      <c r="Q172" s="118">
        <v>5000</v>
      </c>
      <c r="R172" s="118">
        <f t="shared" si="158"/>
        <v>7000</v>
      </c>
      <c r="S172" s="118">
        <f t="shared" si="153"/>
        <v>80237.012</v>
      </c>
      <c r="T172" s="118">
        <v>78671.023</v>
      </c>
      <c r="U172" s="118">
        <f t="shared" si="137"/>
        <v>1565.989</v>
      </c>
      <c r="V172" s="118"/>
      <c r="W172" s="118">
        <v>236.04</v>
      </c>
      <c r="X172" s="118">
        <v>236.04</v>
      </c>
      <c r="Y172" s="118">
        <f t="shared" si="138"/>
        <v>0</v>
      </c>
      <c r="Z172" s="118"/>
      <c r="AA172" s="118"/>
      <c r="AB172" s="118"/>
    </row>
    <row r="173" customHeight="1" spans="1:28">
      <c r="A173" s="43">
        <v>42</v>
      </c>
      <c r="B173" s="115" t="s">
        <v>474</v>
      </c>
      <c r="C173" s="116"/>
      <c r="D173" s="117" t="s">
        <v>478</v>
      </c>
      <c r="E173" s="119" t="s">
        <v>954</v>
      </c>
      <c r="F173" s="118">
        <f t="shared" si="159"/>
        <v>5257.44</v>
      </c>
      <c r="G173" s="44"/>
      <c r="H173" s="118">
        <f t="shared" si="129"/>
        <v>15772.32</v>
      </c>
      <c r="I173" s="118">
        <f t="shared" si="130"/>
        <v>394.308</v>
      </c>
      <c r="J173" s="118"/>
      <c r="K173" s="118">
        <f t="shared" si="131"/>
        <v>2628.72</v>
      </c>
      <c r="L173" s="118">
        <f t="shared" si="132"/>
        <v>18401.04</v>
      </c>
      <c r="M173" s="118">
        <f t="shared" si="157"/>
        <v>5257.44</v>
      </c>
      <c r="N173" s="44"/>
      <c r="O173" s="44">
        <f t="shared" si="155"/>
        <v>20000</v>
      </c>
      <c r="P173" s="118">
        <f t="shared" si="151"/>
        <v>525.744</v>
      </c>
      <c r="Q173" s="118">
        <v>5000</v>
      </c>
      <c r="R173" s="118">
        <f t="shared" si="158"/>
        <v>7000</v>
      </c>
      <c r="S173" s="118">
        <f t="shared" si="153"/>
        <v>80237.012</v>
      </c>
      <c r="T173" s="118">
        <v>78671.023</v>
      </c>
      <c r="U173" s="118">
        <f t="shared" si="137"/>
        <v>1565.989</v>
      </c>
      <c r="V173" s="118"/>
      <c r="W173" s="118">
        <v>236.04</v>
      </c>
      <c r="X173" s="118">
        <v>236.04</v>
      </c>
      <c r="Y173" s="118">
        <f t="shared" si="138"/>
        <v>0</v>
      </c>
      <c r="Z173" s="118"/>
      <c r="AA173" s="118"/>
      <c r="AB173" s="118"/>
    </row>
    <row r="174" customHeight="1" spans="1:28">
      <c r="A174" s="43">
        <v>43</v>
      </c>
      <c r="B174" s="117" t="s">
        <v>475</v>
      </c>
      <c r="C174" s="43"/>
      <c r="D174" s="117" t="s">
        <v>478</v>
      </c>
      <c r="E174" s="119" t="s">
        <v>479</v>
      </c>
      <c r="F174" s="118">
        <f>5428.12</f>
        <v>5428.12</v>
      </c>
      <c r="G174" s="44"/>
      <c r="H174" s="118">
        <f t="shared" si="129"/>
        <v>16284.36</v>
      </c>
      <c r="I174" s="118">
        <f t="shared" si="130"/>
        <v>407.109</v>
      </c>
      <c r="J174" s="118"/>
      <c r="K174" s="118">
        <f t="shared" si="131"/>
        <v>2714.06</v>
      </c>
      <c r="L174" s="118">
        <f t="shared" si="132"/>
        <v>18998.42</v>
      </c>
      <c r="M174" s="118">
        <f t="shared" si="157"/>
        <v>5428.12</v>
      </c>
      <c r="N174" s="44"/>
      <c r="O174" s="44">
        <f t="shared" si="155"/>
        <v>20000</v>
      </c>
      <c r="P174" s="118">
        <f t="shared" si="151"/>
        <v>542.812</v>
      </c>
      <c r="Q174" s="118">
        <v>5000</v>
      </c>
      <c r="R174" s="118">
        <f t="shared" si="158"/>
        <v>7000</v>
      </c>
      <c r="S174" s="118">
        <f t="shared" si="153"/>
        <v>81803.001</v>
      </c>
      <c r="T174" s="118">
        <v>80237.012</v>
      </c>
      <c r="U174" s="118">
        <f t="shared" si="137"/>
        <v>1565.98900000002</v>
      </c>
      <c r="V174" s="118"/>
      <c r="W174" s="118">
        <f>236.04</f>
        <v>236.04</v>
      </c>
      <c r="X174" s="118">
        <v>236.04</v>
      </c>
      <c r="Y174" s="118">
        <f t="shared" si="138"/>
        <v>0</v>
      </c>
      <c r="Z174" s="118"/>
      <c r="AA174" s="118"/>
      <c r="AB174" s="118"/>
    </row>
    <row r="175" customHeight="1" spans="1:28">
      <c r="A175" s="43">
        <v>44</v>
      </c>
      <c r="B175" s="115" t="s">
        <v>477</v>
      </c>
      <c r="C175" s="116"/>
      <c r="D175" s="117" t="s">
        <v>478</v>
      </c>
      <c r="E175" s="119" t="s">
        <v>492</v>
      </c>
      <c r="F175" s="118">
        <f>5086.76</f>
        <v>5086.76</v>
      </c>
      <c r="G175" s="44"/>
      <c r="H175" s="118">
        <f t="shared" si="129"/>
        <v>15260.28</v>
      </c>
      <c r="I175" s="118">
        <f t="shared" si="130"/>
        <v>381.507</v>
      </c>
      <c r="J175" s="118"/>
      <c r="K175" s="118">
        <f t="shared" si="131"/>
        <v>2543.38</v>
      </c>
      <c r="L175" s="118">
        <f t="shared" si="132"/>
        <v>17803.66</v>
      </c>
      <c r="M175" s="118">
        <f t="shared" si="157"/>
        <v>5086.76</v>
      </c>
      <c r="N175" s="44"/>
      <c r="O175" s="44">
        <f t="shared" si="155"/>
        <v>20000</v>
      </c>
      <c r="P175" s="118">
        <f t="shared" si="151"/>
        <v>508.676</v>
      </c>
      <c r="Q175" s="118">
        <v>5000</v>
      </c>
      <c r="R175" s="118">
        <f t="shared" si="158"/>
        <v>7000</v>
      </c>
      <c r="S175" s="118">
        <f t="shared" si="153"/>
        <v>78671.023</v>
      </c>
      <c r="T175" s="118">
        <v>77104.02475</v>
      </c>
      <c r="U175" s="118">
        <f t="shared" si="137"/>
        <v>1566.99825000002</v>
      </c>
      <c r="V175" s="118"/>
      <c r="W175" s="118">
        <v>236.04</v>
      </c>
      <c r="X175" s="118">
        <v>236.04</v>
      </c>
      <c r="Y175" s="118">
        <f t="shared" si="138"/>
        <v>0</v>
      </c>
      <c r="Z175" s="118"/>
      <c r="AA175" s="118"/>
      <c r="AB175" s="118"/>
    </row>
    <row r="176" customHeight="1" spans="1:28">
      <c r="A176" s="43">
        <v>45</v>
      </c>
      <c r="B176" s="115" t="s">
        <v>480</v>
      </c>
      <c r="C176" s="116"/>
      <c r="D176" s="117" t="s">
        <v>481</v>
      </c>
      <c r="E176" s="119" t="s">
        <v>1190</v>
      </c>
      <c r="F176" s="118">
        <f>4915.94</f>
        <v>4915.94</v>
      </c>
      <c r="G176" s="44"/>
      <c r="H176" s="118">
        <f t="shared" si="129"/>
        <v>14747.82</v>
      </c>
      <c r="I176" s="118">
        <f t="shared" si="130"/>
        <v>368.6955</v>
      </c>
      <c r="J176" s="118"/>
      <c r="K176" s="118">
        <f t="shared" si="131"/>
        <v>2457.97</v>
      </c>
      <c r="L176" s="118">
        <f t="shared" si="132"/>
        <v>17205.79</v>
      </c>
      <c r="M176" s="118">
        <f t="shared" si="157"/>
        <v>4915.94</v>
      </c>
      <c r="N176" s="44"/>
      <c r="O176" s="44">
        <f t="shared" si="155"/>
        <v>20000</v>
      </c>
      <c r="P176" s="118">
        <f t="shared" si="151"/>
        <v>491.594</v>
      </c>
      <c r="Q176" s="118">
        <v>5000</v>
      </c>
      <c r="R176" s="118">
        <f t="shared" si="158"/>
        <v>7000</v>
      </c>
      <c r="S176" s="118">
        <f t="shared" si="153"/>
        <v>77103.7495</v>
      </c>
      <c r="T176" s="118">
        <v>75538.03575</v>
      </c>
      <c r="U176" s="118">
        <f t="shared" si="137"/>
        <v>1565.71375000001</v>
      </c>
      <c r="V176" s="118"/>
      <c r="W176" s="118">
        <v>236.04</v>
      </c>
      <c r="X176" s="118">
        <v>236.04</v>
      </c>
      <c r="Y176" s="118">
        <f t="shared" si="138"/>
        <v>0</v>
      </c>
      <c r="Z176" s="118"/>
      <c r="AA176" s="118"/>
      <c r="AB176" s="118"/>
    </row>
    <row r="177" customHeight="1" spans="1:28">
      <c r="A177" s="43">
        <v>46</v>
      </c>
      <c r="B177" s="115" t="s">
        <v>483</v>
      </c>
      <c r="C177" s="116"/>
      <c r="D177" s="117" t="s">
        <v>481</v>
      </c>
      <c r="E177" s="119" t="s">
        <v>1190</v>
      </c>
      <c r="F177" s="118">
        <f t="shared" ref="F177:F180" si="160">4915.94</f>
        <v>4915.94</v>
      </c>
      <c r="G177" s="44"/>
      <c r="H177" s="118">
        <f t="shared" si="129"/>
        <v>14747.82</v>
      </c>
      <c r="I177" s="118">
        <f t="shared" si="130"/>
        <v>368.6955</v>
      </c>
      <c r="J177" s="118"/>
      <c r="K177" s="118">
        <f t="shared" si="131"/>
        <v>2457.97</v>
      </c>
      <c r="L177" s="118">
        <f t="shared" si="132"/>
        <v>17205.79</v>
      </c>
      <c r="M177" s="118">
        <f t="shared" si="157"/>
        <v>4915.94</v>
      </c>
      <c r="N177" s="44"/>
      <c r="O177" s="44">
        <f t="shared" si="155"/>
        <v>20000</v>
      </c>
      <c r="P177" s="118">
        <f t="shared" si="151"/>
        <v>491.594</v>
      </c>
      <c r="Q177" s="118">
        <v>5000</v>
      </c>
      <c r="R177" s="118">
        <f>4000</f>
        <v>4000</v>
      </c>
      <c r="S177" s="118">
        <f t="shared" si="153"/>
        <v>74103.7495</v>
      </c>
      <c r="T177" s="118">
        <v>72538.03575</v>
      </c>
      <c r="U177" s="118">
        <f t="shared" si="137"/>
        <v>1565.71375000001</v>
      </c>
      <c r="V177" s="118"/>
      <c r="W177" s="118">
        <v>236.04</v>
      </c>
      <c r="X177" s="118">
        <v>236.04</v>
      </c>
      <c r="Y177" s="118">
        <f t="shared" si="138"/>
        <v>0</v>
      </c>
      <c r="Z177" s="118"/>
      <c r="AA177" s="118"/>
      <c r="AB177" s="118"/>
    </row>
    <row r="178" customHeight="1" spans="1:28">
      <c r="A178" s="43">
        <v>47</v>
      </c>
      <c r="B178" s="115" t="s">
        <v>484</v>
      </c>
      <c r="C178" s="116"/>
      <c r="D178" s="117" t="s">
        <v>481</v>
      </c>
      <c r="E178" s="119" t="s">
        <v>1190</v>
      </c>
      <c r="F178" s="118">
        <f t="shared" si="160"/>
        <v>4915.94</v>
      </c>
      <c r="G178" s="44"/>
      <c r="H178" s="118">
        <f t="shared" si="129"/>
        <v>14747.82</v>
      </c>
      <c r="I178" s="118">
        <f t="shared" si="130"/>
        <v>368.6955</v>
      </c>
      <c r="J178" s="118"/>
      <c r="K178" s="118">
        <f t="shared" si="131"/>
        <v>2457.97</v>
      </c>
      <c r="L178" s="118">
        <f t="shared" si="132"/>
        <v>17205.79</v>
      </c>
      <c r="M178" s="118">
        <f t="shared" si="157"/>
        <v>4915.94</v>
      </c>
      <c r="N178" s="44"/>
      <c r="O178" s="44">
        <f t="shared" si="155"/>
        <v>20000</v>
      </c>
      <c r="P178" s="118">
        <f t="shared" si="151"/>
        <v>491.594</v>
      </c>
      <c r="Q178" s="118">
        <v>5000</v>
      </c>
      <c r="R178" s="118">
        <f>7000</f>
        <v>7000</v>
      </c>
      <c r="S178" s="118">
        <f t="shared" si="153"/>
        <v>77103.7495</v>
      </c>
      <c r="T178" s="118">
        <v>75538.03575</v>
      </c>
      <c r="U178" s="118">
        <f t="shared" si="137"/>
        <v>1565.71375000001</v>
      </c>
      <c r="V178" s="118"/>
      <c r="W178" s="118">
        <v>236.04</v>
      </c>
      <c r="X178" s="118">
        <v>236.04</v>
      </c>
      <c r="Y178" s="118">
        <f t="shared" si="138"/>
        <v>0</v>
      </c>
      <c r="Z178" s="118"/>
      <c r="AA178" s="118"/>
      <c r="AB178" s="118"/>
    </row>
    <row r="179" customHeight="1" spans="1:28">
      <c r="A179" s="43">
        <v>48</v>
      </c>
      <c r="B179" s="115" t="s">
        <v>485</v>
      </c>
      <c r="C179" s="116"/>
      <c r="D179" s="117" t="s">
        <v>481</v>
      </c>
      <c r="E179" s="119" t="s">
        <v>1190</v>
      </c>
      <c r="F179" s="118">
        <f t="shared" si="160"/>
        <v>4915.94</v>
      </c>
      <c r="G179" s="44"/>
      <c r="H179" s="118">
        <f t="shared" si="129"/>
        <v>14747.82</v>
      </c>
      <c r="I179" s="118">
        <f t="shared" si="130"/>
        <v>368.6955</v>
      </c>
      <c r="J179" s="118"/>
      <c r="K179" s="118">
        <f t="shared" si="131"/>
        <v>2457.97</v>
      </c>
      <c r="L179" s="118">
        <f t="shared" si="132"/>
        <v>17205.79</v>
      </c>
      <c r="M179" s="118">
        <f t="shared" si="157"/>
        <v>4915.94</v>
      </c>
      <c r="N179" s="44"/>
      <c r="O179" s="44">
        <f t="shared" si="155"/>
        <v>20000</v>
      </c>
      <c r="P179" s="118">
        <f t="shared" si="151"/>
        <v>491.594</v>
      </c>
      <c r="Q179" s="118">
        <v>5000</v>
      </c>
      <c r="R179" s="118">
        <f>4000</f>
        <v>4000</v>
      </c>
      <c r="S179" s="118">
        <f t="shared" si="153"/>
        <v>74103.7495</v>
      </c>
      <c r="T179" s="118">
        <v>72538.03575</v>
      </c>
      <c r="U179" s="118">
        <f t="shared" si="137"/>
        <v>1565.71375000001</v>
      </c>
      <c r="V179" s="118"/>
      <c r="W179" s="118">
        <v>236.04</v>
      </c>
      <c r="X179" s="118">
        <v>236.04</v>
      </c>
      <c r="Y179" s="118">
        <f t="shared" si="138"/>
        <v>0</v>
      </c>
      <c r="Z179" s="118"/>
      <c r="AA179" s="118"/>
      <c r="AB179" s="118"/>
    </row>
    <row r="180" customHeight="1" spans="1:28">
      <c r="A180" s="43">
        <v>49</v>
      </c>
      <c r="B180" s="115" t="s">
        <v>486</v>
      </c>
      <c r="C180" s="116"/>
      <c r="D180" s="117" t="s">
        <v>481</v>
      </c>
      <c r="E180" s="119" t="s">
        <v>1190</v>
      </c>
      <c r="F180" s="118">
        <f t="shared" si="160"/>
        <v>4915.94</v>
      </c>
      <c r="G180" s="44"/>
      <c r="H180" s="118">
        <f t="shared" si="129"/>
        <v>14747.82</v>
      </c>
      <c r="I180" s="118">
        <f t="shared" si="130"/>
        <v>368.6955</v>
      </c>
      <c r="J180" s="118"/>
      <c r="K180" s="118">
        <f t="shared" si="131"/>
        <v>2457.97</v>
      </c>
      <c r="L180" s="118">
        <f t="shared" si="132"/>
        <v>17205.79</v>
      </c>
      <c r="M180" s="118">
        <f t="shared" si="157"/>
        <v>4915.94</v>
      </c>
      <c r="N180" s="44"/>
      <c r="O180" s="44">
        <f t="shared" si="155"/>
        <v>20000</v>
      </c>
      <c r="P180" s="118">
        <f t="shared" si="151"/>
        <v>491.594</v>
      </c>
      <c r="Q180" s="118">
        <v>5000</v>
      </c>
      <c r="R180" s="118">
        <f>7000</f>
        <v>7000</v>
      </c>
      <c r="S180" s="118">
        <f t="shared" si="153"/>
        <v>77103.7495</v>
      </c>
      <c r="T180" s="118">
        <v>75538.03575</v>
      </c>
      <c r="U180" s="118">
        <f t="shared" si="137"/>
        <v>1565.71375000001</v>
      </c>
      <c r="V180" s="118"/>
      <c r="W180" s="118">
        <v>236.04</v>
      </c>
      <c r="X180" s="118">
        <v>236.04</v>
      </c>
      <c r="Y180" s="118">
        <f t="shared" si="138"/>
        <v>0</v>
      </c>
      <c r="Z180" s="118"/>
      <c r="AA180" s="118"/>
      <c r="AB180" s="118"/>
    </row>
    <row r="181" customHeight="1" spans="1:28">
      <c r="A181" s="43">
        <v>50</v>
      </c>
      <c r="B181" s="167" t="s">
        <v>489</v>
      </c>
      <c r="C181" s="168"/>
      <c r="D181" s="117" t="s">
        <v>481</v>
      </c>
      <c r="E181" s="119" t="s">
        <v>494</v>
      </c>
      <c r="F181" s="118">
        <f>4836.5</f>
        <v>4836.5</v>
      </c>
      <c r="G181" s="44"/>
      <c r="H181" s="118">
        <f t="shared" si="129"/>
        <v>14509.5</v>
      </c>
      <c r="I181" s="118">
        <f t="shared" si="130"/>
        <v>362.7375</v>
      </c>
      <c r="J181" s="118"/>
      <c r="K181" s="118">
        <f t="shared" si="131"/>
        <v>2418.25</v>
      </c>
      <c r="L181" s="118">
        <f t="shared" si="132"/>
        <v>16927.75</v>
      </c>
      <c r="M181" s="118">
        <f t="shared" si="157"/>
        <v>4836.5</v>
      </c>
      <c r="N181" s="44"/>
      <c r="O181" s="44">
        <f>15000</f>
        <v>15000</v>
      </c>
      <c r="P181" s="118">
        <f t="shared" si="151"/>
        <v>483.65</v>
      </c>
      <c r="Q181" s="118">
        <v>5000</v>
      </c>
      <c r="R181" s="118">
        <f>7000</f>
        <v>7000</v>
      </c>
      <c r="S181" s="118">
        <f t="shared" si="153"/>
        <v>71374.8875</v>
      </c>
      <c r="T181" s="118">
        <v>67328.07025</v>
      </c>
      <c r="U181" s="118">
        <f t="shared" si="137"/>
        <v>4046.81725000001</v>
      </c>
      <c r="V181" s="118"/>
      <c r="W181" s="118">
        <v>236.04</v>
      </c>
      <c r="X181" s="118">
        <v>236.04</v>
      </c>
      <c r="Y181" s="118">
        <f t="shared" si="138"/>
        <v>0</v>
      </c>
      <c r="Z181" s="118"/>
      <c r="AA181" s="118"/>
      <c r="AB181" s="118"/>
    </row>
    <row r="182" customHeight="1" spans="1:28">
      <c r="A182" s="43">
        <v>51</v>
      </c>
      <c r="B182" s="169" t="s">
        <v>490</v>
      </c>
      <c r="C182" s="170"/>
      <c r="D182" s="117" t="s">
        <v>481</v>
      </c>
      <c r="E182" s="119" t="s">
        <v>494</v>
      </c>
      <c r="F182" s="118">
        <f t="shared" ref="F182:F183" si="161">4836.5</f>
        <v>4836.5</v>
      </c>
      <c r="G182" s="44"/>
      <c r="H182" s="118">
        <f t="shared" si="129"/>
        <v>14509.5</v>
      </c>
      <c r="I182" s="118">
        <f t="shared" si="130"/>
        <v>362.7375</v>
      </c>
      <c r="J182" s="118"/>
      <c r="K182" s="118">
        <f t="shared" si="131"/>
        <v>2418.25</v>
      </c>
      <c r="L182" s="118">
        <f t="shared" si="132"/>
        <v>16927.75</v>
      </c>
      <c r="M182" s="118">
        <f t="shared" si="157"/>
        <v>4836.5</v>
      </c>
      <c r="N182" s="44"/>
      <c r="O182" s="44">
        <f>15000</f>
        <v>15000</v>
      </c>
      <c r="P182" s="118">
        <f t="shared" si="151"/>
        <v>483.65</v>
      </c>
      <c r="Q182" s="118">
        <v>5000</v>
      </c>
      <c r="R182" s="118">
        <f>7000</f>
        <v>7000</v>
      </c>
      <c r="S182" s="118">
        <f t="shared" si="153"/>
        <v>71374.8875</v>
      </c>
      <c r="T182" s="118">
        <v>67328.07025</v>
      </c>
      <c r="U182" s="118">
        <f t="shared" si="137"/>
        <v>4046.81725000001</v>
      </c>
      <c r="V182" s="118"/>
      <c r="W182" s="118">
        <v>236.04</v>
      </c>
      <c r="X182" s="118">
        <v>236.04</v>
      </c>
      <c r="Y182" s="118">
        <f t="shared" si="138"/>
        <v>0</v>
      </c>
      <c r="Z182" s="118"/>
      <c r="AA182" s="118"/>
      <c r="AB182" s="118"/>
    </row>
    <row r="183" customHeight="1" spans="1:28">
      <c r="A183" s="43">
        <v>52</v>
      </c>
      <c r="B183" s="169" t="s">
        <v>491</v>
      </c>
      <c r="C183" s="171"/>
      <c r="D183" s="117" t="s">
        <v>481</v>
      </c>
      <c r="E183" s="119" t="s">
        <v>494</v>
      </c>
      <c r="F183" s="118">
        <f t="shared" si="161"/>
        <v>4836.5</v>
      </c>
      <c r="G183" s="44"/>
      <c r="H183" s="118">
        <f t="shared" si="129"/>
        <v>14509.5</v>
      </c>
      <c r="I183" s="118">
        <f t="shared" si="130"/>
        <v>362.7375</v>
      </c>
      <c r="J183" s="118"/>
      <c r="K183" s="118">
        <f t="shared" si="131"/>
        <v>2418.25</v>
      </c>
      <c r="L183" s="118">
        <f t="shared" si="132"/>
        <v>16927.75</v>
      </c>
      <c r="M183" s="118">
        <f t="shared" si="157"/>
        <v>4836.5</v>
      </c>
      <c r="N183" s="44"/>
      <c r="O183" s="44">
        <f>15000</f>
        <v>15000</v>
      </c>
      <c r="P183" s="118">
        <f t="shared" si="151"/>
        <v>483.65</v>
      </c>
      <c r="Q183" s="118">
        <v>5000</v>
      </c>
      <c r="R183" s="118">
        <f>4000</f>
        <v>4000</v>
      </c>
      <c r="S183" s="118">
        <f t="shared" ref="S183:S185" si="162">SUM(F183:R183)</f>
        <v>68374.8875</v>
      </c>
      <c r="T183" s="118">
        <v>64328.07025</v>
      </c>
      <c r="U183" s="118">
        <f t="shared" si="137"/>
        <v>4046.81725000001</v>
      </c>
      <c r="V183" s="118"/>
      <c r="W183" s="118">
        <v>236.04</v>
      </c>
      <c r="X183" s="118">
        <v>236.04</v>
      </c>
      <c r="Y183" s="118">
        <f t="shared" si="138"/>
        <v>0</v>
      </c>
      <c r="Z183" s="118"/>
      <c r="AA183" s="118"/>
      <c r="AB183" s="118"/>
    </row>
    <row r="184" customHeight="1" spans="1:28">
      <c r="A184" s="43">
        <v>53</v>
      </c>
      <c r="B184" s="169" t="s">
        <v>487</v>
      </c>
      <c r="C184" s="171"/>
      <c r="D184" s="117" t="s">
        <v>481</v>
      </c>
      <c r="E184" s="119" t="s">
        <v>502</v>
      </c>
      <c r="F184" s="118">
        <f>4915.94</f>
        <v>4915.94</v>
      </c>
      <c r="G184" s="44"/>
      <c r="H184" s="118">
        <f t="shared" si="129"/>
        <v>14747.82</v>
      </c>
      <c r="I184" s="118">
        <f t="shared" si="130"/>
        <v>368.6955</v>
      </c>
      <c r="J184" s="118"/>
      <c r="K184" s="118">
        <f t="shared" si="131"/>
        <v>2457.97</v>
      </c>
      <c r="L184" s="118">
        <f t="shared" si="132"/>
        <v>17205.79</v>
      </c>
      <c r="M184" s="118">
        <f t="shared" si="157"/>
        <v>4915.94</v>
      </c>
      <c r="N184" s="44"/>
      <c r="O184" s="44">
        <f>20000</f>
        <v>20000</v>
      </c>
      <c r="P184" s="118">
        <f t="shared" si="151"/>
        <v>491.594</v>
      </c>
      <c r="Q184" s="118">
        <v>5000</v>
      </c>
      <c r="R184" s="118">
        <f>4000</f>
        <v>4000</v>
      </c>
      <c r="S184" s="118">
        <f t="shared" si="162"/>
        <v>74103.7495</v>
      </c>
      <c r="T184" s="118">
        <v>72538.03575</v>
      </c>
      <c r="U184" s="118">
        <f t="shared" si="137"/>
        <v>1565.71375000001</v>
      </c>
      <c r="V184" s="118"/>
      <c r="W184" s="118">
        <v>236.04</v>
      </c>
      <c r="X184" s="118">
        <v>236.04</v>
      </c>
      <c r="Y184" s="118">
        <f t="shared" si="138"/>
        <v>0</v>
      </c>
      <c r="Z184" s="118"/>
      <c r="AA184" s="118"/>
      <c r="AB184" s="118"/>
    </row>
    <row r="185" customHeight="1" spans="1:28">
      <c r="A185" s="43">
        <v>54</v>
      </c>
      <c r="B185" s="169" t="s">
        <v>493</v>
      </c>
      <c r="C185" s="171"/>
      <c r="D185" s="117" t="s">
        <v>481</v>
      </c>
      <c r="E185" s="119" t="s">
        <v>497</v>
      </c>
      <c r="F185" s="39">
        <f>4248.5</f>
        <v>4248.5</v>
      </c>
      <c r="G185" s="44"/>
      <c r="H185" s="118">
        <f t="shared" si="129"/>
        <v>12745.5</v>
      </c>
      <c r="I185" s="118">
        <f t="shared" si="130"/>
        <v>318.6375</v>
      </c>
      <c r="J185" s="118"/>
      <c r="K185" s="118">
        <f t="shared" si="131"/>
        <v>2124.25</v>
      </c>
      <c r="L185" s="118">
        <f t="shared" si="132"/>
        <v>14869.75</v>
      </c>
      <c r="M185" s="118">
        <f t="shared" si="157"/>
        <v>4248.5</v>
      </c>
      <c r="N185" s="44"/>
      <c r="O185" s="44">
        <f>15000</f>
        <v>15000</v>
      </c>
      <c r="P185" s="118">
        <f t="shared" si="151"/>
        <v>424.85</v>
      </c>
      <c r="Q185" s="118">
        <v>5000</v>
      </c>
      <c r="R185" s="118">
        <f>7000</f>
        <v>7000</v>
      </c>
      <c r="S185" s="118">
        <f t="shared" si="162"/>
        <v>65979.9875</v>
      </c>
      <c r="T185" s="118">
        <v>64631.9965</v>
      </c>
      <c r="U185" s="118">
        <f t="shared" si="137"/>
        <v>1347.99099999999</v>
      </c>
      <c r="V185" s="118"/>
      <c r="W185" s="118">
        <v>236.04</v>
      </c>
      <c r="X185" s="118">
        <v>236.04</v>
      </c>
      <c r="Y185" s="118">
        <f t="shared" si="138"/>
        <v>0</v>
      </c>
      <c r="Z185" s="118"/>
      <c r="AA185" s="118"/>
      <c r="AB185" s="118"/>
    </row>
    <row r="186" customHeight="1" spans="1:28">
      <c r="A186" s="43">
        <v>55</v>
      </c>
      <c r="B186" s="169" t="s">
        <v>488</v>
      </c>
      <c r="C186" s="171"/>
      <c r="D186" s="117" t="s">
        <v>481</v>
      </c>
      <c r="E186" s="119" t="s">
        <v>502</v>
      </c>
      <c r="F186" s="118">
        <f>4915.94</f>
        <v>4915.94</v>
      </c>
      <c r="G186" s="44"/>
      <c r="H186" s="118">
        <f t="shared" si="129"/>
        <v>14747.82</v>
      </c>
      <c r="I186" s="118">
        <f t="shared" si="130"/>
        <v>368.6955</v>
      </c>
      <c r="J186" s="118"/>
      <c r="K186" s="118">
        <f t="shared" si="131"/>
        <v>2457.97</v>
      </c>
      <c r="L186" s="118">
        <f t="shared" si="132"/>
        <v>17205.79</v>
      </c>
      <c r="M186" s="118">
        <f t="shared" si="157"/>
        <v>4915.94</v>
      </c>
      <c r="N186" s="44"/>
      <c r="O186" s="44">
        <f>20000</f>
        <v>20000</v>
      </c>
      <c r="P186" s="118">
        <f t="shared" si="151"/>
        <v>491.594</v>
      </c>
      <c r="Q186" s="118">
        <v>5000</v>
      </c>
      <c r="R186" s="118">
        <f>7000</f>
        <v>7000</v>
      </c>
      <c r="S186" s="118">
        <f t="shared" ref="S186" si="163">SUM(F186:R186)</f>
        <v>77103.7495</v>
      </c>
      <c r="T186" s="118">
        <v>75538.03575</v>
      </c>
      <c r="U186" s="118">
        <f t="shared" si="137"/>
        <v>1565.71375000001</v>
      </c>
      <c r="V186" s="118"/>
      <c r="W186" s="118">
        <v>236.04</v>
      </c>
      <c r="X186" s="118">
        <v>236.04</v>
      </c>
      <c r="Y186" s="118">
        <f t="shared" si="138"/>
        <v>0</v>
      </c>
      <c r="Z186" s="118"/>
      <c r="AA186" s="118"/>
      <c r="AB186" s="118"/>
    </row>
    <row r="187" customHeight="1" spans="1:28">
      <c r="A187" s="43"/>
      <c r="B187" s="113" t="s">
        <v>33</v>
      </c>
      <c r="D187" s="172" t="s">
        <v>1122</v>
      </c>
      <c r="E187" s="173"/>
      <c r="F187" s="154">
        <f t="shared" ref="F187:M187" si="164">SUM(F132:F186)</f>
        <v>833916.939999999</v>
      </c>
      <c r="G187" s="154">
        <f t="shared" si="164"/>
        <v>0</v>
      </c>
      <c r="H187" s="154">
        <f t="shared" si="164"/>
        <v>2501750.82</v>
      </c>
      <c r="I187" s="154">
        <f t="shared" si="164"/>
        <v>62543.7705</v>
      </c>
      <c r="J187" s="154">
        <f t="shared" si="164"/>
        <v>280855.33</v>
      </c>
      <c r="K187" s="154">
        <f t="shared" si="164"/>
        <v>416958.47</v>
      </c>
      <c r="L187" s="154">
        <f t="shared" si="164"/>
        <v>2918709.29</v>
      </c>
      <c r="M187" s="154">
        <f t="shared" si="164"/>
        <v>833916.939999999</v>
      </c>
      <c r="N187" s="148"/>
      <c r="O187" s="148">
        <f>SUM(O132:O186)</f>
        <v>2300000</v>
      </c>
      <c r="P187" s="154">
        <f>SUM(P132:P186)</f>
        <v>83391.694</v>
      </c>
      <c r="Q187" s="154">
        <f>SUM(Q132:Q186)</f>
        <v>505000</v>
      </c>
      <c r="R187" s="154">
        <f>SUM(R132:R186)</f>
        <v>211000</v>
      </c>
      <c r="S187" s="154">
        <f>SUM(S132:S186)</f>
        <v>10948043.2545</v>
      </c>
      <c r="T187" s="154">
        <v>10834146.823</v>
      </c>
      <c r="U187" s="154">
        <f>SUM(U132:U186)</f>
        <v>105835.73525</v>
      </c>
      <c r="V187" s="154"/>
      <c r="W187" s="154">
        <f t="shared" ref="W187" si="165">SUM(W132:W186)</f>
        <v>234382.48</v>
      </c>
      <c r="X187" s="154">
        <v>234382.48</v>
      </c>
      <c r="Y187" s="154">
        <f t="shared" ref="Y187" si="166">SUM(Y132:Y186)</f>
        <v>0</v>
      </c>
      <c r="Z187" s="154"/>
      <c r="AA187" s="154"/>
      <c r="AB187" s="154"/>
    </row>
    <row r="188" customHeight="1" spans="1:28">
      <c r="A188" s="43"/>
      <c r="B188" s="174" t="s">
        <v>80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1192</v>
      </c>
      <c r="E190" s="180"/>
      <c r="F190" s="180"/>
      <c r="G190" s="180"/>
      <c r="H190" s="180"/>
      <c r="I190" s="180"/>
      <c r="J190" s="180"/>
      <c r="K190" s="176" t="s">
        <v>1216</v>
      </c>
      <c r="L190" s="176"/>
      <c r="M190" s="176"/>
      <c r="N190" s="176"/>
      <c r="O190" s="176"/>
      <c r="P190" s="176" t="s">
        <v>1217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2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3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1218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132</v>
      </c>
      <c r="F4" s="80" t="s">
        <v>931</v>
      </c>
      <c r="G4" s="80" t="s">
        <v>932</v>
      </c>
    </row>
    <row r="5" customHeight="1" spans="1:7">
      <c r="A5" s="9" t="s">
        <v>20</v>
      </c>
      <c r="B5" s="8" t="s">
        <v>21</v>
      </c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10">
        <v>1</v>
      </c>
      <c r="B6" s="11" t="s">
        <v>236</v>
      </c>
      <c r="C6" s="83" t="s">
        <v>237</v>
      </c>
      <c r="D6" s="12" t="s">
        <v>238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1016</v>
      </c>
      <c r="C7" s="86" t="s">
        <v>1106</v>
      </c>
      <c r="D7" s="10" t="s">
        <v>231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1107</v>
      </c>
      <c r="C8" s="86" t="s">
        <v>1108</v>
      </c>
      <c r="D8" s="10" t="s">
        <v>308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239</v>
      </c>
      <c r="C9" s="83" t="s">
        <v>240</v>
      </c>
      <c r="D9" s="10" t="s">
        <v>1157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241</v>
      </c>
      <c r="C10" s="86" t="s">
        <v>242</v>
      </c>
      <c r="D10" s="15" t="s">
        <v>946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363</v>
      </c>
      <c r="C11" s="86" t="s">
        <v>1018</v>
      </c>
      <c r="D11" s="16" t="s">
        <v>946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243</v>
      </c>
      <c r="C12" s="87" t="s">
        <v>244</v>
      </c>
      <c r="D12" s="16" t="s">
        <v>946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245</v>
      </c>
      <c r="C13" s="86" t="s">
        <v>246</v>
      </c>
      <c r="D13" s="16" t="s">
        <v>946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247</v>
      </c>
      <c r="C14" s="83" t="s">
        <v>248</v>
      </c>
      <c r="D14" s="15" t="s">
        <v>249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223</v>
      </c>
      <c r="C15" s="83" t="s">
        <v>224</v>
      </c>
      <c r="D15" s="10" t="s">
        <v>952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1109</v>
      </c>
      <c r="C16" s="86" t="s">
        <v>1110</v>
      </c>
      <c r="D16" s="16" t="s">
        <v>342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1019</v>
      </c>
      <c r="C17" s="86" t="s">
        <v>253</v>
      </c>
      <c r="D17" s="10" t="s">
        <v>342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1111</v>
      </c>
      <c r="C18" s="86" t="s">
        <v>1112</v>
      </c>
      <c r="D18" s="10" t="s">
        <v>342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252</v>
      </c>
      <c r="C19" s="86" t="s">
        <v>253</v>
      </c>
      <c r="D19" s="15" t="s">
        <v>342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264</v>
      </c>
      <c r="C20" s="83" t="s">
        <v>265</v>
      </c>
      <c r="D20" s="15" t="s">
        <v>1162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267</v>
      </c>
      <c r="C21" s="86" t="s">
        <v>268</v>
      </c>
      <c r="D21" s="15" t="s">
        <v>1163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389</v>
      </c>
      <c r="C22" s="83" t="s">
        <v>390</v>
      </c>
      <c r="D22" s="15" t="s">
        <v>332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270</v>
      </c>
      <c r="C23" s="83" t="s">
        <v>50</v>
      </c>
      <c r="D23" s="15" t="s">
        <v>41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387</v>
      </c>
      <c r="C24" s="86" t="s">
        <v>388</v>
      </c>
      <c r="D24" s="15" t="s">
        <v>41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427</v>
      </c>
      <c r="C25" s="86" t="s">
        <v>1128</v>
      </c>
      <c r="D25" s="15" t="s">
        <v>345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1113</v>
      </c>
      <c r="C26" s="83" t="s">
        <v>293</v>
      </c>
      <c r="D26" s="15" t="s">
        <v>301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278</v>
      </c>
      <c r="C27" s="86" t="s">
        <v>176</v>
      </c>
      <c r="D27" s="10" t="s">
        <v>24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280</v>
      </c>
      <c r="C28" s="83" t="s">
        <v>176</v>
      </c>
      <c r="D28" s="15" t="s">
        <v>24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1020</v>
      </c>
      <c r="C29" s="83" t="s">
        <v>1021</v>
      </c>
      <c r="D29" s="15" t="s">
        <v>24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282</v>
      </c>
      <c r="C30" s="83" t="s">
        <v>967</v>
      </c>
      <c r="D30" s="15" t="s">
        <v>1166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370</v>
      </c>
      <c r="C31" s="87" t="s">
        <v>1130</v>
      </c>
      <c r="D31" s="15" t="s">
        <v>291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284</v>
      </c>
      <c r="C32" s="86" t="s">
        <v>1022</v>
      </c>
      <c r="D32" s="10" t="s">
        <v>291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287</v>
      </c>
      <c r="C33" s="87" t="s">
        <v>288</v>
      </c>
      <c r="D33" s="15" t="s">
        <v>24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1219</v>
      </c>
      <c r="C34" s="87" t="s">
        <v>288</v>
      </c>
      <c r="D34" s="15" t="s">
        <v>30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289</v>
      </c>
      <c r="C35" s="86" t="s">
        <v>1131</v>
      </c>
      <c r="D35" s="10" t="s">
        <v>30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933</v>
      </c>
      <c r="C36" s="83" t="s">
        <v>293</v>
      </c>
      <c r="D36" s="15" t="s">
        <v>30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1114</v>
      </c>
      <c r="C37" s="83" t="s">
        <v>293</v>
      </c>
      <c r="D37" s="15" t="s">
        <v>30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33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34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295</v>
      </c>
      <c r="C41" s="86" t="s">
        <v>296</v>
      </c>
      <c r="D41" s="10" t="s">
        <v>1168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298</v>
      </c>
      <c r="C42" s="86" t="s">
        <v>537</v>
      </c>
      <c r="D42" s="10" t="s">
        <v>30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38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302</v>
      </c>
      <c r="C46" s="86" t="s">
        <v>303</v>
      </c>
      <c r="D46" s="10" t="s">
        <v>297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304</v>
      </c>
      <c r="C47" s="86" t="s">
        <v>305</v>
      </c>
      <c r="D47" s="10" t="s">
        <v>249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306</v>
      </c>
      <c r="C48" s="86" t="s">
        <v>310</v>
      </c>
      <c r="D48" s="10" t="s">
        <v>249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309</v>
      </c>
      <c r="C49" s="86" t="s">
        <v>310</v>
      </c>
      <c r="D49" s="10" t="s">
        <v>327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311</v>
      </c>
      <c r="C50" s="86" t="s">
        <v>310</v>
      </c>
      <c r="D50" s="10" t="s">
        <v>228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312</v>
      </c>
      <c r="C51" s="86" t="s">
        <v>259</v>
      </c>
      <c r="D51" s="10" t="s">
        <v>342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313</v>
      </c>
      <c r="C52" s="86" t="s">
        <v>256</v>
      </c>
      <c r="D52" s="16" t="s">
        <v>342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1025</v>
      </c>
      <c r="C53" s="86" t="s">
        <v>256</v>
      </c>
      <c r="D53" s="10" t="s">
        <v>260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258</v>
      </c>
      <c r="C54" s="86" t="s">
        <v>353</v>
      </c>
      <c r="D54" s="10" t="s">
        <v>950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315</v>
      </c>
      <c r="C55" s="86" t="s">
        <v>63</v>
      </c>
      <c r="D55" s="10" t="s">
        <v>24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316</v>
      </c>
      <c r="C56" s="86" t="s">
        <v>63</v>
      </c>
      <c r="D56" s="10" t="s">
        <v>24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317</v>
      </c>
      <c r="C57" s="86" t="s">
        <v>63</v>
      </c>
      <c r="D57" s="10" t="s">
        <v>24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33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318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319</v>
      </c>
      <c r="C61" s="83" t="s">
        <v>320</v>
      </c>
      <c r="D61" s="15" t="s">
        <v>297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33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44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323</v>
      </c>
      <c r="C65" s="87" t="s">
        <v>324</v>
      </c>
      <c r="D65" s="10" t="s">
        <v>297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325</v>
      </c>
      <c r="C66" s="87" t="s">
        <v>326</v>
      </c>
      <c r="D66" s="15" t="s">
        <v>952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328</v>
      </c>
      <c r="C67" s="86" t="s">
        <v>46</v>
      </c>
      <c r="D67" s="10" t="s">
        <v>950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329</v>
      </c>
      <c r="C68" s="87" t="s">
        <v>46</v>
      </c>
      <c r="D68" s="15" t="s">
        <v>1162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330</v>
      </c>
      <c r="C69" s="87" t="s">
        <v>256</v>
      </c>
      <c r="D69" s="15" t="s">
        <v>342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331</v>
      </c>
      <c r="C70" s="86" t="s">
        <v>63</v>
      </c>
      <c r="D70" s="10" t="s">
        <v>1170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1033</v>
      </c>
      <c r="C71" s="87" t="s">
        <v>275</v>
      </c>
      <c r="D71" s="15" t="s">
        <v>332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333</v>
      </c>
      <c r="C72" s="87" t="s">
        <v>275</v>
      </c>
      <c r="D72" s="15" t="s">
        <v>41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334</v>
      </c>
      <c r="C73" s="87" t="s">
        <v>275</v>
      </c>
      <c r="D73" s="15" t="s">
        <v>41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335</v>
      </c>
      <c r="C74" s="86" t="s">
        <v>336</v>
      </c>
      <c r="D74" s="10" t="s">
        <v>41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1115</v>
      </c>
      <c r="C75" s="87" t="s">
        <v>63</v>
      </c>
      <c r="D75" s="10" t="s">
        <v>37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281</v>
      </c>
      <c r="C76" s="87" t="s">
        <v>273</v>
      </c>
      <c r="D76" s="10" t="s">
        <v>24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272</v>
      </c>
      <c r="C77" s="87" t="s">
        <v>273</v>
      </c>
      <c r="D77" s="10" t="s">
        <v>30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33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51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338</v>
      </c>
      <c r="C81" s="86" t="s">
        <v>339</v>
      </c>
      <c r="D81" s="10" t="s">
        <v>297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220</v>
      </c>
      <c r="C82" s="86" t="s">
        <v>221</v>
      </c>
      <c r="D82" s="15" t="s">
        <v>952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1116</v>
      </c>
      <c r="C83" s="86" t="s">
        <v>1117</v>
      </c>
      <c r="D83" s="15" t="s">
        <v>952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340</v>
      </c>
      <c r="C84" s="86" t="s">
        <v>968</v>
      </c>
      <c r="D84" s="15" t="s">
        <v>950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343</v>
      </c>
      <c r="C85" s="86" t="s">
        <v>344</v>
      </c>
      <c r="D85" s="10" t="s">
        <v>37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33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56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1173</v>
      </c>
      <c r="C89" s="86" t="s">
        <v>1134</v>
      </c>
      <c r="D89" s="10" t="s">
        <v>308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349</v>
      </c>
      <c r="C90" s="86" t="s">
        <v>310</v>
      </c>
      <c r="D90" s="10" t="s">
        <v>249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350</v>
      </c>
      <c r="C91" s="86" t="s">
        <v>310</v>
      </c>
      <c r="D91" s="10" t="s">
        <v>249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386</v>
      </c>
      <c r="C92" s="86" t="s">
        <v>256</v>
      </c>
      <c r="D92" s="10" t="s">
        <v>257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351</v>
      </c>
      <c r="C93" s="86" t="s">
        <v>259</v>
      </c>
      <c r="D93" s="10" t="s">
        <v>342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352</v>
      </c>
      <c r="C94" s="86" t="s">
        <v>353</v>
      </c>
      <c r="D94" s="15" t="s">
        <v>950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354</v>
      </c>
      <c r="C95" s="83" t="s">
        <v>46</v>
      </c>
      <c r="D95" s="15" t="s">
        <v>1162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355</v>
      </c>
      <c r="C96" s="83" t="s">
        <v>46</v>
      </c>
      <c r="D96" s="15" t="s">
        <v>1162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357</v>
      </c>
      <c r="C97" s="87" t="s">
        <v>275</v>
      </c>
      <c r="D97" s="15" t="s">
        <v>41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359</v>
      </c>
      <c r="C98" s="86" t="s">
        <v>360</v>
      </c>
      <c r="D98" s="10" t="s">
        <v>37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361</v>
      </c>
      <c r="C99" s="87" t="s">
        <v>362</v>
      </c>
      <c r="D99" s="15" t="s">
        <v>30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33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1220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232</v>
      </c>
      <c r="C103" s="95" t="s">
        <v>233</v>
      </c>
      <c r="D103" s="15" t="s">
        <v>308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250</v>
      </c>
      <c r="C104" s="86" t="s">
        <v>367</v>
      </c>
      <c r="D104" s="10" t="s">
        <v>342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1135</v>
      </c>
      <c r="C105" s="86" t="s">
        <v>1136</v>
      </c>
      <c r="D105" s="15" t="s">
        <v>1162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368</v>
      </c>
      <c r="C106" s="86" t="s">
        <v>369</v>
      </c>
      <c r="D106" s="15" t="s">
        <v>41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33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372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373</v>
      </c>
      <c r="C110" s="83" t="s">
        <v>374</v>
      </c>
      <c r="D110" s="15" t="s">
        <v>297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375</v>
      </c>
      <c r="C111" s="86" t="s">
        <v>376</v>
      </c>
      <c r="D111" s="16" t="s">
        <v>946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377</v>
      </c>
      <c r="C112" s="86" t="s">
        <v>378</v>
      </c>
      <c r="D112" s="10" t="s">
        <v>263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379</v>
      </c>
      <c r="C113" s="86" t="s">
        <v>378</v>
      </c>
      <c r="D113" s="10" t="s">
        <v>266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380</v>
      </c>
      <c r="C114" s="86" t="s">
        <v>381</v>
      </c>
      <c r="D114" s="15" t="s">
        <v>945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383</v>
      </c>
      <c r="C115" s="86" t="s">
        <v>381</v>
      </c>
      <c r="D115" s="10" t="s">
        <v>291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385</v>
      </c>
      <c r="C116" s="86" t="s">
        <v>381</v>
      </c>
      <c r="D116" s="15" t="s">
        <v>30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33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67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392</v>
      </c>
      <c r="C120" s="83" t="s">
        <v>393</v>
      </c>
      <c r="D120" s="15" t="s">
        <v>297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1138</v>
      </c>
      <c r="C121" s="83" t="s">
        <v>1139</v>
      </c>
      <c r="D121" s="15" t="s">
        <v>231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128</v>
      </c>
      <c r="C122" s="83" t="s">
        <v>227</v>
      </c>
      <c r="D122" s="15" t="s">
        <v>249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395</v>
      </c>
      <c r="C123" s="83" t="s">
        <v>227</v>
      </c>
      <c r="D123" s="15" t="s">
        <v>249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226</v>
      </c>
      <c r="C124" s="83" t="s">
        <v>227</v>
      </c>
      <c r="D124" s="15" t="s">
        <v>228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396</v>
      </c>
      <c r="C125" s="83" t="s">
        <v>397</v>
      </c>
      <c r="D125" s="15" t="s">
        <v>260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398</v>
      </c>
      <c r="C126" s="83" t="s">
        <v>399</v>
      </c>
      <c r="D126" s="15" t="s">
        <v>950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400</v>
      </c>
      <c r="C127" s="83" t="s">
        <v>970</v>
      </c>
      <c r="D127" s="15" t="s">
        <v>950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1140</v>
      </c>
      <c r="C128" s="83" t="s">
        <v>1141</v>
      </c>
      <c r="D128" s="15" t="s">
        <v>951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401</v>
      </c>
      <c r="C129" s="83" t="s">
        <v>402</v>
      </c>
      <c r="D129" s="10" t="s">
        <v>24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403</v>
      </c>
      <c r="C130" s="83" t="s">
        <v>404</v>
      </c>
      <c r="D130" s="15" t="s">
        <v>30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33</v>
      </c>
      <c r="C131" s="99" t="s">
        <v>1142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71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407</v>
      </c>
      <c r="C134" s="83" t="s">
        <v>1221</v>
      </c>
      <c r="D134" s="15" t="s">
        <v>297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229</v>
      </c>
      <c r="C135" s="83" t="s">
        <v>230</v>
      </c>
      <c r="D135" s="15" t="s">
        <v>231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409</v>
      </c>
      <c r="C136" s="86" t="s">
        <v>410</v>
      </c>
      <c r="D136" s="16" t="s">
        <v>946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411</v>
      </c>
      <c r="C137" s="83" t="s">
        <v>412</v>
      </c>
      <c r="D137" s="15" t="s">
        <v>342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413</v>
      </c>
      <c r="C138" s="86" t="s">
        <v>414</v>
      </c>
      <c r="D138" s="15" t="s">
        <v>342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366</v>
      </c>
      <c r="C139" s="86" t="s">
        <v>420</v>
      </c>
      <c r="D139" s="15" t="s">
        <v>950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416</v>
      </c>
      <c r="C140" s="83" t="s">
        <v>417</v>
      </c>
      <c r="D140" s="15" t="s">
        <v>332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418</v>
      </c>
      <c r="C141" s="83" t="s">
        <v>417</v>
      </c>
      <c r="D141" s="15" t="s">
        <v>332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419</v>
      </c>
      <c r="C142" s="86" t="s">
        <v>420</v>
      </c>
      <c r="D142" s="15" t="s">
        <v>332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421</v>
      </c>
      <c r="C143" s="83" t="s">
        <v>426</v>
      </c>
      <c r="D143" s="15" t="s">
        <v>41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423</v>
      </c>
      <c r="C144" s="83" t="s">
        <v>971</v>
      </c>
      <c r="D144" s="15" t="s">
        <v>345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425</v>
      </c>
      <c r="C145" s="83" t="s">
        <v>426</v>
      </c>
      <c r="D145" s="15" t="s">
        <v>41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429</v>
      </c>
      <c r="C146" s="86" t="s">
        <v>430</v>
      </c>
      <c r="D146" s="15" t="s">
        <v>301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431</v>
      </c>
      <c r="C147" s="86" t="s">
        <v>430</v>
      </c>
      <c r="D147" s="15" t="s">
        <v>301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433</v>
      </c>
      <c r="C148" s="86" t="s">
        <v>430</v>
      </c>
      <c r="D148" s="15" t="s">
        <v>301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434</v>
      </c>
      <c r="C149" s="83" t="s">
        <v>435</v>
      </c>
      <c r="D149" s="15" t="s">
        <v>37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953</v>
      </c>
      <c r="C150" s="83" t="s">
        <v>437</v>
      </c>
      <c r="D150" s="10" t="s">
        <v>24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438</v>
      </c>
      <c r="C151" s="83" t="s">
        <v>439</v>
      </c>
      <c r="D151" s="15" t="s">
        <v>37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440</v>
      </c>
      <c r="C152" s="83" t="s">
        <v>441</v>
      </c>
      <c r="D152" s="15" t="s">
        <v>24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442</v>
      </c>
      <c r="C153" s="83" t="s">
        <v>443</v>
      </c>
      <c r="D153" s="15" t="s">
        <v>37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444</v>
      </c>
      <c r="C154" s="83" t="s">
        <v>445</v>
      </c>
      <c r="D154" s="15" t="s">
        <v>24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446</v>
      </c>
      <c r="C155" s="83" t="s">
        <v>451</v>
      </c>
      <c r="D155" s="15" t="s">
        <v>1166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1143</v>
      </c>
      <c r="C156" s="83" t="s">
        <v>449</v>
      </c>
      <c r="D156" s="15" t="s">
        <v>30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448</v>
      </c>
      <c r="C157" s="83" t="s">
        <v>449</v>
      </c>
      <c r="D157" s="15" t="s">
        <v>30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450</v>
      </c>
      <c r="C158" s="83" t="s">
        <v>451</v>
      </c>
      <c r="D158" s="15" t="s">
        <v>30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452</v>
      </c>
      <c r="C159" s="83" t="s">
        <v>453</v>
      </c>
      <c r="D159" s="15" t="s">
        <v>30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454</v>
      </c>
      <c r="C160" s="83" t="s">
        <v>455</v>
      </c>
      <c r="D160" s="15" t="s">
        <v>30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457</v>
      </c>
      <c r="C161" s="83" t="s">
        <v>458</v>
      </c>
      <c r="D161" s="15" t="s">
        <v>476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460</v>
      </c>
      <c r="C162" s="83" t="s">
        <v>458</v>
      </c>
      <c r="D162" s="15" t="s">
        <v>476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461</v>
      </c>
      <c r="C163" s="83" t="s">
        <v>458</v>
      </c>
      <c r="D163" s="15" t="s">
        <v>476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664</v>
      </c>
      <c r="C164" s="83" t="s">
        <v>458</v>
      </c>
      <c r="D164" s="15" t="s">
        <v>476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662</v>
      </c>
      <c r="C165" s="83" t="s">
        <v>458</v>
      </c>
      <c r="D165" s="15" t="s">
        <v>476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462</v>
      </c>
      <c r="C166" s="83" t="s">
        <v>458</v>
      </c>
      <c r="D166" s="15" t="s">
        <v>476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463</v>
      </c>
      <c r="C167" s="83" t="s">
        <v>458</v>
      </c>
      <c r="D167" s="15" t="s">
        <v>476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464</v>
      </c>
      <c r="C168" s="83" t="s">
        <v>458</v>
      </c>
      <c r="D168" s="15" t="s">
        <v>473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466</v>
      </c>
      <c r="C169" s="83" t="s">
        <v>458</v>
      </c>
      <c r="D169" s="15" t="s">
        <v>473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1121</v>
      </c>
      <c r="C170" s="83" t="s">
        <v>458</v>
      </c>
      <c r="D170" s="15" t="s">
        <v>473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467</v>
      </c>
      <c r="C171" s="83" t="s">
        <v>458</v>
      </c>
      <c r="D171" s="15" t="s">
        <v>473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468</v>
      </c>
      <c r="C172" s="83" t="s">
        <v>458</v>
      </c>
      <c r="D172" s="15" t="s">
        <v>473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469</v>
      </c>
      <c r="C173" s="83" t="s">
        <v>458</v>
      </c>
      <c r="D173" s="15" t="s">
        <v>473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470</v>
      </c>
      <c r="C174" s="83" t="s">
        <v>458</v>
      </c>
      <c r="D174" s="15" t="s">
        <v>473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471</v>
      </c>
      <c r="C175" s="83" t="s">
        <v>478</v>
      </c>
      <c r="D175" s="15" t="s">
        <v>954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474</v>
      </c>
      <c r="C176" s="83" t="s">
        <v>478</v>
      </c>
      <c r="D176" s="15" t="s">
        <v>954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475</v>
      </c>
      <c r="C177" s="83" t="s">
        <v>478</v>
      </c>
      <c r="D177" s="15" t="s">
        <v>479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477</v>
      </c>
      <c r="C178" s="83" t="s">
        <v>478</v>
      </c>
      <c r="D178" s="15" t="s">
        <v>492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480</v>
      </c>
      <c r="C179" s="83" t="s">
        <v>481</v>
      </c>
      <c r="D179" s="15" t="s">
        <v>1190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483</v>
      </c>
      <c r="C180" s="83" t="s">
        <v>481</v>
      </c>
      <c r="D180" s="15" t="s">
        <v>1190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484</v>
      </c>
      <c r="C181" s="83" t="s">
        <v>481</v>
      </c>
      <c r="D181" s="15" t="s">
        <v>1190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485</v>
      </c>
      <c r="C182" s="83" t="s">
        <v>481</v>
      </c>
      <c r="D182" s="15" t="s">
        <v>1190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486</v>
      </c>
      <c r="C183" s="83" t="s">
        <v>481</v>
      </c>
      <c r="D183" s="15" t="s">
        <v>1190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487</v>
      </c>
      <c r="C184" s="83" t="s">
        <v>481</v>
      </c>
      <c r="D184" s="15" t="s">
        <v>502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488</v>
      </c>
      <c r="C185" s="83" t="s">
        <v>481</v>
      </c>
      <c r="D185" s="15" t="s">
        <v>502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489</v>
      </c>
      <c r="C186" s="83" t="s">
        <v>478</v>
      </c>
      <c r="D186" s="15" t="s">
        <v>502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490</v>
      </c>
      <c r="C187" s="83" t="s">
        <v>478</v>
      </c>
      <c r="D187" s="15" t="s">
        <v>502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491</v>
      </c>
      <c r="C188" s="83" t="s">
        <v>481</v>
      </c>
      <c r="D188" s="15" t="s">
        <v>494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493</v>
      </c>
      <c r="C189" s="83" t="s">
        <v>481</v>
      </c>
      <c r="D189" s="15" t="s">
        <v>497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33</v>
      </c>
      <c r="C190" s="100" t="s">
        <v>1222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80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1218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132</v>
      </c>
      <c r="F4" s="80" t="s">
        <v>931</v>
      </c>
      <c r="G4" s="80" t="s">
        <v>932</v>
      </c>
    </row>
    <row r="5" customHeight="1" spans="1:7">
      <c r="A5" s="9" t="s">
        <v>20</v>
      </c>
      <c r="B5" s="8" t="s">
        <v>21</v>
      </c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10">
        <v>1</v>
      </c>
      <c r="B6" s="11" t="s">
        <v>236</v>
      </c>
      <c r="C6" s="83" t="s">
        <v>237</v>
      </c>
      <c r="D6" s="12" t="s">
        <v>238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1016</v>
      </c>
      <c r="C7" s="86" t="s">
        <v>1106</v>
      </c>
      <c r="D7" s="10" t="s">
        <v>231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1107</v>
      </c>
      <c r="C8" s="86" t="s">
        <v>1108</v>
      </c>
      <c r="D8" s="10" t="s">
        <v>308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239</v>
      </c>
      <c r="C9" s="83" t="s">
        <v>240</v>
      </c>
      <c r="D9" s="10" t="s">
        <v>1157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241</v>
      </c>
      <c r="C10" s="86" t="s">
        <v>242</v>
      </c>
      <c r="D10" s="15" t="s">
        <v>946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363</v>
      </c>
      <c r="C11" s="86" t="s">
        <v>1018</v>
      </c>
      <c r="D11" s="16" t="s">
        <v>946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243</v>
      </c>
      <c r="C12" s="87" t="s">
        <v>244</v>
      </c>
      <c r="D12" s="16" t="s">
        <v>946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245</v>
      </c>
      <c r="C13" s="86" t="s">
        <v>246</v>
      </c>
      <c r="D13" s="16" t="s">
        <v>946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247</v>
      </c>
      <c r="C14" s="83" t="s">
        <v>248</v>
      </c>
      <c r="D14" s="15" t="s">
        <v>249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223</v>
      </c>
      <c r="C15" s="83" t="s">
        <v>224</v>
      </c>
      <c r="D15" s="10" t="s">
        <v>952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1109</v>
      </c>
      <c r="C16" s="86" t="s">
        <v>1110</v>
      </c>
      <c r="D16" s="16" t="s">
        <v>342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1019</v>
      </c>
      <c r="C17" s="86" t="s">
        <v>253</v>
      </c>
      <c r="D17" s="10" t="s">
        <v>342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1111</v>
      </c>
      <c r="C18" s="86" t="s">
        <v>1112</v>
      </c>
      <c r="D18" s="10" t="s">
        <v>342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252</v>
      </c>
      <c r="C19" s="86" t="s">
        <v>253</v>
      </c>
      <c r="D19" s="15" t="s">
        <v>342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264</v>
      </c>
      <c r="C20" s="83" t="s">
        <v>265</v>
      </c>
      <c r="D20" s="15" t="s">
        <v>1162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267</v>
      </c>
      <c r="C21" s="86" t="s">
        <v>268</v>
      </c>
      <c r="D21" s="15" t="s">
        <v>1163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389</v>
      </c>
      <c r="C22" s="83" t="s">
        <v>390</v>
      </c>
      <c r="D22" s="15" t="s">
        <v>332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270</v>
      </c>
      <c r="C23" s="83" t="s">
        <v>50</v>
      </c>
      <c r="D23" s="15" t="s">
        <v>41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387</v>
      </c>
      <c r="C24" s="86" t="s">
        <v>388</v>
      </c>
      <c r="D24" s="15" t="s">
        <v>41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427</v>
      </c>
      <c r="C25" s="86" t="s">
        <v>1128</v>
      </c>
      <c r="D25" s="15" t="s">
        <v>345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1113</v>
      </c>
      <c r="C26" s="83" t="s">
        <v>293</v>
      </c>
      <c r="D26" s="15" t="s">
        <v>301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278</v>
      </c>
      <c r="C27" s="86" t="s">
        <v>176</v>
      </c>
      <c r="D27" s="10" t="s">
        <v>24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280</v>
      </c>
      <c r="C28" s="83" t="s">
        <v>176</v>
      </c>
      <c r="D28" s="15" t="s">
        <v>24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1020</v>
      </c>
      <c r="C29" s="83" t="s">
        <v>1021</v>
      </c>
      <c r="D29" s="15" t="s">
        <v>24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282</v>
      </c>
      <c r="C30" s="83" t="s">
        <v>967</v>
      </c>
      <c r="D30" s="15" t="s">
        <v>1166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370</v>
      </c>
      <c r="C31" s="87" t="s">
        <v>1130</v>
      </c>
      <c r="D31" s="15" t="s">
        <v>291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284</v>
      </c>
      <c r="C32" s="86" t="s">
        <v>1022</v>
      </c>
      <c r="D32" s="10" t="s">
        <v>291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287</v>
      </c>
      <c r="C33" s="87" t="s">
        <v>288</v>
      </c>
      <c r="D33" s="15" t="s">
        <v>24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1219</v>
      </c>
      <c r="C34" s="87" t="s">
        <v>288</v>
      </c>
      <c r="D34" s="15" t="s">
        <v>30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289</v>
      </c>
      <c r="C35" s="86" t="s">
        <v>1131</v>
      </c>
      <c r="D35" s="10" t="s">
        <v>30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933</v>
      </c>
      <c r="C36" s="83" t="s">
        <v>293</v>
      </c>
      <c r="D36" s="15" t="s">
        <v>30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1114</v>
      </c>
      <c r="C37" s="83" t="s">
        <v>293</v>
      </c>
      <c r="D37" s="15" t="s">
        <v>30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33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34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295</v>
      </c>
      <c r="C41" s="86" t="s">
        <v>296</v>
      </c>
      <c r="D41" s="10" t="s">
        <v>1168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298</v>
      </c>
      <c r="C42" s="86" t="s">
        <v>537</v>
      </c>
      <c r="D42" s="10" t="s">
        <v>30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38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302</v>
      </c>
      <c r="C46" s="86" t="s">
        <v>303</v>
      </c>
      <c r="D46" s="10" t="s">
        <v>297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304</v>
      </c>
      <c r="C47" s="86" t="s">
        <v>305</v>
      </c>
      <c r="D47" s="10" t="s">
        <v>249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306</v>
      </c>
      <c r="C48" s="86" t="s">
        <v>310</v>
      </c>
      <c r="D48" s="10" t="s">
        <v>249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309</v>
      </c>
      <c r="C49" s="86" t="s">
        <v>310</v>
      </c>
      <c r="D49" s="10" t="s">
        <v>327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311</v>
      </c>
      <c r="C50" s="86" t="s">
        <v>310</v>
      </c>
      <c r="D50" s="10" t="s">
        <v>228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312</v>
      </c>
      <c r="C51" s="86" t="s">
        <v>259</v>
      </c>
      <c r="D51" s="10" t="s">
        <v>342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313</v>
      </c>
      <c r="C52" s="86" t="s">
        <v>256</v>
      </c>
      <c r="D52" s="16" t="s">
        <v>342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1025</v>
      </c>
      <c r="C53" s="86" t="s">
        <v>256</v>
      </c>
      <c r="D53" s="10" t="s">
        <v>260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258</v>
      </c>
      <c r="C54" s="86" t="s">
        <v>353</v>
      </c>
      <c r="D54" s="10" t="s">
        <v>950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315</v>
      </c>
      <c r="C55" s="86" t="s">
        <v>63</v>
      </c>
      <c r="D55" s="10" t="s">
        <v>24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316</v>
      </c>
      <c r="C56" s="86" t="s">
        <v>63</v>
      </c>
      <c r="D56" s="10" t="s">
        <v>24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317</v>
      </c>
      <c r="C57" s="86" t="s">
        <v>63</v>
      </c>
      <c r="D57" s="10" t="s">
        <v>24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33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318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319</v>
      </c>
      <c r="C61" s="83" t="s">
        <v>320</v>
      </c>
      <c r="D61" s="15" t="s">
        <v>297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33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44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323</v>
      </c>
      <c r="C65" s="87" t="s">
        <v>324</v>
      </c>
      <c r="D65" s="10" t="s">
        <v>297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325</v>
      </c>
      <c r="C66" s="87" t="s">
        <v>326</v>
      </c>
      <c r="D66" s="15" t="s">
        <v>952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328</v>
      </c>
      <c r="C67" s="86" t="s">
        <v>46</v>
      </c>
      <c r="D67" s="10" t="s">
        <v>950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329</v>
      </c>
      <c r="C68" s="87" t="s">
        <v>46</v>
      </c>
      <c r="D68" s="15" t="s">
        <v>1162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330</v>
      </c>
      <c r="C69" s="87" t="s">
        <v>256</v>
      </c>
      <c r="D69" s="15" t="s">
        <v>342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331</v>
      </c>
      <c r="C70" s="86" t="s">
        <v>63</v>
      </c>
      <c r="D70" s="10" t="s">
        <v>1170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1033</v>
      </c>
      <c r="C71" s="87" t="s">
        <v>275</v>
      </c>
      <c r="D71" s="15" t="s">
        <v>332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333</v>
      </c>
      <c r="C72" s="87" t="s">
        <v>275</v>
      </c>
      <c r="D72" s="15" t="s">
        <v>41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334</v>
      </c>
      <c r="C73" s="87" t="s">
        <v>275</v>
      </c>
      <c r="D73" s="15" t="s">
        <v>41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335</v>
      </c>
      <c r="C74" s="86" t="s">
        <v>336</v>
      </c>
      <c r="D74" s="10" t="s">
        <v>41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1115</v>
      </c>
      <c r="C75" s="87" t="s">
        <v>63</v>
      </c>
      <c r="D75" s="10" t="s">
        <v>37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281</v>
      </c>
      <c r="C76" s="87" t="s">
        <v>273</v>
      </c>
      <c r="D76" s="10" t="s">
        <v>24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272</v>
      </c>
      <c r="C77" s="87" t="s">
        <v>273</v>
      </c>
      <c r="D77" s="10" t="s">
        <v>30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33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51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338</v>
      </c>
      <c r="C81" s="86" t="s">
        <v>339</v>
      </c>
      <c r="D81" s="10" t="s">
        <v>297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220</v>
      </c>
      <c r="C82" s="86" t="s">
        <v>221</v>
      </c>
      <c r="D82" s="15" t="s">
        <v>952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1116</v>
      </c>
      <c r="C83" s="86" t="s">
        <v>1117</v>
      </c>
      <c r="D83" s="15" t="s">
        <v>952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340</v>
      </c>
      <c r="C84" s="86" t="s">
        <v>968</v>
      </c>
      <c r="D84" s="15" t="s">
        <v>950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343</v>
      </c>
      <c r="C85" s="86" t="s">
        <v>344</v>
      </c>
      <c r="D85" s="10" t="s">
        <v>37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33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56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1173</v>
      </c>
      <c r="C89" s="86" t="s">
        <v>1134</v>
      </c>
      <c r="D89" s="10" t="s">
        <v>308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349</v>
      </c>
      <c r="C90" s="86" t="s">
        <v>310</v>
      </c>
      <c r="D90" s="10" t="s">
        <v>249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350</v>
      </c>
      <c r="C91" s="86" t="s">
        <v>310</v>
      </c>
      <c r="D91" s="10" t="s">
        <v>249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386</v>
      </c>
      <c r="C92" s="86" t="s">
        <v>256</v>
      </c>
      <c r="D92" s="10" t="s">
        <v>257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351</v>
      </c>
      <c r="C93" s="86" t="s">
        <v>259</v>
      </c>
      <c r="D93" s="10" t="s">
        <v>342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352</v>
      </c>
      <c r="C94" s="86" t="s">
        <v>353</v>
      </c>
      <c r="D94" s="15" t="s">
        <v>950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354</v>
      </c>
      <c r="C95" s="83" t="s">
        <v>46</v>
      </c>
      <c r="D95" s="15" t="s">
        <v>1162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355</v>
      </c>
      <c r="C96" s="83" t="s">
        <v>46</v>
      </c>
      <c r="D96" s="15" t="s">
        <v>1162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357</v>
      </c>
      <c r="C97" s="87" t="s">
        <v>275</v>
      </c>
      <c r="D97" s="15" t="s">
        <v>41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359</v>
      </c>
      <c r="C98" s="86" t="s">
        <v>360</v>
      </c>
      <c r="D98" s="10" t="s">
        <v>37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361</v>
      </c>
      <c r="C99" s="87" t="s">
        <v>362</v>
      </c>
      <c r="D99" s="15" t="s">
        <v>30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33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1220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232</v>
      </c>
      <c r="C103" s="95" t="s">
        <v>233</v>
      </c>
      <c r="D103" s="15" t="s">
        <v>308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250</v>
      </c>
      <c r="C104" s="86" t="s">
        <v>367</v>
      </c>
      <c r="D104" s="10" t="s">
        <v>342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1135</v>
      </c>
      <c r="C105" s="86" t="s">
        <v>1136</v>
      </c>
      <c r="D105" s="15" t="s">
        <v>1162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368</v>
      </c>
      <c r="C106" s="86" t="s">
        <v>369</v>
      </c>
      <c r="D106" s="15" t="s">
        <v>41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33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372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373</v>
      </c>
      <c r="C110" s="83" t="s">
        <v>374</v>
      </c>
      <c r="D110" s="15" t="s">
        <v>297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375</v>
      </c>
      <c r="C111" s="86" t="s">
        <v>376</v>
      </c>
      <c r="D111" s="16" t="s">
        <v>946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377</v>
      </c>
      <c r="C112" s="86" t="s">
        <v>378</v>
      </c>
      <c r="D112" s="10" t="s">
        <v>263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379</v>
      </c>
      <c r="C113" s="86" t="s">
        <v>378</v>
      </c>
      <c r="D113" s="10" t="s">
        <v>266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380</v>
      </c>
      <c r="C114" s="86" t="s">
        <v>381</v>
      </c>
      <c r="D114" s="15" t="s">
        <v>945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383</v>
      </c>
      <c r="C115" s="86" t="s">
        <v>381</v>
      </c>
      <c r="D115" s="10" t="s">
        <v>291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385</v>
      </c>
      <c r="C116" s="86" t="s">
        <v>381</v>
      </c>
      <c r="D116" s="15" t="s">
        <v>30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33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67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392</v>
      </c>
      <c r="C120" s="83" t="s">
        <v>393</v>
      </c>
      <c r="D120" s="15" t="s">
        <v>297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1138</v>
      </c>
      <c r="C121" s="83" t="s">
        <v>1139</v>
      </c>
      <c r="D121" s="15" t="s">
        <v>231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128</v>
      </c>
      <c r="C122" s="83" t="s">
        <v>227</v>
      </c>
      <c r="D122" s="15" t="s">
        <v>249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395</v>
      </c>
      <c r="C123" s="83" t="s">
        <v>227</v>
      </c>
      <c r="D123" s="15" t="s">
        <v>249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226</v>
      </c>
      <c r="C124" s="83" t="s">
        <v>227</v>
      </c>
      <c r="D124" s="15" t="s">
        <v>228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396</v>
      </c>
      <c r="C125" s="83" t="s">
        <v>397</v>
      </c>
      <c r="D125" s="15" t="s">
        <v>260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398</v>
      </c>
      <c r="C126" s="83" t="s">
        <v>399</v>
      </c>
      <c r="D126" s="15" t="s">
        <v>950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400</v>
      </c>
      <c r="C127" s="83" t="s">
        <v>970</v>
      </c>
      <c r="D127" s="15" t="s">
        <v>950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1140</v>
      </c>
      <c r="C128" s="83" t="s">
        <v>1141</v>
      </c>
      <c r="D128" s="15" t="s">
        <v>951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401</v>
      </c>
      <c r="C129" s="83" t="s">
        <v>402</v>
      </c>
      <c r="D129" s="10" t="s">
        <v>24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403</v>
      </c>
      <c r="C130" s="83" t="s">
        <v>404</v>
      </c>
      <c r="D130" s="15" t="s">
        <v>30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33</v>
      </c>
      <c r="C131" s="99" t="s">
        <v>1142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71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407</v>
      </c>
      <c r="C134" s="83" t="s">
        <v>1221</v>
      </c>
      <c r="D134" s="15" t="s">
        <v>297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229</v>
      </c>
      <c r="C135" s="83" t="s">
        <v>230</v>
      </c>
      <c r="D135" s="15" t="s">
        <v>231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409</v>
      </c>
      <c r="C136" s="86" t="s">
        <v>410</v>
      </c>
      <c r="D136" s="16" t="s">
        <v>946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411</v>
      </c>
      <c r="C137" s="83" t="s">
        <v>412</v>
      </c>
      <c r="D137" s="15" t="s">
        <v>342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413</v>
      </c>
      <c r="C138" s="86" t="s">
        <v>414</v>
      </c>
      <c r="D138" s="15" t="s">
        <v>342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366</v>
      </c>
      <c r="C139" s="86" t="s">
        <v>420</v>
      </c>
      <c r="D139" s="15" t="s">
        <v>950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416</v>
      </c>
      <c r="C140" s="83" t="s">
        <v>417</v>
      </c>
      <c r="D140" s="15" t="s">
        <v>332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418</v>
      </c>
      <c r="C141" s="83" t="s">
        <v>417</v>
      </c>
      <c r="D141" s="15" t="s">
        <v>332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419</v>
      </c>
      <c r="C142" s="86" t="s">
        <v>420</v>
      </c>
      <c r="D142" s="15" t="s">
        <v>332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421</v>
      </c>
      <c r="C143" s="83" t="s">
        <v>426</v>
      </c>
      <c r="D143" s="15" t="s">
        <v>41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423</v>
      </c>
      <c r="C144" s="83" t="s">
        <v>971</v>
      </c>
      <c r="D144" s="15" t="s">
        <v>345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425</v>
      </c>
      <c r="C145" s="83" t="s">
        <v>426</v>
      </c>
      <c r="D145" s="15" t="s">
        <v>41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429</v>
      </c>
      <c r="C146" s="86" t="s">
        <v>430</v>
      </c>
      <c r="D146" s="15" t="s">
        <v>301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431</v>
      </c>
      <c r="C147" s="86" t="s">
        <v>430</v>
      </c>
      <c r="D147" s="15" t="s">
        <v>301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433</v>
      </c>
      <c r="C148" s="86" t="s">
        <v>430</v>
      </c>
      <c r="D148" s="15" t="s">
        <v>301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434</v>
      </c>
      <c r="C149" s="83" t="s">
        <v>435</v>
      </c>
      <c r="D149" s="15" t="s">
        <v>37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953</v>
      </c>
      <c r="C150" s="83" t="s">
        <v>437</v>
      </c>
      <c r="D150" s="10" t="s">
        <v>24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438</v>
      </c>
      <c r="C151" s="83" t="s">
        <v>439</v>
      </c>
      <c r="D151" s="15" t="s">
        <v>37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440</v>
      </c>
      <c r="C152" s="83" t="s">
        <v>441</v>
      </c>
      <c r="D152" s="15" t="s">
        <v>24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442</v>
      </c>
      <c r="C153" s="83" t="s">
        <v>443</v>
      </c>
      <c r="D153" s="15" t="s">
        <v>37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444</v>
      </c>
      <c r="C154" s="83" t="s">
        <v>445</v>
      </c>
      <c r="D154" s="15" t="s">
        <v>24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446</v>
      </c>
      <c r="C155" s="83" t="s">
        <v>451</v>
      </c>
      <c r="D155" s="15" t="s">
        <v>1166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1143</v>
      </c>
      <c r="C156" s="83" t="s">
        <v>449</v>
      </c>
      <c r="D156" s="15" t="s">
        <v>30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448</v>
      </c>
      <c r="C157" s="83" t="s">
        <v>449</v>
      </c>
      <c r="D157" s="15" t="s">
        <v>30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450</v>
      </c>
      <c r="C158" s="83" t="s">
        <v>451</v>
      </c>
      <c r="D158" s="15" t="s">
        <v>30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452</v>
      </c>
      <c r="C159" s="83" t="s">
        <v>453</v>
      </c>
      <c r="D159" s="15" t="s">
        <v>30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454</v>
      </c>
      <c r="C160" s="83" t="s">
        <v>455</v>
      </c>
      <c r="D160" s="15" t="s">
        <v>30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457</v>
      </c>
      <c r="C161" s="83" t="s">
        <v>458</v>
      </c>
      <c r="D161" s="15" t="s">
        <v>476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460</v>
      </c>
      <c r="C162" s="83" t="s">
        <v>458</v>
      </c>
      <c r="D162" s="15" t="s">
        <v>476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461</v>
      </c>
      <c r="C163" s="83" t="s">
        <v>458</v>
      </c>
      <c r="D163" s="15" t="s">
        <v>476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664</v>
      </c>
      <c r="C164" s="83" t="s">
        <v>458</v>
      </c>
      <c r="D164" s="15" t="s">
        <v>476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662</v>
      </c>
      <c r="C165" s="83" t="s">
        <v>458</v>
      </c>
      <c r="D165" s="15" t="s">
        <v>476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462</v>
      </c>
      <c r="C166" s="83" t="s">
        <v>458</v>
      </c>
      <c r="D166" s="15" t="s">
        <v>476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463</v>
      </c>
      <c r="C167" s="83" t="s">
        <v>458</v>
      </c>
      <c r="D167" s="15" t="s">
        <v>476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464</v>
      </c>
      <c r="C168" s="83" t="s">
        <v>458</v>
      </c>
      <c r="D168" s="15" t="s">
        <v>473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466</v>
      </c>
      <c r="C169" s="83" t="s">
        <v>458</v>
      </c>
      <c r="D169" s="15" t="s">
        <v>473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1121</v>
      </c>
      <c r="C170" s="83" t="s">
        <v>458</v>
      </c>
      <c r="D170" s="15" t="s">
        <v>473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467</v>
      </c>
      <c r="C171" s="83" t="s">
        <v>458</v>
      </c>
      <c r="D171" s="15" t="s">
        <v>473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468</v>
      </c>
      <c r="C172" s="83" t="s">
        <v>458</v>
      </c>
      <c r="D172" s="15" t="s">
        <v>473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469</v>
      </c>
      <c r="C173" s="83" t="s">
        <v>458</v>
      </c>
      <c r="D173" s="15" t="s">
        <v>473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470</v>
      </c>
      <c r="C174" s="83" t="s">
        <v>458</v>
      </c>
      <c r="D174" s="15" t="s">
        <v>473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471</v>
      </c>
      <c r="C175" s="83" t="s">
        <v>478</v>
      </c>
      <c r="D175" s="15" t="s">
        <v>954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474</v>
      </c>
      <c r="C176" s="83" t="s">
        <v>478</v>
      </c>
      <c r="D176" s="15" t="s">
        <v>954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475</v>
      </c>
      <c r="C177" s="83" t="s">
        <v>478</v>
      </c>
      <c r="D177" s="15" t="s">
        <v>479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477</v>
      </c>
      <c r="C178" s="83" t="s">
        <v>478</v>
      </c>
      <c r="D178" s="15" t="s">
        <v>492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480</v>
      </c>
      <c r="C179" s="83" t="s">
        <v>481</v>
      </c>
      <c r="D179" s="15" t="s">
        <v>1190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483</v>
      </c>
      <c r="C180" s="83" t="s">
        <v>481</v>
      </c>
      <c r="D180" s="15" t="s">
        <v>1190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484</v>
      </c>
      <c r="C181" s="83" t="s">
        <v>481</v>
      </c>
      <c r="D181" s="15" t="s">
        <v>1190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485</v>
      </c>
      <c r="C182" s="83" t="s">
        <v>481</v>
      </c>
      <c r="D182" s="15" t="s">
        <v>1190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486</v>
      </c>
      <c r="C183" s="83" t="s">
        <v>481</v>
      </c>
      <c r="D183" s="15" t="s">
        <v>1190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487</v>
      </c>
      <c r="C184" s="83" t="s">
        <v>481</v>
      </c>
      <c r="D184" s="15" t="s">
        <v>502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488</v>
      </c>
      <c r="C185" s="83" t="s">
        <v>481</v>
      </c>
      <c r="D185" s="15" t="s">
        <v>502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489</v>
      </c>
      <c r="C186" s="83" t="s">
        <v>478</v>
      </c>
      <c r="D186" s="15" t="s">
        <v>502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490</v>
      </c>
      <c r="C187" s="83" t="s">
        <v>478</v>
      </c>
      <c r="D187" s="15" t="s">
        <v>502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491</v>
      </c>
      <c r="C188" s="83" t="s">
        <v>481</v>
      </c>
      <c r="D188" s="15" t="s">
        <v>494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493</v>
      </c>
      <c r="C189" s="83" t="s">
        <v>481</v>
      </c>
      <c r="D189" s="15" t="s">
        <v>497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33</v>
      </c>
      <c r="C190" s="100" t="s">
        <v>1222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80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1223</v>
      </c>
      <c r="B1" s="74"/>
      <c r="C1" s="74"/>
      <c r="D1" s="74"/>
      <c r="E1" s="74"/>
      <c r="F1" s="74"/>
    </row>
    <row r="2" ht="17.5" spans="1:6">
      <c r="A2" s="41" t="s">
        <v>1224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1228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1229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1230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1231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1232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1233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1234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1235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1236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1237</v>
      </c>
      <c r="B1" s="47"/>
      <c r="C1" s="47"/>
      <c r="D1" s="47"/>
      <c r="E1" s="47"/>
      <c r="F1" s="47"/>
    </row>
    <row r="2" ht="17.5" spans="1:6">
      <c r="A2" s="41" t="s">
        <v>1238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 t="e">
        <f>E4*12</f>
        <v>#REF!</v>
      </c>
      <c r="E4" s="51" t="e">
        <f>'MARCH 2025 NEW'!#REF!</f>
        <v>#REF!</v>
      </c>
      <c r="F4" s="46"/>
    </row>
    <row r="5" ht="18" spans="1:6">
      <c r="A5" s="48" t="s">
        <v>1228</v>
      </c>
      <c r="B5" s="48"/>
      <c r="C5" s="48"/>
      <c r="D5" s="51" t="e">
        <f t="shared" ref="D5:D13" si="0">E5*12</f>
        <v>#REF!</v>
      </c>
      <c r="E5" s="51" t="e">
        <f>'MARCH 2025 NEW'!#REF!</f>
        <v>#REF!</v>
      </c>
      <c r="F5" s="46"/>
    </row>
    <row r="6" ht="18" spans="1:6">
      <c r="A6" s="48" t="s">
        <v>1229</v>
      </c>
      <c r="B6" s="48"/>
      <c r="C6" s="48"/>
      <c r="D6" s="51" t="e">
        <f t="shared" si="0"/>
        <v>#REF!</v>
      </c>
      <c r="E6" s="51" t="e">
        <f>'MARCH 2025 NEW'!#REF!</f>
        <v>#REF!</v>
      </c>
      <c r="F6" s="46"/>
    </row>
    <row r="7" ht="18" spans="1:6">
      <c r="A7" s="48" t="s">
        <v>1230</v>
      </c>
      <c r="B7" s="48"/>
      <c r="C7" s="48"/>
      <c r="D7" s="51" t="e">
        <f t="shared" si="0"/>
        <v>#REF!</v>
      </c>
      <c r="E7" s="51" t="e">
        <f>'MARCH 2025 NEW'!#REF!</f>
        <v>#REF!</v>
      </c>
      <c r="F7" s="46"/>
    </row>
    <row r="8" ht="18" spans="1:6">
      <c r="A8" s="48" t="s">
        <v>1231</v>
      </c>
      <c r="B8" s="48"/>
      <c r="C8" s="48"/>
      <c r="D8" s="51" t="e">
        <f t="shared" si="0"/>
        <v>#REF!</v>
      </c>
      <c r="E8" s="51" t="e">
        <f>'MARCH 2025 NEW'!#REF!</f>
        <v>#REF!</v>
      </c>
      <c r="F8" s="46"/>
    </row>
    <row r="9" ht="18" spans="1:6">
      <c r="A9" s="48" t="s">
        <v>1232</v>
      </c>
      <c r="B9" s="48"/>
      <c r="C9" s="48"/>
      <c r="D9" s="51" t="e">
        <f t="shared" si="0"/>
        <v>#REF!</v>
      </c>
      <c r="E9" s="51" t="e">
        <f>'MARCH 2025 NEW'!#REF!</f>
        <v>#REF!</v>
      </c>
      <c r="F9" s="46"/>
    </row>
    <row r="10" ht="18" spans="1:6">
      <c r="A10" s="48" t="s">
        <v>1234</v>
      </c>
      <c r="B10" s="48"/>
      <c r="C10" s="48"/>
      <c r="D10" s="51" t="e">
        <f t="shared" si="0"/>
        <v>#REF!</v>
      </c>
      <c r="E10" s="51" t="e">
        <f>'MARCH 2025 NEW'!#REF!</f>
        <v>#REF!</v>
      </c>
      <c r="F10" s="46"/>
    </row>
    <row r="11" ht="18" spans="1:6">
      <c r="A11" s="52" t="s">
        <v>1239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1235</v>
      </c>
      <c r="B12" s="48"/>
      <c r="C12" s="48"/>
      <c r="D12" s="51" t="e">
        <f t="shared" si="0"/>
        <v>#REF!</v>
      </c>
      <c r="E12" s="51" t="e">
        <f>'MARCH 2025 NEW'!#REF!</f>
        <v>#REF!</v>
      </c>
      <c r="F12" s="46"/>
    </row>
    <row r="13" ht="18" spans="1:6">
      <c r="A13" s="48" t="s">
        <v>1236</v>
      </c>
      <c r="B13" s="48"/>
      <c r="C13" s="48"/>
      <c r="D13" s="51" t="e">
        <f t="shared" si="0"/>
        <v>#REF!</v>
      </c>
      <c r="E13" s="51" t="e">
        <f>'MARCH 2025 NEW'!#REF!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1240</v>
      </c>
      <c r="B1" s="47"/>
      <c r="C1" s="47"/>
      <c r="D1" s="47"/>
      <c r="E1" s="47"/>
      <c r="F1" s="47"/>
    </row>
    <row r="2" ht="17.5" spans="1:6">
      <c r="A2" s="41" t="s">
        <v>1241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 t="e">
        <f>E4*12</f>
        <v>#REF!</v>
      </c>
      <c r="E4" s="51" t="e">
        <f>'MARCH 2025 NEW'!#REF!</f>
        <v>#REF!</v>
      </c>
      <c r="F4" s="46"/>
    </row>
    <row r="5" ht="18" spans="1:6">
      <c r="A5" s="48" t="s">
        <v>1228</v>
      </c>
      <c r="B5" s="48"/>
      <c r="C5" s="48"/>
      <c r="D5" s="51" t="e">
        <f t="shared" ref="D5:D14" si="0">E5*12</f>
        <v>#REF!</v>
      </c>
      <c r="E5" s="51" t="e">
        <f>'MARCH 2025 NEW'!#REF!</f>
        <v>#REF!</v>
      </c>
      <c r="F5" s="46"/>
    </row>
    <row r="6" ht="18" spans="1:6">
      <c r="A6" s="48" t="s">
        <v>1229</v>
      </c>
      <c r="B6" s="48"/>
      <c r="C6" s="48"/>
      <c r="D6" s="51" t="e">
        <f t="shared" si="0"/>
        <v>#REF!</v>
      </c>
      <c r="E6" s="51" t="e">
        <f>'MARCH 2025 NEW'!#REF!</f>
        <v>#REF!</v>
      </c>
      <c r="F6" s="46"/>
    </row>
    <row r="7" ht="18" spans="1:6">
      <c r="A7" s="48" t="s">
        <v>1230</v>
      </c>
      <c r="B7" s="48"/>
      <c r="C7" s="48"/>
      <c r="D7" s="51" t="e">
        <f t="shared" si="0"/>
        <v>#REF!</v>
      </c>
      <c r="E7" s="51" t="e">
        <f>'MARCH 2025 NEW'!#REF!</f>
        <v>#REF!</v>
      </c>
      <c r="F7" s="46"/>
    </row>
    <row r="8" ht="18" spans="1:6">
      <c r="A8" s="48" t="s">
        <v>1231</v>
      </c>
      <c r="B8" s="48"/>
      <c r="C8" s="48"/>
      <c r="D8" s="51" t="e">
        <f t="shared" si="0"/>
        <v>#REF!</v>
      </c>
      <c r="E8" s="51" t="e">
        <f>'MARCH 2025 NEW'!#REF!</f>
        <v>#REF!</v>
      </c>
      <c r="F8" s="46"/>
    </row>
    <row r="9" ht="18" spans="1:6">
      <c r="A9" s="48" t="s">
        <v>1232</v>
      </c>
      <c r="B9" s="48"/>
      <c r="C9" s="48"/>
      <c r="D9" s="51" t="e">
        <f t="shared" si="0"/>
        <v>#REF!</v>
      </c>
      <c r="E9" s="51" t="e">
        <f>'MARCH 2025 NEW'!#REF!</f>
        <v>#REF!</v>
      </c>
      <c r="F9" s="46"/>
    </row>
    <row r="10" ht="18" spans="1:6">
      <c r="A10" s="48" t="s">
        <v>1234</v>
      </c>
      <c r="B10" s="48"/>
      <c r="C10" s="48"/>
      <c r="D10" s="51" t="e">
        <f t="shared" si="0"/>
        <v>#REF!</v>
      </c>
      <c r="E10" s="51" t="e">
        <f>'MARCH 2025 NEW'!#REF!</f>
        <v>#REF!</v>
      </c>
      <c r="F10" s="46"/>
    </row>
    <row r="11" ht="18" spans="1:6">
      <c r="A11" s="52" t="s">
        <v>1233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1235</v>
      </c>
      <c r="B12" s="48"/>
      <c r="C12" s="48"/>
      <c r="D12" s="51" t="e">
        <f t="shared" si="0"/>
        <v>#REF!</v>
      </c>
      <c r="E12" s="51" t="e">
        <f>'MARCH 2025 NEW'!#REF!</f>
        <v>#REF!</v>
      </c>
      <c r="F12" s="46"/>
    </row>
    <row r="13" ht="18" spans="1:6">
      <c r="A13" s="48" t="s">
        <v>1236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1242</v>
      </c>
      <c r="B1" s="47"/>
      <c r="C1" s="47"/>
      <c r="D1" s="47"/>
      <c r="E1" s="47"/>
      <c r="F1" s="47"/>
    </row>
    <row r="2" ht="17.5" spans="1:6">
      <c r="A2" s="41" t="s">
        <v>1243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 t="e">
        <f>E4*12</f>
        <v>#REF!</v>
      </c>
      <c r="E4" s="51" t="e">
        <f>'MARCH 2025 NEW'!#REF!</f>
        <v>#REF!</v>
      </c>
      <c r="F4" s="46"/>
    </row>
    <row r="5" ht="18" spans="1:6">
      <c r="A5" s="48" t="s">
        <v>1228</v>
      </c>
      <c r="B5" s="48"/>
      <c r="C5" s="48"/>
      <c r="D5" s="51" t="e">
        <f t="shared" ref="D5:D14" si="0">E5*12</f>
        <v>#REF!</v>
      </c>
      <c r="E5" s="51" t="e">
        <f>'MARCH 2025 NEW'!#REF!</f>
        <v>#REF!</v>
      </c>
      <c r="F5" s="46"/>
    </row>
    <row r="6" ht="18" spans="1:6">
      <c r="A6" s="48" t="s">
        <v>1229</v>
      </c>
      <c r="B6" s="48"/>
      <c r="C6" s="48"/>
      <c r="D6" s="51" t="e">
        <f t="shared" si="0"/>
        <v>#REF!</v>
      </c>
      <c r="E6" s="51" t="e">
        <f>'MARCH 2025 NEW'!#REF!</f>
        <v>#REF!</v>
      </c>
      <c r="F6" s="46"/>
    </row>
    <row r="7" ht="18" spans="1:6">
      <c r="A7" s="48" t="s">
        <v>1230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1231</v>
      </c>
      <c r="B8" s="48"/>
      <c r="C8" s="48"/>
      <c r="D8" s="51" t="e">
        <f t="shared" si="0"/>
        <v>#REF!</v>
      </c>
      <c r="E8" s="51" t="e">
        <f>'MARCH 2025 NEW'!#REF!</f>
        <v>#REF!</v>
      </c>
      <c r="F8" s="46"/>
    </row>
    <row r="9" ht="18" spans="1:6">
      <c r="A9" s="48" t="s">
        <v>1232</v>
      </c>
      <c r="B9" s="48"/>
      <c r="C9" s="48"/>
      <c r="D9" s="51" t="e">
        <f t="shared" si="0"/>
        <v>#REF!</v>
      </c>
      <c r="E9" s="51" t="e">
        <f>'MARCH 2025 NEW'!#REF!</f>
        <v>#REF!</v>
      </c>
      <c r="F9" s="46"/>
    </row>
    <row r="10" ht="18" spans="1:6">
      <c r="A10" s="48" t="s">
        <v>1234</v>
      </c>
      <c r="B10" s="48"/>
      <c r="C10" s="48"/>
      <c r="D10" s="51" t="e">
        <f t="shared" si="0"/>
        <v>#REF!</v>
      </c>
      <c r="E10" s="51" t="e">
        <f>'MARCH 2025 NEW'!#REF!</f>
        <v>#REF!</v>
      </c>
      <c r="F10" s="46"/>
    </row>
    <row r="11" ht="18" spans="1:6">
      <c r="A11" s="52" t="s">
        <v>1233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1235</v>
      </c>
      <c r="B12" s="48"/>
      <c r="C12" s="48"/>
      <c r="D12" s="51" t="e">
        <f t="shared" si="0"/>
        <v>#REF!</v>
      </c>
      <c r="E12" s="51" t="e">
        <f>'MARCH 2025 NEW'!#REF!</f>
        <v>#REF!</v>
      </c>
      <c r="F12" s="46"/>
    </row>
    <row r="13" ht="18" spans="1:6">
      <c r="A13" s="48" t="s">
        <v>1236</v>
      </c>
      <c r="B13" s="48"/>
      <c r="C13" s="48"/>
      <c r="D13" s="51" t="e">
        <f t="shared" si="0"/>
        <v>#REF!</v>
      </c>
      <c r="E13" s="51" t="e">
        <f>'MARCH 2025 NEW'!#REF!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1228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1229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1230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1231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1232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1234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1235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1236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1244</v>
      </c>
      <c r="B1" s="47"/>
      <c r="C1" s="47"/>
      <c r="D1" s="47"/>
      <c r="E1" s="47"/>
      <c r="F1" s="47"/>
    </row>
    <row r="2" ht="17.5" spans="1:6">
      <c r="A2" s="41" t="s">
        <v>1245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1228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1229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1230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1231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1232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1234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1233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1235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1236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1246</v>
      </c>
      <c r="B1" s="47"/>
      <c r="C1" s="47"/>
      <c r="D1" s="47"/>
      <c r="E1" s="47"/>
      <c r="F1" s="47"/>
    </row>
    <row r="2" ht="17.5" spans="1:6">
      <c r="A2" s="41" t="s">
        <v>1247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1228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1229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1230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1231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1232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1234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1248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1235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1236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1249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4682987</v>
      </c>
      <c r="E4" s="51">
        <f>'MARCH 2025 NEW'!E30</f>
        <v>390248.916666667</v>
      </c>
      <c r="F4" s="46"/>
    </row>
    <row r="5" ht="18" spans="1:6">
      <c r="A5" s="48" t="s">
        <v>1228</v>
      </c>
      <c r="B5" s="48"/>
      <c r="C5" s="48"/>
      <c r="D5" s="51" t="e">
        <f t="shared" ref="D5:D12" si="0">E5*12</f>
        <v>#REF!</v>
      </c>
      <c r="E5" s="51" t="e">
        <f>'MARCH 2025 NEW'!#REF!</f>
        <v>#REF!</v>
      </c>
      <c r="F5" s="46"/>
    </row>
    <row r="6" ht="18" spans="1:6">
      <c r="A6" s="48" t="s">
        <v>1229</v>
      </c>
      <c r="B6" s="48"/>
      <c r="C6" s="48"/>
      <c r="D6" s="51" t="e">
        <f t="shared" si="0"/>
        <v>#REF!</v>
      </c>
      <c r="E6" s="51" t="e">
        <f>'MARCH 2025 NEW'!#REF!</f>
        <v>#REF!</v>
      </c>
      <c r="F6" s="46"/>
    </row>
    <row r="7" ht="18" spans="1:6">
      <c r="A7" s="48" t="s">
        <v>1231</v>
      </c>
      <c r="B7" s="48"/>
      <c r="C7" s="48"/>
      <c r="D7" s="51" t="e">
        <f t="shared" si="0"/>
        <v>#REF!</v>
      </c>
      <c r="E7" s="51" t="e">
        <f>'MARCH 2025 NEW'!#REF!</f>
        <v>#REF!</v>
      </c>
      <c r="F7" s="46"/>
    </row>
    <row r="8" ht="18" spans="1:6">
      <c r="A8" s="48" t="s">
        <v>1232</v>
      </c>
      <c r="B8" s="48"/>
      <c r="C8" s="48"/>
      <c r="D8" s="51" t="e">
        <f t="shared" si="0"/>
        <v>#REF!</v>
      </c>
      <c r="E8" s="51" t="e">
        <f>'MARCH 2025 NEW'!#REF!</f>
        <v>#REF!</v>
      </c>
      <c r="F8" s="46"/>
    </row>
    <row r="9" ht="18" spans="1:6">
      <c r="A9" s="48" t="s">
        <v>1234</v>
      </c>
      <c r="B9" s="48"/>
      <c r="C9" s="48"/>
      <c r="D9" s="51" t="e">
        <f t="shared" si="0"/>
        <v>#REF!</v>
      </c>
      <c r="E9" s="51" t="e">
        <f>'MARCH 2025 NEW'!#REF!</f>
        <v>#REF!</v>
      </c>
      <c r="F9" s="46"/>
    </row>
    <row r="10" ht="18" spans="1:6">
      <c r="A10" s="48" t="s">
        <v>1235</v>
      </c>
      <c r="B10" s="48"/>
      <c r="C10" s="48"/>
      <c r="D10" s="51" t="e">
        <f t="shared" si="0"/>
        <v>#REF!</v>
      </c>
      <c r="E10" s="51" t="e">
        <f>'MARCH 2025 NEW'!#REF!</f>
        <v>#REF!</v>
      </c>
      <c r="F10" s="46"/>
    </row>
    <row r="11" ht="18" spans="1:6">
      <c r="A11" s="48" t="s">
        <v>1236</v>
      </c>
      <c r="B11" s="48"/>
      <c r="C11" s="48"/>
      <c r="D11" s="51" t="e">
        <f t="shared" si="0"/>
        <v>#REF!</v>
      </c>
      <c r="E11" s="51" t="e">
        <f>'MARCH 2025 NEW'!#REF!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7" t="s">
        <v>1194</v>
      </c>
      <c r="G1" s="57" t="s">
        <v>1250</v>
      </c>
      <c r="H1" s="57"/>
      <c r="I1" s="57"/>
      <c r="J1" s="57"/>
      <c r="K1" s="57"/>
      <c r="L1" s="57"/>
      <c r="M1" s="57" t="s">
        <v>1251</v>
      </c>
      <c r="N1" s="57" t="s">
        <v>1195</v>
      </c>
      <c r="O1" s="57" t="s">
        <v>1196</v>
      </c>
      <c r="P1" s="57" t="s">
        <v>1198</v>
      </c>
      <c r="Q1" s="57" t="s">
        <v>1199</v>
      </c>
      <c r="R1" s="57" t="s">
        <v>1200</v>
      </c>
      <c r="S1" s="57" t="s">
        <v>1252</v>
      </c>
      <c r="T1" s="68"/>
      <c r="U1" s="69" t="s">
        <v>1253</v>
      </c>
      <c r="V1" s="70" t="s">
        <v>1254</v>
      </c>
    </row>
    <row r="2" ht="17.5" spans="6:22">
      <c r="F2" s="57" t="s">
        <v>195</v>
      </c>
      <c r="G2" s="57" t="s">
        <v>1255</v>
      </c>
      <c r="H2" s="57" t="s">
        <v>566</v>
      </c>
      <c r="I2" s="57" t="s">
        <v>567</v>
      </c>
      <c r="J2" s="57" t="s">
        <v>568</v>
      </c>
      <c r="K2" s="57" t="s">
        <v>569</v>
      </c>
      <c r="L2" s="57" t="s">
        <v>570</v>
      </c>
      <c r="M2" s="57" t="s">
        <v>1256</v>
      </c>
      <c r="N2" s="57" t="s">
        <v>571</v>
      </c>
      <c r="O2" s="57" t="s">
        <v>7</v>
      </c>
      <c r="P2" s="57" t="s">
        <v>572</v>
      </c>
      <c r="Q2" s="57" t="s">
        <v>572</v>
      </c>
      <c r="R2" s="57" t="s">
        <v>8</v>
      </c>
      <c r="S2" s="57" t="s">
        <v>195</v>
      </c>
      <c r="T2" s="57" t="s">
        <v>14</v>
      </c>
      <c r="U2" s="69"/>
      <c r="V2" s="70"/>
    </row>
    <row r="3" ht="18" spans="1:21">
      <c r="A3" s="58" t="s">
        <v>1257</v>
      </c>
      <c r="B3" s="59"/>
      <c r="C3" s="60"/>
      <c r="D3" s="61"/>
      <c r="E3" s="61" t="s">
        <v>1258</v>
      </c>
      <c r="F3" s="62">
        <v>79039.64</v>
      </c>
      <c r="G3" s="62"/>
      <c r="H3" s="62">
        <f t="shared" ref="H3:H10" si="0">F3*300%</f>
        <v>237118.92</v>
      </c>
      <c r="I3" s="62">
        <f t="shared" ref="I3:I10" si="1">F3*7.5%</f>
        <v>5927.973</v>
      </c>
      <c r="J3" s="62">
        <v>80244.38</v>
      </c>
      <c r="K3" s="62">
        <f t="shared" ref="K3:K10" si="2">F3*50%</f>
        <v>39519.82</v>
      </c>
      <c r="L3" s="62">
        <f t="shared" ref="L3:L10" si="3">F3*350%</f>
        <v>276638.74</v>
      </c>
      <c r="M3" s="62">
        <v>0</v>
      </c>
      <c r="N3" s="62">
        <f t="shared" ref="N3:N10" si="4">F3*100%</f>
        <v>79039.64</v>
      </c>
      <c r="O3" s="62">
        <f t="shared" ref="O3:O10" si="5">F3*10%</f>
        <v>7903.964</v>
      </c>
      <c r="P3" s="62">
        <v>20000</v>
      </c>
      <c r="Q3" s="62">
        <v>0</v>
      </c>
      <c r="R3" s="62">
        <f t="shared" ref="R3:R10" si="6">SUM(F3:Q3)</f>
        <v>825433.077</v>
      </c>
      <c r="S3" s="62"/>
      <c r="T3" s="71"/>
      <c r="U3" s="72"/>
    </row>
    <row r="4" ht="18" spans="1:21">
      <c r="A4" s="58" t="s">
        <v>1259</v>
      </c>
      <c r="B4" s="59"/>
      <c r="C4" s="60"/>
      <c r="D4" s="61"/>
      <c r="E4" s="61" t="s">
        <v>1260</v>
      </c>
      <c r="F4" s="62">
        <v>36784.71</v>
      </c>
      <c r="G4" s="62"/>
      <c r="H4" s="62">
        <f t="shared" si="0"/>
        <v>110354.13</v>
      </c>
      <c r="I4" s="62">
        <f t="shared" si="1"/>
        <v>2758.85325</v>
      </c>
      <c r="J4" s="62">
        <v>80244.38</v>
      </c>
      <c r="K4" s="62">
        <f t="shared" si="2"/>
        <v>18392.355</v>
      </c>
      <c r="L4" s="62">
        <f t="shared" si="3"/>
        <v>128746.485</v>
      </c>
      <c r="M4" s="62"/>
      <c r="N4" s="62">
        <f t="shared" si="4"/>
        <v>36784.71</v>
      </c>
      <c r="O4" s="62">
        <f t="shared" si="5"/>
        <v>3678.471</v>
      </c>
      <c r="P4" s="62">
        <v>20000</v>
      </c>
      <c r="Q4" s="62">
        <v>0</v>
      </c>
      <c r="R4" s="62">
        <f t="shared" si="6"/>
        <v>437744.09425</v>
      </c>
      <c r="S4" s="62"/>
      <c r="T4" s="71"/>
      <c r="U4" s="72"/>
    </row>
    <row r="5" ht="18" spans="1:22">
      <c r="A5" s="63" t="s">
        <v>259</v>
      </c>
      <c r="B5" s="64"/>
      <c r="C5" s="65"/>
      <c r="D5" s="66"/>
      <c r="E5" s="67" t="s">
        <v>356</v>
      </c>
      <c r="F5" s="62">
        <v>24975.81</v>
      </c>
      <c r="G5" s="62">
        <v>0</v>
      </c>
      <c r="H5" s="62">
        <f t="shared" si="0"/>
        <v>74927.43</v>
      </c>
      <c r="I5" s="62">
        <f t="shared" si="1"/>
        <v>1873.18575</v>
      </c>
      <c r="J5" s="62">
        <v>0</v>
      </c>
      <c r="K5" s="62">
        <f t="shared" si="2"/>
        <v>12487.905</v>
      </c>
      <c r="L5" s="62">
        <f t="shared" si="3"/>
        <v>87415.335</v>
      </c>
      <c r="M5" s="62">
        <v>0</v>
      </c>
      <c r="N5" s="62">
        <f t="shared" si="4"/>
        <v>24975.81</v>
      </c>
      <c r="O5" s="62">
        <v>100000</v>
      </c>
      <c r="P5" s="62">
        <f>F5*10%</f>
        <v>2497.581</v>
      </c>
      <c r="Q5" s="62">
        <v>20000</v>
      </c>
      <c r="R5" s="62">
        <v>0</v>
      </c>
      <c r="S5" s="62">
        <f>SUM(F5:R5)</f>
        <v>349153.05675</v>
      </c>
      <c r="T5" s="62">
        <v>0</v>
      </c>
      <c r="U5" s="73">
        <f>S5-T5</f>
        <v>349153.05675</v>
      </c>
      <c r="V5" s="62">
        <v>344720.6</v>
      </c>
    </row>
    <row r="6" ht="18" spans="1:21">
      <c r="A6" s="58" t="s">
        <v>353</v>
      </c>
      <c r="B6" s="59"/>
      <c r="C6" s="60"/>
      <c r="D6" s="61"/>
      <c r="E6" s="61" t="s">
        <v>1261</v>
      </c>
      <c r="F6" s="62">
        <v>23891.12</v>
      </c>
      <c r="G6" s="62"/>
      <c r="H6" s="62">
        <f t="shared" si="0"/>
        <v>71673.36</v>
      </c>
      <c r="I6" s="62">
        <f t="shared" si="1"/>
        <v>1791.834</v>
      </c>
      <c r="J6" s="62">
        <v>0</v>
      </c>
      <c r="K6" s="62">
        <f t="shared" si="2"/>
        <v>11945.56</v>
      </c>
      <c r="L6" s="62">
        <f t="shared" si="3"/>
        <v>83618.92</v>
      </c>
      <c r="M6" s="62">
        <v>0</v>
      </c>
      <c r="N6" s="62">
        <f t="shared" si="4"/>
        <v>23891.12</v>
      </c>
      <c r="O6" s="62">
        <f t="shared" si="5"/>
        <v>2389.112</v>
      </c>
      <c r="P6" s="62">
        <v>15000</v>
      </c>
      <c r="Q6" s="62">
        <v>0</v>
      </c>
      <c r="R6" s="62">
        <f t="shared" si="6"/>
        <v>234201.026</v>
      </c>
      <c r="S6" s="62"/>
      <c r="T6" s="71"/>
      <c r="U6" s="72"/>
    </row>
    <row r="7" ht="18" spans="1:21">
      <c r="A7" s="58" t="s">
        <v>1262</v>
      </c>
      <c r="B7" s="59"/>
      <c r="C7" s="60"/>
      <c r="D7" s="61"/>
      <c r="E7" s="61" t="s">
        <v>1263</v>
      </c>
      <c r="F7" s="62">
        <v>21293.96</v>
      </c>
      <c r="G7" s="62"/>
      <c r="H7" s="62">
        <f t="shared" si="0"/>
        <v>63881.88</v>
      </c>
      <c r="I7" s="62">
        <f t="shared" si="1"/>
        <v>1597.047</v>
      </c>
      <c r="J7" s="62">
        <v>0</v>
      </c>
      <c r="K7" s="62">
        <f t="shared" si="2"/>
        <v>10646.98</v>
      </c>
      <c r="L7" s="62">
        <f t="shared" si="3"/>
        <v>74528.86</v>
      </c>
      <c r="M7" s="62">
        <v>0</v>
      </c>
      <c r="N7" s="62">
        <f t="shared" si="4"/>
        <v>21293.96</v>
      </c>
      <c r="O7" s="62">
        <f t="shared" si="5"/>
        <v>2129.396</v>
      </c>
      <c r="P7" s="62">
        <v>10000</v>
      </c>
      <c r="Q7" s="62">
        <v>0</v>
      </c>
      <c r="R7" s="62">
        <f t="shared" si="6"/>
        <v>205372.083</v>
      </c>
      <c r="S7" s="62"/>
      <c r="T7" s="71"/>
      <c r="U7" s="72"/>
    </row>
    <row r="8" ht="18" spans="1:21">
      <c r="A8" s="58" t="s">
        <v>63</v>
      </c>
      <c r="B8" s="59"/>
      <c r="C8" s="60"/>
      <c r="D8" s="61"/>
      <c r="E8" s="61" t="s">
        <v>1264</v>
      </c>
      <c r="F8" s="62">
        <v>17286.33</v>
      </c>
      <c r="G8" s="62"/>
      <c r="H8" s="62">
        <f t="shared" si="0"/>
        <v>51858.99</v>
      </c>
      <c r="I8" s="62">
        <f t="shared" si="1"/>
        <v>1296.47475</v>
      </c>
      <c r="J8" s="62">
        <v>0</v>
      </c>
      <c r="K8" s="62">
        <f t="shared" si="2"/>
        <v>8643.165</v>
      </c>
      <c r="L8" s="62">
        <f t="shared" si="3"/>
        <v>60502.155</v>
      </c>
      <c r="M8" s="62">
        <v>0</v>
      </c>
      <c r="N8" s="62">
        <f t="shared" si="4"/>
        <v>17286.33</v>
      </c>
      <c r="O8" s="62">
        <f t="shared" si="5"/>
        <v>1728.633</v>
      </c>
      <c r="P8" s="62">
        <v>10000</v>
      </c>
      <c r="Q8" s="62">
        <v>0</v>
      </c>
      <c r="R8" s="62">
        <f t="shared" si="6"/>
        <v>168602.07775</v>
      </c>
      <c r="S8" s="62"/>
      <c r="T8" s="71"/>
      <c r="U8" s="72"/>
    </row>
    <row r="9" ht="18" spans="1:21">
      <c r="A9" s="58" t="s">
        <v>1265</v>
      </c>
      <c r="B9" s="59"/>
      <c r="C9" s="60"/>
      <c r="D9" s="61"/>
      <c r="E9" s="61" t="s">
        <v>1266</v>
      </c>
      <c r="F9" s="62">
        <v>14736.14</v>
      </c>
      <c r="G9" s="62"/>
      <c r="H9" s="62">
        <f t="shared" si="0"/>
        <v>44208.42</v>
      </c>
      <c r="I9" s="62">
        <f t="shared" si="1"/>
        <v>1105.2105</v>
      </c>
      <c r="J9" s="62">
        <v>0</v>
      </c>
      <c r="K9" s="62">
        <f t="shared" si="2"/>
        <v>7368.07</v>
      </c>
      <c r="L9" s="62">
        <f t="shared" si="3"/>
        <v>51576.49</v>
      </c>
      <c r="M9" s="62">
        <v>0</v>
      </c>
      <c r="N9" s="62">
        <f t="shared" si="4"/>
        <v>14736.14</v>
      </c>
      <c r="O9" s="62">
        <f t="shared" si="5"/>
        <v>1473.614</v>
      </c>
      <c r="P9" s="62">
        <v>10000</v>
      </c>
      <c r="Q9" s="62">
        <v>0</v>
      </c>
      <c r="R9" s="62">
        <f t="shared" si="6"/>
        <v>145204.0845</v>
      </c>
      <c r="S9" s="62"/>
      <c r="T9" s="71"/>
      <c r="U9" s="72"/>
    </row>
    <row r="10" ht="18" spans="1:21">
      <c r="A10" s="58"/>
      <c r="B10" s="59"/>
      <c r="C10" s="60"/>
      <c r="D10" s="61"/>
      <c r="E10" s="61" t="s">
        <v>1267</v>
      </c>
      <c r="F10" s="62">
        <v>12351.94</v>
      </c>
      <c r="G10" s="62"/>
      <c r="H10" s="62">
        <f t="shared" si="0"/>
        <v>37055.82</v>
      </c>
      <c r="I10" s="62">
        <f t="shared" si="1"/>
        <v>926.3955</v>
      </c>
      <c r="J10" s="62">
        <v>0</v>
      </c>
      <c r="K10" s="62">
        <f t="shared" si="2"/>
        <v>6175.97</v>
      </c>
      <c r="L10" s="62">
        <f t="shared" si="3"/>
        <v>43231.79</v>
      </c>
      <c r="M10" s="62">
        <v>0</v>
      </c>
      <c r="N10" s="62">
        <f t="shared" si="4"/>
        <v>12351.94</v>
      </c>
      <c r="O10" s="62">
        <f t="shared" si="5"/>
        <v>1235.194</v>
      </c>
      <c r="P10" s="62">
        <v>10000</v>
      </c>
      <c r="Q10" s="62">
        <v>0</v>
      </c>
      <c r="R10" s="62">
        <f t="shared" si="6"/>
        <v>123329.0495</v>
      </c>
      <c r="S10" s="62"/>
      <c r="T10" s="71"/>
      <c r="U10" s="72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1268</v>
      </c>
      <c r="B1" s="47"/>
      <c r="C1" s="47"/>
      <c r="D1" s="47"/>
      <c r="E1" s="47"/>
      <c r="F1" s="47"/>
    </row>
    <row r="2" ht="17.5" spans="1:6">
      <c r="A2" s="41" t="s">
        <v>1269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1228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1229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1230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1231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1232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1234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1233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1235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1236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1270</v>
      </c>
      <c r="B1" s="41"/>
      <c r="C1" s="41"/>
    </row>
    <row r="2" ht="17.5" spans="1:3">
      <c r="A2" s="41" t="s">
        <v>1241</v>
      </c>
      <c r="B2" s="41"/>
      <c r="C2" s="41"/>
    </row>
    <row r="3" ht="17.5" spans="1:3">
      <c r="A3" s="42"/>
      <c r="B3" s="42" t="s">
        <v>1225</v>
      </c>
      <c r="C3" s="42" t="s">
        <v>1226</v>
      </c>
    </row>
    <row r="4" ht="18" spans="1:3">
      <c r="A4" s="43" t="s">
        <v>1227</v>
      </c>
      <c r="B4" s="44">
        <f>C4*12</f>
        <v>475947</v>
      </c>
      <c r="C4" s="44">
        <v>39662.25</v>
      </c>
    </row>
    <row r="5" ht="18" spans="1:3">
      <c r="A5" s="43" t="s">
        <v>1228</v>
      </c>
      <c r="B5" s="44">
        <f t="shared" ref="B5:B13" si="0">C5*12</f>
        <v>1427841</v>
      </c>
      <c r="C5" s="44">
        <v>118986.75</v>
      </c>
    </row>
    <row r="6" ht="18" spans="1:3">
      <c r="A6" s="43" t="s">
        <v>1229</v>
      </c>
      <c r="B6" s="44">
        <f t="shared" si="0"/>
        <v>35696.04</v>
      </c>
      <c r="C6" s="44">
        <v>2974.67</v>
      </c>
    </row>
    <row r="7" ht="18" spans="1:3">
      <c r="A7" s="43" t="s">
        <v>1230</v>
      </c>
      <c r="B7" s="44" t="e">
        <f t="shared" si="0"/>
        <v>#REF!</v>
      </c>
      <c r="C7" s="44" t="e">
        <f>'MARCH 2025 NEW'!#REF!</f>
        <v>#REF!</v>
      </c>
    </row>
    <row r="8" ht="18" spans="1:3">
      <c r="A8" s="43" t="s">
        <v>1231</v>
      </c>
      <c r="B8" s="44">
        <f t="shared" si="0"/>
        <v>237973.56</v>
      </c>
      <c r="C8" s="44">
        <v>19831.13</v>
      </c>
    </row>
    <row r="9" ht="18" spans="1:3">
      <c r="A9" s="43" t="s">
        <v>1232</v>
      </c>
      <c r="B9" s="44">
        <f t="shared" si="0"/>
        <v>1665814.56</v>
      </c>
      <c r="C9" s="44">
        <v>138817.88</v>
      </c>
    </row>
    <row r="10" ht="18" spans="1:3">
      <c r="A10" s="43" t="s">
        <v>1234</v>
      </c>
      <c r="B10" s="44">
        <f t="shared" si="0"/>
        <v>475947</v>
      </c>
      <c r="C10" s="44">
        <v>39662.25</v>
      </c>
    </row>
    <row r="11" ht="18" spans="1:3">
      <c r="A11" s="43" t="s">
        <v>1233</v>
      </c>
      <c r="B11" s="44">
        <f t="shared" si="0"/>
        <v>0</v>
      </c>
      <c r="C11" s="44">
        <v>0</v>
      </c>
    </row>
    <row r="12" ht="18" spans="1:3">
      <c r="A12" s="43" t="s">
        <v>1235</v>
      </c>
      <c r="B12" s="44">
        <f t="shared" si="0"/>
        <v>47594.76</v>
      </c>
      <c r="C12" s="44">
        <v>3966.23</v>
      </c>
    </row>
    <row r="13" ht="18" spans="1:3">
      <c r="A13" s="43" t="s">
        <v>1236</v>
      </c>
      <c r="B13" s="44" t="e">
        <f t="shared" si="0"/>
        <v>#REF!</v>
      </c>
      <c r="C13" s="44" t="e">
        <f>'MARCH 2025 NEW'!#REF!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20</v>
      </c>
      <c r="B3" s="36" t="s">
        <v>4</v>
      </c>
      <c r="C3" s="36" t="s">
        <v>1271</v>
      </c>
      <c r="D3" s="37" t="s">
        <v>19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3">
      <c r="A44" s="38">
        <v>41</v>
      </c>
      <c r="B44" s="38">
        <v>7</v>
      </c>
      <c r="C44" s="38">
        <v>10</v>
      </c>
    </row>
    <row r="45" ht="15" spans="1:3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2:4">
      <c r="B58" s="38">
        <v>4</v>
      </c>
      <c r="C58" s="38">
        <v>11</v>
      </c>
      <c r="D58" s="39">
        <v>4836.3</v>
      </c>
    </row>
    <row r="59" ht="15" spans="2:4">
      <c r="B59" s="38">
        <v>4</v>
      </c>
      <c r="C59" s="38">
        <v>8</v>
      </c>
      <c r="D59" s="39">
        <v>4248.51</v>
      </c>
    </row>
    <row r="60" ht="15" spans="2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1272</v>
      </c>
      <c r="B2" s="3"/>
      <c r="C2" s="3"/>
      <c r="D2" s="3"/>
    </row>
    <row r="3" ht="9.75" customHeight="1"/>
    <row r="4" ht="33" customHeight="1" spans="1:4">
      <c r="A4" s="4"/>
      <c r="B4" s="5" t="s">
        <v>2</v>
      </c>
      <c r="C4" s="6" t="s">
        <v>3</v>
      </c>
      <c r="D4" s="7" t="s">
        <v>4</v>
      </c>
    </row>
    <row r="5" ht="17.25" customHeight="1" spans="3:4">
      <c r="C5" s="8"/>
      <c r="D5" s="8"/>
    </row>
    <row r="6" customHeight="1" spans="1:4">
      <c r="A6" s="9" t="s">
        <v>20</v>
      </c>
      <c r="B6" s="8" t="s">
        <v>21</v>
      </c>
      <c r="C6" s="8"/>
      <c r="D6" s="8"/>
    </row>
    <row r="7" customHeight="1" spans="1:5">
      <c r="A7" s="10">
        <v>1</v>
      </c>
      <c r="B7" s="11" t="s">
        <v>236</v>
      </c>
      <c r="C7" s="12" t="s">
        <v>237</v>
      </c>
      <c r="D7" s="12" t="s">
        <v>238</v>
      </c>
      <c r="E7" s="13"/>
    </row>
    <row r="8" customHeight="1" spans="1:5">
      <c r="A8" s="10">
        <v>2</v>
      </c>
      <c r="B8" s="11" t="s">
        <v>1016</v>
      </c>
      <c r="C8" s="4" t="s">
        <v>1017</v>
      </c>
      <c r="D8" s="10" t="s">
        <v>231</v>
      </c>
      <c r="E8" s="13"/>
    </row>
    <row r="9" customHeight="1" spans="1:5">
      <c r="A9" s="10">
        <v>3</v>
      </c>
      <c r="B9" s="11" t="s">
        <v>239</v>
      </c>
      <c r="C9" s="12" t="s">
        <v>240</v>
      </c>
      <c r="D9" s="10" t="s">
        <v>234</v>
      </c>
      <c r="E9" s="13"/>
    </row>
    <row r="10" customHeight="1" spans="1:5">
      <c r="A10" s="10">
        <v>4</v>
      </c>
      <c r="B10" s="14" t="s">
        <v>241</v>
      </c>
      <c r="C10" s="4" t="s">
        <v>242</v>
      </c>
      <c r="D10" s="15" t="s">
        <v>308</v>
      </c>
      <c r="E10" s="13"/>
    </row>
    <row r="11" customHeight="1" spans="1:5">
      <c r="A11" s="10">
        <v>5</v>
      </c>
      <c r="B11" s="14" t="s">
        <v>363</v>
      </c>
      <c r="C11" s="4" t="s">
        <v>1018</v>
      </c>
      <c r="D11" s="16" t="s">
        <v>308</v>
      </c>
      <c r="E11" s="13"/>
    </row>
    <row r="12" customHeight="1" spans="1:5">
      <c r="A12" s="10">
        <v>6</v>
      </c>
      <c r="B12" s="11" t="s">
        <v>243</v>
      </c>
      <c r="C12" s="17" t="s">
        <v>244</v>
      </c>
      <c r="D12" s="16" t="s">
        <v>308</v>
      </c>
      <c r="E12" s="13"/>
    </row>
    <row r="13" customHeight="1" spans="1:5">
      <c r="A13" s="10">
        <v>7</v>
      </c>
      <c r="B13" s="14" t="s">
        <v>245</v>
      </c>
      <c r="C13" s="4" t="s">
        <v>246</v>
      </c>
      <c r="D13" s="16" t="s">
        <v>308</v>
      </c>
      <c r="E13" s="13"/>
    </row>
    <row r="14" customHeight="1" spans="1:5">
      <c r="A14" s="10">
        <v>8</v>
      </c>
      <c r="B14" s="11" t="s">
        <v>247</v>
      </c>
      <c r="C14" s="12" t="s">
        <v>248</v>
      </c>
      <c r="D14" s="15" t="s">
        <v>249</v>
      </c>
      <c r="E14" s="13"/>
    </row>
    <row r="15" customHeight="1" spans="1:5">
      <c r="A15" s="10">
        <v>9</v>
      </c>
      <c r="B15" s="18" t="s">
        <v>223</v>
      </c>
      <c r="C15" s="12" t="s">
        <v>224</v>
      </c>
      <c r="D15" s="10" t="s">
        <v>222</v>
      </c>
      <c r="E15" s="13"/>
    </row>
    <row r="16" customHeight="1" spans="1:5">
      <c r="A16" s="10">
        <v>10</v>
      </c>
      <c r="B16" s="19" t="s">
        <v>1109</v>
      </c>
      <c r="C16" s="4" t="s">
        <v>1110</v>
      </c>
      <c r="D16" s="16" t="s">
        <v>257</v>
      </c>
      <c r="E16" s="13"/>
    </row>
    <row r="17" ht="19.5" customHeight="1" spans="1:5">
      <c r="A17" s="10">
        <v>11</v>
      </c>
      <c r="B17" s="14" t="s">
        <v>1019</v>
      </c>
      <c r="C17" s="4" t="s">
        <v>253</v>
      </c>
      <c r="D17" s="10" t="s">
        <v>257</v>
      </c>
      <c r="E17" s="13"/>
    </row>
    <row r="18" ht="19.5" customHeight="1" spans="1:5">
      <c r="A18" s="10">
        <v>12</v>
      </c>
      <c r="B18" s="14" t="s">
        <v>1111</v>
      </c>
      <c r="C18" s="4" t="s">
        <v>1112</v>
      </c>
      <c r="D18" s="10" t="s">
        <v>257</v>
      </c>
      <c r="E18" s="13"/>
    </row>
    <row r="19" customHeight="1" spans="1:5">
      <c r="A19" s="10">
        <v>13</v>
      </c>
      <c r="B19" s="11" t="s">
        <v>252</v>
      </c>
      <c r="C19" s="4" t="s">
        <v>253</v>
      </c>
      <c r="D19" s="15" t="s">
        <v>257</v>
      </c>
      <c r="E19" s="13"/>
    </row>
    <row r="20" customHeight="1" spans="1:5">
      <c r="A20" s="10">
        <v>14</v>
      </c>
      <c r="B20" s="11" t="s">
        <v>264</v>
      </c>
      <c r="C20" s="12" t="s">
        <v>265</v>
      </c>
      <c r="D20" s="15" t="s">
        <v>950</v>
      </c>
      <c r="E20" s="13"/>
    </row>
    <row r="21" customHeight="1" spans="1:5">
      <c r="A21" s="10">
        <v>15</v>
      </c>
      <c r="B21" s="18" t="s">
        <v>267</v>
      </c>
      <c r="C21" s="4" t="s">
        <v>268</v>
      </c>
      <c r="D21" s="15" t="s">
        <v>951</v>
      </c>
      <c r="E21" s="13"/>
    </row>
    <row r="22" customHeight="1" spans="1:5">
      <c r="A22" s="10">
        <v>16</v>
      </c>
      <c r="B22" s="11" t="s">
        <v>389</v>
      </c>
      <c r="C22" s="12" t="s">
        <v>390</v>
      </c>
      <c r="D22" s="15" t="s">
        <v>271</v>
      </c>
      <c r="E22" s="13"/>
    </row>
    <row r="23" ht="18.75" customHeight="1" spans="1:5">
      <c r="A23" s="10">
        <v>17</v>
      </c>
      <c r="B23" s="11" t="s">
        <v>270</v>
      </c>
      <c r="C23" s="12" t="s">
        <v>50</v>
      </c>
      <c r="D23" s="15" t="s">
        <v>332</v>
      </c>
      <c r="E23" s="13"/>
    </row>
    <row r="24" ht="18.75" customHeight="1" spans="1:5">
      <c r="A24" s="10">
        <v>18</v>
      </c>
      <c r="B24" s="18" t="s">
        <v>1113</v>
      </c>
      <c r="C24" s="12" t="s">
        <v>293</v>
      </c>
      <c r="D24" s="15" t="s">
        <v>345</v>
      </c>
      <c r="E24" s="13"/>
    </row>
    <row r="25" ht="18.75" customHeight="1" spans="1:5">
      <c r="A25" s="10">
        <v>19</v>
      </c>
      <c r="B25" s="4" t="s">
        <v>278</v>
      </c>
      <c r="C25" s="4" t="s">
        <v>176</v>
      </c>
      <c r="D25" s="10" t="s">
        <v>283</v>
      </c>
      <c r="E25" s="13"/>
    </row>
    <row r="26" ht="18.75" customHeight="1" spans="1:5">
      <c r="A26" s="10">
        <v>20</v>
      </c>
      <c r="B26" s="18" t="s">
        <v>280</v>
      </c>
      <c r="C26" s="12" t="s">
        <v>176</v>
      </c>
      <c r="D26" s="15" t="s">
        <v>283</v>
      </c>
      <c r="E26" s="13"/>
    </row>
    <row r="27" ht="18.75" customHeight="1" spans="1:5">
      <c r="A27" s="10">
        <v>21</v>
      </c>
      <c r="B27" s="11" t="s">
        <v>1020</v>
      </c>
      <c r="C27" s="12" t="s">
        <v>1021</v>
      </c>
      <c r="D27" s="15" t="s">
        <v>283</v>
      </c>
      <c r="E27" s="13"/>
    </row>
    <row r="28" ht="18.75" customHeight="1" spans="1:5">
      <c r="A28" s="10">
        <v>22</v>
      </c>
      <c r="B28" s="18" t="s">
        <v>282</v>
      </c>
      <c r="C28" s="12" t="s">
        <v>967</v>
      </c>
      <c r="D28" s="15" t="s">
        <v>945</v>
      </c>
      <c r="E28" s="13"/>
    </row>
    <row r="29" ht="18.75" customHeight="1" spans="1:5">
      <c r="A29" s="10">
        <v>23</v>
      </c>
      <c r="B29" s="18" t="s">
        <v>284</v>
      </c>
      <c r="C29" s="4" t="s">
        <v>1022</v>
      </c>
      <c r="D29" s="10" t="s">
        <v>945</v>
      </c>
      <c r="E29" s="13"/>
    </row>
    <row r="30" ht="18.75" customHeight="1" spans="1:5">
      <c r="A30" s="10">
        <v>24</v>
      </c>
      <c r="B30" s="18" t="s">
        <v>287</v>
      </c>
      <c r="C30" s="17" t="s">
        <v>288</v>
      </c>
      <c r="D30" s="15" t="s">
        <v>283</v>
      </c>
      <c r="E30" s="13"/>
    </row>
    <row r="31" ht="18.75" customHeight="1" spans="1:5">
      <c r="A31" s="10">
        <v>25</v>
      </c>
      <c r="B31" s="18" t="s">
        <v>289</v>
      </c>
      <c r="C31" s="4" t="s">
        <v>290</v>
      </c>
      <c r="D31" s="10" t="s">
        <v>294</v>
      </c>
      <c r="E31" s="13"/>
    </row>
    <row r="32" ht="18.75" customHeight="1" spans="1:5">
      <c r="A32" s="10">
        <v>26</v>
      </c>
      <c r="B32" s="18" t="s">
        <v>933</v>
      </c>
      <c r="C32" s="12" t="s">
        <v>293</v>
      </c>
      <c r="D32" s="15" t="s">
        <v>294</v>
      </c>
      <c r="E32" s="13"/>
    </row>
    <row r="33" ht="18.75" customHeight="1" spans="1:5">
      <c r="A33" s="10">
        <v>27</v>
      </c>
      <c r="B33" s="18" t="s">
        <v>1114</v>
      </c>
      <c r="C33" s="12" t="s">
        <v>293</v>
      </c>
      <c r="D33" s="15" t="s">
        <v>294</v>
      </c>
      <c r="E33" s="13"/>
    </row>
    <row r="34" ht="18.75" customHeight="1" spans="1:5">
      <c r="A34" s="10">
        <v>28</v>
      </c>
      <c r="B34" s="18" t="s">
        <v>405</v>
      </c>
      <c r="C34" s="12" t="s">
        <v>69</v>
      </c>
      <c r="D34" s="15" t="s">
        <v>30</v>
      </c>
      <c r="E34" s="13"/>
    </row>
    <row r="35" ht="20.25" customHeight="1" spans="1:5">
      <c r="A35" s="10"/>
      <c r="B35" s="20" t="s">
        <v>33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34</v>
      </c>
      <c r="C37" s="4"/>
      <c r="D37" s="15"/>
      <c r="E37" s="13"/>
    </row>
    <row r="38" ht="18.75" customHeight="1" spans="1:5">
      <c r="A38" s="10">
        <v>1</v>
      </c>
      <c r="B38" s="18" t="s">
        <v>295</v>
      </c>
      <c r="C38" s="4" t="s">
        <v>296</v>
      </c>
      <c r="D38" s="10" t="s">
        <v>297</v>
      </c>
      <c r="E38" s="13"/>
    </row>
    <row r="39" ht="18.75" customHeight="1" spans="1:5">
      <c r="A39" s="10">
        <v>2</v>
      </c>
      <c r="B39" s="18" t="s">
        <v>298</v>
      </c>
      <c r="C39" s="4" t="s">
        <v>537</v>
      </c>
      <c r="D39" s="10" t="s">
        <v>30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38</v>
      </c>
      <c r="C42" s="5"/>
      <c r="D42" s="24"/>
      <c r="E42" s="13"/>
    </row>
    <row r="43" customHeight="1" spans="1:5">
      <c r="A43" s="10">
        <v>1</v>
      </c>
      <c r="B43" s="11" t="s">
        <v>302</v>
      </c>
      <c r="C43" s="4" t="s">
        <v>303</v>
      </c>
      <c r="D43" s="10" t="s">
        <v>297</v>
      </c>
      <c r="E43" s="13"/>
    </row>
    <row r="44" customHeight="1" spans="1:5">
      <c r="A44" s="10">
        <v>2</v>
      </c>
      <c r="B44" s="11" t="s">
        <v>304</v>
      </c>
      <c r="C44" s="4" t="s">
        <v>305</v>
      </c>
      <c r="D44" s="10" t="s">
        <v>249</v>
      </c>
      <c r="E44" s="13"/>
    </row>
    <row r="45" customHeight="1" spans="1:5">
      <c r="A45" s="10">
        <v>3</v>
      </c>
      <c r="B45" s="11" t="s">
        <v>306</v>
      </c>
      <c r="C45" s="4" t="s">
        <v>310</v>
      </c>
      <c r="D45" s="10" t="s">
        <v>249</v>
      </c>
      <c r="E45" s="13"/>
    </row>
    <row r="46" customHeight="1" spans="1:5">
      <c r="A46" s="10">
        <v>4</v>
      </c>
      <c r="B46" s="11" t="s">
        <v>309</v>
      </c>
      <c r="C46" s="4" t="s">
        <v>310</v>
      </c>
      <c r="D46" s="10" t="s">
        <v>249</v>
      </c>
      <c r="E46" s="13"/>
    </row>
    <row r="47" customHeight="1" spans="1:5">
      <c r="A47" s="10">
        <v>5</v>
      </c>
      <c r="B47" s="11" t="s">
        <v>311</v>
      </c>
      <c r="C47" s="4" t="s">
        <v>310</v>
      </c>
      <c r="D47" s="10" t="s">
        <v>327</v>
      </c>
      <c r="E47" s="13"/>
    </row>
    <row r="48" customHeight="1" spans="1:5">
      <c r="A48" s="10">
        <v>6</v>
      </c>
      <c r="B48" s="11" t="s">
        <v>312</v>
      </c>
      <c r="C48" s="4" t="s">
        <v>259</v>
      </c>
      <c r="D48" s="10" t="s">
        <v>257</v>
      </c>
      <c r="E48" s="13"/>
    </row>
    <row r="49" customHeight="1" spans="1:5">
      <c r="A49" s="10">
        <v>7</v>
      </c>
      <c r="B49" s="14" t="s">
        <v>313</v>
      </c>
      <c r="C49" s="4" t="s">
        <v>256</v>
      </c>
      <c r="D49" s="16" t="s">
        <v>257</v>
      </c>
      <c r="E49" s="13"/>
    </row>
    <row r="50" customHeight="1" spans="1:5">
      <c r="A50" s="10">
        <v>8</v>
      </c>
      <c r="B50" s="11" t="s">
        <v>1025</v>
      </c>
      <c r="C50" s="4" t="s">
        <v>256</v>
      </c>
      <c r="D50" s="10" t="s">
        <v>342</v>
      </c>
      <c r="E50" s="13"/>
    </row>
    <row r="51" customHeight="1" spans="1:5">
      <c r="A51" s="10">
        <v>9</v>
      </c>
      <c r="B51" s="11" t="s">
        <v>258</v>
      </c>
      <c r="C51" s="4" t="s">
        <v>353</v>
      </c>
      <c r="D51" s="10" t="s">
        <v>266</v>
      </c>
      <c r="E51" s="13"/>
    </row>
    <row r="52" customHeight="1" spans="1:5">
      <c r="A52" s="10">
        <v>10</v>
      </c>
      <c r="B52" s="11" t="s">
        <v>315</v>
      </c>
      <c r="C52" s="4" t="s">
        <v>63</v>
      </c>
      <c r="D52" s="10" t="s">
        <v>24</v>
      </c>
      <c r="E52" s="13"/>
    </row>
    <row r="53" customHeight="1" spans="1:5">
      <c r="A53" s="10">
        <v>11</v>
      </c>
      <c r="B53" s="11" t="s">
        <v>316</v>
      </c>
      <c r="C53" s="4" t="s">
        <v>63</v>
      </c>
      <c r="D53" s="10" t="s">
        <v>24</v>
      </c>
      <c r="E53" s="13"/>
    </row>
    <row r="54" customHeight="1" spans="1:5">
      <c r="A54" s="10">
        <v>12</v>
      </c>
      <c r="B54" s="11" t="s">
        <v>317</v>
      </c>
      <c r="C54" s="4" t="s">
        <v>63</v>
      </c>
      <c r="D54" s="10" t="s">
        <v>24</v>
      </c>
      <c r="E54" s="13"/>
    </row>
    <row r="55" ht="25.5" customHeight="1" spans="1:5">
      <c r="A55" s="10"/>
      <c r="B55" s="20" t="s">
        <v>33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318</v>
      </c>
      <c r="C57" s="21"/>
      <c r="D57" s="21"/>
      <c r="E57" s="13"/>
    </row>
    <row r="58" customHeight="1" spans="1:5">
      <c r="A58" s="10">
        <v>1</v>
      </c>
      <c r="B58" s="11" t="s">
        <v>319</v>
      </c>
      <c r="C58" s="12" t="s">
        <v>320</v>
      </c>
      <c r="D58" s="15" t="s">
        <v>297</v>
      </c>
      <c r="E58" s="13"/>
    </row>
    <row r="59" customHeight="1" spans="1:5">
      <c r="A59" s="10">
        <v>2</v>
      </c>
      <c r="B59" s="11" t="s">
        <v>321</v>
      </c>
      <c r="C59" s="12" t="s">
        <v>322</v>
      </c>
      <c r="D59" s="15" t="s">
        <v>222</v>
      </c>
      <c r="E59" s="13"/>
    </row>
    <row r="60" customHeight="1" spans="1:5">
      <c r="A60" s="10"/>
      <c r="B60" s="20" t="s">
        <v>33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44</v>
      </c>
      <c r="C62" s="21"/>
      <c r="D62" s="21"/>
      <c r="E62" s="13"/>
    </row>
    <row r="63" customHeight="1" spans="1:5">
      <c r="A63" s="10">
        <v>1</v>
      </c>
      <c r="B63" s="11" t="s">
        <v>323</v>
      </c>
      <c r="C63" s="17" t="s">
        <v>324</v>
      </c>
      <c r="D63" s="10" t="s">
        <v>297</v>
      </c>
      <c r="E63" s="13"/>
    </row>
    <row r="64" customHeight="1" spans="1:5">
      <c r="A64" s="10">
        <v>2</v>
      </c>
      <c r="B64" s="18" t="s">
        <v>325</v>
      </c>
      <c r="C64" s="17" t="s">
        <v>326</v>
      </c>
      <c r="D64" s="15" t="s">
        <v>952</v>
      </c>
      <c r="E64" s="13"/>
    </row>
    <row r="65" customHeight="1" spans="1:5">
      <c r="A65" s="10">
        <v>3</v>
      </c>
      <c r="B65" s="11" t="s">
        <v>328</v>
      </c>
      <c r="C65" s="4" t="s">
        <v>46</v>
      </c>
      <c r="D65" s="10" t="s">
        <v>266</v>
      </c>
      <c r="E65" s="13"/>
    </row>
    <row r="66" customHeight="1" spans="1:5">
      <c r="A66" s="10">
        <v>4</v>
      </c>
      <c r="B66" s="18" t="s">
        <v>329</v>
      </c>
      <c r="C66" s="17" t="s">
        <v>46</v>
      </c>
      <c r="D66" s="15" t="s">
        <v>950</v>
      </c>
      <c r="E66" s="13"/>
    </row>
    <row r="67" customHeight="1" spans="1:5">
      <c r="A67" s="10">
        <v>5</v>
      </c>
      <c r="B67" s="14" t="s">
        <v>330</v>
      </c>
      <c r="C67" s="17" t="s">
        <v>256</v>
      </c>
      <c r="D67" s="15" t="s">
        <v>257</v>
      </c>
      <c r="E67" s="13"/>
    </row>
    <row r="68" customHeight="1" spans="1:5">
      <c r="A68" s="10">
        <v>6</v>
      </c>
      <c r="B68" s="14" t="s">
        <v>255</v>
      </c>
      <c r="C68" s="17" t="s">
        <v>256</v>
      </c>
      <c r="D68" s="15" t="s">
        <v>342</v>
      </c>
      <c r="E68" s="13"/>
    </row>
    <row r="69" customHeight="1" spans="1:5">
      <c r="A69" s="10">
        <v>7</v>
      </c>
      <c r="B69" s="11" t="s">
        <v>331</v>
      </c>
      <c r="C69" s="4" t="s">
        <v>63</v>
      </c>
      <c r="D69" s="10" t="s">
        <v>41</v>
      </c>
      <c r="E69" s="13"/>
    </row>
    <row r="70" customHeight="1" spans="1:5">
      <c r="A70" s="10">
        <v>8</v>
      </c>
      <c r="B70" s="11" t="s">
        <v>333</v>
      </c>
      <c r="C70" s="17" t="s">
        <v>275</v>
      </c>
      <c r="D70" s="15" t="s">
        <v>41</v>
      </c>
      <c r="E70" s="13"/>
    </row>
    <row r="71" customHeight="1" spans="1:5">
      <c r="A71" s="10">
        <v>9</v>
      </c>
      <c r="B71" s="11" t="s">
        <v>334</v>
      </c>
      <c r="C71" s="17" t="s">
        <v>275</v>
      </c>
      <c r="D71" s="15" t="s">
        <v>41</v>
      </c>
      <c r="E71" s="13"/>
    </row>
    <row r="72" customHeight="1" spans="1:5">
      <c r="A72" s="10">
        <v>10</v>
      </c>
      <c r="B72" s="11" t="s">
        <v>335</v>
      </c>
      <c r="C72" s="4" t="s">
        <v>336</v>
      </c>
      <c r="D72" s="10" t="s">
        <v>332</v>
      </c>
      <c r="E72" s="13"/>
    </row>
    <row r="73" customHeight="1" spans="1:5">
      <c r="A73" s="10">
        <v>11</v>
      </c>
      <c r="B73" s="11" t="s">
        <v>1115</v>
      </c>
      <c r="C73" s="17" t="s">
        <v>63</v>
      </c>
      <c r="D73" s="10" t="s">
        <v>301</v>
      </c>
      <c r="E73" s="13"/>
    </row>
    <row r="74" customHeight="1" spans="1:5">
      <c r="A74" s="10">
        <v>12</v>
      </c>
      <c r="B74" s="11" t="s">
        <v>281</v>
      </c>
      <c r="C74" s="17" t="s">
        <v>273</v>
      </c>
      <c r="D74" s="10" t="s">
        <v>283</v>
      </c>
      <c r="E74" s="13"/>
    </row>
    <row r="75" customHeight="1" spans="1:5">
      <c r="A75" s="10">
        <v>13</v>
      </c>
      <c r="B75" s="14" t="s">
        <v>272</v>
      </c>
      <c r="C75" s="17" t="s">
        <v>273</v>
      </c>
      <c r="D75" s="10" t="s">
        <v>294</v>
      </c>
      <c r="E75" s="13"/>
    </row>
    <row r="76" customHeight="1" spans="1:5">
      <c r="A76" s="10"/>
      <c r="B76" s="20" t="s">
        <v>33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51</v>
      </c>
      <c r="C78" s="21"/>
      <c r="D78" s="21"/>
      <c r="E78" s="13"/>
    </row>
    <row r="79" customHeight="1" spans="1:5">
      <c r="A79" s="10">
        <v>1</v>
      </c>
      <c r="B79" s="11" t="s">
        <v>338</v>
      </c>
      <c r="C79" s="4" t="s">
        <v>339</v>
      </c>
      <c r="D79" s="10" t="s">
        <v>297</v>
      </c>
      <c r="E79" s="13"/>
    </row>
    <row r="80" customHeight="1" spans="1:5">
      <c r="A80" s="10">
        <v>2</v>
      </c>
      <c r="B80" s="14" t="s">
        <v>220</v>
      </c>
      <c r="C80" s="4" t="s">
        <v>221</v>
      </c>
      <c r="D80" s="15" t="s">
        <v>952</v>
      </c>
      <c r="E80" s="13"/>
    </row>
    <row r="81" customHeight="1" spans="1:5">
      <c r="A81" s="10">
        <v>3</v>
      </c>
      <c r="B81" s="14" t="s">
        <v>1116</v>
      </c>
      <c r="C81" s="4" t="s">
        <v>1117</v>
      </c>
      <c r="D81" s="15" t="s">
        <v>952</v>
      </c>
      <c r="E81" s="13"/>
    </row>
    <row r="82" customHeight="1" spans="1:5">
      <c r="A82" s="10">
        <v>4</v>
      </c>
      <c r="B82" s="11" t="s">
        <v>340</v>
      </c>
      <c r="C82" s="4" t="s">
        <v>968</v>
      </c>
      <c r="D82" s="15" t="s">
        <v>266</v>
      </c>
      <c r="E82" s="13"/>
    </row>
    <row r="83" customHeight="1" spans="1:5">
      <c r="A83" s="10">
        <v>5</v>
      </c>
      <c r="B83" s="11" t="s">
        <v>343</v>
      </c>
      <c r="C83" s="4" t="s">
        <v>344</v>
      </c>
      <c r="D83" s="10" t="s">
        <v>301</v>
      </c>
      <c r="E83" s="13"/>
    </row>
    <row r="84" customHeight="1" spans="1:5">
      <c r="A84" s="10"/>
      <c r="B84" s="20" t="s">
        <v>33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56</v>
      </c>
      <c r="C86" s="25"/>
      <c r="D86" s="21"/>
      <c r="E86" s="13"/>
    </row>
    <row r="87" customHeight="1" spans="1:5">
      <c r="A87" s="10">
        <v>1</v>
      </c>
      <c r="B87" s="11" t="s">
        <v>349</v>
      </c>
      <c r="C87" s="4" t="s">
        <v>310</v>
      </c>
      <c r="D87" s="10" t="s">
        <v>249</v>
      </c>
      <c r="E87" s="13"/>
    </row>
    <row r="88" customHeight="1" spans="1:5">
      <c r="A88" s="10">
        <v>2</v>
      </c>
      <c r="B88" s="11" t="s">
        <v>350</v>
      </c>
      <c r="C88" s="4" t="s">
        <v>310</v>
      </c>
      <c r="D88" s="10" t="s">
        <v>249</v>
      </c>
      <c r="E88" s="13"/>
    </row>
    <row r="89" customHeight="1" spans="1:5">
      <c r="A89" s="10">
        <v>3</v>
      </c>
      <c r="B89" s="14" t="s">
        <v>386</v>
      </c>
      <c r="C89" s="4" t="s">
        <v>256</v>
      </c>
      <c r="D89" s="10" t="s">
        <v>254</v>
      </c>
      <c r="E89" s="13"/>
    </row>
    <row r="90" customHeight="1" spans="1:5">
      <c r="A90" s="10">
        <v>4</v>
      </c>
      <c r="B90" s="11" t="s">
        <v>351</v>
      </c>
      <c r="C90" s="4" t="s">
        <v>259</v>
      </c>
      <c r="D90" s="10" t="s">
        <v>257</v>
      </c>
      <c r="E90" s="13"/>
    </row>
    <row r="91" ht="21.6" customHeight="1" spans="1:5">
      <c r="A91" s="10">
        <v>5</v>
      </c>
      <c r="B91" s="11" t="s">
        <v>352</v>
      </c>
      <c r="C91" s="4" t="s">
        <v>353</v>
      </c>
      <c r="D91" s="15" t="s">
        <v>266</v>
      </c>
      <c r="E91" s="13"/>
    </row>
    <row r="92" ht="21.6" customHeight="1" spans="1:5">
      <c r="A92" s="10">
        <v>6</v>
      </c>
      <c r="B92" s="11" t="s">
        <v>354</v>
      </c>
      <c r="C92" s="12" t="s">
        <v>46</v>
      </c>
      <c r="D92" s="15" t="s">
        <v>950</v>
      </c>
      <c r="E92" s="13"/>
    </row>
    <row r="93" ht="21.6" customHeight="1" spans="1:5">
      <c r="A93" s="10">
        <v>7</v>
      </c>
      <c r="B93" s="11" t="s">
        <v>355</v>
      </c>
      <c r="C93" s="12" t="s">
        <v>46</v>
      </c>
      <c r="D93" s="15" t="s">
        <v>950</v>
      </c>
      <c r="E93" s="13"/>
    </row>
    <row r="94" ht="21.6" customHeight="1" spans="1:5">
      <c r="A94" s="10">
        <v>8</v>
      </c>
      <c r="B94" s="11" t="s">
        <v>357</v>
      </c>
      <c r="C94" s="17" t="s">
        <v>275</v>
      </c>
      <c r="D94" s="15" t="s">
        <v>41</v>
      </c>
      <c r="E94" s="13"/>
    </row>
    <row r="95" ht="21.6" customHeight="1" spans="1:5">
      <c r="A95" s="10">
        <v>9</v>
      </c>
      <c r="B95" s="11" t="s">
        <v>359</v>
      </c>
      <c r="C95" s="4" t="s">
        <v>360</v>
      </c>
      <c r="D95" s="10" t="s">
        <v>37</v>
      </c>
      <c r="E95" s="13"/>
    </row>
    <row r="96" ht="21.6" customHeight="1" spans="1:5">
      <c r="A96" s="10">
        <v>10</v>
      </c>
      <c r="B96" s="11" t="s">
        <v>361</v>
      </c>
      <c r="C96" s="17" t="s">
        <v>362</v>
      </c>
      <c r="D96" s="15" t="s">
        <v>294</v>
      </c>
      <c r="E96" s="13"/>
    </row>
    <row r="97" customHeight="1" spans="1:5">
      <c r="A97" s="10"/>
      <c r="B97" s="20" t="s">
        <v>33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58</v>
      </c>
      <c r="C99" s="21"/>
      <c r="D99" s="21"/>
      <c r="E99" s="13"/>
    </row>
    <row r="100" customHeight="1" spans="1:5">
      <c r="A100" s="10">
        <v>1</v>
      </c>
      <c r="B100" s="18" t="s">
        <v>232</v>
      </c>
      <c r="C100" s="10" t="s">
        <v>233</v>
      </c>
      <c r="D100" s="15" t="s">
        <v>308</v>
      </c>
      <c r="E100" s="13"/>
    </row>
    <row r="101" customHeight="1" spans="1:5">
      <c r="A101" s="10">
        <v>2</v>
      </c>
      <c r="B101" s="11" t="s">
        <v>250</v>
      </c>
      <c r="C101" s="4" t="s">
        <v>367</v>
      </c>
      <c r="D101" s="10" t="s">
        <v>257</v>
      </c>
      <c r="E101" s="13"/>
    </row>
    <row r="102" customHeight="1" spans="1:5">
      <c r="A102" s="10">
        <v>3</v>
      </c>
      <c r="B102" s="11" t="s">
        <v>368</v>
      </c>
      <c r="C102" s="4" t="s">
        <v>369</v>
      </c>
      <c r="D102" s="15" t="s">
        <v>332</v>
      </c>
      <c r="E102" s="13"/>
    </row>
    <row r="103" customHeight="1" spans="1:5">
      <c r="A103" s="10">
        <v>4</v>
      </c>
      <c r="B103" s="11" t="s">
        <v>370</v>
      </c>
      <c r="C103" s="4" t="s">
        <v>969</v>
      </c>
      <c r="D103" s="15" t="s">
        <v>945</v>
      </c>
      <c r="E103" s="13"/>
    </row>
    <row r="104" customHeight="1" spans="1:5">
      <c r="A104" s="4"/>
      <c r="B104" s="20" t="s">
        <v>33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372</v>
      </c>
      <c r="C106" s="4"/>
      <c r="D106" s="4"/>
      <c r="E106" s="13"/>
    </row>
    <row r="107" customHeight="1" spans="1:5">
      <c r="A107" s="4">
        <v>1</v>
      </c>
      <c r="B107" s="11" t="s">
        <v>373</v>
      </c>
      <c r="C107" s="12" t="s">
        <v>374</v>
      </c>
      <c r="D107" s="15" t="s">
        <v>297</v>
      </c>
      <c r="E107" s="13"/>
    </row>
    <row r="108" customHeight="1" spans="1:5">
      <c r="A108" s="4">
        <v>2</v>
      </c>
      <c r="B108" s="11" t="s">
        <v>375</v>
      </c>
      <c r="C108" s="4" t="s">
        <v>376</v>
      </c>
      <c r="D108" s="16" t="s">
        <v>308</v>
      </c>
      <c r="E108" s="13"/>
    </row>
    <row r="109" customHeight="1" spans="1:5">
      <c r="A109" s="4">
        <v>3</v>
      </c>
      <c r="B109" s="11" t="s">
        <v>377</v>
      </c>
      <c r="C109" s="4" t="s">
        <v>378</v>
      </c>
      <c r="D109" s="10" t="s">
        <v>263</v>
      </c>
      <c r="E109" s="13"/>
    </row>
    <row r="110" customHeight="1" spans="1:5">
      <c r="A110" s="4">
        <v>4</v>
      </c>
      <c r="B110" s="11" t="s">
        <v>379</v>
      </c>
      <c r="C110" s="4" t="s">
        <v>378</v>
      </c>
      <c r="D110" s="10" t="s">
        <v>263</v>
      </c>
      <c r="E110" s="13"/>
    </row>
    <row r="111" customHeight="1" spans="1:5">
      <c r="A111" s="4">
        <v>5</v>
      </c>
      <c r="B111" s="11" t="s">
        <v>380</v>
      </c>
      <c r="C111" s="4" t="s">
        <v>381</v>
      </c>
      <c r="D111" s="15" t="s">
        <v>384</v>
      </c>
      <c r="E111" s="13"/>
    </row>
    <row r="112" customHeight="1" spans="1:5">
      <c r="A112" s="4">
        <v>6</v>
      </c>
      <c r="B112" s="18" t="s">
        <v>383</v>
      </c>
      <c r="C112" s="4" t="s">
        <v>381</v>
      </c>
      <c r="D112" s="10" t="s">
        <v>945</v>
      </c>
      <c r="E112" s="13"/>
    </row>
    <row r="113" customHeight="1" spans="1:5">
      <c r="A113" s="4">
        <v>7</v>
      </c>
      <c r="B113" s="18" t="s">
        <v>385</v>
      </c>
      <c r="C113" s="4" t="s">
        <v>381</v>
      </c>
      <c r="D113" s="15" t="s">
        <v>294</v>
      </c>
      <c r="E113" s="13"/>
    </row>
    <row r="114" ht="25.5" customHeight="1" spans="1:5">
      <c r="A114" s="4"/>
      <c r="B114" s="20" t="s">
        <v>33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61</v>
      </c>
      <c r="C116" s="21"/>
      <c r="D116" s="21"/>
      <c r="E116" s="13"/>
    </row>
    <row r="117" customHeight="1" spans="1:5">
      <c r="A117" s="10">
        <v>1</v>
      </c>
      <c r="B117" s="11" t="s">
        <v>1033</v>
      </c>
      <c r="C117" s="17" t="s">
        <v>275</v>
      </c>
      <c r="D117" s="15" t="s">
        <v>271</v>
      </c>
      <c r="E117" s="13"/>
    </row>
    <row r="118" ht="18.75" customHeight="1" spans="1:5">
      <c r="A118" s="10">
        <v>2</v>
      </c>
      <c r="B118" s="11" t="s">
        <v>387</v>
      </c>
      <c r="C118" s="4" t="s">
        <v>388</v>
      </c>
      <c r="D118" s="15" t="s">
        <v>332</v>
      </c>
      <c r="E118" s="13"/>
    </row>
    <row r="119" ht="24.75" customHeight="1" spans="1:5">
      <c r="A119" s="4"/>
      <c r="B119" s="20" t="s">
        <v>33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67</v>
      </c>
      <c r="C121" s="21"/>
      <c r="D121" s="21"/>
      <c r="E121" s="13"/>
    </row>
    <row r="122" customHeight="1" spans="1:5">
      <c r="A122" s="4">
        <v>1</v>
      </c>
      <c r="B122" s="11" t="s">
        <v>392</v>
      </c>
      <c r="C122" s="12" t="s">
        <v>393</v>
      </c>
      <c r="D122" s="15" t="s">
        <v>297</v>
      </c>
      <c r="E122" s="13"/>
    </row>
    <row r="123" customHeight="1" spans="1:5">
      <c r="A123" s="4">
        <v>2</v>
      </c>
      <c r="B123" s="11" t="s">
        <v>1138</v>
      </c>
      <c r="C123" s="12" t="s">
        <v>1139</v>
      </c>
      <c r="D123" s="15" t="s">
        <v>231</v>
      </c>
      <c r="E123" s="13"/>
    </row>
    <row r="124" customHeight="1" spans="1:5">
      <c r="A124" s="4">
        <v>3</v>
      </c>
      <c r="B124" s="11" t="s">
        <v>128</v>
      </c>
      <c r="C124" s="12" t="s">
        <v>227</v>
      </c>
      <c r="D124" s="15" t="s">
        <v>249</v>
      </c>
      <c r="E124" s="13"/>
    </row>
    <row r="125" customHeight="1" spans="1:5">
      <c r="A125" s="4">
        <v>4</v>
      </c>
      <c r="B125" s="14" t="s">
        <v>395</v>
      </c>
      <c r="C125" s="12" t="s">
        <v>227</v>
      </c>
      <c r="D125" s="15" t="s">
        <v>249</v>
      </c>
      <c r="E125" s="13"/>
    </row>
    <row r="126" customHeight="1" spans="1:5">
      <c r="A126" s="4">
        <v>5</v>
      </c>
      <c r="B126" s="14" t="s">
        <v>226</v>
      </c>
      <c r="C126" s="12" t="s">
        <v>227</v>
      </c>
      <c r="D126" s="15" t="s">
        <v>228</v>
      </c>
      <c r="E126" s="13"/>
    </row>
    <row r="127" customHeight="1" spans="1:5">
      <c r="A127" s="4">
        <v>6</v>
      </c>
      <c r="B127" s="11" t="s">
        <v>396</v>
      </c>
      <c r="C127" s="12" t="s">
        <v>397</v>
      </c>
      <c r="D127" s="15" t="s">
        <v>342</v>
      </c>
      <c r="E127" s="13"/>
    </row>
    <row r="128" customHeight="1" spans="1:5">
      <c r="A128" s="4">
        <v>7</v>
      </c>
      <c r="B128" s="11" t="s">
        <v>398</v>
      </c>
      <c r="C128" s="12" t="s">
        <v>399</v>
      </c>
      <c r="D128" s="15" t="s">
        <v>266</v>
      </c>
      <c r="E128" s="13"/>
    </row>
    <row r="129" customHeight="1" spans="1:5">
      <c r="A129" s="4">
        <v>8</v>
      </c>
      <c r="B129" s="11" t="s">
        <v>400</v>
      </c>
      <c r="C129" s="12" t="s">
        <v>970</v>
      </c>
      <c r="D129" s="15" t="s">
        <v>266</v>
      </c>
      <c r="E129" s="13"/>
    </row>
    <row r="130" customHeight="1" spans="1:5">
      <c r="A130" s="4">
        <v>9</v>
      </c>
      <c r="B130" s="11" t="s">
        <v>401</v>
      </c>
      <c r="C130" s="12" t="s">
        <v>402</v>
      </c>
      <c r="D130" s="10" t="s">
        <v>283</v>
      </c>
      <c r="E130" s="13"/>
    </row>
    <row r="131" customHeight="1" spans="1:5">
      <c r="A131" s="4">
        <v>10</v>
      </c>
      <c r="B131" s="18" t="s">
        <v>403</v>
      </c>
      <c r="C131" s="12" t="s">
        <v>404</v>
      </c>
      <c r="D131" s="15" t="s">
        <v>30</v>
      </c>
      <c r="E131" s="13"/>
    </row>
    <row r="132" customHeight="1" spans="1:5">
      <c r="A132" s="4"/>
      <c r="B132" s="20" t="s">
        <v>33</v>
      </c>
      <c r="C132" s="26" t="s">
        <v>406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71</v>
      </c>
      <c r="C134" s="12"/>
      <c r="D134" s="15"/>
      <c r="E134" s="13"/>
    </row>
    <row r="135" customHeight="1" spans="1:5">
      <c r="A135" s="27">
        <v>1</v>
      </c>
      <c r="B135" s="11" t="s">
        <v>407</v>
      </c>
      <c r="C135" s="12" t="s">
        <v>408</v>
      </c>
      <c r="D135" s="15" t="s">
        <v>297</v>
      </c>
      <c r="E135" s="13"/>
    </row>
    <row r="136" customHeight="1" spans="1:5">
      <c r="A136" s="27">
        <v>2</v>
      </c>
      <c r="B136" s="11" t="s">
        <v>229</v>
      </c>
      <c r="C136" s="12" t="s">
        <v>230</v>
      </c>
      <c r="D136" s="15" t="s">
        <v>231</v>
      </c>
      <c r="E136" s="13"/>
    </row>
    <row r="137" customHeight="1" spans="1:5">
      <c r="A137" s="27">
        <v>3</v>
      </c>
      <c r="B137" s="14" t="s">
        <v>409</v>
      </c>
      <c r="C137" s="4" t="s">
        <v>410</v>
      </c>
      <c r="D137" s="16" t="s">
        <v>308</v>
      </c>
      <c r="E137" s="13"/>
    </row>
    <row r="138" customHeight="1" spans="1:5">
      <c r="A138" s="27">
        <v>4</v>
      </c>
      <c r="B138" s="11" t="s">
        <v>411</v>
      </c>
      <c r="C138" s="12" t="s">
        <v>412</v>
      </c>
      <c r="D138" s="15" t="s">
        <v>257</v>
      </c>
      <c r="E138" s="13"/>
    </row>
    <row r="139" customHeight="1" spans="1:5">
      <c r="A139" s="27">
        <v>5</v>
      </c>
      <c r="B139" s="11" t="s">
        <v>413</v>
      </c>
      <c r="C139" s="4" t="s">
        <v>414</v>
      </c>
      <c r="D139" s="15" t="s">
        <v>257</v>
      </c>
      <c r="E139" s="13"/>
    </row>
    <row r="140" customHeight="1" spans="1:5">
      <c r="A140" s="27">
        <v>6</v>
      </c>
      <c r="B140" s="11" t="s">
        <v>366</v>
      </c>
      <c r="C140" s="4" t="s">
        <v>420</v>
      </c>
      <c r="D140" s="15" t="s">
        <v>266</v>
      </c>
      <c r="E140" s="13"/>
    </row>
    <row r="141" customHeight="1" spans="1:5">
      <c r="A141" s="27">
        <v>7</v>
      </c>
      <c r="B141" s="11" t="s">
        <v>416</v>
      </c>
      <c r="C141" s="12" t="s">
        <v>417</v>
      </c>
      <c r="D141" s="15" t="s">
        <v>271</v>
      </c>
      <c r="E141" s="13"/>
    </row>
    <row r="142" customHeight="1" spans="1:5">
      <c r="A142" s="27">
        <v>8</v>
      </c>
      <c r="B142" s="11" t="s">
        <v>418</v>
      </c>
      <c r="C142" s="12" t="s">
        <v>417</v>
      </c>
      <c r="D142" s="15" t="s">
        <v>271</v>
      </c>
      <c r="E142" s="13"/>
    </row>
    <row r="143" customHeight="1" spans="1:5">
      <c r="A143" s="27">
        <v>9</v>
      </c>
      <c r="B143" s="11" t="s">
        <v>419</v>
      </c>
      <c r="C143" s="4" t="s">
        <v>420</v>
      </c>
      <c r="D143" s="15" t="s">
        <v>271</v>
      </c>
      <c r="E143" s="13"/>
    </row>
    <row r="144" customHeight="1" spans="1:5">
      <c r="A144" s="27">
        <v>10</v>
      </c>
      <c r="B144" s="11" t="s">
        <v>421</v>
      </c>
      <c r="C144" s="12" t="s">
        <v>422</v>
      </c>
      <c r="D144" s="15" t="s">
        <v>332</v>
      </c>
      <c r="E144" s="13"/>
    </row>
    <row r="145" customHeight="1" spans="1:5">
      <c r="A145" s="27">
        <v>11</v>
      </c>
      <c r="B145" s="11" t="s">
        <v>423</v>
      </c>
      <c r="C145" s="12" t="s">
        <v>971</v>
      </c>
      <c r="D145" s="15" t="s">
        <v>432</v>
      </c>
      <c r="E145" s="13"/>
    </row>
    <row r="146" customHeight="1" spans="1:5">
      <c r="A146" s="27">
        <v>12</v>
      </c>
      <c r="B146" s="11" t="s">
        <v>425</v>
      </c>
      <c r="C146" s="12" t="s">
        <v>426</v>
      </c>
      <c r="D146" s="15" t="s">
        <v>271</v>
      </c>
      <c r="E146" s="13"/>
    </row>
    <row r="147" customHeight="1" spans="1:5">
      <c r="A147" s="27">
        <v>13</v>
      </c>
      <c r="B147" s="18" t="s">
        <v>427</v>
      </c>
      <c r="C147" s="4" t="s">
        <v>437</v>
      </c>
      <c r="D147" s="15" t="s">
        <v>432</v>
      </c>
      <c r="E147" s="13"/>
    </row>
    <row r="148" customHeight="1" spans="1:5">
      <c r="A148" s="27">
        <v>14</v>
      </c>
      <c r="B148" s="11" t="s">
        <v>429</v>
      </c>
      <c r="C148" s="4" t="s">
        <v>430</v>
      </c>
      <c r="D148" s="15" t="s">
        <v>301</v>
      </c>
      <c r="E148" s="13"/>
    </row>
    <row r="149" customHeight="1" spans="1:5">
      <c r="A149" s="27">
        <v>15</v>
      </c>
      <c r="B149" s="11" t="s">
        <v>431</v>
      </c>
      <c r="C149" s="4" t="s">
        <v>430</v>
      </c>
      <c r="D149" s="15" t="s">
        <v>345</v>
      </c>
      <c r="E149" s="13"/>
    </row>
    <row r="150" customHeight="1" spans="1:5">
      <c r="A150" s="27">
        <v>16</v>
      </c>
      <c r="B150" s="11" t="s">
        <v>433</v>
      </c>
      <c r="C150" s="4" t="s">
        <v>430</v>
      </c>
      <c r="D150" s="15" t="s">
        <v>345</v>
      </c>
      <c r="E150" s="13"/>
    </row>
    <row r="151" customHeight="1" spans="1:5">
      <c r="A151" s="27">
        <v>17</v>
      </c>
      <c r="B151" s="11" t="s">
        <v>434</v>
      </c>
      <c r="C151" s="12" t="s">
        <v>435</v>
      </c>
      <c r="D151" s="15" t="s">
        <v>37</v>
      </c>
      <c r="E151" s="13"/>
    </row>
    <row r="152" customHeight="1" spans="1:5">
      <c r="A152" s="27">
        <v>18</v>
      </c>
      <c r="B152" s="11" t="s">
        <v>953</v>
      </c>
      <c r="C152" s="12" t="s">
        <v>437</v>
      </c>
      <c r="D152" s="10" t="s">
        <v>24</v>
      </c>
      <c r="E152" s="13"/>
    </row>
    <row r="153" customHeight="1" spans="1:5">
      <c r="A153" s="27">
        <v>19</v>
      </c>
      <c r="B153" s="11" t="s">
        <v>438</v>
      </c>
      <c r="C153" s="12" t="s">
        <v>439</v>
      </c>
      <c r="D153" s="15" t="s">
        <v>301</v>
      </c>
      <c r="E153" s="13"/>
    </row>
    <row r="154" customHeight="1" spans="1:5">
      <c r="A154" s="27">
        <v>20</v>
      </c>
      <c r="B154" s="11" t="s">
        <v>440</v>
      </c>
      <c r="C154" s="12" t="s">
        <v>441</v>
      </c>
      <c r="D154" s="15" t="s">
        <v>283</v>
      </c>
      <c r="E154" s="13"/>
    </row>
    <row r="155" customHeight="1" spans="1:5">
      <c r="A155" s="27">
        <v>21</v>
      </c>
      <c r="B155" s="11" t="s">
        <v>442</v>
      </c>
      <c r="C155" s="12" t="s">
        <v>443</v>
      </c>
      <c r="D155" s="15" t="s">
        <v>301</v>
      </c>
      <c r="E155" s="13"/>
    </row>
    <row r="156" customHeight="1" spans="1:5">
      <c r="A156" s="27">
        <v>22</v>
      </c>
      <c r="B156" s="11" t="s">
        <v>444</v>
      </c>
      <c r="C156" s="12" t="s">
        <v>445</v>
      </c>
      <c r="D156" s="15" t="s">
        <v>283</v>
      </c>
      <c r="E156" s="13"/>
    </row>
    <row r="157" customHeight="1" spans="1:5">
      <c r="A157" s="27">
        <v>23</v>
      </c>
      <c r="B157" s="18" t="s">
        <v>446</v>
      </c>
      <c r="C157" s="12" t="s">
        <v>451</v>
      </c>
      <c r="D157" s="15" t="s">
        <v>945</v>
      </c>
      <c r="E157" s="13"/>
    </row>
    <row r="158" customHeight="1" spans="1:5">
      <c r="A158" s="27">
        <v>24</v>
      </c>
      <c r="B158" s="18" t="s">
        <v>448</v>
      </c>
      <c r="C158" s="12" t="s">
        <v>449</v>
      </c>
      <c r="D158" s="15" t="s">
        <v>30</v>
      </c>
      <c r="E158" s="13"/>
    </row>
    <row r="159" customHeight="1" spans="1:5">
      <c r="A159" s="27">
        <v>25</v>
      </c>
      <c r="B159" s="18" t="s">
        <v>450</v>
      </c>
      <c r="C159" s="12" t="s">
        <v>451</v>
      </c>
      <c r="D159" s="15" t="s">
        <v>30</v>
      </c>
      <c r="E159" s="13"/>
    </row>
    <row r="160" customHeight="1" spans="1:5">
      <c r="A160" s="27">
        <v>26</v>
      </c>
      <c r="B160" s="18" t="s">
        <v>452</v>
      </c>
      <c r="C160" s="12" t="s">
        <v>453</v>
      </c>
      <c r="D160" s="15" t="s">
        <v>294</v>
      </c>
      <c r="E160" s="13"/>
    </row>
    <row r="161" customHeight="1" spans="1:5">
      <c r="A161" s="27">
        <v>27</v>
      </c>
      <c r="B161" s="18" t="s">
        <v>454</v>
      </c>
      <c r="C161" s="12" t="s">
        <v>455</v>
      </c>
      <c r="D161" s="15" t="s">
        <v>294</v>
      </c>
      <c r="E161" s="13"/>
    </row>
    <row r="162" customHeight="1" spans="1:5">
      <c r="A162" s="27">
        <v>28</v>
      </c>
      <c r="B162" s="11" t="s">
        <v>457</v>
      </c>
      <c r="C162" s="12" t="s">
        <v>458</v>
      </c>
      <c r="D162" s="15" t="s">
        <v>465</v>
      </c>
      <c r="E162" s="13"/>
    </row>
    <row r="163" customHeight="1" spans="1:5">
      <c r="A163" s="27">
        <v>29</v>
      </c>
      <c r="B163" s="11" t="s">
        <v>460</v>
      </c>
      <c r="C163" s="12" t="s">
        <v>458</v>
      </c>
      <c r="D163" s="15" t="s">
        <v>465</v>
      </c>
      <c r="E163" s="13"/>
    </row>
    <row r="164" customHeight="1" spans="1:5">
      <c r="A164" s="27">
        <v>30</v>
      </c>
      <c r="B164" s="11" t="s">
        <v>461</v>
      </c>
      <c r="C164" s="12" t="s">
        <v>458</v>
      </c>
      <c r="D164" s="15" t="s">
        <v>465</v>
      </c>
      <c r="E164" s="13"/>
    </row>
    <row r="165" customHeight="1" spans="1:5">
      <c r="A165" s="27">
        <v>31</v>
      </c>
      <c r="B165" s="11" t="s">
        <v>462</v>
      </c>
      <c r="C165" s="12" t="s">
        <v>458</v>
      </c>
      <c r="D165" s="15" t="s">
        <v>465</v>
      </c>
      <c r="E165" s="13"/>
    </row>
    <row r="166" customHeight="1" spans="1:5">
      <c r="A166" s="27">
        <v>32</v>
      </c>
      <c r="B166" s="11" t="s">
        <v>463</v>
      </c>
      <c r="C166" s="12" t="s">
        <v>458</v>
      </c>
      <c r="D166" s="15" t="s">
        <v>465</v>
      </c>
      <c r="E166" s="13"/>
    </row>
    <row r="167" customHeight="1" spans="1:5">
      <c r="A167" s="27">
        <v>33</v>
      </c>
      <c r="B167" s="11" t="s">
        <v>464</v>
      </c>
      <c r="C167" s="12" t="s">
        <v>458</v>
      </c>
      <c r="D167" s="15" t="s">
        <v>476</v>
      </c>
      <c r="E167" s="13"/>
    </row>
    <row r="168" customHeight="1" spans="1:5">
      <c r="A168" s="27">
        <v>34</v>
      </c>
      <c r="B168" s="11" t="s">
        <v>466</v>
      </c>
      <c r="C168" s="12" t="s">
        <v>458</v>
      </c>
      <c r="D168" s="15" t="s">
        <v>476</v>
      </c>
      <c r="E168" s="13"/>
    </row>
    <row r="169" customHeight="1" spans="1:5">
      <c r="A169" s="27">
        <v>35</v>
      </c>
      <c r="B169" s="11" t="s">
        <v>1121</v>
      </c>
      <c r="C169" s="12" t="s">
        <v>458</v>
      </c>
      <c r="D169" s="15" t="s">
        <v>476</v>
      </c>
      <c r="E169" s="13"/>
    </row>
    <row r="170" customHeight="1" spans="1:5">
      <c r="A170" s="27">
        <v>36</v>
      </c>
      <c r="B170" s="14" t="s">
        <v>467</v>
      </c>
      <c r="C170" s="12" t="s">
        <v>458</v>
      </c>
      <c r="D170" s="15" t="s">
        <v>476</v>
      </c>
      <c r="E170" s="13"/>
    </row>
    <row r="171" customHeight="1" spans="1:5">
      <c r="A171" s="27">
        <v>37</v>
      </c>
      <c r="B171" s="11" t="s">
        <v>468</v>
      </c>
      <c r="C171" s="12" t="s">
        <v>458</v>
      </c>
      <c r="D171" s="15" t="s">
        <v>476</v>
      </c>
      <c r="E171" s="13"/>
    </row>
    <row r="172" customHeight="1" spans="1:5">
      <c r="A172" s="27">
        <v>38</v>
      </c>
      <c r="B172" s="18" t="s">
        <v>469</v>
      </c>
      <c r="C172" s="12" t="s">
        <v>458</v>
      </c>
      <c r="D172" s="15" t="s">
        <v>476</v>
      </c>
      <c r="E172" s="13"/>
    </row>
    <row r="173" customHeight="1" spans="1:5">
      <c r="A173" s="27">
        <v>39</v>
      </c>
      <c r="B173" s="18" t="s">
        <v>470</v>
      </c>
      <c r="C173" s="12" t="s">
        <v>458</v>
      </c>
      <c r="D173" s="15" t="s">
        <v>476</v>
      </c>
      <c r="E173" s="13"/>
    </row>
    <row r="174" customHeight="1" spans="1:5">
      <c r="A174" s="27">
        <v>40</v>
      </c>
      <c r="B174" s="11" t="s">
        <v>471</v>
      </c>
      <c r="C174" s="12" t="s">
        <v>478</v>
      </c>
      <c r="D174" s="15" t="s">
        <v>479</v>
      </c>
      <c r="E174" s="13"/>
    </row>
    <row r="175" customHeight="1" spans="1:5">
      <c r="A175" s="27">
        <v>41</v>
      </c>
      <c r="B175" s="11" t="s">
        <v>474</v>
      </c>
      <c r="C175" s="12" t="s">
        <v>478</v>
      </c>
      <c r="D175" s="15" t="s">
        <v>479</v>
      </c>
      <c r="E175" s="13"/>
    </row>
    <row r="176" customHeight="1" spans="1:5">
      <c r="A176" s="27">
        <v>42</v>
      </c>
      <c r="B176" s="18" t="s">
        <v>475</v>
      </c>
      <c r="C176" s="12" t="s">
        <v>478</v>
      </c>
      <c r="D176" s="15" t="s">
        <v>948</v>
      </c>
      <c r="E176" s="13"/>
    </row>
    <row r="177" customHeight="1" spans="1:5">
      <c r="A177" s="27">
        <v>43</v>
      </c>
      <c r="B177" s="11" t="s">
        <v>477</v>
      </c>
      <c r="C177" s="12" t="s">
        <v>478</v>
      </c>
      <c r="D177" s="15" t="s">
        <v>954</v>
      </c>
      <c r="E177" s="13"/>
    </row>
    <row r="178" customHeight="1" spans="1:5">
      <c r="A178" s="27">
        <v>44</v>
      </c>
      <c r="B178" s="11" t="s">
        <v>480</v>
      </c>
      <c r="C178" s="12" t="s">
        <v>481</v>
      </c>
      <c r="D178" s="15" t="s">
        <v>955</v>
      </c>
      <c r="E178" s="13"/>
    </row>
    <row r="179" customHeight="1" spans="1:5">
      <c r="A179" s="27">
        <v>45</v>
      </c>
      <c r="B179" s="11" t="s">
        <v>483</v>
      </c>
      <c r="C179" s="12" t="s">
        <v>481</v>
      </c>
      <c r="D179" s="15" t="s">
        <v>955</v>
      </c>
      <c r="E179" s="13"/>
    </row>
    <row r="180" customHeight="1" spans="1:5">
      <c r="A180" s="27">
        <v>46</v>
      </c>
      <c r="B180" s="11" t="s">
        <v>484</v>
      </c>
      <c r="C180" s="12" t="s">
        <v>481</v>
      </c>
      <c r="D180" s="15" t="s">
        <v>955</v>
      </c>
      <c r="E180" s="13"/>
    </row>
    <row r="181" customHeight="1" spans="1:5">
      <c r="A181" s="27">
        <v>47</v>
      </c>
      <c r="B181" s="11" t="s">
        <v>485</v>
      </c>
      <c r="C181" s="12" t="s">
        <v>481</v>
      </c>
      <c r="D181" s="15" t="s">
        <v>955</v>
      </c>
      <c r="E181" s="13"/>
    </row>
    <row r="182" customHeight="1" spans="1:5">
      <c r="A182" s="27">
        <v>48</v>
      </c>
      <c r="B182" s="11" t="s">
        <v>486</v>
      </c>
      <c r="C182" s="12" t="s">
        <v>481</v>
      </c>
      <c r="D182" s="15" t="s">
        <v>955</v>
      </c>
      <c r="E182" s="13"/>
    </row>
    <row r="183" customHeight="1" spans="1:5">
      <c r="A183" s="27">
        <v>49</v>
      </c>
      <c r="B183" s="18" t="s">
        <v>487</v>
      </c>
      <c r="C183" s="12" t="s">
        <v>481</v>
      </c>
      <c r="D183" s="15" t="s">
        <v>955</v>
      </c>
      <c r="E183" s="13"/>
    </row>
    <row r="184" customHeight="1" spans="1:5">
      <c r="A184" s="27">
        <v>50</v>
      </c>
      <c r="B184" s="18" t="s">
        <v>488</v>
      </c>
      <c r="C184" s="12" t="s">
        <v>481</v>
      </c>
      <c r="D184" s="15" t="s">
        <v>955</v>
      </c>
      <c r="E184" s="13"/>
    </row>
    <row r="185" customHeight="1" spans="1:5">
      <c r="A185" s="27">
        <v>51</v>
      </c>
      <c r="B185" s="11" t="s">
        <v>489</v>
      </c>
      <c r="C185" s="12" t="s">
        <v>478</v>
      </c>
      <c r="D185" s="15" t="s">
        <v>955</v>
      </c>
      <c r="E185" s="13"/>
    </row>
    <row r="186" customHeight="1" spans="1:5">
      <c r="A186" s="27">
        <v>52</v>
      </c>
      <c r="B186" s="11" t="s">
        <v>490</v>
      </c>
      <c r="C186" s="12" t="s">
        <v>478</v>
      </c>
      <c r="D186" s="15" t="s">
        <v>955</v>
      </c>
      <c r="E186" s="13"/>
    </row>
    <row r="187" customHeight="1" spans="1:5">
      <c r="A187" s="27">
        <v>53</v>
      </c>
      <c r="B187" s="18" t="s">
        <v>491</v>
      </c>
      <c r="C187" s="12" t="s">
        <v>481</v>
      </c>
      <c r="D187" s="15" t="s">
        <v>972</v>
      </c>
      <c r="E187" s="13"/>
    </row>
    <row r="188" customHeight="1" spans="1:5">
      <c r="A188" s="27">
        <v>54</v>
      </c>
      <c r="B188" s="18" t="s">
        <v>493</v>
      </c>
      <c r="C188" s="12" t="s">
        <v>481</v>
      </c>
      <c r="D188" s="15" t="s">
        <v>956</v>
      </c>
      <c r="E188" s="13"/>
    </row>
    <row r="189" customHeight="1" spans="1:5">
      <c r="A189" s="27"/>
      <c r="B189" s="8" t="s">
        <v>33</v>
      </c>
      <c r="C189" s="28" t="s">
        <v>1124</v>
      </c>
      <c r="D189" s="29"/>
      <c r="E189" s="13"/>
    </row>
    <row r="190" ht="32.25" customHeight="1" spans="1:5">
      <c r="A190" s="4"/>
      <c r="B190" s="30" t="s">
        <v>80</v>
      </c>
      <c r="C190" s="31">
        <f>C35+C40+C55+C60+C76+C84+C97+C104+C114+C132+C189</f>
        <v>147</v>
      </c>
      <c r="D190" s="32"/>
      <c r="E190" s="13"/>
    </row>
    <row r="191" customHeight="1" spans="2:5">
      <c r="B191" s="33"/>
      <c r="D191" s="34"/>
      <c r="E191" s="35"/>
    </row>
    <row r="192" ht="65.25" customHeight="1" spans="2:4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71</vt:i4>
      </vt:variant>
    </vt:vector>
  </HeadingPairs>
  <TitlesOfParts>
    <vt:vector size="71" baseType="lpstr">
      <vt:lpstr>MARCH 2025 NEW</vt:lpstr>
      <vt:lpstr>MEMO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dcterms:created xsi:type="dcterms:W3CDTF">2008-06-27T10:36:00Z</dcterms:created>
  <cp:lastPrinted>2024-11-05T10:29:00Z</cp:lastPrinted>
  <dcterms:modified xsi:type="dcterms:W3CDTF">2025-03-27T12:36:08Z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FABA441B5B4440E1A4E3B0637A111234_13</vt:lpwstr>
  </property>
  <property fmtid="{D5CDD505-2E9C-101B-9397-08002B2CF9AE}" pid="3" name="KSOProductBuildVer">
    <vt:lpwstr>1033-12.2.0.20326</vt:lpwstr>
  </property>
</Properties>
</file>