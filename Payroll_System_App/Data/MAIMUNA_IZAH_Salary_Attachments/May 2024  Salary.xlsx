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5BBA197F4267588F692AFF20D28BC14ECFCAD069" xr6:coauthVersionLast="47" xr6:coauthVersionMax="47" xr10:uidLastSave="{00000000-0000-0000-0000-000000000000}"/>
  <bookViews>
    <workbookView xWindow="0" yWindow="1950" windowWidth="28800" windowHeight="11670" tabRatio="597" xr2:uid="{00000000-000D-0000-FFFF-FFFF00000000}"/>
  </bookViews>
  <sheets>
    <sheet name="MAY 2024" sheetId="1" r:id="rId1"/>
    <sheet name="MEMO" sheetId="68" r:id="rId2"/>
    <sheet name="Arrears of Res. Allow" sheetId="159" r:id="rId3"/>
    <sheet name="Additional Leg Duty Allowance" sheetId="153" r:id="rId4"/>
    <sheet name="March New PAYE " sheetId="154" r:id="rId5"/>
    <sheet name="Upgrade in March" sheetId="155" r:id="rId6"/>
    <sheet name="New NHF Deduction" sheetId="156" r:id="rId7"/>
    <sheet name="Regularisation" sheetId="152" r:id="rId8"/>
    <sheet name="Sallah Welfare, April 2024" sheetId="158" r:id="rId9"/>
    <sheet name="Sheet4" sheetId="157" r:id="rId10"/>
    <sheet name="January Arrears" sheetId="149" r:id="rId11"/>
    <sheet name="Tax Reg Sch. " sheetId="146" r:id="rId12"/>
    <sheet name=" Excess Ded Paid" sheetId="142" r:id="rId13"/>
    <sheet name="Changes in Gross &amp; PAYE " sheetId="143" r:id="rId14"/>
    <sheet name="May New PAYE " sheetId="147" r:id="rId15"/>
    <sheet name="Employee Pensions" sheetId="144" r:id="rId16"/>
    <sheet name="Upgrade in Feb." sheetId="150" r:id="rId17"/>
    <sheet name="Coop. Ded for Feb." sheetId="151" r:id="rId18"/>
    <sheet name="ENHANCED WELFARE 2024" sheetId="140" r:id="rId19"/>
    <sheet name="PROMOTIONS " sheetId="131" r:id="rId20"/>
    <sheet name="CHRISTMAS WELFARE" sheetId="135" r:id="rId21"/>
    <sheet name="CHRISTMAS WELFARE 1" sheetId="134" r:id="rId22"/>
    <sheet name="HALF 2023 (2)" sheetId="137" r:id="rId23"/>
    <sheet name="Sheet3" sheetId="136" r:id="rId24"/>
    <sheet name="NEW ENROLMENT IN NOVEMBER (2)" sheetId="132" r:id="rId25"/>
    <sheet name="Regularisation IN NOVEMBER (3)" sheetId="133" r:id="rId26"/>
    <sheet name="Sheet2" sheetId="130" r:id="rId27"/>
    <sheet name="PROMOTIONS" sheetId="129" r:id="rId28"/>
    <sheet name="SALARY STRUCTURE" sheetId="128" r:id="rId29"/>
    <sheet name="Wage Grant" sheetId="124" r:id="rId30"/>
    <sheet name="Wage Grant (2)" sheetId="126" r:id="rId31"/>
    <sheet name="1st 28 days in Nov" sheetId="123" r:id="rId32"/>
    <sheet name="Sallah Welfare April 2023" sheetId="119" r:id="rId33"/>
    <sheet name="Sallah Welfare June 2023" sheetId="120" r:id="rId34"/>
    <sheet name="Sallah Welfare June 2023 Latest" sheetId="121" r:id="rId35"/>
    <sheet name="Sheet1" sheetId="117" r:id="rId36"/>
    <sheet name="January 2023 PAYE" sheetId="115" r:id="rId37"/>
    <sheet name="January 2023 NHF)" sheetId="116" r:id="rId38"/>
    <sheet name="PAYE Computation" sheetId="114" r:id="rId39"/>
    <sheet name="Tax adj August, 2022" sheetId="87" r:id="rId40"/>
    <sheet name="Annual Increement" sheetId="78" r:id="rId41"/>
    <sheet name="Enhanced Welfare 2023 (2)" sheetId="110" r:id="rId42"/>
    <sheet name="Enhanced Welfare 2023 (3)" sheetId="113" r:id="rId43"/>
    <sheet name="17.9" sheetId="4" r:id="rId44"/>
    <sheet name="16.7" sheetId="5" r:id="rId45"/>
    <sheet name="15.7.1" sheetId="6" r:id="rId46"/>
    <sheet name="13.7" sheetId="7" r:id="rId47"/>
    <sheet name="12.7" sheetId="8" r:id="rId48"/>
    <sheet name="10.7" sheetId="9" r:id="rId49"/>
    <sheet name="9.7" sheetId="10" r:id="rId50"/>
    <sheet name="8.7" sheetId="11" r:id="rId51"/>
    <sheet name="SUMMARY" sheetId="12" r:id="rId52"/>
    <sheet name="14.7" sheetId="13" r:id="rId53"/>
    <sheet name="15.7" sheetId="23" r:id="rId54"/>
    <sheet name="Basic Salary" sheetId="61" r:id="rId55"/>
    <sheet name="JUNE 2023 (2)" sheetId="122" r:id="rId56"/>
  </sheets>
  <externalReferences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Print_Area" localSheetId="3">'Additional Leg Duty Allowance'!$A$1:$U$19</definedName>
    <definedName name="_xlnm.Print_Area" localSheetId="40">'Annual Increement'!$A$1:$AB$191</definedName>
    <definedName name="_xlnm.Print_Area" localSheetId="20">'CHRISTMAS WELFARE'!$A$1:$E$196</definedName>
    <definedName name="_xlnm.Print_Area" localSheetId="41">'Enhanced Welfare 2023 (2)'!$A$1:$G$193</definedName>
    <definedName name="_xlnm.Print_Area" localSheetId="42">'Enhanced Welfare 2023 (3)'!$A$1:$G$193</definedName>
    <definedName name="_xlnm.Print_Area" localSheetId="18">'ENHANCED WELFARE 2024'!$A$1:$G$196</definedName>
    <definedName name="_xlnm.Print_Area" localSheetId="22">'HALF 2023 (2)'!$A$1:$F$195</definedName>
    <definedName name="_xlnm.Print_Area" localSheetId="37">'January 2023 NHF)'!$A$1:$H$191</definedName>
    <definedName name="_xlnm.Print_Area" localSheetId="36">'January 2023 PAYE'!$A$1:$H$191</definedName>
    <definedName name="_xlnm.Print_Area" localSheetId="55">'JUNE 2023 (2)'!$A$1:$D$190</definedName>
    <definedName name="_xlnm.Print_Area" localSheetId="0">'MAY 2024'!$A$1:$S$196</definedName>
    <definedName name="_xlnm.Print_Area" localSheetId="1">MEMO!$A$1:$H$57</definedName>
    <definedName name="_xlnm.Print_Area" localSheetId="24">'NEW ENROLMENT IN NOVEMBER (2)'!$A$1:$X$14</definedName>
    <definedName name="_xlnm.Print_Area" localSheetId="27">PROMOTIONS!$A$1:$AB$47</definedName>
    <definedName name="_xlnm.Print_Area" localSheetId="19">'PROMOTIONS '!$A$1:$AB$27</definedName>
    <definedName name="_xlnm.Print_Area" localSheetId="25">'Regularisation IN NOVEMBER (3)'!$A$1:$X$16</definedName>
    <definedName name="_xlnm.Print_Area" localSheetId="32">'Sallah Welfare April 2023'!$A$1:$E$190</definedName>
    <definedName name="_xlnm.Print_Area" localSheetId="33">'Sallah Welfare June 2023'!$A$1:$E$192</definedName>
    <definedName name="_xlnm.Print_Area" localSheetId="34">'Sallah Welfare June 2023 Latest'!$A$1:$E$189</definedName>
    <definedName name="_xlnm.Print_Area" localSheetId="8">'Sallah Welfare, April 2024'!$A$1:$E$194</definedName>
    <definedName name="_xlnm.Print_Area" localSheetId="39">'Tax adj August, 2022'!$A$1:$G$202</definedName>
    <definedName name="_xlnm.Print_Area" localSheetId="5">'Upgrade in March'!$A$1:$S$11</definedName>
    <definedName name="_xlnm.Print_Area" localSheetId="29">'Wage Grant'!$A$1:$I$192</definedName>
    <definedName name="_xlnm.Print_Area" localSheetId="30">'Wage Grant (2)'!$A$1:$H$62</definedName>
    <definedName name="_xlnm.Print_Titles" localSheetId="3">'Additional Leg Duty Allowance'!$4:$5</definedName>
    <definedName name="_xlnm.Print_Titles" localSheetId="20">'CHRISTMAS WELFARE'!$4:$5</definedName>
    <definedName name="_xlnm.Print_Titles" localSheetId="41">'Enhanced Welfare 2023 (2)'!$4:$5</definedName>
    <definedName name="_xlnm.Print_Titles" localSheetId="42">'Enhanced Welfare 2023 (3)'!$4:$5</definedName>
    <definedName name="_xlnm.Print_Titles" localSheetId="18">'ENHANCED WELFARE 2024'!$4:$5</definedName>
    <definedName name="_xlnm.Print_Titles" localSheetId="22">'HALF 2023 (2)'!$4:$5</definedName>
    <definedName name="_xlnm.Print_Titles" localSheetId="37">'January 2023 NHF)'!$4:$5</definedName>
    <definedName name="_xlnm.Print_Titles" localSheetId="36">'January 2023 PAYE'!$4:$5</definedName>
    <definedName name="_xlnm.Print_Titles" localSheetId="55">'JUNE 2023 (2)'!$4:$5</definedName>
    <definedName name="_xlnm.Print_Titles" localSheetId="0">'MAY 2024'!$4:$5</definedName>
    <definedName name="_xlnm.Print_Titles" localSheetId="24">'NEW ENROLMENT IN NOVEMBER (2)'!$4:$5</definedName>
    <definedName name="_xlnm.Print_Titles" localSheetId="27">PROMOTIONS!$4:$5</definedName>
    <definedName name="_xlnm.Print_Titles" localSheetId="19">'PROMOTIONS '!$4:$5</definedName>
    <definedName name="_xlnm.Print_Titles" localSheetId="25">'Regularisation IN NOVEMBER (3)'!$4:$5</definedName>
    <definedName name="_xlnm.Print_Titles" localSheetId="32">'Sallah Welfare April 2023'!$4:$5</definedName>
    <definedName name="_xlnm.Print_Titles" localSheetId="33">'Sallah Welfare June 2023'!$4:$5</definedName>
    <definedName name="_xlnm.Print_Titles" localSheetId="34">'Sallah Welfare June 2023 Latest'!$4:$5</definedName>
    <definedName name="_xlnm.Print_Titles" localSheetId="8">'Sallah Welfare, April 2024'!$4:$5</definedName>
    <definedName name="_xlnm.Print_Titles" localSheetId="5">'Upgrade in March'!$4:$5</definedName>
    <definedName name="_xlnm.Print_Titles" localSheetId="29">'Wage Grant'!$5:$5</definedName>
    <definedName name="_xlnm.Print_Titles" localSheetId="30">'Wage Grant (2)'!$5:$5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68" l="1"/>
  <c r="L169" i="1"/>
  <c r="L8" i="1"/>
  <c r="L43" i="1"/>
  <c r="H34" i="68" l="1"/>
  <c r="O77" i="1"/>
  <c r="F82" i="1" l="1"/>
  <c r="E2" i="159"/>
  <c r="D2" i="159"/>
  <c r="F2" i="159" l="1"/>
  <c r="G2" i="159" s="1"/>
  <c r="I2" i="159" s="1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L130" i="1" l="1"/>
  <c r="E3" i="152" l="1"/>
  <c r="E2" i="152"/>
  <c r="D3" i="152"/>
  <c r="D2" i="152"/>
  <c r="D4" i="152" l="1"/>
  <c r="E4" i="152"/>
  <c r="F4" i="152"/>
  <c r="H99" i="156"/>
  <c r="N193" i="1"/>
  <c r="N131" i="1"/>
  <c r="N118" i="1"/>
  <c r="N112" i="1"/>
  <c r="I158" i="156"/>
  <c r="I159" i="156"/>
  <c r="I162" i="156"/>
  <c r="I164" i="156"/>
  <c r="I142" i="156"/>
  <c r="I143" i="156"/>
  <c r="I144" i="156"/>
  <c r="I150" i="156"/>
  <c r="I153" i="156"/>
  <c r="I154" i="156"/>
  <c r="H58" i="156"/>
  <c r="H60" i="156" s="1"/>
  <c r="H35" i="156"/>
  <c r="H38" i="156"/>
  <c r="H39" i="156"/>
  <c r="H40" i="156"/>
  <c r="H55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39" i="156"/>
  <c r="I139" i="156" s="1"/>
  <c r="G142" i="156"/>
  <c r="G143" i="156"/>
  <c r="G144" i="156"/>
  <c r="G147" i="156"/>
  <c r="I147" i="156" s="1"/>
  <c r="G150" i="156"/>
  <c r="G151" i="156"/>
  <c r="I151" i="156" s="1"/>
  <c r="G152" i="156"/>
  <c r="I152" i="156" s="1"/>
  <c r="G153" i="156"/>
  <c r="G154" i="156"/>
  <c r="G156" i="156"/>
  <c r="I156" i="156" s="1"/>
  <c r="G157" i="156"/>
  <c r="I157" i="156" s="1"/>
  <c r="G158" i="156"/>
  <c r="G159" i="156"/>
  <c r="G160" i="156"/>
  <c r="I160" i="156" s="1"/>
  <c r="G161" i="156"/>
  <c r="I161" i="156" s="1"/>
  <c r="G162" i="156"/>
  <c r="G164" i="156"/>
  <c r="G165" i="156"/>
  <c r="I165" i="156" s="1"/>
  <c r="G117" i="156"/>
  <c r="I117" i="156" s="1"/>
  <c r="G13" i="156"/>
  <c r="I13" i="156" s="1"/>
  <c r="F147" i="156"/>
  <c r="F148" i="156"/>
  <c r="G148" i="156" s="1"/>
  <c r="I148" i="156" s="1"/>
  <c r="F125" i="156"/>
  <c r="G125" i="156" s="1"/>
  <c r="I125" i="156" s="1"/>
  <c r="F126" i="156"/>
  <c r="G126" i="156" s="1"/>
  <c r="I126" i="156" s="1"/>
  <c r="F79" i="156"/>
  <c r="G79" i="156" s="1"/>
  <c r="F9" i="156"/>
  <c r="F10" i="156"/>
  <c r="F13" i="156"/>
  <c r="F14" i="156"/>
  <c r="G14" i="156" s="1"/>
  <c r="I14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E12" i="156"/>
  <c r="F12" i="156" s="1"/>
  <c r="G12" i="156" s="1"/>
  <c r="I12" i="156" s="1"/>
  <c r="E11" i="156"/>
  <c r="F11" i="156" s="1"/>
  <c r="H41" i="156" l="1"/>
  <c r="H83" i="156"/>
  <c r="H73" i="156"/>
  <c r="H113" i="156"/>
  <c r="F35" i="156"/>
  <c r="G11" i="156"/>
  <c r="I11" i="156" s="1"/>
  <c r="I93" i="156"/>
  <c r="N92" i="1"/>
  <c r="G99" i="156"/>
  <c r="N98" i="1" s="1"/>
  <c r="I99" i="156" s="1"/>
  <c r="F103" i="156"/>
  <c r="F55" i="156"/>
  <c r="G48" i="156"/>
  <c r="I79" i="156"/>
  <c r="N78" i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F195" i="156" l="1"/>
  <c r="I48" i="156"/>
  <c r="N47" i="1"/>
  <c r="N54" i="1" s="1"/>
  <c r="I87" i="156"/>
  <c r="N86" i="1"/>
  <c r="N95" i="1" s="1"/>
  <c r="H195" i="156"/>
  <c r="G100" i="156"/>
  <c r="I100" i="156" s="1"/>
  <c r="G101" i="156"/>
  <c r="I101" i="156" s="1"/>
  <c r="I103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G32" i="156"/>
  <c r="I32" i="156" s="1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102" i="1"/>
  <c r="G102" i="1"/>
  <c r="I102" i="1"/>
  <c r="K102" i="1"/>
  <c r="N102" i="1"/>
  <c r="P98" i="1"/>
  <c r="P102" i="1" s="1"/>
  <c r="H98" i="1"/>
  <c r="E98" i="1"/>
  <c r="E102" i="1" s="1"/>
  <c r="F9" i="155"/>
  <c r="G9" i="155"/>
  <c r="I9" i="155"/>
  <c r="K9" i="155"/>
  <c r="M9" i="155"/>
  <c r="N9" i="155"/>
  <c r="P9" i="155"/>
  <c r="R9" i="155"/>
  <c r="G93" i="154"/>
  <c r="E8" i="155"/>
  <c r="E9" i="155" s="1"/>
  <c r="G60" i="156" l="1"/>
  <c r="I58" i="156"/>
  <c r="I60" i="156" s="1"/>
  <c r="I83" i="156"/>
  <c r="I96" i="156"/>
  <c r="I113" i="156"/>
  <c r="I195" i="156" s="1"/>
  <c r="I35" i="156"/>
  <c r="I73" i="156"/>
  <c r="I5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L7" i="155"/>
  <c r="L9" i="155" s="1"/>
  <c r="H7" i="155"/>
  <c r="E3" i="155"/>
  <c r="C15" i="154"/>
  <c r="I16" i="1"/>
  <c r="Q7" i="155" l="1"/>
  <c r="J8" i="155"/>
  <c r="H9" i="155"/>
  <c r="J7" i="155"/>
  <c r="M124" i="1"/>
  <c r="M88" i="1"/>
  <c r="M156" i="1"/>
  <c r="M129" i="1"/>
  <c r="J9" i="155" l="1"/>
  <c r="S7" i="155"/>
  <c r="L65" i="1"/>
  <c r="L22" i="1"/>
  <c r="L64" i="1"/>
  <c r="M162" i="1"/>
  <c r="L162" i="1"/>
  <c r="L21" i="1"/>
  <c r="L137" i="1"/>
  <c r="L37" i="1"/>
  <c r="L31" i="1"/>
  <c r="L66" i="1"/>
  <c r="M153" i="1"/>
  <c r="L153" i="1"/>
  <c r="L101" i="1"/>
  <c r="L123" i="1"/>
  <c r="Q15" i="1" l="1"/>
  <c r="Q18" i="1"/>
  <c r="Q23" i="1"/>
  <c r="Q26" i="1"/>
  <c r="Q30" i="1"/>
  <c r="Q31" i="1"/>
  <c r="Q33" i="1"/>
  <c r="I85" i="1" l="1"/>
  <c r="I24" i="1"/>
  <c r="I22" i="1"/>
  <c r="I20" i="1"/>
  <c r="I17" i="1"/>
  <c r="I14" i="1"/>
  <c r="I12" i="1"/>
  <c r="I8" i="1"/>
  <c r="I11" i="1"/>
  <c r="I9" i="1"/>
  <c r="O17" i="153"/>
  <c r="C80" i="154"/>
  <c r="C23" i="154"/>
  <c r="C21" i="154"/>
  <c r="E21" i="154" s="1"/>
  <c r="I21" i="154" s="1"/>
  <c r="L21" i="154" s="1"/>
  <c r="M21" i="154" s="1"/>
  <c r="N21" i="154" s="1"/>
  <c r="C19" i="154"/>
  <c r="C16" i="154"/>
  <c r="E16" i="154" s="1"/>
  <c r="I16" i="154" s="1"/>
  <c r="L16" i="154" s="1"/>
  <c r="M16" i="154" s="1"/>
  <c r="N16" i="154" s="1"/>
  <c r="C13" i="154"/>
  <c r="E13" i="154" s="1"/>
  <c r="C11" i="154"/>
  <c r="C10" i="154"/>
  <c r="C8" i="154"/>
  <c r="E8" i="154" s="1"/>
  <c r="I8" i="154" s="1"/>
  <c r="L8" i="154" s="1"/>
  <c r="M8" i="154" s="1"/>
  <c r="N8" i="154" s="1"/>
  <c r="O8" i="154" s="1"/>
  <c r="C7" i="154"/>
  <c r="E7" i="154" s="1"/>
  <c r="I7" i="154" s="1"/>
  <c r="L7" i="154" s="1"/>
  <c r="M7" i="154" s="1"/>
  <c r="N7" i="154" s="1"/>
  <c r="O7" i="154" s="1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E167" i="154"/>
  <c r="I167" i="154" s="1"/>
  <c r="L167" i="154" s="1"/>
  <c r="M167" i="154" s="1"/>
  <c r="N167" i="154" s="1"/>
  <c r="O167" i="154" s="1"/>
  <c r="S167" i="154" s="1"/>
  <c r="E166" i="154"/>
  <c r="E165" i="154"/>
  <c r="I165" i="154" s="1"/>
  <c r="L165" i="154" s="1"/>
  <c r="M165" i="154" s="1"/>
  <c r="N165" i="154" s="1"/>
  <c r="O165" i="154" s="1"/>
  <c r="E164" i="154"/>
  <c r="E163" i="154"/>
  <c r="I163" i="154" s="1"/>
  <c r="L163" i="154" s="1"/>
  <c r="M163" i="154" s="1"/>
  <c r="N163" i="154" s="1"/>
  <c r="O163" i="154" s="1"/>
  <c r="S163" i="154" s="1"/>
  <c r="E162" i="154"/>
  <c r="I161" i="154"/>
  <c r="L161" i="154" s="1"/>
  <c r="M161" i="154" s="1"/>
  <c r="N161" i="154" s="1"/>
  <c r="O161" i="154" s="1"/>
  <c r="E161" i="154"/>
  <c r="F160" i="154"/>
  <c r="E160" i="154"/>
  <c r="I159" i="154"/>
  <c r="L159" i="154" s="1"/>
  <c r="M159" i="154" s="1"/>
  <c r="N159" i="154" s="1"/>
  <c r="E159" i="154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I151" i="154"/>
  <c r="L151" i="154" s="1"/>
  <c r="M151" i="154" s="1"/>
  <c r="N151" i="154" s="1"/>
  <c r="O151" i="154" s="1"/>
  <c r="T151" i="154" s="1"/>
  <c r="E151" i="154"/>
  <c r="E150" i="154"/>
  <c r="F149" i="154"/>
  <c r="E149" i="154"/>
  <c r="N148" i="154"/>
  <c r="O148" i="154" s="1"/>
  <c r="S148" i="154" s="1"/>
  <c r="E148" i="154"/>
  <c r="I148" i="154" s="1"/>
  <c r="L148" i="154" s="1"/>
  <c r="M148" i="154" s="1"/>
  <c r="E147" i="154"/>
  <c r="I146" i="154"/>
  <c r="L146" i="154" s="1"/>
  <c r="M146" i="154" s="1"/>
  <c r="N146" i="154" s="1"/>
  <c r="O146" i="154" s="1"/>
  <c r="E146" i="154"/>
  <c r="E145" i="154"/>
  <c r="I144" i="154"/>
  <c r="L144" i="154" s="1"/>
  <c r="M144" i="154" s="1"/>
  <c r="N144" i="154" s="1"/>
  <c r="O144" i="154" s="1"/>
  <c r="E144" i="154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E138" i="154"/>
  <c r="I138" i="154" s="1"/>
  <c r="L138" i="154" s="1"/>
  <c r="M138" i="154" s="1"/>
  <c r="N138" i="154" s="1"/>
  <c r="O138" i="154" s="1"/>
  <c r="E137" i="154"/>
  <c r="E136" i="154"/>
  <c r="F135" i="154"/>
  <c r="E135" i="154"/>
  <c r="I134" i="154"/>
  <c r="L134" i="154" s="1"/>
  <c r="M134" i="154" s="1"/>
  <c r="N134" i="154" s="1"/>
  <c r="F134" i="154"/>
  <c r="E134" i="154"/>
  <c r="F133" i="154"/>
  <c r="E133" i="154"/>
  <c r="F132" i="154"/>
  <c r="N132" i="154" s="1"/>
  <c r="O132" i="154" s="1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E129" i="154"/>
  <c r="I129" i="154" s="1"/>
  <c r="L129" i="154" s="1"/>
  <c r="M129" i="154" s="1"/>
  <c r="N129" i="154" s="1"/>
  <c r="O129" i="154" s="1"/>
  <c r="T129" i="154" s="1"/>
  <c r="E125" i="154"/>
  <c r="I125" i="154" s="1"/>
  <c r="L125" i="154" s="1"/>
  <c r="M125" i="154" s="1"/>
  <c r="N125" i="154" s="1"/>
  <c r="O125" i="154" s="1"/>
  <c r="S125" i="154" s="1"/>
  <c r="E124" i="154"/>
  <c r="I124" i="154" s="1"/>
  <c r="L124" i="154" s="1"/>
  <c r="M124" i="154" s="1"/>
  <c r="N124" i="154" s="1"/>
  <c r="O124" i="154" s="1"/>
  <c r="E123" i="154"/>
  <c r="I123" i="154" s="1"/>
  <c r="L123" i="154" s="1"/>
  <c r="M123" i="154" s="1"/>
  <c r="N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I119" i="154"/>
  <c r="L119" i="154" s="1"/>
  <c r="M119" i="154" s="1"/>
  <c r="N119" i="154" s="1"/>
  <c r="E119" i="154"/>
  <c r="F118" i="154"/>
  <c r="E118" i="154"/>
  <c r="I118" i="154" s="1"/>
  <c r="L118" i="154" s="1"/>
  <c r="M118" i="154" s="1"/>
  <c r="N118" i="154" s="1"/>
  <c r="O118" i="154" s="1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E110" i="154"/>
  <c r="E106" i="154"/>
  <c r="I106" i="154" s="1"/>
  <c r="L106" i="154" s="1"/>
  <c r="M106" i="154" s="1"/>
  <c r="N106" i="154" s="1"/>
  <c r="O106" i="154" s="1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I103" i="154"/>
  <c r="L103" i="154" s="1"/>
  <c r="M103" i="154" s="1"/>
  <c r="N103" i="154" s="1"/>
  <c r="O103" i="154" s="1"/>
  <c r="S103" i="154" s="1"/>
  <c r="E103" i="154"/>
  <c r="F102" i="154"/>
  <c r="E102" i="154"/>
  <c r="F101" i="154"/>
  <c r="I101" i="154" s="1"/>
  <c r="L101" i="154" s="1"/>
  <c r="M101" i="154" s="1"/>
  <c r="E101" i="154"/>
  <c r="E100" i="154"/>
  <c r="I100" i="154" s="1"/>
  <c r="L100" i="154" s="1"/>
  <c r="M100" i="154" s="1"/>
  <c r="N100" i="154" s="1"/>
  <c r="O100" i="154" s="1"/>
  <c r="E96" i="154"/>
  <c r="I96" i="154" s="1"/>
  <c r="L96" i="154" s="1"/>
  <c r="M96" i="154" s="1"/>
  <c r="N96" i="154" s="1"/>
  <c r="E95" i="154"/>
  <c r="I95" i="154" s="1"/>
  <c r="L95" i="154" s="1"/>
  <c r="M95" i="154" s="1"/>
  <c r="N95" i="154" s="1"/>
  <c r="O95" i="154" s="1"/>
  <c r="E94" i="154"/>
  <c r="I94" i="154" s="1"/>
  <c r="L94" i="154" s="1"/>
  <c r="M94" i="154" s="1"/>
  <c r="N94" i="154" s="1"/>
  <c r="O94" i="154" s="1"/>
  <c r="F93" i="154"/>
  <c r="E93" i="154"/>
  <c r="I89" i="154"/>
  <c r="L89" i="154" s="1"/>
  <c r="M89" i="154" s="1"/>
  <c r="N89" i="154" s="1"/>
  <c r="O89" i="154" s="1"/>
  <c r="E89" i="154"/>
  <c r="I88" i="154"/>
  <c r="L88" i="154" s="1"/>
  <c r="M88" i="154" s="1"/>
  <c r="N88" i="154" s="1"/>
  <c r="E88" i="154"/>
  <c r="F87" i="154"/>
  <c r="E87" i="154"/>
  <c r="G86" i="154"/>
  <c r="E86" i="154"/>
  <c r="I86" i="154" s="1"/>
  <c r="L86" i="154" s="1"/>
  <c r="M86" i="154" s="1"/>
  <c r="N86" i="154" s="1"/>
  <c r="O86" i="154" s="1"/>
  <c r="P86" i="154" s="1"/>
  <c r="E85" i="154"/>
  <c r="E84" i="154"/>
  <c r="E83" i="154"/>
  <c r="E82" i="154"/>
  <c r="F81" i="154"/>
  <c r="E81" i="154"/>
  <c r="E80" i="154"/>
  <c r="L76" i="154"/>
  <c r="M76" i="154" s="1"/>
  <c r="N76" i="154" s="1"/>
  <c r="E76" i="154"/>
  <c r="I76" i="154" s="1"/>
  <c r="I75" i="154"/>
  <c r="L75" i="154" s="1"/>
  <c r="M75" i="154" s="1"/>
  <c r="N75" i="154" s="1"/>
  <c r="O75" i="154" s="1"/>
  <c r="E75" i="154"/>
  <c r="I74" i="154"/>
  <c r="L74" i="154" s="1"/>
  <c r="M74" i="154" s="1"/>
  <c r="N74" i="154" s="1"/>
  <c r="O74" i="154" s="1"/>
  <c r="U74" i="154" s="1"/>
  <c r="E74" i="154"/>
  <c r="F73" i="154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E53" i="154"/>
  <c r="E50" i="154"/>
  <c r="E49" i="154"/>
  <c r="I49" i="154" s="1"/>
  <c r="L49" i="154" s="1"/>
  <c r="M49" i="154" s="1"/>
  <c r="N49" i="154" s="1"/>
  <c r="O49" i="154" s="1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E44" i="154"/>
  <c r="E43" i="154"/>
  <c r="E42" i="154"/>
  <c r="E41" i="154"/>
  <c r="I41" i="154" s="1"/>
  <c r="L41" i="154" s="1"/>
  <c r="M41" i="154" s="1"/>
  <c r="N41" i="154" s="1"/>
  <c r="I40" i="154"/>
  <c r="L40" i="154" s="1"/>
  <c r="M40" i="154" s="1"/>
  <c r="N40" i="154" s="1"/>
  <c r="E40" i="154"/>
  <c r="E37" i="154"/>
  <c r="E36" i="154"/>
  <c r="E35" i="154"/>
  <c r="G32" i="154"/>
  <c r="E32" i="154"/>
  <c r="I32" i="154" s="1"/>
  <c r="L32" i="154" s="1"/>
  <c r="M32" i="154" s="1"/>
  <c r="I31" i="154"/>
  <c r="L31" i="154" s="1"/>
  <c r="M31" i="154" s="1"/>
  <c r="N31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E27" i="154"/>
  <c r="I27" i="154" s="1"/>
  <c r="L27" i="154" s="1"/>
  <c r="M27" i="154" s="1"/>
  <c r="N27" i="154" s="1"/>
  <c r="O27" i="154" s="1"/>
  <c r="E26" i="154"/>
  <c r="I26" i="154" s="1"/>
  <c r="L26" i="154" s="1"/>
  <c r="M26" i="154" s="1"/>
  <c r="N26" i="154" s="1"/>
  <c r="E25" i="154"/>
  <c r="E24" i="154"/>
  <c r="I24" i="154" s="1"/>
  <c r="L24" i="154" s="1"/>
  <c r="M24" i="154" s="1"/>
  <c r="N24" i="154" s="1"/>
  <c r="E23" i="154"/>
  <c r="E22" i="154"/>
  <c r="E20" i="154"/>
  <c r="I20" i="154" s="1"/>
  <c r="L20" i="154" s="1"/>
  <c r="M20" i="154" s="1"/>
  <c r="N20" i="154" s="1"/>
  <c r="F19" i="154"/>
  <c r="E19" i="154"/>
  <c r="E18" i="154"/>
  <c r="I18" i="154" s="1"/>
  <c r="L18" i="154" s="1"/>
  <c r="M18" i="154" s="1"/>
  <c r="N18" i="154" s="1"/>
  <c r="E17" i="154"/>
  <c r="I17" i="154" s="1"/>
  <c r="L17" i="154" s="1"/>
  <c r="M17" i="154" s="1"/>
  <c r="N17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134" i="154" l="1"/>
  <c r="O171" i="154"/>
  <c r="Q171" i="154" s="1"/>
  <c r="O48" i="154"/>
  <c r="R48" i="154" s="1"/>
  <c r="O45" i="154"/>
  <c r="T45" i="154" s="1"/>
  <c r="I48" i="154"/>
  <c r="L48" i="154" s="1"/>
  <c r="M48" i="154" s="1"/>
  <c r="N48" i="154" s="1"/>
  <c r="P151" i="154"/>
  <c r="V151" i="154" s="1"/>
  <c r="X151" i="154" s="1"/>
  <c r="Z151" i="154" s="1"/>
  <c r="AB151" i="154" s="1"/>
  <c r="I12" i="154"/>
  <c r="L12" i="154" s="1"/>
  <c r="M12" i="154" s="1"/>
  <c r="N12" i="154" s="1"/>
  <c r="O12" i="154" s="1"/>
  <c r="G188" i="154"/>
  <c r="G189" i="154" s="1"/>
  <c r="O53" i="154"/>
  <c r="S53" i="154" s="1"/>
  <c r="I73" i="154"/>
  <c r="L73" i="154" s="1"/>
  <c r="M73" i="154" s="1"/>
  <c r="N73" i="154" s="1"/>
  <c r="O73" i="154" s="1"/>
  <c r="T73" i="154" s="1"/>
  <c r="I87" i="154"/>
  <c r="L87" i="154" s="1"/>
  <c r="M87" i="154" s="1"/>
  <c r="N87" i="154" s="1"/>
  <c r="O87" i="154" s="1"/>
  <c r="Q87" i="154" s="1"/>
  <c r="I160" i="154"/>
  <c r="L160" i="154" s="1"/>
  <c r="M160" i="154" s="1"/>
  <c r="I171" i="154"/>
  <c r="L171" i="154" s="1"/>
  <c r="M171" i="154" s="1"/>
  <c r="N171" i="154" s="1"/>
  <c r="O31" i="154"/>
  <c r="T31" i="154" s="1"/>
  <c r="I44" i="154"/>
  <c r="L44" i="154" s="1"/>
  <c r="M44" i="154" s="1"/>
  <c r="N44" i="154" s="1"/>
  <c r="O44" i="154" s="1"/>
  <c r="I53" i="154"/>
  <c r="L53" i="154" s="1"/>
  <c r="M53" i="154" s="1"/>
  <c r="N53" i="154" s="1"/>
  <c r="O88" i="154"/>
  <c r="O105" i="154"/>
  <c r="T105" i="154" s="1"/>
  <c r="I110" i="154"/>
  <c r="L110" i="154" s="1"/>
  <c r="M110" i="154" s="1"/>
  <c r="N110" i="154" s="1"/>
  <c r="O110" i="154" s="1"/>
  <c r="I135" i="154"/>
  <c r="L135" i="154" s="1"/>
  <c r="M135" i="154" s="1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S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S31" i="154"/>
  <c r="R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I58" i="154"/>
  <c r="L58" i="154" s="1"/>
  <c r="M58" i="154" s="1"/>
  <c r="N58" i="154" s="1"/>
  <c r="O58" i="154" s="1"/>
  <c r="R74" i="154"/>
  <c r="T74" i="154"/>
  <c r="S74" i="154"/>
  <c r="Q74" i="154"/>
  <c r="P74" i="154"/>
  <c r="R49" i="154"/>
  <c r="S49" i="154"/>
  <c r="Q49" i="154"/>
  <c r="P53" i="154"/>
  <c r="T53" i="154"/>
  <c r="U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P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U73" i="154"/>
  <c r="S73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P105" i="154"/>
  <c r="Q105" i="154"/>
  <c r="S105" i="154"/>
  <c r="R105" i="154"/>
  <c r="Q138" i="154"/>
  <c r="P138" i="154"/>
  <c r="U138" i="154"/>
  <c r="T138" i="154"/>
  <c r="S138" i="154"/>
  <c r="R13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 s="1"/>
  <c r="I85" i="154"/>
  <c r="L85" i="154" s="1"/>
  <c r="M85" i="154" s="1"/>
  <c r="N85" i="154" s="1"/>
  <c r="O85" i="154" s="1"/>
  <c r="O111" i="154"/>
  <c r="Q129" i="154"/>
  <c r="R134" i="154"/>
  <c r="Q134" i="154"/>
  <c r="P134" i="154"/>
  <c r="N140" i="154"/>
  <c r="O140" i="154" s="1"/>
  <c r="T171" i="154"/>
  <c r="S171" i="154"/>
  <c r="R171" i="154"/>
  <c r="P171" i="154"/>
  <c r="I122" i="154"/>
  <c r="L122" i="154" s="1"/>
  <c r="M122" i="154" s="1"/>
  <c r="N122" i="154" s="1"/>
  <c r="O122" i="154" s="1"/>
  <c r="T125" i="154"/>
  <c r="Q125" i="154"/>
  <c r="R125" i="154"/>
  <c r="P125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49" i="154" l="1"/>
  <c r="R149" i="154"/>
  <c r="P149" i="154"/>
  <c r="V149" i="154" s="1"/>
  <c r="X149" i="154" s="1"/>
  <c r="Z149" i="154" s="1"/>
  <c r="AB149" i="154" s="1"/>
  <c r="S149" i="154"/>
  <c r="T149" i="154"/>
  <c r="V171" i="154"/>
  <c r="X171" i="154" s="1"/>
  <c r="Z171" i="154" s="1"/>
  <c r="AB171" i="154" s="1"/>
  <c r="V86" i="154"/>
  <c r="X86" i="154" s="1"/>
  <c r="Z86" i="154" s="1"/>
  <c r="AB86" i="154" s="1"/>
  <c r="S87" i="154"/>
  <c r="V87" i="154" s="1"/>
  <c r="X87" i="154" s="1"/>
  <c r="Z87" i="154" s="1"/>
  <c r="AB87" i="154" s="1"/>
  <c r="R87" i="154"/>
  <c r="V6" i="154"/>
  <c r="T48" i="154"/>
  <c r="Q48" i="154"/>
  <c r="V138" i="154"/>
  <c r="X138" i="154" s="1"/>
  <c r="Z138" i="154" s="1"/>
  <c r="AB138" i="154" s="1"/>
  <c r="P73" i="154"/>
  <c r="R73" i="154"/>
  <c r="V73" i="154" s="1"/>
  <c r="X73" i="154" s="1"/>
  <c r="Z73" i="154" s="1"/>
  <c r="AB73" i="154" s="1"/>
  <c r="U87" i="154"/>
  <c r="V120" i="154"/>
  <c r="X120" i="154" s="1"/>
  <c r="Z120" i="154" s="1"/>
  <c r="AB120" i="154" s="1"/>
  <c r="Q31" i="154"/>
  <c r="P48" i="154"/>
  <c r="V29" i="154"/>
  <c r="X29" i="154" s="1"/>
  <c r="Z29" i="154" s="1"/>
  <c r="AB29" i="154" s="1"/>
  <c r="V125" i="154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V130" i="154"/>
  <c r="X130" i="154" s="1"/>
  <c r="Z130" i="154" s="1"/>
  <c r="AB130" i="154" s="1"/>
  <c r="Q73" i="154"/>
  <c r="T87" i="154"/>
  <c r="V74" i="154"/>
  <c r="X74" i="154" s="1"/>
  <c r="Z74" i="154" s="1"/>
  <c r="AB74" i="154" s="1"/>
  <c r="P31" i="154"/>
  <c r="U134" i="154"/>
  <c r="T134" i="154"/>
  <c r="S134" i="154"/>
  <c r="V134" i="154" s="1"/>
  <c r="X134" i="154" s="1"/>
  <c r="Z134" i="154" s="1"/>
  <c r="AB134" i="154" s="1"/>
  <c r="Q10" i="154"/>
  <c r="P10" i="154"/>
  <c r="R10" i="154"/>
  <c r="S10" i="154"/>
  <c r="Q93" i="154"/>
  <c r="U93" i="154"/>
  <c r="T93" i="154"/>
  <c r="S93" i="154"/>
  <c r="P93" i="154"/>
  <c r="R93" i="154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I72" i="154"/>
  <c r="L72" i="154" s="1"/>
  <c r="M72" i="154" s="1"/>
  <c r="N72" i="154" s="1"/>
  <c r="O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V170" i="154" l="1"/>
  <c r="X170" i="154" s="1"/>
  <c r="Z170" i="154" s="1"/>
  <c r="AB170" i="154" s="1"/>
  <c r="V83" i="154"/>
  <c r="X83" i="154" s="1"/>
  <c r="Z83" i="154" s="1"/>
  <c r="AB83" i="154" s="1"/>
  <c r="V17" i="154"/>
  <c r="X17" i="154" s="1"/>
  <c r="Z17" i="154" s="1"/>
  <c r="AB17" i="154" s="1"/>
  <c r="V117" i="154"/>
  <c r="X117" i="154" s="1"/>
  <c r="Z117" i="154" s="1"/>
  <c r="AB117" i="154" s="1"/>
  <c r="V140" i="154"/>
  <c r="X140" i="154" s="1"/>
  <c r="Z140" i="154" s="1"/>
  <c r="AB140" i="154" s="1"/>
  <c r="AB8" i="154"/>
  <c r="P8" i="153"/>
  <c r="V30" i="154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AB7" i="154"/>
  <c r="P7" i="153"/>
  <c r="V152" i="154"/>
  <c r="X152" i="154" s="1"/>
  <c r="Z152" i="154" s="1"/>
  <c r="AB152" i="154" s="1"/>
  <c r="V139" i="154"/>
  <c r="X139" i="154" s="1"/>
  <c r="Z139" i="154" s="1"/>
  <c r="AB139" i="154" s="1"/>
  <c r="V182" i="154"/>
  <c r="X182" i="154" s="1"/>
  <c r="Z182" i="154" s="1"/>
  <c r="AB182" i="154" s="1"/>
  <c r="V136" i="154"/>
  <c r="X136" i="154" s="1"/>
  <c r="Z136" i="154" s="1"/>
  <c r="AB136" i="154" s="1"/>
  <c r="V42" i="154"/>
  <c r="X42" i="154" s="1"/>
  <c r="Z42" i="154" s="1"/>
  <c r="AB42" i="154" s="1"/>
  <c r="V84" i="154"/>
  <c r="X84" i="154" s="1"/>
  <c r="Z84" i="154" s="1"/>
  <c r="AB84" i="154" s="1"/>
  <c r="V96" i="154"/>
  <c r="X96" i="154" s="1"/>
  <c r="Z96" i="154" s="1"/>
  <c r="AB96" i="154" s="1"/>
  <c r="AB11" i="154"/>
  <c r="P10" i="153"/>
  <c r="V93" i="154"/>
  <c r="X93" i="154" s="1"/>
  <c r="Z93" i="154" s="1"/>
  <c r="V10" i="154"/>
  <c r="X10" i="154" s="1"/>
  <c r="Z10" i="154" s="1"/>
  <c r="P9" i="153" s="1"/>
  <c r="AB93" i="154"/>
  <c r="O8" i="155"/>
  <c r="O98" i="1"/>
  <c r="O102" i="1" s="1"/>
  <c r="V9" i="154"/>
  <c r="X9" i="154" s="1"/>
  <c r="Z9" i="154" s="1"/>
  <c r="AB9" i="154" s="1"/>
  <c r="AB10" i="154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19" i="154" l="1"/>
  <c r="P14" i="153"/>
  <c r="O9" i="1"/>
  <c r="Q9" i="1" s="1"/>
  <c r="Q8" i="153"/>
  <c r="AB21" i="154"/>
  <c r="P15" i="153"/>
  <c r="AB16" i="154"/>
  <c r="P13" i="153"/>
  <c r="V72" i="154"/>
  <c r="X72" i="154" s="1"/>
  <c r="Z72" i="154" s="1"/>
  <c r="AB72" i="154" s="1"/>
  <c r="Q7" i="153"/>
  <c r="O8" i="1"/>
  <c r="Q8" i="1" s="1"/>
  <c r="AB23" i="154"/>
  <c r="P16" i="153"/>
  <c r="AB80" i="154"/>
  <c r="P11" i="153"/>
  <c r="O12" i="1"/>
  <c r="Q10" i="153"/>
  <c r="O9" i="155"/>
  <c r="Q8" i="155"/>
  <c r="Q9" i="153"/>
  <c r="O11" i="1"/>
  <c r="AB13" i="154"/>
  <c r="P12" i="153"/>
  <c r="Z188" i="154"/>
  <c r="AB6" i="154"/>
  <c r="X188" i="154"/>
  <c r="V188" i="154"/>
  <c r="V189" i="154" s="1"/>
  <c r="Q11" i="153" l="1"/>
  <c r="O85" i="1"/>
  <c r="O95" i="1" s="1"/>
  <c r="O20" i="1"/>
  <c r="Q14" i="153"/>
  <c r="Q13" i="153"/>
  <c r="O17" i="1"/>
  <c r="Q17" i="1" s="1"/>
  <c r="O22" i="1"/>
  <c r="Q22" i="1" s="1"/>
  <c r="Q15" i="153"/>
  <c r="O24" i="1"/>
  <c r="Q24" i="1" s="1"/>
  <c r="Q16" i="153"/>
  <c r="S8" i="155"/>
  <c r="Q9" i="155"/>
  <c r="O14" i="1"/>
  <c r="Q14" i="1" s="1"/>
  <c r="Q12" i="153"/>
  <c r="Q17" i="153" s="1"/>
  <c r="P17" i="153"/>
  <c r="T8" i="155" l="1"/>
  <c r="S9" i="155"/>
  <c r="Y10" i="150" l="1"/>
  <c r="F40" i="1" l="1"/>
  <c r="F34" i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E191" i="151" s="1"/>
  <c r="C191" i="151"/>
  <c r="D190" i="151"/>
  <c r="E190" i="151" s="1"/>
  <c r="C190" i="151"/>
  <c r="D189" i="151"/>
  <c r="E189" i="151" s="1"/>
  <c r="C189" i="151"/>
  <c r="D184" i="151"/>
  <c r="H184" i="151" s="1"/>
  <c r="H183" i="151"/>
  <c r="D183" i="151"/>
  <c r="D182" i="151"/>
  <c r="H182" i="151" s="1"/>
  <c r="F181" i="151"/>
  <c r="D181" i="15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H167" i="151" s="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7" i="151"/>
  <c r="G46" i="151"/>
  <c r="F46" i="15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H41" i="151"/>
  <c r="G41" i="151"/>
  <c r="G40" i="151"/>
  <c r="F40" i="151"/>
  <c r="G39" i="151"/>
  <c r="D39" i="15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6" i="151" s="1"/>
  <c r="H35" i="151"/>
  <c r="G34" i="151"/>
  <c r="F34" i="15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5" i="151"/>
  <c r="G14" i="151"/>
  <c r="D14" i="151"/>
  <c r="H13" i="151"/>
  <c r="G12" i="151"/>
  <c r="H12" i="151" s="1"/>
  <c r="H11" i="151"/>
  <c r="G10" i="151"/>
  <c r="D10" i="15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D185" i="151" s="1"/>
  <c r="E196" i="151" l="1"/>
  <c r="G185" i="151"/>
  <c r="H40" i="151"/>
  <c r="H52" i="151"/>
  <c r="H71" i="151"/>
  <c r="H112" i="151"/>
  <c r="H132" i="151"/>
  <c r="H141" i="151"/>
  <c r="H10" i="151"/>
  <c r="H16" i="151"/>
  <c r="H34" i="151"/>
  <c r="H39" i="151"/>
  <c r="H48" i="151"/>
  <c r="H60" i="151"/>
  <c r="H75" i="151"/>
  <c r="H96" i="151"/>
  <c r="H114" i="151"/>
  <c r="H118" i="151"/>
  <c r="H152" i="151"/>
  <c r="H166" i="151"/>
  <c r="D224" i="151"/>
  <c r="E226" i="151"/>
  <c r="F185" i="151"/>
  <c r="F226" i="151" s="1"/>
  <c r="H100" i="151"/>
  <c r="H14" i="151"/>
  <c r="H46" i="151"/>
  <c r="H50" i="151"/>
  <c r="H58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H215" i="151"/>
  <c r="E205" i="151"/>
  <c r="E206" i="151" s="1"/>
  <c r="D186" i="151"/>
  <c r="D226" i="151"/>
  <c r="G224" i="151"/>
  <c r="G226" i="151" s="1"/>
  <c r="H5" i="151"/>
  <c r="H212" i="151"/>
  <c r="H224" i="151" s="1"/>
  <c r="H185" i="151" l="1"/>
  <c r="H226" i="151"/>
  <c r="N82" i="1" l="1"/>
  <c r="O82" i="1"/>
  <c r="C72" i="147"/>
  <c r="C188" i="147" s="1"/>
  <c r="M193" i="149"/>
  <c r="W9" i="150"/>
  <c r="X8" i="150"/>
  <c r="N8" i="150"/>
  <c r="H8" i="150"/>
  <c r="G8" i="150"/>
  <c r="E8" i="150"/>
  <c r="K8" i="150" s="1"/>
  <c r="T7" i="150"/>
  <c r="X7" i="150" s="1"/>
  <c r="O7" i="150"/>
  <c r="N7" i="150"/>
  <c r="J7" i="150"/>
  <c r="H7" i="150"/>
  <c r="E7" i="150"/>
  <c r="L7" i="150" s="1"/>
  <c r="L3" i="150"/>
  <c r="E3" i="150"/>
  <c r="L1" i="150"/>
  <c r="K23" i="149"/>
  <c r="K34" i="149" s="1"/>
  <c r="K194" i="149" s="1"/>
  <c r="Q135" i="149"/>
  <c r="Q138" i="149"/>
  <c r="Q143" i="149"/>
  <c r="Q146" i="149"/>
  <c r="Q162" i="149"/>
  <c r="Q167" i="149"/>
  <c r="Q170" i="149"/>
  <c r="Q186" i="149"/>
  <c r="Q190" i="149"/>
  <c r="Q126" i="149"/>
  <c r="Q129" i="149"/>
  <c r="Q130" i="149"/>
  <c r="Q99" i="149"/>
  <c r="Q86" i="149"/>
  <c r="Q89" i="149"/>
  <c r="Q81" i="149"/>
  <c r="Q71" i="149"/>
  <c r="Q46" i="149"/>
  <c r="Q47" i="149"/>
  <c r="Q11" i="149"/>
  <c r="Q19" i="149"/>
  <c r="Q24" i="149"/>
  <c r="Q32" i="149"/>
  <c r="C194" i="149"/>
  <c r="G193" i="149"/>
  <c r="F193" i="149"/>
  <c r="E193" i="149"/>
  <c r="O192" i="149"/>
  <c r="J192" i="149"/>
  <c r="L192" i="149" s="1"/>
  <c r="H192" i="149"/>
  <c r="O191" i="149"/>
  <c r="J191" i="149"/>
  <c r="L191" i="149" s="1"/>
  <c r="Q191" i="149" s="1"/>
  <c r="H191" i="149"/>
  <c r="O190" i="149"/>
  <c r="J190" i="149"/>
  <c r="L190" i="149" s="1"/>
  <c r="O189" i="149"/>
  <c r="L189" i="149"/>
  <c r="J189" i="149"/>
  <c r="O188" i="149"/>
  <c r="L188" i="149"/>
  <c r="Q188" i="149" s="1"/>
  <c r="J188" i="149"/>
  <c r="O187" i="149"/>
  <c r="I187" i="149"/>
  <c r="H187" i="149"/>
  <c r="J187" i="149" s="1"/>
  <c r="L187" i="149" s="1"/>
  <c r="Q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J184" i="149"/>
  <c r="L184" i="149" s="1"/>
  <c r="Q184" i="149" s="1"/>
  <c r="O183" i="149"/>
  <c r="Q183" i="149" s="1"/>
  <c r="I183" i="149"/>
  <c r="H183" i="149"/>
  <c r="J183" i="149" s="1"/>
  <c r="L183" i="149" s="1"/>
  <c r="O182" i="149"/>
  <c r="I182" i="149"/>
  <c r="J182" i="149" s="1"/>
  <c r="L182" i="149" s="1"/>
  <c r="Q182" i="149" s="1"/>
  <c r="H182" i="149"/>
  <c r="O181" i="149"/>
  <c r="I181" i="149"/>
  <c r="J181" i="149" s="1"/>
  <c r="L181" i="149" s="1"/>
  <c r="Q181" i="149" s="1"/>
  <c r="H181" i="149"/>
  <c r="O180" i="149"/>
  <c r="I180" i="149"/>
  <c r="H180" i="149"/>
  <c r="J180" i="149" s="1"/>
  <c r="L180" i="149" s="1"/>
  <c r="Q180" i="149" s="1"/>
  <c r="O179" i="149"/>
  <c r="I179" i="149"/>
  <c r="H179" i="149"/>
  <c r="J179" i="149" s="1"/>
  <c r="L179" i="149" s="1"/>
  <c r="Q179" i="149" s="1"/>
  <c r="O178" i="149"/>
  <c r="Q178" i="149" s="1"/>
  <c r="I178" i="149"/>
  <c r="H178" i="149"/>
  <c r="J178" i="149" s="1"/>
  <c r="L178" i="149" s="1"/>
  <c r="O177" i="149"/>
  <c r="J177" i="149"/>
  <c r="L177" i="149" s="1"/>
  <c r="Q177" i="149" s="1"/>
  <c r="I177" i="149"/>
  <c r="H177" i="149"/>
  <c r="O176" i="149"/>
  <c r="L176" i="149"/>
  <c r="Q176" i="149" s="1"/>
  <c r="I176" i="149"/>
  <c r="H176" i="149"/>
  <c r="J176" i="149" s="1"/>
  <c r="O175" i="149"/>
  <c r="Q175" i="149" s="1"/>
  <c r="I175" i="149"/>
  <c r="H175" i="149"/>
  <c r="J175" i="149" s="1"/>
  <c r="L175" i="149" s="1"/>
  <c r="O174" i="149"/>
  <c r="I174" i="149"/>
  <c r="J174" i="149" s="1"/>
  <c r="L174" i="149" s="1"/>
  <c r="Q174" i="149" s="1"/>
  <c r="H174" i="149"/>
  <c r="O173" i="149"/>
  <c r="I173" i="149"/>
  <c r="J173" i="149" s="1"/>
  <c r="L173" i="149" s="1"/>
  <c r="Q173" i="149" s="1"/>
  <c r="H173" i="149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Q171" i="149" s="1"/>
  <c r="O170" i="149"/>
  <c r="I170" i="149"/>
  <c r="H170" i="149"/>
  <c r="J170" i="149" s="1"/>
  <c r="L170" i="149" s="1"/>
  <c r="O169" i="149"/>
  <c r="J169" i="149"/>
  <c r="L169" i="149" s="1"/>
  <c r="Q169" i="149" s="1"/>
  <c r="I169" i="149"/>
  <c r="H169" i="149"/>
  <c r="O168" i="149"/>
  <c r="L168" i="149"/>
  <c r="Q168" i="149" s="1"/>
  <c r="I168" i="149"/>
  <c r="H168" i="149"/>
  <c r="J168" i="149" s="1"/>
  <c r="O167" i="149"/>
  <c r="I167" i="149"/>
  <c r="H167" i="149"/>
  <c r="J167" i="149" s="1"/>
  <c r="L167" i="149" s="1"/>
  <c r="O166" i="149"/>
  <c r="I166" i="149"/>
  <c r="J166" i="149" s="1"/>
  <c r="L166" i="149" s="1"/>
  <c r="Q166" i="149" s="1"/>
  <c r="H166" i="149"/>
  <c r="O165" i="149"/>
  <c r="I165" i="149"/>
  <c r="J165" i="149" s="1"/>
  <c r="L165" i="149" s="1"/>
  <c r="Q165" i="149" s="1"/>
  <c r="H165" i="149"/>
  <c r="O164" i="149"/>
  <c r="I164" i="149"/>
  <c r="H164" i="149"/>
  <c r="J164" i="149" s="1"/>
  <c r="L164" i="149" s="1"/>
  <c r="Q164" i="149" s="1"/>
  <c r="O163" i="149"/>
  <c r="I163" i="149"/>
  <c r="H163" i="149"/>
  <c r="J163" i="149" s="1"/>
  <c r="L163" i="149" s="1"/>
  <c r="Q163" i="149" s="1"/>
  <c r="O162" i="149"/>
  <c r="I162" i="149"/>
  <c r="H162" i="149"/>
  <c r="J162" i="149" s="1"/>
  <c r="L162" i="149" s="1"/>
  <c r="O161" i="149"/>
  <c r="J161" i="149"/>
  <c r="L161" i="149" s="1"/>
  <c r="Q161" i="149" s="1"/>
  <c r="H161" i="149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H158" i="149"/>
  <c r="J158" i="149" s="1"/>
  <c r="L158" i="149" s="1"/>
  <c r="Q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J153" i="149"/>
  <c r="L153" i="149" s="1"/>
  <c r="Q153" i="149" s="1"/>
  <c r="H153" i="149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H150" i="149"/>
  <c r="J150" i="149" s="1"/>
  <c r="L150" i="149" s="1"/>
  <c r="Q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O142" i="149"/>
  <c r="Q142" i="149" s="1"/>
  <c r="H142" i="149"/>
  <c r="J142" i="149" s="1"/>
  <c r="L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O122" i="149"/>
  <c r="H122" i="149"/>
  <c r="H131" i="149" s="1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J117" i="149"/>
  <c r="L117" i="149" s="1"/>
  <c r="Q117" i="149" s="1"/>
  <c r="H117" i="149"/>
  <c r="H118" i="149" s="1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J107" i="149"/>
  <c r="L107" i="149" s="1"/>
  <c r="Q107" i="149" s="1"/>
  <c r="G107" i="149"/>
  <c r="O106" i="149"/>
  <c r="G106" i="149"/>
  <c r="J106" i="149" s="1"/>
  <c r="L106" i="149" s="1"/>
  <c r="Q106" i="149" s="1"/>
  <c r="O105" i="149"/>
  <c r="G105" i="149"/>
  <c r="M102" i="149"/>
  <c r="I102" i="149"/>
  <c r="G102" i="149"/>
  <c r="F102" i="149"/>
  <c r="E102" i="149"/>
  <c r="O101" i="149"/>
  <c r="L101" i="149"/>
  <c r="Q101" i="149" s="1"/>
  <c r="J101" i="149"/>
  <c r="H101" i="149"/>
  <c r="O100" i="149"/>
  <c r="H100" i="149"/>
  <c r="J100" i="149" s="1"/>
  <c r="L100" i="149" s="1"/>
  <c r="Q100" i="149" s="1"/>
  <c r="O99" i="149"/>
  <c r="J99" i="149"/>
  <c r="L99" i="149" s="1"/>
  <c r="O98" i="149"/>
  <c r="O102" i="149" s="1"/>
  <c r="J98" i="149"/>
  <c r="L98" i="149" s="1"/>
  <c r="Q98" i="149" s="1"/>
  <c r="H98" i="149"/>
  <c r="M95" i="149"/>
  <c r="I95" i="149"/>
  <c r="H95" i="149"/>
  <c r="F95" i="149"/>
  <c r="E95" i="149"/>
  <c r="O94" i="149"/>
  <c r="L94" i="149"/>
  <c r="Q94" i="149" s="1"/>
  <c r="G94" i="149"/>
  <c r="J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Q90" i="149" s="1"/>
  <c r="O89" i="149"/>
  <c r="G89" i="149"/>
  <c r="J89" i="149" s="1"/>
  <c r="L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J86" i="149"/>
  <c r="L86" i="149" s="1"/>
  <c r="G86" i="149"/>
  <c r="O85" i="149"/>
  <c r="J85" i="149"/>
  <c r="L85" i="149" s="1"/>
  <c r="Q85" i="149" s="1"/>
  <c r="Q95" i="149" s="1"/>
  <c r="G85" i="149"/>
  <c r="M82" i="149"/>
  <c r="I82" i="149"/>
  <c r="H82" i="149"/>
  <c r="F82" i="149"/>
  <c r="E82" i="149"/>
  <c r="O81" i="149"/>
  <c r="L81" i="149"/>
  <c r="J81" i="149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J76" i="149"/>
  <c r="L76" i="149" s="1"/>
  <c r="Q76" i="149" s="1"/>
  <c r="G76" i="149"/>
  <c r="O75" i="149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O70" i="149"/>
  <c r="G70" i="149"/>
  <c r="J70" i="149" s="1"/>
  <c r="L70" i="149" s="1"/>
  <c r="Q70" i="149" s="1"/>
  <c r="O69" i="149"/>
  <c r="J69" i="149"/>
  <c r="L69" i="149" s="1"/>
  <c r="Q69" i="149" s="1"/>
  <c r="G69" i="149"/>
  <c r="O68" i="149"/>
  <c r="G68" i="149"/>
  <c r="J68" i="149" s="1"/>
  <c r="L68" i="149" s="1"/>
  <c r="Q68" i="149" s="1"/>
  <c r="O67" i="149"/>
  <c r="G67" i="149"/>
  <c r="J67" i="149" s="1"/>
  <c r="L67" i="149" s="1"/>
  <c r="Q67" i="149" s="1"/>
  <c r="O66" i="149"/>
  <c r="G66" i="149"/>
  <c r="J66" i="149" s="1"/>
  <c r="L66" i="149" s="1"/>
  <c r="Q66" i="149" s="1"/>
  <c r="O65" i="149"/>
  <c r="J65" i="149"/>
  <c r="L65" i="149" s="1"/>
  <c r="Q65" i="149" s="1"/>
  <c r="G65" i="149"/>
  <c r="O64" i="149"/>
  <c r="J64" i="149"/>
  <c r="L64" i="149" s="1"/>
  <c r="Q64" i="149" s="1"/>
  <c r="O63" i="149"/>
  <c r="Q63" i="149" s="1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H38" i="149"/>
  <c r="J38" i="149" s="1"/>
  <c r="L38" i="149" s="1"/>
  <c r="O37" i="149"/>
  <c r="J37" i="149"/>
  <c r="L37" i="149" s="1"/>
  <c r="Q37" i="149" s="1"/>
  <c r="H37" i="149"/>
  <c r="H40" i="149" s="1"/>
  <c r="F34" i="149"/>
  <c r="E34" i="149"/>
  <c r="O33" i="149"/>
  <c r="J33" i="149"/>
  <c r="L33" i="149" s="1"/>
  <c r="Q33" i="149" s="1"/>
  <c r="O32" i="149"/>
  <c r="J32" i="149"/>
  <c r="L32" i="149" s="1"/>
  <c r="H32" i="149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H29" i="149"/>
  <c r="J29" i="149" s="1"/>
  <c r="L29" i="149" s="1"/>
  <c r="Q29" i="149" s="1"/>
  <c r="O28" i="149"/>
  <c r="J28" i="149"/>
  <c r="L28" i="149" s="1"/>
  <c r="Q28" i="149" s="1"/>
  <c r="H28" i="149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H25" i="149"/>
  <c r="J25" i="149" s="1"/>
  <c r="L25" i="149" s="1"/>
  <c r="Q25" i="149" s="1"/>
  <c r="O24" i="149"/>
  <c r="J24" i="149"/>
  <c r="L24" i="149" s="1"/>
  <c r="H24" i="149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Q20" i="149" s="1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Q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Q12" i="149" s="1"/>
  <c r="H12" i="149"/>
  <c r="J12" i="149" s="1"/>
  <c r="L12" i="149" s="1"/>
  <c r="O11" i="149"/>
  <c r="H11" i="149"/>
  <c r="J11" i="149" s="1"/>
  <c r="L11" i="149" s="1"/>
  <c r="O10" i="149"/>
  <c r="J10" i="149"/>
  <c r="L10" i="149" s="1"/>
  <c r="Q10" i="149" s="1"/>
  <c r="O9" i="149"/>
  <c r="I9" i="149"/>
  <c r="H9" i="149"/>
  <c r="O8" i="149"/>
  <c r="H8" i="149"/>
  <c r="H34" i="149" s="1"/>
  <c r="O7" i="149"/>
  <c r="G7" i="149"/>
  <c r="J7" i="149" s="1"/>
  <c r="E3" i="149"/>
  <c r="Q135" i="1"/>
  <c r="Q140" i="1"/>
  <c r="Q143" i="1"/>
  <c r="Q152" i="1"/>
  <c r="Q153" i="1"/>
  <c r="Q155" i="1"/>
  <c r="Q156" i="1"/>
  <c r="Q159" i="1"/>
  <c r="Q161" i="1"/>
  <c r="Q162" i="1"/>
  <c r="Q174" i="1"/>
  <c r="Q182" i="1"/>
  <c r="Q184" i="1"/>
  <c r="Q188" i="1"/>
  <c r="Q189" i="1"/>
  <c r="Q190" i="1"/>
  <c r="Q191" i="1"/>
  <c r="Q192" i="1"/>
  <c r="Q123" i="1"/>
  <c r="Q125" i="1"/>
  <c r="Q128" i="1"/>
  <c r="Q130" i="1"/>
  <c r="Q117" i="1"/>
  <c r="Q89" i="1"/>
  <c r="Q92" i="1"/>
  <c r="Q93" i="1"/>
  <c r="Q94" i="1"/>
  <c r="Q85" i="1"/>
  <c r="Q76" i="1"/>
  <c r="Q78" i="1"/>
  <c r="Q80" i="1"/>
  <c r="Q81" i="1"/>
  <c r="Q64" i="1"/>
  <c r="Q65" i="1"/>
  <c r="Q71" i="1"/>
  <c r="Q62" i="1"/>
  <c r="Q58" i="1"/>
  <c r="Q57" i="1"/>
  <c r="Q47" i="1"/>
  <c r="Q49" i="1"/>
  <c r="Q50" i="1"/>
  <c r="Q51" i="1"/>
  <c r="Q52" i="1"/>
  <c r="Q53" i="1"/>
  <c r="Q43" i="1"/>
  <c r="Q7" i="1"/>
  <c r="P40" i="1"/>
  <c r="P194" i="1" s="1"/>
  <c r="G27" i="68" s="1"/>
  <c r="N34" i="1"/>
  <c r="N194" i="1" s="1"/>
  <c r="O34" i="1"/>
  <c r="P34" i="1"/>
  <c r="F19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I134" i="147" s="1"/>
  <c r="L134" i="147" s="1"/>
  <c r="M134" i="147" s="1"/>
  <c r="N134" i="147" s="1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G188" i="147" s="1"/>
  <c r="G189" i="147" s="1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40" i="149" l="1"/>
  <c r="E72" i="147"/>
  <c r="I117" i="147"/>
  <c r="L117" i="147" s="1"/>
  <c r="M117" i="147" s="1"/>
  <c r="N117" i="147" s="1"/>
  <c r="O117" i="147" s="1"/>
  <c r="O40" i="149"/>
  <c r="J122" i="149"/>
  <c r="L122" i="149" s="1"/>
  <c r="Q122" i="149" s="1"/>
  <c r="Q131" i="149" s="1"/>
  <c r="O193" i="149"/>
  <c r="Q102" i="149"/>
  <c r="G112" i="149"/>
  <c r="J105" i="149"/>
  <c r="L105" i="149" s="1"/>
  <c r="Q105" i="149" s="1"/>
  <c r="Q112" i="149" s="1"/>
  <c r="Q82" i="149"/>
  <c r="O34" i="149"/>
  <c r="Q38" i="149"/>
  <c r="G82" i="149"/>
  <c r="Q185" i="149"/>
  <c r="Q189" i="149"/>
  <c r="Q192" i="149"/>
  <c r="G54" i="149"/>
  <c r="O112" i="149"/>
  <c r="E194" i="149"/>
  <c r="K7" i="150"/>
  <c r="Q59" i="1"/>
  <c r="J9" i="149"/>
  <c r="L9" i="149" s="1"/>
  <c r="Q9" i="149" s="1"/>
  <c r="O54" i="149"/>
  <c r="O82" i="149"/>
  <c r="H102" i="149"/>
  <c r="L118" i="149"/>
  <c r="J123" i="149"/>
  <c r="L123" i="149" s="1"/>
  <c r="Q123" i="149" s="1"/>
  <c r="I193" i="149"/>
  <c r="Q115" i="149"/>
  <c r="Q118" i="149" s="1"/>
  <c r="G7" i="150"/>
  <c r="R7" i="150" s="1"/>
  <c r="Y7" i="150" s="1"/>
  <c r="M194" i="149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Q8" i="149" s="1"/>
  <c r="J57" i="149"/>
  <c r="I86" i="147"/>
  <c r="L86" i="147" s="1"/>
  <c r="M86" i="147" s="1"/>
  <c r="N86" i="147" s="1"/>
  <c r="O86" i="147" s="1"/>
  <c r="R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Q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T149" i="147" l="1"/>
  <c r="J34" i="149"/>
  <c r="O194" i="149"/>
  <c r="S149" i="147"/>
  <c r="V149" i="147" s="1"/>
  <c r="X149" i="147" s="1"/>
  <c r="Z149" i="147" s="1"/>
  <c r="AB149" i="147" s="1"/>
  <c r="P149" i="147"/>
  <c r="R87" i="147"/>
  <c r="U57" i="147"/>
  <c r="L72" i="149"/>
  <c r="Q62" i="149"/>
  <c r="Q72" i="149" s="1"/>
  <c r="L34" i="149"/>
  <c r="Q7" i="149"/>
  <c r="Q34" i="149" s="1"/>
  <c r="Q134" i="149"/>
  <c r="Q193" i="149" s="1"/>
  <c r="L193" i="149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J194" i="149" s="1"/>
  <c r="L57" i="149"/>
  <c r="P89" i="147"/>
  <c r="P57" i="147"/>
  <c r="R57" i="147"/>
  <c r="V57" i="147" s="1"/>
  <c r="X57" i="147" s="1"/>
  <c r="Z57" i="147" s="1"/>
  <c r="AB57" i="147" s="1"/>
  <c r="S57" i="147"/>
  <c r="T179" i="147"/>
  <c r="P179" i="147"/>
  <c r="Q179" i="147"/>
  <c r="R179" i="147"/>
  <c r="V179" i="147" s="1"/>
  <c r="X179" i="147" s="1"/>
  <c r="Z179" i="147" s="1"/>
  <c r="AB179" i="147" s="1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9" i="149" l="1"/>
  <c r="Q57" i="149"/>
  <c r="Q59" i="149" s="1"/>
  <c r="Q194" i="149" s="1"/>
  <c r="R9" i="150"/>
  <c r="Y9" i="150" s="1"/>
  <c r="Y11" i="150" s="1"/>
  <c r="L194" i="149"/>
  <c r="X49" i="147"/>
  <c r="Z49" i="147" s="1"/>
  <c r="AB49" i="147" s="1"/>
  <c r="L54" i="149"/>
  <c r="Q43" i="149"/>
  <c r="Q54" i="149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I138" i="146" s="1"/>
  <c r="L138" i="146" s="1"/>
  <c r="M138" i="146" s="1"/>
  <c r="N138" i="146" s="1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K193" i="1"/>
  <c r="J58" i="143"/>
  <c r="H38" i="1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I177" i="143"/>
  <c r="J177" i="143" s="1"/>
  <c r="L177" i="143" s="1"/>
  <c r="H177" i="143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G54" i="143" s="1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G112" i="143"/>
  <c r="J121" i="143"/>
  <c r="L121" i="143" s="1"/>
  <c r="E194" i="143"/>
  <c r="I101" i="146"/>
  <c r="L101" i="146" s="1"/>
  <c r="M101" i="146" s="1"/>
  <c r="I112" i="146"/>
  <c r="L112" i="146" s="1"/>
  <c r="M112" i="146" s="1"/>
  <c r="N112" i="146" s="1"/>
  <c r="J98" i="143"/>
  <c r="L98" i="143" s="1"/>
  <c r="L102" i="143" s="1"/>
  <c r="F119" i="144"/>
  <c r="O138" i="146"/>
  <c r="R138" i="146" s="1"/>
  <c r="J8" i="143"/>
  <c r="L8" i="143" s="1"/>
  <c r="J176" i="143"/>
  <c r="L176" i="143" s="1"/>
  <c r="F35" i="144"/>
  <c r="F73" i="144"/>
  <c r="O40" i="143"/>
  <c r="F96" i="144"/>
  <c r="F113" i="144"/>
  <c r="F132" i="144"/>
  <c r="J9" i="143"/>
  <c r="L9" i="143" s="1"/>
  <c r="G95" i="143"/>
  <c r="J162" i="143"/>
  <c r="L162" i="143" s="1"/>
  <c r="J167" i="143"/>
  <c r="L167" i="143" s="1"/>
  <c r="J168" i="143"/>
  <c r="L168" i="143" s="1"/>
  <c r="J173" i="143"/>
  <c r="L173" i="143" s="1"/>
  <c r="J178" i="143"/>
  <c r="L178" i="143" s="1"/>
  <c r="J183" i="143"/>
  <c r="L183" i="143" s="1"/>
  <c r="J187" i="143"/>
  <c r="L187" i="143" s="1"/>
  <c r="F83" i="144"/>
  <c r="E195" i="144"/>
  <c r="I81" i="146"/>
  <c r="L81" i="146" s="1"/>
  <c r="M81" i="146" s="1"/>
  <c r="I132" i="146"/>
  <c r="L132" i="146" s="1"/>
  <c r="M132" i="146" s="1"/>
  <c r="N132" i="146" s="1"/>
  <c r="O132" i="146" s="1"/>
  <c r="I134" i="146"/>
  <c r="L134" i="146" s="1"/>
  <c r="M134" i="146" s="1"/>
  <c r="N134" i="146" s="1"/>
  <c r="O134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N149" i="146" s="1"/>
  <c r="O149" i="146" s="1"/>
  <c r="I9" i="146"/>
  <c r="L9" i="146" s="1"/>
  <c r="M9" i="146" s="1"/>
  <c r="N9" i="146" s="1"/>
  <c r="O9" i="146" s="1"/>
  <c r="H35" i="68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S59" i="146" s="1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S145" i="146" s="1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U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J131" i="143"/>
  <c r="L7" i="143"/>
  <c r="L62" i="143"/>
  <c r="L72" i="143" s="1"/>
  <c r="J72" i="143"/>
  <c r="N194" i="143"/>
  <c r="O112" i="143"/>
  <c r="O34" i="143"/>
  <c r="L115" i="143"/>
  <c r="L85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S160" i="146" l="1"/>
  <c r="T160" i="146"/>
  <c r="P160" i="146"/>
  <c r="L131" i="143"/>
  <c r="G194" i="143"/>
  <c r="J102" i="143"/>
  <c r="P145" i="146"/>
  <c r="V145" i="146" s="1"/>
  <c r="X145" i="146" s="1"/>
  <c r="Z145" i="146" s="1"/>
  <c r="AB145" i="146" s="1"/>
  <c r="Q59" i="146"/>
  <c r="V59" i="146" s="1"/>
  <c r="X59" i="146" s="1"/>
  <c r="Z59" i="146" s="1"/>
  <c r="AB59" i="146" s="1"/>
  <c r="P59" i="146"/>
  <c r="L34" i="143"/>
  <c r="Q145" i="146"/>
  <c r="R59" i="146"/>
  <c r="T59" i="146"/>
  <c r="J34" i="143"/>
  <c r="V181" i="146"/>
  <c r="X181" i="146" s="1"/>
  <c r="Z181" i="146" s="1"/>
  <c r="AB181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V133" i="146" s="1"/>
  <c r="X133" i="146" s="1"/>
  <c r="Z133" i="146" s="1"/>
  <c r="AB133" i="146" s="1"/>
  <c r="P133" i="146"/>
  <c r="R28" i="146"/>
  <c r="Q28" i="146"/>
  <c r="P28" i="146"/>
  <c r="T28" i="146"/>
  <c r="S28" i="146"/>
  <c r="R172" i="146"/>
  <c r="V172" i="146" s="1"/>
  <c r="X172" i="146" s="1"/>
  <c r="Z172" i="146" s="1"/>
  <c r="AB172" i="146" s="1"/>
  <c r="T146" i="146"/>
  <c r="V146" i="146" s="1"/>
  <c r="X146" i="146" s="1"/>
  <c r="Z146" i="146" s="1"/>
  <c r="AB146" i="146" s="1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50" i="146" s="1"/>
  <c r="X50" i="146" s="1"/>
  <c r="Z50" i="146" s="1"/>
  <c r="AB50" i="146" s="1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V28" i="146" l="1"/>
  <c r="X28" i="146" s="1"/>
  <c r="Z28" i="146" s="1"/>
  <c r="AB28" i="146" s="1"/>
  <c r="V160" i="146"/>
  <c r="X160" i="146" s="1"/>
  <c r="Z160" i="146" s="1"/>
  <c r="AB160" i="146" s="1"/>
  <c r="J194" i="143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J135" i="1"/>
  <c r="J137" i="1"/>
  <c r="J138" i="1"/>
  <c r="J139" i="1"/>
  <c r="J146" i="1"/>
  <c r="J184" i="1"/>
  <c r="J188" i="1"/>
  <c r="J189" i="1"/>
  <c r="J190" i="1"/>
  <c r="J130" i="1"/>
  <c r="J116" i="1"/>
  <c r="J99" i="1"/>
  <c r="J98" i="1"/>
  <c r="J87" i="1"/>
  <c r="J92" i="1"/>
  <c r="J93" i="1"/>
  <c r="J77" i="1"/>
  <c r="J80" i="1"/>
  <c r="J81" i="1"/>
  <c r="J64" i="1"/>
  <c r="J71" i="1"/>
  <c r="J58" i="1"/>
  <c r="J50" i="1"/>
  <c r="J38" i="1"/>
  <c r="J10" i="1"/>
  <c r="J14" i="1"/>
  <c r="J16" i="1"/>
  <c r="J18" i="1"/>
  <c r="J23" i="1"/>
  <c r="J33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17" i="1"/>
  <c r="J117" i="1" s="1"/>
  <c r="G109" i="1" l="1"/>
  <c r="J109" i="1" s="1"/>
  <c r="G108" i="1"/>
  <c r="J108" i="1" s="1"/>
  <c r="H30" i="1" l="1"/>
  <c r="J30" i="1" s="1"/>
  <c r="S30" i="1" l="1"/>
  <c r="S23" i="1" l="1"/>
  <c r="M27" i="1"/>
  <c r="Q27" i="1" s="1"/>
  <c r="L27" i="1"/>
  <c r="G27" i="1"/>
  <c r="J27" i="1" s="1"/>
  <c r="G118" i="1"/>
  <c r="I118" i="1"/>
  <c r="K118" i="1"/>
  <c r="M115" i="1"/>
  <c r="Q115" i="1" s="1"/>
  <c r="L115" i="1"/>
  <c r="S27" i="1" l="1"/>
  <c r="J115" i="1"/>
  <c r="S115" i="1"/>
  <c r="H25" i="1"/>
  <c r="J25" i="1" s="1"/>
  <c r="G94" i="1"/>
  <c r="J94" i="1" s="1"/>
  <c r="H161" i="1"/>
  <c r="J161" i="1" s="1"/>
  <c r="S58" i="1" l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31" i="137"/>
  <c r="F52" i="137"/>
  <c r="F102" i="137"/>
  <c r="F112" i="137"/>
  <c r="F192" i="137"/>
  <c r="G31" i="140"/>
  <c r="G52" i="140"/>
  <c r="G192" i="140"/>
  <c r="G130" i="140"/>
  <c r="F130" i="137"/>
  <c r="F193" i="137"/>
  <c r="G194" i="140" l="1"/>
  <c r="H24" i="1"/>
  <c r="J24" i="1" s="1"/>
  <c r="S24" i="1" l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E194" i="135" l="1"/>
  <c r="M101" i="1"/>
  <c r="L44" i="1"/>
  <c r="M44" i="1"/>
  <c r="Q44" i="1" s="1"/>
  <c r="M102" i="1" l="1"/>
  <c r="Q101" i="1"/>
  <c r="K34" i="1"/>
  <c r="L16" i="1"/>
  <c r="Q16" i="1" s="1"/>
  <c r="H122" i="1"/>
  <c r="J122" i="1" s="1"/>
  <c r="G45" i="1"/>
  <c r="J45" i="1" s="1"/>
  <c r="G48" i="1"/>
  <c r="J48" i="1" s="1"/>
  <c r="S16" i="1" l="1"/>
  <c r="H29" i="1"/>
  <c r="J29" i="1" s="1"/>
  <c r="AA7" i="131" l="1"/>
  <c r="X7" i="131"/>
  <c r="T7" i="131"/>
  <c r="S7" i="131"/>
  <c r="O7" i="131"/>
  <c r="N7" i="131"/>
  <c r="L7" i="131"/>
  <c r="K7" i="131"/>
  <c r="J7" i="131"/>
  <c r="H7" i="131"/>
  <c r="G7" i="131"/>
  <c r="G50" i="68" l="1"/>
  <c r="G49" i="68"/>
  <c r="G48" i="68"/>
  <c r="G47" i="68"/>
  <c r="G46" i="68"/>
  <c r="G45" i="68"/>
  <c r="G44" i="68"/>
  <c r="G43" i="68"/>
  <c r="G42" i="68"/>
  <c r="G41" i="68"/>
  <c r="G40" i="68"/>
  <c r="G39" i="68"/>
  <c r="H72" i="1" l="1"/>
  <c r="I72" i="1"/>
  <c r="K72" i="1"/>
  <c r="M12" i="1"/>
  <c r="Q12" i="1" s="1"/>
  <c r="L12" i="1"/>
  <c r="H12" i="1"/>
  <c r="J12" i="1" s="1"/>
  <c r="G22" i="1"/>
  <c r="J22" i="1" s="1"/>
  <c r="S12" i="1" l="1"/>
  <c r="S22" i="1" l="1"/>
  <c r="H174" i="1" l="1"/>
  <c r="H175" i="1"/>
  <c r="H173" i="1"/>
  <c r="E13" i="133"/>
  <c r="H13" i="133" s="1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G13" i="133"/>
  <c r="X13" i="133"/>
  <c r="Z14" i="133"/>
  <c r="Z15" i="133"/>
  <c r="O13" i="133"/>
  <c r="J13" i="133"/>
  <c r="L13" i="133"/>
  <c r="K13" i="133"/>
  <c r="R13" i="133" l="1"/>
  <c r="Z13" i="133" s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N24" i="131" l="1"/>
  <c r="P14" i="132"/>
  <c r="T22" i="131"/>
  <c r="T23" i="131"/>
  <c r="Z23" i="131" s="1"/>
  <c r="AB23" i="131" s="1"/>
  <c r="N14" i="132"/>
  <c r="S14" i="132"/>
  <c r="Z22" i="131"/>
  <c r="AB22" i="131" s="1"/>
  <c r="R12" i="132"/>
  <c r="R8" i="132"/>
  <c r="V7" i="132"/>
  <c r="X7" i="132" s="1"/>
  <c r="X8" i="132" s="1"/>
  <c r="V8" i="132"/>
  <c r="U12" i="132"/>
  <c r="U14" i="132" s="1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R14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G40" i="1"/>
  <c r="I40" i="1"/>
  <c r="M40" i="1"/>
  <c r="G44" i="1"/>
  <c r="J44" i="1" s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N8" i="131"/>
  <c r="N27" i="131" s="1"/>
  <c r="K8" i="131"/>
  <c r="J8" i="131"/>
  <c r="G8" i="131"/>
  <c r="F8" i="131"/>
  <c r="G3" i="131"/>
  <c r="E3" i="131"/>
  <c r="G1" i="131"/>
  <c r="U27" i="131" l="1"/>
  <c r="X27" i="131"/>
  <c r="P27" i="131"/>
  <c r="E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M11" i="1"/>
  <c r="M138" i="1"/>
  <c r="AB17" i="131" l="1"/>
  <c r="AB19" i="131" s="1"/>
  <c r="Z19" i="131"/>
  <c r="S45" i="129" l="1"/>
  <c r="I186" i="1"/>
  <c r="H186" i="1"/>
  <c r="J186" i="1" s="1"/>
  <c r="S43" i="129"/>
  <c r="S42" i="129"/>
  <c r="H156" i="1"/>
  <c r="J156" i="1" s="1"/>
  <c r="H101" i="1"/>
  <c r="J101" i="1" s="1"/>
  <c r="G90" i="1"/>
  <c r="J90" i="1" s="1"/>
  <c r="G78" i="1" l="1"/>
  <c r="J78" i="1" s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G193" i="1" l="1"/>
  <c r="H192" i="1"/>
  <c r="J192" i="1" s="1"/>
  <c r="H191" i="1"/>
  <c r="J191" i="1" s="1"/>
  <c r="S191" i="1" l="1"/>
  <c r="S192" i="1"/>
  <c r="S190" i="1" l="1"/>
  <c r="S189" i="1"/>
  <c r="S188" i="1" l="1"/>
  <c r="M187" i="1" l="1"/>
  <c r="Q187" i="1" s="1"/>
  <c r="L151" i="1"/>
  <c r="Q151" i="1" s="1"/>
  <c r="L11" i="1"/>
  <c r="Q11" i="1" s="1"/>
  <c r="L139" i="1" l="1"/>
  <c r="Q139" i="1" s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J159" i="1" s="1"/>
  <c r="S159" i="1" l="1"/>
  <c r="S161" i="1" l="1"/>
  <c r="S50" i="1" l="1"/>
  <c r="S80" i="1" l="1"/>
  <c r="M169" i="1" l="1"/>
  <c r="Q169" i="1" s="1"/>
  <c r="L126" i="1"/>
  <c r="Q126" i="1" s="1"/>
  <c r="L142" i="1"/>
  <c r="S101" i="1" l="1"/>
  <c r="C190" i="122" l="1"/>
  <c r="F48" i="68" l="1"/>
  <c r="M165" i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1" i="1" l="1"/>
  <c r="J21" i="1" s="1"/>
  <c r="M21" i="1"/>
  <c r="Q21" i="1" s="1"/>
  <c r="M116" i="1"/>
  <c r="L116" i="1"/>
  <c r="L118" i="1" s="1"/>
  <c r="M118" i="1" l="1"/>
  <c r="Q116" i="1"/>
  <c r="Q118" i="1" s="1"/>
  <c r="S21" i="1"/>
  <c r="I123" i="1"/>
  <c r="I131" i="1" s="1"/>
  <c r="M171" i="1"/>
  <c r="M167" i="1"/>
  <c r="M168" i="1"/>
  <c r="M166" i="1"/>
  <c r="S116" i="1" l="1"/>
  <c r="F194" i="1"/>
  <c r="M48" i="1" l="1"/>
  <c r="L19" i="1"/>
  <c r="Q19" i="1" s="1"/>
  <c r="L150" i="1"/>
  <c r="Q15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J174" i="1" s="1"/>
  <c r="M59" i="1" l="1"/>
  <c r="C194" i="1" l="1"/>
  <c r="L90" i="1"/>
  <c r="Q90" i="1" s="1"/>
  <c r="M25" i="1"/>
  <c r="L158" i="1"/>
  <c r="Q158" i="1" s="1"/>
  <c r="L69" i="1"/>
  <c r="Q69" i="1" s="1"/>
  <c r="L68" i="1"/>
  <c r="Q68" i="1" s="1"/>
  <c r="Q25" i="1" l="1"/>
  <c r="S25" i="1" s="1"/>
  <c r="G67" i="1"/>
  <c r="J67" i="1" s="1"/>
  <c r="H59" i="1" l="1"/>
  <c r="I59" i="1"/>
  <c r="K59" i="1"/>
  <c r="L59" i="1"/>
  <c r="O194" i="1" l="1"/>
  <c r="F188" i="115"/>
  <c r="G134" i="115"/>
  <c r="G136" i="115"/>
  <c r="G140" i="115"/>
  <c r="G151" i="115"/>
  <c r="G152" i="115"/>
  <c r="G156" i="115"/>
  <c r="G160" i="115"/>
  <c r="G164" i="115"/>
  <c r="G166" i="115"/>
  <c r="G167" i="115"/>
  <c r="G168" i="115"/>
  <c r="G169" i="115"/>
  <c r="G170" i="115"/>
  <c r="G171" i="115"/>
  <c r="G172" i="115"/>
  <c r="G133" i="115"/>
  <c r="F130" i="115"/>
  <c r="G122" i="115"/>
  <c r="G111" i="115"/>
  <c r="G115" i="115"/>
  <c r="F116" i="115"/>
  <c r="G104" i="115"/>
  <c r="F106" i="115"/>
  <c r="F99" i="115"/>
  <c r="G92" i="115"/>
  <c r="G96" i="115"/>
  <c r="G97" i="115"/>
  <c r="F85" i="115"/>
  <c r="G83" i="115"/>
  <c r="F73" i="115"/>
  <c r="F77" i="115" s="1"/>
  <c r="G70" i="1"/>
  <c r="J70" i="1" s="1"/>
  <c r="G65" i="115"/>
  <c r="G68" i="115"/>
  <c r="G69" i="115"/>
  <c r="G70" i="115"/>
  <c r="G72" i="115"/>
  <c r="G64" i="115"/>
  <c r="F60" i="115"/>
  <c r="F61" i="115" s="1"/>
  <c r="F57" i="115"/>
  <c r="G47" i="115"/>
  <c r="G55" i="115"/>
  <c r="F42" i="115"/>
  <c r="F37" i="115"/>
  <c r="G8" i="115"/>
  <c r="G20" i="115"/>
  <c r="G26" i="115"/>
  <c r="G27" i="115"/>
  <c r="G29" i="115"/>
  <c r="G30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E163" i="115"/>
  <c r="G163" i="115" s="1"/>
  <c r="E162" i="115"/>
  <c r="G162" i="115" s="1"/>
  <c r="E161" i="115"/>
  <c r="G161" i="115" s="1"/>
  <c r="E160" i="115"/>
  <c r="E159" i="115"/>
  <c r="G159" i="115" s="1"/>
  <c r="E158" i="115"/>
  <c r="G158" i="115" s="1"/>
  <c r="E157" i="115"/>
  <c r="G157" i="115" s="1"/>
  <c r="E156" i="115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G138" i="115" s="1"/>
  <c r="E137" i="115"/>
  <c r="G137" i="115" s="1"/>
  <c r="E136" i="115"/>
  <c r="E135" i="115"/>
  <c r="G135" i="115" s="1"/>
  <c r="G188" i="115" s="1"/>
  <c r="E133" i="115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E121" i="115"/>
  <c r="G121" i="115" s="1"/>
  <c r="E120" i="115"/>
  <c r="G120" i="115" s="1"/>
  <c r="E119" i="115"/>
  <c r="G119" i="115" s="1"/>
  <c r="E115" i="115"/>
  <c r="E114" i="115"/>
  <c r="G114" i="115" s="1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G103" i="115" s="1"/>
  <c r="E102" i="115"/>
  <c r="G102" i="115" s="1"/>
  <c r="E98" i="115"/>
  <c r="G98" i="115" s="1"/>
  <c r="E96" i="115"/>
  <c r="E95" i="115"/>
  <c r="G95" i="115" s="1"/>
  <c r="E94" i="115"/>
  <c r="G94" i="115" s="1"/>
  <c r="E93" i="115"/>
  <c r="G93" i="115" s="1"/>
  <c r="E92" i="115"/>
  <c r="E91" i="115"/>
  <c r="G91" i="115" s="1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E60" i="115"/>
  <c r="E61" i="115" s="1"/>
  <c r="E56" i="115"/>
  <c r="G56" i="115" s="1"/>
  <c r="E55" i="115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E28" i="115"/>
  <c r="G28" i="115" s="1"/>
  <c r="E26" i="115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E7" i="115"/>
  <c r="G7" i="115" s="1"/>
  <c r="G37" i="115" s="1"/>
  <c r="E6" i="115"/>
  <c r="G85" i="115" l="1"/>
  <c r="G99" i="115"/>
  <c r="G130" i="115"/>
  <c r="H67" i="116"/>
  <c r="H157" i="116"/>
  <c r="H12" i="116"/>
  <c r="E130" i="116"/>
  <c r="G57" i="116"/>
  <c r="H12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57" i="116" l="1"/>
  <c r="H99" i="116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G190" i="113"/>
  <c r="G191" i="113" s="1"/>
  <c r="F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58" i="1"/>
  <c r="J158" i="1" s="1"/>
  <c r="G53" i="1"/>
  <c r="J53" i="1" s="1"/>
  <c r="G191" i="110" l="1"/>
  <c r="L177" i="1"/>
  <c r="L183" i="1"/>
  <c r="L186" i="1"/>
  <c r="L173" i="1"/>
  <c r="Q173" i="1" s="1"/>
  <c r="L185" i="1"/>
  <c r="L178" i="1"/>
  <c r="L180" i="1"/>
  <c r="Q180" i="1" s="1"/>
  <c r="L179" i="1"/>
  <c r="Q179" i="1" s="1"/>
  <c r="L171" i="1"/>
  <c r="Q171" i="1" s="1"/>
  <c r="L170" i="1"/>
  <c r="L163" i="1"/>
  <c r="L175" i="1"/>
  <c r="L168" i="1"/>
  <c r="Q168" i="1" s="1"/>
  <c r="L166" i="1"/>
  <c r="Q166" i="1" s="1"/>
  <c r="L167" i="1"/>
  <c r="Q167" i="1" s="1"/>
  <c r="L164" i="1"/>
  <c r="Q164" i="1" s="1"/>
  <c r="L160" i="1"/>
  <c r="L165" i="1"/>
  <c r="Q165" i="1" s="1"/>
  <c r="L172" i="1"/>
  <c r="S53" i="1" l="1"/>
  <c r="S158" i="1"/>
  <c r="M13" i="1" l="1"/>
  <c r="L13" i="1"/>
  <c r="Q13" i="1" l="1"/>
  <c r="H172" i="1"/>
  <c r="H171" i="1"/>
  <c r="H170" i="1"/>
  <c r="H169" i="1"/>
  <c r="H168" i="1"/>
  <c r="H167" i="1"/>
  <c r="H39" i="1"/>
  <c r="J39" i="1" s="1"/>
  <c r="H26" i="1"/>
  <c r="J26" i="1" s="1"/>
  <c r="H153" i="1"/>
  <c r="J153" i="1" s="1"/>
  <c r="H154" i="1"/>
  <c r="J154" i="1" s="1"/>
  <c r="H152" i="1"/>
  <c r="J152" i="1" s="1"/>
  <c r="H155" i="1" l="1"/>
  <c r="J155" i="1" s="1"/>
  <c r="F45" i="68" l="1"/>
  <c r="F50" i="68"/>
  <c r="F49" i="68"/>
  <c r="F47" i="68"/>
  <c r="F46" i="68"/>
  <c r="F44" i="68"/>
  <c r="F43" i="68"/>
  <c r="F42" i="68"/>
  <c r="F41" i="68"/>
  <c r="F40" i="68"/>
  <c r="F39" i="68"/>
  <c r="H136" i="1"/>
  <c r="J136" i="1" s="1"/>
  <c r="G106" i="1"/>
  <c r="J106" i="1" s="1"/>
  <c r="H11" i="1"/>
  <c r="J11" i="1" s="1"/>
  <c r="G47" i="1"/>
  <c r="J47" i="1" s="1"/>
  <c r="L20" i="1" l="1"/>
  <c r="L149" i="1" l="1"/>
  <c r="Q149" i="1" s="1"/>
  <c r="H30" i="68"/>
  <c r="H31" i="1" l="1"/>
  <c r="J31" i="1" s="1"/>
  <c r="M67" i="1"/>
  <c r="Q67" i="1" s="1"/>
  <c r="L127" i="1"/>
  <c r="M121" i="1"/>
  <c r="Q121" i="1" s="1"/>
  <c r="L121" i="1"/>
  <c r="L91" i="1"/>
  <c r="Q91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Q177" i="1" s="1"/>
  <c r="M160" i="1"/>
  <c r="Q160" i="1" s="1"/>
  <c r="L129" i="1"/>
  <c r="Q129" i="1" s="1"/>
  <c r="M20" i="1"/>
  <c r="Q20" i="1" l="1"/>
  <c r="M63" i="1"/>
  <c r="L63" i="1"/>
  <c r="Q63" i="1" l="1"/>
  <c r="H160" i="1"/>
  <c r="J160" i="1" s="1"/>
  <c r="S160" i="1" l="1"/>
  <c r="H128" i="1" l="1"/>
  <c r="J128" i="1" s="1"/>
  <c r="S128" i="1" l="1"/>
  <c r="M154" i="1"/>
  <c r="M127" i="1"/>
  <c r="Q127" i="1" s="1"/>
  <c r="L38" i="1"/>
  <c r="Q38" i="1" s="1"/>
  <c r="M28" i="1"/>
  <c r="K37" i="1" l="1"/>
  <c r="Q37" i="1" s="1"/>
  <c r="H129" i="1"/>
  <c r="J129" i="1" s="1"/>
  <c r="K40" i="1" l="1"/>
  <c r="S129" i="1"/>
  <c r="K194" i="1" l="1"/>
  <c r="H151" i="1"/>
  <c r="J151" i="1" s="1"/>
  <c r="G52" i="1"/>
  <c r="J52" i="1" s="1"/>
  <c r="E51" i="68" l="1"/>
  <c r="M176" i="1"/>
  <c r="L70" i="1"/>
  <c r="Q70" i="1" s="1"/>
  <c r="S52" i="1" l="1"/>
  <c r="S93" i="1"/>
  <c r="S151" i="1"/>
  <c r="H32" i="1" l="1"/>
  <c r="J32" i="1" s="1"/>
  <c r="M122" i="1" l="1"/>
  <c r="L122" i="1"/>
  <c r="Q122" i="1" l="1"/>
  <c r="G20" i="1"/>
  <c r="J20" i="1" s="1"/>
  <c r="S94" i="1"/>
  <c r="D39" i="61" l="1"/>
  <c r="D38" i="61"/>
  <c r="D37" i="61"/>
  <c r="H150" i="1"/>
  <c r="J150" i="1" s="1"/>
  <c r="G91" i="1"/>
  <c r="J91" i="1" s="1"/>
  <c r="G69" i="1"/>
  <c r="J69" i="1" s="1"/>
  <c r="G68" i="1"/>
  <c r="J68" i="1" s="1"/>
  <c r="G51" i="1"/>
  <c r="J51" i="1" s="1"/>
  <c r="S91" i="1" l="1"/>
  <c r="S51" i="1"/>
  <c r="S38" i="1"/>
  <c r="S68" i="1"/>
  <c r="S69" i="1"/>
  <c r="H9" i="1" l="1"/>
  <c r="J9" i="1" s="1"/>
  <c r="M142" i="1" l="1"/>
  <c r="Q142" i="1" s="1"/>
  <c r="M137" i="1"/>
  <c r="Q137" i="1" s="1"/>
  <c r="L88" i="1"/>
  <c r="Q88" i="1" s="1"/>
  <c r="M106" i="1" l="1"/>
  <c r="Q106" i="1" s="1"/>
  <c r="M107" i="1"/>
  <c r="Q107" i="1" s="1"/>
  <c r="M87" i="1" l="1"/>
  <c r="L86" i="1"/>
  <c r="Q86" i="1" s="1"/>
  <c r="M181" i="1" l="1"/>
  <c r="Q181" i="1" s="1"/>
  <c r="M186" i="1"/>
  <c r="Q186" i="1" s="1"/>
  <c r="M77" i="1"/>
  <c r="T188" i="78" l="1"/>
  <c r="F27" i="78" l="1"/>
  <c r="F71" i="78"/>
  <c r="L29" i="1"/>
  <c r="Q29" i="1" s="1"/>
  <c r="L157" i="1"/>
  <c r="Q157" i="1" s="1"/>
  <c r="L77" i="1"/>
  <c r="Q7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M179" i="78" s="1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I171" i="78" s="1"/>
  <c r="F170" i="78"/>
  <c r="I170" i="78" s="1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F146" i="78"/>
  <c r="F145" i="78"/>
  <c r="F144" i="78"/>
  <c r="P144" i="78" s="1"/>
  <c r="F140" i="78"/>
  <c r="F139" i="78"/>
  <c r="F138" i="78"/>
  <c r="F137" i="78"/>
  <c r="L137" i="78" s="1"/>
  <c r="F128" i="78"/>
  <c r="F127" i="78"/>
  <c r="F126" i="78"/>
  <c r="F125" i="78"/>
  <c r="K125" i="78" s="1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M97" i="78" s="1"/>
  <c r="F96" i="78"/>
  <c r="P96" i="78" s="1"/>
  <c r="F95" i="78"/>
  <c r="F94" i="78"/>
  <c r="F93" i="78"/>
  <c r="M93" i="78" s="1"/>
  <c r="F92" i="78"/>
  <c r="F91" i="78"/>
  <c r="F90" i="78"/>
  <c r="F89" i="78"/>
  <c r="F84" i="78"/>
  <c r="F82" i="78"/>
  <c r="F72" i="78"/>
  <c r="F69" i="78"/>
  <c r="F68" i="78"/>
  <c r="F67" i="78"/>
  <c r="F66" i="78"/>
  <c r="F64" i="78"/>
  <c r="M64" i="78" s="1"/>
  <c r="F60" i="78"/>
  <c r="F55" i="78"/>
  <c r="F53" i="78"/>
  <c r="F52" i="78"/>
  <c r="K52" i="78" s="1"/>
  <c r="F51" i="78"/>
  <c r="F49" i="78"/>
  <c r="F42" i="78"/>
  <c r="F37" i="78"/>
  <c r="L37" i="78" s="1"/>
  <c r="F36" i="78"/>
  <c r="F35" i="78"/>
  <c r="F34" i="78"/>
  <c r="F33" i="78"/>
  <c r="I33" i="78" s="1"/>
  <c r="F32" i="78"/>
  <c r="L32" i="78" s="1"/>
  <c r="F31" i="78"/>
  <c r="F29" i="78"/>
  <c r="F28" i="78"/>
  <c r="H28" i="78" s="1"/>
  <c r="F26" i="78"/>
  <c r="H26" i="78" s="1"/>
  <c r="F25" i="78"/>
  <c r="F22" i="78"/>
  <c r="F21" i="78"/>
  <c r="M21" i="78" s="1"/>
  <c r="F20" i="78"/>
  <c r="K20" i="78" s="1"/>
  <c r="F18" i="78"/>
  <c r="F14" i="78"/>
  <c r="K14" i="78" s="1"/>
  <c r="F13" i="78"/>
  <c r="M13" i="78" s="1"/>
  <c r="F12" i="78"/>
  <c r="I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H186" i="78"/>
  <c r="R185" i="78"/>
  <c r="P185" i="78"/>
  <c r="O185" i="78"/>
  <c r="I185" i="78"/>
  <c r="H185" i="78"/>
  <c r="R184" i="78"/>
  <c r="O184" i="78"/>
  <c r="K184" i="78"/>
  <c r="R183" i="78"/>
  <c r="O183" i="78"/>
  <c r="M183" i="78"/>
  <c r="K183" i="78"/>
  <c r="L183" i="78"/>
  <c r="R182" i="78"/>
  <c r="P182" i="78"/>
  <c r="O182" i="78"/>
  <c r="H182" i="78"/>
  <c r="I182" i="78"/>
  <c r="R181" i="78"/>
  <c r="O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L179" i="78"/>
  <c r="K179" i="78"/>
  <c r="H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R174" i="78"/>
  <c r="O174" i="78"/>
  <c r="R173" i="78"/>
  <c r="O173" i="78"/>
  <c r="R172" i="78"/>
  <c r="O172" i="78"/>
  <c r="L172" i="78"/>
  <c r="R171" i="78"/>
  <c r="O171" i="78"/>
  <c r="R170" i="78"/>
  <c r="O170" i="78"/>
  <c r="L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O151" i="78"/>
  <c r="P151" i="78"/>
  <c r="P150" i="78"/>
  <c r="O150" i="78"/>
  <c r="K150" i="78"/>
  <c r="H150" i="78"/>
  <c r="M150" i="78"/>
  <c r="O149" i="78"/>
  <c r="O148" i="78"/>
  <c r="P147" i="78"/>
  <c r="O147" i="78"/>
  <c r="H147" i="78"/>
  <c r="O146" i="78"/>
  <c r="K146" i="78"/>
  <c r="L146" i="78"/>
  <c r="P145" i="78"/>
  <c r="O145" i="78"/>
  <c r="K145" i="78"/>
  <c r="H145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P140" i="78"/>
  <c r="M139" i="78"/>
  <c r="L139" i="78"/>
  <c r="K139" i="78"/>
  <c r="I139" i="78"/>
  <c r="H139" i="78"/>
  <c r="P139" i="78"/>
  <c r="M138" i="78"/>
  <c r="L138" i="78"/>
  <c r="P138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L128" i="78"/>
  <c r="O127" i="78"/>
  <c r="M127" i="78"/>
  <c r="K127" i="78"/>
  <c r="I127" i="78"/>
  <c r="P127" i="78"/>
  <c r="R126" i="78"/>
  <c r="O126" i="78"/>
  <c r="O125" i="78"/>
  <c r="M125" i="78"/>
  <c r="I125" i="78"/>
  <c r="P125" i="78"/>
  <c r="O124" i="78"/>
  <c r="F124" i="78"/>
  <c r="K124" i="78" s="1"/>
  <c r="R123" i="78"/>
  <c r="P123" i="78"/>
  <c r="O123" i="78"/>
  <c r="K123" i="78"/>
  <c r="J123" i="78"/>
  <c r="M123" i="78"/>
  <c r="O122" i="78"/>
  <c r="F122" i="78"/>
  <c r="K122" i="78" s="1"/>
  <c r="R121" i="78"/>
  <c r="R129" i="78" s="1"/>
  <c r="O121" i="78"/>
  <c r="F121" i="78"/>
  <c r="K121" i="78" s="1"/>
  <c r="P120" i="78"/>
  <c r="O120" i="78"/>
  <c r="J120" i="78"/>
  <c r="J129" i="78" s="1"/>
  <c r="I120" i="78"/>
  <c r="F120" i="78"/>
  <c r="M120" i="78" s="1"/>
  <c r="Q117" i="78"/>
  <c r="J117" i="78"/>
  <c r="R116" i="78"/>
  <c r="N116" i="78"/>
  <c r="F116" i="78"/>
  <c r="M116" i="78" s="1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R111" i="78"/>
  <c r="N111" i="78"/>
  <c r="F111" i="78"/>
  <c r="N110" i="78"/>
  <c r="M110" i="78"/>
  <c r="H110" i="78"/>
  <c r="F110" i="78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L97" i="78"/>
  <c r="I97" i="78"/>
  <c r="H97" i="78"/>
  <c r="N96" i="78"/>
  <c r="L95" i="78"/>
  <c r="I95" i="78"/>
  <c r="H95" i="78"/>
  <c r="M95" i="78"/>
  <c r="P94" i="78"/>
  <c r="K94" i="78"/>
  <c r="I94" i="78"/>
  <c r="H94" i="78"/>
  <c r="L94" i="78"/>
  <c r="L93" i="78"/>
  <c r="K93" i="78"/>
  <c r="I93" i="78"/>
  <c r="P93" i="78"/>
  <c r="M92" i="78"/>
  <c r="L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K85" i="78"/>
  <c r="I85" i="78"/>
  <c r="F85" i="78"/>
  <c r="M85" i="78" s="1"/>
  <c r="P84" i="78"/>
  <c r="N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M75" i="78"/>
  <c r="F75" i="78"/>
  <c r="P75" i="78" s="1"/>
  <c r="N74" i="78"/>
  <c r="F74" i="78"/>
  <c r="N73" i="78"/>
  <c r="F73" i="78"/>
  <c r="M73" i="78" s="1"/>
  <c r="N72" i="78"/>
  <c r="M72" i="78"/>
  <c r="P72" i="78"/>
  <c r="N71" i="78"/>
  <c r="K71" i="78"/>
  <c r="L71" i="78"/>
  <c r="P70" i="78"/>
  <c r="N70" i="78"/>
  <c r="K70" i="78"/>
  <c r="I70" i="78"/>
  <c r="F70" i="78"/>
  <c r="M70" i="78" s="1"/>
  <c r="N69" i="78"/>
  <c r="P69" i="78"/>
  <c r="N68" i="78"/>
  <c r="M68" i="78"/>
  <c r="K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K64" i="78"/>
  <c r="I64" i="78"/>
  <c r="R61" i="78"/>
  <c r="Q61" i="78"/>
  <c r="N61" i="78"/>
  <c r="J61" i="78"/>
  <c r="O60" i="78"/>
  <c r="O61" i="78" s="1"/>
  <c r="M60" i="78"/>
  <c r="L60" i="78"/>
  <c r="H60" i="78"/>
  <c r="N59" i="78"/>
  <c r="K59" i="78"/>
  <c r="I59" i="78"/>
  <c r="F59" i="78"/>
  <c r="R56" i="78"/>
  <c r="Q56" i="78"/>
  <c r="J56" i="78"/>
  <c r="G56" i="78"/>
  <c r="P55" i="78"/>
  <c r="N55" i="78"/>
  <c r="M55" i="78"/>
  <c r="H55" i="78"/>
  <c r="L54" i="78"/>
  <c r="I54" i="78"/>
  <c r="F54" i="78"/>
  <c r="N53" i="78"/>
  <c r="P52" i="78"/>
  <c r="N52" i="78"/>
  <c r="M52" i="78"/>
  <c r="I52" i="78"/>
  <c r="H52" i="78"/>
  <c r="S52" i="78" s="1"/>
  <c r="U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K46" i="78"/>
  <c r="I46" i="78"/>
  <c r="H46" i="78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K37" i="78"/>
  <c r="I37" i="78"/>
  <c r="H37" i="78"/>
  <c r="O36" i="78"/>
  <c r="L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K33" i="78"/>
  <c r="P32" i="78"/>
  <c r="O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I28" i="78"/>
  <c r="O27" i="78"/>
  <c r="K27" i="78"/>
  <c r="P27" i="78"/>
  <c r="P26" i="78"/>
  <c r="O26" i="78"/>
  <c r="L26" i="78"/>
  <c r="M26" i="78"/>
  <c r="N25" i="78"/>
  <c r="K25" i="78"/>
  <c r="R24" i="78"/>
  <c r="O24" i="78"/>
  <c r="F24" i="78"/>
  <c r="R23" i="78"/>
  <c r="O23" i="78"/>
  <c r="M23" i="78"/>
  <c r="L23" i="78"/>
  <c r="F23" i="78"/>
  <c r="R22" i="78"/>
  <c r="N22" i="78"/>
  <c r="K22" i="78"/>
  <c r="H22" i="78"/>
  <c r="O21" i="78"/>
  <c r="K21" i="78"/>
  <c r="O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P17" i="78" s="1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L13" i="78"/>
  <c r="K13" i="78"/>
  <c r="H13" i="78"/>
  <c r="N12" i="78"/>
  <c r="L12" i="78"/>
  <c r="K12" i="78"/>
  <c r="O11" i="78"/>
  <c r="K11" i="78"/>
  <c r="F11" i="78"/>
  <c r="M11" i="78" s="1"/>
  <c r="P10" i="78"/>
  <c r="N10" i="78"/>
  <c r="N39" i="78" s="1"/>
  <c r="M10" i="78"/>
  <c r="L10" i="78"/>
  <c r="K10" i="78"/>
  <c r="I10" i="78"/>
  <c r="H10" i="78"/>
  <c r="N9" i="78"/>
  <c r="S9" i="78" s="1"/>
  <c r="U9" i="78" s="1"/>
  <c r="I4" i="78"/>
  <c r="F4" i="78"/>
  <c r="P16" i="78" l="1"/>
  <c r="K16" i="78"/>
  <c r="M16" i="78"/>
  <c r="I24" i="78"/>
  <c r="L24" i="78"/>
  <c r="I61" i="78"/>
  <c r="K74" i="78"/>
  <c r="P74" i="78"/>
  <c r="H74" i="78"/>
  <c r="S74" i="78" s="1"/>
  <c r="U74" i="78" s="1"/>
  <c r="S10" i="78"/>
  <c r="U10" i="78" s="1"/>
  <c r="H16" i="78"/>
  <c r="H24" i="78"/>
  <c r="P24" i="78"/>
  <c r="S24" i="78" s="1"/>
  <c r="U24" i="78" s="1"/>
  <c r="H73" i="78"/>
  <c r="M74" i="78"/>
  <c r="S80" i="78"/>
  <c r="U80" i="78" s="1"/>
  <c r="W39" i="78"/>
  <c r="Y13" i="78"/>
  <c r="S15" i="78"/>
  <c r="U15" i="78" s="1"/>
  <c r="I16" i="78"/>
  <c r="K24" i="78"/>
  <c r="P54" i="78"/>
  <c r="K54" i="78"/>
  <c r="M54" i="78"/>
  <c r="N76" i="78"/>
  <c r="P36" i="78"/>
  <c r="K36" i="78"/>
  <c r="P60" i="78"/>
  <c r="K60" i="78"/>
  <c r="I60" i="78"/>
  <c r="P68" i="78"/>
  <c r="I68" i="78"/>
  <c r="H68" i="78"/>
  <c r="M84" i="78"/>
  <c r="H84" i="78"/>
  <c r="L84" i="78"/>
  <c r="K92" i="78"/>
  <c r="I92" i="78"/>
  <c r="H112" i="78"/>
  <c r="P112" i="78"/>
  <c r="I123" i="78"/>
  <c r="L123" i="78"/>
  <c r="H123" i="78"/>
  <c r="S123" i="78" s="1"/>
  <c r="U123" i="78" s="1"/>
  <c r="I128" i="78"/>
  <c r="M128" i="78"/>
  <c r="K140" i="78"/>
  <c r="I140" i="78"/>
  <c r="S140" i="78" s="1"/>
  <c r="U140" i="78" s="1"/>
  <c r="M140" i="78"/>
  <c r="H140" i="78"/>
  <c r="K147" i="78"/>
  <c r="L147" i="78"/>
  <c r="M147" i="78"/>
  <c r="I147" i="78"/>
  <c r="S147" i="78" s="1"/>
  <c r="U147" i="78" s="1"/>
  <c r="I173" i="78"/>
  <c r="L173" i="78"/>
  <c r="M173" i="78"/>
  <c r="K177" i="78"/>
  <c r="H177" i="78"/>
  <c r="S177" i="78" s="1"/>
  <c r="U177" i="78" s="1"/>
  <c r="P177" i="78"/>
  <c r="L177" i="78"/>
  <c r="P181" i="78"/>
  <c r="M181" i="78"/>
  <c r="M186" i="78"/>
  <c r="I186" i="78"/>
  <c r="S186" i="78" s="1"/>
  <c r="U186" i="78" s="1"/>
  <c r="L186" i="78"/>
  <c r="P186" i="78"/>
  <c r="K186" i="78"/>
  <c r="M12" i="78"/>
  <c r="L16" i="78"/>
  <c r="K17" i="78"/>
  <c r="K23" i="78"/>
  <c r="I23" i="78"/>
  <c r="M24" i="78"/>
  <c r="S29" i="78"/>
  <c r="U29" i="78" s="1"/>
  <c r="H32" i="78"/>
  <c r="M36" i="78"/>
  <c r="H54" i="78"/>
  <c r="F61" i="78"/>
  <c r="H59" i="78"/>
  <c r="H61" i="78" s="1"/>
  <c r="M59" i="78"/>
  <c r="P59" i="78"/>
  <c r="L68" i="78"/>
  <c r="P73" i="78"/>
  <c r="I84" i="78"/>
  <c r="H92" i="78"/>
  <c r="S92" i="78" s="1"/>
  <c r="U92" i="78" s="1"/>
  <c r="K110" i="78"/>
  <c r="S110" i="78" s="1"/>
  <c r="U110" i="78" s="1"/>
  <c r="L110" i="78"/>
  <c r="P110" i="78"/>
  <c r="I110" i="78"/>
  <c r="M133" i="78"/>
  <c r="L133" i="78"/>
  <c r="L140" i="78"/>
  <c r="Y64" i="78"/>
  <c r="W76" i="78"/>
  <c r="Y76" i="78" s="1"/>
  <c r="L70" i="78"/>
  <c r="L85" i="78"/>
  <c r="K120" i="78"/>
  <c r="S135" i="78"/>
  <c r="U135" i="78" s="1"/>
  <c r="W106" i="78"/>
  <c r="Y106" i="78" s="1"/>
  <c r="Y104" i="78"/>
  <c r="W129" i="78"/>
  <c r="Y129" i="78" s="1"/>
  <c r="Y120" i="78"/>
  <c r="I13" i="78"/>
  <c r="S19" i="78"/>
  <c r="U19" i="78" s="1"/>
  <c r="M46" i="78"/>
  <c r="S46" i="78" s="1"/>
  <c r="U46" i="78" s="1"/>
  <c r="N56" i="78"/>
  <c r="N188" i="78" s="1"/>
  <c r="H70" i="78"/>
  <c r="S70" i="78" s="1"/>
  <c r="U70" i="78" s="1"/>
  <c r="N86" i="78"/>
  <c r="S81" i="78"/>
  <c r="U81" i="78" s="1"/>
  <c r="H85" i="78"/>
  <c r="N99" i="78"/>
  <c r="H93" i="78"/>
  <c r="K97" i="78"/>
  <c r="N117" i="78"/>
  <c r="H120" i="78"/>
  <c r="L120" i="78"/>
  <c r="M152" i="78"/>
  <c r="L155" i="78"/>
  <c r="S155" i="78" s="1"/>
  <c r="U155" i="78" s="1"/>
  <c r="M156" i="78"/>
  <c r="L157" i="78"/>
  <c r="M170" i="78"/>
  <c r="M182" i="78"/>
  <c r="K185" i="78"/>
  <c r="W43" i="78"/>
  <c r="Y43" i="78" s="1"/>
  <c r="W86" i="78"/>
  <c r="Y86" i="78" s="1"/>
  <c r="Y80" i="78"/>
  <c r="W99" i="78"/>
  <c r="Y99" i="78" s="1"/>
  <c r="Y90" i="78"/>
  <c r="W187" i="78"/>
  <c r="Y134" i="78"/>
  <c r="Y187" i="78" s="1"/>
  <c r="H155" i="78"/>
  <c r="H156" i="78"/>
  <c r="P175" i="78"/>
  <c r="I179" i="78"/>
  <c r="S179" i="78" s="1"/>
  <c r="U179" i="78" s="1"/>
  <c r="I183" i="78"/>
  <c r="P183" i="78"/>
  <c r="M185" i="78"/>
  <c r="S185" i="78" s="1"/>
  <c r="U185" i="78" s="1"/>
  <c r="W56" i="78"/>
  <c r="Y56" i="78" s="1"/>
  <c r="Y46" i="78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P178" i="78"/>
  <c r="S176" i="78"/>
  <c r="U176" i="78" s="1"/>
  <c r="S139" i="78"/>
  <c r="S93" i="78"/>
  <c r="U93" i="78" s="1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S55" i="78"/>
  <c r="U55" i="78" s="1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I35" i="78"/>
  <c r="S35" i="78" s="1"/>
  <c r="U35" i="78" s="1"/>
  <c r="I36" i="78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H79" i="78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L83" i="78"/>
  <c r="F86" i="78"/>
  <c r="S90" i="78"/>
  <c r="U90" i="78" s="1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M112" i="78"/>
  <c r="L112" i="78"/>
  <c r="I112" i="78"/>
  <c r="I117" i="78" s="1"/>
  <c r="L124" i="78"/>
  <c r="I124" i="78"/>
  <c r="P124" i="78"/>
  <c r="H124" i="78"/>
  <c r="S124" i="78" s="1"/>
  <c r="U124" i="78" s="1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S167" i="78" s="1"/>
  <c r="U167" i="78" s="1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69" i="78" l="1"/>
  <c r="U69" i="78" s="1"/>
  <c r="S151" i="78"/>
  <c r="U151" i="78" s="1"/>
  <c r="S133" i="78"/>
  <c r="U133" i="78" s="1"/>
  <c r="U187" i="78" s="1"/>
  <c r="S164" i="78"/>
  <c r="U164" i="78" s="1"/>
  <c r="S172" i="78"/>
  <c r="U172" i="78" s="1"/>
  <c r="M106" i="78"/>
  <c r="I86" i="78"/>
  <c r="K56" i="78"/>
  <c r="K76" i="78"/>
  <c r="S50" i="78"/>
  <c r="U50" i="78" s="1"/>
  <c r="S38" i="78"/>
  <c r="U38" i="78" s="1"/>
  <c r="S54" i="78"/>
  <c r="U54" i="78" s="1"/>
  <c r="S68" i="78"/>
  <c r="U68" i="78" s="1"/>
  <c r="S160" i="78"/>
  <c r="U160" i="78" s="1"/>
  <c r="W188" i="78"/>
  <c r="Y39" i="78"/>
  <c r="Y188" i="78" s="1"/>
  <c r="S16" i="78"/>
  <c r="U16" i="78" s="1"/>
  <c r="S170" i="78"/>
  <c r="U170" i="78" s="1"/>
  <c r="S98" i="78"/>
  <c r="U98" i="78" s="1"/>
  <c r="S166" i="78"/>
  <c r="U166" i="78" s="1"/>
  <c r="S112" i="78"/>
  <c r="U112" i="78" s="1"/>
  <c r="S111" i="78"/>
  <c r="U111" i="78" s="1"/>
  <c r="M86" i="78"/>
  <c r="S67" i="78"/>
  <c r="U67" i="78" s="1"/>
  <c r="H86" i="78"/>
  <c r="S73" i="78"/>
  <c r="U73" i="78" s="1"/>
  <c r="S32" i="78"/>
  <c r="U32" i="78" s="1"/>
  <c r="S173" i="78"/>
  <c r="U173" i="78" s="1"/>
  <c r="S157" i="78"/>
  <c r="U157" i="78" s="1"/>
  <c r="S145" i="78"/>
  <c r="U145" i="78" s="1"/>
  <c r="M129" i="78"/>
  <c r="S103" i="78"/>
  <c r="U103" i="78" s="1"/>
  <c r="S174" i="78"/>
  <c r="U174" i="78" s="1"/>
  <c r="S138" i="78"/>
  <c r="U138" i="78" s="1"/>
  <c r="K129" i="78"/>
  <c r="S126" i="78"/>
  <c r="U126" i="78" s="1"/>
  <c r="P117" i="78"/>
  <c r="S72" i="78"/>
  <c r="U72" i="78" s="1"/>
  <c r="K86" i="78"/>
  <c r="L56" i="78"/>
  <c r="S47" i="78"/>
  <c r="U47" i="78" s="1"/>
  <c r="S36" i="78"/>
  <c r="U36" i="78" s="1"/>
  <c r="L86" i="78"/>
  <c r="S156" i="78"/>
  <c r="U156" i="78" s="1"/>
  <c r="P61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76" i="1"/>
  <c r="Q176" i="1" s="1"/>
  <c r="M134" i="1"/>
  <c r="H157" i="1" l="1"/>
  <c r="J157" i="1" s="1"/>
  <c r="L124" i="1"/>
  <c r="Q124" i="1" s="1"/>
  <c r="Q131" i="1" s="1"/>
  <c r="L111" i="1"/>
  <c r="Q111" i="1" s="1"/>
  <c r="L131" i="1" l="1"/>
  <c r="S157" i="1" l="1"/>
  <c r="M175" i="1" l="1"/>
  <c r="Q175" i="1" s="1"/>
  <c r="I187" i="1"/>
  <c r="I183" i="1"/>
  <c r="M183" i="1"/>
  <c r="Q183" i="1" s="1"/>
  <c r="H183" i="1"/>
  <c r="J183" i="1" l="1"/>
  <c r="S183" i="1"/>
  <c r="H182" i="1" l="1"/>
  <c r="H187" i="1"/>
  <c r="J187" i="1" s="1"/>
  <c r="S187" i="1" l="1"/>
  <c r="I112" i="1" l="1"/>
  <c r="M79" i="1" l="1"/>
  <c r="M32" i="1"/>
  <c r="M185" i="1"/>
  <c r="Q185" i="1" s="1"/>
  <c r="M141" i="1"/>
  <c r="L148" i="1"/>
  <c r="Q148" i="1" s="1"/>
  <c r="Q141" i="1" l="1"/>
  <c r="M34" i="1"/>
  <c r="H181" i="1"/>
  <c r="H180" i="1"/>
  <c r="H179" i="1"/>
  <c r="H178" i="1"/>
  <c r="H177" i="1"/>
  <c r="H149" i="1"/>
  <c r="J149" i="1" s="1"/>
  <c r="H148" i="1"/>
  <c r="J148" i="1" s="1"/>
  <c r="H147" i="1"/>
  <c r="J147" i="1" s="1"/>
  <c r="G66" i="1"/>
  <c r="J66" i="1" s="1"/>
  <c r="G49" i="1"/>
  <c r="J49" i="1" s="1"/>
  <c r="G46" i="1"/>
  <c r="J46" i="1" s="1"/>
  <c r="H124" i="1" l="1"/>
  <c r="J124" i="1" s="1"/>
  <c r="L28" i="1"/>
  <c r="Q28" i="1" s="1"/>
  <c r="L39" i="1"/>
  <c r="Q39" i="1" s="1"/>
  <c r="G111" i="1"/>
  <c r="J111" i="1" s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J19" i="1" s="1"/>
  <c r="C161" i="68"/>
  <c r="F51" i="68" l="1"/>
  <c r="M172" i="1" l="1"/>
  <c r="Q172" i="1" s="1"/>
  <c r="M170" i="1"/>
  <c r="Q170" i="1" s="1"/>
  <c r="S184" i="1" l="1"/>
  <c r="L10" i="1"/>
  <c r="Q10" i="1" l="1"/>
  <c r="I182" i="1"/>
  <c r="J182" i="1" s="1"/>
  <c r="I185" i="1"/>
  <c r="J185" i="1" s="1"/>
  <c r="I181" i="1"/>
  <c r="J181" i="1" s="1"/>
  <c r="I180" i="1"/>
  <c r="J180" i="1" s="1"/>
  <c r="I179" i="1"/>
  <c r="J179" i="1" s="1"/>
  <c r="I178" i="1"/>
  <c r="J178" i="1" s="1"/>
  <c r="I177" i="1"/>
  <c r="J177" i="1" s="1"/>
  <c r="H176" i="1"/>
  <c r="I176" i="1"/>
  <c r="I175" i="1"/>
  <c r="J175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H166" i="1"/>
  <c r="J166" i="1" s="1"/>
  <c r="I166" i="1"/>
  <c r="H165" i="1"/>
  <c r="I165" i="1"/>
  <c r="H164" i="1"/>
  <c r="J164" i="1" s="1"/>
  <c r="I164" i="1"/>
  <c r="H163" i="1"/>
  <c r="I163" i="1"/>
  <c r="H162" i="1"/>
  <c r="J162" i="1" s="1"/>
  <c r="I162" i="1"/>
  <c r="H145" i="1"/>
  <c r="J145" i="1" s="1"/>
  <c r="H142" i="1"/>
  <c r="J142" i="1" s="1"/>
  <c r="H144" i="1"/>
  <c r="J144" i="1" s="1"/>
  <c r="H143" i="1"/>
  <c r="J143" i="1" s="1"/>
  <c r="H141" i="1"/>
  <c r="J141" i="1" s="1"/>
  <c r="H140" i="1"/>
  <c r="J140" i="1" s="1"/>
  <c r="H134" i="1"/>
  <c r="H127" i="1"/>
  <c r="J127" i="1" s="1"/>
  <c r="H126" i="1"/>
  <c r="J126" i="1" s="1"/>
  <c r="H125" i="1"/>
  <c r="J125" i="1" s="1"/>
  <c r="H123" i="1"/>
  <c r="J123" i="1" s="1"/>
  <c r="H13" i="1"/>
  <c r="J13" i="1" s="1"/>
  <c r="H121" i="1"/>
  <c r="H100" i="1"/>
  <c r="H118" i="1"/>
  <c r="H15" i="1"/>
  <c r="H82" i="1"/>
  <c r="H8" i="1"/>
  <c r="J8" i="1" s="1"/>
  <c r="J163" i="1" l="1"/>
  <c r="J165" i="1"/>
  <c r="J176" i="1"/>
  <c r="H102" i="1"/>
  <c r="J100" i="1"/>
  <c r="J102" i="1" s="1"/>
  <c r="H34" i="1"/>
  <c r="I193" i="1"/>
  <c r="H193" i="1"/>
  <c r="H131" i="1"/>
  <c r="H194" i="1" l="1"/>
  <c r="M145" i="1"/>
  <c r="L45" i="1"/>
  <c r="Q145" i="1" l="1"/>
  <c r="G110" i="1"/>
  <c r="J110" i="1" s="1"/>
  <c r="G107" i="1"/>
  <c r="J107" i="1" s="1"/>
  <c r="G105" i="1"/>
  <c r="G89" i="1"/>
  <c r="J89" i="1" s="1"/>
  <c r="G88" i="1"/>
  <c r="J88" i="1" s="1"/>
  <c r="G86" i="1"/>
  <c r="J86" i="1" s="1"/>
  <c r="G85" i="1"/>
  <c r="G79" i="1"/>
  <c r="J79" i="1" s="1"/>
  <c r="G76" i="1"/>
  <c r="J76" i="1" s="1"/>
  <c r="G75" i="1"/>
  <c r="G65" i="1"/>
  <c r="J65" i="1" s="1"/>
  <c r="G63" i="1"/>
  <c r="J63" i="1" s="1"/>
  <c r="G62" i="1"/>
  <c r="G59" i="1"/>
  <c r="G43" i="1"/>
  <c r="G7" i="1"/>
  <c r="G34" i="1" l="1"/>
  <c r="J7" i="1"/>
  <c r="G72" i="1"/>
  <c r="G82" i="1"/>
  <c r="G95" i="1"/>
  <c r="G54" i="1"/>
  <c r="G112" i="1"/>
  <c r="G194" i="1" l="1"/>
  <c r="M109" i="1"/>
  <c r="Q109" i="1" s="1"/>
  <c r="M66" i="1"/>
  <c r="Q66" i="1" s="1"/>
  <c r="Q72" i="1" s="1"/>
  <c r="L146" i="1"/>
  <c r="Q146" i="1" s="1"/>
  <c r="M72" i="1" l="1"/>
  <c r="M112" i="1"/>
  <c r="M178" i="1"/>
  <c r="Q178" i="1" s="1"/>
  <c r="M75" i="1"/>
  <c r="M82" i="1" l="1"/>
  <c r="Q75" i="1"/>
  <c r="L99" i="1"/>
  <c r="Q99" i="1" s="1"/>
  <c r="M131" i="1" l="1"/>
  <c r="M163" i="1" l="1"/>
  <c r="L136" i="1"/>
  <c r="Q136" i="1" s="1"/>
  <c r="L110" i="1"/>
  <c r="Q110" i="1" s="1"/>
  <c r="L79" i="1"/>
  <c r="Q79" i="1" s="1"/>
  <c r="Q82" i="1" s="1"/>
  <c r="Q163" i="1" l="1"/>
  <c r="M193" i="1"/>
  <c r="L82" i="1"/>
  <c r="S182" i="1" l="1"/>
  <c r="L32" i="1" l="1"/>
  <c r="Q32" i="1" l="1"/>
  <c r="L34" i="1"/>
  <c r="S76" i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Q48" i="1" s="1"/>
  <c r="S146" i="1" l="1"/>
  <c r="L154" i="1" l="1"/>
  <c r="Q154" i="1" s="1"/>
  <c r="M95" i="1" l="1"/>
  <c r="L134" i="1" l="1"/>
  <c r="L98" i="1"/>
  <c r="Q98" i="1" l="1"/>
  <c r="Q134" i="1"/>
  <c r="S156" i="1"/>
  <c r="M45" i="1" l="1"/>
  <c r="Q45" i="1" s="1"/>
  <c r="M54" i="1" l="1"/>
  <c r="M194" i="1" s="1"/>
  <c r="L138" i="1"/>
  <c r="L108" i="1"/>
  <c r="Q108" i="1" s="1"/>
  <c r="Q138" i="1" l="1"/>
  <c r="J62" i="1"/>
  <c r="S62" i="1" l="1"/>
  <c r="J105" i="1" l="1"/>
  <c r="S20" i="1" l="1"/>
  <c r="I15" i="1" l="1"/>
  <c r="I34" i="1" l="1"/>
  <c r="J15" i="1"/>
  <c r="I194" i="1"/>
  <c r="S186" i="1" l="1"/>
  <c r="J43" i="1" l="1"/>
  <c r="S43" i="1" l="1"/>
  <c r="S26" i="1" l="1"/>
  <c r="L100" i="1" l="1"/>
  <c r="Q100" i="1" l="1"/>
  <c r="Q102" i="1" s="1"/>
  <c r="L102" i="1"/>
  <c r="Q34" i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l="1"/>
  <c r="Q105" i="1"/>
  <c r="Q112" i="1" s="1"/>
  <c r="L147" i="1"/>
  <c r="Q147" i="1" s="1"/>
  <c r="S179" i="1" l="1"/>
  <c r="S178" i="1" l="1"/>
  <c r="S105" i="1"/>
  <c r="L87" i="1" l="1"/>
  <c r="Q87" i="1" s="1"/>
  <c r="Q95" i="1" s="1"/>
  <c r="S149" i="1" l="1"/>
  <c r="S181" i="1"/>
  <c r="S11" i="1" l="1"/>
  <c r="S180" i="1" l="1"/>
  <c r="S148" i="1"/>
  <c r="S177" i="1" l="1"/>
  <c r="S176" i="1" l="1"/>
  <c r="S48" i="1" l="1"/>
  <c r="L46" i="1"/>
  <c r="Q46" i="1" s="1"/>
  <c r="Q54" i="1" s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E10" i="10" s="1"/>
  <c r="D10" i="10" s="1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44" i="1" l="1"/>
  <c r="Q193" i="1" s="1"/>
  <c r="Q194" i="1" s="1"/>
  <c r="L193" i="1"/>
  <c r="S10" i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J72" i="1" l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48" i="68" s="1"/>
  <c r="S95" i="1"/>
  <c r="S54" i="1"/>
  <c r="S112" i="1"/>
  <c r="H42" i="68"/>
  <c r="H40" i="68"/>
  <c r="J34" i="1" l="1"/>
  <c r="S13" i="1"/>
  <c r="S34" i="1" s="1"/>
  <c r="H47" i="68"/>
  <c r="H44" i="68"/>
  <c r="H41" i="68"/>
  <c r="H45" i="68"/>
  <c r="J131" i="1"/>
  <c r="S123" i="1" l="1"/>
  <c r="S131" i="1" s="1"/>
  <c r="H49" i="68" l="1"/>
  <c r="S100" i="1" l="1"/>
  <c r="S102" i="1" s="1"/>
  <c r="J193" i="1"/>
  <c r="H46" i="68" l="1"/>
  <c r="J194" i="1"/>
  <c r="S150" i="1"/>
  <c r="S193" i="1" s="1"/>
  <c r="S194" i="1" l="1"/>
  <c r="H50" i="68"/>
  <c r="H43" i="68" l="1"/>
  <c r="E194" i="1"/>
  <c r="G23" i="68"/>
  <c r="G26" i="68"/>
  <c r="H39" i="68"/>
  <c r="H20" i="68"/>
  <c r="G25" i="68"/>
  <c r="G24" i="68"/>
  <c r="H28" i="68" l="1"/>
  <c r="H51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27" i="131" l="1"/>
  <c r="Q13" i="131"/>
  <c r="Q11" i="131"/>
  <c r="Q18" i="131"/>
  <c r="Q12" i="131"/>
  <c r="Q7" i="131"/>
</calcChain>
</file>

<file path=xl/sharedStrings.xml><?xml version="1.0" encoding="utf-8"?>
<sst xmlns="http://schemas.openxmlformats.org/spreadsheetml/2006/main" count="12175" uniqueCount="1185">
  <si>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</si>
  <si>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</si>
  <si>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</si>
  <si>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</si>
  <si>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</si>
  <si>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</si>
  <si>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</si>
  <si>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</si>
  <si>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</si>
  <si>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</si>
  <si>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</si>
  <si>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</si>
  <si>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</si>
  <si>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</si>
  <si>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</si>
  <si>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</si>
  <si>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</si>
  <si>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</si>
  <si>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</si>
  <si>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</si>
  <si>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</si>
  <si>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</si>
  <si>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</si>
  <si>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</si>
  <si>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</si>
  <si>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</si>
  <si>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</si>
  <si>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</si>
  <si>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</si>
  <si>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</si>
  <si>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</si>
  <si>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</si>
  <si>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</si>
  <si>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</si>
  <si>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</si>
  <si>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</si>
  <si>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</si>
  <si>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</si>
  <si>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</si>
  <si>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</si>
  <si>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</si>
  <si>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</si>
  <si>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</si>
  <si>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</si>
  <si>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</si>
  <si>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</si>
  <si>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</si>
  <si>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</si>
  <si>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</si>
  <si>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</si>
  <si>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</si>
  <si>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</si>
  <si>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</si>
  <si>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</si>
  <si>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</si>
  <si>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</si>
  <si>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</si>
  <si>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</si>
  <si>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</si>
  <si>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</si>
  <si>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</si>
  <si>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</si>
  <si>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</si>
  <si>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</si>
  <si>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</si>
  <si>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</si>
  <si>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</si>
  <si>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</si>
  <si>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</si>
  <si>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</si>
  <si>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</si>
  <si>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</si>
  <si>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</si>
  <si>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</si>
  <si>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</si>
  <si>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</si>
  <si>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</si>
  <si>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</si>
  <si>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</si>
  <si>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</si>
  <si>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</si>
  <si>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</si>
  <si>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</si>
  <si>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</si>
  <si>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</si>
  <si>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</si>
  <si>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</si>
  <si>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</si>
  <si>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</si>
  <si>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</si>
  <si>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</si>
  <si>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</si>
  <si>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</si>
  <si>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</si>
  <si>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</si>
  <si>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</si>
  <si>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</si>
  <si>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</si>
  <si>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</si>
  <si>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</si>
  <si>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</si>
  <si>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</si>
  <si>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</si>
  <si>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</si>
  <si>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</si>
  <si>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</si>
  <si>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</si>
  <si>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</si>
  <si>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</si>
  <si>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</si>
  <si>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</si>
  <si>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</si>
  <si>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</si>
  <si>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</si>
  <si>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</si>
  <si>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</si>
  <si>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</si>
  <si>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</si>
  <si>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</si>
  <si>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</si>
  <si>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</si>
  <si>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</si>
  <si>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</si>
  <si>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</si>
  <si>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</si>
  <si>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</si>
  <si>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</si>
  <si>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</si>
  <si>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</si>
  <si>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</si>
  <si>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</si>
  <si>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</si>
  <si>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</si>
  <si>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</si>
  <si>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</si>
  <si>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</si>
  <si>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</si>
  <si>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</si>
  <si>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</si>
  <si>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</si>
  <si>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</si>
  <si>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</si>
  <si>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</si>
  <si>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</si>
  <si>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</si>
  <si>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</si>
  <si>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</si>
  <si>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</si>
  <si>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</si>
  <si>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</si>
  <si>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</si>
  <si>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</si>
  <si>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</si>
  <si>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</si>
  <si>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</si>
  <si>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</si>
  <si>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</si>
  <si>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</si>
  <si>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</si>
  <si>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</si>
  <si>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</si>
  <si>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</si>
  <si>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</si>
  <si>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</si>
  <si>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</si>
  <si>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</si>
  <si>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</si>
  <si>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</si>
  <si>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</si>
  <si>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</si>
  <si>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</si>
  <si>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</si>
  <si>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</si>
  <si>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</si>
  <si>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</si>
  <si>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</si>
  <si>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</si>
  <si>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</si>
  <si>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</si>
  <si>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</si>
  <si>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</si>
  <si>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</si>
  <si>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</si>
  <si>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</si>
  <si>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</si>
  <si>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</si>
  <si>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</si>
  <si>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</si>
  <si>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</si>
  <si>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</si>
  <si>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</si>
  <si>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</si>
  <si>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</si>
  <si>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</si>
  <si>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</si>
  <si>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</si>
  <si>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</si>
  <si>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</si>
  <si>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</si>
  <si>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</si>
  <si>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</si>
  <si>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</si>
  <si>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</si>
  <si>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</si>
  <si>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</si>
  <si>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</si>
  <si>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</si>
  <si>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</si>
  <si>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</si>
  <si>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</si>
  <si>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</si>
  <si>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</si>
  <si>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</si>
  <si>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</si>
  <si>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</si>
  <si>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</si>
  <si>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</si>
  <si>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</si>
  <si>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</si>
  <si>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</si>
  <si>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</si>
  <si>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</si>
  <si>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</si>
  <si>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</si>
  <si>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</si>
  <si>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</si>
  <si>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</si>
  <si>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</si>
  <si>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</si>
  <si>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</si>
  <si>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</si>
  <si>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</si>
  <si>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</si>
  <si>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</si>
  <si>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</si>
  <si>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</si>
  <si>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</si>
  <si>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</si>
  <si>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</si>
  <si>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</si>
  <si>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</si>
  <si>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</si>
  <si>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</si>
  <si>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</si>
  <si>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</si>
  <si>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</si>
  <si>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</si>
  <si>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</si>
  <si>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</si>
  <si>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</si>
  <si>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</si>
  <si>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</si>
  <si>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</si>
  <si>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</si>
  <si>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</si>
  <si>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</si>
  <si>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</si>
  <si>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</si>
  <si>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</si>
  <si>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</si>
  <si>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</si>
  <si>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</si>
  <si>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</si>
  <si>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</si>
  <si>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</si>
  <si>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</si>
  <si>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</si>
  <si>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</si>
  <si>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</si>
  <si>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</si>
  <si>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</si>
  <si>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</si>
  <si>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</si>
  <si>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</si>
  <si>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</si>
  <si>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</si>
  <si>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</si>
  <si>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</si>
  <si>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</si>
  <si>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</si>
  <si>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</si>
  <si>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</si>
  <si>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</si>
  <si>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</si>
  <si>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</si>
  <si>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</si>
  <si>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</si>
  <si>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</si>
  <si>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</si>
  <si>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</si>
  <si>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</si>
  <si>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</si>
  <si>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</si>
  <si>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</si>
  <si>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</si>
  <si>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</si>
  <si>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</si>
  <si>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</si>
  <si>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</si>
  <si>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</si>
  <si>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</si>
  <si>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</si>
  <si>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</si>
  <si>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</si>
  <si>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</si>
  <si>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</si>
  <si>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</si>
  <si>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</si>
  <si>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</si>
  <si>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</si>
  <si>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</si>
  <si>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</si>
  <si>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</si>
  <si>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</si>
  <si>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</si>
  <si>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</si>
  <si>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</si>
  <si>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</si>
  <si>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</si>
  <si>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</si>
  <si>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</si>
  <si>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</si>
  <si>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</si>
  <si>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</si>
  <si>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</si>
  <si>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</si>
  <si>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</si>
  <si>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</si>
  <si>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</si>
  <si>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</si>
  <si>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</si>
  <si>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</si>
  <si>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</si>
  <si>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</si>
  <si>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</si>
  <si>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</si>
  <si>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</si>
  <si>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</si>
  <si>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</si>
  <si>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</si>
  <si>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</si>
  <si>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</si>
  <si>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</si>
  <si>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</si>
  <si>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</si>
  <si>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</si>
  <si>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</si>
  <si>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</si>
  <si>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</si>
  <si>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</si>
  <si>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</si>
  <si>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</si>
  <si>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</si>
  <si>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</si>
  <si>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</si>
  <si>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</si>
  <si>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</si>
  <si>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</si>
  <si>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</si>
  <si>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</si>
  <si>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</si>
  <si>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</si>
  <si>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</si>
  <si>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</si>
  <si>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</si>
  <si>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</si>
  <si>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</si>
  <si>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</si>
  <si>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</si>
  <si>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</si>
  <si>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</si>
  <si>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</si>
  <si>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</si>
  <si>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</si>
  <si>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</si>
  <si>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</si>
  <si>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</si>
  <si>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</si>
  <si>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</si>
  <si>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</si>
  <si>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</si>
  <si>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</si>
  <si>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</si>
  <si>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</si>
  <si>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</si>
  <si>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</si>
  <si>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</si>
  <si>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</si>
  <si>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</si>
  <si>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</si>
  <si>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</si>
  <si>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</si>
  <si>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</si>
  <si>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</si>
  <si>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</si>
  <si>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</si>
  <si>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</si>
  <si>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</si>
  <si>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</si>
  <si>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</si>
  <si>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</si>
  <si>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</si>
  <si>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</si>
  <si>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</si>
  <si>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</si>
  <si>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</si>
  <si>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</si>
  <si>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</si>
  <si>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</si>
  <si>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</si>
  <si>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</si>
  <si>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</si>
  <si>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</si>
  <si>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</si>
  <si>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</si>
  <si>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</si>
  <si>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</si>
  <si>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</si>
  <si>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</si>
  <si>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</si>
  <si>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</si>
  <si>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</si>
  <si>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</si>
  <si>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</si>
  <si>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</si>
  <si>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</si>
  <si>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</si>
  <si>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</si>
  <si>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</si>
  <si>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</si>
  <si>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</si>
  <si>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</si>
  <si>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</si>
  <si>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</si>
  <si>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</si>
  <si>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</si>
  <si>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</si>
  <si>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</si>
  <si>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</si>
  <si>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</si>
  <si>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</si>
  <si>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</si>
  <si>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</si>
  <si>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</si>
  <si>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</si>
  <si>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</si>
  <si>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</si>
  <si>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</si>
  <si>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</si>
  <si>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</si>
  <si>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</si>
  <si>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</si>
  <si>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</si>
  <si>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</si>
  <si>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</si>
  <si>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</si>
  <si>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</si>
  <si>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</si>
  <si>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</si>
  <si>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</si>
  <si>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</si>
  <si>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</si>
  <si>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</si>
  <si>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</si>
  <si>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</si>
  <si>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</si>
  <si>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</si>
  <si>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</si>
  <si>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</si>
  <si>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</si>
  <si>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</si>
  <si>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</si>
  <si>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</si>
  <si>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</si>
  <si>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</si>
  <si>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</si>
  <si>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</si>
  <si>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</si>
  <si>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</si>
  <si>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</si>
  <si>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</si>
  <si>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</si>
  <si>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</si>
  <si>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</si>
  <si>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</si>
  <si>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</si>
  <si>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</si>
  <si>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</si>
  <si>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</si>
  <si>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</si>
  <si>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</si>
  <si>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</si>
  <si>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</si>
  <si>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</si>
  <si>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</si>
  <si>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</si>
  <si>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</si>
  <si>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</si>
  <si>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</si>
  <si>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</si>
  <si>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</si>
  <si>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</si>
  <si>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</si>
  <si>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</si>
  <si>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</si>
  <si>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</si>
  <si>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</si>
  <si>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</si>
  <si>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</si>
  <si>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</si>
  <si>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</si>
  <si>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</si>
  <si>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</si>
  <si>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</si>
  <si>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</si>
  <si>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</si>
  <si>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</si>
  <si>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</si>
  <si>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</si>
  <si>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</si>
  <si>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</si>
  <si>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</si>
  <si>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</si>
  <si>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</si>
  <si>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</si>
  <si>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</si>
  <si>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</si>
  <si>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</si>
  <si>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</si>
  <si>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</si>
  <si>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</si>
  <si>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</si>
  <si>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</si>
  <si>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</si>
  <si>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</si>
  <si>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</si>
  <si>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</si>
  <si>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</si>
  <si>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</si>
  <si>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</si>
  <si>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</si>
  <si>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</si>
  <si>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</si>
  <si>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</si>
  <si>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</si>
  <si>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</si>
  <si>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</si>
  <si>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</si>
  <si>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</si>
  <si>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</si>
  <si>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</si>
  <si>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</si>
  <si>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</si>
  <si>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</si>
  <si>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</si>
  <si>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</si>
  <si>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</si>
  <si>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</si>
  <si>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</si>
  <si>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</si>
  <si>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</si>
  <si>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</si>
  <si>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</si>
  <si>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</si>
  <si>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</si>
  <si>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</si>
  <si>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</si>
  <si>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</si>
  <si>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</si>
  <si>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</si>
  <si>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</si>
  <si>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</si>
  <si>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</si>
  <si>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</si>
  <si>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</si>
  <si>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</si>
  <si>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</si>
  <si>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</si>
  <si>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</si>
  <si>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</si>
  <si>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</si>
  <si>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</si>
  <si>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</si>
  <si>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</si>
  <si>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</si>
  <si>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</si>
  <si>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</si>
  <si>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</si>
  <si>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</si>
  <si>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</si>
  <si>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</si>
  <si>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</si>
  <si>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</si>
  <si>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</si>
  <si>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</si>
  <si>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</si>
  <si>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</si>
  <si>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</si>
  <si>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</si>
  <si>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</si>
  <si>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</si>
  <si>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</si>
  <si>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</si>
  <si>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</si>
  <si>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</si>
  <si>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</si>
  <si>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</si>
  <si>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</si>
  <si>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</si>
  <si>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</si>
  <si>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</si>
  <si>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</si>
  <si>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</si>
  <si>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</si>
  <si>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</si>
  <si>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</si>
  <si>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</si>
  <si>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</si>
  <si>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</si>
  <si>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</si>
  <si>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</si>
  <si>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</si>
  <si>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</si>
  <si>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</si>
  <si>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</si>
  <si>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</si>
  <si>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</si>
  <si>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</si>
  <si>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</si>
  <si>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</si>
  <si>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</si>
  <si>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</si>
  <si>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</si>
  <si>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</si>
  <si>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</si>
  <si>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</si>
  <si>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</si>
  <si>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</si>
  <si>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</si>
  <si>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</si>
  <si>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</si>
  <si>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</si>
  <si>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</si>
  <si>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</si>
  <si>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</si>
  <si>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</si>
  <si>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</si>
  <si>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</si>
  <si>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</si>
  <si>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</si>
  <si>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</si>
  <si>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</si>
  <si>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</si>
  <si>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</si>
  <si>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</si>
  <si>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</si>
  <si>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</si>
  <si>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</si>
  <si>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</si>
  <si>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</si>
  <si>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</si>
  <si>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</si>
  <si>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</si>
  <si>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</si>
  <si>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</si>
  <si>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</si>
  <si>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</si>
  <si>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</si>
  <si>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</si>
  <si>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</si>
  <si>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</si>
  <si>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</si>
  <si>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</si>
  <si>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</si>
  <si>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</si>
  <si>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</si>
  <si>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</si>
  <si>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</si>
  <si>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</si>
  <si>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</si>
  <si>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</si>
  <si>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</si>
  <si>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</si>
  <si>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</si>
  <si>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</si>
  <si>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</si>
  <si>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</si>
  <si>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</si>
  <si>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</si>
  <si>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</si>
  <si>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</si>
  <si>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</si>
  <si>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</si>
  <si>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</si>
  <si>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</si>
  <si>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</si>
  <si>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</si>
  <si>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</si>
  <si>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</si>
  <si>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</si>
  <si>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</si>
  <si>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</si>
  <si>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</si>
  <si>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</si>
  <si>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</si>
  <si>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</si>
  <si>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</si>
  <si>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</si>
  <si>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</si>
  <si>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</si>
  <si>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</si>
  <si>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</si>
  <si>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</si>
  <si>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</si>
  <si>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</si>
  <si>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</si>
  <si>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</si>
  <si>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</si>
  <si>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</si>
  <si>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</si>
  <si>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</si>
  <si>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</si>
  <si>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</si>
  <si>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</si>
  <si>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</si>
  <si>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</si>
  <si>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</si>
  <si>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</si>
  <si>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</si>
  <si>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</si>
  <si>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</si>
  <si>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</si>
  <si>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</si>
  <si>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</si>
  <si>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</si>
  <si>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</si>
  <si>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</si>
  <si>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</si>
  <si>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</si>
  <si>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</si>
  <si>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</si>
  <si>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</si>
  <si>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</si>
  <si>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</si>
  <si>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</si>
  <si>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</si>
  <si>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</si>
  <si>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</si>
  <si>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</si>
  <si>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</si>
  <si>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</si>
  <si>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</si>
  <si>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</si>
  <si>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</si>
  <si>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</si>
  <si>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</si>
  <si>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</si>
  <si>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</si>
  <si>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</si>
  <si>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</si>
  <si>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</si>
  <si>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</si>
  <si>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</si>
  <si>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</si>
  <si>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</si>
  <si>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</si>
  <si>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</si>
  <si>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</si>
  <si>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</si>
  <si>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</si>
  <si>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</si>
  <si>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</si>
  <si>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</si>
  <si>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</si>
  <si>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</si>
  <si>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</si>
  <si>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</si>
  <si>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</si>
  <si>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</si>
  <si>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</si>
  <si>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</si>
  <si>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</si>
  <si>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</si>
  <si>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</si>
  <si>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</si>
  <si>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</si>
  <si>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</si>
  <si>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</si>
  <si>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</si>
  <si>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</si>
  <si>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</si>
  <si>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</si>
  <si>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</si>
  <si>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</si>
  <si>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</si>
  <si>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</si>
  <si>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</si>
  <si>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</si>
  <si>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</si>
  <si>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</si>
  <si>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</si>
  <si>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</si>
  <si>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</si>
  <si>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</si>
  <si>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</si>
  <si>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</si>
  <si>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</si>
  <si>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</si>
  <si>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</si>
  <si>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</si>
  <si>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</si>
  <si>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</si>
  <si>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</si>
  <si>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</si>
  <si>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</si>
  <si>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</si>
  <si>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</si>
  <si>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</si>
  <si>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</si>
  <si>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</si>
  <si>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</si>
  <si>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</si>
  <si>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</si>
  <si>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</si>
  <si>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</si>
  <si>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</si>
  <si>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</si>
  <si>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</si>
  <si>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</si>
  <si>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</si>
  <si>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</si>
  <si>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</si>
  <si>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</si>
  <si>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</si>
  <si>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</si>
  <si>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</si>
  <si>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</si>
  <si>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</si>
  <si>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</si>
  <si>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</si>
  <si>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</si>
  <si>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</si>
  <si>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</si>
  <si>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</si>
  <si>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</si>
  <si>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</si>
  <si>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</si>
  <si>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</si>
  <si>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</si>
  <si>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</si>
  <si>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</si>
  <si>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</si>
  <si>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</si>
  <si>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</si>
  <si>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</si>
  <si>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</si>
  <si>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</si>
  <si>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</si>
  <si>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</si>
  <si>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</si>
  <si>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</si>
  <si>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</si>
  <si>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</si>
  <si>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</si>
  <si>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</si>
  <si>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</si>
  <si>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</si>
  <si>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</si>
  <si>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</si>
  <si>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</si>
  <si>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</si>
  <si>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</si>
  <si>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</si>
  <si>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</si>
  <si>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</si>
  <si>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</si>
  <si>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</si>
  <si>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</si>
  <si>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</si>
  <si>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</si>
  <si>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</si>
  <si>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</si>
  <si>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</si>
  <si>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</si>
  <si>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</si>
  <si>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</si>
  <si>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</si>
  <si>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</si>
  <si>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</si>
  <si>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</si>
  <si>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</si>
  <si>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</si>
  <si>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</si>
  <si>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</si>
  <si>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</si>
  <si>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</si>
  <si>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</si>
  <si>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</si>
  <si>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</si>
  <si>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</si>
  <si>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</si>
  <si>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</si>
  <si>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</si>
  <si>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</si>
  <si>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</si>
  <si>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</si>
  <si>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</si>
  <si>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</si>
  <si>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</si>
  <si>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</si>
  <si>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</si>
  <si>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</si>
  <si>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</si>
  <si>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</si>
  <si>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</si>
  <si>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</si>
  <si>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</si>
  <si>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</si>
  <si>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</si>
  <si>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</si>
  <si>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</si>
  <si>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</si>
  <si>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</si>
  <si>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</si>
  <si>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</si>
  <si>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</si>
  <si>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</si>
  <si>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</si>
  <si>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</si>
  <si>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</si>
  <si>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</si>
  <si>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</si>
  <si>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</si>
  <si>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</si>
  <si>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</si>
  <si>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</si>
  <si>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</si>
  <si>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</si>
  <si>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</si>
  <si>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</si>
  <si>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</si>
  <si>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</si>
  <si>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</si>
  <si>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</si>
  <si>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</si>
  <si>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</si>
  <si>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</si>
  <si>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</si>
  <si>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</si>
  <si>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</si>
  <si>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</si>
  <si>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</si>
  <si>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</si>
  <si>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</si>
  <si>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</si>
  <si>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</si>
  <si>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</si>
  <si>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</si>
  <si>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</si>
  <si>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</si>
  <si>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</si>
  <si>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</si>
  <si>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</si>
  <si>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</si>
  <si>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</si>
  <si>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</si>
  <si>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</si>
  <si>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</si>
  <si>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</si>
  <si>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</si>
  <si>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</si>
  <si>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</si>
  <si>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</si>
  <si>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</si>
  <si>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</si>
  <si>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</si>
  <si>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</si>
  <si>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</si>
  <si>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</si>
  <si>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</si>
  <si>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</si>
  <si>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</si>
  <si>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</si>
  <si>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</si>
  <si>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</si>
  <si>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</si>
  <si>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</si>
  <si>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</si>
  <si>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</si>
  <si>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</si>
  <si>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</si>
  <si>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</si>
  <si>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</si>
  <si>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</si>
  <si>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</si>
  <si>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</si>
  <si>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</si>
  <si>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</si>
  <si>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</si>
  <si>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</si>
  <si>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</si>
  <si>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</si>
  <si>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</si>
  <si>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</si>
  <si>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</si>
  <si>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</si>
  <si>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</si>
  <si>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</si>
  <si>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</si>
  <si>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</si>
  <si>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</si>
  <si>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</si>
  <si>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</si>
  <si>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</si>
  <si>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</si>
  <si>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</si>
  <si>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</si>
  <si>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</si>
  <si>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</si>
  <si>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</si>
  <si>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</si>
  <si>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</si>
  <si>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</si>
  <si>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</si>
  <si>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</si>
  <si>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</si>
  <si>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</si>
  <si>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</si>
  <si>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</si>
  <si>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</si>
  <si>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</si>
  <si>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</si>
  <si>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</si>
  <si>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</si>
  <si>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</si>
  <si>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</si>
  <si>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</si>
  <si>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</si>
  <si>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</si>
  <si>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</si>
  <si>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</si>
  <si>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</si>
  <si>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</si>
  <si>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</si>
  <si>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</si>
  <si>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</si>
  <si>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</si>
  <si>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</si>
  <si>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</si>
  <si>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</si>
  <si>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</si>
  <si>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</si>
  <si>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</si>
  <si>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</si>
  <si>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</si>
  <si>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</si>
  <si>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</si>
  <si>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</si>
  <si>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</si>
  <si>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</si>
  <si>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</si>
  <si>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</si>
  <si>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</si>
  <si>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</si>
  <si>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</si>
  <si>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</si>
  <si>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</si>
  <si>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</si>
  <si>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</si>
  <si>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</si>
  <si>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</si>
  <si>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</si>
  <si>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</si>
  <si>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</si>
  <si>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</si>
  <si>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</si>
  <si>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</si>
  <si>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</si>
  <si>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</si>
  <si>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</si>
  <si>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</si>
  <si>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</si>
  <si>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</si>
  <si>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</si>
  <si>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</si>
  <si>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</si>
  <si>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</si>
  <si>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</si>
  <si>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</si>
  <si>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</si>
  <si>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</si>
  <si>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</si>
  <si>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</si>
  <si>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</si>
  <si>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</si>
  <si>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</si>
  <si>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</si>
  <si>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</si>
  <si>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</si>
  <si>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</si>
  <si>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</si>
  <si>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</si>
  <si>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</si>
  <si>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</si>
  <si>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</si>
  <si>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</si>
  <si>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</si>
  <si>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</si>
  <si>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</si>
  <si>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</si>
  <si>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</si>
  <si>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</si>
  <si>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</si>
  <si>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</si>
  <si>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</si>
  <si>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</si>
  <si>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</si>
  <si>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</si>
  <si>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</si>
  <si>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</si>
  <si>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</si>
  <si>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</si>
  <si>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</si>
  <si>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</si>
  <si>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</si>
  <si>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</si>
  <si>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</si>
  <si>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</si>
  <si>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</si>
  <si>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</si>
  <si>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</si>
  <si>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</si>
  <si>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</si>
  <si>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</si>
  <si>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</si>
  <si>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</si>
  <si>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</si>
  <si>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</si>
  <si>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</si>
  <si>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</si>
  <si>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</si>
  <si>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</si>
  <si>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</si>
  <si>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</si>
  <si>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</si>
  <si>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</si>
  <si>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</si>
  <si>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</si>
  <si>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</si>
  <si>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</si>
  <si>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</si>
  <si>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</si>
  <si>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</si>
  <si>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</si>
  <si>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</si>
  <si>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</si>
  <si>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</si>
  <si>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</si>
  <si>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</si>
  <si>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</si>
  <si>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</si>
  <si>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>EMPLOYEE NHF @ 2.25%</t>
  </si>
  <si>
    <t xml:space="preserve">OLD EMPLOYEE NHF </t>
  </si>
  <si>
    <t>Gross</t>
  </si>
  <si>
    <t>STAFF SALLAH WELFARE APRIL 2024</t>
  </si>
  <si>
    <t>NET PAY AS PER  APRIL, 2024 PAYROLL</t>
  </si>
  <si>
    <t>APRIL, 2024</t>
  </si>
  <si>
    <t>ADJUSTED PAYE</t>
  </si>
  <si>
    <t>FOR 7 MONTHS</t>
  </si>
  <si>
    <t>TOTAL DIFF IN RES ALLOW</t>
  </si>
  <si>
    <t>NET DIFFERENCE</t>
  </si>
  <si>
    <t>PREPARED BY:  Rahila N. Habu                                        SIGNATURE………………..                                  DATE:  26TH APRIL, 2024</t>
  </si>
  <si>
    <t xml:space="preserve">SENIOR INTERNAL AUDITOR </t>
  </si>
  <si>
    <t>STAFF PAYROLL FOR THE MONTH OF MAY, 2024</t>
  </si>
  <si>
    <t>29TH MAY 2024</t>
  </si>
  <si>
    <t>SUBJECT: PAYROLL FOR THE MONTH OF MAY 2024</t>
  </si>
  <si>
    <t>Find below the details of NILDS Staff Payroll for the Month of  May, 2024:</t>
  </si>
  <si>
    <t>GROSS SALARY FOR  MAY, 2024</t>
  </si>
  <si>
    <t>TOTAL DEDUCTIONS FOR  MAY 2024</t>
  </si>
  <si>
    <t>NET PAY AS PER  MAY 2024 PAYROLL</t>
  </si>
  <si>
    <t>NET INCREASE/ (DECREASE)  IN PAY FOR  MAY, 2024</t>
  </si>
  <si>
    <t>Effect of Cooperative Adjustment for May, 2024</t>
  </si>
  <si>
    <t>MAY, 2024</t>
  </si>
  <si>
    <t>Effect of Removal of Arrears of Ayobolu Olufunsho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</si>
  <si>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N50,117,925.08 </t>
    </r>
    <r>
      <rPr>
        <sz val="14"/>
        <rFont val="Times New Roman"/>
        <family val="1"/>
      </rPr>
      <t xml:space="preserve">to Guaranty Trust Bank  being May, 2024 Salary, </t>
    </r>
    <r>
      <rPr>
        <b/>
        <sz val="14"/>
        <rFont val="Times New Roman"/>
        <family val="1"/>
      </rPr>
      <t xml:space="preserve">N14,348,125.00 </t>
    </r>
    <r>
      <rPr>
        <sz val="14"/>
        <rFont val="Times New Roman"/>
        <family val="1"/>
      </rPr>
      <t>being NILDS Coop Society deductions for May 2024,</t>
    </r>
    <r>
      <rPr>
        <b/>
        <sz val="14"/>
        <rFont val="Times New Roman"/>
        <family val="1"/>
      </rPr>
      <t xml:space="preserve"> N11,600,740.35   </t>
    </r>
    <r>
      <rPr>
        <sz val="14"/>
        <rFont val="Times New Roman"/>
        <family val="1"/>
      </rPr>
      <t xml:space="preserve">being PAYE Tax Deductions from Staff Salary for the month  of May 2024 and </t>
    </r>
    <r>
      <rPr>
        <b/>
        <sz val="14"/>
        <rFont val="Times New Roman"/>
        <family val="1"/>
      </rPr>
      <t xml:space="preserve">N226,658.47 </t>
    </r>
    <r>
      <rPr>
        <sz val="14"/>
        <rFont val="Times New Roman"/>
        <family val="1"/>
      </rPr>
      <t xml:space="preserve"> being NHF deductions from staff for May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</si>
</sst>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3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5" fontId="4" fillId="8" borderId="1" xfId="0" applyNumberFormat="1" applyFont="1" applyFill="1" applyBorder="1"/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8" borderId="1" xfId="0" applyNumberFormat="1" applyFont="1" applyFill="1" applyBorder="1"/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0" fontId="28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Alignment="1">
      <alignment horizontal="center"/>
    </xf>
    <xf numFmtId="0" fontId="37" fillId="4" borderId="0" xfId="0" applyFont="1" applyFill="1"/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66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67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4.xml"/><Relationship Id="rId65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218287.58333333334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zoomScaleNormal="100" zoomScaleSheetLayoutView="50" workbookViewId="0">
      <pane xSplit="3" ySplit="7" topLeftCell="D18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0" ht="33.75" customHeight="1">
      <c r="A2" s="164" t="s">
        <v>1173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1166</v>
      </c>
      <c r="S4" s="220" t="s">
        <v>1182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256"/>
      <c r="R6" s="177"/>
      <c r="S6" s="215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203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257">
        <f>O7+N7+M7+L7+K7+P7</f>
        <v>350184.01073066675</v>
      </c>
      <c r="R7" s="23">
        <v>1584802.1562693331</v>
      </c>
      <c r="S7" s="206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203">
        <f t="shared" ref="J8:J33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257">
        <f t="shared" ref="Q8:Q33" si="1">O8+N8+M8+L8+K8+P8</f>
        <v>460802.11616000003</v>
      </c>
      <c r="R8" s="23">
        <v>641571.05050666654</v>
      </c>
      <c r="S8" s="206">
        <f t="shared" ref="S8:S33" si="2">J8-Q8</f>
        <v>491571.05050666659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203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257">
        <f t="shared" si="1"/>
        <v>199922.31466666728</v>
      </c>
      <c r="R9" s="23">
        <v>952450.85199999926</v>
      </c>
      <c r="S9" s="206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203">
        <f t="shared" si="0"/>
        <v>942373.16666666663</v>
      </c>
      <c r="K10" s="23"/>
      <c r="L10" s="25">
        <f>50000</f>
        <v>50000</v>
      </c>
      <c r="M10" s="25">
        <v>103000</v>
      </c>
      <c r="N10" s="23">
        <v>10293.397916666669</v>
      </c>
      <c r="O10" s="25">
        <v>147687.52761066667</v>
      </c>
      <c r="P10" s="25">
        <v>60989.853333333333</v>
      </c>
      <c r="Q10" s="257">
        <f t="shared" si="1"/>
        <v>371970.77886066667</v>
      </c>
      <c r="R10" s="23">
        <v>570402.38780599996</v>
      </c>
      <c r="S10" s="206">
        <f t="shared" si="2"/>
        <v>570402.38780599996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203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257">
        <f t="shared" si="1"/>
        <v>560190.5788606673</v>
      </c>
      <c r="R11" s="23">
        <v>542182.58780599921</v>
      </c>
      <c r="S11" s="206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203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257">
        <f t="shared" si="1"/>
        <v>322388.98466666671</v>
      </c>
      <c r="R12" s="23">
        <v>729984.1819999998</v>
      </c>
      <c r="S12" s="206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203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257">
        <f t="shared" si="1"/>
        <v>381136.23945666669</v>
      </c>
      <c r="R13" s="23">
        <v>369539.34387666668</v>
      </c>
      <c r="S13" s="206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203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257">
        <f t="shared" si="1"/>
        <v>204892.18759133329</v>
      </c>
      <c r="R14" s="23">
        <v>737225.89574200008</v>
      </c>
      <c r="S14" s="206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203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257">
        <f t="shared" si="1"/>
        <v>116416.34586666667</v>
      </c>
      <c r="R15" s="23">
        <v>437957.40413333336</v>
      </c>
      <c r="S15" s="206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203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257">
        <f t="shared" si="1"/>
        <v>185895.27338666664</v>
      </c>
      <c r="R16" s="23">
        <v>574602.72661333333</v>
      </c>
      <c r="S16" s="206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203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257">
        <f t="shared" si="1"/>
        <v>237173.12842666666</v>
      </c>
      <c r="R17" s="23">
        <v>595573.3715733334</v>
      </c>
      <c r="S17" s="206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203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257">
        <f t="shared" si="1"/>
        <v>105491.48048</v>
      </c>
      <c r="R18" s="287">
        <v>406313.43618666672</v>
      </c>
      <c r="S18" s="206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203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257">
        <f t="shared" si="1"/>
        <v>266783.64752</v>
      </c>
      <c r="R19" s="23">
        <v>282132.26914666675</v>
      </c>
      <c r="S19" s="206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203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257">
        <f t="shared" si="1"/>
        <v>258197.56388333335</v>
      </c>
      <c r="R20" s="23">
        <v>477829.35278333339</v>
      </c>
      <c r="S20" s="206">
        <f t="shared" si="2"/>
        <v>477829.35278333339</v>
      </c>
      <c r="T20" s="179"/>
    </row>
    <row r="21" spans="1:20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203">
        <f t="shared" si="0"/>
        <v>537895.16666666674</v>
      </c>
      <c r="K21" s="23"/>
      <c r="L21" s="23">
        <f>20000+30000</f>
        <v>50000</v>
      </c>
      <c r="M21" s="23">
        <f>111833.33</f>
        <v>111833.33</v>
      </c>
      <c r="N21" s="23"/>
      <c r="O21" s="25">
        <v>76138.068906666667</v>
      </c>
      <c r="P21" s="25">
        <v>30231.613333333335</v>
      </c>
      <c r="Q21" s="257">
        <f t="shared" si="1"/>
        <v>268203.01224000001</v>
      </c>
      <c r="R21" s="23">
        <v>269692.15442666673</v>
      </c>
      <c r="S21" s="206">
        <f t="shared" si="2"/>
        <v>269692.15442666673</v>
      </c>
      <c r="T21" s="179"/>
    </row>
    <row r="22" spans="1:20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f>100000+100000</f>
        <v>200000</v>
      </c>
      <c r="J22" s="203">
        <f t="shared" si="0"/>
        <v>653512.5</v>
      </c>
      <c r="K22" s="23"/>
      <c r="L22" s="23">
        <f>50000+100000</f>
        <v>150000</v>
      </c>
      <c r="M22" s="23"/>
      <c r="N22" s="23"/>
      <c r="O22" s="25">
        <f>'Additional Leg Duty Allowance'!P15</f>
        <v>98711.114666666675</v>
      </c>
      <c r="P22" s="25">
        <v>28281</v>
      </c>
      <c r="Q22" s="257">
        <f t="shared" si="1"/>
        <v>276992.11466666666</v>
      </c>
      <c r="R22" s="23">
        <v>376520.38533333334</v>
      </c>
      <c r="S22" s="206">
        <f t="shared" si="2"/>
        <v>376520.38533333334</v>
      </c>
      <c r="T22" s="179"/>
    </row>
    <row r="23" spans="1:20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203">
        <f t="shared" si="0"/>
        <v>463512.5</v>
      </c>
      <c r="K23" s="23"/>
      <c r="L23" s="23">
        <v>0</v>
      </c>
      <c r="M23" s="23"/>
      <c r="N23" s="23"/>
      <c r="O23" s="25">
        <v>62231.114666666661</v>
      </c>
      <c r="P23" s="25">
        <v>28281</v>
      </c>
      <c r="Q23" s="257">
        <f t="shared" si="1"/>
        <v>90512.114666666661</v>
      </c>
      <c r="R23" s="23">
        <v>373000.38533333334</v>
      </c>
      <c r="S23" s="206">
        <f t="shared" si="2"/>
        <v>373000.38533333334</v>
      </c>
      <c r="T23" s="179"/>
    </row>
    <row r="24" spans="1:20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f>100000+100000</f>
        <v>200000</v>
      </c>
      <c r="J24" s="203">
        <f t="shared" si="0"/>
        <v>553029.66666666674</v>
      </c>
      <c r="K24" s="23"/>
      <c r="L24" s="23">
        <v>130000</v>
      </c>
      <c r="M24" s="23"/>
      <c r="N24" s="23"/>
      <c r="O24" s="25">
        <f>'Additional Leg Duty Allowance'!P16</f>
        <v>80347.426986666716</v>
      </c>
      <c r="P24" s="25">
        <v>23442.373333333337</v>
      </c>
      <c r="Q24" s="257">
        <f t="shared" si="1"/>
        <v>233789.80032000004</v>
      </c>
      <c r="R24" s="23">
        <v>319239.86634666671</v>
      </c>
      <c r="S24" s="206">
        <f t="shared" si="2"/>
        <v>319239.86634666671</v>
      </c>
      <c r="T24" s="179"/>
    </row>
    <row r="25" spans="1:20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203">
        <f t="shared" si="0"/>
        <v>330481.66666666669</v>
      </c>
      <c r="K25" s="23"/>
      <c r="L25" s="23">
        <v>10000</v>
      </c>
      <c r="M25" s="23">
        <f>20000</f>
        <v>20000</v>
      </c>
      <c r="N25" s="23"/>
      <c r="O25" s="25">
        <v>39052.313066666662</v>
      </c>
      <c r="P25" s="25">
        <v>21638.533333333336</v>
      </c>
      <c r="Q25" s="257">
        <f t="shared" si="1"/>
        <v>90690.846399999995</v>
      </c>
      <c r="R25" s="23">
        <v>239790.82026666671</v>
      </c>
      <c r="S25" s="206">
        <f t="shared" si="2"/>
        <v>239790.82026666671</v>
      </c>
      <c r="T25" s="179"/>
    </row>
    <row r="26" spans="1:20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203">
        <f t="shared" si="0"/>
        <v>330481.66666666669</v>
      </c>
      <c r="K26" s="23"/>
      <c r="L26" s="23"/>
      <c r="M26" s="23"/>
      <c r="N26" s="23"/>
      <c r="O26" s="25">
        <v>39052.313066666662</v>
      </c>
      <c r="P26" s="25">
        <v>21638.533333333336</v>
      </c>
      <c r="Q26" s="257">
        <f t="shared" si="1"/>
        <v>60690.846399999995</v>
      </c>
      <c r="R26" s="23">
        <v>269790.82026666671</v>
      </c>
      <c r="S26" s="206">
        <f t="shared" si="2"/>
        <v>269790.82026666671</v>
      </c>
      <c r="T26" s="179"/>
    </row>
    <row r="27" spans="1:20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203">
        <f t="shared" si="0"/>
        <v>370481.66666666669</v>
      </c>
      <c r="K27" s="23"/>
      <c r="L27" s="23">
        <f>10000</f>
        <v>10000</v>
      </c>
      <c r="M27" s="23">
        <f>95833.33</f>
        <v>95833.33</v>
      </c>
      <c r="N27" s="23"/>
      <c r="O27" s="25">
        <v>45772.313066666677</v>
      </c>
      <c r="P27" s="25">
        <v>21638.533333333336</v>
      </c>
      <c r="Q27" s="257">
        <f t="shared" si="1"/>
        <v>173244.1764</v>
      </c>
      <c r="R27" s="23">
        <v>197237.49026666669</v>
      </c>
      <c r="S27" s="206">
        <f t="shared" si="2"/>
        <v>197237.49026666669</v>
      </c>
      <c r="T27" s="179"/>
    </row>
    <row r="28" spans="1:20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203">
        <f t="shared" si="0"/>
        <v>323165.33333333331</v>
      </c>
      <c r="K28" s="25"/>
      <c r="L28" s="23">
        <f>20000</f>
        <v>20000</v>
      </c>
      <c r="M28" s="23">
        <f>17500</f>
        <v>17500</v>
      </c>
      <c r="N28" s="23"/>
      <c r="O28" s="25">
        <v>37921.500586666662</v>
      </c>
      <c r="P28" s="25">
        <v>21053.226666666666</v>
      </c>
      <c r="Q28" s="257">
        <f t="shared" si="1"/>
        <v>96474.727253333331</v>
      </c>
      <c r="R28" s="23">
        <v>226690.60608</v>
      </c>
      <c r="S28" s="206">
        <f t="shared" si="2"/>
        <v>226690.60608</v>
      </c>
      <c r="T28" s="179"/>
    </row>
    <row r="29" spans="1:20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203">
        <f t="shared" si="0"/>
        <v>315849</v>
      </c>
      <c r="K29" s="23"/>
      <c r="L29" s="23">
        <f>30000+20000</f>
        <v>50000</v>
      </c>
      <c r="M29" s="23">
        <v>0</v>
      </c>
      <c r="N29" s="23"/>
      <c r="O29" s="25">
        <v>36790.688106666661</v>
      </c>
      <c r="P29" s="25">
        <v>20467.920000000002</v>
      </c>
      <c r="Q29" s="257">
        <f t="shared" si="1"/>
        <v>107258.60810666667</v>
      </c>
      <c r="R29" s="23">
        <v>208590.39189333335</v>
      </c>
      <c r="S29" s="206">
        <f t="shared" si="2"/>
        <v>208590.39189333335</v>
      </c>
      <c r="T29" s="179"/>
    </row>
    <row r="30" spans="1:20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203">
        <f t="shared" si="0"/>
        <v>315849</v>
      </c>
      <c r="K30" s="23"/>
      <c r="L30" s="23"/>
      <c r="M30" s="23">
        <v>0</v>
      </c>
      <c r="N30" s="23"/>
      <c r="O30" s="25">
        <v>36790.688106666661</v>
      </c>
      <c r="P30" s="25">
        <v>20467.920000000002</v>
      </c>
      <c r="Q30" s="257">
        <f t="shared" si="1"/>
        <v>57258.608106666667</v>
      </c>
      <c r="R30" s="23">
        <v>258590.39189333335</v>
      </c>
      <c r="S30" s="206">
        <f t="shared" si="2"/>
        <v>258590.39189333335</v>
      </c>
      <c r="T30" s="179"/>
    </row>
    <row r="31" spans="1:20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203">
        <f t="shared" si="0"/>
        <v>330481.66666666669</v>
      </c>
      <c r="K31" s="23"/>
      <c r="L31" s="23">
        <f>50000+50000</f>
        <v>100000</v>
      </c>
      <c r="M31" s="23">
        <v>50000</v>
      </c>
      <c r="N31" s="23"/>
      <c r="O31" s="178">
        <v>39052.313066666662</v>
      </c>
      <c r="P31" s="178">
        <v>21638.533333333336</v>
      </c>
      <c r="Q31" s="257">
        <f t="shared" si="1"/>
        <v>210690.84639999998</v>
      </c>
      <c r="R31" s="23">
        <v>119790.82026666671</v>
      </c>
      <c r="S31" s="206">
        <f t="shared" si="2"/>
        <v>119790.82026666671</v>
      </c>
      <c r="T31" s="179"/>
    </row>
    <row r="32" spans="1:20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203">
        <f t="shared" si="0"/>
        <v>280631.91666666663</v>
      </c>
      <c r="K32" s="23"/>
      <c r="L32" s="23">
        <f>0</f>
        <v>0</v>
      </c>
      <c r="M32" s="23">
        <f>26666.67</f>
        <v>26666.67</v>
      </c>
      <c r="N32" s="23"/>
      <c r="O32" s="25">
        <v>31213.135706666657</v>
      </c>
      <c r="P32" s="25">
        <v>18450.553333333333</v>
      </c>
      <c r="Q32" s="257">
        <f t="shared" si="1"/>
        <v>76330.359039999981</v>
      </c>
      <c r="R32" s="23">
        <v>204301.55762666665</v>
      </c>
      <c r="S32" s="206">
        <f t="shared" si="2"/>
        <v>204301.55762666665</v>
      </c>
      <c r="T32" s="179"/>
    </row>
    <row r="33" spans="1:20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203">
        <f t="shared" si="0"/>
        <v>274459.75</v>
      </c>
      <c r="K33" s="23"/>
      <c r="L33" s="23">
        <v>20000</v>
      </c>
      <c r="M33" s="23">
        <v>0</v>
      </c>
      <c r="N33" s="23"/>
      <c r="O33" s="25">
        <v>30259.165626666669</v>
      </c>
      <c r="P33" s="25">
        <v>17956.78</v>
      </c>
      <c r="Q33" s="257">
        <f t="shared" si="1"/>
        <v>68215.945626666668</v>
      </c>
      <c r="R33" s="23">
        <v>206243.80437333335</v>
      </c>
      <c r="S33" s="206">
        <f t="shared" si="2"/>
        <v>206243.80437333335</v>
      </c>
      <c r="T33" s="179"/>
    </row>
    <row r="34" spans="1:20" ht="26.25" customHeight="1">
      <c r="A34" s="28"/>
      <c r="B34" s="158" t="s">
        <v>15</v>
      </c>
      <c r="C34" s="29">
        <v>27</v>
      </c>
      <c r="D34" s="180"/>
      <c r="E34" s="182">
        <v>13048608.166999994</v>
      </c>
      <c r="F34" s="182">
        <f>SUM(F7:F33)</f>
        <v>0</v>
      </c>
      <c r="G34" s="182">
        <f t="shared" ref="G34:Q34" si="7">SUM(G7:G33)</f>
        <v>1420000</v>
      </c>
      <c r="H34" s="182">
        <f t="shared" si="7"/>
        <v>1160000</v>
      </c>
      <c r="I34" s="182">
        <f t="shared" si="7"/>
        <v>2225235</v>
      </c>
      <c r="J34" s="182">
        <f t="shared" si="7"/>
        <v>17853843.166999996</v>
      </c>
      <c r="K34" s="182">
        <f t="shared" si="7"/>
        <v>0</v>
      </c>
      <c r="L34" s="182">
        <f t="shared" si="7"/>
        <v>1160000</v>
      </c>
      <c r="M34" s="182">
        <f t="shared" si="7"/>
        <v>1147833.1299999999</v>
      </c>
      <c r="N34" s="182">
        <f t="shared" si="7"/>
        <v>42433.831250000003</v>
      </c>
      <c r="O34" s="182">
        <f t="shared" si="7"/>
        <v>2692400.8416000013</v>
      </c>
      <c r="P34" s="182">
        <f t="shared" si="7"/>
        <v>789128.85333333351</v>
      </c>
      <c r="Q34" s="182">
        <f t="shared" si="7"/>
        <v>5831796.656183335</v>
      </c>
      <c r="R34" s="182">
        <v>12172046.510816658</v>
      </c>
      <c r="S34" s="182">
        <f>SUM(S7:S33)</f>
        <v>12022046.510816658</v>
      </c>
      <c r="T34" s="179"/>
    </row>
    <row r="35" spans="1:20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210"/>
      <c r="K35" s="182"/>
      <c r="L35" s="182"/>
      <c r="M35" s="182"/>
      <c r="N35" s="182"/>
      <c r="O35" s="182"/>
      <c r="P35" s="182"/>
      <c r="Q35" s="258"/>
      <c r="R35" s="182"/>
      <c r="S35" s="216"/>
      <c r="T35" s="179"/>
    </row>
    <row r="36" spans="1:20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203"/>
      <c r="K36" s="23"/>
      <c r="L36" s="23"/>
      <c r="M36" s="23"/>
      <c r="N36" s="23"/>
      <c r="O36" s="25"/>
      <c r="P36" s="25"/>
      <c r="Q36" s="257"/>
      <c r="R36" s="23"/>
      <c r="S36" s="206"/>
      <c r="T36" s="179"/>
    </row>
    <row r="37" spans="1:20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203">
        <f>SUM(E37:I37)</f>
        <v>1535720</v>
      </c>
      <c r="K37" s="23">
        <f>'MAY 2024'!F196</f>
        <v>0</v>
      </c>
      <c r="L37" s="23">
        <f>200000+200000</f>
        <v>400000</v>
      </c>
      <c r="M37" s="23">
        <v>0</v>
      </c>
      <c r="N37" s="23"/>
      <c r="O37" s="25">
        <v>251472.24746666662</v>
      </c>
      <c r="P37" s="25">
        <v>114857.60000000001</v>
      </c>
      <c r="Q37" s="257">
        <f>O37+N37+M37+L37+K37+P37</f>
        <v>766329.8474666666</v>
      </c>
      <c r="R37" s="23">
        <v>769390.1525333334</v>
      </c>
      <c r="S37" s="206">
        <f>J37-Q37</f>
        <v>769390.1525333334</v>
      </c>
      <c r="T37" s="179"/>
    </row>
    <row r="38" spans="1:20" ht="18.75" customHeight="1">
      <c r="A38" s="28">
        <v>2</v>
      </c>
      <c r="B38" s="156" t="s">
        <v>419</v>
      </c>
      <c r="C38" s="20" t="s">
        <v>1172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203">
        <f t="shared" ref="J38:J39" si="8">SUM(E38:I38)</f>
        <v>353029.66666666669</v>
      </c>
      <c r="K38" s="23"/>
      <c r="L38" s="23">
        <f>20000</f>
        <v>20000</v>
      </c>
      <c r="M38" s="23"/>
      <c r="N38" s="23"/>
      <c r="O38" s="25">
        <v>42537.331946666665</v>
      </c>
      <c r="P38" s="25">
        <v>23442.373333333337</v>
      </c>
      <c r="Q38" s="257">
        <f t="shared" ref="Q38:Q39" si="9">O38+N38+M38+L38+K38+P38</f>
        <v>85979.705279999995</v>
      </c>
      <c r="R38" s="23">
        <v>267049.96138666669</v>
      </c>
      <c r="S38" s="206">
        <f>J38-Q38</f>
        <v>267049.96138666669</v>
      </c>
      <c r="T38" s="179"/>
    </row>
    <row r="39" spans="1:20" ht="18.75" customHeight="1">
      <c r="A39" s="28">
        <v>3</v>
      </c>
      <c r="B39" s="155" t="s">
        <v>720</v>
      </c>
      <c r="C39" s="20" t="s">
        <v>1172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203">
        <f t="shared" si="8"/>
        <v>360965.58333333331</v>
      </c>
      <c r="K39" s="23"/>
      <c r="L39" s="23">
        <f>10000</f>
        <v>10000</v>
      </c>
      <c r="M39" s="23"/>
      <c r="N39" s="23"/>
      <c r="O39" s="25">
        <v>43763.90722666667</v>
      </c>
      <c r="P39" s="25">
        <v>24077.246666666666</v>
      </c>
      <c r="Q39" s="257">
        <f t="shared" si="9"/>
        <v>77841.153893333336</v>
      </c>
      <c r="R39" s="23">
        <v>283124.42943999998</v>
      </c>
      <c r="S39" s="206">
        <f>J39-Q39</f>
        <v>283124.42943999998</v>
      </c>
      <c r="T39" s="179"/>
    </row>
    <row r="40" spans="1:20" ht="19.5" customHeight="1">
      <c r="A40" s="28"/>
      <c r="B40" s="157"/>
      <c r="C40" s="29">
        <v>3</v>
      </c>
      <c r="D40" s="28"/>
      <c r="E40" s="182">
        <v>2029715.25</v>
      </c>
      <c r="F40" s="182">
        <f>SUM(F37:F39)</f>
        <v>0</v>
      </c>
      <c r="G40" s="182">
        <f t="shared" ref="G40:S40" si="10">SUM(G37:G39)</f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f t="shared" si="10"/>
        <v>0</v>
      </c>
      <c r="L40" s="182">
        <f t="shared" si="10"/>
        <v>430000</v>
      </c>
      <c r="M40" s="182">
        <f t="shared" si="10"/>
        <v>0</v>
      </c>
      <c r="N40" s="182">
        <v>0</v>
      </c>
      <c r="O40" s="182">
        <v>337773.48663999996</v>
      </c>
      <c r="P40" s="182">
        <f>SUM(P37:P39)</f>
        <v>162377.22</v>
      </c>
      <c r="Q40" s="182">
        <f t="shared" si="10"/>
        <v>930150.70663999999</v>
      </c>
      <c r="R40" s="182">
        <v>1319564.54336</v>
      </c>
      <c r="S40" s="182">
        <f t="shared" si="10"/>
        <v>1319564.54336</v>
      </c>
      <c r="T40" s="179"/>
    </row>
    <row r="41" spans="1:20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210"/>
      <c r="K41" s="182"/>
      <c r="L41" s="182"/>
      <c r="M41" s="182"/>
      <c r="N41" s="182"/>
      <c r="O41" s="182"/>
      <c r="P41" s="182"/>
      <c r="Q41" s="257"/>
      <c r="R41" s="23"/>
      <c r="S41" s="206"/>
      <c r="T41" s="179"/>
    </row>
    <row r="42" spans="1:20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203"/>
      <c r="K42" s="23"/>
      <c r="L42" s="23"/>
      <c r="M42" s="23"/>
      <c r="N42" s="23"/>
      <c r="O42" s="23"/>
      <c r="P42" s="23"/>
      <c r="Q42" s="257"/>
      <c r="R42" s="23"/>
      <c r="S42" s="206"/>
      <c r="T42" s="179"/>
    </row>
    <row r="43" spans="1:20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203">
        <f>SUM(E43:I43)</f>
        <v>1635720</v>
      </c>
      <c r="K43" s="23"/>
      <c r="L43" s="23">
        <f>400000</f>
        <v>400000</v>
      </c>
      <c r="M43" s="23">
        <v>0</v>
      </c>
      <c r="N43" s="23"/>
      <c r="O43" s="25">
        <v>270672.24746666662</v>
      </c>
      <c r="P43" s="25">
        <v>114857.60000000001</v>
      </c>
      <c r="Q43" s="257">
        <f>O43+N43+M43+L43+K43+P43</f>
        <v>785529.8474666666</v>
      </c>
      <c r="R43" s="23">
        <v>1050190.1525333333</v>
      </c>
      <c r="S43" s="206">
        <f>J43-Q43</f>
        <v>850190.1525333334</v>
      </c>
      <c r="T43" s="179"/>
    </row>
    <row r="44" spans="1:20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203">
        <f t="shared" ref="J44:J53" si="11">SUM(E44:I44)</f>
        <v>780675.58333333337</v>
      </c>
      <c r="K44" s="23"/>
      <c r="L44" s="23">
        <f>50000</f>
        <v>50000</v>
      </c>
      <c r="M44" s="23">
        <f>385000</f>
        <v>385000</v>
      </c>
      <c r="N44" s="23"/>
      <c r="O44" s="25">
        <v>119022.80170666667</v>
      </c>
      <c r="P44" s="25">
        <v>49654.046666666669</v>
      </c>
      <c r="Q44" s="257">
        <f t="shared" ref="Q44:Q53" si="12">O44+N44+M44+L44+K44+P44</f>
        <v>603676.84837333323</v>
      </c>
      <c r="R44" s="23">
        <v>176998.73496000015</v>
      </c>
      <c r="S44" s="206">
        <f t="shared" ref="S44:S53" si="13">J44-Q44</f>
        <v>176998.73496000015</v>
      </c>
      <c r="T44" s="179"/>
    </row>
    <row r="45" spans="1:20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203">
        <f t="shared" si="11"/>
        <v>919203.58333333337</v>
      </c>
      <c r="K45" s="23"/>
      <c r="L45" s="23">
        <f>80000+23000</f>
        <v>103000</v>
      </c>
      <c r="M45" s="23">
        <f>246905.96</f>
        <v>246905.96</v>
      </c>
      <c r="N45" s="23"/>
      <c r="O45" s="25">
        <v>143799.58762666667</v>
      </c>
      <c r="P45" s="25">
        <v>59136.286666666674</v>
      </c>
      <c r="Q45" s="257">
        <f t="shared" si="12"/>
        <v>552841.83429333335</v>
      </c>
      <c r="R45" s="23">
        <v>366361.74904000002</v>
      </c>
      <c r="S45" s="206">
        <f t="shared" si="13"/>
        <v>366361.74904000002</v>
      </c>
      <c r="T45" s="179"/>
    </row>
    <row r="46" spans="1:20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203">
        <f t="shared" si="11"/>
        <v>780675.58333333337</v>
      </c>
      <c r="K46" s="23"/>
      <c r="L46" s="23">
        <f>30000</f>
        <v>30000</v>
      </c>
      <c r="M46" s="23">
        <v>223059.88</v>
      </c>
      <c r="N46" s="23"/>
      <c r="O46" s="25">
        <v>119022.80170666667</v>
      </c>
      <c r="P46" s="25">
        <v>49654.046666666669</v>
      </c>
      <c r="Q46" s="257">
        <f t="shared" si="12"/>
        <v>421736.72837333335</v>
      </c>
      <c r="R46" s="23">
        <v>405709.85496000003</v>
      </c>
      <c r="S46" s="206">
        <f t="shared" si="13"/>
        <v>358938.85496000003</v>
      </c>
      <c r="T46" s="179"/>
    </row>
    <row r="47" spans="1:20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203">
        <f t="shared" si="11"/>
        <v>780675.58333333337</v>
      </c>
      <c r="K47" s="23"/>
      <c r="L47" s="23"/>
      <c r="M47" s="23"/>
      <c r="N47" s="23">
        <f>'New NHF Deduction'!G48</f>
        <v>8380.2270833333332</v>
      </c>
      <c r="O47" s="25">
        <v>118861.96570666666</v>
      </c>
      <c r="P47" s="25">
        <v>49654.046666666669</v>
      </c>
      <c r="Q47" s="257">
        <f t="shared" si="12"/>
        <v>176896.23945666666</v>
      </c>
      <c r="R47" s="23">
        <v>603779.34387666674</v>
      </c>
      <c r="S47" s="206">
        <f t="shared" si="13"/>
        <v>603779.34387666674</v>
      </c>
      <c r="T47" s="179"/>
    </row>
    <row r="48" spans="1:20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203">
        <f t="shared" si="11"/>
        <v>742118.08333333337</v>
      </c>
      <c r="K48" s="23"/>
      <c r="L48" s="23">
        <f>15000</f>
        <v>15000</v>
      </c>
      <c r="M48" s="23">
        <f>216666.67</f>
        <v>216666.67</v>
      </c>
      <c r="N48" s="23"/>
      <c r="O48" s="25">
        <v>112212.00490666665</v>
      </c>
      <c r="P48" s="25">
        <v>46569.44666666667</v>
      </c>
      <c r="Q48" s="257">
        <f t="shared" si="12"/>
        <v>390448.12157333334</v>
      </c>
      <c r="R48" s="23">
        <v>351669.96176000003</v>
      </c>
      <c r="S48" s="206">
        <f t="shared" si="13"/>
        <v>351669.96176000003</v>
      </c>
      <c r="T48" s="179"/>
    </row>
    <row r="49" spans="1:20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203">
        <f t="shared" si="11"/>
        <v>610498</v>
      </c>
      <c r="K49" s="23"/>
      <c r="L49" s="23"/>
      <c r="M49" s="23"/>
      <c r="N49" s="23">
        <v>0</v>
      </c>
      <c r="O49" s="23">
        <v>88655.433386666657</v>
      </c>
      <c r="P49" s="23">
        <v>37639.840000000004</v>
      </c>
      <c r="Q49" s="257">
        <f t="shared" si="12"/>
        <v>126295.27338666667</v>
      </c>
      <c r="R49" s="23">
        <v>484202.72661333333</v>
      </c>
      <c r="S49" s="206">
        <f t="shared" si="13"/>
        <v>484202.72661333333</v>
      </c>
      <c r="T49" s="179"/>
    </row>
    <row r="50" spans="1:20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203">
        <f t="shared" si="11"/>
        <v>400965.58333333331</v>
      </c>
      <c r="K50" s="23"/>
      <c r="L50" s="23"/>
      <c r="M50" s="23"/>
      <c r="N50" s="23"/>
      <c r="O50" s="25">
        <v>51029.227306666668</v>
      </c>
      <c r="P50" s="25">
        <v>24077.246666666666</v>
      </c>
      <c r="Q50" s="257">
        <f t="shared" si="12"/>
        <v>75106.473973333341</v>
      </c>
      <c r="R50" s="23">
        <v>325859.10936</v>
      </c>
      <c r="S50" s="206">
        <f t="shared" si="13"/>
        <v>325859.10936</v>
      </c>
      <c r="T50" s="179"/>
    </row>
    <row r="51" spans="1:20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203">
        <f t="shared" si="11"/>
        <v>363165.33333333331</v>
      </c>
      <c r="K51" s="23"/>
      <c r="L51" s="23"/>
      <c r="M51" s="23"/>
      <c r="N51" s="23"/>
      <c r="O51" s="25">
        <v>44641.500586666669</v>
      </c>
      <c r="P51" s="25">
        <v>21053.226666666666</v>
      </c>
      <c r="Q51" s="257">
        <f t="shared" si="12"/>
        <v>65694.727253333331</v>
      </c>
      <c r="R51" s="23">
        <v>297470.60608</v>
      </c>
      <c r="S51" s="206">
        <f t="shared" si="13"/>
        <v>297470.60608</v>
      </c>
      <c r="T51" s="179"/>
    </row>
    <row r="52" spans="1:20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203">
        <f t="shared" si="11"/>
        <v>363165.33333333331</v>
      </c>
      <c r="K52" s="23"/>
      <c r="L52" s="23"/>
      <c r="M52" s="23"/>
      <c r="N52" s="23"/>
      <c r="O52" s="25">
        <v>44641.500586666669</v>
      </c>
      <c r="P52" s="25">
        <v>21053.226666666666</v>
      </c>
      <c r="Q52" s="257">
        <f t="shared" si="12"/>
        <v>65694.727253333331</v>
      </c>
      <c r="R52" s="23">
        <v>297470.60608</v>
      </c>
      <c r="S52" s="206">
        <f t="shared" si="13"/>
        <v>297470.60608</v>
      </c>
      <c r="T52" s="179"/>
    </row>
    <row r="53" spans="1:20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203">
        <f t="shared" si="11"/>
        <v>363165.33333333331</v>
      </c>
      <c r="K53" s="23"/>
      <c r="L53" s="23"/>
      <c r="M53" s="23"/>
      <c r="N53" s="23"/>
      <c r="O53" s="25">
        <v>44641.500586666669</v>
      </c>
      <c r="P53" s="25">
        <v>21053.226666666666</v>
      </c>
      <c r="Q53" s="257">
        <f t="shared" si="12"/>
        <v>65694.727253333331</v>
      </c>
      <c r="R53" s="23">
        <v>297470.60608</v>
      </c>
      <c r="S53" s="206">
        <f t="shared" si="13"/>
        <v>297470.60608</v>
      </c>
      <c r="T53" s="179"/>
    </row>
    <row r="54" spans="1:20" ht="25.5" customHeight="1">
      <c r="A54" s="28"/>
      <c r="B54" s="158" t="s">
        <v>15</v>
      </c>
      <c r="C54" s="29">
        <v>11</v>
      </c>
      <c r="D54" s="29"/>
      <c r="E54" s="68">
        <v>6180027.9999999991</v>
      </c>
      <c r="F54" s="68"/>
      <c r="G54" s="68">
        <f t="shared" ref="G54:Q54" si="14">SUM(G43:G53)</f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f t="shared" si="14"/>
        <v>0</v>
      </c>
      <c r="L54" s="68">
        <f t="shared" si="14"/>
        <v>598000</v>
      </c>
      <c r="M54" s="68">
        <f t="shared" si="14"/>
        <v>1071632.51</v>
      </c>
      <c r="N54" s="68">
        <f t="shared" si="14"/>
        <v>8380.2270833333332</v>
      </c>
      <c r="O54" s="68">
        <v>1157200.5715733333</v>
      </c>
      <c r="P54" s="68">
        <v>494402.24000000011</v>
      </c>
      <c r="Q54" s="357">
        <f t="shared" si="14"/>
        <v>3329615.5486566657</v>
      </c>
      <c r="R54" s="68">
        <v>4657183.4513433343</v>
      </c>
      <c r="S54" s="336">
        <f>SUM(S43:S53)</f>
        <v>4410412.4513433333</v>
      </c>
      <c r="T54" s="179"/>
    </row>
    <row r="55" spans="1:20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211"/>
      <c r="K55" s="30"/>
      <c r="L55" s="30"/>
      <c r="M55" s="30"/>
      <c r="N55" s="30"/>
      <c r="O55" s="30"/>
      <c r="P55" s="30"/>
      <c r="Q55" s="259"/>
      <c r="R55" s="30"/>
      <c r="S55" s="217"/>
      <c r="T55" s="179"/>
    </row>
    <row r="56" spans="1:20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211"/>
      <c r="K56" s="30"/>
      <c r="L56" s="30"/>
      <c r="M56" s="30"/>
      <c r="N56" s="30"/>
      <c r="O56" s="30"/>
      <c r="P56" s="30"/>
      <c r="Q56" s="259"/>
      <c r="R56" s="30"/>
      <c r="S56" s="217"/>
      <c r="T56" s="179"/>
    </row>
    <row r="57" spans="1:20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203">
        <f>SUM(E57:I57)</f>
        <v>1635720</v>
      </c>
      <c r="K57" s="23"/>
      <c r="L57" s="23">
        <v>120000</v>
      </c>
      <c r="M57" s="23"/>
      <c r="N57" s="23">
        <v>0</v>
      </c>
      <c r="O57" s="400">
        <v>270672.24746666662</v>
      </c>
      <c r="P57" s="400">
        <v>114857.60000000001</v>
      </c>
      <c r="Q57" s="257">
        <f>O57+N57+M57+L57+K57+P57</f>
        <v>505529.8474666666</v>
      </c>
      <c r="R57" s="23">
        <v>1130190.1525333333</v>
      </c>
      <c r="S57" s="206">
        <f>J57-Q57</f>
        <v>1130190.1525333333</v>
      </c>
      <c r="T57" s="179"/>
    </row>
    <row r="58" spans="1:20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203">
        <f>SUM(E58:I58)</f>
        <v>700675.58333333337</v>
      </c>
      <c r="K58" s="23"/>
      <c r="L58" s="23">
        <v>50000</v>
      </c>
      <c r="M58" s="23">
        <v>145000</v>
      </c>
      <c r="N58" s="23">
        <v>0</v>
      </c>
      <c r="O58" s="400">
        <v>103662.80170666667</v>
      </c>
      <c r="P58" s="400">
        <v>49654.046666666669</v>
      </c>
      <c r="Q58" s="257">
        <f>O58+N58+M58+L58+K58+P58</f>
        <v>348316.84837333334</v>
      </c>
      <c r="R58" s="23">
        <v>352358.73496000003</v>
      </c>
      <c r="S58" s="206">
        <f>J58-Q58</f>
        <v>352358.73496000003</v>
      </c>
      <c r="T58" s="179"/>
    </row>
    <row r="59" spans="1:20" ht="20.100000000000001" customHeight="1">
      <c r="A59" s="28"/>
      <c r="B59" s="158" t="s">
        <v>15</v>
      </c>
      <c r="C59" s="29">
        <v>2</v>
      </c>
      <c r="D59" s="29"/>
      <c r="E59" s="68">
        <v>2056395.5833333335</v>
      </c>
      <c r="F59" s="68"/>
      <c r="G59" s="68">
        <f t="shared" ref="G59:S59" si="15">SUM(G57:G58)</f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f t="shared" si="15"/>
        <v>0</v>
      </c>
      <c r="L59" s="68">
        <f t="shared" si="15"/>
        <v>170000</v>
      </c>
      <c r="M59" s="68">
        <f t="shared" si="15"/>
        <v>145000</v>
      </c>
      <c r="N59" s="68">
        <v>0</v>
      </c>
      <c r="O59" s="68">
        <v>374335.04917333327</v>
      </c>
      <c r="P59" s="68">
        <v>164511.64666666667</v>
      </c>
      <c r="Q59" s="357">
        <f t="shared" si="15"/>
        <v>853846.69583999994</v>
      </c>
      <c r="R59" s="68">
        <v>1482548.8874933333</v>
      </c>
      <c r="S59" s="336">
        <f t="shared" si="15"/>
        <v>1482548.8874933333</v>
      </c>
      <c r="T59" s="179"/>
    </row>
    <row r="60" spans="1:20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211"/>
      <c r="K60" s="30"/>
      <c r="L60" s="30"/>
      <c r="M60" s="30"/>
      <c r="N60" s="30"/>
      <c r="O60" s="30"/>
      <c r="P60" s="30"/>
      <c r="Q60" s="259"/>
      <c r="R60" s="30"/>
      <c r="S60" s="217"/>
      <c r="T60" s="179"/>
    </row>
    <row r="61" spans="1:20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211"/>
      <c r="K61" s="30"/>
      <c r="L61" s="30"/>
      <c r="M61" s="30"/>
      <c r="N61" s="30"/>
      <c r="O61" s="30"/>
      <c r="P61" s="30"/>
      <c r="Q61" s="259"/>
      <c r="R61" s="30"/>
      <c r="S61" s="217"/>
      <c r="T61" s="179"/>
    </row>
    <row r="62" spans="1:20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204">
        <f>SUM(E62:I62)</f>
        <v>1635720</v>
      </c>
      <c r="K62" s="25"/>
      <c r="L62" s="25">
        <v>100000</v>
      </c>
      <c r="M62" s="25">
        <v>800000</v>
      </c>
      <c r="N62" s="25"/>
      <c r="O62" s="25">
        <v>292724.90666666668</v>
      </c>
      <c r="P62" s="25"/>
      <c r="Q62" s="260">
        <f>O62+N62+M62+L62+K62+P62</f>
        <v>1192724.9066666667</v>
      </c>
      <c r="R62" s="25">
        <v>442995.09333333327</v>
      </c>
      <c r="S62" s="207">
        <f t="shared" ref="S62:S71" si="16">J62-Q62</f>
        <v>442995.09333333327</v>
      </c>
      <c r="T62" s="179"/>
    </row>
    <row r="63" spans="1:20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204">
        <f t="shared" ref="J63:J71" si="17">SUM(E63:I63)</f>
        <v>761396.83333333337</v>
      </c>
      <c r="K63" s="23"/>
      <c r="L63" s="23">
        <f>100000</f>
        <v>100000</v>
      </c>
      <c r="M63" s="23">
        <f>131250</f>
        <v>131250</v>
      </c>
      <c r="N63" s="23"/>
      <c r="O63" s="25">
        <v>115617.40330666665</v>
      </c>
      <c r="P63" s="25">
        <v>48111.746666666673</v>
      </c>
      <c r="Q63" s="260">
        <f t="shared" ref="Q63:Q71" si="18">O63+N63+M63+L63+K63+P63</f>
        <v>394979.14997333335</v>
      </c>
      <c r="R63" s="23">
        <v>366417.68336000002</v>
      </c>
      <c r="S63" s="206">
        <f t="shared" si="16"/>
        <v>366417.68336000002</v>
      </c>
      <c r="T63" s="179"/>
    </row>
    <row r="64" spans="1:20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204">
        <f t="shared" si="17"/>
        <v>582746.5</v>
      </c>
      <c r="K64" s="25"/>
      <c r="L64" s="25">
        <f>110000+90000</f>
        <v>200000</v>
      </c>
      <c r="M64" s="25"/>
      <c r="N64" s="25"/>
      <c r="O64" s="25">
        <v>83753.408426666647</v>
      </c>
      <c r="P64" s="25">
        <v>35419.72</v>
      </c>
      <c r="Q64" s="260">
        <f t="shared" si="18"/>
        <v>319173.1284266666</v>
      </c>
      <c r="R64" s="25">
        <v>263573.3715733334</v>
      </c>
      <c r="S64" s="207">
        <f t="shared" si="16"/>
        <v>263573.3715733334</v>
      </c>
      <c r="T64" s="179"/>
    </row>
    <row r="65" spans="1:20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204">
        <f t="shared" si="17"/>
        <v>548915.91666666674</v>
      </c>
      <c r="K65" s="23"/>
      <c r="L65" s="23">
        <f>20000+65000+65000</f>
        <v>150000</v>
      </c>
      <c r="M65" s="23">
        <v>0</v>
      </c>
      <c r="N65" s="23">
        <v>0</v>
      </c>
      <c r="O65" s="25">
        <v>77470.374186666668</v>
      </c>
      <c r="P65" s="25">
        <v>34313.273333333338</v>
      </c>
      <c r="Q65" s="260">
        <f t="shared" si="18"/>
        <v>261783.64752000003</v>
      </c>
      <c r="R65" s="23">
        <v>287132.26914666675</v>
      </c>
      <c r="S65" s="206">
        <f t="shared" si="16"/>
        <v>287132.26914666675</v>
      </c>
      <c r="T65" s="179"/>
    </row>
    <row r="66" spans="1:20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204">
        <f t="shared" si="17"/>
        <v>624373.75</v>
      </c>
      <c r="K66" s="23"/>
      <c r="L66" s="23">
        <f>10000+40000</f>
        <v>50000</v>
      </c>
      <c r="M66" s="23">
        <f>54585.66</f>
        <v>54585.66</v>
      </c>
      <c r="N66" s="23"/>
      <c r="O66" s="23">
        <v>91106.445866666661</v>
      </c>
      <c r="P66" s="23">
        <v>38749.9</v>
      </c>
      <c r="Q66" s="260">
        <f t="shared" si="18"/>
        <v>234442.00586666664</v>
      </c>
      <c r="R66" s="23">
        <v>389931.74413333333</v>
      </c>
      <c r="S66" s="206">
        <f t="shared" si="16"/>
        <v>389931.74413333333</v>
      </c>
      <c r="T66" s="179"/>
    </row>
    <row r="67" spans="1:20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204">
        <f t="shared" si="17"/>
        <v>475703.83333333331</v>
      </c>
      <c r="K67" s="23"/>
      <c r="L67" s="23">
        <v>50000</v>
      </c>
      <c r="M67" s="23">
        <f>65885.83</f>
        <v>65885.83</v>
      </c>
      <c r="N67" s="23"/>
      <c r="O67" s="25">
        <v>64384.591786666664</v>
      </c>
      <c r="P67" s="25">
        <v>29256.306666666667</v>
      </c>
      <c r="Q67" s="260">
        <f t="shared" si="18"/>
        <v>209526.72845333334</v>
      </c>
      <c r="R67" s="23">
        <v>266177.10488</v>
      </c>
      <c r="S67" s="206">
        <f t="shared" si="16"/>
        <v>266177.10488</v>
      </c>
      <c r="T67" s="179"/>
    </row>
    <row r="68" spans="1:20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204">
        <f t="shared" si="17"/>
        <v>475703.83333333331</v>
      </c>
      <c r="K68" s="23"/>
      <c r="L68" s="23">
        <f>52000-2000</f>
        <v>50000</v>
      </c>
      <c r="M68" s="23"/>
      <c r="N68" s="23"/>
      <c r="O68" s="25">
        <v>64384.591786666664</v>
      </c>
      <c r="P68" s="25">
        <v>29256.306666666667</v>
      </c>
      <c r="Q68" s="260">
        <f t="shared" si="18"/>
        <v>143640.89845333333</v>
      </c>
      <c r="R68" s="23">
        <v>332062.93487999996</v>
      </c>
      <c r="S68" s="206">
        <f t="shared" si="16"/>
        <v>332062.93487999996</v>
      </c>
      <c r="T68" s="179"/>
    </row>
    <row r="69" spans="1:20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204">
        <f t="shared" si="17"/>
        <v>475703.83333333331</v>
      </c>
      <c r="K69" s="23"/>
      <c r="L69" s="23">
        <f>67000-2000</f>
        <v>65000</v>
      </c>
      <c r="M69" s="23"/>
      <c r="N69" s="23"/>
      <c r="O69" s="25">
        <v>64384.591786666664</v>
      </c>
      <c r="P69" s="25">
        <v>29256.306666666667</v>
      </c>
      <c r="Q69" s="260">
        <f t="shared" si="18"/>
        <v>158640.89845333333</v>
      </c>
      <c r="R69" s="23">
        <v>317062.93487999996</v>
      </c>
      <c r="S69" s="206">
        <f t="shared" si="16"/>
        <v>317062.93487999996</v>
      </c>
      <c r="T69" s="179"/>
    </row>
    <row r="70" spans="1:20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204">
        <f t="shared" si="17"/>
        <v>487895.16666666669</v>
      </c>
      <c r="K70" s="23"/>
      <c r="L70" s="23">
        <f>80000+20000</f>
        <v>100000</v>
      </c>
      <c r="M70" s="23"/>
      <c r="N70" s="23"/>
      <c r="O70" s="25">
        <v>66538.068906666667</v>
      </c>
      <c r="P70" s="25">
        <v>30231.613333333335</v>
      </c>
      <c r="Q70" s="260">
        <f t="shared" si="18"/>
        <v>196769.68223999999</v>
      </c>
      <c r="R70" s="23">
        <v>291125.48442666669</v>
      </c>
      <c r="S70" s="206">
        <f t="shared" si="16"/>
        <v>291125.48442666669</v>
      </c>
      <c r="T70" s="179"/>
    </row>
    <row r="71" spans="1:20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204">
        <f t="shared" si="17"/>
        <v>400965.58333333331</v>
      </c>
      <c r="K71" s="20"/>
      <c r="L71" s="20"/>
      <c r="M71" s="20"/>
      <c r="N71" s="20"/>
      <c r="O71" s="25">
        <v>51029.227306666668</v>
      </c>
      <c r="P71" s="25">
        <v>24077.246666666666</v>
      </c>
      <c r="Q71" s="260">
        <f t="shared" si="18"/>
        <v>75106.473973333341</v>
      </c>
      <c r="R71" s="23">
        <v>325859.10936</v>
      </c>
      <c r="S71" s="364">
        <f t="shared" si="16"/>
        <v>325859.10936</v>
      </c>
    </row>
    <row r="72" spans="1:20" ht="27" customHeight="1">
      <c r="A72" s="28"/>
      <c r="B72" s="158" t="s">
        <v>15</v>
      </c>
      <c r="C72" s="29">
        <v>12</v>
      </c>
      <c r="D72" s="29"/>
      <c r="E72" s="68">
        <v>5169125.25</v>
      </c>
      <c r="F72" s="68"/>
      <c r="G72" s="68">
        <f t="shared" ref="G72:Q72" si="21">SUM(G62:G71)</f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f t="shared" si="21"/>
        <v>0</v>
      </c>
      <c r="L72" s="68">
        <f t="shared" si="21"/>
        <v>865000</v>
      </c>
      <c r="M72" s="68">
        <f t="shared" si="21"/>
        <v>1051721.49</v>
      </c>
      <c r="N72" s="68">
        <v>0</v>
      </c>
      <c r="O72" s="68">
        <v>971393.61002666655</v>
      </c>
      <c r="P72" s="68">
        <v>298672.42</v>
      </c>
      <c r="Q72" s="68">
        <f t="shared" si="21"/>
        <v>3186787.520026667</v>
      </c>
      <c r="R72" s="68">
        <v>3282337.7299733334</v>
      </c>
      <c r="S72" s="68">
        <f>SUM(S62:S71)</f>
        <v>3282337.7299733334</v>
      </c>
      <c r="T72" s="179"/>
    </row>
    <row r="73" spans="1:20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211"/>
      <c r="K73" s="30"/>
      <c r="L73" s="30"/>
      <c r="M73" s="30"/>
      <c r="N73" s="30"/>
      <c r="O73" s="30"/>
      <c r="P73" s="30"/>
      <c r="Q73" s="259"/>
      <c r="R73" s="30"/>
      <c r="S73" s="217"/>
      <c r="T73" s="179"/>
    </row>
    <row r="74" spans="1:20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211"/>
      <c r="K74" s="30"/>
      <c r="L74" s="30"/>
      <c r="M74" s="30"/>
      <c r="N74" s="30"/>
      <c r="O74" s="30"/>
      <c r="P74" s="30"/>
      <c r="Q74" s="259"/>
      <c r="R74" s="30"/>
      <c r="S74" s="217"/>
      <c r="T74" s="179"/>
    </row>
    <row r="75" spans="1:20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203">
        <f>SUM(E75:I75)</f>
        <v>1635720</v>
      </c>
      <c r="K75" s="23"/>
      <c r="L75" s="23">
        <v>250000</v>
      </c>
      <c r="M75" s="23">
        <f>0</f>
        <v>0</v>
      </c>
      <c r="N75" s="23">
        <v>0</v>
      </c>
      <c r="O75" s="25">
        <v>270672.24746666662</v>
      </c>
      <c r="P75" s="25">
        <v>114857.60000000001</v>
      </c>
      <c r="Q75" s="257">
        <f>O75+N75+M75+L75+K75+P75</f>
        <v>635529.8474666666</v>
      </c>
      <c r="R75" s="23">
        <v>1000190.1525333334</v>
      </c>
      <c r="S75" s="206">
        <f t="shared" ref="S75:S81" si="22">J75-Q75</f>
        <v>1000190.1525333334</v>
      </c>
      <c r="T75" s="179"/>
    </row>
    <row r="76" spans="1:20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203">
        <f t="shared" ref="J76:J81" si="23">SUM(E76:I76)</f>
        <v>761396.83333333337</v>
      </c>
      <c r="K76" s="23"/>
      <c r="L76" s="23"/>
      <c r="M76" s="23"/>
      <c r="N76" s="23">
        <v>0</v>
      </c>
      <c r="O76" s="25">
        <v>124854.85866666667</v>
      </c>
      <c r="P76" s="25"/>
      <c r="Q76" s="257">
        <f t="shared" ref="Q76:Q81" si="24">O76+N76+M76+L76+K76+P76</f>
        <v>124854.85866666667</v>
      </c>
      <c r="R76" s="23">
        <v>636541.97466666671</v>
      </c>
      <c r="S76" s="206">
        <f t="shared" si="22"/>
        <v>636541.97466666671</v>
      </c>
      <c r="T76" s="179"/>
    </row>
    <row r="77" spans="1:20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160000</v>
      </c>
      <c r="H77" s="178"/>
      <c r="I77" s="181">
        <v>0</v>
      </c>
      <c r="J77" s="203">
        <f t="shared" si="23"/>
        <v>780675.58333333337</v>
      </c>
      <c r="K77" s="23"/>
      <c r="L77" s="23">
        <f>50000</f>
        <v>50000</v>
      </c>
      <c r="M77" s="23">
        <f>59583.33</f>
        <v>59583.33</v>
      </c>
      <c r="N77" s="23"/>
      <c r="O77" s="23">
        <f>128556.38</f>
        <v>128556.38</v>
      </c>
      <c r="P77" s="23"/>
      <c r="Q77" s="257">
        <f t="shared" si="24"/>
        <v>238139.71000000002</v>
      </c>
      <c r="R77" s="23">
        <v>995015.87333333353</v>
      </c>
      <c r="S77" s="206">
        <f t="shared" si="22"/>
        <v>542535.87333333329</v>
      </c>
      <c r="T77" s="179"/>
    </row>
    <row r="78" spans="1:20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203">
        <f t="shared" si="23"/>
        <v>596622.25</v>
      </c>
      <c r="K78" s="23"/>
      <c r="L78" s="23">
        <v>20000</v>
      </c>
      <c r="M78" s="23">
        <v>210785.51</v>
      </c>
      <c r="N78" s="23">
        <f>'New NHF Deduction'!G79</f>
        <v>6154.322916666667</v>
      </c>
      <c r="O78" s="25">
        <v>86076.104186666664</v>
      </c>
      <c r="P78" s="25">
        <v>36529.78</v>
      </c>
      <c r="Q78" s="257">
        <f t="shared" si="24"/>
        <v>359545.71710333333</v>
      </c>
      <c r="R78" s="23">
        <v>351197.39289666666</v>
      </c>
      <c r="S78" s="206">
        <f t="shared" si="22"/>
        <v>237076.53289666667</v>
      </c>
      <c r="T78" s="179"/>
    </row>
    <row r="79" spans="1:20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203">
        <f t="shared" si="23"/>
        <v>408901.5</v>
      </c>
      <c r="K79" s="23"/>
      <c r="L79" s="23">
        <f>50000</f>
        <v>50000</v>
      </c>
      <c r="M79" s="23">
        <f>50000</f>
        <v>50000</v>
      </c>
      <c r="N79" s="23"/>
      <c r="O79" s="25">
        <v>52431.02762666667</v>
      </c>
      <c r="P79" s="25">
        <v>24712.12</v>
      </c>
      <c r="Q79" s="257">
        <f t="shared" si="24"/>
        <v>177143.14762666667</v>
      </c>
      <c r="R79" s="23">
        <v>231758.35237333333</v>
      </c>
      <c r="S79" s="206">
        <f t="shared" si="22"/>
        <v>231758.35237333333</v>
      </c>
      <c r="T79" s="179"/>
    </row>
    <row r="80" spans="1:20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203">
        <f t="shared" si="23"/>
        <v>363165.33333333331</v>
      </c>
      <c r="K80" s="23"/>
      <c r="L80" s="23"/>
      <c r="M80" s="23"/>
      <c r="N80" s="23"/>
      <c r="O80" s="25">
        <v>44641.500586666669</v>
      </c>
      <c r="P80" s="25">
        <v>21053.226666666666</v>
      </c>
      <c r="Q80" s="257">
        <f t="shared" si="24"/>
        <v>65694.727253333331</v>
      </c>
      <c r="R80" s="23">
        <v>297470.60608</v>
      </c>
      <c r="S80" s="206">
        <f t="shared" si="22"/>
        <v>297470.60608</v>
      </c>
      <c r="T80" s="179"/>
    </row>
    <row r="81" spans="1:20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203">
        <f t="shared" si="23"/>
        <v>324459.75</v>
      </c>
      <c r="K81" s="23"/>
      <c r="L81" s="23">
        <v>20000</v>
      </c>
      <c r="M81" s="23">
        <v>0</v>
      </c>
      <c r="N81" s="23">
        <v>0</v>
      </c>
      <c r="O81" s="25">
        <v>38659.165626666669</v>
      </c>
      <c r="P81" s="25">
        <v>17956.78</v>
      </c>
      <c r="Q81" s="257">
        <f t="shared" si="24"/>
        <v>76615.945626666668</v>
      </c>
      <c r="R81" s="23">
        <v>247843.80437333335</v>
      </c>
      <c r="S81" s="206">
        <f t="shared" si="22"/>
        <v>247843.80437333335</v>
      </c>
      <c r="T81" s="179"/>
    </row>
    <row r="82" spans="1:20" ht="20.100000000000001" customHeight="1">
      <c r="A82" s="28"/>
      <c r="B82" s="158" t="s">
        <v>15</v>
      </c>
      <c r="C82" s="29">
        <v>7</v>
      </c>
      <c r="D82" s="29"/>
      <c r="E82" s="68">
        <v>3910941.2500000005</v>
      </c>
      <c r="F82" s="68">
        <f>SUM(F75:F81)</f>
        <v>0</v>
      </c>
      <c r="G82" s="68">
        <f t="shared" ref="G82:S82" si="25">SUM(G75:G81)</f>
        <v>960000</v>
      </c>
      <c r="H82" s="68">
        <f t="shared" si="25"/>
        <v>0</v>
      </c>
      <c r="I82" s="68">
        <f t="shared" si="25"/>
        <v>0</v>
      </c>
      <c r="J82" s="68">
        <f t="shared" si="25"/>
        <v>4870941.25</v>
      </c>
      <c r="K82" s="68">
        <f t="shared" si="25"/>
        <v>0</v>
      </c>
      <c r="L82" s="68">
        <f t="shared" si="25"/>
        <v>390000</v>
      </c>
      <c r="M82" s="68">
        <f t="shared" si="25"/>
        <v>320368.84000000003</v>
      </c>
      <c r="N82" s="68">
        <f t="shared" si="25"/>
        <v>6154.322916666667</v>
      </c>
      <c r="O82" s="68">
        <f t="shared" si="25"/>
        <v>745891.28415999992</v>
      </c>
      <c r="P82" s="68">
        <v>215109.50666666665</v>
      </c>
      <c r="Q82" s="357">
        <f t="shared" si="25"/>
        <v>1677523.9537433335</v>
      </c>
      <c r="R82" s="68">
        <v>3760018.1562566664</v>
      </c>
      <c r="S82" s="336">
        <f t="shared" si="25"/>
        <v>3193417.2962566661</v>
      </c>
      <c r="T82" s="179"/>
    </row>
    <row r="83" spans="1:20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212"/>
      <c r="K83" s="181"/>
      <c r="L83" s="181"/>
      <c r="M83" s="181"/>
      <c r="N83" s="181"/>
      <c r="O83" s="30"/>
      <c r="P83" s="30"/>
      <c r="Q83" s="257"/>
      <c r="R83" s="23"/>
      <c r="S83" s="206"/>
      <c r="T83" s="179"/>
    </row>
    <row r="84" spans="1:20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212"/>
      <c r="K84" s="181"/>
      <c r="L84" s="181"/>
      <c r="M84" s="181"/>
      <c r="N84" s="181"/>
      <c r="O84" s="30"/>
      <c r="P84" s="30"/>
      <c r="Q84" s="257"/>
      <c r="R84" s="23"/>
      <c r="S84" s="206"/>
      <c r="T84" s="179"/>
    </row>
    <row r="85" spans="1:20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f>100000+100000</f>
        <v>200000</v>
      </c>
      <c r="J85" s="203">
        <f>SUM(E85:I85)</f>
        <v>980675.58333333337</v>
      </c>
      <c r="K85" s="23"/>
      <c r="L85" s="23"/>
      <c r="M85" s="23"/>
      <c r="N85" s="23"/>
      <c r="O85" s="25">
        <f>'Additional Leg Duty Allowance'!P11</f>
        <v>157422.80170666659</v>
      </c>
      <c r="P85" s="25">
        <v>49654.046666666669</v>
      </c>
      <c r="Q85" s="257">
        <f>O85+N85+M85+L85+K85+P85</f>
        <v>207076.84837333325</v>
      </c>
      <c r="R85" s="23">
        <v>773598.73496000015</v>
      </c>
      <c r="S85" s="206">
        <f t="shared" ref="S85:S94" si="26">J85-Q85</f>
        <v>773598.73496000015</v>
      </c>
      <c r="T85" s="179"/>
    </row>
    <row r="86" spans="1:20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203">
        <f t="shared" ref="J86:J94" si="27">SUM(E86:I86)</f>
        <v>780675.58333333337</v>
      </c>
      <c r="K86" s="23"/>
      <c r="L86" s="23">
        <f>30000</f>
        <v>30000</v>
      </c>
      <c r="M86" s="23">
        <v>98750</v>
      </c>
      <c r="N86" s="23">
        <f>'New NHF Deduction'!G87</f>
        <v>8380.2270833333332</v>
      </c>
      <c r="O86" s="25">
        <v>118861.96570666666</v>
      </c>
      <c r="P86" s="25">
        <v>49654.046666666669</v>
      </c>
      <c r="Q86" s="257">
        <f t="shared" ref="Q86:Q94" si="28">O86+N86+M86+L86+K86+P86</f>
        <v>305646.23945666669</v>
      </c>
      <c r="R86" s="23">
        <v>475029.34387666668</v>
      </c>
      <c r="S86" s="206">
        <f t="shared" si="26"/>
        <v>475029.34387666668</v>
      </c>
      <c r="T86" s="179"/>
    </row>
    <row r="87" spans="1:20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203">
        <f t="shared" si="27"/>
        <v>742118.08333333337</v>
      </c>
      <c r="K87" s="23"/>
      <c r="L87" s="23">
        <f>50000</f>
        <v>50000</v>
      </c>
      <c r="M87" s="178">
        <f>79861.11</f>
        <v>79861.11</v>
      </c>
      <c r="N87" s="23"/>
      <c r="O87" s="23">
        <v>112212.00490666665</v>
      </c>
      <c r="P87" s="23">
        <v>46569.44666666667</v>
      </c>
      <c r="Q87" s="257">
        <f t="shared" si="28"/>
        <v>288642.56157333334</v>
      </c>
      <c r="R87" s="23">
        <v>453475.52176000003</v>
      </c>
      <c r="S87" s="206">
        <f t="shared" si="26"/>
        <v>453475.52176000003</v>
      </c>
      <c r="T87" s="179"/>
    </row>
    <row r="88" spans="1:20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203">
        <f t="shared" si="27"/>
        <v>561804.91666666674</v>
      </c>
      <c r="K88" s="23"/>
      <c r="L88" s="23">
        <f>50000</f>
        <v>50000</v>
      </c>
      <c r="M88" s="23">
        <f>77638.89</f>
        <v>77638.89</v>
      </c>
      <c r="N88" s="23"/>
      <c r="O88" s="25">
        <v>79747.087146666672</v>
      </c>
      <c r="P88" s="25">
        <v>35344.393333333333</v>
      </c>
      <c r="Q88" s="257">
        <f t="shared" si="28"/>
        <v>242730.37048000001</v>
      </c>
      <c r="R88" s="23">
        <v>319074.5461866667</v>
      </c>
      <c r="S88" s="206">
        <f t="shared" si="26"/>
        <v>319074.5461866667</v>
      </c>
      <c r="T88" s="179"/>
    </row>
    <row r="89" spans="1:20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203">
        <f t="shared" si="27"/>
        <v>548915.91666666674</v>
      </c>
      <c r="K89" s="23"/>
      <c r="L89" s="23">
        <v>50000</v>
      </c>
      <c r="M89" s="23">
        <v>0</v>
      </c>
      <c r="N89" s="23"/>
      <c r="O89" s="25">
        <v>77470.374186666668</v>
      </c>
      <c r="P89" s="25">
        <v>34313.273333333338</v>
      </c>
      <c r="Q89" s="257">
        <f t="shared" si="28"/>
        <v>161783.64752</v>
      </c>
      <c r="R89" s="23">
        <v>387132.26914666675</v>
      </c>
      <c r="S89" s="206">
        <f t="shared" si="26"/>
        <v>387132.26914666675</v>
      </c>
      <c r="T89" s="179"/>
    </row>
    <row r="90" spans="1:20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203">
        <f t="shared" si="27"/>
        <v>568870.75</v>
      </c>
      <c r="K90" s="23"/>
      <c r="L90" s="23">
        <f>100000-100000</f>
        <v>0</v>
      </c>
      <c r="M90" s="23"/>
      <c r="N90" s="23"/>
      <c r="O90" s="25">
        <v>81302.395946666657</v>
      </c>
      <c r="P90" s="25">
        <v>34309.660000000003</v>
      </c>
      <c r="Q90" s="257">
        <f t="shared" si="28"/>
        <v>115612.05594666666</v>
      </c>
      <c r="R90" s="23">
        <v>453258.69405333337</v>
      </c>
      <c r="S90" s="206">
        <f t="shared" si="26"/>
        <v>453258.69405333337</v>
      </c>
      <c r="T90" s="179"/>
    </row>
    <row r="91" spans="1:20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203">
        <f t="shared" si="27"/>
        <v>475703.83333333331</v>
      </c>
      <c r="K91" s="23"/>
      <c r="L91" s="23">
        <f>20000</f>
        <v>20000</v>
      </c>
      <c r="M91" s="23">
        <v>43750</v>
      </c>
      <c r="N91" s="23"/>
      <c r="O91" s="25">
        <v>64384.591786666657</v>
      </c>
      <c r="P91" s="25">
        <v>29256.306666666667</v>
      </c>
      <c r="Q91" s="257">
        <f t="shared" si="28"/>
        <v>157390.89845333333</v>
      </c>
      <c r="R91" s="23">
        <v>318312.93487999996</v>
      </c>
      <c r="S91" s="206">
        <f t="shared" si="26"/>
        <v>318312.93487999996</v>
      </c>
      <c r="T91" s="179"/>
    </row>
    <row r="92" spans="1:20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203">
        <f t="shared" si="27"/>
        <v>510248.91666666669</v>
      </c>
      <c r="K92" s="23"/>
      <c r="L92" s="23">
        <v>0</v>
      </c>
      <c r="M92" s="23"/>
      <c r="N92" s="23">
        <f>'New NHF Deduction'!G93</f>
        <v>5259.7437500000005</v>
      </c>
      <c r="O92" s="25">
        <v>70529.475354666662</v>
      </c>
      <c r="P92" s="25">
        <v>31219.913333333334</v>
      </c>
      <c r="Q92" s="257">
        <f t="shared" si="28"/>
        <v>107009.13243799999</v>
      </c>
      <c r="R92" s="23">
        <v>403239.78422866669</v>
      </c>
      <c r="S92" s="206">
        <f t="shared" si="26"/>
        <v>403239.78422866669</v>
      </c>
      <c r="T92" s="179"/>
    </row>
    <row r="93" spans="1:20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203">
        <f t="shared" si="27"/>
        <v>400965.58333333331</v>
      </c>
      <c r="K93" s="23"/>
      <c r="L93" s="23"/>
      <c r="M93" s="23"/>
      <c r="N93" s="23"/>
      <c r="O93" s="25">
        <v>51029.227306666668</v>
      </c>
      <c r="P93" s="25">
        <v>24077.246666666666</v>
      </c>
      <c r="Q93" s="257">
        <f t="shared" si="28"/>
        <v>75106.473973333341</v>
      </c>
      <c r="R93" s="23">
        <v>325859.10936</v>
      </c>
      <c r="S93" s="206">
        <f t="shared" si="26"/>
        <v>325859.10936</v>
      </c>
      <c r="T93" s="179"/>
    </row>
    <row r="94" spans="1:20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203">
        <f t="shared" si="27"/>
        <v>330631.91666666663</v>
      </c>
      <c r="K94" s="23"/>
      <c r="L94" s="23">
        <v>50000</v>
      </c>
      <c r="M94" s="23"/>
      <c r="N94" s="23">
        <v>0</v>
      </c>
      <c r="O94" s="25">
        <v>39613.135706666661</v>
      </c>
      <c r="P94" s="25">
        <v>18450.553333333333</v>
      </c>
      <c r="Q94" s="257">
        <f t="shared" si="28"/>
        <v>108063.68903999998</v>
      </c>
      <c r="R94" s="23">
        <v>222568.22762666666</v>
      </c>
      <c r="S94" s="206">
        <f t="shared" si="26"/>
        <v>222568.22762666666</v>
      </c>
      <c r="T94" s="179"/>
    </row>
    <row r="95" spans="1:20" ht="20.100000000000001" customHeight="1">
      <c r="A95" s="28"/>
      <c r="B95" s="158" t="s">
        <v>15</v>
      </c>
      <c r="C95" s="29">
        <v>11</v>
      </c>
      <c r="D95" s="29"/>
      <c r="E95" s="68">
        <v>4410611.083333333</v>
      </c>
      <c r="F95" s="68"/>
      <c r="G95" s="68">
        <f t="shared" ref="G95:Q95" si="32">SUM(G85:G94)</f>
        <v>1290000</v>
      </c>
      <c r="H95" s="68">
        <f t="shared" si="32"/>
        <v>0</v>
      </c>
      <c r="I95" s="68">
        <f t="shared" si="32"/>
        <v>200000</v>
      </c>
      <c r="J95" s="68">
        <f t="shared" si="32"/>
        <v>5900611.083333334</v>
      </c>
      <c r="K95" s="68">
        <f t="shared" si="32"/>
        <v>0</v>
      </c>
      <c r="L95" s="68">
        <f t="shared" si="32"/>
        <v>250000</v>
      </c>
      <c r="M95" s="68">
        <f t="shared" si="32"/>
        <v>300000</v>
      </c>
      <c r="N95" s="68">
        <f t="shared" si="32"/>
        <v>13639.970833333333</v>
      </c>
      <c r="O95" s="68">
        <f>SUM(O85:O94)</f>
        <v>852573.05975466652</v>
      </c>
      <c r="P95" s="68">
        <v>352848.88666666666</v>
      </c>
      <c r="Q95" s="357">
        <f t="shared" si="32"/>
        <v>1769061.917254667</v>
      </c>
      <c r="R95" s="68">
        <v>4131549.1660786672</v>
      </c>
      <c r="S95" s="336">
        <f>SUM(S85:S94)</f>
        <v>4131549.1660786672</v>
      </c>
      <c r="T95" s="179"/>
    </row>
    <row r="96" spans="1:20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30"/>
      <c r="K96" s="30"/>
      <c r="L96" s="30"/>
      <c r="M96" s="30"/>
      <c r="N96" s="30"/>
      <c r="O96" s="30"/>
      <c r="P96" s="30"/>
      <c r="Q96" s="259"/>
      <c r="R96" s="30"/>
      <c r="S96" s="217"/>
      <c r="T96" s="179"/>
    </row>
    <row r="97" spans="1:20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30"/>
      <c r="K97" s="30"/>
      <c r="L97" s="30"/>
      <c r="M97" s="30"/>
      <c r="N97" s="30"/>
      <c r="O97" s="30"/>
      <c r="P97" s="30"/>
      <c r="Q97" s="259"/>
      <c r="R97" s="30"/>
      <c r="S97" s="217"/>
      <c r="T97" s="179"/>
    </row>
    <row r="98" spans="1:20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f>'[3]Annual &amp; Monthly'!$H$44</f>
        <v>1352042.6666666667</v>
      </c>
      <c r="F98" s="25"/>
      <c r="G98" s="178"/>
      <c r="H98" s="178">
        <f>100000</f>
        <v>100000</v>
      </c>
      <c r="I98" s="25"/>
      <c r="J98" s="203">
        <f>E98+F98+G98+H98+I98</f>
        <v>1452042.6666666667</v>
      </c>
      <c r="K98" s="23"/>
      <c r="L98" s="23">
        <f>0</f>
        <v>0</v>
      </c>
      <c r="M98" s="23">
        <v>0</v>
      </c>
      <c r="N98" s="23">
        <f>'New NHF Deduction'!G99</f>
        <v>18254.975000000002</v>
      </c>
      <c r="O98" s="23">
        <f>'March New PAYE '!Z93</f>
        <v>236486.74867946663</v>
      </c>
      <c r="P98" s="23">
        <f>'Upgrade in March'!P8</f>
        <v>114857.60000000001</v>
      </c>
      <c r="Q98" s="257">
        <f>O98+N98+M98+L98+K98+P98</f>
        <v>369599.32367946662</v>
      </c>
      <c r="R98" s="23">
        <v>1082443.3429872002</v>
      </c>
      <c r="S98" s="206">
        <f>J98-Q98</f>
        <v>1082443.3429872002</v>
      </c>
      <c r="T98" s="179"/>
    </row>
    <row r="99" spans="1:20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203">
        <f t="shared" ref="J99:J101" si="33">E99+F99+G99+H99+I99</f>
        <v>526622.25</v>
      </c>
      <c r="K99" s="23"/>
      <c r="L99" s="23">
        <f>10000</f>
        <v>10000</v>
      </c>
      <c r="M99" s="23">
        <v>175000</v>
      </c>
      <c r="N99" s="23"/>
      <c r="O99" s="25">
        <v>72764.420906666652</v>
      </c>
      <c r="P99" s="25">
        <v>36529.78</v>
      </c>
      <c r="Q99" s="257">
        <f t="shared" ref="Q99:Q101" si="34">O99+N99+M99+L99+K99+P99</f>
        <v>294294.20090666669</v>
      </c>
      <c r="R99" s="23">
        <v>232328.04909333331</v>
      </c>
      <c r="S99" s="206">
        <f>J99-Q99</f>
        <v>232328.04909333331</v>
      </c>
      <c r="T99" s="179"/>
    </row>
    <row r="100" spans="1:20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203">
        <f t="shared" si="33"/>
        <v>437895.16666666669</v>
      </c>
      <c r="K100" s="23"/>
      <c r="L100" s="23">
        <f>5000</f>
        <v>5000</v>
      </c>
      <c r="M100" s="23">
        <v>52500</v>
      </c>
      <c r="N100" s="23"/>
      <c r="O100" s="25">
        <v>56938.068906666675</v>
      </c>
      <c r="P100" s="25">
        <v>30231.613333333335</v>
      </c>
      <c r="Q100" s="257">
        <f t="shared" si="34"/>
        <v>144669.68224000002</v>
      </c>
      <c r="R100" s="23">
        <v>280919.19442666671</v>
      </c>
      <c r="S100" s="206">
        <f>J100-Q100</f>
        <v>293225.48442666663</v>
      </c>
      <c r="T100" s="179"/>
    </row>
    <row r="101" spans="1:20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203">
        <f t="shared" si="33"/>
        <v>360965.58333333331</v>
      </c>
      <c r="K101" s="23"/>
      <c r="L101" s="23">
        <f>10000+80000</f>
        <v>90000</v>
      </c>
      <c r="M101" s="23">
        <f>19583.33</f>
        <v>19583.330000000002</v>
      </c>
      <c r="N101" s="23"/>
      <c r="O101" s="25">
        <v>43763.90722666667</v>
      </c>
      <c r="P101" s="25">
        <v>24077.246666666666</v>
      </c>
      <c r="Q101" s="257">
        <f t="shared" si="34"/>
        <v>177424.48389333335</v>
      </c>
      <c r="R101" s="23">
        <v>183541.09943999996</v>
      </c>
      <c r="S101" s="206">
        <f>J101-Q101</f>
        <v>183541.09943999996</v>
      </c>
      <c r="T101" s="179"/>
    </row>
    <row r="102" spans="1:20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2487525.666666667</v>
      </c>
      <c r="F102" s="68">
        <f t="shared" ref="F102:S102" si="35">SUM(F98:F101)</f>
        <v>0</v>
      </c>
      <c r="G102" s="68">
        <f t="shared" si="35"/>
        <v>0</v>
      </c>
      <c r="H102" s="68">
        <f t="shared" si="35"/>
        <v>290000</v>
      </c>
      <c r="I102" s="68">
        <f t="shared" si="35"/>
        <v>0</v>
      </c>
      <c r="J102" s="68">
        <f t="shared" si="35"/>
        <v>2777525.666666667</v>
      </c>
      <c r="K102" s="68">
        <f t="shared" si="35"/>
        <v>0</v>
      </c>
      <c r="L102" s="68">
        <f t="shared" si="35"/>
        <v>105000</v>
      </c>
      <c r="M102" s="68">
        <f t="shared" si="35"/>
        <v>247083.33000000002</v>
      </c>
      <c r="N102" s="68">
        <f t="shared" si="35"/>
        <v>18254.975000000002</v>
      </c>
      <c r="O102" s="68">
        <f t="shared" si="35"/>
        <v>409953.14571946661</v>
      </c>
      <c r="P102" s="68">
        <f t="shared" si="35"/>
        <v>205696.24000000002</v>
      </c>
      <c r="Q102" s="357">
        <f t="shared" si="35"/>
        <v>985987.69071946666</v>
      </c>
      <c r="R102" s="68">
        <v>1779231.6859472003</v>
      </c>
      <c r="S102" s="68">
        <f t="shared" si="35"/>
        <v>1791537.9759472003</v>
      </c>
      <c r="T102" s="179"/>
    </row>
    <row r="103" spans="1:20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30"/>
      <c r="K103" s="30"/>
      <c r="L103" s="30"/>
      <c r="M103" s="30"/>
      <c r="N103" s="30"/>
      <c r="O103" s="30"/>
      <c r="P103" s="30"/>
      <c r="Q103" s="259"/>
      <c r="R103" s="30"/>
      <c r="S103" s="217"/>
      <c r="T103" s="179"/>
    </row>
    <row r="104" spans="1:20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20"/>
      <c r="K104" s="20"/>
      <c r="L104" s="20"/>
      <c r="M104" s="20"/>
      <c r="N104" s="20"/>
      <c r="O104" s="20"/>
      <c r="P104" s="20"/>
      <c r="Q104" s="261"/>
      <c r="R104" s="20"/>
      <c r="S104" s="218"/>
      <c r="T104" s="179"/>
    </row>
    <row r="105" spans="1:20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203">
        <f>SUM(E105:I105)</f>
        <v>1635720</v>
      </c>
      <c r="K105" s="23"/>
      <c r="L105" s="23">
        <f>100000</f>
        <v>100000</v>
      </c>
      <c r="M105" s="23">
        <v>0</v>
      </c>
      <c r="N105" s="23">
        <v>0</v>
      </c>
      <c r="O105" s="25">
        <v>270672.24746666662</v>
      </c>
      <c r="P105" s="25">
        <v>114857.60000000001</v>
      </c>
      <c r="Q105" s="257">
        <f>O105+N105+M105+L105+K105+P105</f>
        <v>485529.8474666666</v>
      </c>
      <c r="R105" s="23">
        <v>1150190.1525333333</v>
      </c>
      <c r="S105" s="206">
        <f t="shared" ref="S105:S111" si="36">J105-Q105</f>
        <v>1150190.1525333333</v>
      </c>
      <c r="T105" s="179"/>
    </row>
    <row r="106" spans="1:20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203">
        <f t="shared" ref="J106:J111" si="37">SUM(E106:I106)</f>
        <v>942373.16666666663</v>
      </c>
      <c r="K106" s="23"/>
      <c r="L106" s="23">
        <v>40000</v>
      </c>
      <c r="M106" s="23">
        <f>238888.89</f>
        <v>238888.89</v>
      </c>
      <c r="N106" s="23">
        <v>10293.397916666669</v>
      </c>
      <c r="O106" s="25">
        <v>147687.52761066667</v>
      </c>
      <c r="P106" s="25">
        <v>60989.853333333333</v>
      </c>
      <c r="Q106" s="257">
        <f t="shared" ref="Q106:Q111" si="38">O106+N106+M106+L106+K106+P106</f>
        <v>497859.66886066669</v>
      </c>
      <c r="R106" s="23">
        <v>444513.49780599994</v>
      </c>
      <c r="S106" s="206">
        <f t="shared" si="36"/>
        <v>444513.49780599994</v>
      </c>
      <c r="T106" s="179"/>
    </row>
    <row r="107" spans="1:20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203">
        <f t="shared" si="37"/>
        <v>603237.85519166675</v>
      </c>
      <c r="K107" s="23"/>
      <c r="L107" s="23">
        <v>30000</v>
      </c>
      <c r="M107" s="23">
        <f>61111.11</f>
        <v>61111.11</v>
      </c>
      <c r="N107" s="23">
        <v>5954.6104166666664</v>
      </c>
      <c r="O107" s="23">
        <v>87575.78270346667</v>
      </c>
      <c r="P107" s="23">
        <v>35344.393333333333</v>
      </c>
      <c r="Q107" s="257">
        <f t="shared" si="38"/>
        <v>219985.89645346667</v>
      </c>
      <c r="R107" s="23">
        <v>383251.95873820008</v>
      </c>
      <c r="S107" s="206">
        <f t="shared" si="36"/>
        <v>383251.95873820008</v>
      </c>
      <c r="T107" s="179"/>
    </row>
    <row r="108" spans="1:20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203">
        <f t="shared" si="37"/>
        <v>601625.03332166676</v>
      </c>
      <c r="K108" s="23"/>
      <c r="L108" s="23">
        <f>50000</f>
        <v>50000</v>
      </c>
      <c r="M108" s="23">
        <v>45833.33</v>
      </c>
      <c r="N108" s="23"/>
      <c r="O108" s="23">
        <v>87392.549544426671</v>
      </c>
      <c r="P108" s="23">
        <v>35344.393333333333</v>
      </c>
      <c r="Q108" s="257">
        <f t="shared" si="38"/>
        <v>218570.27287776003</v>
      </c>
      <c r="R108" s="23">
        <v>428888.09044390672</v>
      </c>
      <c r="S108" s="206">
        <f t="shared" si="36"/>
        <v>383054.76044390677</v>
      </c>
      <c r="T108" s="179"/>
    </row>
    <row r="109" spans="1:20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203">
        <f t="shared" si="37"/>
        <v>374481.8641466666</v>
      </c>
      <c r="K109" s="23"/>
      <c r="L109" s="23">
        <v>20000</v>
      </c>
      <c r="M109" s="23">
        <f>50000</f>
        <v>50000</v>
      </c>
      <c r="N109" s="23"/>
      <c r="O109" s="25">
        <v>46740.264902826661</v>
      </c>
      <c r="P109" s="25">
        <v>19931.873333333333</v>
      </c>
      <c r="Q109" s="257">
        <f t="shared" si="38"/>
        <v>136672.13823615998</v>
      </c>
      <c r="R109" s="23">
        <v>237809.72591050662</v>
      </c>
      <c r="S109" s="206">
        <f t="shared" si="36"/>
        <v>237809.72591050662</v>
      </c>
      <c r="T109" s="179"/>
    </row>
    <row r="110" spans="1:20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203">
        <f t="shared" si="37"/>
        <v>367926.02100000001</v>
      </c>
      <c r="K110" s="23"/>
      <c r="L110" s="23">
        <f>25000</f>
        <v>25000</v>
      </c>
      <c r="M110" s="23">
        <v>0</v>
      </c>
      <c r="N110" s="23"/>
      <c r="O110" s="25">
        <v>45712.637394666672</v>
      </c>
      <c r="P110" s="25">
        <v>19438.100000000002</v>
      </c>
      <c r="Q110" s="257">
        <f t="shared" si="38"/>
        <v>90150.737394666678</v>
      </c>
      <c r="R110" s="23">
        <v>277775.2836053333</v>
      </c>
      <c r="S110" s="206">
        <f t="shared" si="36"/>
        <v>277775.2836053333</v>
      </c>
      <c r="T110" s="179"/>
    </row>
    <row r="111" spans="1:20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203">
        <f t="shared" si="37"/>
        <v>355198.11211166665</v>
      </c>
      <c r="K111" s="23"/>
      <c r="L111" s="23">
        <f>30000</f>
        <v>30000</v>
      </c>
      <c r="M111" s="23"/>
      <c r="N111" s="23"/>
      <c r="O111" s="25">
        <v>43740.256541426665</v>
      </c>
      <c r="P111" s="25">
        <v>18450.553333333333</v>
      </c>
      <c r="Q111" s="257">
        <f t="shared" si="38"/>
        <v>92190.809874760002</v>
      </c>
      <c r="R111" s="23">
        <v>263007.30223690666</v>
      </c>
      <c r="S111" s="206">
        <f t="shared" si="36"/>
        <v>263007.30223690666</v>
      </c>
      <c r="T111" s="179"/>
    </row>
    <row r="112" spans="1:20" ht="25.5" customHeight="1">
      <c r="A112" s="20"/>
      <c r="B112" s="158" t="s">
        <v>15</v>
      </c>
      <c r="C112" s="29">
        <v>7</v>
      </c>
      <c r="D112" s="20"/>
      <c r="E112" s="187">
        <v>3804459.5833333326</v>
      </c>
      <c r="F112" s="187"/>
      <c r="G112" s="183">
        <f t="shared" ref="G112" si="40">SUM(G105:G111)</f>
        <v>920000</v>
      </c>
      <c r="H112" s="183"/>
      <c r="I112" s="187">
        <f>SUM(I105:I111)</f>
        <v>156102.469105</v>
      </c>
      <c r="J112" s="214">
        <f>SUM(J105:J111)</f>
        <v>4880562.0524383327</v>
      </c>
      <c r="K112" s="187"/>
      <c r="L112" s="187">
        <f>SUM(L105:L111)</f>
        <v>295000</v>
      </c>
      <c r="M112" s="187">
        <f t="shared" ref="M112:S112" si="41">SUM(M105:M111)</f>
        <v>395833.33</v>
      </c>
      <c r="N112" s="187">
        <f t="shared" si="41"/>
        <v>16248.008333333335</v>
      </c>
      <c r="O112" s="187">
        <v>729521.2661641466</v>
      </c>
      <c r="P112" s="187">
        <v>304356.76666666666</v>
      </c>
      <c r="Q112" s="358">
        <f t="shared" si="41"/>
        <v>1740959.3711641466</v>
      </c>
      <c r="R112" s="187">
        <v>3185436.0112741869</v>
      </c>
      <c r="S112" s="359">
        <f t="shared" si="41"/>
        <v>3139602.6812741868</v>
      </c>
      <c r="T112" s="179"/>
    </row>
    <row r="113" spans="1:20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214"/>
      <c r="K113" s="187"/>
      <c r="L113" s="187"/>
      <c r="M113" s="187"/>
      <c r="N113" s="187"/>
      <c r="O113" s="187"/>
      <c r="P113" s="187"/>
      <c r="Q113" s="358"/>
      <c r="R113" s="187"/>
      <c r="S113" s="359"/>
      <c r="T113" s="179"/>
    </row>
    <row r="114" spans="1:20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211"/>
      <c r="K114" s="30"/>
      <c r="L114" s="30"/>
      <c r="M114" s="30"/>
      <c r="N114" s="30"/>
      <c r="O114" s="30"/>
      <c r="P114" s="30"/>
      <c r="Q114" s="259"/>
      <c r="R114" s="30"/>
      <c r="S114" s="217"/>
      <c r="T114" s="179"/>
    </row>
    <row r="115" spans="1:20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23">
        <f>SUM(E115:I115)</f>
        <v>761396.83333333337</v>
      </c>
      <c r="K115" s="25"/>
      <c r="L115" s="23">
        <f>20000</f>
        <v>20000</v>
      </c>
      <c r="M115" s="23">
        <f>163103.59</f>
        <v>163103.59</v>
      </c>
      <c r="N115" s="23">
        <v>8119.9291666666677</v>
      </c>
      <c r="O115" s="23">
        <v>115462.53994666669</v>
      </c>
      <c r="P115" s="23">
        <v>48111.746666666673</v>
      </c>
      <c r="Q115" s="257">
        <f>O115+N115+M115+L115+K115+P115</f>
        <v>354797.80578000005</v>
      </c>
      <c r="R115" s="25">
        <v>406599.02755333332</v>
      </c>
      <c r="S115" s="206">
        <f>J115-Q115</f>
        <v>406599.02755333332</v>
      </c>
      <c r="T115" s="179"/>
    </row>
    <row r="116" spans="1:20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23">
        <f t="shared" ref="J116:J117" si="42">SUM(E116:I116)</f>
        <v>487895.16666666669</v>
      </c>
      <c r="K116" s="23"/>
      <c r="L116" s="23">
        <f>20000</f>
        <v>20000</v>
      </c>
      <c r="M116" s="23">
        <f>'[4]OCT 2022 '!$D$184</f>
        <v>43750</v>
      </c>
      <c r="N116" s="23">
        <v>0</v>
      </c>
      <c r="O116" s="25">
        <v>66538.068906666667</v>
      </c>
      <c r="P116" s="25">
        <v>30231.613333333335</v>
      </c>
      <c r="Q116" s="257">
        <f t="shared" ref="Q116:Q117" si="43">O116+N116+M116+L116+K116+P116</f>
        <v>160519.68223999999</v>
      </c>
      <c r="R116" s="23">
        <v>327375.48442666669</v>
      </c>
      <c r="S116" s="206">
        <f>J116-Q116</f>
        <v>327375.48442666669</v>
      </c>
      <c r="T116" s="179"/>
    </row>
    <row r="117" spans="1:20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23">
        <f t="shared" si="42"/>
        <v>450086.5</v>
      </c>
      <c r="K117" s="23"/>
      <c r="L117" s="23"/>
      <c r="M117" s="23"/>
      <c r="N117" s="23">
        <v>5257.5625</v>
      </c>
      <c r="O117" s="25">
        <v>58980.834746666667</v>
      </c>
      <c r="P117" s="25">
        <v>31206.920000000002</v>
      </c>
      <c r="Q117" s="257">
        <f t="shared" si="43"/>
        <v>95445.317246666673</v>
      </c>
      <c r="R117" s="23">
        <v>354641.18275333336</v>
      </c>
      <c r="S117" s="206">
        <f>J117-Q117</f>
        <v>354641.18275333336</v>
      </c>
      <c r="T117" s="179"/>
    </row>
    <row r="118" spans="1:20" ht="24.75" customHeight="1">
      <c r="A118" s="20"/>
      <c r="B118" s="158" t="s">
        <v>15</v>
      </c>
      <c r="C118" s="29">
        <v>2</v>
      </c>
      <c r="D118" s="186"/>
      <c r="E118" s="68">
        <v>1369378.5</v>
      </c>
      <c r="F118" s="68"/>
      <c r="G118" s="68">
        <f t="shared" ref="G118:S118" si="44">SUM(G115:G117)</f>
        <v>270000</v>
      </c>
      <c r="H118" s="68">
        <f t="shared" si="44"/>
        <v>60000</v>
      </c>
      <c r="I118" s="68">
        <f t="shared" si="44"/>
        <v>0</v>
      </c>
      <c r="J118" s="68">
        <f t="shared" si="44"/>
        <v>1699378.5</v>
      </c>
      <c r="K118" s="68">
        <f t="shared" si="44"/>
        <v>0</v>
      </c>
      <c r="L118" s="68">
        <f t="shared" si="44"/>
        <v>40000</v>
      </c>
      <c r="M118" s="68">
        <f t="shared" si="44"/>
        <v>206853.59</v>
      </c>
      <c r="N118" s="68">
        <f t="shared" si="44"/>
        <v>13377.491666666669</v>
      </c>
      <c r="O118" s="68">
        <v>240981.4436</v>
      </c>
      <c r="P118" s="68">
        <v>109550.28000000001</v>
      </c>
      <c r="Q118" s="68">
        <f t="shared" si="44"/>
        <v>610762.80526666669</v>
      </c>
      <c r="R118" s="68">
        <v>1088615.6947333333</v>
      </c>
      <c r="S118" s="68">
        <f t="shared" si="44"/>
        <v>1088615.6947333333</v>
      </c>
      <c r="T118" s="179"/>
    </row>
    <row r="119" spans="1:20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205"/>
      <c r="K119" s="188"/>
      <c r="L119" s="188"/>
      <c r="M119" s="188"/>
      <c r="N119" s="188"/>
      <c r="O119" s="188"/>
      <c r="P119" s="188"/>
      <c r="Q119" s="262"/>
      <c r="R119" s="188"/>
      <c r="S119" s="208"/>
      <c r="T119" s="179"/>
    </row>
    <row r="120" spans="1:20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212"/>
      <c r="K120" s="181"/>
      <c r="L120" s="181"/>
      <c r="M120" s="181"/>
      <c r="N120" s="181"/>
      <c r="O120" s="30"/>
      <c r="P120" s="30"/>
      <c r="Q120" s="257"/>
      <c r="R120" s="23"/>
      <c r="S120" s="206"/>
      <c r="T120" s="179"/>
    </row>
    <row r="121" spans="1:20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203">
        <f>SUM(E121:I121)</f>
        <v>1635720</v>
      </c>
      <c r="K121" s="23"/>
      <c r="L121" s="23">
        <f>200000</f>
        <v>200000</v>
      </c>
      <c r="M121" s="23">
        <f>327777.78</f>
        <v>327777.78000000003</v>
      </c>
      <c r="N121" s="23">
        <v>19384.766666666666</v>
      </c>
      <c r="O121" s="25">
        <v>270279.89537066669</v>
      </c>
      <c r="P121" s="25">
        <v>114857.60000000001</v>
      </c>
      <c r="Q121" s="257">
        <f>O121+N121+M121+L121+K121+P121</f>
        <v>932300.04203733336</v>
      </c>
      <c r="R121" s="23">
        <v>703419.95796266664</v>
      </c>
      <c r="S121" s="206">
        <f t="shared" ref="S121:S130" si="45">J121-Q121</f>
        <v>703419.95796266664</v>
      </c>
      <c r="T121" s="179"/>
    </row>
    <row r="122" spans="1:20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203">
        <f t="shared" ref="J122:J130" si="46">SUM(E122:I122)</f>
        <v>929203.58333333337</v>
      </c>
      <c r="K122" s="23"/>
      <c r="L122" s="23">
        <f>100000</f>
        <v>100000</v>
      </c>
      <c r="M122" s="23">
        <f>0</f>
        <v>0</v>
      </c>
      <c r="N122" s="23">
        <v>9980.5666666666675</v>
      </c>
      <c r="O122" s="25">
        <v>145522.03071466667</v>
      </c>
      <c r="P122" s="25">
        <v>59136.286666666674</v>
      </c>
      <c r="Q122" s="257">
        <f t="shared" ref="Q122:Q130" si="47">O122+N122+M122+L122+K122+P122</f>
        <v>314638.88404800004</v>
      </c>
      <c r="R122" s="23">
        <v>614564.69928533328</v>
      </c>
      <c r="S122" s="206">
        <f t="shared" si="45"/>
        <v>614564.69928533328</v>
      </c>
      <c r="T122" s="179"/>
    </row>
    <row r="123" spans="1:20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203">
        <f t="shared" si="46"/>
        <v>830675.58333333337</v>
      </c>
      <c r="K123" s="23"/>
      <c r="L123" s="23">
        <f>100000+150000</f>
        <v>250000</v>
      </c>
      <c r="M123" s="23"/>
      <c r="N123" s="23">
        <v>8380.2270833333332</v>
      </c>
      <c r="O123" s="25">
        <v>128461.96570666666</v>
      </c>
      <c r="P123" s="25">
        <v>49654.046666666669</v>
      </c>
      <c r="Q123" s="257">
        <f t="shared" si="47"/>
        <v>436496.23945666669</v>
      </c>
      <c r="R123" s="23">
        <v>394179.34387666668</v>
      </c>
      <c r="S123" s="206">
        <f t="shared" si="45"/>
        <v>394179.34387666668</v>
      </c>
      <c r="T123" s="179"/>
    </row>
    <row r="124" spans="1:20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203">
        <f t="shared" si="46"/>
        <v>662118.08333333337</v>
      </c>
      <c r="K124" s="23"/>
      <c r="L124" s="23">
        <f>100000</f>
        <v>100000</v>
      </c>
      <c r="M124" s="23">
        <f>103000</f>
        <v>103000</v>
      </c>
      <c r="N124" s="23">
        <v>0</v>
      </c>
      <c r="O124" s="25">
        <v>105793.33866666665</v>
      </c>
      <c r="P124" s="25"/>
      <c r="Q124" s="257">
        <f t="shared" si="47"/>
        <v>308793.33866666665</v>
      </c>
      <c r="R124" s="23">
        <v>353324.74466666672</v>
      </c>
      <c r="S124" s="206">
        <f t="shared" si="45"/>
        <v>353324.74466666672</v>
      </c>
      <c r="T124" s="179"/>
    </row>
    <row r="125" spans="1:20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203">
        <f t="shared" si="46"/>
        <v>540498</v>
      </c>
      <c r="K125" s="23"/>
      <c r="L125" s="23">
        <v>5000</v>
      </c>
      <c r="M125" s="23">
        <v>195000</v>
      </c>
      <c r="N125" s="23">
        <v>0</v>
      </c>
      <c r="O125" s="25">
        <v>75215.433386666657</v>
      </c>
      <c r="P125" s="25">
        <v>37639.840000000004</v>
      </c>
      <c r="Q125" s="257">
        <f t="shared" si="47"/>
        <v>312855.27338666667</v>
      </c>
      <c r="R125" s="23">
        <v>227642.72661333333</v>
      </c>
      <c r="S125" s="206">
        <f t="shared" si="45"/>
        <v>227642.72661333333</v>
      </c>
      <c r="T125" s="179"/>
    </row>
    <row r="126" spans="1:20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8">70000</f>
        <v>70000</v>
      </c>
      <c r="I126" s="25">
        <v>0</v>
      </c>
      <c r="J126" s="203">
        <f t="shared" si="46"/>
        <v>512746.5</v>
      </c>
      <c r="K126" s="23"/>
      <c r="L126" s="23">
        <f>20000</f>
        <v>20000</v>
      </c>
      <c r="M126" s="23">
        <v>75694.44</v>
      </c>
      <c r="N126" s="23">
        <v>5967.3062500000005</v>
      </c>
      <c r="O126" s="25">
        <v>70189.308746666662</v>
      </c>
      <c r="P126" s="25">
        <v>35419.72</v>
      </c>
      <c r="Q126" s="257">
        <f t="shared" si="47"/>
        <v>207270.77499666667</v>
      </c>
      <c r="R126" s="23">
        <v>305475.7250033333</v>
      </c>
      <c r="S126" s="206">
        <f t="shared" si="45"/>
        <v>305475.7250033333</v>
      </c>
      <c r="T126" s="179"/>
    </row>
    <row r="127" spans="1:20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8"/>
        <v>70000</v>
      </c>
      <c r="I127" s="25"/>
      <c r="J127" s="203">
        <f t="shared" si="46"/>
        <v>526622.25</v>
      </c>
      <c r="K127" s="23"/>
      <c r="L127" s="23">
        <f>35000+25000</f>
        <v>60000</v>
      </c>
      <c r="M127" s="23">
        <f>55000</f>
        <v>55000</v>
      </c>
      <c r="N127" s="23">
        <v>6154.322916666667</v>
      </c>
      <c r="O127" s="25">
        <v>72636.104186666664</v>
      </c>
      <c r="P127" s="25">
        <v>36529.78</v>
      </c>
      <c r="Q127" s="257">
        <f t="shared" si="47"/>
        <v>230320.20710333335</v>
      </c>
      <c r="R127" s="23">
        <v>296302.04289666668</v>
      </c>
      <c r="S127" s="206">
        <f t="shared" si="45"/>
        <v>296302.04289666668</v>
      </c>
      <c r="T127" s="179"/>
    </row>
    <row r="128" spans="1:20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203">
        <f t="shared" si="46"/>
        <v>330481.66666666669</v>
      </c>
      <c r="K128" s="23"/>
      <c r="L128" s="23">
        <v>15000</v>
      </c>
      <c r="M128" s="23">
        <v>30000</v>
      </c>
      <c r="N128" s="23"/>
      <c r="O128" s="25">
        <v>39052.313066666662</v>
      </c>
      <c r="P128" s="25">
        <v>21638.533333333336</v>
      </c>
      <c r="Q128" s="257">
        <f t="shared" si="47"/>
        <v>105690.84639999999</v>
      </c>
      <c r="R128" s="23">
        <v>224790.82026666671</v>
      </c>
      <c r="S128" s="206">
        <f t="shared" si="45"/>
        <v>224790.82026666671</v>
      </c>
      <c r="T128" s="179"/>
    </row>
    <row r="129" spans="1:20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203">
        <f t="shared" si="46"/>
        <v>274459.75</v>
      </c>
      <c r="K129" s="23"/>
      <c r="L129" s="23">
        <f>10000</f>
        <v>10000</v>
      </c>
      <c r="M129" s="23">
        <f>100000</f>
        <v>100000</v>
      </c>
      <c r="N129" s="23">
        <v>0</v>
      </c>
      <c r="O129" s="25">
        <v>30259.165626666669</v>
      </c>
      <c r="P129" s="25">
        <v>17956.78</v>
      </c>
      <c r="Q129" s="257">
        <f t="shared" si="47"/>
        <v>158215.94562666668</v>
      </c>
      <c r="R129" s="23">
        <v>116243.80437333332</v>
      </c>
      <c r="S129" s="206">
        <f t="shared" si="45"/>
        <v>116243.80437333332</v>
      </c>
      <c r="T129" s="179"/>
    </row>
    <row r="130" spans="1:20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203">
        <f t="shared" si="46"/>
        <v>274459.75</v>
      </c>
      <c r="K130" s="23"/>
      <c r="L130" s="23">
        <f>10000+10000</f>
        <v>20000</v>
      </c>
      <c r="M130" s="23">
        <v>63888.89</v>
      </c>
      <c r="N130" s="23">
        <v>0</v>
      </c>
      <c r="O130" s="25">
        <v>30259.165626666669</v>
      </c>
      <c r="P130" s="25">
        <v>17956.78</v>
      </c>
      <c r="Q130" s="257">
        <f t="shared" si="47"/>
        <v>132104.83562666667</v>
      </c>
      <c r="R130" s="23">
        <v>142354.91437333333</v>
      </c>
      <c r="S130" s="206">
        <f t="shared" si="45"/>
        <v>142354.91437333333</v>
      </c>
      <c r="T130" s="179"/>
    </row>
    <row r="131" spans="1:20" ht="28.5" customHeight="1">
      <c r="A131" s="20"/>
      <c r="B131" s="158" t="s">
        <v>15</v>
      </c>
      <c r="C131" s="186" t="s">
        <v>543</v>
      </c>
      <c r="D131" s="180"/>
      <c r="E131" s="30">
        <v>5466985.166666667</v>
      </c>
      <c r="F131" s="30"/>
      <c r="G131" s="30">
        <f t="shared" ref="G131:S131" si="49">SUM(G121:G130)</f>
        <v>0</v>
      </c>
      <c r="H131" s="30">
        <f t="shared" si="49"/>
        <v>720000</v>
      </c>
      <c r="I131" s="30">
        <f t="shared" si="49"/>
        <v>330000</v>
      </c>
      <c r="J131" s="30">
        <f t="shared" si="49"/>
        <v>6516985.166666667</v>
      </c>
      <c r="K131" s="30">
        <f t="shared" si="49"/>
        <v>0</v>
      </c>
      <c r="L131" s="30">
        <f t="shared" si="49"/>
        <v>780000</v>
      </c>
      <c r="M131" s="30">
        <f t="shared" si="49"/>
        <v>950361.11</v>
      </c>
      <c r="N131" s="30">
        <f t="shared" si="49"/>
        <v>49867.189583333333</v>
      </c>
      <c r="O131" s="30">
        <v>967668.72109866666</v>
      </c>
      <c r="P131" s="30">
        <v>390789.3666666667</v>
      </c>
      <c r="Q131" s="259">
        <f t="shared" si="49"/>
        <v>3138686.3873486668</v>
      </c>
      <c r="R131" s="30">
        <v>3378298.7793180002</v>
      </c>
      <c r="S131" s="217">
        <f t="shared" si="49"/>
        <v>3378298.7793180002</v>
      </c>
      <c r="T131" s="179"/>
    </row>
    <row r="132" spans="1:20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212"/>
      <c r="K132" s="181"/>
      <c r="L132" s="181"/>
      <c r="M132" s="181"/>
      <c r="N132" s="181"/>
      <c r="O132" s="30"/>
      <c r="P132" s="30"/>
      <c r="Q132" s="263"/>
      <c r="R132" s="181"/>
      <c r="S132" s="219"/>
      <c r="T132" s="179"/>
    </row>
    <row r="133" spans="1:20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203"/>
      <c r="K133" s="23"/>
      <c r="L133" s="23"/>
      <c r="M133" s="23"/>
      <c r="N133" s="23"/>
      <c r="O133" s="25"/>
      <c r="P133" s="25"/>
      <c r="Q133" s="257"/>
      <c r="R133" s="23"/>
      <c r="S133" s="206"/>
      <c r="T133" s="179"/>
    </row>
    <row r="134" spans="1:20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203">
        <f>SUM(E134:I134)</f>
        <v>1535720</v>
      </c>
      <c r="K134" s="23"/>
      <c r="L134" s="23">
        <f>100000</f>
        <v>100000</v>
      </c>
      <c r="M134" s="23">
        <f>208526.24</f>
        <v>208526.24</v>
      </c>
      <c r="N134" s="23"/>
      <c r="O134" s="25">
        <v>251472.24746666662</v>
      </c>
      <c r="P134" s="25">
        <v>114857.60000000001</v>
      </c>
      <c r="Q134" s="257">
        <f>O134+N134+M134+L134+K134+P134</f>
        <v>674856.08746666659</v>
      </c>
      <c r="R134" s="23">
        <v>860863.91253333341</v>
      </c>
      <c r="S134" s="206">
        <f t="shared" ref="S134:S165" si="50">J134-Q134</f>
        <v>860863.91253333341</v>
      </c>
      <c r="T134" s="179"/>
    </row>
    <row r="135" spans="1:20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203">
        <f t="shared" ref="J135:J192" si="51">SUM(E135:I135)</f>
        <v>852373.16666666663</v>
      </c>
      <c r="K135" s="23"/>
      <c r="L135" s="35">
        <v>50000</v>
      </c>
      <c r="M135" s="35">
        <v>200000</v>
      </c>
      <c r="O135" s="23">
        <v>142322.31466666667</v>
      </c>
      <c r="P135" s="23"/>
      <c r="Q135" s="257">
        <f t="shared" ref="Q135:Q192" si="52">O135+N135+M135+L135+K135+P135</f>
        <v>392322.31466666667</v>
      </c>
      <c r="R135" s="23">
        <v>460050.85199999996</v>
      </c>
      <c r="S135" s="206">
        <f t="shared" si="50"/>
        <v>460050.85199999996</v>
      </c>
      <c r="T135" s="179"/>
    </row>
    <row r="136" spans="1:20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203">
        <f t="shared" si="51"/>
        <v>902373.16666666663</v>
      </c>
      <c r="K136" s="23"/>
      <c r="L136" s="23">
        <f>37500</f>
        <v>37500</v>
      </c>
      <c r="M136" s="23"/>
      <c r="N136" s="23">
        <v>10293.397916666669</v>
      </c>
      <c r="O136" s="23">
        <v>140007.52761066667</v>
      </c>
      <c r="P136" s="23">
        <v>60989.853333333333</v>
      </c>
      <c r="Q136" s="257">
        <f t="shared" si="52"/>
        <v>248790.77886066667</v>
      </c>
      <c r="R136" s="23">
        <v>653582.38780599996</v>
      </c>
      <c r="S136" s="206">
        <f t="shared" si="50"/>
        <v>653582.38780599996</v>
      </c>
      <c r="T136" s="179"/>
    </row>
    <row r="137" spans="1:20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203">
        <f t="shared" si="51"/>
        <v>554373.75</v>
      </c>
      <c r="K137" s="23"/>
      <c r="L137" s="23">
        <f>30000+20000</f>
        <v>50000</v>
      </c>
      <c r="M137" s="23">
        <f>91666.67</f>
        <v>91666.67</v>
      </c>
      <c r="N137" s="23">
        <v>6528.3562500000007</v>
      </c>
      <c r="O137" s="25">
        <v>77529.694778666671</v>
      </c>
      <c r="P137" s="25">
        <v>38749.9</v>
      </c>
      <c r="Q137" s="257">
        <f t="shared" si="52"/>
        <v>264474.62102866668</v>
      </c>
      <c r="R137" s="23">
        <v>289899.12897133332</v>
      </c>
      <c r="S137" s="206">
        <f t="shared" si="50"/>
        <v>289899.12897133332</v>
      </c>
      <c r="T137" s="179"/>
    </row>
    <row r="138" spans="1:20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203">
        <f t="shared" si="51"/>
        <v>554373.75</v>
      </c>
      <c r="K138" s="23"/>
      <c r="L138" s="23">
        <f>0</f>
        <v>0</v>
      </c>
      <c r="M138" s="23">
        <f>163333.33</f>
        <v>163333.32999999999</v>
      </c>
      <c r="N138" s="23">
        <v>6528.3562500000007</v>
      </c>
      <c r="O138" s="25">
        <v>77529.694778666671</v>
      </c>
      <c r="P138" s="25">
        <v>38749.9</v>
      </c>
      <c r="Q138" s="257">
        <f t="shared" si="52"/>
        <v>286141.28102866665</v>
      </c>
      <c r="R138" s="23">
        <v>268232.46897133335</v>
      </c>
      <c r="S138" s="206">
        <f t="shared" si="50"/>
        <v>268232.46897133335</v>
      </c>
      <c r="T138" s="179"/>
    </row>
    <row r="139" spans="1:20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203">
        <f t="shared" si="51"/>
        <v>554373.75</v>
      </c>
      <c r="K139" s="23"/>
      <c r="L139" s="23">
        <f>0</f>
        <v>0</v>
      </c>
      <c r="M139" s="23">
        <v>0</v>
      </c>
      <c r="N139" s="23">
        <v>6528.3562500000007</v>
      </c>
      <c r="O139" s="25">
        <v>77529.694778666671</v>
      </c>
      <c r="P139" s="25">
        <v>38749.9</v>
      </c>
      <c r="Q139" s="257">
        <f t="shared" si="52"/>
        <v>122807.95102866666</v>
      </c>
      <c r="R139" s="23">
        <v>431565.79897133331</v>
      </c>
      <c r="S139" s="206">
        <f t="shared" si="50"/>
        <v>431565.79897133331</v>
      </c>
      <c r="T139" s="179"/>
    </row>
    <row r="140" spans="1:20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203">
        <f t="shared" si="51"/>
        <v>450086.5</v>
      </c>
      <c r="K140" s="23"/>
      <c r="L140" s="23">
        <v>20000</v>
      </c>
      <c r="M140" s="23">
        <v>0</v>
      </c>
      <c r="N140" s="23">
        <v>5257.5625</v>
      </c>
      <c r="O140" s="25">
        <v>58980.834746666667</v>
      </c>
      <c r="P140" s="25">
        <v>31206.920000000002</v>
      </c>
      <c r="Q140" s="257">
        <f t="shared" si="52"/>
        <v>115445.31724666666</v>
      </c>
      <c r="R140" s="23">
        <v>334641.18275333336</v>
      </c>
      <c r="S140" s="206">
        <f t="shared" si="50"/>
        <v>334641.18275333336</v>
      </c>
      <c r="T140" s="179"/>
    </row>
    <row r="141" spans="1:20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203">
        <f t="shared" si="51"/>
        <v>450086.5</v>
      </c>
      <c r="K141" s="23"/>
      <c r="L141" s="23"/>
      <c r="M141" s="23">
        <f>100000</f>
        <v>100000</v>
      </c>
      <c r="N141" s="23">
        <v>0</v>
      </c>
      <c r="O141" s="25">
        <v>59091.546026666671</v>
      </c>
      <c r="P141" s="25">
        <v>31206.920000000002</v>
      </c>
      <c r="Q141" s="257">
        <f t="shared" si="52"/>
        <v>190298.46602666669</v>
      </c>
      <c r="R141" s="23">
        <v>259788.03397333331</v>
      </c>
      <c r="S141" s="206">
        <f t="shared" si="50"/>
        <v>259788.03397333331</v>
      </c>
      <c r="T141" s="179"/>
    </row>
    <row r="142" spans="1:20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203">
        <f t="shared" si="51"/>
        <v>450086.5</v>
      </c>
      <c r="K142" s="23"/>
      <c r="L142" s="23">
        <f>30000</f>
        <v>30000</v>
      </c>
      <c r="M142" s="23">
        <f>45833.33</f>
        <v>45833.33</v>
      </c>
      <c r="N142" s="23">
        <v>0</v>
      </c>
      <c r="O142" s="25">
        <v>59091.546026666671</v>
      </c>
      <c r="P142" s="25">
        <v>31206.920000000002</v>
      </c>
      <c r="Q142" s="257">
        <f t="shared" si="52"/>
        <v>166131.79602666668</v>
      </c>
      <c r="R142" s="23">
        <v>283954.70397333335</v>
      </c>
      <c r="S142" s="206">
        <f t="shared" si="50"/>
        <v>283954.70397333335</v>
      </c>
      <c r="T142" s="179"/>
    </row>
    <row r="143" spans="1:20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203">
        <f t="shared" si="51"/>
        <v>437895.16666666669</v>
      </c>
      <c r="K143" s="23"/>
      <c r="L143" s="23">
        <v>35000</v>
      </c>
      <c r="M143" s="23">
        <v>159722.22</v>
      </c>
      <c r="N143" s="23">
        <v>0</v>
      </c>
      <c r="O143" s="25">
        <v>56938.068906666675</v>
      </c>
      <c r="P143" s="25">
        <v>30231.613333333335</v>
      </c>
      <c r="Q143" s="257">
        <f t="shared" si="52"/>
        <v>281891.90224000002</v>
      </c>
      <c r="R143" s="23">
        <v>156003.26442666666</v>
      </c>
      <c r="S143" s="206">
        <f t="shared" si="50"/>
        <v>156003.26442666666</v>
      </c>
      <c r="T143" s="179"/>
    </row>
    <row r="144" spans="1:20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203">
        <f t="shared" si="51"/>
        <v>425703.83333333331</v>
      </c>
      <c r="K144" s="23"/>
      <c r="L144" s="23">
        <f>10000</f>
        <v>10000</v>
      </c>
      <c r="M144" s="23">
        <v>100000</v>
      </c>
      <c r="N144" s="23">
        <v>4928.9333333333343</v>
      </c>
      <c r="O144" s="25">
        <v>54681.291562666673</v>
      </c>
      <c r="P144" s="25">
        <v>29256.306666666667</v>
      </c>
      <c r="Q144" s="257">
        <f t="shared" si="52"/>
        <v>198866.53156266667</v>
      </c>
      <c r="R144" s="23">
        <v>226837.30177066664</v>
      </c>
      <c r="S144" s="206">
        <f t="shared" si="50"/>
        <v>226837.30177066664</v>
      </c>
      <c r="T144" s="179"/>
    </row>
    <row r="145" spans="1:20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203">
        <f t="shared" si="51"/>
        <v>450086.5</v>
      </c>
      <c r="K145" s="23"/>
      <c r="L145" s="23">
        <v>20000</v>
      </c>
      <c r="M145" s="23">
        <f>68750</f>
        <v>68750</v>
      </c>
      <c r="N145" s="23">
        <v>5257.5625</v>
      </c>
      <c r="O145" s="25">
        <v>58980.834746666667</v>
      </c>
      <c r="P145" s="25">
        <v>31206.920000000002</v>
      </c>
      <c r="Q145" s="257">
        <f t="shared" si="52"/>
        <v>184195.31724666667</v>
      </c>
      <c r="R145" s="23">
        <v>265891.18275333336</v>
      </c>
      <c r="S145" s="206">
        <f t="shared" si="50"/>
        <v>265891.18275333336</v>
      </c>
      <c r="T145" s="179"/>
    </row>
    <row r="146" spans="1:20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203">
        <f t="shared" si="51"/>
        <v>413512.5</v>
      </c>
      <c r="K146" s="23"/>
      <c r="L146" s="23">
        <f>30000</f>
        <v>30000</v>
      </c>
      <c r="M146" s="23">
        <v>17500</v>
      </c>
      <c r="N146" s="23">
        <v>0</v>
      </c>
      <c r="O146" s="25">
        <v>52631.114666666661</v>
      </c>
      <c r="P146" s="25">
        <v>28281</v>
      </c>
      <c r="Q146" s="257">
        <f t="shared" si="52"/>
        <v>128412.11466666666</v>
      </c>
      <c r="R146" s="23">
        <v>285100.38533333334</v>
      </c>
      <c r="S146" s="206">
        <f t="shared" si="50"/>
        <v>285100.38533333334</v>
      </c>
      <c r="T146" s="179"/>
    </row>
    <row r="147" spans="1:20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203">
        <f t="shared" si="51"/>
        <v>368901.5</v>
      </c>
      <c r="K147" s="23"/>
      <c r="L147" s="23">
        <f>10000</f>
        <v>10000</v>
      </c>
      <c r="M147" s="23">
        <v>50000</v>
      </c>
      <c r="N147" s="23">
        <v>0</v>
      </c>
      <c r="O147" s="25">
        <v>44990.48250666666</v>
      </c>
      <c r="P147" s="25">
        <v>24712.12</v>
      </c>
      <c r="Q147" s="257">
        <f t="shared" si="52"/>
        <v>129702.60250666665</v>
      </c>
      <c r="R147" s="23">
        <v>239198.89749333335</v>
      </c>
      <c r="S147" s="206">
        <f t="shared" si="50"/>
        <v>239198.89749333335</v>
      </c>
      <c r="T147" s="179"/>
    </row>
    <row r="148" spans="1:20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203">
        <f t="shared" si="51"/>
        <v>376837.41666666669</v>
      </c>
      <c r="K148" s="23"/>
      <c r="L148" s="23">
        <f>10000</f>
        <v>10000</v>
      </c>
      <c r="M148" s="23">
        <v>0</v>
      </c>
      <c r="N148" s="23">
        <v>4229.354166666667</v>
      </c>
      <c r="O148" s="25">
        <v>46138.184726666659</v>
      </c>
      <c r="P148" s="25">
        <v>25346.993333333336</v>
      </c>
      <c r="Q148" s="257">
        <f t="shared" si="52"/>
        <v>85714.532226666663</v>
      </c>
      <c r="R148" s="23">
        <v>291122.88444000005</v>
      </c>
      <c r="S148" s="206">
        <f t="shared" si="50"/>
        <v>291122.88444000005</v>
      </c>
      <c r="T148" s="179"/>
    </row>
    <row r="149" spans="1:20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203">
        <f t="shared" si="51"/>
        <v>376837.41666666669</v>
      </c>
      <c r="K149" s="23"/>
      <c r="L149" s="23">
        <f>10000</f>
        <v>10000</v>
      </c>
      <c r="M149" s="23"/>
      <c r="N149" s="23">
        <v>0</v>
      </c>
      <c r="O149" s="25">
        <v>46217.057786666664</v>
      </c>
      <c r="P149" s="25">
        <v>25346.993333333336</v>
      </c>
      <c r="Q149" s="257">
        <f t="shared" si="52"/>
        <v>81564.051120000004</v>
      </c>
      <c r="R149" s="23">
        <v>295273.36554666667</v>
      </c>
      <c r="S149" s="206">
        <f t="shared" si="50"/>
        <v>295273.36554666667</v>
      </c>
      <c r="T149" s="179"/>
    </row>
    <row r="150" spans="1:20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203">
        <f t="shared" si="51"/>
        <v>360965.58333333331</v>
      </c>
      <c r="K150" s="23"/>
      <c r="L150" s="23">
        <f>30000</f>
        <v>30000</v>
      </c>
      <c r="M150" s="23"/>
      <c r="N150" s="23">
        <v>0</v>
      </c>
      <c r="O150" s="25">
        <v>43763.90722666667</v>
      </c>
      <c r="P150" s="25">
        <v>24077.246666666666</v>
      </c>
      <c r="Q150" s="257">
        <f t="shared" si="52"/>
        <v>97841.153893333336</v>
      </c>
      <c r="R150" s="23">
        <v>263124.42943999998</v>
      </c>
      <c r="S150" s="206">
        <f t="shared" si="50"/>
        <v>263124.42943999998</v>
      </c>
      <c r="T150" s="179"/>
    </row>
    <row r="151" spans="1:20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203">
        <f t="shared" si="51"/>
        <v>323165.33333333331</v>
      </c>
      <c r="K151" s="23"/>
      <c r="L151" s="23">
        <f>30000</f>
        <v>30000</v>
      </c>
      <c r="M151" s="23"/>
      <c r="N151" s="23">
        <v>0</v>
      </c>
      <c r="O151" s="25">
        <v>37921.500586666662</v>
      </c>
      <c r="P151" s="25">
        <v>21053.226666666666</v>
      </c>
      <c r="Q151" s="257">
        <f t="shared" si="52"/>
        <v>88974.727253333331</v>
      </c>
      <c r="R151" s="23">
        <v>234190.60608</v>
      </c>
      <c r="S151" s="206">
        <f t="shared" si="50"/>
        <v>234190.60608</v>
      </c>
      <c r="T151" s="179"/>
    </row>
    <row r="152" spans="1:20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203">
        <f t="shared" si="51"/>
        <v>368901.5</v>
      </c>
      <c r="K152" s="23"/>
      <c r="L152" s="23">
        <v>10000</v>
      </c>
      <c r="M152" s="23">
        <v>45833.33</v>
      </c>
      <c r="N152" s="23">
        <v>0</v>
      </c>
      <c r="O152" s="25">
        <v>44990.48250666666</v>
      </c>
      <c r="P152" s="25">
        <v>24712.12</v>
      </c>
      <c r="Q152" s="257">
        <f t="shared" si="52"/>
        <v>125535.93250666666</v>
      </c>
      <c r="R152" s="23">
        <v>289198.89749333332</v>
      </c>
      <c r="S152" s="206">
        <f t="shared" si="50"/>
        <v>243365.56749333334</v>
      </c>
      <c r="T152" s="179"/>
    </row>
    <row r="153" spans="1:20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203">
        <f t="shared" si="51"/>
        <v>330481.66666666669</v>
      </c>
      <c r="K153" s="23"/>
      <c r="L153" s="23">
        <f>30000+10000+30000</f>
        <v>70000</v>
      </c>
      <c r="M153" s="23">
        <f>70000+30000</f>
        <v>100000</v>
      </c>
      <c r="N153" s="23">
        <v>0</v>
      </c>
      <c r="O153" s="25">
        <v>39052.313066666662</v>
      </c>
      <c r="P153" s="25">
        <v>21638.533333333336</v>
      </c>
      <c r="Q153" s="257">
        <f t="shared" si="52"/>
        <v>230690.84639999998</v>
      </c>
      <c r="R153" s="23">
        <v>99790.820266666706</v>
      </c>
      <c r="S153" s="206">
        <f t="shared" si="50"/>
        <v>99790.820266666706</v>
      </c>
      <c r="T153" s="179"/>
    </row>
    <row r="154" spans="1:20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203">
        <f t="shared" si="51"/>
        <v>368901.5</v>
      </c>
      <c r="K154" s="23"/>
      <c r="L154" s="23">
        <f>10000</f>
        <v>10000</v>
      </c>
      <c r="M154" s="23">
        <f>90000</f>
        <v>90000</v>
      </c>
      <c r="N154" s="23">
        <v>4123.4208333333336</v>
      </c>
      <c r="O154" s="25">
        <v>44913.699618666666</v>
      </c>
      <c r="P154" s="25">
        <v>24712.12</v>
      </c>
      <c r="Q154" s="257">
        <f t="shared" si="52"/>
        <v>173749.240452</v>
      </c>
      <c r="R154" s="23">
        <v>195152.259548</v>
      </c>
      <c r="S154" s="206">
        <f t="shared" si="50"/>
        <v>195152.259548</v>
      </c>
      <c r="T154" s="179"/>
    </row>
    <row r="155" spans="1:20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203">
        <f t="shared" si="51"/>
        <v>330481.66666666669</v>
      </c>
      <c r="K155" s="23"/>
      <c r="L155" s="23"/>
      <c r="M155" s="23">
        <v>0</v>
      </c>
      <c r="N155" s="23">
        <v>0</v>
      </c>
      <c r="O155" s="25">
        <v>39052.313066666662</v>
      </c>
      <c r="P155" s="25">
        <v>21638.533333333336</v>
      </c>
      <c r="Q155" s="257">
        <f t="shared" si="52"/>
        <v>60690.846399999995</v>
      </c>
      <c r="R155" s="23">
        <v>269790.82026666671</v>
      </c>
      <c r="S155" s="206">
        <f t="shared" si="50"/>
        <v>269790.82026666671</v>
      </c>
      <c r="T155" s="179"/>
    </row>
    <row r="156" spans="1:20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203">
        <f t="shared" si="51"/>
        <v>315849</v>
      </c>
      <c r="K156" s="25"/>
      <c r="L156" s="23">
        <v>30000</v>
      </c>
      <c r="M156" s="23">
        <f>80000</f>
        <v>80000</v>
      </c>
      <c r="N156" s="23">
        <v>0</v>
      </c>
      <c r="O156" s="25">
        <v>36790.688106666661</v>
      </c>
      <c r="P156" s="25">
        <v>20467.920000000002</v>
      </c>
      <c r="Q156" s="257">
        <f t="shared" si="52"/>
        <v>167258.60810666668</v>
      </c>
      <c r="R156" s="23">
        <v>148590.39189333332</v>
      </c>
      <c r="S156" s="206">
        <f t="shared" si="50"/>
        <v>148590.39189333332</v>
      </c>
      <c r="T156" s="179"/>
    </row>
    <row r="157" spans="1:20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203">
        <f t="shared" si="51"/>
        <v>274459.75</v>
      </c>
      <c r="K157" s="23"/>
      <c r="L157" s="23">
        <f>20000</f>
        <v>20000</v>
      </c>
      <c r="M157" s="23"/>
      <c r="N157" s="23">
        <v>0</v>
      </c>
      <c r="O157" s="25">
        <v>30259.165626666669</v>
      </c>
      <c r="P157" s="25">
        <v>17956.78</v>
      </c>
      <c r="Q157" s="257">
        <f t="shared" si="52"/>
        <v>68215.945626666668</v>
      </c>
      <c r="R157" s="23">
        <v>206243.80437333335</v>
      </c>
      <c r="S157" s="206">
        <f t="shared" si="50"/>
        <v>206243.80437333335</v>
      </c>
      <c r="T157" s="179"/>
    </row>
    <row r="158" spans="1:20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203">
        <f t="shared" si="51"/>
        <v>274459.75</v>
      </c>
      <c r="K158" s="23"/>
      <c r="L158" s="23">
        <f>12000-2000</f>
        <v>10000</v>
      </c>
      <c r="M158" s="23"/>
      <c r="N158" s="23">
        <v>0</v>
      </c>
      <c r="O158" s="25">
        <v>30259.165626666669</v>
      </c>
      <c r="P158" s="25">
        <v>17956.78</v>
      </c>
      <c r="Q158" s="257">
        <f t="shared" si="52"/>
        <v>58215.945626666668</v>
      </c>
      <c r="R158" s="23">
        <v>216243.80437333335</v>
      </c>
      <c r="S158" s="206">
        <f t="shared" si="50"/>
        <v>216243.80437333335</v>
      </c>
      <c r="T158" s="179"/>
    </row>
    <row r="159" spans="1:20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203">
        <f t="shared" si="51"/>
        <v>274459.75</v>
      </c>
      <c r="K159" s="23"/>
      <c r="L159" s="23">
        <v>20000</v>
      </c>
      <c r="M159" s="23">
        <v>20000</v>
      </c>
      <c r="N159" s="23">
        <v>0</v>
      </c>
      <c r="O159" s="25">
        <v>30259.165626666669</v>
      </c>
      <c r="P159" s="25">
        <v>17956.78</v>
      </c>
      <c r="Q159" s="257">
        <f t="shared" si="52"/>
        <v>88215.945626666668</v>
      </c>
      <c r="R159" s="23">
        <v>186243.80437333335</v>
      </c>
      <c r="S159" s="206">
        <f t="shared" si="50"/>
        <v>186243.80437333335</v>
      </c>
      <c r="T159" s="179"/>
    </row>
    <row r="160" spans="1:20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203">
        <f t="shared" si="51"/>
        <v>280631.91666666663</v>
      </c>
      <c r="K160" s="23"/>
      <c r="L160" s="23">
        <f>10000+5000+5000</f>
        <v>20000</v>
      </c>
      <c r="M160" s="23">
        <f>32000</f>
        <v>32000</v>
      </c>
      <c r="N160" s="23">
        <v>0</v>
      </c>
      <c r="O160" s="25">
        <v>31213.135706666657</v>
      </c>
      <c r="P160" s="25">
        <v>18450.553333333333</v>
      </c>
      <c r="Q160" s="257">
        <f t="shared" si="52"/>
        <v>101663.68903999998</v>
      </c>
      <c r="R160" s="23">
        <v>178968.22762666666</v>
      </c>
      <c r="S160" s="206">
        <f t="shared" si="50"/>
        <v>178968.22762666666</v>
      </c>
      <c r="T160" s="179"/>
    </row>
    <row r="161" spans="1:20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203">
        <f t="shared" si="51"/>
        <v>274459.75</v>
      </c>
      <c r="K161" s="23"/>
      <c r="L161" s="23">
        <v>30000</v>
      </c>
      <c r="M161" s="23">
        <v>0</v>
      </c>
      <c r="N161" s="23">
        <v>0</v>
      </c>
      <c r="O161" s="25">
        <v>30259.165626666669</v>
      </c>
      <c r="P161" s="25">
        <v>17956.78</v>
      </c>
      <c r="Q161" s="257">
        <f t="shared" si="52"/>
        <v>78215.945626666668</v>
      </c>
      <c r="R161" s="23">
        <v>196243.80437333335</v>
      </c>
      <c r="S161" s="206">
        <f t="shared" si="50"/>
        <v>196243.80437333335</v>
      </c>
      <c r="T161" s="179"/>
    </row>
    <row r="162" spans="1:20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203">
        <f t="shared" si="51"/>
        <v>202598.16666666666</v>
      </c>
      <c r="K162" s="23"/>
      <c r="L162" s="23">
        <f>20000+5000+5000+10000</f>
        <v>40000</v>
      </c>
      <c r="M162" s="23">
        <f>47916.66+20000</f>
        <v>67916.66</v>
      </c>
      <c r="N162" s="23">
        <v>2313.5750000000003</v>
      </c>
      <c r="O162" s="23">
        <v>18892.983386666663</v>
      </c>
      <c r="P162" s="23">
        <v>13487.853333333333</v>
      </c>
      <c r="Q162" s="257">
        <f t="shared" si="52"/>
        <v>142611.07172000001</v>
      </c>
      <c r="R162" s="23">
        <v>59987.09494666665</v>
      </c>
      <c r="S162" s="206">
        <f t="shared" si="50"/>
        <v>59987.09494666665</v>
      </c>
      <c r="T162" s="179"/>
    </row>
    <row r="163" spans="1:20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203">
        <f t="shared" si="51"/>
        <v>205598.16666666666</v>
      </c>
      <c r="K163" s="23"/>
      <c r="L163" s="23">
        <f>5000+5000+5000</f>
        <v>15000</v>
      </c>
      <c r="M163" s="23">
        <f>14524.11</f>
        <v>14524.11</v>
      </c>
      <c r="N163" s="23">
        <v>0</v>
      </c>
      <c r="O163" s="23">
        <v>19441.199306666666</v>
      </c>
      <c r="P163" s="23">
        <v>13487.853333333333</v>
      </c>
      <c r="Q163" s="257">
        <f t="shared" si="52"/>
        <v>62453.162639999995</v>
      </c>
      <c r="R163" s="23">
        <v>143145.00402666666</v>
      </c>
      <c r="S163" s="206">
        <f t="shared" si="50"/>
        <v>143145.00402666666</v>
      </c>
      <c r="T163" s="179"/>
    </row>
    <row r="164" spans="1:20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203">
        <f t="shared" si="51"/>
        <v>202598.16666666666</v>
      </c>
      <c r="K164" s="23"/>
      <c r="L164" s="23">
        <f>10000+5000+5000</f>
        <v>20000</v>
      </c>
      <c r="M164" s="23"/>
      <c r="N164" s="23">
        <v>0</v>
      </c>
      <c r="O164" s="23">
        <v>18937.199306666666</v>
      </c>
      <c r="P164" s="23">
        <v>13487.853333333333</v>
      </c>
      <c r="Q164" s="257">
        <f t="shared" si="52"/>
        <v>52425.052639999994</v>
      </c>
      <c r="R164" s="23">
        <v>150173.11402666668</v>
      </c>
      <c r="S164" s="206">
        <f t="shared" si="50"/>
        <v>150173.11402666668</v>
      </c>
      <c r="T164" s="179"/>
    </row>
    <row r="165" spans="1:20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203">
        <f t="shared" si="51"/>
        <v>202598.16666666666</v>
      </c>
      <c r="K165" s="23"/>
      <c r="L165" s="23">
        <f>5000+5000+5000</f>
        <v>15000</v>
      </c>
      <c r="M165" s="23">
        <f>85704.84-50000</f>
        <v>35704.839999999997</v>
      </c>
      <c r="N165" s="23">
        <v>2313.5750000000003</v>
      </c>
      <c r="O165" s="23">
        <v>18892.983386666663</v>
      </c>
      <c r="P165" s="23">
        <v>13487.853333333333</v>
      </c>
      <c r="Q165" s="257">
        <f t="shared" si="52"/>
        <v>85399.25172</v>
      </c>
      <c r="R165" s="23">
        <v>117198.91494666666</v>
      </c>
      <c r="S165" s="206">
        <f t="shared" si="50"/>
        <v>117198.91494666666</v>
      </c>
      <c r="T165" s="179"/>
    </row>
    <row r="166" spans="1:20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203">
        <f t="shared" si="51"/>
        <v>202598.16666666666</v>
      </c>
      <c r="K166" s="23"/>
      <c r="L166" s="23">
        <f>10000+5000+5000</f>
        <v>20000</v>
      </c>
      <c r="M166" s="23">
        <f>15112.49</f>
        <v>15112.49</v>
      </c>
      <c r="N166" s="23"/>
      <c r="O166" s="23">
        <v>18937.199306666666</v>
      </c>
      <c r="P166" s="23">
        <v>13487.853333333333</v>
      </c>
      <c r="Q166" s="257">
        <f t="shared" si="52"/>
        <v>67537.54264</v>
      </c>
      <c r="R166" s="23">
        <v>135060.62402666666</v>
      </c>
      <c r="S166" s="206">
        <f t="shared" ref="S166:S192" si="53">J166-Q166</f>
        <v>135060.62402666666</v>
      </c>
      <c r="T166" s="179"/>
    </row>
    <row r="167" spans="1:20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203">
        <f t="shared" si="51"/>
        <v>200336.83333333334</v>
      </c>
      <c r="K167" s="23"/>
      <c r="L167" s="23">
        <f>5000+5000+15000+5000</f>
        <v>30000</v>
      </c>
      <c r="M167" s="23">
        <f>26430.62</f>
        <v>26430.62</v>
      </c>
      <c r="N167" s="23"/>
      <c r="O167" s="23">
        <v>18631.689440000002</v>
      </c>
      <c r="P167" s="23">
        <v>13066.946666666669</v>
      </c>
      <c r="Q167" s="257">
        <f t="shared" si="52"/>
        <v>88129.256106666668</v>
      </c>
      <c r="R167" s="23">
        <v>112207.57722666668</v>
      </c>
      <c r="S167" s="206">
        <f t="shared" si="53"/>
        <v>112207.57722666668</v>
      </c>
      <c r="T167" s="179"/>
    </row>
    <row r="168" spans="1:20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4">20000+10000</f>
        <v>30000</v>
      </c>
      <c r="I168" s="25">
        <f>4000</f>
        <v>4000</v>
      </c>
      <c r="J168" s="203">
        <f t="shared" si="51"/>
        <v>197336.83333333334</v>
      </c>
      <c r="K168" s="23"/>
      <c r="L168" s="23">
        <f>3000+5000+17000+5000</f>
        <v>30000</v>
      </c>
      <c r="M168" s="23">
        <f>25555.56</f>
        <v>25555.56</v>
      </c>
      <c r="N168" s="23"/>
      <c r="O168" s="23">
        <v>18175.689440000002</v>
      </c>
      <c r="P168" s="23">
        <v>13066.946666666669</v>
      </c>
      <c r="Q168" s="257">
        <f t="shared" si="52"/>
        <v>86798.19610666667</v>
      </c>
      <c r="R168" s="23">
        <v>110538.63722666667</v>
      </c>
      <c r="S168" s="206">
        <f t="shared" si="53"/>
        <v>110538.63722666667</v>
      </c>
      <c r="T168" s="179"/>
    </row>
    <row r="169" spans="1:20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4"/>
        <v>30000</v>
      </c>
      <c r="I169" s="25">
        <f>7000</f>
        <v>7000</v>
      </c>
      <c r="J169" s="203">
        <f t="shared" si="51"/>
        <v>200336.83333333334</v>
      </c>
      <c r="K169" s="23"/>
      <c r="L169" s="23">
        <f>5000+5000+5000+5000</f>
        <v>20000</v>
      </c>
      <c r="M169" s="23">
        <f>20000</f>
        <v>20000</v>
      </c>
      <c r="N169" s="23"/>
      <c r="O169" s="23">
        <v>18631.689440000002</v>
      </c>
      <c r="P169" s="23">
        <v>13066.946666666669</v>
      </c>
      <c r="Q169" s="257">
        <f t="shared" si="52"/>
        <v>71698.636106666672</v>
      </c>
      <c r="R169" s="23">
        <v>118638.19722666667</v>
      </c>
      <c r="S169" s="206">
        <f t="shared" si="53"/>
        <v>128638.19722666667</v>
      </c>
      <c r="T169" s="179"/>
    </row>
    <row r="170" spans="1:20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4"/>
        <v>30000</v>
      </c>
      <c r="I170" s="25">
        <f>4000</f>
        <v>4000</v>
      </c>
      <c r="J170" s="203">
        <f t="shared" si="51"/>
        <v>197336.83333333334</v>
      </c>
      <c r="K170" s="23"/>
      <c r="L170" s="23">
        <f>10000+5000+5000</f>
        <v>20000</v>
      </c>
      <c r="M170" s="23">
        <f>13750</f>
        <v>13750</v>
      </c>
      <c r="N170" s="23"/>
      <c r="O170" s="23">
        <v>18175.689440000002</v>
      </c>
      <c r="P170" s="23">
        <v>13066.946666666669</v>
      </c>
      <c r="Q170" s="257">
        <f t="shared" si="52"/>
        <v>64992.636106666672</v>
      </c>
      <c r="R170" s="23">
        <v>132344.19722666667</v>
      </c>
      <c r="S170" s="206">
        <f t="shared" si="53"/>
        <v>132344.19722666667</v>
      </c>
      <c r="T170" s="179"/>
    </row>
    <row r="171" spans="1:20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4"/>
        <v>30000</v>
      </c>
      <c r="I171" s="25">
        <f>4000</f>
        <v>4000</v>
      </c>
      <c r="J171" s="203">
        <f t="shared" si="51"/>
        <v>197336.83333333334</v>
      </c>
      <c r="K171" s="23"/>
      <c r="L171" s="23">
        <f>3000+5000+7000+5000</f>
        <v>20000</v>
      </c>
      <c r="M171" s="23">
        <f>16958.34</f>
        <v>16958.34</v>
      </c>
      <c r="N171" s="23"/>
      <c r="O171" s="23">
        <v>18175.689440000002</v>
      </c>
      <c r="P171" s="23">
        <v>13066.946666666669</v>
      </c>
      <c r="Q171" s="257">
        <f t="shared" si="52"/>
        <v>68200.976106666669</v>
      </c>
      <c r="R171" s="23">
        <v>129135.85722666667</v>
      </c>
      <c r="S171" s="206">
        <f t="shared" si="53"/>
        <v>129135.85722666667</v>
      </c>
      <c r="T171" s="179"/>
    </row>
    <row r="172" spans="1:20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4"/>
        <v>30000</v>
      </c>
      <c r="I172" s="25">
        <f>7000</f>
        <v>7000</v>
      </c>
      <c r="J172" s="203">
        <f t="shared" si="51"/>
        <v>200336.83333333334</v>
      </c>
      <c r="K172" s="23"/>
      <c r="L172" s="23">
        <f>10000+5000+5000</f>
        <v>20000</v>
      </c>
      <c r="M172" s="23">
        <f>22361.11</f>
        <v>22361.11</v>
      </c>
      <c r="N172" s="23"/>
      <c r="O172" s="23">
        <v>18631.689440000002</v>
      </c>
      <c r="P172" s="23">
        <v>13066.946666666669</v>
      </c>
      <c r="Q172" s="257">
        <f t="shared" si="52"/>
        <v>74059.746106666673</v>
      </c>
      <c r="R172" s="23">
        <v>126277.08722666667</v>
      </c>
      <c r="S172" s="206">
        <f t="shared" si="53"/>
        <v>126277.08722666667</v>
      </c>
      <c r="T172" s="179"/>
    </row>
    <row r="173" spans="1:20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203">
        <f t="shared" si="51"/>
        <v>189814.16666666666</v>
      </c>
      <c r="K173" s="23"/>
      <c r="L173" s="23">
        <f>10000+5000+5000</f>
        <v>20000</v>
      </c>
      <c r="M173" s="23">
        <v>28524.31</v>
      </c>
      <c r="N173" s="23"/>
      <c r="O173" s="23">
        <v>17160.199733333338</v>
      </c>
      <c r="P173" s="23">
        <v>12225.133333333333</v>
      </c>
      <c r="Q173" s="257">
        <f t="shared" si="52"/>
        <v>77909.643066666671</v>
      </c>
      <c r="R173" s="23">
        <v>124803.83359999998</v>
      </c>
      <c r="S173" s="206">
        <f t="shared" si="53"/>
        <v>111904.52359999999</v>
      </c>
      <c r="T173" s="179"/>
    </row>
    <row r="174" spans="1:20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203">
        <f t="shared" si="51"/>
        <v>189814.16666666666</v>
      </c>
      <c r="K174" s="23"/>
      <c r="L174" s="23">
        <v>20000</v>
      </c>
      <c r="M174" s="23">
        <v>18333.330000000002</v>
      </c>
      <c r="N174" s="23"/>
      <c r="O174" s="23">
        <v>17160.199733333338</v>
      </c>
      <c r="P174" s="23">
        <v>12225.133333333333</v>
      </c>
      <c r="Q174" s="257">
        <f t="shared" si="52"/>
        <v>67718.663066666675</v>
      </c>
      <c r="R174" s="23">
        <v>122095.50359999998</v>
      </c>
      <c r="S174" s="206">
        <f t="shared" si="53"/>
        <v>122095.50359999998</v>
      </c>
      <c r="T174" s="179"/>
    </row>
    <row r="175" spans="1:20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203">
        <f t="shared" si="51"/>
        <v>195075.5</v>
      </c>
      <c r="K175" s="23"/>
      <c r="L175" s="23">
        <f>3000+5000+5000</f>
        <v>13000</v>
      </c>
      <c r="M175" s="23">
        <f>44000</f>
        <v>44000</v>
      </c>
      <c r="N175" s="23"/>
      <c r="O175" s="23">
        <v>17895.944586666668</v>
      </c>
      <c r="P175" s="23">
        <v>12646.04</v>
      </c>
      <c r="Q175" s="257">
        <f t="shared" si="52"/>
        <v>87541.984586666658</v>
      </c>
      <c r="R175" s="23">
        <v>107533.51541333334</v>
      </c>
      <c r="S175" s="206">
        <f t="shared" si="53"/>
        <v>107533.51541333334</v>
      </c>
      <c r="T175" s="179"/>
    </row>
    <row r="176" spans="1:20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203">
        <f t="shared" si="51"/>
        <v>121145.75</v>
      </c>
      <c r="K176" s="23"/>
      <c r="L176" s="23">
        <f>15000</f>
        <v>15000</v>
      </c>
      <c r="M176" s="23">
        <f>20000</f>
        <v>20000</v>
      </c>
      <c r="N176" s="23"/>
      <c r="O176" s="23">
        <v>8133.6907999999994</v>
      </c>
      <c r="P176" s="23">
        <v>7531.66</v>
      </c>
      <c r="Q176" s="257">
        <f t="shared" si="52"/>
        <v>50665.3508</v>
      </c>
      <c r="R176" s="23">
        <v>70480.3992</v>
      </c>
      <c r="S176" s="206">
        <f t="shared" si="53"/>
        <v>70480.3992</v>
      </c>
      <c r="T176" s="179"/>
    </row>
    <row r="177" spans="1:20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203">
        <f t="shared" si="51"/>
        <v>118598</v>
      </c>
      <c r="K177" s="23"/>
      <c r="L177" s="23">
        <f>5000+5000+5000</f>
        <v>15000</v>
      </c>
      <c r="M177" s="23">
        <f>15000</f>
        <v>15000</v>
      </c>
      <c r="N177" s="23"/>
      <c r="O177" s="23">
        <v>7852.4191999999994</v>
      </c>
      <c r="P177" s="23">
        <v>7327.84</v>
      </c>
      <c r="Q177" s="257">
        <f t="shared" si="52"/>
        <v>45180.2592</v>
      </c>
      <c r="R177" s="23">
        <v>73417.7408</v>
      </c>
      <c r="S177" s="206">
        <f t="shared" si="53"/>
        <v>73417.7408</v>
      </c>
      <c r="T177" s="179"/>
    </row>
    <row r="178" spans="1:20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203">
        <f t="shared" si="51"/>
        <v>115598</v>
      </c>
      <c r="K178" s="23"/>
      <c r="L178" s="23">
        <f>15000+5000+5000+5000</f>
        <v>30000</v>
      </c>
      <c r="M178" s="23">
        <f>25555.56</f>
        <v>25555.56</v>
      </c>
      <c r="N178" s="23"/>
      <c r="O178" s="23">
        <v>7492.4192000000012</v>
      </c>
      <c r="P178" s="23">
        <v>7327.84</v>
      </c>
      <c r="Q178" s="257">
        <f t="shared" si="52"/>
        <v>70375.819199999998</v>
      </c>
      <c r="R178" s="23">
        <v>45222.180800000002</v>
      </c>
      <c r="S178" s="206">
        <f t="shared" si="53"/>
        <v>45222.180800000002</v>
      </c>
      <c r="T178" s="179"/>
    </row>
    <row r="179" spans="1:20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203">
        <f t="shared" si="51"/>
        <v>118598</v>
      </c>
      <c r="K179" s="23"/>
      <c r="L179" s="23">
        <f>5000+5000+5000</f>
        <v>15000</v>
      </c>
      <c r="M179" s="23">
        <v>15972.22</v>
      </c>
      <c r="N179" s="23"/>
      <c r="O179" s="23">
        <v>7852.4191999999994</v>
      </c>
      <c r="P179" s="23">
        <v>7327.84</v>
      </c>
      <c r="Q179" s="257">
        <f t="shared" si="52"/>
        <v>46152.479200000002</v>
      </c>
      <c r="R179" s="23">
        <v>72445.520799999998</v>
      </c>
      <c r="S179" s="206">
        <f t="shared" si="53"/>
        <v>72445.520799999998</v>
      </c>
      <c r="T179" s="179"/>
    </row>
    <row r="180" spans="1:20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203">
        <f t="shared" si="51"/>
        <v>115598</v>
      </c>
      <c r="K180" s="23"/>
      <c r="L180" s="23">
        <f>10000+5000+5000</f>
        <v>20000</v>
      </c>
      <c r="M180" s="23">
        <v>8416.67</v>
      </c>
      <c r="N180" s="23"/>
      <c r="O180" s="23">
        <v>7492.4192000000012</v>
      </c>
      <c r="P180" s="23">
        <v>7327.84</v>
      </c>
      <c r="Q180" s="257">
        <f t="shared" si="52"/>
        <v>43236.929199999999</v>
      </c>
      <c r="R180" s="23">
        <v>72361.070800000001</v>
      </c>
      <c r="S180" s="206">
        <f t="shared" si="53"/>
        <v>72361.070800000001</v>
      </c>
      <c r="T180" s="179"/>
    </row>
    <row r="181" spans="1:20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203">
        <f t="shared" si="51"/>
        <v>118598</v>
      </c>
      <c r="K181" s="23"/>
      <c r="L181" s="23">
        <v>20000</v>
      </c>
      <c r="M181" s="23">
        <f>30000</f>
        <v>30000</v>
      </c>
      <c r="N181" s="23"/>
      <c r="O181" s="23">
        <v>7852.4191999999994</v>
      </c>
      <c r="P181" s="23">
        <v>7327.84</v>
      </c>
      <c r="Q181" s="257">
        <f t="shared" si="52"/>
        <v>65180.2592</v>
      </c>
      <c r="R181" s="23">
        <v>53417.7408</v>
      </c>
      <c r="S181" s="206">
        <f t="shared" si="53"/>
        <v>53417.7408</v>
      </c>
      <c r="T181" s="179"/>
    </row>
    <row r="182" spans="1:20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203">
        <f t="shared" si="51"/>
        <v>115598</v>
      </c>
      <c r="K182" s="23"/>
      <c r="L182" s="23">
        <v>15000</v>
      </c>
      <c r="M182" s="23">
        <v>20000</v>
      </c>
      <c r="N182" s="23"/>
      <c r="O182" s="23">
        <v>7492.4192000000012</v>
      </c>
      <c r="P182" s="23">
        <v>7327.84</v>
      </c>
      <c r="Q182" s="257">
        <f t="shared" si="52"/>
        <v>49820.2592</v>
      </c>
      <c r="R182" s="23">
        <v>65777.7408</v>
      </c>
      <c r="S182" s="206">
        <f t="shared" si="53"/>
        <v>65777.7408</v>
      </c>
      <c r="T182" s="179"/>
    </row>
    <row r="183" spans="1:20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203">
        <f t="shared" si="51"/>
        <v>118598</v>
      </c>
      <c r="K183" s="23"/>
      <c r="L183" s="23">
        <f>10000+5000+5000</f>
        <v>20000</v>
      </c>
      <c r="M183" s="23">
        <f>0</f>
        <v>0</v>
      </c>
      <c r="N183" s="23"/>
      <c r="O183" s="23">
        <v>7852.4191999999994</v>
      </c>
      <c r="P183" s="23">
        <v>7327.84</v>
      </c>
      <c r="Q183" s="257">
        <f t="shared" si="52"/>
        <v>35180.2592</v>
      </c>
      <c r="R183" s="23">
        <v>83417.7408</v>
      </c>
      <c r="S183" s="206">
        <f t="shared" si="53"/>
        <v>83417.7408</v>
      </c>
      <c r="T183" s="179"/>
    </row>
    <row r="184" spans="1:20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203">
        <f t="shared" si="51"/>
        <v>118598</v>
      </c>
      <c r="K184" s="23"/>
      <c r="L184" s="23">
        <v>20000</v>
      </c>
      <c r="M184" s="23">
        <v>10000</v>
      </c>
      <c r="N184" s="23"/>
      <c r="O184" s="23">
        <v>7852.4191999999994</v>
      </c>
      <c r="P184" s="23">
        <v>7327.84</v>
      </c>
      <c r="Q184" s="257">
        <f t="shared" si="52"/>
        <v>45180.2592</v>
      </c>
      <c r="R184" s="23">
        <v>73417.7408</v>
      </c>
      <c r="S184" s="206">
        <f t="shared" si="53"/>
        <v>73417.7408</v>
      </c>
      <c r="T184" s="179"/>
    </row>
    <row r="185" spans="1:20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203">
        <f t="shared" si="51"/>
        <v>118598</v>
      </c>
      <c r="K185" s="23"/>
      <c r="L185" s="23">
        <f>10000+5000+5000</f>
        <v>20000</v>
      </c>
      <c r="M185" s="23">
        <f>26222.06</f>
        <v>26222.06</v>
      </c>
      <c r="N185" s="23"/>
      <c r="O185" s="23">
        <v>7852.4191999999994</v>
      </c>
      <c r="P185" s="23">
        <v>7327.84</v>
      </c>
      <c r="Q185" s="257">
        <f t="shared" si="52"/>
        <v>61402.319199999998</v>
      </c>
      <c r="R185" s="23">
        <v>57195.680800000002</v>
      </c>
      <c r="S185" s="206">
        <f t="shared" si="53"/>
        <v>57195.680800000002</v>
      </c>
      <c r="T185" s="179"/>
    </row>
    <row r="186" spans="1:20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203">
        <f t="shared" si="51"/>
        <v>116050.25</v>
      </c>
      <c r="K186" s="23"/>
      <c r="L186" s="23">
        <f>10000+5000+5000</f>
        <v>20000</v>
      </c>
      <c r="M186" s="23">
        <f>32916.67</f>
        <v>32916.67</v>
      </c>
      <c r="N186" s="23"/>
      <c r="O186" s="23">
        <v>7571.1475999999993</v>
      </c>
      <c r="P186" s="23">
        <v>7124.02</v>
      </c>
      <c r="Q186" s="257">
        <f t="shared" si="52"/>
        <v>67611.837599999999</v>
      </c>
      <c r="R186" s="23">
        <v>48438.412400000001</v>
      </c>
      <c r="S186" s="206">
        <f t="shared" si="53"/>
        <v>48438.412400000001</v>
      </c>
      <c r="T186" s="179"/>
    </row>
    <row r="187" spans="1:20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203">
        <f t="shared" si="51"/>
        <v>102926.91666666667</v>
      </c>
      <c r="K187" s="23"/>
      <c r="L187" s="23">
        <v>20000</v>
      </c>
      <c r="M187" s="23">
        <f>11518</f>
        <v>11518</v>
      </c>
      <c r="N187" s="23"/>
      <c r="O187" s="23">
        <v>6074.3316000000004</v>
      </c>
      <c r="P187" s="23">
        <v>6474.1533333333336</v>
      </c>
      <c r="Q187" s="257">
        <f t="shared" si="52"/>
        <v>44066.48493333334</v>
      </c>
      <c r="R187" s="23">
        <v>58860.431733333331</v>
      </c>
      <c r="S187" s="206">
        <f t="shared" si="53"/>
        <v>58860.431733333331</v>
      </c>
      <c r="T187" s="179"/>
    </row>
    <row r="188" spans="1:20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203">
        <f t="shared" si="51"/>
        <v>95540.75</v>
      </c>
      <c r="K188" s="23"/>
      <c r="L188" s="23">
        <v>10000</v>
      </c>
      <c r="M188" s="23"/>
      <c r="N188" s="23"/>
      <c r="O188" s="23">
        <v>5230.0987999999998</v>
      </c>
      <c r="P188" s="23">
        <v>6123.26</v>
      </c>
      <c r="Q188" s="257">
        <f t="shared" si="52"/>
        <v>21353.358800000002</v>
      </c>
      <c r="R188" s="23">
        <v>74187.391199999998</v>
      </c>
      <c r="S188" s="206">
        <f t="shared" si="53"/>
        <v>74187.391199999998</v>
      </c>
      <c r="T188" s="179"/>
    </row>
    <row r="189" spans="1:20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203">
        <f t="shared" si="51"/>
        <v>95540.75</v>
      </c>
      <c r="K189" s="23"/>
      <c r="L189" s="23">
        <v>10000</v>
      </c>
      <c r="M189" s="23"/>
      <c r="N189" s="23"/>
      <c r="O189" s="23">
        <v>5230.0987999999998</v>
      </c>
      <c r="P189" s="23">
        <v>6123.26</v>
      </c>
      <c r="Q189" s="257">
        <f t="shared" si="52"/>
        <v>21353.358800000002</v>
      </c>
      <c r="R189" s="23">
        <v>74187.391199999998</v>
      </c>
      <c r="S189" s="206">
        <f t="shared" si="53"/>
        <v>74187.391199999998</v>
      </c>
      <c r="T189" s="179"/>
    </row>
    <row r="190" spans="1:20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203">
        <f t="shared" si="51"/>
        <v>95540.75</v>
      </c>
      <c r="K190" s="23"/>
      <c r="L190" s="23">
        <v>10000</v>
      </c>
      <c r="M190" s="23"/>
      <c r="N190" s="23"/>
      <c r="O190" s="23">
        <v>5230.0987999999998</v>
      </c>
      <c r="P190" s="23">
        <v>6123.26</v>
      </c>
      <c r="Q190" s="257">
        <f t="shared" si="52"/>
        <v>21353.358800000002</v>
      </c>
      <c r="R190" s="23">
        <v>74187.391199999998</v>
      </c>
      <c r="S190" s="206">
        <f t="shared" si="53"/>
        <v>74187.391199999998</v>
      </c>
      <c r="T190" s="179"/>
    </row>
    <row r="191" spans="1:20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203">
        <f t="shared" si="51"/>
        <v>108502.5</v>
      </c>
      <c r="K191" s="23"/>
      <c r="L191" s="23">
        <v>20000</v>
      </c>
      <c r="M191" s="23"/>
      <c r="N191" s="23"/>
      <c r="O191" s="23">
        <v>6689.8759999999993</v>
      </c>
      <c r="P191" s="23">
        <v>6920.2</v>
      </c>
      <c r="Q191" s="257">
        <f t="shared" si="52"/>
        <v>33610.076000000001</v>
      </c>
      <c r="R191" s="23">
        <v>74892.423999999999</v>
      </c>
      <c r="S191" s="206">
        <f t="shared" si="53"/>
        <v>74892.423999999999</v>
      </c>
      <c r="T191" s="179"/>
    </row>
    <row r="192" spans="1:20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203">
        <f t="shared" si="51"/>
        <v>108502.5</v>
      </c>
      <c r="K192" s="23"/>
      <c r="L192" s="23">
        <v>15000</v>
      </c>
      <c r="M192" s="23"/>
      <c r="N192" s="23"/>
      <c r="O192" s="23">
        <v>6689.8759999999993</v>
      </c>
      <c r="P192" s="23">
        <v>6920.2</v>
      </c>
      <c r="Q192" s="257">
        <f t="shared" si="52"/>
        <v>28610.076000000001</v>
      </c>
      <c r="R192" s="23">
        <v>79892.423999999999</v>
      </c>
      <c r="S192" s="206">
        <f t="shared" si="53"/>
        <v>79892.423999999999</v>
      </c>
      <c r="T192" s="179"/>
    </row>
    <row r="193" spans="1:20" ht="30.75" customHeight="1">
      <c r="A193" s="190"/>
      <c r="B193" s="176" t="s">
        <v>15</v>
      </c>
      <c r="C193" s="192" t="s">
        <v>710</v>
      </c>
      <c r="D193" s="22"/>
      <c r="E193" s="68">
        <v>14898686.416666664</v>
      </c>
      <c r="F193" s="68"/>
      <c r="G193" s="68">
        <f t="shared" ref="G193:S193" si="55">SUM(G134:G192)</f>
        <v>0</v>
      </c>
      <c r="H193" s="68">
        <f t="shared" si="55"/>
        <v>2490000</v>
      </c>
      <c r="I193" s="68">
        <f t="shared" si="55"/>
        <v>228000</v>
      </c>
      <c r="J193" s="68">
        <f t="shared" si="55"/>
        <v>17616686.416666664</v>
      </c>
      <c r="K193" s="68">
        <f t="shared" si="55"/>
        <v>0</v>
      </c>
      <c r="L193" s="68">
        <f t="shared" si="55"/>
        <v>1290500</v>
      </c>
      <c r="M193" s="68">
        <f t="shared" si="55"/>
        <v>2137937.6700000009</v>
      </c>
      <c r="N193" s="68">
        <f t="shared" si="55"/>
        <v>58302.45</v>
      </c>
      <c r="O193" s="68">
        <v>2121047.8747613332</v>
      </c>
      <c r="P193" s="68">
        <v>1130905.0599999998</v>
      </c>
      <c r="Q193" s="357">
        <f t="shared" si="55"/>
        <v>6738693.0547613353</v>
      </c>
      <c r="R193" s="68">
        <v>10926726.001905337</v>
      </c>
      <c r="S193" s="336">
        <f t="shared" si="55"/>
        <v>10877993.361905338</v>
      </c>
      <c r="T193" s="179"/>
    </row>
    <row r="194" spans="1:20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 t="shared" ref="E194:Q194" si="56">E193+E131+E118+E112+E102+E95+E82+E72+E59+E54+E40+E34</f>
        <v>64832459.916999996</v>
      </c>
      <c r="F194" s="196">
        <f t="shared" si="56"/>
        <v>0</v>
      </c>
      <c r="G194" s="196">
        <f t="shared" si="56"/>
        <v>7920000</v>
      </c>
      <c r="H194" s="196">
        <f t="shared" si="56"/>
        <v>5020000</v>
      </c>
      <c r="I194" s="196">
        <f t="shared" si="56"/>
        <v>3139337.4691050001</v>
      </c>
      <c r="J194" s="196">
        <f t="shared" si="56"/>
        <v>80911797.386105001</v>
      </c>
      <c r="K194" s="196">
        <f t="shared" si="56"/>
        <v>0</v>
      </c>
      <c r="L194" s="196">
        <f t="shared" si="56"/>
        <v>6373500</v>
      </c>
      <c r="M194" s="196">
        <f>M193+M131+M118+M112+M102+M95+M82+M72+M59+M54+M40+M34</f>
        <v>7974625.0000000009</v>
      </c>
      <c r="N194" s="196">
        <f>N193+N131+N118+N112+N102+N95+N82+N72+N59+N54+N40+N34</f>
        <v>226658.46666666667</v>
      </c>
      <c r="O194" s="196">
        <f t="shared" si="56"/>
        <v>11600740.354271615</v>
      </c>
      <c r="P194" s="196">
        <f>P193+P131+P118+P112+P102+P95+P82+P72+P59+P54+P40+P34</f>
        <v>4618348.4866666673</v>
      </c>
      <c r="Q194" s="196">
        <f t="shared" si="56"/>
        <v>30793872.307604954</v>
      </c>
      <c r="R194" s="196">
        <v>51163556.618500054</v>
      </c>
      <c r="S194" s="196">
        <f>S193+S131+S118+S112+S102+S95+S82+S72+S59+S54+S40+S34</f>
        <v>50117925.078500055</v>
      </c>
      <c r="T194" s="179"/>
    </row>
    <row r="195" spans="1:20" ht="38.25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200"/>
      <c r="P195" s="200"/>
      <c r="Q195" s="200"/>
      <c r="R195" s="200"/>
      <c r="S195" s="200"/>
      <c r="T195" s="201"/>
    </row>
    <row r="196" spans="1:20" ht="36.75" customHeight="1">
      <c r="B196" s="197"/>
      <c r="C196" s="198"/>
      <c r="D196" s="198"/>
      <c r="E196" s="198"/>
      <c r="F196" s="198"/>
      <c r="G196" s="199"/>
      <c r="H196" s="199"/>
      <c r="J196" s="199" t="s">
        <v>1171</v>
      </c>
      <c r="K196" s="199"/>
      <c r="L196" s="199"/>
      <c r="M196" s="199"/>
      <c r="N196" s="199"/>
      <c r="O196" s="200"/>
      <c r="P196" s="200"/>
      <c r="Q196" s="200"/>
      <c r="R196" s="200"/>
      <c r="S196" s="201"/>
    </row>
    <row r="197" spans="1:20" ht="20.100000000000001" customHeight="1">
      <c r="Q197" s="201"/>
      <c r="S197" s="362"/>
    </row>
    <row r="198" spans="1:20" ht="20.100000000000001" customHeight="1">
      <c r="S198" s="201"/>
    </row>
    <row r="199" spans="1:20" ht="20.100000000000001" customHeight="1">
      <c r="J199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1"/>
  <sheetViews>
    <sheetView topLeftCell="A46" zoomScale="91" zoomScaleNormal="91" workbookViewId="0">
      <selection activeCell="H62" sqref="H62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656" t="s">
        <v>234</v>
      </c>
      <c r="B2" s="656"/>
      <c r="C2" s="656"/>
      <c r="D2" s="656"/>
      <c r="E2" s="656"/>
      <c r="F2" s="656"/>
      <c r="G2" s="656"/>
      <c r="H2" s="656"/>
    </row>
    <row r="3" spans="1:8" ht="27" customHeight="1">
      <c r="A3" s="656" t="s">
        <v>10</v>
      </c>
      <c r="B3" s="656"/>
      <c r="C3" s="656"/>
      <c r="D3" s="656"/>
      <c r="E3" s="656"/>
      <c r="F3" s="656"/>
      <c r="G3" s="656"/>
      <c r="H3" s="656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657" t="s">
        <v>260</v>
      </c>
      <c r="B5" s="657"/>
      <c r="C5" s="657"/>
      <c r="D5" s="657"/>
      <c r="E5" s="657"/>
      <c r="F5" s="657"/>
      <c r="G5" s="73"/>
      <c r="H5" s="73"/>
    </row>
    <row r="6" spans="1:8" ht="29.25" hidden="1" customHeight="1">
      <c r="A6" s="657" t="s">
        <v>125</v>
      </c>
      <c r="B6" s="657"/>
      <c r="C6" s="657"/>
      <c r="D6" s="657"/>
      <c r="E6" s="657"/>
      <c r="F6" s="657"/>
      <c r="G6" s="73"/>
      <c r="H6" s="73"/>
    </row>
    <row r="7" spans="1:8" ht="25.15" hidden="1" customHeight="1">
      <c r="A7" s="657" t="s">
        <v>303</v>
      </c>
      <c r="B7" s="657"/>
      <c r="C7" s="657"/>
      <c r="D7" s="657"/>
      <c r="E7" s="657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658" t="s">
        <v>304</v>
      </c>
      <c r="B9" s="658"/>
      <c r="C9" s="658"/>
      <c r="D9" s="658"/>
      <c r="E9" s="658"/>
      <c r="F9" s="658"/>
      <c r="G9" s="73"/>
      <c r="H9" s="73"/>
    </row>
    <row r="10" spans="1:8" ht="13.15" hidden="1" customHeight="1">
      <c r="A10" s="657" t="s">
        <v>305</v>
      </c>
      <c r="B10" s="657"/>
      <c r="C10" s="657"/>
      <c r="D10" s="657"/>
      <c r="E10" s="657"/>
      <c r="F10" s="657"/>
      <c r="G10" s="657"/>
      <c r="H10" s="657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1174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1175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1176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652" t="s">
        <v>1177</v>
      </c>
      <c r="B20" s="652"/>
      <c r="C20" s="652"/>
      <c r="D20" s="652"/>
      <c r="E20" s="652"/>
      <c r="F20" s="652"/>
      <c r="G20" s="652"/>
      <c r="H20" s="83">
        <f>'MAY 2024'!J194</f>
        <v>80911797.386105001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659" t="s">
        <v>121</v>
      </c>
      <c r="B22" s="659"/>
      <c r="C22" s="659"/>
      <c r="D22" s="659"/>
      <c r="E22" s="659"/>
      <c r="F22" s="659"/>
      <c r="G22" s="86"/>
      <c r="H22" s="1"/>
      <c r="I22" s="66"/>
    </row>
    <row r="23" spans="1:10" ht="18.75" customHeight="1">
      <c r="A23" s="650" t="s">
        <v>454</v>
      </c>
      <c r="B23" s="650"/>
      <c r="C23" s="650"/>
      <c r="D23" s="650"/>
      <c r="E23" s="650"/>
      <c r="F23" s="650"/>
      <c r="G23" s="33">
        <f>'MAY 2024'!L194</f>
        <v>6373500</v>
      </c>
      <c r="H23" s="1"/>
      <c r="J23" s="66"/>
    </row>
    <row r="24" spans="1:10" ht="19.5" customHeight="1">
      <c r="A24" s="650" t="s">
        <v>269</v>
      </c>
      <c r="B24" s="650"/>
      <c r="C24" s="650"/>
      <c r="D24" s="650"/>
      <c r="E24" s="650"/>
      <c r="F24" s="650"/>
      <c r="G24" s="33">
        <f>'MAY 2024'!M194</f>
        <v>7974625.0000000009</v>
      </c>
      <c r="H24" s="1"/>
    </row>
    <row r="25" spans="1:10" ht="20.25" customHeight="1">
      <c r="A25" s="651" t="s">
        <v>215</v>
      </c>
      <c r="B25" s="651"/>
      <c r="C25" s="651"/>
      <c r="D25" s="651"/>
      <c r="E25" s="651"/>
      <c r="F25" s="651"/>
      <c r="G25" s="33">
        <f>'MAY 2024'!N194</f>
        <v>226658.46666666667</v>
      </c>
      <c r="H25" s="1"/>
    </row>
    <row r="26" spans="1:10" ht="20.25" customHeight="1">
      <c r="A26" s="650" t="s">
        <v>172</v>
      </c>
      <c r="B26" s="650"/>
      <c r="C26" s="650"/>
      <c r="D26" s="650"/>
      <c r="E26" s="650"/>
      <c r="F26" s="650"/>
      <c r="G26" s="33">
        <f>'MAY 2024'!O194</f>
        <v>11600740.354271615</v>
      </c>
      <c r="H26" s="1"/>
    </row>
    <row r="27" spans="1:10" ht="21" customHeight="1">
      <c r="A27" s="650" t="s">
        <v>790</v>
      </c>
      <c r="B27" s="650"/>
      <c r="C27" s="650"/>
      <c r="D27" s="650"/>
      <c r="E27" s="650"/>
      <c r="F27" s="650"/>
      <c r="G27" s="507">
        <f>'MAY 2024'!P194</f>
        <v>4618348.4866666673</v>
      </c>
      <c r="H27" s="1"/>
    </row>
    <row r="28" spans="1:10" ht="28.5" customHeight="1">
      <c r="A28" s="650" t="s">
        <v>1178</v>
      </c>
      <c r="B28" s="650"/>
      <c r="C28" s="650"/>
      <c r="D28" s="650"/>
      <c r="E28" s="650"/>
      <c r="F28" s="650"/>
      <c r="G28" s="33"/>
      <c r="H28" s="87">
        <f>G23+G24+G26+G25+G27</f>
        <v>30793872.307604946</v>
      </c>
      <c r="I28" s="31"/>
    </row>
    <row r="29" spans="1:10" ht="20.25" customHeight="1">
      <c r="A29" s="650" t="s">
        <v>1179</v>
      </c>
      <c r="B29" s="650"/>
      <c r="C29" s="650"/>
      <c r="D29" s="650"/>
      <c r="E29" s="650"/>
      <c r="F29" s="650"/>
      <c r="G29" s="80"/>
      <c r="H29" s="43">
        <f>H20-H28</f>
        <v>50117925.078500055</v>
      </c>
      <c r="I29" s="34"/>
    </row>
    <row r="30" spans="1:10" ht="21" customHeight="1">
      <c r="A30" s="650" t="s">
        <v>1165</v>
      </c>
      <c r="B30" s="650"/>
      <c r="C30" s="650"/>
      <c r="D30" s="650"/>
      <c r="E30" s="650"/>
      <c r="F30" s="650"/>
      <c r="G30" s="80"/>
      <c r="H30" s="91">
        <f>'MAY 2024'!R194</f>
        <v>51163556.618500054</v>
      </c>
    </row>
    <row r="31" spans="1:10" ht="21" customHeight="1">
      <c r="A31" s="650" t="s">
        <v>1180</v>
      </c>
      <c r="B31" s="650"/>
      <c r="C31" s="650"/>
      <c r="D31" s="650"/>
      <c r="E31" s="650"/>
      <c r="F31" s="650"/>
      <c r="G31" s="80"/>
      <c r="H31" s="117">
        <f>H29-H30</f>
        <v>-1045631.5399999991</v>
      </c>
    </row>
    <row r="32" spans="1:10" ht="29.25" customHeight="1">
      <c r="A32" s="652" t="s">
        <v>270</v>
      </c>
      <c r="B32" s="652"/>
      <c r="C32" s="652"/>
      <c r="D32" s="652"/>
      <c r="E32" s="652"/>
      <c r="F32" s="652"/>
      <c r="G32" s="652"/>
      <c r="H32" s="1"/>
    </row>
    <row r="33" spans="1:17" ht="21.75" customHeight="1">
      <c r="A33" s="84" t="s">
        <v>1181</v>
      </c>
      <c r="B33" s="84"/>
      <c r="C33" s="84"/>
      <c r="D33" s="84"/>
      <c r="E33" s="84"/>
      <c r="F33" s="84"/>
      <c r="G33" s="84"/>
      <c r="H33" s="88">
        <f>593151.54</f>
        <v>593151.54</v>
      </c>
      <c r="J33" s="31"/>
    </row>
    <row r="34" spans="1:17" ht="21.75" customHeight="1">
      <c r="A34" s="84" t="s">
        <v>1183</v>
      </c>
      <c r="H34" s="507">
        <f>452480</f>
        <v>452480</v>
      </c>
      <c r="J34" s="31"/>
    </row>
    <row r="35" spans="1:17" ht="21" customHeight="1">
      <c r="H35" s="89">
        <f>SUM(H33:H34)</f>
        <v>1045631.54</v>
      </c>
      <c r="I35" s="31"/>
      <c r="J35" s="222"/>
      <c r="K35" s="66"/>
      <c r="L35" s="65"/>
      <c r="M35" s="65"/>
      <c r="N35" s="66"/>
      <c r="P35" s="138"/>
      <c r="Q35" s="66"/>
    </row>
    <row r="36" spans="1:17" ht="18.75" customHeight="1">
      <c r="A36" s="84"/>
      <c r="B36" s="84"/>
      <c r="C36" s="84"/>
      <c r="D36" s="84"/>
      <c r="E36" s="84"/>
      <c r="F36" s="84"/>
      <c r="G36" s="84"/>
      <c r="H36" s="89"/>
      <c r="I36" s="31"/>
      <c r="J36" s="222"/>
      <c r="K36" s="66"/>
      <c r="L36" s="65"/>
      <c r="M36" s="65"/>
      <c r="N36" s="66"/>
      <c r="P36" s="138"/>
      <c r="Q36" s="66"/>
    </row>
    <row r="37" spans="1:17" ht="28.5" customHeight="1">
      <c r="A37" s="1"/>
      <c r="B37" s="1"/>
      <c r="C37" s="1"/>
      <c r="D37" s="1"/>
      <c r="E37" s="653" t="s">
        <v>1166</v>
      </c>
      <c r="F37" s="654"/>
      <c r="G37" s="653" t="s">
        <v>1182</v>
      </c>
      <c r="H37" s="654"/>
      <c r="I37" s="31"/>
      <c r="J37" s="31"/>
      <c r="K37" s="66"/>
    </row>
    <row r="38" spans="1:17" ht="18.600000000000001" customHeight="1">
      <c r="A38" s="1"/>
      <c r="B38" s="1"/>
      <c r="C38" s="1"/>
      <c r="D38" s="1"/>
      <c r="E38" s="7" t="s">
        <v>402</v>
      </c>
      <c r="F38" s="50" t="s">
        <v>5</v>
      </c>
      <c r="G38" s="7" t="s">
        <v>402</v>
      </c>
      <c r="H38" s="50" t="s">
        <v>5</v>
      </c>
      <c r="I38" s="31"/>
      <c r="J38" s="31"/>
    </row>
    <row r="39" spans="1:17" ht="28.5" customHeight="1">
      <c r="A39" s="11">
        <v>1</v>
      </c>
      <c r="B39" s="655" t="s">
        <v>50</v>
      </c>
      <c r="C39" s="650"/>
      <c r="D39" s="650"/>
      <c r="E39" s="3">
        <v>33</v>
      </c>
      <c r="F39" s="12">
        <f>'MAY 2024'!R34</f>
        <v>12172046.510816658</v>
      </c>
      <c r="G39" s="3">
        <f>'MAY 2024'!C34</f>
        <v>27</v>
      </c>
      <c r="H39" s="12">
        <f>'MAY 2024'!S34</f>
        <v>12022046.510816658</v>
      </c>
      <c r="I39" s="31"/>
      <c r="J39" s="31"/>
    </row>
    <row r="40" spans="1:17" ht="21.75" customHeight="1">
      <c r="A40" s="11">
        <v>2</v>
      </c>
      <c r="B40" s="67" t="s">
        <v>285</v>
      </c>
      <c r="C40" s="84"/>
      <c r="D40" s="84"/>
      <c r="E40" s="3">
        <v>2</v>
      </c>
      <c r="F40" s="12">
        <f>'MAY 2024'!R40</f>
        <v>1319564.54336</v>
      </c>
      <c r="G40" s="3">
        <f>'MAY 2024'!C40</f>
        <v>3</v>
      </c>
      <c r="H40" s="12">
        <f>'MAY 2024'!S40</f>
        <v>1319564.54336</v>
      </c>
      <c r="I40" s="31"/>
      <c r="J40" s="31"/>
    </row>
    <row r="41" spans="1:17" ht="24.75" customHeight="1">
      <c r="A41" s="11">
        <v>3</v>
      </c>
      <c r="B41" s="650" t="s">
        <v>197</v>
      </c>
      <c r="C41" s="650"/>
      <c r="D41" s="650"/>
      <c r="E41" s="3">
        <v>11</v>
      </c>
      <c r="F41" s="12">
        <f>'MAY 2024'!R54</f>
        <v>4657183.4513433343</v>
      </c>
      <c r="G41" s="3">
        <f>'MAY 2024'!C54</f>
        <v>11</v>
      </c>
      <c r="H41" s="12">
        <f>'MAY 2024'!S54</f>
        <v>4410412.4513433333</v>
      </c>
      <c r="I41" s="31"/>
      <c r="J41" s="31"/>
    </row>
    <row r="42" spans="1:17" ht="23.25" customHeight="1">
      <c r="A42" s="11">
        <v>4</v>
      </c>
      <c r="B42" s="650" t="s">
        <v>196</v>
      </c>
      <c r="C42" s="650"/>
      <c r="D42" s="660"/>
      <c r="E42" s="3">
        <v>2</v>
      </c>
      <c r="F42" s="12">
        <f>'MAY 2024'!R59</f>
        <v>1482548.8874933333</v>
      </c>
      <c r="G42" s="3">
        <f>'MAY 2024'!C59</f>
        <v>2</v>
      </c>
      <c r="H42" s="12">
        <f>'MAY 2024'!S59</f>
        <v>1482548.8874933333</v>
      </c>
      <c r="I42" s="31"/>
      <c r="J42" s="31"/>
    </row>
    <row r="43" spans="1:17" ht="24" customHeight="1">
      <c r="A43" s="11">
        <v>5</v>
      </c>
      <c r="B43" s="650" t="s">
        <v>355</v>
      </c>
      <c r="C43" s="650"/>
      <c r="D43" s="660"/>
      <c r="E43" s="3">
        <v>13</v>
      </c>
      <c r="F43" s="12">
        <f>'MAY 2024'!R72</f>
        <v>3282337.7299733334</v>
      </c>
      <c r="G43" s="3">
        <f>'MAY 2024'!C72</f>
        <v>12</v>
      </c>
      <c r="H43" s="12">
        <f>'MAY 2024'!S72</f>
        <v>3282337.7299733334</v>
      </c>
      <c r="I43" s="31"/>
      <c r="J43" s="31"/>
    </row>
    <row r="44" spans="1:17" ht="21" customHeight="1">
      <c r="A44" s="11">
        <v>6</v>
      </c>
      <c r="B44" s="650" t="s">
        <v>357</v>
      </c>
      <c r="C44" s="650"/>
      <c r="D44" s="660"/>
      <c r="E44" s="3">
        <v>4</v>
      </c>
      <c r="F44" s="12">
        <f>'MAY 2024'!R82</f>
        <v>3760018.1562566664</v>
      </c>
      <c r="G44" s="3">
        <f>'MAY 2024'!C82</f>
        <v>7</v>
      </c>
      <c r="H44" s="12">
        <f>'MAY 2024'!S82</f>
        <v>3193417.2962566661</v>
      </c>
      <c r="I44" s="31"/>
      <c r="J44" s="31"/>
    </row>
    <row r="45" spans="1:17" ht="23.25" customHeight="1">
      <c r="A45" s="11">
        <v>7</v>
      </c>
      <c r="B45" s="84" t="s">
        <v>356</v>
      </c>
      <c r="C45" s="84"/>
      <c r="D45" s="84"/>
      <c r="E45" s="3">
        <v>12</v>
      </c>
      <c r="F45" s="12">
        <f>'MAY 2024'!R95</f>
        <v>4131549.1660786672</v>
      </c>
      <c r="G45" s="3">
        <f>'MAY 2024'!C95</f>
        <v>11</v>
      </c>
      <c r="H45" s="12">
        <f>'MAY 2024'!S95</f>
        <v>4131549.1660786672</v>
      </c>
      <c r="I45" s="31"/>
      <c r="J45" s="31"/>
    </row>
    <row r="46" spans="1:17" ht="25.5" customHeight="1">
      <c r="A46" s="11">
        <v>8</v>
      </c>
      <c r="B46" s="84" t="s">
        <v>455</v>
      </c>
      <c r="C46" s="84"/>
      <c r="D46" s="84"/>
      <c r="E46" s="3">
        <v>4</v>
      </c>
      <c r="F46" s="12">
        <f>'MAY 2024'!R102</f>
        <v>1779231.6859472003</v>
      </c>
      <c r="G46" s="3">
        <f>'MAY 2024'!C102</f>
        <v>4</v>
      </c>
      <c r="H46" s="12">
        <f>'MAY 2024'!S102</f>
        <v>1791537.9759472003</v>
      </c>
      <c r="I46" s="31"/>
      <c r="J46" s="31"/>
    </row>
    <row r="47" spans="1:17" ht="21.75" customHeight="1">
      <c r="A47" s="11">
        <v>9</v>
      </c>
      <c r="B47" s="84" t="s">
        <v>286</v>
      </c>
      <c r="C47" s="84"/>
      <c r="D47" s="84"/>
      <c r="E47" s="3">
        <v>8</v>
      </c>
      <c r="F47" s="12">
        <f>'MAY 2024'!R112</f>
        <v>3185436.0112741869</v>
      </c>
      <c r="G47" s="3">
        <f>'MAY 2024'!C112</f>
        <v>7</v>
      </c>
      <c r="H47" s="12">
        <f>'MAY 2024'!S112</f>
        <v>3139602.6812741868</v>
      </c>
      <c r="I47" s="31"/>
      <c r="J47" s="31"/>
    </row>
    <row r="48" spans="1:17" ht="21.75" customHeight="1">
      <c r="A48" s="11">
        <v>10</v>
      </c>
      <c r="B48" s="84" t="s">
        <v>548</v>
      </c>
      <c r="C48" s="84"/>
      <c r="D48" s="84"/>
      <c r="E48" s="3">
        <v>2</v>
      </c>
      <c r="F48" s="12">
        <f>'MAY 2024'!R118</f>
        <v>1088615.6947333333</v>
      </c>
      <c r="G48" s="3">
        <f>'MAY 2024'!C118</f>
        <v>2</v>
      </c>
      <c r="H48" s="12">
        <f>'MAY 2024'!S118</f>
        <v>1088615.6947333333</v>
      </c>
      <c r="I48" s="31"/>
      <c r="J48" s="31"/>
    </row>
    <row r="49" spans="1:14" ht="24.75" customHeight="1">
      <c r="A49" s="11">
        <v>11</v>
      </c>
      <c r="B49" s="84" t="s">
        <v>287</v>
      </c>
      <c r="C49" s="84"/>
      <c r="D49" s="84"/>
      <c r="E49" s="3">
        <v>9</v>
      </c>
      <c r="F49" s="12">
        <f>'MAY 2024'!R131</f>
        <v>3378298.7793180002</v>
      </c>
      <c r="G49" s="221" t="str">
        <f>'MAY 2024'!C131</f>
        <v>10</v>
      </c>
      <c r="H49" s="12">
        <f>'MAY 2024'!S131</f>
        <v>3378298.7793180002</v>
      </c>
      <c r="I49" s="31"/>
      <c r="J49" s="31"/>
    </row>
    <row r="50" spans="1:14" ht="24.75" customHeight="1">
      <c r="A50" s="11">
        <v>12</v>
      </c>
      <c r="B50" s="650" t="s">
        <v>456</v>
      </c>
      <c r="C50" s="650"/>
      <c r="D50" s="650"/>
      <c r="E50" s="3">
        <v>58</v>
      </c>
      <c r="F50" s="12">
        <f>'MAY 2024'!R193</f>
        <v>10926726.001905337</v>
      </c>
      <c r="G50" s="221" t="str">
        <f>'MAY 2024'!C193</f>
        <v>59</v>
      </c>
      <c r="H50" s="12">
        <f>'MAY 2024'!S193</f>
        <v>10877993.361905338</v>
      </c>
      <c r="I50" s="31"/>
      <c r="J50" s="31"/>
    </row>
    <row r="51" spans="1:14" ht="24" customHeight="1">
      <c r="A51" s="1"/>
      <c r="B51" s="1"/>
      <c r="C51" s="1"/>
      <c r="D51" s="1"/>
      <c r="E51" s="7">
        <f>SUM(E39:E50)</f>
        <v>158</v>
      </c>
      <c r="F51" s="13">
        <f>SUM(F39:F50)</f>
        <v>51163556.618500054</v>
      </c>
      <c r="G51" s="7">
        <v>154</v>
      </c>
      <c r="H51" s="13">
        <f>SUM(H39:H50)</f>
        <v>50117925.078500055</v>
      </c>
      <c r="I51" s="31"/>
      <c r="J51" s="31"/>
    </row>
    <row r="52" spans="1:14" ht="0.75" customHeight="1">
      <c r="A52" s="1"/>
      <c r="B52" s="1"/>
      <c r="C52" s="1"/>
      <c r="D52" s="1"/>
      <c r="E52" s="142"/>
      <c r="F52" s="83"/>
      <c r="G52" s="142"/>
      <c r="H52" s="83"/>
      <c r="I52" s="31"/>
      <c r="J52" s="31"/>
    </row>
    <row r="53" spans="1:14" ht="78.75" customHeight="1">
      <c r="A53" s="651" t="s">
        <v>1184</v>
      </c>
      <c r="B53" s="651"/>
      <c r="C53" s="651"/>
      <c r="D53" s="651"/>
      <c r="E53" s="651"/>
      <c r="F53" s="651"/>
      <c r="G53" s="651"/>
      <c r="H53" s="651"/>
      <c r="I53" s="1"/>
      <c r="J53" s="33"/>
      <c r="K53" s="33"/>
      <c r="L53" s="1"/>
      <c r="M53" s="1"/>
      <c r="N53" s="1"/>
    </row>
    <row r="54" spans="1:14" ht="4.5" customHeight="1">
      <c r="A54" s="90"/>
      <c r="B54" s="90"/>
      <c r="C54" s="90"/>
      <c r="D54" s="90"/>
      <c r="E54" s="90"/>
      <c r="F54" s="90"/>
      <c r="G54" s="90"/>
      <c r="H54" s="90"/>
      <c r="I54" s="1"/>
      <c r="J54" s="1"/>
      <c r="K54" s="1"/>
      <c r="L54" s="1"/>
      <c r="M54" s="1"/>
      <c r="N54" s="1"/>
    </row>
    <row r="55" spans="1:14" ht="2.25" hidden="1" customHeight="1">
      <c r="A55" s="90"/>
      <c r="B55" s="90"/>
      <c r="C55" s="90"/>
      <c r="D55" s="90"/>
      <c r="E55" s="90"/>
      <c r="F55" s="90"/>
      <c r="G55" s="90"/>
      <c r="H55" s="90"/>
      <c r="I55" s="1"/>
      <c r="J55" s="1"/>
      <c r="K55" s="1"/>
      <c r="L55" s="1"/>
      <c r="M55" s="1"/>
      <c r="N55" s="1"/>
    </row>
    <row r="56" spans="1:14" ht="45.75" customHeight="1">
      <c r="F56" s="1"/>
      <c r="G56" s="1"/>
      <c r="H56" s="1"/>
    </row>
    <row r="57" spans="1:14" ht="17.25" customHeight="1">
      <c r="A57" s="652" t="s">
        <v>153</v>
      </c>
      <c r="B57" s="652"/>
      <c r="C57" s="652"/>
      <c r="D57" s="652"/>
      <c r="E57" s="652"/>
      <c r="F57" s="1"/>
      <c r="G57" s="1"/>
      <c r="H57" s="1"/>
      <c r="I57" s="34"/>
      <c r="K57" s="65"/>
    </row>
    <row r="58" spans="1:14">
      <c r="A58" s="9"/>
      <c r="B58" s="9"/>
      <c r="C58" s="9"/>
      <c r="D58" s="9" t="s">
        <v>99</v>
      </c>
      <c r="E58" s="9"/>
      <c r="F58" s="9"/>
      <c r="G58" s="9"/>
      <c r="H58" s="9"/>
      <c r="I58" s="34"/>
      <c r="K58" s="65"/>
    </row>
    <row r="59" spans="1:14">
      <c r="K59" s="65"/>
    </row>
    <row r="60" spans="1:14">
      <c r="K60" s="65"/>
    </row>
    <row r="63" spans="1:14">
      <c r="C63" t="s">
        <v>171</v>
      </c>
    </row>
    <row r="161" spans="3:3">
      <c r="C161">
        <f>10000</f>
        <v>10000</v>
      </c>
    </row>
  </sheetData>
  <mergeCells count="29">
    <mergeCell ref="A57:E57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2:D42"/>
    <mergeCell ref="B43:D43"/>
    <mergeCell ref="B44:D44"/>
    <mergeCell ref="B50:D50"/>
    <mergeCell ref="A53:H53"/>
    <mergeCell ref="B41:D41"/>
    <mergeCell ref="A25:F25"/>
    <mergeCell ref="A28:F28"/>
    <mergeCell ref="A29:F29"/>
    <mergeCell ref="A30:F30"/>
    <mergeCell ref="A31:F31"/>
    <mergeCell ref="A32:G32"/>
    <mergeCell ref="E37:F37"/>
    <mergeCell ref="G37:H37"/>
    <mergeCell ref="B39:D39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370</v>
      </c>
      <c r="E1" s="648" t="s">
        <v>1167</v>
      </c>
      <c r="F1" s="648" t="s">
        <v>344</v>
      </c>
      <c r="G1" s="648" t="s">
        <v>1168</v>
      </c>
      <c r="H1" s="648" t="s">
        <v>1169</v>
      </c>
      <c r="I1" s="648" t="s">
        <v>1170</v>
      </c>
    </row>
    <row r="2" spans="1:9" s="163" customFormat="1" ht="33" customHeight="1">
      <c r="A2" s="156" t="s">
        <v>333</v>
      </c>
      <c r="B2" s="156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2" ht="33.75" customHeight="1">
      <c r="A2" s="164" t="s">
        <v>1154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782</v>
      </c>
      <c r="S4" s="255" t="s">
        <v>459</v>
      </c>
      <c r="T4" s="174" t="s">
        <v>766</v>
      </c>
      <c r="U4" s="220" t="s">
        <v>1155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7" t="e">
        <f>SUM(#REF!)</f>
        <v>#REF!</v>
      </c>
      <c r="T17" s="68">
        <v>11108681.218905337</v>
      </c>
      <c r="U17" s="336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62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1"/>
  <sheetViews>
    <sheetView topLeftCell="L85" workbookViewId="0">
      <selection activeCell="Z93" sqref="Z93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1" t="s">
        <v>234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479"/>
    </row>
    <row r="2" spans="1:31" ht="13.5" hidden="1" thickBot="1">
      <c r="A2" s="662" t="s">
        <v>509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479"/>
    </row>
    <row r="3" spans="1:31" ht="13.5" hidden="1" thickBot="1">
      <c r="A3" s="663" t="s">
        <v>758</v>
      </c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s="637" customFormat="1" ht="18.75">
      <c r="A7" s="630">
        <v>4</v>
      </c>
      <c r="B7" s="631" t="s">
        <v>315</v>
      </c>
      <c r="C7" s="632">
        <f>852373.166666667+100000</f>
        <v>952373.16666666698</v>
      </c>
      <c r="D7" s="633">
        <v>12</v>
      </c>
      <c r="E7" s="634">
        <f t="shared" ref="E7:E32" si="14">C7*D7</f>
        <v>11428478.000000004</v>
      </c>
      <c r="F7" s="634"/>
      <c r="G7" s="634">
        <v>731878.23999999964</v>
      </c>
      <c r="H7" s="634"/>
      <c r="I7" s="634">
        <f t="shared" si="0"/>
        <v>10696599.760000004</v>
      </c>
      <c r="J7" s="634">
        <v>200000</v>
      </c>
      <c r="K7" s="634">
        <v>0.2</v>
      </c>
      <c r="L7" s="634">
        <f t="shared" si="1"/>
        <v>2139319.952000001</v>
      </c>
      <c r="M7" s="634">
        <f t="shared" si="2"/>
        <v>2339319.952000001</v>
      </c>
      <c r="N7" s="634">
        <f t="shared" si="3"/>
        <v>3071198.1920000007</v>
      </c>
      <c r="O7" s="634">
        <f t="shared" si="4"/>
        <v>8357279.808000003</v>
      </c>
      <c r="P7" s="634">
        <f t="shared" si="5"/>
        <v>21000</v>
      </c>
      <c r="Q7" s="634">
        <f t="shared" si="6"/>
        <v>33000</v>
      </c>
      <c r="R7" s="634">
        <f t="shared" si="7"/>
        <v>75000</v>
      </c>
      <c r="S7" s="634">
        <f t="shared" si="8"/>
        <v>95000</v>
      </c>
      <c r="T7" s="634">
        <f t="shared" si="9"/>
        <v>336000</v>
      </c>
      <c r="U7" s="634">
        <f t="shared" si="10"/>
        <v>1237747.1539200007</v>
      </c>
      <c r="V7" s="634">
        <f t="shared" si="11"/>
        <v>1797747.1539200007</v>
      </c>
      <c r="W7" s="635">
        <v>12</v>
      </c>
      <c r="X7" s="634">
        <f t="shared" si="12"/>
        <v>149812.26282666673</v>
      </c>
      <c r="Y7" s="634"/>
      <c r="Z7" s="634">
        <f t="shared" si="13"/>
        <v>149812.26282666673</v>
      </c>
      <c r="AA7" s="636">
        <v>82627.951418666678</v>
      </c>
      <c r="AB7" s="636">
        <f t="shared" ref="AB7:AB32" si="15">Z7-AA7</f>
        <v>67184.311408000052</v>
      </c>
      <c r="AC7" s="636"/>
      <c r="AD7" s="636"/>
      <c r="AE7" s="636"/>
    </row>
    <row r="8" spans="1:31" s="637" customFormat="1" ht="18.75">
      <c r="A8" s="630">
        <v>5</v>
      </c>
      <c r="B8" s="638" t="s">
        <v>317</v>
      </c>
      <c r="C8" s="632">
        <f>1052373.16666667+100000</f>
        <v>1152373.16666667</v>
      </c>
      <c r="D8" s="633">
        <v>12</v>
      </c>
      <c r="E8" s="634">
        <f t="shared" si="14"/>
        <v>13828478.000000041</v>
      </c>
      <c r="F8" s="634"/>
      <c r="G8" s="634">
        <v>0</v>
      </c>
      <c r="H8" s="634"/>
      <c r="I8" s="634">
        <f t="shared" si="0"/>
        <v>13828478.000000041</v>
      </c>
      <c r="J8" s="634">
        <v>200000</v>
      </c>
      <c r="K8" s="634">
        <v>0.2</v>
      </c>
      <c r="L8" s="634">
        <f t="shared" si="1"/>
        <v>2765695.6000000085</v>
      </c>
      <c r="M8" s="634">
        <f t="shared" si="2"/>
        <v>2965695.6000000085</v>
      </c>
      <c r="N8" s="634">
        <f t="shared" si="3"/>
        <v>2965695.6000000085</v>
      </c>
      <c r="O8" s="634">
        <f t="shared" si="4"/>
        <v>10862782.400000032</v>
      </c>
      <c r="P8" s="634">
        <f t="shared" si="5"/>
        <v>21000</v>
      </c>
      <c r="Q8" s="634">
        <f t="shared" si="6"/>
        <v>33000</v>
      </c>
      <c r="R8" s="634">
        <f t="shared" si="7"/>
        <v>75000</v>
      </c>
      <c r="S8" s="634">
        <f t="shared" si="8"/>
        <v>95000</v>
      </c>
      <c r="T8" s="634">
        <f t="shared" si="9"/>
        <v>336000</v>
      </c>
      <c r="U8" s="634">
        <f t="shared" si="10"/>
        <v>1839067.7760000075</v>
      </c>
      <c r="V8" s="634">
        <f t="shared" si="11"/>
        <v>2399067.7760000075</v>
      </c>
      <c r="W8" s="635">
        <v>12</v>
      </c>
      <c r="X8" s="634">
        <f t="shared" si="12"/>
        <v>199922.31466666728</v>
      </c>
      <c r="Y8" s="634"/>
      <c r="Z8" s="634">
        <f t="shared" si="13"/>
        <v>199922.31466666728</v>
      </c>
      <c r="AA8" s="636">
        <v>121027.95141866669</v>
      </c>
      <c r="AB8" s="636">
        <f t="shared" si="15"/>
        <v>78894.363248000591</v>
      </c>
      <c r="AC8" s="636"/>
      <c r="AD8" s="636"/>
      <c r="AE8" s="636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s="637" customFormat="1" ht="18.75">
      <c r="A10" s="630">
        <v>7</v>
      </c>
      <c r="B10" s="638" t="s">
        <v>203</v>
      </c>
      <c r="C10" s="632">
        <f>1002373.16666667+100000</f>
        <v>1102373.16666667</v>
      </c>
      <c r="D10" s="633">
        <v>12</v>
      </c>
      <c r="E10" s="634">
        <f t="shared" si="14"/>
        <v>13228478.000000041</v>
      </c>
      <c r="F10" s="634">
        <f>'[5]JANUARY 2024'!$V$10*12</f>
        <v>12795.951000000001</v>
      </c>
      <c r="G10" s="634">
        <v>731878.24</v>
      </c>
      <c r="H10" s="634"/>
      <c r="I10" s="634">
        <f t="shared" si="0"/>
        <v>12483803.809000041</v>
      </c>
      <c r="J10" s="634">
        <v>200000</v>
      </c>
      <c r="K10" s="634">
        <v>0.2</v>
      </c>
      <c r="L10" s="634">
        <f t="shared" si="1"/>
        <v>2496760.7618000084</v>
      </c>
      <c r="M10" s="634">
        <f t="shared" si="2"/>
        <v>2696760.7618000084</v>
      </c>
      <c r="N10" s="634">
        <f t="shared" si="3"/>
        <v>3441434.9528000085</v>
      </c>
      <c r="O10" s="634">
        <f t="shared" si="4"/>
        <v>9787043.0472000316</v>
      </c>
      <c r="P10" s="634">
        <f t="shared" si="5"/>
        <v>21000</v>
      </c>
      <c r="Q10" s="634">
        <f t="shared" si="6"/>
        <v>33000</v>
      </c>
      <c r="R10" s="634">
        <f t="shared" si="7"/>
        <v>75000</v>
      </c>
      <c r="S10" s="634">
        <f t="shared" si="8"/>
        <v>95000</v>
      </c>
      <c r="T10" s="634">
        <f t="shared" si="9"/>
        <v>336000</v>
      </c>
      <c r="U10" s="634">
        <f t="shared" si="10"/>
        <v>1580890.3313280076</v>
      </c>
      <c r="V10" s="634">
        <f t="shared" si="11"/>
        <v>2140890.3313280074</v>
      </c>
      <c r="W10" s="635">
        <v>12</v>
      </c>
      <c r="X10" s="634">
        <f t="shared" si="12"/>
        <v>178407.52761066728</v>
      </c>
      <c r="Y10" s="634"/>
      <c r="Z10" s="634">
        <f t="shared" si="13"/>
        <v>178407.52761066728</v>
      </c>
      <c r="AA10" s="636">
        <v>111223.21620266668</v>
      </c>
      <c r="AB10" s="636">
        <f t="shared" si="15"/>
        <v>67184.311408000605</v>
      </c>
      <c r="AC10" s="636"/>
      <c r="AD10" s="636"/>
      <c r="AE10" s="636"/>
    </row>
    <row r="11" spans="1:31" s="637" customFormat="1" ht="18.75">
      <c r="A11" s="630">
        <v>8</v>
      </c>
      <c r="B11" s="639" t="s">
        <v>364</v>
      </c>
      <c r="C11" s="632">
        <f>952373.166666667+100000</f>
        <v>1052373.166666667</v>
      </c>
      <c r="D11" s="633">
        <v>12</v>
      </c>
      <c r="E11" s="634">
        <f t="shared" si="14"/>
        <v>12628478.000000004</v>
      </c>
      <c r="F11" s="634"/>
      <c r="G11" s="634">
        <v>0</v>
      </c>
      <c r="H11" s="634"/>
      <c r="I11" s="634">
        <f t="shared" si="0"/>
        <v>12628478.000000004</v>
      </c>
      <c r="J11" s="634">
        <v>200000</v>
      </c>
      <c r="K11" s="634">
        <v>0.2</v>
      </c>
      <c r="L11" s="634">
        <f t="shared" si="1"/>
        <v>2525695.600000001</v>
      </c>
      <c r="M11" s="634">
        <f t="shared" si="2"/>
        <v>2725695.600000001</v>
      </c>
      <c r="N11" s="634">
        <f t="shared" si="3"/>
        <v>2725695.600000001</v>
      </c>
      <c r="O11" s="634">
        <f t="shared" si="4"/>
        <v>9902782.4000000022</v>
      </c>
      <c r="P11" s="634">
        <f t="shared" si="5"/>
        <v>21000</v>
      </c>
      <c r="Q11" s="634">
        <f t="shared" si="6"/>
        <v>33000</v>
      </c>
      <c r="R11" s="634">
        <f t="shared" si="7"/>
        <v>75000</v>
      </c>
      <c r="S11" s="634">
        <f t="shared" si="8"/>
        <v>95000</v>
      </c>
      <c r="T11" s="634">
        <f t="shared" si="9"/>
        <v>336000</v>
      </c>
      <c r="U11" s="634">
        <f t="shared" si="10"/>
        <v>1608667.7760000005</v>
      </c>
      <c r="V11" s="634">
        <f t="shared" si="11"/>
        <v>2168667.7760000005</v>
      </c>
      <c r="W11" s="635">
        <v>12</v>
      </c>
      <c r="X11" s="634">
        <f t="shared" si="12"/>
        <v>180722.3146666667</v>
      </c>
      <c r="Y11" s="634"/>
      <c r="Z11" s="634">
        <f t="shared" si="13"/>
        <v>180722.3146666667</v>
      </c>
      <c r="AA11" s="636">
        <v>101827.95141866668</v>
      </c>
      <c r="AB11" s="636">
        <f t="shared" si="15"/>
        <v>78894.363248000023</v>
      </c>
      <c r="AC11" s="636"/>
      <c r="AD11" s="636"/>
      <c r="AE11" s="636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s="637" customFormat="1" ht="18.75">
      <c r="A13" s="630">
        <v>10</v>
      </c>
      <c r="B13" s="631" t="s">
        <v>185</v>
      </c>
      <c r="C13" s="632">
        <f>842118.083333333+100000</f>
        <v>942118.08333333302</v>
      </c>
      <c r="D13" s="633">
        <v>12</v>
      </c>
      <c r="E13" s="634">
        <f t="shared" si="14"/>
        <v>11305416.999999996</v>
      </c>
      <c r="F13" s="634">
        <f>'[5]JANUARY 2024'!$V$14*12</f>
        <v>9305.9520000000011</v>
      </c>
      <c r="G13" s="634">
        <v>558833.3600000001</v>
      </c>
      <c r="H13" s="634"/>
      <c r="I13" s="634">
        <f t="shared" si="0"/>
        <v>10737277.687999997</v>
      </c>
      <c r="J13" s="634">
        <v>200000</v>
      </c>
      <c r="K13" s="634">
        <v>0.2</v>
      </c>
      <c r="L13" s="634">
        <f t="shared" si="1"/>
        <v>2147455.5375999995</v>
      </c>
      <c r="M13" s="634">
        <f t="shared" si="2"/>
        <v>2347455.5375999995</v>
      </c>
      <c r="N13" s="634">
        <f t="shared" si="3"/>
        <v>2915594.8495999994</v>
      </c>
      <c r="O13" s="634">
        <f t="shared" si="4"/>
        <v>8389822.1503999978</v>
      </c>
      <c r="P13" s="634">
        <f t="shared" si="5"/>
        <v>21000</v>
      </c>
      <c r="Q13" s="634">
        <f t="shared" si="6"/>
        <v>33000</v>
      </c>
      <c r="R13" s="634">
        <f t="shared" si="7"/>
        <v>75000</v>
      </c>
      <c r="S13" s="634">
        <f t="shared" si="8"/>
        <v>95000</v>
      </c>
      <c r="T13" s="634">
        <f t="shared" si="9"/>
        <v>336000</v>
      </c>
      <c r="U13" s="634">
        <f t="shared" si="10"/>
        <v>1245557.3160959994</v>
      </c>
      <c r="V13" s="634">
        <f t="shared" si="11"/>
        <v>1805557.3160959994</v>
      </c>
      <c r="W13" s="635">
        <v>12</v>
      </c>
      <c r="X13" s="634">
        <f t="shared" si="12"/>
        <v>150463.10967466663</v>
      </c>
      <c r="Y13" s="634"/>
      <c r="Z13" s="634">
        <f t="shared" si="13"/>
        <v>150463.10967466663</v>
      </c>
      <c r="AA13" s="636">
        <v>94625.782058666678</v>
      </c>
      <c r="AB13" s="636">
        <f t="shared" si="15"/>
        <v>55837.327615999951</v>
      </c>
      <c r="AC13" s="636"/>
      <c r="AD13" s="636"/>
      <c r="AE13" s="636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f>660498</f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s="637" customFormat="1" ht="18.75">
      <c r="A16" s="630">
        <v>13</v>
      </c>
      <c r="B16" s="631" t="s">
        <v>184</v>
      </c>
      <c r="C16" s="632">
        <f>732746.5+100000</f>
        <v>832746.5</v>
      </c>
      <c r="D16" s="633">
        <v>12</v>
      </c>
      <c r="E16" s="634">
        <f t="shared" si="14"/>
        <v>9992958</v>
      </c>
      <c r="F16" s="634"/>
      <c r="G16" s="634">
        <v>425036.64</v>
      </c>
      <c r="H16" s="634"/>
      <c r="I16" s="634">
        <f t="shared" si="0"/>
        <v>9567921.3599999994</v>
      </c>
      <c r="J16" s="634">
        <v>200000</v>
      </c>
      <c r="K16" s="634">
        <v>0.2</v>
      </c>
      <c r="L16" s="634">
        <f t="shared" si="1"/>
        <v>1913584.2719999999</v>
      </c>
      <c r="M16" s="634">
        <f t="shared" si="2"/>
        <v>2113584.2719999999</v>
      </c>
      <c r="N16" s="634">
        <f t="shared" si="3"/>
        <v>2538620.912</v>
      </c>
      <c r="O16" s="634">
        <f t="shared" si="4"/>
        <v>7454337.0879999995</v>
      </c>
      <c r="P16" s="634">
        <f t="shared" si="5"/>
        <v>21000</v>
      </c>
      <c r="Q16" s="634">
        <f t="shared" si="6"/>
        <v>33000</v>
      </c>
      <c r="R16" s="634">
        <f t="shared" si="7"/>
        <v>75000</v>
      </c>
      <c r="S16" s="634">
        <f t="shared" si="8"/>
        <v>95000</v>
      </c>
      <c r="T16" s="634">
        <f t="shared" si="9"/>
        <v>336000</v>
      </c>
      <c r="U16" s="634">
        <f t="shared" si="10"/>
        <v>1021040.9011199998</v>
      </c>
      <c r="V16" s="634">
        <f t="shared" si="11"/>
        <v>1581040.9011199998</v>
      </c>
      <c r="W16" s="635">
        <v>12</v>
      </c>
      <c r="X16" s="634">
        <f t="shared" si="12"/>
        <v>131753.40842666666</v>
      </c>
      <c r="Y16" s="634"/>
      <c r="Z16" s="634">
        <f t="shared" si="13"/>
        <v>131753.40842666666</v>
      </c>
      <c r="AA16" s="636">
        <v>46666.666666666664</v>
      </c>
      <c r="AB16" s="636">
        <f t="shared" si="15"/>
        <v>85086.741760000004</v>
      </c>
      <c r="AC16" s="636"/>
      <c r="AD16" s="636"/>
      <c r="AE16" s="636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s="637" customFormat="1" ht="18.75">
      <c r="A19" s="630">
        <v>16</v>
      </c>
      <c r="B19" s="639" t="s">
        <v>291</v>
      </c>
      <c r="C19" s="632">
        <f>636026.916666667+100000</f>
        <v>736026.91666666698</v>
      </c>
      <c r="D19" s="633">
        <v>12</v>
      </c>
      <c r="E19" s="634">
        <f t="shared" si="14"/>
        <v>8832323.0000000037</v>
      </c>
      <c r="F19" s="634">
        <f>618.53*12</f>
        <v>7422.36</v>
      </c>
      <c r="G19" s="634">
        <v>399385.84</v>
      </c>
      <c r="H19" s="634"/>
      <c r="I19" s="634">
        <f t="shared" si="0"/>
        <v>8425514.8000000045</v>
      </c>
      <c r="J19" s="634">
        <v>200000</v>
      </c>
      <c r="K19" s="634">
        <v>0.2</v>
      </c>
      <c r="L19" s="634">
        <f>I19*K19</f>
        <v>1685102.9600000009</v>
      </c>
      <c r="M19" s="634">
        <f>J19+L19</f>
        <v>1885102.9600000009</v>
      </c>
      <c r="N19" s="634">
        <f t="shared" si="3"/>
        <v>2291911.1600000011</v>
      </c>
      <c r="O19" s="634">
        <f t="shared" si="4"/>
        <v>6540411.8400000026</v>
      </c>
      <c r="P19" s="634">
        <f>IF(O19&lt;300000,0.07*O19,21000)</f>
        <v>21000</v>
      </c>
      <c r="Q19" s="634">
        <f>IF((O19-300000)&lt;0,0,IF((O19-300000)&lt;300000,0.11*(O19-300000),33000))</f>
        <v>33000</v>
      </c>
      <c r="R19" s="634">
        <f>IF((O19-600000)&lt;0,0,IF((O19-600000)&lt;500000,0.15*(O19-600000),75000))</f>
        <v>75000</v>
      </c>
      <c r="S19" s="634">
        <f>IF((O19-1100000)&lt;0,0,IF((O19-1100000)&lt;500000,0.19*(O19-1100000),95000))</f>
        <v>95000</v>
      </c>
      <c r="T19" s="634">
        <f>IF((O19-1600000)&lt;0,0,IF((O19-1600000)&lt;1600000,0.21*(O19-1600000),336000))</f>
        <v>336000</v>
      </c>
      <c r="U19" s="634">
        <f t="shared" si="10"/>
        <v>801698.84160000063</v>
      </c>
      <c r="V19" s="634">
        <f>P19+Q19+R19+S19+T19+U19</f>
        <v>1361698.8416000006</v>
      </c>
      <c r="W19" s="635">
        <v>12</v>
      </c>
      <c r="X19" s="634">
        <f>V19/W19</f>
        <v>113474.90346666671</v>
      </c>
      <c r="Y19" s="634"/>
      <c r="Z19" s="634">
        <f>X19</f>
        <v>113474.90346666671</v>
      </c>
      <c r="AA19" s="636">
        <v>46666.666666666664</v>
      </c>
      <c r="AB19" s="636">
        <f t="shared" si="15"/>
        <v>66808.236800000042</v>
      </c>
      <c r="AC19" s="636"/>
      <c r="AD19" s="636"/>
      <c r="AE19" s="636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s="637" customFormat="1" ht="18.75">
      <c r="A21" s="630">
        <v>18</v>
      </c>
      <c r="B21" s="638" t="s">
        <v>321</v>
      </c>
      <c r="C21" s="632">
        <f>553512.5+100000</f>
        <v>653512.5</v>
      </c>
      <c r="D21" s="633">
        <v>12</v>
      </c>
      <c r="E21" s="634">
        <f t="shared" si="14"/>
        <v>7842150</v>
      </c>
      <c r="F21" s="634"/>
      <c r="G21" s="634">
        <v>339372</v>
      </c>
      <c r="H21" s="634"/>
      <c r="I21" s="634">
        <f t="shared" si="0"/>
        <v>7502778</v>
      </c>
      <c r="J21" s="634">
        <v>200000</v>
      </c>
      <c r="K21" s="634">
        <v>0.2</v>
      </c>
      <c r="L21" s="634">
        <f>I21*K21</f>
        <v>1500555.6</v>
      </c>
      <c r="M21" s="634">
        <f>J21+L21</f>
        <v>1700555.6</v>
      </c>
      <c r="N21" s="634">
        <f t="shared" si="3"/>
        <v>2039927.6</v>
      </c>
      <c r="O21" s="634">
        <f t="shared" si="4"/>
        <v>5802222.4000000004</v>
      </c>
      <c r="P21" s="634">
        <f>IF(O21&lt;300000,0.07*O21,21000)</f>
        <v>21000</v>
      </c>
      <c r="Q21" s="634">
        <f>IF((O21-300000)&lt;0,0,IF((O21-300000)&lt;300000,0.11*(O21-300000),33000))</f>
        <v>33000</v>
      </c>
      <c r="R21" s="634">
        <f>IF((O21-600000)&lt;0,0,IF((O21-600000)&lt;500000,0.15*(O21-600000),75000))</f>
        <v>75000</v>
      </c>
      <c r="S21" s="634">
        <f>IF((O21-1100000)&lt;0,0,IF((O21-1100000)&lt;500000,0.19*(O21-1100000),95000))</f>
        <v>95000</v>
      </c>
      <c r="T21" s="634">
        <f>IF((O21-1600000)&lt;0,0,IF((O21-1600000)&lt;1600000,0.21*(O21-1600000),336000))</f>
        <v>336000</v>
      </c>
      <c r="U21" s="634">
        <f t="shared" si="10"/>
        <v>624533.37600000005</v>
      </c>
      <c r="V21" s="634">
        <f>P21+Q21+R21+S21+T21+U21</f>
        <v>1184533.3760000002</v>
      </c>
      <c r="W21" s="635">
        <v>12</v>
      </c>
      <c r="X21" s="634">
        <f>V21/W21</f>
        <v>98711.114666666675</v>
      </c>
      <c r="Y21" s="634"/>
      <c r="Z21" s="634">
        <f>X21</f>
        <v>98711.114666666675</v>
      </c>
      <c r="AA21" s="636">
        <v>46666.666666666664</v>
      </c>
      <c r="AB21" s="636">
        <f t="shared" si="15"/>
        <v>52044.448000000011</v>
      </c>
      <c r="AC21" s="636"/>
      <c r="AD21" s="636"/>
      <c r="AE21" s="636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s="637" customFormat="1" ht="18.75">
      <c r="A23" s="630">
        <v>20</v>
      </c>
      <c r="B23" s="638" t="s">
        <v>741</v>
      </c>
      <c r="C23" s="632">
        <f>453029.666666667+100000</f>
        <v>553029.66666666698</v>
      </c>
      <c r="D23" s="633">
        <v>12</v>
      </c>
      <c r="E23" s="634">
        <f t="shared" si="14"/>
        <v>6636356.0000000037</v>
      </c>
      <c r="F23" s="634"/>
      <c r="G23" s="634">
        <v>281308.48000000004</v>
      </c>
      <c r="H23" s="634"/>
      <c r="I23" s="634">
        <f t="shared" si="0"/>
        <v>6355047.5200000033</v>
      </c>
      <c r="J23" s="634">
        <v>200000</v>
      </c>
      <c r="K23" s="634">
        <v>0.2</v>
      </c>
      <c r="L23" s="634">
        <f t="shared" si="1"/>
        <v>1271009.5040000007</v>
      </c>
      <c r="M23" s="634">
        <f t="shared" si="2"/>
        <v>1471009.5040000007</v>
      </c>
      <c r="N23" s="634">
        <f t="shared" si="3"/>
        <v>1752317.9840000006</v>
      </c>
      <c r="O23" s="634">
        <f t="shared" si="4"/>
        <v>4884038.0160000026</v>
      </c>
      <c r="P23" s="634">
        <f t="shared" si="5"/>
        <v>21000</v>
      </c>
      <c r="Q23" s="634">
        <f t="shared" si="6"/>
        <v>33000</v>
      </c>
      <c r="R23" s="634">
        <f t="shared" si="7"/>
        <v>75000</v>
      </c>
      <c r="S23" s="634">
        <f t="shared" si="8"/>
        <v>95000</v>
      </c>
      <c r="T23" s="634">
        <f t="shared" si="9"/>
        <v>336000</v>
      </c>
      <c r="U23" s="634">
        <f t="shared" si="10"/>
        <v>404169.1238400006</v>
      </c>
      <c r="V23" s="634">
        <f t="shared" si="11"/>
        <v>964169.1238400006</v>
      </c>
      <c r="W23" s="635">
        <v>12</v>
      </c>
      <c r="X23" s="634">
        <f t="shared" si="12"/>
        <v>80347.426986666716</v>
      </c>
      <c r="Y23" s="634"/>
      <c r="Z23" s="634">
        <f t="shared" si="13"/>
        <v>80347.426986666716</v>
      </c>
      <c r="AA23" s="636">
        <v>42371.815728666676</v>
      </c>
      <c r="AB23" s="636">
        <f t="shared" si="15"/>
        <v>37975.611258000041</v>
      </c>
      <c r="AC23" s="636"/>
      <c r="AD23" s="636"/>
      <c r="AE23" s="636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s="637" customFormat="1" ht="18.75">
      <c r="A80" s="630">
        <v>68</v>
      </c>
      <c r="B80" s="631" t="s">
        <v>169</v>
      </c>
      <c r="C80" s="634">
        <f>880675.583333333+100000</f>
        <v>980675.58333333302</v>
      </c>
      <c r="D80" s="633">
        <v>12</v>
      </c>
      <c r="E80" s="634">
        <f>C80*D80</f>
        <v>11768106.999999996</v>
      </c>
      <c r="F80" s="634"/>
      <c r="G80" s="640">
        <v>595848.56000000006</v>
      </c>
      <c r="H80" s="641"/>
      <c r="I80" s="634">
        <f t="shared" ref="I80:I89" si="67">E80-F80-G80-H80</f>
        <v>11172258.439999996</v>
      </c>
      <c r="J80" s="634">
        <v>200000</v>
      </c>
      <c r="K80" s="634">
        <v>0.2</v>
      </c>
      <c r="L80" s="634">
        <f t="shared" ref="L80:L89" si="68">I80*K80</f>
        <v>2234451.6879999992</v>
      </c>
      <c r="M80" s="634">
        <f t="shared" ref="M80:M89" si="69">J80+L80</f>
        <v>2434451.6879999992</v>
      </c>
      <c r="N80" s="634">
        <f t="shared" ref="N80:N89" si="70">F80+G80+H80+M80</f>
        <v>3030300.2479999992</v>
      </c>
      <c r="O80" s="634">
        <f t="shared" ref="O80:O89" si="71">E80-N80</f>
        <v>8737806.7519999966</v>
      </c>
      <c r="P80" s="634">
        <f t="shared" ref="P80:P89" si="72">IF(O80&lt;300000,0.07*O80,21000)</f>
        <v>21000</v>
      </c>
      <c r="Q80" s="634">
        <f t="shared" ref="Q80:Q89" si="73">IF((O80-300000)&lt;0,0,IF((O80-300000)&lt;300000,0.11*(O80-300000),33000))</f>
        <v>33000</v>
      </c>
      <c r="R80" s="634">
        <f t="shared" ref="R80:R89" si="74">IF((O80-600000)&lt;0,0,IF((O80-600000)&lt;500000,0.15*(O80-600000),75000))</f>
        <v>75000</v>
      </c>
      <c r="S80" s="634">
        <f t="shared" ref="S80:S89" si="75">IF((O80-1100000)&lt;0,0,IF((O80-1100000)&lt;500000,0.19*(O80-1100000),95000))</f>
        <v>95000</v>
      </c>
      <c r="T80" s="634">
        <f t="shared" ref="T80:T89" si="76">IF((O80-1600000)&lt;0,0,IF((O80-1600000)&lt;1600000,0.21*(O80-1600000),336000))</f>
        <v>336000</v>
      </c>
      <c r="U80" s="634">
        <f t="shared" ref="U80:U88" si="77">24%*(O80-3200000)</f>
        <v>1329073.6204799991</v>
      </c>
      <c r="V80" s="634">
        <f t="shared" ref="V80:V89" si="78">P80+Q80+R80+S80+T80+U80</f>
        <v>1889073.6204799991</v>
      </c>
      <c r="W80" s="635">
        <v>12</v>
      </c>
      <c r="X80" s="634">
        <f t="shared" ref="X80:X89" si="79">V80/W80</f>
        <v>157422.80170666659</v>
      </c>
      <c r="Y80" s="641"/>
      <c r="Z80" s="634">
        <f t="shared" ref="Z80:Z89" si="80">X80</f>
        <v>157422.80170666659</v>
      </c>
      <c r="AA80" s="634">
        <v>99156.939146666671</v>
      </c>
      <c r="AB80" s="636">
        <f>Z80-AA80</f>
        <v>58265.862559999921</v>
      </c>
      <c r="AC80" s="636" t="s">
        <v>169</v>
      </c>
      <c r="AD80" s="636"/>
      <c r="AE80" s="636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1452042.67</v>
      </c>
      <c r="D93" s="418">
        <v>12</v>
      </c>
      <c r="E93" s="417">
        <f>C93*D93</f>
        <v>17424512.039999999</v>
      </c>
      <c r="F93" s="417">
        <f>'[5]JANUARY 2024'!$V$98*12</f>
        <v>12795.951000000001</v>
      </c>
      <c r="G93" s="487">
        <f>(0.08*1352042.67)*12</f>
        <v>1297960.9632000001</v>
      </c>
      <c r="H93" s="419"/>
      <c r="I93" s="417">
        <f>E93-F93-G93-H93</f>
        <v>16113755.125799999</v>
      </c>
      <c r="J93" s="417">
        <v>200000</v>
      </c>
      <c r="K93" s="417">
        <v>0.2</v>
      </c>
      <c r="L93" s="417">
        <f>I93*K93</f>
        <v>3222751.0251599997</v>
      </c>
      <c r="M93" s="417">
        <f>J93+L93</f>
        <v>3422751.0251599997</v>
      </c>
      <c r="N93" s="417">
        <f>F93+G93+H93+M93</f>
        <v>4733507.9393600002</v>
      </c>
      <c r="O93" s="417">
        <f>E93-N93</f>
        <v>12691004.100639999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2277840.9841535995</v>
      </c>
      <c r="V93" s="417">
        <f>P93+Q93+R93+S93+T93+U93</f>
        <v>2837840.9841535995</v>
      </c>
      <c r="W93" s="421">
        <v>12</v>
      </c>
      <c r="X93" s="417">
        <f>V93/W93</f>
        <v>236486.74867946663</v>
      </c>
      <c r="Y93" s="419"/>
      <c r="Z93" s="486">
        <f>X93</f>
        <v>236486.74867946663</v>
      </c>
      <c r="AA93" s="422">
        <v>82423.216202666677</v>
      </c>
      <c r="AB93" s="422">
        <f>Z93-AA93</f>
        <v>154063.53247679997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80811797.389438361</v>
      </c>
      <c r="D188" s="510"/>
      <c r="E188" s="512"/>
      <c r="F188" s="508">
        <f>SUM(F6:F187)</f>
        <v>276375.74700000009</v>
      </c>
      <c r="G188" s="508">
        <f>SUM(G6:G187)</f>
        <v>55339851.603199959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139208884.23525941</v>
      </c>
      <c r="W188" s="508"/>
      <c r="X188" s="508">
        <f t="shared" ref="X188" si="137">SUM(X6:X187)</f>
        <v>11600740.352938289</v>
      </c>
      <c r="Y188" s="508"/>
      <c r="Z188" s="508">
        <f t="shared" ref="Z188" si="138">SUM(Z6:Z187)</f>
        <v>11600740.352938289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4611654.3002666635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11600740.352938285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0" ht="33.75" customHeight="1">
      <c r="A2" s="164" t="s">
        <v>1157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766</v>
      </c>
      <c r="S4" s="220" t="s">
        <v>1155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9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1156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42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62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9"/>
  <sheetViews>
    <sheetView workbookViewId="0">
      <selection activeCell="I197" sqref="I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664" t="s">
        <v>234</v>
      </c>
      <c r="B1" s="664"/>
      <c r="C1" s="664"/>
      <c r="D1" s="664"/>
      <c r="E1" s="664"/>
      <c r="F1" s="664"/>
      <c r="G1" s="664"/>
    </row>
    <row r="2" spans="1:9" ht="20.25" customHeight="1">
      <c r="A2" s="664" t="s">
        <v>1158</v>
      </c>
      <c r="B2" s="664"/>
      <c r="C2" s="664"/>
      <c r="D2" s="664"/>
      <c r="E2" s="664"/>
      <c r="F2" s="664"/>
      <c r="G2" s="664"/>
    </row>
    <row r="3" spans="1:9" ht="9.75" customHeight="1">
      <c r="A3" s="664"/>
      <c r="B3" s="664"/>
      <c r="C3" s="664"/>
      <c r="D3" s="664"/>
      <c r="E3" s="664"/>
      <c r="F3" s="664"/>
      <c r="G3" s="664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1159</v>
      </c>
      <c r="F5" s="172" t="s">
        <v>1160</v>
      </c>
      <c r="G5" s="172" t="s">
        <v>1161</v>
      </c>
      <c r="H5" s="172" t="s">
        <v>1162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/>
      <c r="F32" s="23">
        <f t="shared" si="0"/>
        <v>0</v>
      </c>
      <c r="G32" s="23">
        <f t="shared" si="1"/>
        <v>0</v>
      </c>
      <c r="H32" s="23"/>
      <c r="I32" s="23">
        <f t="shared" si="2"/>
        <v>0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20368239</v>
      </c>
      <c r="F35" s="182">
        <f>SUM(F8:F34)</f>
        <v>1697353.25</v>
      </c>
      <c r="G35" s="182">
        <f t="shared" ref="G35:I35" si="4">SUM(G8:G34)</f>
        <v>42433.831250000003</v>
      </c>
      <c r="H35" s="182">
        <f t="shared" si="4"/>
        <v>4364.3734999999997</v>
      </c>
      <c r="I35" s="182">
        <f t="shared" si="4"/>
        <v>38069.457750000001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/>
      <c r="F71" s="399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108796064</v>
      </c>
      <c r="F195" s="196">
        <f>F194+F132+F119+F113+F103+F96+F83+F73+F60+F55+F41+F35</f>
        <v>9066338.666666666</v>
      </c>
      <c r="G195" s="196">
        <f t="shared" ref="G195:I195" si="47">G194+G132+G119+G113+G103+G96+G83+G73+G60+G55+G41+G35</f>
        <v>226658.46666666667</v>
      </c>
      <c r="H195" s="196">
        <f t="shared" si="47"/>
        <v>23031.313750000001</v>
      </c>
      <c r="I195" s="196">
        <f t="shared" si="47"/>
        <v>203627.15291666667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45" t="s">
        <v>1163</v>
      </c>
      <c r="E1" s="645" t="s">
        <v>38</v>
      </c>
      <c r="F1" s="643"/>
      <c r="G1" s="643"/>
    </row>
    <row r="2" spans="1:7" ht="36" customHeight="1">
      <c r="A2" s="156" t="s">
        <v>555</v>
      </c>
      <c r="B2" s="160" t="s">
        <v>314</v>
      </c>
      <c r="C2" s="644" t="s">
        <v>105</v>
      </c>
      <c r="D2" s="645">
        <f>'[5]JANUARY 2024'!$R$33</f>
        <v>173329.04949999999</v>
      </c>
      <c r="E2" s="645">
        <f>'[5]JANUARY 2024'!$W$33</f>
        <v>16512.68219066667</v>
      </c>
      <c r="F2" s="643"/>
      <c r="G2" s="643"/>
    </row>
    <row r="3" spans="1:7" ht="37.5">
      <c r="A3" s="156" t="s">
        <v>555</v>
      </c>
      <c r="B3" s="160" t="s">
        <v>314</v>
      </c>
      <c r="C3" s="644" t="s">
        <v>176</v>
      </c>
      <c r="D3" s="645">
        <f>'[5]JANUARY 2024'!$R$38</f>
        <v>176816.09999999998</v>
      </c>
      <c r="E3" s="645">
        <f>'[5]JANUARY 2024'!$W$38</f>
        <v>17042.713866666661</v>
      </c>
      <c r="F3" s="643"/>
      <c r="G3" s="643"/>
    </row>
    <row r="4" spans="1:7" ht="25.5" customHeight="1">
      <c r="A4" s="343" t="s">
        <v>531</v>
      </c>
      <c r="D4" s="645">
        <f>D3-D2</f>
        <v>3487.050499999983</v>
      </c>
      <c r="E4" s="645">
        <f>E3-E2</f>
        <v>530.03167599999142</v>
      </c>
      <c r="F4" s="646">
        <f>D4-E4</f>
        <v>2957.0188239999916</v>
      </c>
      <c r="G4" s="643"/>
    </row>
    <row r="5" spans="1:7" ht="15.75">
      <c r="D5" s="643"/>
      <c r="E5" s="643"/>
      <c r="F5" s="643"/>
      <c r="G5" s="643"/>
    </row>
    <row r="6" spans="1:7" ht="15.75">
      <c r="D6" s="643"/>
      <c r="E6" s="643"/>
      <c r="F6" s="643"/>
      <c r="G6" s="64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665" t="s">
        <v>234</v>
      </c>
      <c r="B1" s="665"/>
      <c r="C1" s="665"/>
      <c r="D1" s="665"/>
      <c r="E1" s="665"/>
    </row>
    <row r="2" spans="1:5" ht="33.75" customHeight="1">
      <c r="A2" s="647" t="s">
        <v>1164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5" ht="17.25" customHeight="1">
      <c r="C5" s="176"/>
      <c r="D5" s="176"/>
      <c r="E5" s="376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36000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36000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36000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36000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36000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36000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36000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36000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36000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36000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36000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36000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36000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36000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3386000</v>
      </c>
    </row>
    <row r="194" spans="1:5" ht="42.75" customHeight="1">
      <c r="A194" s="20"/>
      <c r="B194" s="193" t="s">
        <v>8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666" t="s">
        <v>234</v>
      </c>
      <c r="B1" s="666"/>
      <c r="C1" s="666"/>
      <c r="D1" s="666"/>
      <c r="E1" s="666"/>
      <c r="F1" s="666"/>
      <c r="G1" s="162"/>
      <c r="H1" s="162"/>
      <c r="I1" s="162"/>
      <c r="J1" s="162"/>
      <c r="K1" s="162"/>
      <c r="L1" s="162"/>
    </row>
    <row r="2" spans="1:17" ht="33.75" customHeight="1">
      <c r="A2" s="443" t="s">
        <v>1153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513" t="s">
        <v>774</v>
      </c>
      <c r="O4" s="513" t="s">
        <v>775</v>
      </c>
      <c r="P4" s="543"/>
      <c r="Q4" s="557" t="s">
        <v>794</v>
      </c>
    </row>
    <row r="5" spans="1:17" ht="17.25" customHeight="1">
      <c r="C5" s="176"/>
      <c r="D5" s="176"/>
      <c r="L5" s="361" t="s">
        <v>791</v>
      </c>
      <c r="O5" s="536" t="s">
        <v>792</v>
      </c>
      <c r="P5" s="537"/>
      <c r="Q5" s="361" t="s">
        <v>793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14" t="s">
        <v>5</v>
      </c>
      <c r="O6" s="514" t="s">
        <v>5</v>
      </c>
      <c r="P6" s="538"/>
      <c r="Q6" s="527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518">
        <v>201165.83594666663</v>
      </c>
      <c r="O7" s="515">
        <f>M7-N7</f>
        <v>149018.17478400012</v>
      </c>
      <c r="P7" s="544"/>
      <c r="Q7" s="551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518">
        <v>82627.951418666678</v>
      </c>
      <c r="O8" s="515">
        <f t="shared" ref="O8:O33" si="2">M8-N8</f>
        <v>47984.31140799998</v>
      </c>
      <c r="P8" s="544"/>
      <c r="Q8" s="551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533">
        <v>121027.95141866669</v>
      </c>
      <c r="O9" s="515">
        <f t="shared" si="2"/>
        <v>59694.363247999951</v>
      </c>
      <c r="P9" s="544"/>
      <c r="Q9" s="551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533">
        <v>99703.216202666677</v>
      </c>
      <c r="O10" s="515">
        <f t="shared" si="2"/>
        <v>47984.311407999994</v>
      </c>
      <c r="P10" s="544"/>
      <c r="Q10" s="551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518">
        <v>111223.21620266668</v>
      </c>
      <c r="O11" s="515">
        <f t="shared" si="2"/>
        <v>47984.311407999994</v>
      </c>
      <c r="P11" s="544"/>
      <c r="Q11" s="551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533">
        <v>101827.95141866668</v>
      </c>
      <c r="O12" s="515">
        <f t="shared" si="2"/>
        <v>59694.363247999994</v>
      </c>
      <c r="P12" s="544"/>
      <c r="Q12" s="551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533">
        <v>74036.103146666661</v>
      </c>
      <c r="O13" s="515">
        <f t="shared" si="2"/>
        <v>39065.862559999994</v>
      </c>
      <c r="P13" s="544"/>
      <c r="Q13" s="551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518">
        <v>94625.782058666678</v>
      </c>
      <c r="O14" s="515">
        <f t="shared" si="2"/>
        <v>36637.32761599998</v>
      </c>
      <c r="P14" s="544"/>
      <c r="Q14" s="551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533">
        <v>44846.616588666657</v>
      </c>
      <c r="O15" s="515">
        <f t="shared" si="2"/>
        <v>32819.829278000005</v>
      </c>
      <c r="P15" s="544"/>
      <c r="Q15" s="551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518">
        <v>67626.60943466668</v>
      </c>
      <c r="O16" s="515">
        <f t="shared" si="2"/>
        <v>30628.823951999977</v>
      </c>
      <c r="P16" s="544"/>
      <c r="Q16" s="551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533">
        <v>83731.249226666652</v>
      </c>
      <c r="O17" s="515">
        <f t="shared" si="2"/>
        <v>28822.159199999995</v>
      </c>
      <c r="P17" s="544"/>
      <c r="Q17" s="551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518">
        <v>42046.063686666661</v>
      </c>
      <c r="O18" s="515">
        <f t="shared" si="2"/>
        <v>28101.023460000011</v>
      </c>
      <c r="P18" s="544"/>
      <c r="Q18" s="551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533">
        <v>49548.776186666662</v>
      </c>
      <c r="O19" s="515">
        <f t="shared" si="2"/>
        <v>27921.598000000005</v>
      </c>
      <c r="P19" s="544"/>
      <c r="Q19" s="551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533">
        <v>67370.87028266667</v>
      </c>
      <c r="O20" s="515">
        <f t="shared" si="2"/>
        <v>26904.033184000014</v>
      </c>
      <c r="P20" s="544"/>
      <c r="Q20" s="551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533">
        <v>52497.770378666646</v>
      </c>
      <c r="O21" s="515">
        <f t="shared" si="2"/>
        <v>23640.298528000021</v>
      </c>
      <c r="P21" s="544"/>
      <c r="Q21" s="551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533">
        <v>55538.105066666671</v>
      </c>
      <c r="O22" s="515">
        <f t="shared" si="2"/>
        <v>23973.009600000005</v>
      </c>
      <c r="P22" s="544"/>
      <c r="Q22" s="551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f>1015372.075-700000</f>
        <v>315372.07499999995</v>
      </c>
      <c r="L23" s="450">
        <f t="shared" si="1"/>
        <v>148140.42500000005</v>
      </c>
      <c r="M23" s="453">
        <v>62231.114666666661</v>
      </c>
      <c r="N23" s="533">
        <v>40149.175266666658</v>
      </c>
      <c r="O23" s="515">
        <f t="shared" si="2"/>
        <v>22081.939400000003</v>
      </c>
      <c r="P23" s="544"/>
      <c r="Q23" s="551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533">
        <v>42371.815728666676</v>
      </c>
      <c r="O24" s="515">
        <f t="shared" si="2"/>
        <v>18775.61125799999</v>
      </c>
      <c r="P24" s="544"/>
      <c r="Q24" s="551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533">
        <v>23036.01234666667</v>
      </c>
      <c r="O25" s="515">
        <f t="shared" si="2"/>
        <v>16016.300719999992</v>
      </c>
      <c r="P25" s="544"/>
      <c r="Q25" s="551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533">
        <v>23036.01234666667</v>
      </c>
      <c r="O26" s="515">
        <f t="shared" si="2"/>
        <v>16016.300719999992</v>
      </c>
      <c r="P26" s="544"/>
      <c r="Q26" s="551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533">
        <v>29756.01234666667</v>
      </c>
      <c r="O27" s="515">
        <f t="shared" si="2"/>
        <v>16016.300720000007</v>
      </c>
      <c r="P27" s="544"/>
      <c r="Q27" s="551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533">
        <v>22338.48260466666</v>
      </c>
      <c r="O28" s="515">
        <f t="shared" si="2"/>
        <v>15583.017982000001</v>
      </c>
      <c r="P28" s="544"/>
      <c r="Q28" s="551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533">
        <v>21640.952862666669</v>
      </c>
      <c r="O29" s="515">
        <f t="shared" si="2"/>
        <v>15149.735243999992</v>
      </c>
      <c r="P29" s="544"/>
      <c r="Q29" s="551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533">
        <v>21640.952862666669</v>
      </c>
      <c r="O30" s="515">
        <f t="shared" si="2"/>
        <v>15149.735243999992</v>
      </c>
      <c r="P30" s="544"/>
      <c r="Q30" s="551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534">
        <v>22338.48260466666</v>
      </c>
      <c r="O31" s="515">
        <f t="shared" si="2"/>
        <v>16713.830462000002</v>
      </c>
      <c r="P31" s="544"/>
      <c r="Q31" s="551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533">
        <v>17572.88500266667</v>
      </c>
      <c r="O32" s="515">
        <f t="shared" si="2"/>
        <v>13640.250703999987</v>
      </c>
      <c r="P32" s="544"/>
      <c r="Q32" s="551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533">
        <v>16512.68219066667</v>
      </c>
      <c r="O33" s="515">
        <f t="shared" si="2"/>
        <v>13746.483435999999</v>
      </c>
      <c r="P33" s="544"/>
      <c r="Q33" s="551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9"/>
      <c r="Q34" s="529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517"/>
      <c r="O35" s="517"/>
      <c r="P35" s="539"/>
      <c r="Q35" s="556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533"/>
      <c r="O36" s="518"/>
      <c r="P36" s="545"/>
      <c r="Q36" s="550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533">
        <v>161106.80685866668</v>
      </c>
      <c r="O37" s="515">
        <f>M37-N37</f>
        <v>90365.440607999946</v>
      </c>
      <c r="P37" s="544"/>
      <c r="Q37" s="551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10">E38+F38+G38+H38+I38</f>
        <v>353029.66666666669</v>
      </c>
      <c r="K38" s="458">
        <v>176816.09999999998</v>
      </c>
      <c r="L38" s="458">
        <f t="shared" ref="L38:L39" si="11">J38-K38</f>
        <v>176213.56666666671</v>
      </c>
      <c r="M38" s="452">
        <v>42537.331946666665</v>
      </c>
      <c r="N38" s="533">
        <v>17042.713866666661</v>
      </c>
      <c r="O38" s="515">
        <f>M38-N38</f>
        <v>25494.618080000004</v>
      </c>
      <c r="P38" s="544"/>
      <c r="Q38" s="551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10"/>
        <v>360965.58333333331</v>
      </c>
      <c r="K39" s="458">
        <v>233169.11749999999</v>
      </c>
      <c r="L39" s="458">
        <f t="shared" si="11"/>
        <v>127796.46583333332</v>
      </c>
      <c r="M39" s="452">
        <v>43763.90722666667</v>
      </c>
      <c r="N39" s="533">
        <v>26339.078406666667</v>
      </c>
      <c r="O39" s="515">
        <f>M39-N39</f>
        <v>17424.828820000002</v>
      </c>
      <c r="P39" s="544"/>
      <c r="Q39" s="551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6">
        <v>204488.599132</v>
      </c>
      <c r="O40" s="516">
        <f t="shared" si="13"/>
        <v>133284.88750799996</v>
      </c>
      <c r="P40" s="539"/>
      <c r="Q40" s="529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517"/>
      <c r="O41" s="517"/>
      <c r="P41" s="539"/>
      <c r="Q41" s="556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518"/>
      <c r="O42" s="518"/>
      <c r="P42" s="545"/>
      <c r="Q42" s="550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533">
        <v>180306.80685866671</v>
      </c>
      <c r="O43" s="515">
        <f t="shared" ref="O43:O53" si="14">M43-N43</f>
        <v>90365.440607999917</v>
      </c>
      <c r="P43" s="544"/>
      <c r="Q43" s="551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5">E44+F44+G44+H44+I44</f>
        <v>780675.58333333337</v>
      </c>
      <c r="K44" s="458">
        <v>527553.50249999994</v>
      </c>
      <c r="L44" s="458">
        <f t="shared" ref="L44:L53" si="16">J44-K44</f>
        <v>253122.08083333343</v>
      </c>
      <c r="M44" s="452">
        <v>119022.80170666667</v>
      </c>
      <c r="N44" s="533">
        <v>79956.939146666657</v>
      </c>
      <c r="O44" s="515">
        <f t="shared" si="14"/>
        <v>39065.862560000009</v>
      </c>
      <c r="P44" s="544"/>
      <c r="Q44" s="551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5"/>
        <v>919203.58333333337</v>
      </c>
      <c r="K45" s="458">
        <v>617743.99575</v>
      </c>
      <c r="L45" s="458">
        <f t="shared" si="16"/>
        <v>301459.58758333337</v>
      </c>
      <c r="M45" s="452">
        <v>143799.58762666667</v>
      </c>
      <c r="N45" s="533">
        <v>97273.513850666655</v>
      </c>
      <c r="O45" s="515">
        <f t="shared" si="14"/>
        <v>46526.073776000019</v>
      </c>
      <c r="P45" s="544"/>
      <c r="Q45" s="551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5"/>
        <v>780675.58333333337</v>
      </c>
      <c r="K46" s="458">
        <v>527553.50249999994</v>
      </c>
      <c r="L46" s="458">
        <f t="shared" si="16"/>
        <v>253122.08083333343</v>
      </c>
      <c r="M46" s="452">
        <v>119022.80170666667</v>
      </c>
      <c r="N46" s="533">
        <v>79956.939146666657</v>
      </c>
      <c r="O46" s="515">
        <f t="shared" si="14"/>
        <v>39065.862560000009</v>
      </c>
      <c r="P46" s="544"/>
      <c r="Q46" s="551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5"/>
        <v>780675.58333333337</v>
      </c>
      <c r="K47" s="458">
        <v>527553.50249999994</v>
      </c>
      <c r="L47" s="458">
        <f t="shared" si="16"/>
        <v>253122.08083333343</v>
      </c>
      <c r="M47" s="452">
        <v>118861.96570666666</v>
      </c>
      <c r="N47" s="533">
        <v>79796.103146666646</v>
      </c>
      <c r="O47" s="515">
        <f t="shared" si="14"/>
        <v>39065.862560000009</v>
      </c>
      <c r="P47" s="544"/>
      <c r="Q47" s="551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5"/>
        <v>742118.08333333337</v>
      </c>
      <c r="K48" s="458">
        <v>504720.04700000002</v>
      </c>
      <c r="L48" s="458">
        <f t="shared" si="16"/>
        <v>237398.03633333335</v>
      </c>
      <c r="M48" s="452">
        <v>112212.00490666665</v>
      </c>
      <c r="N48" s="533">
        <v>75572.915690666661</v>
      </c>
      <c r="O48" s="515">
        <f t="shared" si="14"/>
        <v>36639.089215999993</v>
      </c>
      <c r="P48" s="544"/>
      <c r="Q48" s="551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5"/>
        <v>610498</v>
      </c>
      <c r="K49" s="458">
        <v>413333.03525000007</v>
      </c>
      <c r="L49" s="458">
        <f t="shared" si="16"/>
        <v>197164.96474999993</v>
      </c>
      <c r="M49" s="452">
        <v>88655.433386666657</v>
      </c>
      <c r="N49" s="518">
        <v>58026.609434666672</v>
      </c>
      <c r="O49" s="515">
        <f t="shared" si="14"/>
        <v>30628.823951999984</v>
      </c>
      <c r="P49" s="544"/>
      <c r="Q49" s="551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5"/>
        <v>400965.58333333331</v>
      </c>
      <c r="K50" s="458">
        <v>273169.11749999999</v>
      </c>
      <c r="L50" s="458">
        <f t="shared" si="16"/>
        <v>127796.46583333332</v>
      </c>
      <c r="M50" s="452">
        <v>51029.227306666668</v>
      </c>
      <c r="N50" s="533">
        <v>33059.078406666667</v>
      </c>
      <c r="O50" s="515">
        <f t="shared" si="14"/>
        <v>17970.1489</v>
      </c>
      <c r="P50" s="544"/>
      <c r="Q50" s="551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5"/>
        <v>363165.33333333331</v>
      </c>
      <c r="K51" s="458">
        <v>249356.04725</v>
      </c>
      <c r="L51" s="458">
        <f t="shared" si="16"/>
        <v>113809.28608333331</v>
      </c>
      <c r="M51" s="452">
        <v>44641.500586666669</v>
      </c>
      <c r="N51" s="533">
        <v>29058.48260466666</v>
      </c>
      <c r="O51" s="515">
        <f t="shared" si="14"/>
        <v>15583.017982000008</v>
      </c>
      <c r="P51" s="544"/>
      <c r="Q51" s="551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5"/>
        <v>363165.33333333331</v>
      </c>
      <c r="K52" s="458">
        <v>249356.04725</v>
      </c>
      <c r="L52" s="458">
        <f t="shared" si="16"/>
        <v>113809.28608333331</v>
      </c>
      <c r="M52" s="452">
        <v>44641.500586666669</v>
      </c>
      <c r="N52" s="533">
        <v>28360.952862666662</v>
      </c>
      <c r="O52" s="515">
        <f t="shared" si="14"/>
        <v>16280.547724000007</v>
      </c>
      <c r="P52" s="544"/>
      <c r="Q52" s="551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5"/>
        <v>363165.33333333331</v>
      </c>
      <c r="K53" s="458">
        <v>249356.04725</v>
      </c>
      <c r="L53" s="458">
        <f t="shared" si="16"/>
        <v>113809.28608333331</v>
      </c>
      <c r="M53" s="452">
        <v>44641.500586666669</v>
      </c>
      <c r="N53" s="533">
        <v>29058.48260466666</v>
      </c>
      <c r="O53" s="515">
        <f t="shared" si="14"/>
        <v>15583.017982000008</v>
      </c>
      <c r="P53" s="544"/>
      <c r="Q53" s="551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9">
        <v>770426.8237533333</v>
      </c>
      <c r="O54" s="519">
        <f t="shared" si="18"/>
        <v>386773.74781999999</v>
      </c>
      <c r="P54" s="540"/>
      <c r="Q54" s="530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520"/>
      <c r="O55" s="520"/>
      <c r="P55" s="542"/>
      <c r="Q55" s="554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520"/>
      <c r="O56" s="520"/>
      <c r="P56" s="542"/>
      <c r="Q56" s="554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535">
        <v>180306.80685866671</v>
      </c>
      <c r="O57" s="515">
        <f>M57-N57</f>
        <v>90365.440607999917</v>
      </c>
      <c r="P57" s="544"/>
      <c r="Q57" s="551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535">
        <v>64596.939146666664</v>
      </c>
      <c r="O58" s="515">
        <f>M58-N58</f>
        <v>39065.862560000001</v>
      </c>
      <c r="P58" s="544"/>
      <c r="Q58" s="551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9">
        <v>244903.74600533338</v>
      </c>
      <c r="O59" s="519">
        <f t="shared" si="19"/>
        <v>129431.30316799993</v>
      </c>
      <c r="P59" s="540"/>
      <c r="Q59" s="530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520"/>
      <c r="O60" s="520"/>
      <c r="P60" s="542"/>
      <c r="Q60" s="554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520"/>
      <c r="O61" s="520"/>
      <c r="P61" s="542"/>
      <c r="Q61" s="554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533">
        <v>180306.80685866671</v>
      </c>
      <c r="O62" s="515">
        <f t="shared" ref="O62:O71" si="20">M62-N62</f>
        <v>112418.09980799997</v>
      </c>
      <c r="P62" s="544"/>
      <c r="Q62" s="551">
        <f>L62-O62</f>
        <v>473092.83669199987</v>
      </c>
    </row>
    <row r="63" spans="1:17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21">E63+F63+G63+H63+I63</f>
        <v>761396.83333333337</v>
      </c>
      <c r="K63" s="458">
        <v>516137.05000000005</v>
      </c>
      <c r="L63" s="458">
        <f t="shared" ref="L63:L71" si="22">J63-K63</f>
        <v>245259.78333333333</v>
      </c>
      <c r="M63" s="452">
        <v>115617.40330666665</v>
      </c>
      <c r="N63" s="533">
        <v>77764.98026666668</v>
      </c>
      <c r="O63" s="515">
        <f t="shared" si="20"/>
        <v>37852.423039999965</v>
      </c>
      <c r="P63" s="544"/>
      <c r="Q63" s="551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21"/>
        <v>582746.5</v>
      </c>
      <c r="K64" s="458">
        <v>397211.36749999999</v>
      </c>
      <c r="L64" s="458">
        <f t="shared" si="22"/>
        <v>185535.13250000001</v>
      </c>
      <c r="M64" s="452">
        <v>83753.408426666647</v>
      </c>
      <c r="N64" s="533">
        <v>54931.249226666667</v>
      </c>
      <c r="O64" s="515">
        <f t="shared" si="20"/>
        <v>28822.15919999998</v>
      </c>
      <c r="P64" s="544"/>
      <c r="Q64" s="551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8">
        <f t="shared" si="21"/>
        <v>548915.91666666674</v>
      </c>
      <c r="K65" s="458">
        <v>369177.65375</v>
      </c>
      <c r="L65" s="458">
        <f t="shared" si="22"/>
        <v>179738.26291666675</v>
      </c>
      <c r="M65" s="452">
        <v>77470.374186666668</v>
      </c>
      <c r="N65" s="533">
        <v>49548.776186666662</v>
      </c>
      <c r="O65" s="515">
        <f t="shared" si="20"/>
        <v>27921.598000000005</v>
      </c>
      <c r="P65" s="544"/>
      <c r="Q65" s="551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21"/>
        <v>624373.75</v>
      </c>
      <c r="K66" s="458">
        <v>421394.00675000006</v>
      </c>
      <c r="L66" s="458">
        <f t="shared" si="22"/>
        <v>202979.74324999994</v>
      </c>
      <c r="M66" s="452">
        <v>91106.445866666661</v>
      </c>
      <c r="N66" s="518">
        <v>59574.315962666667</v>
      </c>
      <c r="O66" s="515">
        <f t="shared" si="20"/>
        <v>31532.129903999994</v>
      </c>
      <c r="P66" s="544"/>
      <c r="Q66" s="551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21"/>
        <v>475703.83333333331</v>
      </c>
      <c r="K67" s="458">
        <v>322454.07400000002</v>
      </c>
      <c r="L67" s="458">
        <f t="shared" si="22"/>
        <v>153249.75933333329</v>
      </c>
      <c r="M67" s="452">
        <v>64384.591786666664</v>
      </c>
      <c r="N67" s="533">
        <v>41338.951098666665</v>
      </c>
      <c r="O67" s="515">
        <f t="shared" si="20"/>
        <v>23045.640687999999</v>
      </c>
      <c r="P67" s="544"/>
      <c r="Q67" s="551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8">
        <f t="shared" si="21"/>
        <v>475703.83333333331</v>
      </c>
      <c r="K68" s="458">
        <v>322454.07400000002</v>
      </c>
      <c r="L68" s="458">
        <f t="shared" si="22"/>
        <v>153249.75933333329</v>
      </c>
      <c r="M68" s="452">
        <v>64384.591786666664</v>
      </c>
      <c r="N68" s="533">
        <v>41338.951098666665</v>
      </c>
      <c r="O68" s="515">
        <f t="shared" si="20"/>
        <v>23045.640687999999</v>
      </c>
      <c r="P68" s="544"/>
      <c r="Q68" s="551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8">
        <f t="shared" si="21"/>
        <v>475703.83333333331</v>
      </c>
      <c r="K69" s="458">
        <v>322454.07400000002</v>
      </c>
      <c r="L69" s="458">
        <f t="shared" si="22"/>
        <v>153249.75933333329</v>
      </c>
      <c r="M69" s="452">
        <v>64384.591786666664</v>
      </c>
      <c r="N69" s="533">
        <v>41338.951098666665</v>
      </c>
      <c r="O69" s="515">
        <f t="shared" si="20"/>
        <v>23045.640687999999</v>
      </c>
      <c r="P69" s="544"/>
      <c r="Q69" s="551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21"/>
        <v>487895.16666666669</v>
      </c>
      <c r="K70" s="458">
        <v>334536.99849999999</v>
      </c>
      <c r="L70" s="458">
        <f t="shared" si="22"/>
        <v>153358.1681666667</v>
      </c>
      <c r="M70" s="452">
        <v>66538.068906666667</v>
      </c>
      <c r="N70" s="533">
        <v>43368.882414666667</v>
      </c>
      <c r="O70" s="515">
        <f t="shared" si="20"/>
        <v>23169.186492000001</v>
      </c>
      <c r="P70" s="544"/>
      <c r="Q70" s="551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21"/>
        <v>400965.58333333331</v>
      </c>
      <c r="K71" s="458">
        <v>277734.04699999996</v>
      </c>
      <c r="L71" s="458">
        <f t="shared" si="22"/>
        <v>123231.53633333335</v>
      </c>
      <c r="M71" s="452">
        <v>51029.227306666668</v>
      </c>
      <c r="N71" s="533">
        <v>33825.986562666658</v>
      </c>
      <c r="O71" s="515">
        <f t="shared" si="20"/>
        <v>17203.24074400001</v>
      </c>
      <c r="P71" s="544"/>
      <c r="Q71" s="551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9">
        <v>623337.85077466676</v>
      </c>
      <c r="O72" s="519">
        <f t="shared" si="26"/>
        <v>348055.75925199996</v>
      </c>
      <c r="P72" s="540"/>
      <c r="Q72" s="530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520"/>
      <c r="O73" s="520"/>
      <c r="P73" s="542"/>
      <c r="Q73" s="554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520"/>
      <c r="O74" s="520"/>
      <c r="P74" s="542"/>
      <c r="Q74" s="554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533">
        <v>180306.80685866671</v>
      </c>
      <c r="O75" s="515">
        <f t="shared" ref="O75:O81" si="27">M75-N75</f>
        <v>90365.440607999917</v>
      </c>
      <c r="P75" s="544"/>
      <c r="Q75" s="551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8">E76+F76+G76+H76+I76</f>
        <v>761396.83333333337</v>
      </c>
      <c r="K76" s="458">
        <v>516137.05000000005</v>
      </c>
      <c r="L76" s="458">
        <f t="shared" ref="L76:L81" si="29">J76-K76</f>
        <v>245259.78333333333</v>
      </c>
      <c r="M76" s="452">
        <v>124854.85866666667</v>
      </c>
      <c r="N76" s="533">
        <v>77764.98026666668</v>
      </c>
      <c r="O76" s="515">
        <f t="shared" si="27"/>
        <v>47089.878399999987</v>
      </c>
      <c r="P76" s="544"/>
      <c r="Q76" s="551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8"/>
        <v>700675.58333333337</v>
      </c>
      <c r="K77" s="458">
        <v>447553.5025</v>
      </c>
      <c r="L77" s="458">
        <f t="shared" si="29"/>
        <v>253122.08083333337</v>
      </c>
      <c r="M77" s="452">
        <v>113196.37866666664</v>
      </c>
      <c r="N77" s="518">
        <v>64596.939146666664</v>
      </c>
      <c r="O77" s="515">
        <f t="shared" si="27"/>
        <v>48599.439519999978</v>
      </c>
      <c r="P77" s="544"/>
      <c r="Q77" s="551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8"/>
        <v>596622.25</v>
      </c>
      <c r="K78" s="458">
        <v>405272.06374999997</v>
      </c>
      <c r="L78" s="458">
        <f t="shared" si="29"/>
        <v>191350.18625000003</v>
      </c>
      <c r="M78" s="452">
        <v>86076.104186666664</v>
      </c>
      <c r="N78" s="533">
        <v>56350.58618666666</v>
      </c>
      <c r="O78" s="515">
        <f t="shared" si="27"/>
        <v>29725.518000000004</v>
      </c>
      <c r="P78" s="544"/>
      <c r="Q78" s="551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8"/>
        <v>408901.5</v>
      </c>
      <c r="K79" s="458">
        <v>273169.11749999999</v>
      </c>
      <c r="L79" s="458">
        <f t="shared" si="29"/>
        <v>135732.38250000001</v>
      </c>
      <c r="M79" s="452">
        <v>52431.02762666667</v>
      </c>
      <c r="N79" s="533">
        <v>33059.078406666667</v>
      </c>
      <c r="O79" s="515">
        <f t="shared" si="27"/>
        <v>19371.949220000002</v>
      </c>
      <c r="P79" s="544"/>
      <c r="Q79" s="551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8"/>
        <v>363165.33333333331</v>
      </c>
      <c r="K80" s="458">
        <v>249356.04725</v>
      </c>
      <c r="L80" s="458">
        <f t="shared" si="29"/>
        <v>113809.28608333331</v>
      </c>
      <c r="M80" s="452">
        <v>44641.500586666669</v>
      </c>
      <c r="N80" s="533">
        <v>29058.48260466666</v>
      </c>
      <c r="O80" s="515">
        <f t="shared" si="27"/>
        <v>15583.017982000008</v>
      </c>
      <c r="P80" s="544"/>
      <c r="Q80" s="551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8"/>
        <v>324459.75</v>
      </c>
      <c r="K81" s="458">
        <v>223717.28450000001</v>
      </c>
      <c r="L81" s="458">
        <f t="shared" si="29"/>
        <v>100742.46549999999</v>
      </c>
      <c r="M81" s="452">
        <v>38659.165626666669</v>
      </c>
      <c r="N81" s="533">
        <v>24751.170462666665</v>
      </c>
      <c r="O81" s="515">
        <f t="shared" si="27"/>
        <v>13907.995164000004</v>
      </c>
      <c r="P81" s="544"/>
      <c r="Q81" s="551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9">
        <v>465888.04393266671</v>
      </c>
      <c r="O82" s="519">
        <f t="shared" si="31"/>
        <v>264643.23889399995</v>
      </c>
      <c r="P82" s="540"/>
      <c r="Q82" s="530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520"/>
      <c r="O83" s="521"/>
      <c r="P83" s="546"/>
      <c r="Q83" s="549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520"/>
      <c r="O84" s="521"/>
      <c r="P84" s="546"/>
      <c r="Q84" s="549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533">
        <v>99156.939146666671</v>
      </c>
      <c r="O85" s="515">
        <f t="shared" ref="O85:O94" si="32">M85-N85</f>
        <v>39065.862560000009</v>
      </c>
      <c r="P85" s="544"/>
      <c r="Q85" s="551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33">E86+F86+G86+H86+I86</f>
        <v>780675.58333333337</v>
      </c>
      <c r="K86" s="458">
        <v>527553.50249999994</v>
      </c>
      <c r="L86" s="458">
        <f t="shared" ref="L86:L94" si="34">J86-K86</f>
        <v>253122.08083333343</v>
      </c>
      <c r="M86" s="452">
        <v>118861.96570666666</v>
      </c>
      <c r="N86" s="533">
        <v>79796.103146666646</v>
      </c>
      <c r="O86" s="515">
        <f t="shared" si="32"/>
        <v>39065.862560000009</v>
      </c>
      <c r="P86" s="544"/>
      <c r="Q86" s="551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33"/>
        <v>742118.08333333337</v>
      </c>
      <c r="K87" s="458">
        <v>504729.22200000007</v>
      </c>
      <c r="L87" s="458">
        <f t="shared" si="34"/>
        <v>237388.86133333331</v>
      </c>
      <c r="M87" s="452">
        <v>112212.00490666665</v>
      </c>
      <c r="N87" s="518">
        <v>75574.677290666688</v>
      </c>
      <c r="O87" s="515">
        <f t="shared" si="32"/>
        <v>36637.327615999966</v>
      </c>
      <c r="P87" s="544"/>
      <c r="Q87" s="551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33"/>
        <v>561804.91666666674</v>
      </c>
      <c r="K88" s="458">
        <v>376663.07749999996</v>
      </c>
      <c r="L88" s="458">
        <f t="shared" si="34"/>
        <v>185141.83916666679</v>
      </c>
      <c r="M88" s="452">
        <v>79747.087146666672</v>
      </c>
      <c r="N88" s="533">
        <v>50985.977546666662</v>
      </c>
      <c r="O88" s="515">
        <f t="shared" si="32"/>
        <v>28761.109600000011</v>
      </c>
      <c r="P88" s="544"/>
      <c r="Q88" s="551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8">
        <f t="shared" si="33"/>
        <v>548915.91666666674</v>
      </c>
      <c r="K89" s="458">
        <v>369177.65375</v>
      </c>
      <c r="L89" s="458">
        <f t="shared" si="34"/>
        <v>179738.26291666675</v>
      </c>
      <c r="M89" s="452">
        <v>77470.374186666668</v>
      </c>
      <c r="N89" s="533">
        <v>49548.776186666662</v>
      </c>
      <c r="O89" s="515">
        <f t="shared" si="32"/>
        <v>27921.598000000005</v>
      </c>
      <c r="P89" s="544"/>
      <c r="Q89" s="551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33"/>
        <v>568870.75</v>
      </c>
      <c r="K90" s="458">
        <v>389153.05674999999</v>
      </c>
      <c r="L90" s="458">
        <f t="shared" si="34"/>
        <v>179717.69325000001</v>
      </c>
      <c r="M90" s="452">
        <v>81302.395946666657</v>
      </c>
      <c r="N90" s="533">
        <v>53384.053562666668</v>
      </c>
      <c r="O90" s="515">
        <f t="shared" si="32"/>
        <v>27918.342383999989</v>
      </c>
      <c r="P90" s="544"/>
      <c r="Q90" s="551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8">
        <f t="shared" si="33"/>
        <v>475703.83333333331</v>
      </c>
      <c r="K91" s="458">
        <v>322454.07400000002</v>
      </c>
      <c r="L91" s="458">
        <f t="shared" si="34"/>
        <v>153249.75933333329</v>
      </c>
      <c r="M91" s="452">
        <v>64384.591786666657</v>
      </c>
      <c r="N91" s="533">
        <v>41338.951098666665</v>
      </c>
      <c r="O91" s="515">
        <f t="shared" si="32"/>
        <v>23045.640687999992</v>
      </c>
      <c r="P91" s="544"/>
      <c r="Q91" s="551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33"/>
        <v>510248.91666666669</v>
      </c>
      <c r="K92" s="458">
        <v>346713.03325000004</v>
      </c>
      <c r="L92" s="458">
        <f t="shared" si="34"/>
        <v>163535.88341666665</v>
      </c>
      <c r="M92" s="452">
        <v>70529.475354666662</v>
      </c>
      <c r="N92" s="533">
        <v>45317.541294666669</v>
      </c>
      <c r="O92" s="515">
        <f t="shared" si="32"/>
        <v>25211.934059999992</v>
      </c>
      <c r="P92" s="544"/>
      <c r="Q92" s="551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33"/>
        <v>400965.58333333331</v>
      </c>
      <c r="K93" s="458">
        <v>277734.04699999996</v>
      </c>
      <c r="L93" s="458">
        <f t="shared" si="34"/>
        <v>123231.53633333335</v>
      </c>
      <c r="M93" s="452">
        <v>51029.227306666668</v>
      </c>
      <c r="N93" s="533">
        <v>33825.986562666658</v>
      </c>
      <c r="O93" s="515">
        <f t="shared" si="32"/>
        <v>17203.24074400001</v>
      </c>
      <c r="P93" s="544"/>
      <c r="Q93" s="551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8">
        <f t="shared" si="33"/>
        <v>330631.91666666663</v>
      </c>
      <c r="K94" s="458">
        <v>254870.26344499999</v>
      </c>
      <c r="L94" s="458">
        <f t="shared" si="34"/>
        <v>75761.653221666638</v>
      </c>
      <c r="M94" s="452">
        <v>39613.135706666661</v>
      </c>
      <c r="N94" s="533">
        <v>29984.870925426669</v>
      </c>
      <c r="O94" s="515">
        <f t="shared" si="32"/>
        <v>9628.2647812399919</v>
      </c>
      <c r="P94" s="544"/>
      <c r="Q94" s="528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9">
        <v>558913.87676142668</v>
      </c>
      <c r="O95" s="519">
        <f t="shared" si="39"/>
        <v>274459.18299323996</v>
      </c>
      <c r="P95" s="540"/>
      <c r="Q95" s="530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520"/>
      <c r="O96" s="520"/>
      <c r="P96" s="542"/>
      <c r="Q96" s="554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520"/>
      <c r="O97" s="520"/>
      <c r="P97" s="542"/>
      <c r="Q97" s="554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52">
        <v>130407.52761066666</v>
      </c>
      <c r="N98" s="518">
        <v>82423.216202666677</v>
      </c>
      <c r="O98" s="515">
        <f>M98-N98</f>
        <v>47984.31140799998</v>
      </c>
      <c r="P98" s="544"/>
      <c r="Q98" s="551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40">E99+F99+G99+H99+I99</f>
        <v>526622.25</v>
      </c>
      <c r="K99" s="458">
        <v>335272.06374999997</v>
      </c>
      <c r="L99" s="458">
        <f t="shared" ref="L99:L101" si="41">J99-K99</f>
        <v>191350.18625000003</v>
      </c>
      <c r="M99" s="452">
        <v>72764.420906666652</v>
      </c>
      <c r="N99" s="533">
        <v>43492.373376666663</v>
      </c>
      <c r="O99" s="515">
        <f>M99-N99</f>
        <v>29272.047529999989</v>
      </c>
      <c r="P99" s="544"/>
      <c r="Q99" s="551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40"/>
        <v>437895.16666666669</v>
      </c>
      <c r="K100" s="458">
        <v>284536.99849999999</v>
      </c>
      <c r="L100" s="458">
        <f t="shared" si="41"/>
        <v>153358.1681666667</v>
      </c>
      <c r="M100" s="452">
        <v>56938.068906666675</v>
      </c>
      <c r="N100" s="533">
        <v>34968.882414666667</v>
      </c>
      <c r="O100" s="515">
        <f>M100-N100</f>
        <v>21969.186492000008</v>
      </c>
      <c r="P100" s="544"/>
      <c r="Q100" s="551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40"/>
        <v>360965.58333333331</v>
      </c>
      <c r="K101" s="458">
        <v>237734.04699999996</v>
      </c>
      <c r="L101" s="458">
        <f t="shared" si="41"/>
        <v>123231.53633333335</v>
      </c>
      <c r="M101" s="452">
        <v>43763.90722666667</v>
      </c>
      <c r="N101" s="533">
        <v>27105.986562666658</v>
      </c>
      <c r="O101" s="515">
        <f>M101-N101</f>
        <v>16657.920664000012</v>
      </c>
      <c r="P101" s="544"/>
      <c r="Q101" s="551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9">
        <v>187990.45855666668</v>
      </c>
      <c r="O102" s="519">
        <f t="shared" si="43"/>
        <v>115883.46609399997</v>
      </c>
      <c r="P102" s="540"/>
      <c r="Q102" s="530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520"/>
      <c r="O103" s="520"/>
      <c r="P103" s="542"/>
      <c r="Q103" s="554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522"/>
      <c r="O104" s="522"/>
      <c r="P104" s="547"/>
      <c r="Q104" s="555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533">
        <v>180306.80685866671</v>
      </c>
      <c r="O105" s="515">
        <f t="shared" ref="O105:O111" si="44">M105-N105</f>
        <v>90365.440607999917</v>
      </c>
      <c r="P105" s="544"/>
      <c r="Q105" s="551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45">E106+F106+G106+H106+I106</f>
        <v>942373.16666666663</v>
      </c>
      <c r="K106" s="458">
        <v>631465.0247500001</v>
      </c>
      <c r="L106" s="458">
        <f t="shared" ref="L106:L111" si="46">J106-K106</f>
        <v>310908.14191666653</v>
      </c>
      <c r="M106" s="452">
        <v>147687.52761066667</v>
      </c>
      <c r="N106" s="533">
        <v>99703.216202666677</v>
      </c>
      <c r="O106" s="515">
        <f t="shared" si="44"/>
        <v>47984.311407999994</v>
      </c>
      <c r="P106" s="544"/>
      <c r="Q106" s="551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45"/>
        <v>603237.85519166675</v>
      </c>
      <c r="K107" s="458">
        <v>418096.01602499996</v>
      </c>
      <c r="L107" s="458">
        <f t="shared" si="46"/>
        <v>185141.83916666679</v>
      </c>
      <c r="M107" s="452">
        <v>87575.78270346667</v>
      </c>
      <c r="N107" s="518">
        <v>58814.673103466652</v>
      </c>
      <c r="O107" s="515">
        <f t="shared" si="44"/>
        <v>28761.109600000018</v>
      </c>
      <c r="P107" s="544"/>
      <c r="Q107" s="551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45"/>
        <v>601625.03332166676</v>
      </c>
      <c r="K108" s="458">
        <v>416483.19415499998</v>
      </c>
      <c r="L108" s="458">
        <f t="shared" si="46"/>
        <v>185141.83916666679</v>
      </c>
      <c r="M108" s="452">
        <v>87392.549544426671</v>
      </c>
      <c r="N108" s="518">
        <v>58631.439944426667</v>
      </c>
      <c r="O108" s="515">
        <f t="shared" si="44"/>
        <v>28761.109600000003</v>
      </c>
      <c r="P108" s="544"/>
      <c r="Q108" s="551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45"/>
        <v>374481.8641466666</v>
      </c>
      <c r="K109" s="458">
        <v>266099.21747999999</v>
      </c>
      <c r="L109" s="458">
        <f t="shared" si="46"/>
        <v>108382.64666666661</v>
      </c>
      <c r="M109" s="452">
        <v>46740.264902826661</v>
      </c>
      <c r="N109" s="533">
        <v>31871.335203306662</v>
      </c>
      <c r="O109" s="515">
        <f t="shared" si="44"/>
        <v>14868.929699519998</v>
      </c>
      <c r="P109" s="544"/>
      <c r="Q109" s="551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45"/>
        <v>367926.02100000001</v>
      </c>
      <c r="K110" s="458">
        <v>262229.04099999997</v>
      </c>
      <c r="L110" s="458">
        <f t="shared" si="46"/>
        <v>105696.98000000004</v>
      </c>
      <c r="M110" s="452">
        <v>45712.637394666672</v>
      </c>
      <c r="N110" s="533">
        <v>31221.145554666658</v>
      </c>
      <c r="O110" s="515">
        <f t="shared" si="44"/>
        <v>14491.491840000013</v>
      </c>
      <c r="P110" s="544"/>
      <c r="Q110" s="551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8">
        <f t="shared" si="45"/>
        <v>355198.11211166665</v>
      </c>
      <c r="K111" s="458">
        <v>254870.26344499999</v>
      </c>
      <c r="L111" s="458">
        <f t="shared" si="46"/>
        <v>100327.84866666666</v>
      </c>
      <c r="M111" s="452">
        <v>43740.256541426665</v>
      </c>
      <c r="N111" s="533">
        <v>29984.870925426669</v>
      </c>
      <c r="O111" s="515">
        <f t="shared" si="44"/>
        <v>13755.385615999996</v>
      </c>
      <c r="P111" s="544"/>
      <c r="Q111" s="551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23">
        <v>490533.48779262666</v>
      </c>
      <c r="O112" s="523">
        <f t="shared" si="49"/>
        <v>238987.77837151993</v>
      </c>
      <c r="P112" s="541"/>
      <c r="Q112" s="531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524"/>
      <c r="O113" s="524"/>
      <c r="P113" s="541"/>
      <c r="Q113" s="553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520"/>
      <c r="O114" s="520"/>
      <c r="P114" s="542"/>
      <c r="Q114" s="554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518">
        <v>77610.116906666663</v>
      </c>
      <c r="O115" s="515">
        <f>M115-N115</f>
        <v>37852.423040000023</v>
      </c>
      <c r="P115" s="544"/>
      <c r="Q115" s="551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50">E116+F116+G116+H116+I116</f>
        <v>487895.16666666669</v>
      </c>
      <c r="K116" s="458">
        <v>334536.99850000005</v>
      </c>
      <c r="L116" s="458">
        <f t="shared" ref="L116:L117" si="51">J116-K116</f>
        <v>153358.16816666664</v>
      </c>
      <c r="M116" s="452">
        <v>66538.068906666667</v>
      </c>
      <c r="N116" s="533">
        <v>43368.882414666674</v>
      </c>
      <c r="O116" s="515">
        <f>M116-N116</f>
        <v>23169.186491999993</v>
      </c>
      <c r="P116" s="544"/>
      <c r="Q116" s="551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50"/>
        <v>450086.5</v>
      </c>
      <c r="K117" s="458">
        <v>286619.99874999991</v>
      </c>
      <c r="L117" s="458">
        <f t="shared" si="51"/>
        <v>163466.50125000009</v>
      </c>
      <c r="M117" s="452">
        <v>58980.834746666667</v>
      </c>
      <c r="N117" s="533">
        <v>35221.954086666658</v>
      </c>
      <c r="O117" s="515">
        <f>M117-N117</f>
        <v>23758.88066000001</v>
      </c>
      <c r="P117" s="544"/>
      <c r="Q117" s="551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9">
        <v>156200.953408</v>
      </c>
      <c r="O118" s="519">
        <f t="shared" si="53"/>
        <v>84780.490192000027</v>
      </c>
      <c r="P118" s="540"/>
      <c r="Q118" s="530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525"/>
      <c r="O119" s="525"/>
      <c r="P119" s="548"/>
      <c r="Q119" s="552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520"/>
      <c r="O120" s="521"/>
      <c r="P120" s="546"/>
      <c r="Q120" s="549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533">
        <v>179914.45476266672</v>
      </c>
      <c r="O121" s="515">
        <f t="shared" ref="O121:O130" si="54">M121-N121</f>
        <v>90365.440607999975</v>
      </c>
      <c r="P121" s="544"/>
      <c r="Q121" s="551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55">E122+F122+G122+H122+I122</f>
        <v>929203.58333333337</v>
      </c>
      <c r="K122" s="458">
        <v>627743.99575</v>
      </c>
      <c r="L122" s="458">
        <f t="shared" ref="L122:L130" si="56">J122-K122</f>
        <v>301459.58758333337</v>
      </c>
      <c r="M122" s="452">
        <v>145522.03071466667</v>
      </c>
      <c r="N122" s="533">
        <v>98995.956938666684</v>
      </c>
      <c r="O122" s="515">
        <f t="shared" si="54"/>
        <v>46526.07377599999</v>
      </c>
      <c r="P122" s="544"/>
      <c r="Q122" s="551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8">
        <f t="shared" si="55"/>
        <v>830675.58333333337</v>
      </c>
      <c r="K123" s="458">
        <v>577553.50249999994</v>
      </c>
      <c r="L123" s="458">
        <f t="shared" si="56"/>
        <v>253122.08083333343</v>
      </c>
      <c r="M123" s="452">
        <v>128461.96570666666</v>
      </c>
      <c r="N123" s="533">
        <v>89396.103146666646</v>
      </c>
      <c r="O123" s="515">
        <f t="shared" si="54"/>
        <v>39065.862560000009</v>
      </c>
      <c r="P123" s="544"/>
      <c r="Q123" s="551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55"/>
        <v>662118.08333333337</v>
      </c>
      <c r="K124" s="458">
        <v>424729.22200000007</v>
      </c>
      <c r="L124" s="458">
        <f t="shared" si="56"/>
        <v>237388.86133333331</v>
      </c>
      <c r="M124" s="452">
        <v>105793.33866666665</v>
      </c>
      <c r="N124" s="533">
        <v>60214.677290666674</v>
      </c>
      <c r="O124" s="515">
        <f t="shared" si="54"/>
        <v>45578.661375999975</v>
      </c>
      <c r="P124" s="544"/>
      <c r="Q124" s="551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55"/>
        <v>540498</v>
      </c>
      <c r="K125" s="458">
        <v>343333.03525000007</v>
      </c>
      <c r="L125" s="458">
        <f t="shared" si="56"/>
        <v>197164.96474999993</v>
      </c>
      <c r="M125" s="452">
        <v>75215.433386666657</v>
      </c>
      <c r="N125" s="533">
        <v>44846.616588666679</v>
      </c>
      <c r="O125" s="515">
        <f t="shared" si="54"/>
        <v>30368.816797999978</v>
      </c>
      <c r="P125" s="544"/>
      <c r="Q125" s="551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8">
        <f t="shared" si="55"/>
        <v>512746.5</v>
      </c>
      <c r="K126" s="458">
        <v>327211.36749999999</v>
      </c>
      <c r="L126" s="458">
        <f t="shared" si="56"/>
        <v>185535.13250000001</v>
      </c>
      <c r="M126" s="452">
        <v>70189.308746666662</v>
      </c>
      <c r="N126" s="533">
        <v>42029.589186666672</v>
      </c>
      <c r="O126" s="515">
        <f t="shared" si="54"/>
        <v>28159.71955999999</v>
      </c>
      <c r="P126" s="544"/>
      <c r="Q126" s="551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8">
        <f t="shared" si="55"/>
        <v>526622.25</v>
      </c>
      <c r="K127" s="458">
        <v>335272.06374999997</v>
      </c>
      <c r="L127" s="458">
        <f t="shared" si="56"/>
        <v>191350.18625000003</v>
      </c>
      <c r="M127" s="452">
        <v>72636.104186666664</v>
      </c>
      <c r="N127" s="533">
        <v>43380.096246666661</v>
      </c>
      <c r="O127" s="515">
        <f t="shared" si="54"/>
        <v>29256.007940000003</v>
      </c>
      <c r="P127" s="544"/>
      <c r="Q127" s="551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55"/>
        <v>330481.66666666669</v>
      </c>
      <c r="K128" s="458">
        <v>213508.01</v>
      </c>
      <c r="L128" s="458">
        <f t="shared" si="56"/>
        <v>116973.65666666668</v>
      </c>
      <c r="M128" s="452">
        <v>39052.313066666662</v>
      </c>
      <c r="N128" s="533">
        <v>23036.01234666667</v>
      </c>
      <c r="O128" s="515">
        <f t="shared" si="54"/>
        <v>16016.300719999992</v>
      </c>
      <c r="P128" s="544"/>
      <c r="Q128" s="551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55"/>
        <v>274459.75</v>
      </c>
      <c r="K129" s="458">
        <v>176816.09999999998</v>
      </c>
      <c r="L129" s="458">
        <f t="shared" si="56"/>
        <v>97643.650000000023</v>
      </c>
      <c r="M129" s="452">
        <v>30259.165626666669</v>
      </c>
      <c r="N129" s="533">
        <v>17042.713866666661</v>
      </c>
      <c r="O129" s="515">
        <f t="shared" si="54"/>
        <v>13216.451760000007</v>
      </c>
      <c r="P129" s="544"/>
      <c r="Q129" s="551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55"/>
        <v>274459.75</v>
      </c>
      <c r="K130" s="458">
        <v>176816.09999999998</v>
      </c>
      <c r="L130" s="458">
        <f t="shared" si="56"/>
        <v>97643.650000000023</v>
      </c>
      <c r="M130" s="452">
        <v>30259.165626666669</v>
      </c>
      <c r="N130" s="533">
        <v>17042.713866666661</v>
      </c>
      <c r="O130" s="515">
        <f t="shared" si="54"/>
        <v>13216.451760000007</v>
      </c>
      <c r="P130" s="544"/>
      <c r="Q130" s="551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6">
        <v>615898.93424066668</v>
      </c>
      <c r="O131" s="526">
        <f t="shared" si="59"/>
        <v>351769.78685799998</v>
      </c>
      <c r="P131" s="542"/>
      <c r="Q131" s="532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520"/>
      <c r="O132" s="521"/>
      <c r="P132" s="546"/>
      <c r="Q132" s="549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533"/>
      <c r="O133" s="518"/>
      <c r="P133" s="545"/>
      <c r="Q133" s="550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533">
        <v>161106.80685866668</v>
      </c>
      <c r="O134" s="515">
        <f t="shared" ref="O134:O192" si="60">M134-N134</f>
        <v>90365.440607999946</v>
      </c>
      <c r="P134" s="544"/>
      <c r="Q134" s="551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61">E135+F135+G135+H135+I135</f>
        <v>852373.16666666663</v>
      </c>
      <c r="K135" s="458">
        <v>541465.02474999998</v>
      </c>
      <c r="L135" s="458">
        <f t="shared" ref="L135:L192" si="62">J135-K135</f>
        <v>310908.14191666665</v>
      </c>
      <c r="M135" s="452">
        <v>142322.31466666667</v>
      </c>
      <c r="N135" s="518">
        <v>82627.951418666678</v>
      </c>
      <c r="O135" s="515">
        <f t="shared" si="60"/>
        <v>59694.363247999994</v>
      </c>
      <c r="P135" s="544"/>
      <c r="Q135" s="551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61"/>
        <v>902373.16666666663</v>
      </c>
      <c r="K136" s="458">
        <v>591465.02474999998</v>
      </c>
      <c r="L136" s="458">
        <f t="shared" si="62"/>
        <v>310908.14191666665</v>
      </c>
      <c r="M136" s="452">
        <v>140007.52761066667</v>
      </c>
      <c r="N136" s="518">
        <v>92023.216202666677</v>
      </c>
      <c r="O136" s="515">
        <f t="shared" si="60"/>
        <v>47984.311407999994</v>
      </c>
      <c r="P136" s="544"/>
      <c r="Q136" s="551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61"/>
        <v>554373.75</v>
      </c>
      <c r="K137" s="458">
        <v>351394.00675000006</v>
      </c>
      <c r="L137" s="458">
        <f t="shared" si="62"/>
        <v>202979.74324999994</v>
      </c>
      <c r="M137" s="452">
        <v>77529.694778666671</v>
      </c>
      <c r="N137" s="533">
        <v>46081.202598666678</v>
      </c>
      <c r="O137" s="515">
        <f t="shared" si="60"/>
        <v>31448.492179999994</v>
      </c>
      <c r="P137" s="544"/>
      <c r="Q137" s="551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61"/>
        <v>554373.75</v>
      </c>
      <c r="K138" s="458">
        <v>351394.00675000006</v>
      </c>
      <c r="L138" s="458">
        <f t="shared" si="62"/>
        <v>202979.74324999994</v>
      </c>
      <c r="M138" s="452">
        <v>77529.694778666671</v>
      </c>
      <c r="N138" s="533">
        <v>46081.202598666678</v>
      </c>
      <c r="O138" s="515">
        <f t="shared" si="60"/>
        <v>31448.492179999994</v>
      </c>
      <c r="P138" s="544"/>
      <c r="Q138" s="551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61"/>
        <v>554373.75</v>
      </c>
      <c r="K139" s="458">
        <v>351394.00675000006</v>
      </c>
      <c r="L139" s="458">
        <f t="shared" si="62"/>
        <v>202979.74324999994</v>
      </c>
      <c r="M139" s="452">
        <v>77529.694778666671</v>
      </c>
      <c r="N139" s="533">
        <v>46081.202598666678</v>
      </c>
      <c r="O139" s="515">
        <f t="shared" si="60"/>
        <v>31448.492179999994</v>
      </c>
      <c r="P139" s="544"/>
      <c r="Q139" s="551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61"/>
        <v>450086.5</v>
      </c>
      <c r="K140" s="458">
        <v>286619.99875000003</v>
      </c>
      <c r="L140" s="458">
        <f t="shared" si="62"/>
        <v>163466.50124999997</v>
      </c>
      <c r="M140" s="452">
        <v>58980.834746666667</v>
      </c>
      <c r="N140" s="533">
        <v>35221.954086666665</v>
      </c>
      <c r="O140" s="515">
        <f t="shared" si="60"/>
        <v>23758.880660000003</v>
      </c>
      <c r="P140" s="544"/>
      <c r="Q140" s="551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61"/>
        <v>450086.5</v>
      </c>
      <c r="K141" s="458">
        <v>286619.99875000003</v>
      </c>
      <c r="L141" s="458">
        <f t="shared" si="62"/>
        <v>163466.50124999997</v>
      </c>
      <c r="M141" s="452">
        <v>59091.546026666671</v>
      </c>
      <c r="N141" s="533">
        <v>35318.826456666669</v>
      </c>
      <c r="O141" s="515">
        <f t="shared" si="60"/>
        <v>23772.719570000001</v>
      </c>
      <c r="P141" s="544"/>
      <c r="Q141" s="551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61"/>
        <v>450086.5</v>
      </c>
      <c r="K142" s="458">
        <v>286619.99875000003</v>
      </c>
      <c r="L142" s="458">
        <f t="shared" si="62"/>
        <v>163466.50124999997</v>
      </c>
      <c r="M142" s="452">
        <v>59091.546026666671</v>
      </c>
      <c r="N142" s="533">
        <v>35318.826456666669</v>
      </c>
      <c r="O142" s="515">
        <f t="shared" si="60"/>
        <v>23772.719570000001</v>
      </c>
      <c r="P142" s="544"/>
      <c r="Q142" s="551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61"/>
        <v>437895.16666666669</v>
      </c>
      <c r="K143" s="458">
        <v>284536.99849999999</v>
      </c>
      <c r="L143" s="458">
        <f t="shared" si="62"/>
        <v>153358.1681666667</v>
      </c>
      <c r="M143" s="452">
        <v>56938.068906666675</v>
      </c>
      <c r="N143" s="533">
        <v>34968.882414666667</v>
      </c>
      <c r="O143" s="515">
        <f t="shared" si="60"/>
        <v>21969.186492000008</v>
      </c>
      <c r="P143" s="544"/>
      <c r="Q143" s="551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61"/>
        <v>425703.83333333331</v>
      </c>
      <c r="K144" s="458">
        <v>272454.07400000002</v>
      </c>
      <c r="L144" s="458">
        <f t="shared" si="62"/>
        <v>153249.75933333329</v>
      </c>
      <c r="M144" s="452">
        <v>54681.291562666673</v>
      </c>
      <c r="N144" s="533">
        <v>32848.563402666667</v>
      </c>
      <c r="O144" s="515">
        <f t="shared" si="60"/>
        <v>21832.728160000006</v>
      </c>
      <c r="P144" s="544"/>
      <c r="Q144" s="551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61"/>
        <v>450086.5</v>
      </c>
      <c r="K145" s="458">
        <v>286619.99875000003</v>
      </c>
      <c r="L145" s="458">
        <f t="shared" si="62"/>
        <v>163466.50124999997</v>
      </c>
      <c r="M145" s="452">
        <v>58980.834746666667</v>
      </c>
      <c r="N145" s="533">
        <v>35221.954086666665</v>
      </c>
      <c r="O145" s="515">
        <f t="shared" si="60"/>
        <v>23758.880660000003</v>
      </c>
      <c r="P145" s="544"/>
      <c r="Q145" s="551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61"/>
        <v>413512.5</v>
      </c>
      <c r="K146" s="458">
        <v>265372.07499999995</v>
      </c>
      <c r="L146" s="458">
        <f t="shared" si="62"/>
        <v>148140.42500000005</v>
      </c>
      <c r="M146" s="452">
        <v>52631.114666666661</v>
      </c>
      <c r="N146" s="533">
        <v>31749.175266666658</v>
      </c>
      <c r="O146" s="515">
        <f t="shared" si="60"/>
        <v>20881.939400000003</v>
      </c>
      <c r="P146" s="544"/>
      <c r="Q146" s="551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61"/>
        <v>368901.5</v>
      </c>
      <c r="K147" s="458">
        <v>237734.04699999996</v>
      </c>
      <c r="L147" s="458">
        <f t="shared" si="62"/>
        <v>131167.45300000004</v>
      </c>
      <c r="M147" s="452">
        <v>44990.48250666666</v>
      </c>
      <c r="N147" s="533">
        <v>27105.986562666658</v>
      </c>
      <c r="O147" s="515">
        <f t="shared" si="60"/>
        <v>17884.495944000002</v>
      </c>
      <c r="P147" s="544"/>
      <c r="Q147" s="551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61"/>
        <v>376837.41666666669</v>
      </c>
      <c r="K148" s="458">
        <v>242300.07749999996</v>
      </c>
      <c r="L148" s="458">
        <f t="shared" si="62"/>
        <v>134537.33916666673</v>
      </c>
      <c r="M148" s="452">
        <v>46138.184726666659</v>
      </c>
      <c r="N148" s="533">
        <v>27794.206626666662</v>
      </c>
      <c r="O148" s="515">
        <f t="shared" si="60"/>
        <v>18343.978099999997</v>
      </c>
      <c r="P148" s="544"/>
      <c r="Q148" s="551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61"/>
        <v>376837.41666666669</v>
      </c>
      <c r="K149" s="458">
        <v>242300.07749999996</v>
      </c>
      <c r="L149" s="458">
        <f t="shared" si="62"/>
        <v>134537.33916666673</v>
      </c>
      <c r="M149" s="452">
        <v>46217.057786666664</v>
      </c>
      <c r="N149" s="533">
        <v>27873.079686666664</v>
      </c>
      <c r="O149" s="515">
        <f t="shared" si="60"/>
        <v>18343.9781</v>
      </c>
      <c r="P149" s="544"/>
      <c r="Q149" s="551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61"/>
        <v>360965.58333333331</v>
      </c>
      <c r="K150" s="458">
        <v>237734.04699999996</v>
      </c>
      <c r="L150" s="458">
        <f t="shared" si="62"/>
        <v>123231.53633333335</v>
      </c>
      <c r="M150" s="452">
        <v>43763.90722666667</v>
      </c>
      <c r="N150" s="533">
        <v>27105.986562666658</v>
      </c>
      <c r="O150" s="515">
        <f t="shared" si="60"/>
        <v>16657.920664000012</v>
      </c>
      <c r="P150" s="544"/>
      <c r="Q150" s="551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61"/>
        <v>323165.33333333331</v>
      </c>
      <c r="K151" s="458">
        <v>209356.04725</v>
      </c>
      <c r="L151" s="458">
        <f t="shared" si="62"/>
        <v>113809.28608333331</v>
      </c>
      <c r="M151" s="452">
        <v>37921.500586666662</v>
      </c>
      <c r="N151" s="533">
        <v>22338.48260466666</v>
      </c>
      <c r="O151" s="515">
        <f t="shared" si="60"/>
        <v>15583.017982000001</v>
      </c>
      <c r="P151" s="544"/>
      <c r="Q151" s="551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61"/>
        <v>368901.5</v>
      </c>
      <c r="K152" s="458">
        <v>237734.04699999996</v>
      </c>
      <c r="L152" s="458">
        <f t="shared" si="62"/>
        <v>131167.45300000004</v>
      </c>
      <c r="M152" s="452">
        <v>44990.48250666666</v>
      </c>
      <c r="N152" s="533">
        <v>27105.986562666658</v>
      </c>
      <c r="O152" s="515">
        <f t="shared" si="60"/>
        <v>17884.495944000002</v>
      </c>
      <c r="P152" s="544"/>
      <c r="Q152" s="551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61"/>
        <v>330481.66666666669</v>
      </c>
      <c r="K153" s="458">
        <v>213508.01</v>
      </c>
      <c r="L153" s="458">
        <f t="shared" si="62"/>
        <v>116973.65666666668</v>
      </c>
      <c r="M153" s="452">
        <v>39052.313066666662</v>
      </c>
      <c r="N153" s="533">
        <v>23036.01234666667</v>
      </c>
      <c r="O153" s="515">
        <f t="shared" si="60"/>
        <v>16016.300719999992</v>
      </c>
      <c r="P153" s="544"/>
      <c r="Q153" s="551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61"/>
        <v>368901.5</v>
      </c>
      <c r="K154" s="458">
        <v>237734.04699999996</v>
      </c>
      <c r="L154" s="458">
        <f t="shared" si="62"/>
        <v>131167.45300000004</v>
      </c>
      <c r="M154" s="452">
        <v>44913.699618666666</v>
      </c>
      <c r="N154" s="533">
        <v>27029.203674666656</v>
      </c>
      <c r="O154" s="515">
        <f t="shared" si="60"/>
        <v>17884.495944000009</v>
      </c>
      <c r="P154" s="544"/>
      <c r="Q154" s="551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61"/>
        <v>330481.66666666669</v>
      </c>
      <c r="K155" s="458">
        <v>209356.04725</v>
      </c>
      <c r="L155" s="458">
        <f t="shared" si="62"/>
        <v>121125.61941666668</v>
      </c>
      <c r="M155" s="452">
        <v>39052.313066666662</v>
      </c>
      <c r="N155" s="533">
        <v>22338.48260466666</v>
      </c>
      <c r="O155" s="515">
        <f t="shared" si="60"/>
        <v>16713.830462000002</v>
      </c>
      <c r="P155" s="544"/>
      <c r="Q155" s="551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61"/>
        <v>315849</v>
      </c>
      <c r="K156" s="458">
        <v>205204.0845</v>
      </c>
      <c r="L156" s="458">
        <f t="shared" si="62"/>
        <v>110644.9155</v>
      </c>
      <c r="M156" s="452">
        <v>36790.688106666661</v>
      </c>
      <c r="N156" s="533">
        <v>21640.952862666669</v>
      </c>
      <c r="O156" s="515">
        <f t="shared" si="60"/>
        <v>15149.735243999992</v>
      </c>
      <c r="P156" s="544"/>
      <c r="Q156" s="551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61"/>
        <v>274459.75</v>
      </c>
      <c r="K157" s="458">
        <v>176816.09999999998</v>
      </c>
      <c r="L157" s="458">
        <f t="shared" si="62"/>
        <v>97643.650000000023</v>
      </c>
      <c r="M157" s="452">
        <v>30259.165626666669</v>
      </c>
      <c r="N157" s="533">
        <v>17042.713866666661</v>
      </c>
      <c r="O157" s="515">
        <f t="shared" si="60"/>
        <v>13216.451760000007</v>
      </c>
      <c r="P157" s="544"/>
      <c r="Q157" s="551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61"/>
        <v>274459.75</v>
      </c>
      <c r="K158" s="458">
        <v>176816.09999999998</v>
      </c>
      <c r="L158" s="458">
        <f t="shared" si="62"/>
        <v>97643.650000000023</v>
      </c>
      <c r="M158" s="452">
        <v>30259.165626666669</v>
      </c>
      <c r="N158" s="533">
        <v>17042.713866666661</v>
      </c>
      <c r="O158" s="515">
        <f t="shared" si="60"/>
        <v>13216.451760000007</v>
      </c>
      <c r="P158" s="544"/>
      <c r="Q158" s="551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61"/>
        <v>274459.75</v>
      </c>
      <c r="K159" s="458">
        <v>176816.09999999998</v>
      </c>
      <c r="L159" s="458">
        <f t="shared" si="62"/>
        <v>97643.650000000023</v>
      </c>
      <c r="M159" s="452">
        <v>30259.165626666669</v>
      </c>
      <c r="N159" s="533">
        <v>17042.713866666661</v>
      </c>
      <c r="O159" s="515">
        <f t="shared" si="60"/>
        <v>13216.451760000007</v>
      </c>
      <c r="P159" s="544"/>
      <c r="Q159" s="551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61"/>
        <v>280631.91666666663</v>
      </c>
      <c r="K160" s="458">
        <v>180304.068</v>
      </c>
      <c r="L160" s="458">
        <f t="shared" si="62"/>
        <v>100327.84866666663</v>
      </c>
      <c r="M160" s="452">
        <v>31213.135706666657</v>
      </c>
      <c r="N160" s="533">
        <v>17572.88500266667</v>
      </c>
      <c r="O160" s="515">
        <f t="shared" si="60"/>
        <v>13640.250703999987</v>
      </c>
      <c r="P160" s="544"/>
      <c r="Q160" s="551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61"/>
        <v>274459.75</v>
      </c>
      <c r="K161" s="458">
        <v>176816.09999999998</v>
      </c>
      <c r="L161" s="458">
        <f t="shared" si="62"/>
        <v>97643.650000000023</v>
      </c>
      <c r="M161" s="452">
        <v>30259.165626666669</v>
      </c>
      <c r="N161" s="533">
        <v>17042.713866666661</v>
      </c>
      <c r="O161" s="515">
        <f t="shared" si="60"/>
        <v>13216.451760000007</v>
      </c>
      <c r="P161" s="544"/>
      <c r="Q161" s="551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61"/>
        <v>202598.16666666666</v>
      </c>
      <c r="K162" s="458">
        <v>135590.72999999998</v>
      </c>
      <c r="L162" s="458">
        <f t="shared" si="62"/>
        <v>67007.436666666676</v>
      </c>
      <c r="M162" s="452">
        <v>18892.983386666663</v>
      </c>
      <c r="N162" s="518">
        <v>10739.304799999998</v>
      </c>
      <c r="O162" s="515">
        <f t="shared" si="60"/>
        <v>8153.6785866666651</v>
      </c>
      <c r="P162" s="544"/>
      <c r="Q162" s="551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61"/>
        <v>205598.16666666666</v>
      </c>
      <c r="K163" s="458">
        <v>138590.72999999998</v>
      </c>
      <c r="L163" s="458">
        <f t="shared" si="62"/>
        <v>67007.436666666676</v>
      </c>
      <c r="M163" s="452">
        <v>19441.199306666666</v>
      </c>
      <c r="N163" s="518">
        <v>11232.457626666665</v>
      </c>
      <c r="O163" s="515">
        <f t="shared" si="60"/>
        <v>8208.741680000001</v>
      </c>
      <c r="P163" s="544"/>
      <c r="Q163" s="551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61"/>
        <v>202598.16666666666</v>
      </c>
      <c r="K164" s="458">
        <v>135590.72999999998</v>
      </c>
      <c r="L164" s="458">
        <f t="shared" si="62"/>
        <v>67007.436666666676</v>
      </c>
      <c r="M164" s="452">
        <v>18937.199306666666</v>
      </c>
      <c r="N164" s="518">
        <v>10776.457626666665</v>
      </c>
      <c r="O164" s="515">
        <f t="shared" si="60"/>
        <v>8160.741680000001</v>
      </c>
      <c r="P164" s="544"/>
      <c r="Q164" s="551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61"/>
        <v>202598.16666666666</v>
      </c>
      <c r="K165" s="458">
        <v>135590.72999999998</v>
      </c>
      <c r="L165" s="458">
        <f t="shared" si="62"/>
        <v>67007.436666666676</v>
      </c>
      <c r="M165" s="452">
        <v>18892.983386666663</v>
      </c>
      <c r="N165" s="518">
        <v>10739.304799999998</v>
      </c>
      <c r="O165" s="515">
        <f t="shared" si="60"/>
        <v>8153.6785866666651</v>
      </c>
      <c r="P165" s="544"/>
      <c r="Q165" s="551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61"/>
        <v>202598.16666666666</v>
      </c>
      <c r="K166" s="458">
        <v>135590.72999999998</v>
      </c>
      <c r="L166" s="458">
        <f t="shared" si="62"/>
        <v>67007.436666666676</v>
      </c>
      <c r="M166" s="452">
        <v>18937.199306666666</v>
      </c>
      <c r="N166" s="518">
        <v>10776.457626666665</v>
      </c>
      <c r="O166" s="515">
        <f t="shared" si="60"/>
        <v>8160.741680000001</v>
      </c>
      <c r="P166" s="544"/>
      <c r="Q166" s="551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61"/>
        <v>200336.83333333334</v>
      </c>
      <c r="K167" s="458">
        <v>138590.72999999998</v>
      </c>
      <c r="L167" s="458">
        <f t="shared" si="62"/>
        <v>61746.103333333362</v>
      </c>
      <c r="M167" s="452">
        <v>18631.689440000002</v>
      </c>
      <c r="N167" s="518">
        <v>11232.457626666665</v>
      </c>
      <c r="O167" s="515">
        <f t="shared" si="60"/>
        <v>7399.2318133333374</v>
      </c>
      <c r="P167" s="544"/>
      <c r="Q167" s="551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8">
        <f t="shared" si="61"/>
        <v>197336.83333333334</v>
      </c>
      <c r="K168" s="458">
        <v>135590.72999999998</v>
      </c>
      <c r="L168" s="458">
        <f t="shared" si="62"/>
        <v>61746.103333333362</v>
      </c>
      <c r="M168" s="452">
        <v>18175.689440000002</v>
      </c>
      <c r="N168" s="518">
        <v>10776.457626666665</v>
      </c>
      <c r="O168" s="515">
        <f t="shared" si="60"/>
        <v>7399.2318133333374</v>
      </c>
      <c r="P168" s="544"/>
      <c r="Q168" s="551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8">
        <f t="shared" si="61"/>
        <v>200336.83333333334</v>
      </c>
      <c r="K169" s="458">
        <v>138590.72999999998</v>
      </c>
      <c r="L169" s="458">
        <f t="shared" si="62"/>
        <v>61746.103333333362</v>
      </c>
      <c r="M169" s="452">
        <v>18631.689440000002</v>
      </c>
      <c r="N169" s="518">
        <v>11232.457626666665</v>
      </c>
      <c r="O169" s="515">
        <f t="shared" si="60"/>
        <v>7399.2318133333374</v>
      </c>
      <c r="P169" s="544"/>
      <c r="Q169" s="551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8">
        <f t="shared" si="61"/>
        <v>197336.83333333334</v>
      </c>
      <c r="K170" s="458">
        <v>135590.72999999998</v>
      </c>
      <c r="L170" s="458">
        <f t="shared" si="62"/>
        <v>61746.103333333362</v>
      </c>
      <c r="M170" s="452">
        <v>18175.689440000002</v>
      </c>
      <c r="N170" s="518">
        <v>10776.457626666665</v>
      </c>
      <c r="O170" s="515">
        <f t="shared" si="60"/>
        <v>7399.2318133333374</v>
      </c>
      <c r="P170" s="544"/>
      <c r="Q170" s="551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8">
        <f t="shared" si="61"/>
        <v>197336.83333333334</v>
      </c>
      <c r="K171" s="458">
        <v>135590.72999999998</v>
      </c>
      <c r="L171" s="458">
        <f t="shared" si="62"/>
        <v>61746.103333333362</v>
      </c>
      <c r="M171" s="452">
        <v>18175.689440000002</v>
      </c>
      <c r="N171" s="518">
        <v>10776.457626666665</v>
      </c>
      <c r="O171" s="515">
        <f t="shared" si="60"/>
        <v>7399.2318133333374</v>
      </c>
      <c r="P171" s="544"/>
      <c r="Q171" s="551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8">
        <f t="shared" si="61"/>
        <v>200336.83333333334</v>
      </c>
      <c r="K172" s="458">
        <v>138590.72999999998</v>
      </c>
      <c r="L172" s="458">
        <f t="shared" si="62"/>
        <v>61746.103333333362</v>
      </c>
      <c r="M172" s="452">
        <v>18631.689440000002</v>
      </c>
      <c r="N172" s="518">
        <v>11232.457626666665</v>
      </c>
      <c r="O172" s="515">
        <f t="shared" si="60"/>
        <v>7399.2318133333374</v>
      </c>
      <c r="P172" s="544"/>
      <c r="Q172" s="551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61"/>
        <v>189814.16666666666</v>
      </c>
      <c r="K173" s="458">
        <v>122104.99825</v>
      </c>
      <c r="L173" s="458">
        <f t="shared" si="62"/>
        <v>67709.168416666653</v>
      </c>
      <c r="M173" s="452">
        <v>17160.199733333338</v>
      </c>
      <c r="N173" s="518">
        <v>9152.5997900000002</v>
      </c>
      <c r="O173" s="515">
        <f t="shared" si="60"/>
        <v>8007.5999433333382</v>
      </c>
      <c r="P173" s="544"/>
      <c r="Q173" s="551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61"/>
        <v>189814.16666666666</v>
      </c>
      <c r="K174" s="458">
        <v>122104.99825</v>
      </c>
      <c r="L174" s="458">
        <f t="shared" si="62"/>
        <v>67709.168416666653</v>
      </c>
      <c r="M174" s="452">
        <v>17160.199733333338</v>
      </c>
      <c r="N174" s="518">
        <v>9152.5997900000002</v>
      </c>
      <c r="O174" s="515">
        <f t="shared" si="60"/>
        <v>8007.5999433333382</v>
      </c>
      <c r="P174" s="544"/>
      <c r="Q174" s="551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61"/>
        <v>195075.5</v>
      </c>
      <c r="K175" s="458">
        <v>125035.03449999999</v>
      </c>
      <c r="L175" s="458">
        <f t="shared" si="62"/>
        <v>70040.465500000006</v>
      </c>
      <c r="M175" s="452">
        <v>17895.944586666668</v>
      </c>
      <c r="N175" s="518">
        <v>9504.2041399999998</v>
      </c>
      <c r="O175" s="515">
        <f t="shared" si="60"/>
        <v>8391.7404466666685</v>
      </c>
      <c r="P175" s="544"/>
      <c r="Q175" s="551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61"/>
        <v>121145.75</v>
      </c>
      <c r="K176" s="458">
        <v>81803.001000000018</v>
      </c>
      <c r="L176" s="458">
        <f t="shared" si="62"/>
        <v>39342.748999999982</v>
      </c>
      <c r="M176" s="452">
        <v>8133.6907999999994</v>
      </c>
      <c r="N176" s="518">
        <v>4365.3307546666683</v>
      </c>
      <c r="O176" s="515">
        <f t="shared" si="60"/>
        <v>3768.3600453333311</v>
      </c>
      <c r="P176" s="544"/>
      <c r="Q176" s="551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61"/>
        <v>118598</v>
      </c>
      <c r="K177" s="458">
        <v>80237.012000000002</v>
      </c>
      <c r="L177" s="458">
        <f t="shared" si="62"/>
        <v>38360.987999999998</v>
      </c>
      <c r="M177" s="452">
        <v>7852.4191999999994</v>
      </c>
      <c r="N177" s="518">
        <v>4227.5237226666677</v>
      </c>
      <c r="O177" s="515">
        <f t="shared" si="60"/>
        <v>3624.8954773333317</v>
      </c>
      <c r="P177" s="544"/>
      <c r="Q177" s="551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61"/>
        <v>115598</v>
      </c>
      <c r="K178" s="458">
        <v>77237.012000000002</v>
      </c>
      <c r="L178" s="458">
        <f t="shared" si="62"/>
        <v>38360.987999999998</v>
      </c>
      <c r="M178" s="452">
        <v>7492.4192000000012</v>
      </c>
      <c r="N178" s="518">
        <v>3963.5237226666673</v>
      </c>
      <c r="O178" s="515">
        <f t="shared" si="60"/>
        <v>3528.8954773333339</v>
      </c>
      <c r="P178" s="544"/>
      <c r="Q178" s="551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61"/>
        <v>118598</v>
      </c>
      <c r="K179" s="458">
        <v>80237.012000000002</v>
      </c>
      <c r="L179" s="458">
        <f t="shared" si="62"/>
        <v>38360.987999999998</v>
      </c>
      <c r="M179" s="452">
        <v>7852.4191999999994</v>
      </c>
      <c r="N179" s="518">
        <v>4227.5237226666677</v>
      </c>
      <c r="O179" s="515">
        <f t="shared" si="60"/>
        <v>3624.8954773333317</v>
      </c>
      <c r="P179" s="544"/>
      <c r="Q179" s="551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61"/>
        <v>115598</v>
      </c>
      <c r="K180" s="458">
        <v>77237.012000000002</v>
      </c>
      <c r="L180" s="458">
        <f t="shared" si="62"/>
        <v>38360.987999999998</v>
      </c>
      <c r="M180" s="452">
        <v>7492.4192000000012</v>
      </c>
      <c r="N180" s="518">
        <v>3963.5237226666673</v>
      </c>
      <c r="O180" s="515">
        <f t="shared" si="60"/>
        <v>3528.8954773333339</v>
      </c>
      <c r="P180" s="544"/>
      <c r="Q180" s="551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61"/>
        <v>118598</v>
      </c>
      <c r="K181" s="458">
        <v>80237.012000000002</v>
      </c>
      <c r="L181" s="458">
        <f t="shared" si="62"/>
        <v>38360.987999999998</v>
      </c>
      <c r="M181" s="452">
        <v>7852.4191999999994</v>
      </c>
      <c r="N181" s="518">
        <v>4227.5237226666677</v>
      </c>
      <c r="O181" s="515">
        <f t="shared" si="60"/>
        <v>3624.8954773333317</v>
      </c>
      <c r="P181" s="544"/>
      <c r="Q181" s="551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61"/>
        <v>115598</v>
      </c>
      <c r="K182" s="458">
        <v>77237.012000000002</v>
      </c>
      <c r="L182" s="458">
        <f t="shared" si="62"/>
        <v>38360.987999999998</v>
      </c>
      <c r="M182" s="452">
        <v>7492.4192000000012</v>
      </c>
      <c r="N182" s="518">
        <v>3963.5237226666673</v>
      </c>
      <c r="O182" s="515">
        <f t="shared" si="60"/>
        <v>3528.8954773333339</v>
      </c>
      <c r="P182" s="544"/>
      <c r="Q182" s="551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61"/>
        <v>118598</v>
      </c>
      <c r="K183" s="458">
        <v>80237.012000000002</v>
      </c>
      <c r="L183" s="458">
        <f t="shared" si="62"/>
        <v>38360.987999999998</v>
      </c>
      <c r="M183" s="452">
        <v>7852.4191999999994</v>
      </c>
      <c r="N183" s="518">
        <v>4227.5237226666677</v>
      </c>
      <c r="O183" s="515">
        <f t="shared" si="60"/>
        <v>3624.8954773333317</v>
      </c>
      <c r="P183" s="544"/>
      <c r="Q183" s="551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61"/>
        <v>118598</v>
      </c>
      <c r="K184" s="458">
        <v>78671.023000000001</v>
      </c>
      <c r="L184" s="458">
        <f t="shared" si="62"/>
        <v>39926.976999999999</v>
      </c>
      <c r="M184" s="452">
        <v>7852.4191999999994</v>
      </c>
      <c r="N184" s="518">
        <v>4089.716690666668</v>
      </c>
      <c r="O184" s="515">
        <f t="shared" si="60"/>
        <v>3762.7025093333314</v>
      </c>
      <c r="P184" s="544"/>
      <c r="Q184" s="551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61"/>
        <v>118598</v>
      </c>
      <c r="K185" s="458">
        <v>80237.012000000002</v>
      </c>
      <c r="L185" s="458">
        <f t="shared" si="62"/>
        <v>38360.987999999998</v>
      </c>
      <c r="M185" s="452">
        <v>7852.4191999999994</v>
      </c>
      <c r="N185" s="518">
        <v>4227.5237226666677</v>
      </c>
      <c r="O185" s="515">
        <f t="shared" si="60"/>
        <v>3624.8954773333317</v>
      </c>
      <c r="P185" s="544"/>
      <c r="Q185" s="551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61"/>
        <v>116050.25</v>
      </c>
      <c r="K186" s="458">
        <v>78671.023000000016</v>
      </c>
      <c r="L186" s="458">
        <f t="shared" si="62"/>
        <v>37379.226999999984</v>
      </c>
      <c r="M186" s="452">
        <v>7571.1475999999993</v>
      </c>
      <c r="N186" s="518">
        <v>4089.716690666668</v>
      </c>
      <c r="O186" s="515">
        <f t="shared" si="60"/>
        <v>3481.4309093333313</v>
      </c>
      <c r="P186" s="544"/>
      <c r="Q186" s="551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61"/>
        <v>102926.91666666667</v>
      </c>
      <c r="K187" s="458">
        <v>68675.99702499999</v>
      </c>
      <c r="L187" s="458">
        <f t="shared" si="62"/>
        <v>34250.919641666682</v>
      </c>
      <c r="M187" s="452">
        <v>6074.3316000000004</v>
      </c>
      <c r="N187" s="518">
        <v>3210.1544048666656</v>
      </c>
      <c r="O187" s="515">
        <f t="shared" si="60"/>
        <v>2864.1771951333349</v>
      </c>
      <c r="P187" s="544"/>
      <c r="Q187" s="551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61"/>
        <v>95540.75</v>
      </c>
      <c r="K188" s="458">
        <v>62980.07925000001</v>
      </c>
      <c r="L188" s="458">
        <f t="shared" si="62"/>
        <v>32560.67074999999</v>
      </c>
      <c r="M188" s="452">
        <v>5230.0987999999998</v>
      </c>
      <c r="N188" s="518">
        <v>2708.9136406666671</v>
      </c>
      <c r="O188" s="515">
        <f t="shared" si="60"/>
        <v>2521.1851593333326</v>
      </c>
      <c r="P188" s="544"/>
      <c r="Q188" s="551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61"/>
        <v>95540.75</v>
      </c>
      <c r="K189" s="458">
        <v>62980.07925000001</v>
      </c>
      <c r="L189" s="458">
        <f t="shared" si="62"/>
        <v>32560.67074999999</v>
      </c>
      <c r="M189" s="452">
        <v>5230.0987999999998</v>
      </c>
      <c r="N189" s="518">
        <v>2708.9136406666671</v>
      </c>
      <c r="O189" s="515">
        <f t="shared" si="60"/>
        <v>2521.1851593333326</v>
      </c>
      <c r="P189" s="544"/>
      <c r="Q189" s="551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61"/>
        <v>95540.75</v>
      </c>
      <c r="K190" s="458">
        <v>62980.07925000001</v>
      </c>
      <c r="L190" s="458">
        <f t="shared" si="62"/>
        <v>32560.67074999999</v>
      </c>
      <c r="M190" s="452">
        <v>5230.0987999999998</v>
      </c>
      <c r="N190" s="518">
        <v>2708.9136406666671</v>
      </c>
      <c r="O190" s="515">
        <f t="shared" si="60"/>
        <v>2521.1851593333326</v>
      </c>
      <c r="P190" s="544"/>
      <c r="Q190" s="551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61"/>
        <v>108502.5</v>
      </c>
      <c r="K191" s="458">
        <v>72103.749500000005</v>
      </c>
      <c r="L191" s="458">
        <f t="shared" si="62"/>
        <v>36398.750499999995</v>
      </c>
      <c r="M191" s="452">
        <v>6689.8759999999993</v>
      </c>
      <c r="N191" s="518">
        <v>3511.7966226666667</v>
      </c>
      <c r="O191" s="515">
        <f t="shared" si="60"/>
        <v>3178.0793773333326</v>
      </c>
      <c r="P191" s="544"/>
      <c r="Q191" s="551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61"/>
        <v>108502.5</v>
      </c>
      <c r="K192" s="458">
        <v>72103.749500000005</v>
      </c>
      <c r="L192" s="458">
        <f t="shared" si="62"/>
        <v>36398.750499999995</v>
      </c>
      <c r="M192" s="452">
        <v>6689.8759999999993</v>
      </c>
      <c r="N192" s="518">
        <v>3511.7966226666667</v>
      </c>
      <c r="O192" s="515">
        <f t="shared" si="60"/>
        <v>3178.0793773333326</v>
      </c>
      <c r="P192" s="544"/>
      <c r="Q192" s="551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9">
        <v>1265795.4594602012</v>
      </c>
      <c r="O193" s="519">
        <f t="shared" si="65"/>
        <v>855252.41530113295</v>
      </c>
      <c r="P193" s="540"/>
      <c r="Q193" s="530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9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799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667" t="s">
        <v>234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401"/>
    </row>
    <row r="2" spans="1:31" ht="13.5" hidden="1" thickBot="1">
      <c r="A2" s="668" t="s">
        <v>509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401"/>
    </row>
    <row r="3" spans="1:31" ht="13.5" hidden="1" thickBot="1">
      <c r="A3" s="669" t="s">
        <v>758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401"/>
    </row>
    <row r="4" spans="1:31" ht="83.25" customHeight="1">
      <c r="A4" s="402" t="s">
        <v>122</v>
      </c>
      <c r="B4" s="403" t="s">
        <v>487</v>
      </c>
      <c r="C4" s="404" t="s">
        <v>510</v>
      </c>
      <c r="D4" s="403" t="s">
        <v>511</v>
      </c>
      <c r="E4" s="404" t="s">
        <v>512</v>
      </c>
      <c r="F4" s="404" t="s">
        <v>513</v>
      </c>
      <c r="G4" s="404" t="s">
        <v>514</v>
      </c>
      <c r="H4" s="404" t="s">
        <v>515</v>
      </c>
      <c r="I4" s="404" t="s">
        <v>516</v>
      </c>
      <c r="J4" s="404"/>
      <c r="K4" s="404"/>
      <c r="L4" s="404"/>
      <c r="M4" s="404" t="s">
        <v>517</v>
      </c>
      <c r="N4" s="404" t="s">
        <v>518</v>
      </c>
      <c r="O4" s="404" t="s">
        <v>519</v>
      </c>
      <c r="P4" s="404" t="s">
        <v>520</v>
      </c>
      <c r="Q4" s="404" t="s">
        <v>521</v>
      </c>
      <c r="R4" s="404" t="s">
        <v>522</v>
      </c>
      <c r="S4" s="404" t="s">
        <v>523</v>
      </c>
      <c r="T4" s="404" t="s">
        <v>524</v>
      </c>
      <c r="U4" s="404" t="s">
        <v>525</v>
      </c>
      <c r="V4" s="404" t="s">
        <v>526</v>
      </c>
      <c r="W4" s="404"/>
      <c r="X4" s="404" t="s">
        <v>527</v>
      </c>
      <c r="Y4" s="404" t="s">
        <v>528</v>
      </c>
      <c r="Z4" s="404" t="s">
        <v>529</v>
      </c>
      <c r="AA4" s="405"/>
      <c r="AB4" s="405" t="s">
        <v>531</v>
      </c>
    </row>
    <row r="5" spans="1:31" ht="18.75">
      <c r="A5" s="406">
        <v>1</v>
      </c>
      <c r="B5" s="176" t="s">
        <v>433</v>
      </c>
      <c r="C5" s="407"/>
      <c r="D5" s="408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0"/>
      <c r="X5" s="409"/>
      <c r="Y5" s="409"/>
      <c r="Z5" s="409"/>
      <c r="AA5" s="34"/>
      <c r="AB5" s="34"/>
      <c r="AC5" s="34"/>
      <c r="AD5" s="34"/>
      <c r="AE5" s="34"/>
    </row>
    <row r="6" spans="1:31" ht="37.5">
      <c r="A6" s="406">
        <v>3</v>
      </c>
      <c r="B6" s="155" t="s">
        <v>224</v>
      </c>
      <c r="C6" s="424">
        <v>1158849.8399999999</v>
      </c>
      <c r="D6" s="418">
        <v>12</v>
      </c>
      <c r="E6" s="417">
        <f>C6*D6</f>
        <v>13906198.079999998</v>
      </c>
      <c r="F6" s="417"/>
      <c r="G6" s="417"/>
      <c r="H6" s="417"/>
      <c r="I6" s="417">
        <f t="shared" ref="I6:I75" si="0">E6-F6-G6-H6</f>
        <v>13906198.079999998</v>
      </c>
      <c r="J6" s="417">
        <v>200000</v>
      </c>
      <c r="K6" s="417">
        <v>0.2</v>
      </c>
      <c r="L6" s="417">
        <f t="shared" ref="L6:L75" si="1">I6*K6</f>
        <v>2781239.6159999999</v>
      </c>
      <c r="M6" s="417">
        <f t="shared" ref="M6:M75" si="2">J6+L6</f>
        <v>2981239.6159999999</v>
      </c>
      <c r="N6" s="417">
        <f t="shared" ref="N6:N75" si="3">F6+G6+H6+M6</f>
        <v>2981239.6159999999</v>
      </c>
      <c r="O6" s="417">
        <f t="shared" ref="O6:O75" si="4">E6-N6</f>
        <v>10924958.463999998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1853990.0313599994</v>
      </c>
      <c r="V6" s="417">
        <f t="shared" ref="V6:V75" si="11">P6+Q6+R6+S6+T6+U6</f>
        <v>2413990.0313599994</v>
      </c>
      <c r="W6" s="421">
        <v>12</v>
      </c>
      <c r="X6" s="417">
        <f t="shared" ref="X6:X75" si="12">V6/W6</f>
        <v>201165.83594666663</v>
      </c>
      <c r="Y6" s="417"/>
      <c r="Z6" s="417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6">
        <v>4</v>
      </c>
      <c r="B7" s="155" t="s">
        <v>315</v>
      </c>
      <c r="C7" s="424">
        <v>541465.02474999998</v>
      </c>
      <c r="D7" s="418">
        <v>12</v>
      </c>
      <c r="E7" s="417">
        <f t="shared" ref="E7:E32" si="14">C7*D7</f>
        <v>6497580.2970000003</v>
      </c>
      <c r="F7" s="417"/>
      <c r="G7" s="417"/>
      <c r="H7" s="417"/>
      <c r="I7" s="417">
        <f t="shared" si="0"/>
        <v>6497580.2970000003</v>
      </c>
      <c r="J7" s="417">
        <v>200000</v>
      </c>
      <c r="K7" s="417">
        <v>0.2</v>
      </c>
      <c r="L7" s="417">
        <f t="shared" si="1"/>
        <v>1299516.0594000001</v>
      </c>
      <c r="M7" s="417">
        <f t="shared" si="2"/>
        <v>1499516.0594000001</v>
      </c>
      <c r="N7" s="417">
        <f t="shared" si="3"/>
        <v>1499516.0594000001</v>
      </c>
      <c r="O7" s="417">
        <f t="shared" si="4"/>
        <v>4998064.2376000006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431535.41702400014</v>
      </c>
      <c r="V7" s="417">
        <f t="shared" si="11"/>
        <v>991535.41702400008</v>
      </c>
      <c r="W7" s="421">
        <v>12</v>
      </c>
      <c r="X7" s="417">
        <f t="shared" si="12"/>
        <v>82627.951418666678</v>
      </c>
      <c r="Y7" s="417"/>
      <c r="Z7" s="417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6">
        <v>5</v>
      </c>
      <c r="B8" s="157" t="s">
        <v>317</v>
      </c>
      <c r="C8" s="424">
        <v>741465.0247500001</v>
      </c>
      <c r="D8" s="418">
        <v>12</v>
      </c>
      <c r="E8" s="417">
        <f t="shared" si="14"/>
        <v>8897580.2970000021</v>
      </c>
      <c r="F8" s="417"/>
      <c r="G8" s="417"/>
      <c r="H8" s="417"/>
      <c r="I8" s="417">
        <f t="shared" si="0"/>
        <v>8897580.2970000021</v>
      </c>
      <c r="J8" s="417">
        <v>200000</v>
      </c>
      <c r="K8" s="417">
        <v>0.2</v>
      </c>
      <c r="L8" s="417">
        <f t="shared" si="1"/>
        <v>1779516.0594000006</v>
      </c>
      <c r="M8" s="417">
        <f t="shared" si="2"/>
        <v>1979516.0594000006</v>
      </c>
      <c r="N8" s="417">
        <f t="shared" si="3"/>
        <v>1979516.0594000006</v>
      </c>
      <c r="O8" s="417">
        <f t="shared" si="4"/>
        <v>6918064.2376000015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892335.41702400031</v>
      </c>
      <c r="V8" s="417">
        <f t="shared" si="11"/>
        <v>1452335.4170240003</v>
      </c>
      <c r="W8" s="421">
        <v>12</v>
      </c>
      <c r="X8" s="417">
        <f t="shared" si="12"/>
        <v>121027.95141866669</v>
      </c>
      <c r="Y8" s="417"/>
      <c r="Z8" s="417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6">
        <v>6</v>
      </c>
      <c r="B9" s="155" t="s">
        <v>187</v>
      </c>
      <c r="C9" s="424">
        <v>631465.0247500001</v>
      </c>
      <c r="D9" s="418">
        <v>12</v>
      </c>
      <c r="E9" s="417">
        <f t="shared" si="14"/>
        <v>7577580.2970000012</v>
      </c>
      <c r="F9" s="417">
        <f>'[5]JANUARY 2024'!$V$10*12</f>
        <v>12795.951000000001</v>
      </c>
      <c r="G9" s="417"/>
      <c r="H9" s="417"/>
      <c r="I9" s="417">
        <f>E9-F9-G9-H9</f>
        <v>7564784.3460000008</v>
      </c>
      <c r="J9" s="417">
        <v>200000</v>
      </c>
      <c r="K9" s="417">
        <v>0.2</v>
      </c>
      <c r="L9" s="417">
        <f>I9*K9</f>
        <v>1512956.8692000003</v>
      </c>
      <c r="M9" s="417">
        <f>J9+L9</f>
        <v>1712956.8692000003</v>
      </c>
      <c r="N9" s="417">
        <f>F9+G9+H9+M9</f>
        <v>1725752.8202000004</v>
      </c>
      <c r="O9" s="417">
        <f>E9-N9</f>
        <v>5851827.4768000003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636438.59443200007</v>
      </c>
      <c r="V9" s="417">
        <f>P9+Q9+R9+S9+T9+U9</f>
        <v>1196438.5944320001</v>
      </c>
      <c r="W9" s="421">
        <v>12</v>
      </c>
      <c r="X9" s="417">
        <f>V9/W9</f>
        <v>99703.216202666677</v>
      </c>
      <c r="Y9" s="417"/>
      <c r="Z9" s="417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6">
        <v>7</v>
      </c>
      <c r="B10" s="157" t="s">
        <v>203</v>
      </c>
      <c r="C10" s="424">
        <v>691465.0247500001</v>
      </c>
      <c r="D10" s="418">
        <v>12</v>
      </c>
      <c r="E10" s="417">
        <f t="shared" si="14"/>
        <v>8297580.2970000012</v>
      </c>
      <c r="F10" s="417">
        <f>'[5]JANUARY 2024'!$V$10*12</f>
        <v>12795.951000000001</v>
      </c>
      <c r="G10" s="417"/>
      <c r="H10" s="417"/>
      <c r="I10" s="417">
        <f t="shared" si="0"/>
        <v>8284784.3460000008</v>
      </c>
      <c r="J10" s="417">
        <v>200000</v>
      </c>
      <c r="K10" s="417">
        <v>0.2</v>
      </c>
      <c r="L10" s="417">
        <f t="shared" si="1"/>
        <v>1656956.8692000003</v>
      </c>
      <c r="M10" s="417">
        <f t="shared" si="2"/>
        <v>1856956.8692000003</v>
      </c>
      <c r="N10" s="417">
        <f t="shared" si="3"/>
        <v>1869752.8202000004</v>
      </c>
      <c r="O10" s="417">
        <f t="shared" si="4"/>
        <v>6427827.4768000003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774678.59443200007</v>
      </c>
      <c r="V10" s="417">
        <f t="shared" si="11"/>
        <v>1334678.5944320001</v>
      </c>
      <c r="W10" s="421">
        <v>12</v>
      </c>
      <c r="X10" s="417">
        <f t="shared" si="12"/>
        <v>111223.21620266668</v>
      </c>
      <c r="Y10" s="417"/>
      <c r="Z10" s="417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6">
        <v>8</v>
      </c>
      <c r="B11" s="156" t="s">
        <v>364</v>
      </c>
      <c r="C11" s="424">
        <v>641465.02474999998</v>
      </c>
      <c r="D11" s="418">
        <v>12</v>
      </c>
      <c r="E11" s="417">
        <f t="shared" si="14"/>
        <v>7697580.2970000003</v>
      </c>
      <c r="F11" s="417"/>
      <c r="G11" s="417"/>
      <c r="H11" s="417"/>
      <c r="I11" s="417">
        <f t="shared" si="0"/>
        <v>7697580.2970000003</v>
      </c>
      <c r="J11" s="417">
        <v>200000</v>
      </c>
      <c r="K11" s="417">
        <v>0.2</v>
      </c>
      <c r="L11" s="417">
        <f t="shared" si="1"/>
        <v>1539516.0594000001</v>
      </c>
      <c r="M11" s="417">
        <f t="shared" si="2"/>
        <v>1739516.0594000001</v>
      </c>
      <c r="N11" s="417">
        <f t="shared" si="3"/>
        <v>1739516.0594000001</v>
      </c>
      <c r="O11" s="417">
        <f t="shared" si="4"/>
        <v>5958064.2376000006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661935.41702400008</v>
      </c>
      <c r="V11" s="417">
        <f t="shared" si="11"/>
        <v>1221935.4170240001</v>
      </c>
      <c r="W11" s="421">
        <v>12</v>
      </c>
      <c r="X11" s="417">
        <f t="shared" si="12"/>
        <v>101827.95141866668</v>
      </c>
      <c r="Y11" s="417"/>
      <c r="Z11" s="417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6">
        <v>9</v>
      </c>
      <c r="B12" s="155" t="s">
        <v>111</v>
      </c>
      <c r="C12" s="424">
        <v>497553.5025</v>
      </c>
      <c r="D12" s="418">
        <v>12</v>
      </c>
      <c r="E12" s="417">
        <f t="shared" si="14"/>
        <v>5970642.0300000003</v>
      </c>
      <c r="F12" s="417">
        <f>'[5]JANUARY 2024'!$V$13*12</f>
        <v>10052.25</v>
      </c>
      <c r="G12" s="417"/>
      <c r="H12" s="417"/>
      <c r="I12" s="417">
        <f t="shared" si="0"/>
        <v>5960589.7800000003</v>
      </c>
      <c r="J12" s="417">
        <v>200000</v>
      </c>
      <c r="K12" s="417">
        <v>0.2</v>
      </c>
      <c r="L12" s="417">
        <f t="shared" si="1"/>
        <v>1192117.956</v>
      </c>
      <c r="M12" s="417">
        <f t="shared" si="2"/>
        <v>1392117.956</v>
      </c>
      <c r="N12" s="417">
        <f t="shared" si="3"/>
        <v>1402170.206</v>
      </c>
      <c r="O12" s="417">
        <f t="shared" si="4"/>
        <v>4568471.824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328433.23775999999</v>
      </c>
      <c r="V12" s="417">
        <f t="shared" si="11"/>
        <v>888433.23775999993</v>
      </c>
      <c r="W12" s="421">
        <v>12</v>
      </c>
      <c r="X12" s="417">
        <f t="shared" si="12"/>
        <v>74036.103146666661</v>
      </c>
      <c r="Y12" s="417"/>
      <c r="Z12" s="417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6">
        <v>10</v>
      </c>
      <c r="B13" s="155" t="s">
        <v>185</v>
      </c>
      <c r="C13" s="424">
        <v>604729.22200000007</v>
      </c>
      <c r="D13" s="418">
        <v>12</v>
      </c>
      <c r="E13" s="417">
        <f t="shared" si="14"/>
        <v>7256750.6640000008</v>
      </c>
      <c r="F13" s="417">
        <f>'[5]JANUARY 2024'!$V$14*12</f>
        <v>9305.9520000000011</v>
      </c>
      <c r="G13" s="417"/>
      <c r="H13" s="417"/>
      <c r="I13" s="417">
        <f t="shared" si="0"/>
        <v>7247444.7120000012</v>
      </c>
      <c r="J13" s="417">
        <v>200000</v>
      </c>
      <c r="K13" s="417">
        <v>0.2</v>
      </c>
      <c r="L13" s="417">
        <f t="shared" si="1"/>
        <v>1449488.9424000003</v>
      </c>
      <c r="M13" s="417">
        <f t="shared" si="2"/>
        <v>1649488.9424000003</v>
      </c>
      <c r="N13" s="417">
        <f t="shared" si="3"/>
        <v>1658794.8944000003</v>
      </c>
      <c r="O13" s="417">
        <f t="shared" si="4"/>
        <v>5597955.7696000002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575509.38470400008</v>
      </c>
      <c r="V13" s="417">
        <f t="shared" si="11"/>
        <v>1135509.3847040001</v>
      </c>
      <c r="W13" s="421">
        <v>12</v>
      </c>
      <c r="X13" s="417">
        <f t="shared" si="12"/>
        <v>94625.782058666678</v>
      </c>
      <c r="Y13" s="417"/>
      <c r="Z13" s="417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6">
        <v>11</v>
      </c>
      <c r="B14" s="155" t="s">
        <v>18</v>
      </c>
      <c r="C14" s="424">
        <v>343333.03524999996</v>
      </c>
      <c r="D14" s="418">
        <v>12</v>
      </c>
      <c r="E14" s="417">
        <f t="shared" si="14"/>
        <v>4119996.4229999995</v>
      </c>
      <c r="F14" s="417"/>
      <c r="G14" s="417"/>
      <c r="H14" s="417"/>
      <c r="I14" s="417">
        <f t="shared" si="0"/>
        <v>4119996.4229999995</v>
      </c>
      <c r="J14" s="417">
        <v>200000</v>
      </c>
      <c r="K14" s="417">
        <v>0.2</v>
      </c>
      <c r="L14" s="417">
        <f t="shared" si="1"/>
        <v>823999.2845999999</v>
      </c>
      <c r="M14" s="417">
        <f t="shared" si="2"/>
        <v>1023999.2845999999</v>
      </c>
      <c r="N14" s="417">
        <f t="shared" si="3"/>
        <v>1023999.2845999999</v>
      </c>
      <c r="O14" s="417">
        <f t="shared" si="4"/>
        <v>3095997.1383999996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314159.39906399988</v>
      </c>
      <c r="U14" s="417"/>
      <c r="V14" s="417">
        <f t="shared" si="11"/>
        <v>538159.39906399988</v>
      </c>
      <c r="W14" s="421">
        <v>12</v>
      </c>
      <c r="X14" s="417">
        <f t="shared" si="12"/>
        <v>44846.616588666657</v>
      </c>
      <c r="Y14" s="417"/>
      <c r="Z14" s="417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6">
        <v>12</v>
      </c>
      <c r="B15" s="157" t="s">
        <v>534</v>
      </c>
      <c r="C15" s="424">
        <v>463333.03525000007</v>
      </c>
      <c r="D15" s="418">
        <v>12</v>
      </c>
      <c r="E15" s="417">
        <f t="shared" si="14"/>
        <v>5559996.4230000004</v>
      </c>
      <c r="F15" s="417"/>
      <c r="G15" s="417"/>
      <c r="H15" s="417"/>
      <c r="I15" s="417">
        <f t="shared" si="0"/>
        <v>5559996.4230000004</v>
      </c>
      <c r="J15" s="417">
        <v>200000</v>
      </c>
      <c r="K15" s="417">
        <v>0.2</v>
      </c>
      <c r="L15" s="417">
        <f t="shared" si="1"/>
        <v>1111999.2846000001</v>
      </c>
      <c r="M15" s="417">
        <f t="shared" si="2"/>
        <v>1311999.2846000001</v>
      </c>
      <c r="N15" s="417">
        <f t="shared" si="3"/>
        <v>1311999.2846000001</v>
      </c>
      <c r="O15" s="417">
        <f t="shared" si="4"/>
        <v>4247997.1384000005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251519.31321600013</v>
      </c>
      <c r="V15" s="417">
        <f t="shared" si="11"/>
        <v>811519.3132160001</v>
      </c>
      <c r="W15" s="421">
        <v>12</v>
      </c>
      <c r="X15" s="417">
        <f t="shared" si="12"/>
        <v>67626.60943466668</v>
      </c>
      <c r="Y15" s="417"/>
      <c r="Z15" s="438">
        <f t="shared" si="13"/>
        <v>67626.60943466668</v>
      </c>
      <c r="AA15" s="439">
        <v>46666.666666666664</v>
      </c>
      <c r="AB15" s="439">
        <f t="shared" si="15"/>
        <v>20959.942768000015</v>
      </c>
      <c r="AC15" s="34"/>
      <c r="AD15" s="34"/>
      <c r="AE15" s="34"/>
    </row>
    <row r="16" spans="1:31" ht="18.75">
      <c r="A16" s="406">
        <v>13</v>
      </c>
      <c r="B16" s="155" t="s">
        <v>184</v>
      </c>
      <c r="C16" s="424">
        <v>547211.36749999993</v>
      </c>
      <c r="D16" s="418">
        <v>12</v>
      </c>
      <c r="E16" s="417">
        <f t="shared" si="14"/>
        <v>6566536.4099999992</v>
      </c>
      <c r="F16" s="417"/>
      <c r="G16" s="417"/>
      <c r="H16" s="417"/>
      <c r="I16" s="417">
        <f t="shared" si="0"/>
        <v>6566536.4099999992</v>
      </c>
      <c r="J16" s="417">
        <v>200000</v>
      </c>
      <c r="K16" s="417">
        <v>0.2</v>
      </c>
      <c r="L16" s="417">
        <f t="shared" si="1"/>
        <v>1313307.2819999999</v>
      </c>
      <c r="M16" s="417">
        <f t="shared" si="2"/>
        <v>1513307.2819999999</v>
      </c>
      <c r="N16" s="417">
        <f t="shared" si="3"/>
        <v>1513307.2819999999</v>
      </c>
      <c r="O16" s="417">
        <f t="shared" si="4"/>
        <v>5053229.1279999996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444774.99071999989</v>
      </c>
      <c r="V16" s="417">
        <f t="shared" si="11"/>
        <v>1004774.9907199999</v>
      </c>
      <c r="W16" s="421">
        <v>12</v>
      </c>
      <c r="X16" s="417">
        <f t="shared" si="12"/>
        <v>83731.249226666652</v>
      </c>
      <c r="Y16" s="417"/>
      <c r="Z16" s="438">
        <f t="shared" si="13"/>
        <v>83731.249226666652</v>
      </c>
      <c r="AA16" s="439">
        <v>46666.666666666664</v>
      </c>
      <c r="AB16" s="439">
        <f t="shared" si="15"/>
        <v>37064.582559999988</v>
      </c>
      <c r="AC16" s="34"/>
      <c r="AD16" s="34"/>
      <c r="AE16" s="34"/>
    </row>
    <row r="17" spans="1:31" ht="18.75">
      <c r="A17" s="406">
        <v>14</v>
      </c>
      <c r="B17" s="155" t="s">
        <v>724</v>
      </c>
      <c r="C17" s="424">
        <v>326663.07749999996</v>
      </c>
      <c r="D17" s="418">
        <v>12</v>
      </c>
      <c r="E17" s="417">
        <f t="shared" si="14"/>
        <v>3919956.9299999997</v>
      </c>
      <c r="F17" s="417"/>
      <c r="G17" s="417"/>
      <c r="H17" s="417"/>
      <c r="I17" s="417">
        <f t="shared" si="0"/>
        <v>3919956.9299999997</v>
      </c>
      <c r="J17" s="417">
        <v>200000</v>
      </c>
      <c r="K17" s="417">
        <v>0.2</v>
      </c>
      <c r="L17" s="417">
        <f t="shared" si="1"/>
        <v>783991.38599999994</v>
      </c>
      <c r="M17" s="417">
        <f t="shared" si="2"/>
        <v>983991.38599999994</v>
      </c>
      <c r="N17" s="417">
        <f t="shared" si="3"/>
        <v>983991.38599999994</v>
      </c>
      <c r="O17" s="417">
        <f t="shared" si="4"/>
        <v>2935965.5439999998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280552.76423999993</v>
      </c>
      <c r="U17" s="417"/>
      <c r="V17" s="417">
        <f t="shared" si="11"/>
        <v>504552.76423999993</v>
      </c>
      <c r="W17" s="421">
        <v>12</v>
      </c>
      <c r="X17" s="417">
        <f t="shared" si="12"/>
        <v>42046.063686666661</v>
      </c>
      <c r="Y17" s="417"/>
      <c r="Z17" s="417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6">
        <v>15</v>
      </c>
      <c r="B18" s="155" t="s">
        <v>334</v>
      </c>
      <c r="C18" s="424">
        <v>369177.65375</v>
      </c>
      <c r="D18" s="418">
        <v>12</v>
      </c>
      <c r="E18" s="417">
        <f t="shared" si="14"/>
        <v>4430131.8449999997</v>
      </c>
      <c r="F18" s="417"/>
      <c r="G18" s="417"/>
      <c r="H18" s="417"/>
      <c r="I18" s="417">
        <f t="shared" si="0"/>
        <v>4430131.8449999997</v>
      </c>
      <c r="J18" s="417">
        <v>200000</v>
      </c>
      <c r="K18" s="417">
        <v>0.2</v>
      </c>
      <c r="L18" s="417">
        <f t="shared" si="1"/>
        <v>886026.36899999995</v>
      </c>
      <c r="M18" s="417">
        <f t="shared" si="2"/>
        <v>1086026.3689999999</v>
      </c>
      <c r="N18" s="417">
        <f t="shared" si="3"/>
        <v>1086026.3689999999</v>
      </c>
      <c r="O18" s="417">
        <f t="shared" si="4"/>
        <v>3344105.4759999998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34585.314239999949</v>
      </c>
      <c r="V18" s="417">
        <f t="shared" si="11"/>
        <v>594585.31423999998</v>
      </c>
      <c r="W18" s="421">
        <v>12</v>
      </c>
      <c r="X18" s="417">
        <f t="shared" si="12"/>
        <v>49548.776186666662</v>
      </c>
      <c r="Y18" s="417"/>
      <c r="Z18" s="438">
        <f t="shared" si="13"/>
        <v>49548.776186666662</v>
      </c>
      <c r="AA18" s="439">
        <v>46666.666666666664</v>
      </c>
      <c r="AB18" s="439">
        <f t="shared" si="15"/>
        <v>2882.1095199999982</v>
      </c>
      <c r="AC18" s="34"/>
      <c r="AD18" s="34"/>
      <c r="AE18" s="34"/>
    </row>
    <row r="19" spans="1:31" ht="18.75">
      <c r="A19" s="406">
        <v>16</v>
      </c>
      <c r="B19" s="156" t="s">
        <v>291</v>
      </c>
      <c r="C19" s="424">
        <v>462001.06050000002</v>
      </c>
      <c r="D19" s="418">
        <v>12</v>
      </c>
      <c r="E19" s="417">
        <f t="shared" si="14"/>
        <v>5544012.7259999998</v>
      </c>
      <c r="F19" s="417"/>
      <c r="G19" s="417"/>
      <c r="H19" s="417"/>
      <c r="I19" s="417">
        <f>E19-F19-G19-H19</f>
        <v>5544012.7259999998</v>
      </c>
      <c r="J19" s="417">
        <v>200000</v>
      </c>
      <c r="K19" s="417">
        <v>0.2</v>
      </c>
      <c r="L19" s="417">
        <f>I19*K19</f>
        <v>1108802.5452000001</v>
      </c>
      <c r="M19" s="417">
        <f>J19+L19</f>
        <v>1308802.5452000001</v>
      </c>
      <c r="N19" s="417">
        <f>F19+G19+H19+M19</f>
        <v>1308802.5452000001</v>
      </c>
      <c r="O19" s="417">
        <f>E19-N19</f>
        <v>4235210.1808000002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248450.44339200004</v>
      </c>
      <c r="V19" s="417">
        <f>P19+Q19+R19+S19+T19+U19</f>
        <v>808450.44339200004</v>
      </c>
      <c r="W19" s="421">
        <v>12</v>
      </c>
      <c r="X19" s="417">
        <f>V19/W19</f>
        <v>67370.87028266667</v>
      </c>
      <c r="Y19" s="417"/>
      <c r="Z19" s="438">
        <f>X19</f>
        <v>67370.87028266667</v>
      </c>
      <c r="AA19" s="439">
        <v>46666.666666666664</v>
      </c>
      <c r="AB19" s="439">
        <f t="shared" si="15"/>
        <v>20704.203616000006</v>
      </c>
      <c r="AC19" s="34"/>
      <c r="AD19" s="34"/>
      <c r="AE19" s="34"/>
    </row>
    <row r="20" spans="1:31" ht="18.75">
      <c r="A20" s="406">
        <v>17</v>
      </c>
      <c r="B20" s="155" t="s">
        <v>253</v>
      </c>
      <c r="C20" s="424">
        <v>384536.99849999993</v>
      </c>
      <c r="D20" s="418">
        <v>12</v>
      </c>
      <c r="E20" s="417">
        <f t="shared" si="14"/>
        <v>4614443.9819999989</v>
      </c>
      <c r="F20" s="417"/>
      <c r="G20" s="417"/>
      <c r="H20" s="417"/>
      <c r="I20" s="417">
        <f t="shared" si="0"/>
        <v>4614443.9819999989</v>
      </c>
      <c r="J20" s="417">
        <v>200000</v>
      </c>
      <c r="K20" s="417">
        <v>0.2</v>
      </c>
      <c r="L20" s="417">
        <f t="shared" si="1"/>
        <v>922888.79639999988</v>
      </c>
      <c r="M20" s="417">
        <f t="shared" si="2"/>
        <v>1122888.7963999999</v>
      </c>
      <c r="N20" s="417">
        <f t="shared" si="3"/>
        <v>1122888.7963999999</v>
      </c>
      <c r="O20" s="417">
        <f t="shared" si="4"/>
        <v>3491555.185599999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69973.244543999768</v>
      </c>
      <c r="V20" s="417">
        <f t="shared" si="11"/>
        <v>629973.24454399978</v>
      </c>
      <c r="W20" s="421">
        <v>12</v>
      </c>
      <c r="X20" s="417">
        <f t="shared" si="12"/>
        <v>52497.770378666646</v>
      </c>
      <c r="Y20" s="417"/>
      <c r="Z20" s="417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6">
        <v>18</v>
      </c>
      <c r="B21" s="157" t="s">
        <v>321</v>
      </c>
      <c r="C21" s="424">
        <v>400372.07500000001</v>
      </c>
      <c r="D21" s="418">
        <v>12</v>
      </c>
      <c r="E21" s="417">
        <f t="shared" si="14"/>
        <v>4804464.9000000004</v>
      </c>
      <c r="F21" s="417"/>
      <c r="G21" s="417"/>
      <c r="H21" s="417"/>
      <c r="I21" s="417">
        <f>E21-F21-G21-H21</f>
        <v>4804464.9000000004</v>
      </c>
      <c r="J21" s="417">
        <v>200000</v>
      </c>
      <c r="K21" s="417">
        <v>0.2</v>
      </c>
      <c r="L21" s="417">
        <f>I21*K21</f>
        <v>960892.9800000001</v>
      </c>
      <c r="M21" s="417">
        <f>J21+L21</f>
        <v>1160892.98</v>
      </c>
      <c r="N21" s="417">
        <f>F21+G21+H21+M21</f>
        <v>1160892.98</v>
      </c>
      <c r="O21" s="417">
        <f>E21-N21</f>
        <v>3643571.9200000004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106457.26080000009</v>
      </c>
      <c r="V21" s="417">
        <f>P21+Q21+R21+S21+T21+U21</f>
        <v>666457.26080000005</v>
      </c>
      <c r="W21" s="421">
        <v>12</v>
      </c>
      <c r="X21" s="417">
        <f>V21/W21</f>
        <v>55538.105066666671</v>
      </c>
      <c r="Y21" s="417"/>
      <c r="Z21" s="438">
        <f>X21</f>
        <v>55538.105066666671</v>
      </c>
      <c r="AA21" s="439">
        <v>46666.666666666664</v>
      </c>
      <c r="AB21" s="439">
        <f t="shared" si="15"/>
        <v>8871.4384000000064</v>
      </c>
      <c r="AC21" s="34"/>
      <c r="AD21" s="34"/>
      <c r="AE21" s="34"/>
    </row>
    <row r="22" spans="1:31" ht="18.75">
      <c r="A22" s="406">
        <v>19</v>
      </c>
      <c r="B22" s="155" t="s">
        <v>755</v>
      </c>
      <c r="C22" s="424">
        <f>1015372.075-700000</f>
        <v>315372.07499999995</v>
      </c>
      <c r="D22" s="418">
        <v>12</v>
      </c>
      <c r="E22" s="417">
        <f t="shared" si="14"/>
        <v>3784464.8999999994</v>
      </c>
      <c r="F22" s="417"/>
      <c r="G22" s="417"/>
      <c r="H22" s="417"/>
      <c r="I22" s="417">
        <f>E22-F22-G22-H22</f>
        <v>3784464.8999999994</v>
      </c>
      <c r="J22" s="417">
        <v>200000</v>
      </c>
      <c r="K22" s="417">
        <v>0.2</v>
      </c>
      <c r="L22" s="417">
        <f>I22*K22</f>
        <v>756892.98</v>
      </c>
      <c r="M22" s="417">
        <f>J22+L22</f>
        <v>956892.98</v>
      </c>
      <c r="N22" s="417">
        <f>F22+G22+H22+M22</f>
        <v>956892.98</v>
      </c>
      <c r="O22" s="417">
        <f>E22-N22</f>
        <v>2827571.9199999995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257790.10319999987</v>
      </c>
      <c r="U22" s="417"/>
      <c r="V22" s="417">
        <f>P22+Q22+R22+S22+T22+U22</f>
        <v>481790.1031999999</v>
      </c>
      <c r="W22" s="421">
        <v>12</v>
      </c>
      <c r="X22" s="417">
        <f>V22/W22</f>
        <v>40149.175266666658</v>
      </c>
      <c r="Y22" s="417"/>
      <c r="Z22" s="470">
        <f>X22</f>
        <v>40149.175266666658</v>
      </c>
      <c r="AA22" s="415">
        <v>46666.666666666664</v>
      </c>
      <c r="AB22" s="415">
        <f t="shared" si="15"/>
        <v>-6517.4914000000063</v>
      </c>
      <c r="AC22" s="472" t="s">
        <v>783</v>
      </c>
      <c r="AD22" s="34"/>
      <c r="AE22" s="34"/>
    </row>
    <row r="23" spans="1:31" ht="18.75">
      <c r="A23" s="406">
        <v>20</v>
      </c>
      <c r="B23" s="157" t="s">
        <v>741</v>
      </c>
      <c r="C23" s="424">
        <v>328602.07775000005</v>
      </c>
      <c r="D23" s="418">
        <v>12</v>
      </c>
      <c r="E23" s="417">
        <f t="shared" si="14"/>
        <v>3943224.9330000007</v>
      </c>
      <c r="F23" s="417"/>
      <c r="G23" s="417"/>
      <c r="H23" s="417"/>
      <c r="I23" s="417">
        <f t="shared" si="0"/>
        <v>3943224.9330000007</v>
      </c>
      <c r="J23" s="417">
        <v>200000</v>
      </c>
      <c r="K23" s="417">
        <v>0.2</v>
      </c>
      <c r="L23" s="417">
        <f t="shared" si="1"/>
        <v>788644.98660000018</v>
      </c>
      <c r="M23" s="417">
        <f t="shared" si="2"/>
        <v>988644.98660000018</v>
      </c>
      <c r="N23" s="417">
        <f t="shared" si="3"/>
        <v>988644.98660000018</v>
      </c>
      <c r="O23" s="417">
        <f t="shared" si="4"/>
        <v>2954579.9464000007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284461.78874400014</v>
      </c>
      <c r="U23" s="417"/>
      <c r="V23" s="417">
        <f t="shared" si="11"/>
        <v>508461.78874400014</v>
      </c>
      <c r="W23" s="421">
        <v>12</v>
      </c>
      <c r="X23" s="417">
        <f t="shared" si="12"/>
        <v>42371.815728666676</v>
      </c>
      <c r="Y23" s="417"/>
      <c r="Z23" s="417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14" customFormat="1" ht="18.75">
      <c r="A24" s="411">
        <v>21</v>
      </c>
      <c r="B24" s="20" t="s">
        <v>434</v>
      </c>
      <c r="C24" s="424">
        <v>213508.01</v>
      </c>
      <c r="D24" s="418">
        <v>12</v>
      </c>
      <c r="E24" s="417">
        <f t="shared" si="14"/>
        <v>2562096.12</v>
      </c>
      <c r="F24" s="417"/>
      <c r="G24" s="417"/>
      <c r="H24" s="417"/>
      <c r="I24" s="417">
        <f>E24-F24-G24-H24</f>
        <v>2562096.12</v>
      </c>
      <c r="J24" s="417">
        <v>200000</v>
      </c>
      <c r="K24" s="417">
        <v>0.2</v>
      </c>
      <c r="L24" s="417">
        <f>I24*K24</f>
        <v>512419.22400000005</v>
      </c>
      <c r="M24" s="417">
        <f>J24+L24</f>
        <v>712419.22400000005</v>
      </c>
      <c r="N24" s="417">
        <f>F24+G24+H24+M24</f>
        <v>712419.22400000005</v>
      </c>
      <c r="O24" s="417">
        <f>E24-N24</f>
        <v>1849676.8960000002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52432.148160000033</v>
      </c>
      <c r="U24" s="417"/>
      <c r="V24" s="417">
        <f>P24+Q24+R24+S24+T24+U24</f>
        <v>276432.14816000004</v>
      </c>
      <c r="W24" s="421">
        <v>12</v>
      </c>
      <c r="X24" s="417">
        <f>V24/W24</f>
        <v>23036.01234666667</v>
      </c>
      <c r="Y24" s="417"/>
      <c r="Z24" s="417">
        <f>X24</f>
        <v>23036.01234666667</v>
      </c>
      <c r="AA24" s="413">
        <v>23036.01234666667</v>
      </c>
      <c r="AB24" s="34">
        <f t="shared" si="15"/>
        <v>0</v>
      </c>
      <c r="AC24" s="413"/>
      <c r="AD24" s="413"/>
      <c r="AE24" s="413"/>
    </row>
    <row r="25" spans="1:31" ht="18.75">
      <c r="A25" s="406">
        <v>22</v>
      </c>
      <c r="B25" s="156" t="s">
        <v>254</v>
      </c>
      <c r="C25" s="424">
        <v>213508.01</v>
      </c>
      <c r="D25" s="418">
        <v>12</v>
      </c>
      <c r="E25" s="417">
        <f t="shared" si="14"/>
        <v>2562096.12</v>
      </c>
      <c r="F25" s="417"/>
      <c r="G25" s="417"/>
      <c r="H25" s="417"/>
      <c r="I25" s="417">
        <f>E25-F25-G25-H25</f>
        <v>2562096.12</v>
      </c>
      <c r="J25" s="417">
        <v>200000</v>
      </c>
      <c r="K25" s="417">
        <v>0.2</v>
      </c>
      <c r="L25" s="417">
        <f>I25*K25</f>
        <v>512419.22400000005</v>
      </c>
      <c r="M25" s="417">
        <f>J25+L25</f>
        <v>712419.22400000005</v>
      </c>
      <c r="N25" s="417">
        <f>F25+G25+H25+M25</f>
        <v>712419.22400000005</v>
      </c>
      <c r="O25" s="417">
        <f>E25-N25</f>
        <v>1849676.8960000002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52432.148160000033</v>
      </c>
      <c r="U25" s="417"/>
      <c r="V25" s="417">
        <f>P25+Q25+R25+S25+T25+U25</f>
        <v>276432.14816000004</v>
      </c>
      <c r="W25" s="421">
        <v>12</v>
      </c>
      <c r="X25" s="417">
        <f>V25/W25</f>
        <v>23036.01234666667</v>
      </c>
      <c r="Y25" s="417"/>
      <c r="Z25" s="417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6">
        <v>23</v>
      </c>
      <c r="B26" s="155" t="s">
        <v>320</v>
      </c>
      <c r="C26" s="424">
        <v>253508.01</v>
      </c>
      <c r="D26" s="418">
        <v>12</v>
      </c>
      <c r="E26" s="417">
        <f t="shared" si="14"/>
        <v>3042096.12</v>
      </c>
      <c r="F26" s="417"/>
      <c r="G26" s="417"/>
      <c r="H26" s="417"/>
      <c r="I26" s="417">
        <f>E26-F26-G26-H26</f>
        <v>3042096.12</v>
      </c>
      <c r="J26" s="417">
        <v>200000</v>
      </c>
      <c r="K26" s="417">
        <v>0.2</v>
      </c>
      <c r="L26" s="417">
        <f>I26*K26</f>
        <v>608419.22400000005</v>
      </c>
      <c r="M26" s="417">
        <f>J26+L26</f>
        <v>808419.22400000005</v>
      </c>
      <c r="N26" s="417">
        <f>F26+G26+H26+M26</f>
        <v>808419.22400000005</v>
      </c>
      <c r="O26" s="417">
        <f>E26-N26</f>
        <v>2233676.8960000002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133072.14816000004</v>
      </c>
      <c r="U26" s="417"/>
      <c r="V26" s="417">
        <f>P26+Q26+R26+S26+T26+U26</f>
        <v>357072.14816000004</v>
      </c>
      <c r="W26" s="421">
        <v>12</v>
      </c>
      <c r="X26" s="417">
        <f>V26/W26</f>
        <v>29756.01234666667</v>
      </c>
      <c r="Y26" s="417"/>
      <c r="Z26" s="417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6">
        <v>24</v>
      </c>
      <c r="B27" s="156" t="s">
        <v>288</v>
      </c>
      <c r="C27" s="424">
        <v>209356.04725</v>
      </c>
      <c r="D27" s="418">
        <v>12</v>
      </c>
      <c r="E27" s="417">
        <f t="shared" si="14"/>
        <v>2512272.5669999998</v>
      </c>
      <c r="F27" s="417"/>
      <c r="G27" s="417"/>
      <c r="H27" s="417"/>
      <c r="I27" s="417">
        <f t="shared" ref="I27" si="16">E27-F27-G27-H27</f>
        <v>2512272.5669999998</v>
      </c>
      <c r="J27" s="417">
        <v>200000</v>
      </c>
      <c r="K27" s="417">
        <v>0.2</v>
      </c>
      <c r="L27" s="417">
        <f t="shared" ref="L27" si="17">I27*K27</f>
        <v>502454.5134</v>
      </c>
      <c r="M27" s="417">
        <f t="shared" ref="M27" si="18">J27+L27</f>
        <v>702454.51340000005</v>
      </c>
      <c r="N27" s="417">
        <f t="shared" ref="N27" si="19">F27+G27+H27+M27</f>
        <v>702454.51340000005</v>
      </c>
      <c r="O27" s="417">
        <f t="shared" ref="O27" si="20">E27-N27</f>
        <v>1809818.0535999998</v>
      </c>
      <c r="P27" s="417">
        <f t="shared" ref="P27" si="21">IF(O27&lt;300000,0.07*O27,21000)</f>
        <v>21000</v>
      </c>
      <c r="Q27" s="417">
        <f t="shared" ref="Q27" si="22">IF((O27-300000)&lt;0,0,IF((O27-300000)&lt;300000,0.11*(O27-300000),33000))</f>
        <v>33000</v>
      </c>
      <c r="R27" s="417">
        <f t="shared" ref="R27" si="23">IF((O27-600000)&lt;0,0,IF((O27-600000)&lt;500000,0.15*(O27-600000),75000))</f>
        <v>75000</v>
      </c>
      <c r="S27" s="417">
        <f t="shared" ref="S27" si="24">IF((O27-1100000)&lt;0,0,IF((O27-1100000)&lt;500000,0.19*(O27-1100000),95000))</f>
        <v>95000</v>
      </c>
      <c r="T27" s="417">
        <f t="shared" ref="T27" si="25">IF((O27-1600000)&lt;0,0,IF((O27-1600000)&lt;1600000,0.21*(O27-1600000),336000))</f>
        <v>44061.791255999946</v>
      </c>
      <c r="U27" s="417"/>
      <c r="V27" s="417">
        <f t="shared" ref="V27" si="26">P27+Q27+R27+S27+T27+U27</f>
        <v>268061.79125599994</v>
      </c>
      <c r="W27" s="421">
        <v>12</v>
      </c>
      <c r="X27" s="417">
        <f t="shared" ref="X27" si="27">V27/W27</f>
        <v>22338.48260466666</v>
      </c>
      <c r="Y27" s="417"/>
      <c r="Z27" s="417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6">
        <v>25</v>
      </c>
      <c r="B28" s="156" t="s">
        <v>328</v>
      </c>
      <c r="C28" s="424">
        <v>205204.0845</v>
      </c>
      <c r="D28" s="418">
        <v>12</v>
      </c>
      <c r="E28" s="417">
        <f t="shared" si="14"/>
        <v>2462449.014</v>
      </c>
      <c r="F28" s="417"/>
      <c r="G28" s="417"/>
      <c r="H28" s="417"/>
      <c r="I28" s="417">
        <f t="shared" si="0"/>
        <v>2462449.014</v>
      </c>
      <c r="J28" s="417">
        <v>200000</v>
      </c>
      <c r="K28" s="417">
        <v>0.2</v>
      </c>
      <c r="L28" s="417">
        <f t="shared" si="1"/>
        <v>492489.8028</v>
      </c>
      <c r="M28" s="417">
        <f t="shared" si="2"/>
        <v>692489.80279999995</v>
      </c>
      <c r="N28" s="417">
        <f t="shared" si="3"/>
        <v>692489.80279999995</v>
      </c>
      <c r="O28" s="417">
        <f t="shared" si="4"/>
        <v>1769959.2112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35691.434352000004</v>
      </c>
      <c r="U28" s="417"/>
      <c r="V28" s="417">
        <f t="shared" si="11"/>
        <v>259691.43435200001</v>
      </c>
      <c r="W28" s="421">
        <v>12</v>
      </c>
      <c r="X28" s="417">
        <f t="shared" si="12"/>
        <v>21640.952862666669</v>
      </c>
      <c r="Y28" s="417"/>
      <c r="Z28" s="417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14" customFormat="1" ht="37.5">
      <c r="A29" s="411">
        <v>26</v>
      </c>
      <c r="B29" s="156" t="s">
        <v>756</v>
      </c>
      <c r="C29" s="424">
        <v>205204.0845</v>
      </c>
      <c r="D29" s="418">
        <v>12</v>
      </c>
      <c r="E29" s="417">
        <f t="shared" si="14"/>
        <v>2462449.014</v>
      </c>
      <c r="F29" s="417"/>
      <c r="G29" s="417"/>
      <c r="H29" s="417"/>
      <c r="I29" s="417">
        <f t="shared" si="0"/>
        <v>2462449.014</v>
      </c>
      <c r="J29" s="417">
        <v>200000</v>
      </c>
      <c r="K29" s="417">
        <v>0.2</v>
      </c>
      <c r="L29" s="417">
        <f t="shared" si="1"/>
        <v>492489.8028</v>
      </c>
      <c r="M29" s="417">
        <f t="shared" si="2"/>
        <v>692489.80279999995</v>
      </c>
      <c r="N29" s="417">
        <f t="shared" si="3"/>
        <v>692489.80279999995</v>
      </c>
      <c r="O29" s="417">
        <f t="shared" si="4"/>
        <v>1769959.2112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35691.434352000004</v>
      </c>
      <c r="U29" s="417"/>
      <c r="V29" s="417">
        <f t="shared" si="11"/>
        <v>259691.43435200001</v>
      </c>
      <c r="W29" s="421">
        <v>12</v>
      </c>
      <c r="X29" s="417">
        <f t="shared" si="12"/>
        <v>21640.952862666669</v>
      </c>
      <c r="Y29" s="417"/>
      <c r="Z29" s="417">
        <f t="shared" si="13"/>
        <v>21640.952862666669</v>
      </c>
      <c r="AA29" s="413">
        <v>21640.952862666669</v>
      </c>
      <c r="AB29" s="34">
        <f t="shared" si="15"/>
        <v>0</v>
      </c>
      <c r="AC29" s="413"/>
      <c r="AD29" s="413"/>
      <c r="AE29" s="413"/>
    </row>
    <row r="30" spans="1:31" s="414" customFormat="1" ht="18.75">
      <c r="A30" s="411">
        <v>27</v>
      </c>
      <c r="B30" s="156" t="s">
        <v>360</v>
      </c>
      <c r="C30" s="424">
        <v>209356.04725</v>
      </c>
      <c r="D30" s="418">
        <v>12</v>
      </c>
      <c r="E30" s="417">
        <f t="shared" si="14"/>
        <v>2512272.5669999998</v>
      </c>
      <c r="F30" s="417"/>
      <c r="G30" s="417"/>
      <c r="H30" s="417"/>
      <c r="I30" s="417">
        <f t="shared" si="0"/>
        <v>2512272.5669999998</v>
      </c>
      <c r="J30" s="417">
        <v>200000</v>
      </c>
      <c r="K30" s="417">
        <v>0.2</v>
      </c>
      <c r="L30" s="417">
        <f t="shared" si="1"/>
        <v>502454.5134</v>
      </c>
      <c r="M30" s="417">
        <f t="shared" si="2"/>
        <v>702454.51340000005</v>
      </c>
      <c r="N30" s="417">
        <f t="shared" si="3"/>
        <v>702454.51340000005</v>
      </c>
      <c r="O30" s="417">
        <f t="shared" si="4"/>
        <v>1809818.0535999998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44061.791255999946</v>
      </c>
      <c r="U30" s="417"/>
      <c r="V30" s="417">
        <f t="shared" si="11"/>
        <v>268061.79125599994</v>
      </c>
      <c r="W30" s="421">
        <v>12</v>
      </c>
      <c r="X30" s="417">
        <f t="shared" si="12"/>
        <v>22338.48260466666</v>
      </c>
      <c r="Y30" s="417"/>
      <c r="Z30" s="417">
        <f t="shared" si="13"/>
        <v>22338.48260466666</v>
      </c>
      <c r="AA30" s="413">
        <v>22338.48260466666</v>
      </c>
      <c r="AB30" s="34">
        <f t="shared" si="15"/>
        <v>0</v>
      </c>
      <c r="AC30" s="413"/>
      <c r="AD30" s="413"/>
      <c r="AE30" s="413"/>
    </row>
    <row r="31" spans="1:31" ht="18.75">
      <c r="A31" s="406">
        <v>28</v>
      </c>
      <c r="B31" s="156" t="s">
        <v>330</v>
      </c>
      <c r="C31" s="424">
        <v>180304.068</v>
      </c>
      <c r="D31" s="418">
        <v>12</v>
      </c>
      <c r="E31" s="417">
        <f t="shared" si="14"/>
        <v>2163648.8160000001</v>
      </c>
      <c r="F31" s="417"/>
      <c r="G31" s="417"/>
      <c r="H31" s="417"/>
      <c r="I31" s="417">
        <f t="shared" si="0"/>
        <v>2163648.8160000001</v>
      </c>
      <c r="J31" s="417">
        <v>200000</v>
      </c>
      <c r="K31" s="417">
        <v>0.2</v>
      </c>
      <c r="L31" s="417">
        <f t="shared" si="1"/>
        <v>432729.76320000004</v>
      </c>
      <c r="M31" s="417">
        <f t="shared" si="2"/>
        <v>632729.76320000004</v>
      </c>
      <c r="N31" s="417">
        <f t="shared" si="3"/>
        <v>632729.76320000004</v>
      </c>
      <c r="O31" s="417">
        <f t="shared" si="4"/>
        <v>1530919.0528000002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81874.620032000035</v>
      </c>
      <c r="T31" s="417">
        <f t="shared" si="9"/>
        <v>0</v>
      </c>
      <c r="U31" s="417"/>
      <c r="V31" s="417">
        <f t="shared" si="11"/>
        <v>210874.62003200004</v>
      </c>
      <c r="W31" s="421">
        <v>12</v>
      </c>
      <c r="X31" s="417">
        <f t="shared" si="12"/>
        <v>17572.88500266667</v>
      </c>
      <c r="Y31" s="417"/>
      <c r="Z31" s="417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6">
        <v>29</v>
      </c>
      <c r="B32" s="156" t="s">
        <v>555</v>
      </c>
      <c r="C32" s="424">
        <v>173329.04949999999</v>
      </c>
      <c r="D32" s="418">
        <v>12</v>
      </c>
      <c r="E32" s="417">
        <f t="shared" si="14"/>
        <v>2079948.594</v>
      </c>
      <c r="F32" s="417"/>
      <c r="G32" s="417"/>
      <c r="H32" s="417"/>
      <c r="I32" s="417">
        <f t="shared" si="0"/>
        <v>2079948.594</v>
      </c>
      <c r="J32" s="417">
        <v>200000</v>
      </c>
      <c r="K32" s="417">
        <v>0.2</v>
      </c>
      <c r="L32" s="417">
        <f t="shared" si="1"/>
        <v>415989.71880000003</v>
      </c>
      <c r="M32" s="417">
        <f t="shared" si="2"/>
        <v>615989.71880000003</v>
      </c>
      <c r="N32" s="417">
        <f t="shared" si="3"/>
        <v>615989.71880000003</v>
      </c>
      <c r="O32" s="417">
        <f t="shared" si="4"/>
        <v>1463958.8752000001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69152.186288000026</v>
      </c>
      <c r="T32" s="417">
        <f t="shared" si="9"/>
        <v>0</v>
      </c>
      <c r="U32" s="417"/>
      <c r="V32" s="417">
        <f t="shared" si="11"/>
        <v>198152.18628800003</v>
      </c>
      <c r="W32" s="421">
        <v>12</v>
      </c>
      <c r="X32" s="417">
        <f t="shared" si="12"/>
        <v>16512.68219066667</v>
      </c>
      <c r="Y32" s="417"/>
      <c r="Z32" s="417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6">
        <v>31</v>
      </c>
      <c r="B33" s="122"/>
      <c r="C33" s="41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17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6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17"/>
      <c r="AA34" s="34"/>
      <c r="AB34" s="34"/>
      <c r="AC34" s="34"/>
      <c r="AD34" s="34"/>
      <c r="AE34" s="34"/>
    </row>
    <row r="35" spans="1:31" ht="18.75">
      <c r="A35" s="406"/>
      <c r="B35" s="156" t="s">
        <v>361</v>
      </c>
      <c r="C35" s="425">
        <v>950209.06350000005</v>
      </c>
      <c r="D35" s="417">
        <v>12</v>
      </c>
      <c r="E35" s="417">
        <f>C35*D35</f>
        <v>11402508.762</v>
      </c>
      <c r="F35" s="417"/>
      <c r="G35" s="417">
        <f>SUM(G5:G34)</f>
        <v>0</v>
      </c>
      <c r="H35" s="417"/>
      <c r="I35" s="417">
        <f>E35-F35-G35-H35</f>
        <v>11402508.762</v>
      </c>
      <c r="J35" s="417">
        <v>200000</v>
      </c>
      <c r="K35" s="417">
        <v>0.2</v>
      </c>
      <c r="L35" s="417">
        <f>I35*K35</f>
        <v>2280501.7524000001</v>
      </c>
      <c r="M35" s="417">
        <f>J35+L35</f>
        <v>2480501.7524000001</v>
      </c>
      <c r="N35" s="417">
        <f>F35+G35+H35+M35</f>
        <v>2480501.7524000001</v>
      </c>
      <c r="O35" s="417">
        <f>E35-N35</f>
        <v>8922007.0096000005</v>
      </c>
      <c r="P35" s="417">
        <f t="shared" si="5"/>
        <v>21000</v>
      </c>
      <c r="Q35" s="417">
        <f t="shared" ref="Q35:Q37" si="29">IF((O35-300000)&lt;0,0,IF((O35-300000)&lt;300000,0.11*(O35-300000),33000))</f>
        <v>33000</v>
      </c>
      <c r="R35" s="417">
        <f t="shared" ref="R35:R37" si="30">IF((O35-600000)&lt;0,0,IF((O35-600000)&lt;500000,0.15*(O35-600000),75000))</f>
        <v>75000</v>
      </c>
      <c r="S35" s="417">
        <f t="shared" ref="S35:S37" si="31">IF((O35-1100000)&lt;0,0,IF((O35-1100000)&lt;500000,0.19*(O35-1100000),95000))</f>
        <v>95000</v>
      </c>
      <c r="T35" s="417">
        <f t="shared" ref="T35:T37" si="32">IF((O35-1600000)&lt;0,0,IF((O35-1600000)&lt;1600000,0.21*(O35-1600000),336000))</f>
        <v>336000</v>
      </c>
      <c r="U35" s="417">
        <f t="shared" si="10"/>
        <v>1373281.682304</v>
      </c>
      <c r="V35" s="417">
        <f>P35+Q35+R35+S35+T35+U35</f>
        <v>1933281.682304</v>
      </c>
      <c r="W35" s="417">
        <v>12</v>
      </c>
      <c r="X35" s="417">
        <f>V35/W35</f>
        <v>161106.80685866668</v>
      </c>
      <c r="Y35" s="417"/>
      <c r="Z35" s="417">
        <f>X35</f>
        <v>161106.80685866668</v>
      </c>
      <c r="AA35" s="409">
        <v>161106.80685866668</v>
      </c>
      <c r="AB35" s="409">
        <f>Z35-AA35</f>
        <v>0</v>
      </c>
      <c r="AC35" s="34"/>
      <c r="AD35" s="34"/>
      <c r="AE35" s="34"/>
    </row>
    <row r="36" spans="1:31" ht="18.75">
      <c r="A36" s="406"/>
      <c r="B36" s="156" t="s">
        <v>419</v>
      </c>
      <c r="C36" s="417">
        <v>176816.09999999998</v>
      </c>
      <c r="D36" s="418">
        <v>12</v>
      </c>
      <c r="E36" s="417">
        <f t="shared" ref="E36:E37" si="33">C36*D36</f>
        <v>2121793.1999999997</v>
      </c>
      <c r="F36" s="417"/>
      <c r="G36" s="417">
        <f>SUM(G6:G35)</f>
        <v>0</v>
      </c>
      <c r="H36" s="417"/>
      <c r="I36" s="417">
        <f>E36-F36-G36-H36</f>
        <v>2121793.1999999997</v>
      </c>
      <c r="J36" s="417">
        <v>200000</v>
      </c>
      <c r="K36" s="417">
        <v>0.2</v>
      </c>
      <c r="L36" s="417">
        <f>I36*K36</f>
        <v>424358.63999999996</v>
      </c>
      <c r="M36" s="417">
        <f>J36+L36</f>
        <v>624358.6399999999</v>
      </c>
      <c r="N36" s="417">
        <f>F36+G36+H36+M36</f>
        <v>624358.6399999999</v>
      </c>
      <c r="O36" s="417">
        <f>E36-N36</f>
        <v>1497434.5599999998</v>
      </c>
      <c r="P36" s="417">
        <f t="shared" si="5"/>
        <v>21000</v>
      </c>
      <c r="Q36" s="417">
        <f t="shared" si="29"/>
        <v>33000</v>
      </c>
      <c r="R36" s="417">
        <f t="shared" si="30"/>
        <v>75000</v>
      </c>
      <c r="S36" s="417">
        <f t="shared" si="31"/>
        <v>75512.566399999967</v>
      </c>
      <c r="T36" s="417">
        <f t="shared" si="32"/>
        <v>0</v>
      </c>
      <c r="U36" s="417"/>
      <c r="V36" s="417">
        <f>P36+Q36+R36+S36+T36+U36</f>
        <v>204512.56639999995</v>
      </c>
      <c r="W36" s="417">
        <v>12</v>
      </c>
      <c r="X36" s="417">
        <f>V36/W36</f>
        <v>17042.713866666661</v>
      </c>
      <c r="Y36" s="417"/>
      <c r="Z36" s="417">
        <f>X36</f>
        <v>17042.713866666661</v>
      </c>
      <c r="AA36" s="34">
        <v>17042.713866666661</v>
      </c>
      <c r="AB36" s="409">
        <f t="shared" ref="AB36:AB37" si="34">Z36-AA36</f>
        <v>0</v>
      </c>
      <c r="AC36" s="34"/>
      <c r="AD36" s="34"/>
      <c r="AE36" s="34"/>
    </row>
    <row r="37" spans="1:31" ht="18.75">
      <c r="A37" s="406">
        <v>33</v>
      </c>
      <c r="B37" s="155" t="s">
        <v>720</v>
      </c>
      <c r="C37" s="424">
        <v>233169.11749999999</v>
      </c>
      <c r="D37" s="418">
        <v>12</v>
      </c>
      <c r="E37" s="417">
        <f t="shared" si="33"/>
        <v>2798029.41</v>
      </c>
      <c r="F37" s="417"/>
      <c r="G37" s="417">
        <f>SUM(G7:G36)</f>
        <v>0</v>
      </c>
      <c r="H37" s="417"/>
      <c r="I37" s="417">
        <f>E37-F37-G37-H37</f>
        <v>2798029.41</v>
      </c>
      <c r="J37" s="417">
        <v>200000</v>
      </c>
      <c r="K37" s="417">
        <v>0.2</v>
      </c>
      <c r="L37" s="417">
        <f>I37*K37</f>
        <v>559605.8820000001</v>
      </c>
      <c r="M37" s="417">
        <f>J37+L37</f>
        <v>759605.8820000001</v>
      </c>
      <c r="N37" s="417">
        <f>F37+G37+H37+M37</f>
        <v>759605.8820000001</v>
      </c>
      <c r="O37" s="417">
        <f>E37-N37</f>
        <v>2038423.5279999999</v>
      </c>
      <c r="P37" s="417">
        <f t="shared" si="5"/>
        <v>21000</v>
      </c>
      <c r="Q37" s="417">
        <f t="shared" si="29"/>
        <v>33000</v>
      </c>
      <c r="R37" s="417">
        <f t="shared" si="30"/>
        <v>75000</v>
      </c>
      <c r="S37" s="417">
        <f t="shared" si="31"/>
        <v>95000</v>
      </c>
      <c r="T37" s="417">
        <f t="shared" si="32"/>
        <v>92068.94087999998</v>
      </c>
      <c r="U37" s="417"/>
      <c r="V37" s="417">
        <f>P37+Q37+R37+S37+T37+U37</f>
        <v>316068.94088000001</v>
      </c>
      <c r="W37" s="417">
        <v>12</v>
      </c>
      <c r="X37" s="417">
        <f>V37/W37</f>
        <v>26339.078406666667</v>
      </c>
      <c r="Y37" s="417"/>
      <c r="Z37" s="417">
        <f>X37</f>
        <v>26339.078406666667</v>
      </c>
      <c r="AA37" s="34">
        <v>26339.078406666667</v>
      </c>
      <c r="AB37" s="409">
        <f t="shared" si="34"/>
        <v>0</v>
      </c>
      <c r="AC37" s="34"/>
      <c r="AD37" s="34"/>
      <c r="AE37" s="34"/>
    </row>
    <row r="38" spans="1:31" ht="18.75">
      <c r="A38" s="406"/>
      <c r="B38" s="157"/>
      <c r="C38" s="417"/>
      <c r="D38" s="418"/>
      <c r="E38" s="417"/>
      <c r="F38" s="419"/>
      <c r="G38" s="419"/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17"/>
      <c r="AA38" s="34"/>
      <c r="AB38" s="34"/>
      <c r="AC38" s="34"/>
      <c r="AD38" s="34"/>
      <c r="AE38" s="34"/>
    </row>
    <row r="39" spans="1:31" ht="18.75">
      <c r="A39" s="406"/>
      <c r="B39" s="184" t="s">
        <v>56</v>
      </c>
      <c r="C39" s="417"/>
      <c r="D39" s="418"/>
      <c r="E39" s="417"/>
      <c r="F39" s="419"/>
      <c r="G39" s="419"/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17"/>
      <c r="AA39" s="34"/>
      <c r="AB39" s="34"/>
      <c r="AC39" s="34"/>
      <c r="AD39" s="34"/>
      <c r="AE39" s="34"/>
    </row>
    <row r="40" spans="1:31" ht="37.5">
      <c r="A40" s="406">
        <v>35</v>
      </c>
      <c r="B40" s="155" t="s">
        <v>255</v>
      </c>
      <c r="C40" s="424">
        <v>1050209.0635000002</v>
      </c>
      <c r="D40" s="418">
        <v>12</v>
      </c>
      <c r="E40" s="417">
        <f>C40*D40</f>
        <v>12602508.762000002</v>
      </c>
      <c r="F40" s="417"/>
      <c r="G40" s="417"/>
      <c r="H40" s="417"/>
      <c r="I40" s="417">
        <f>E40-F40-G40-H40</f>
        <v>12602508.762000002</v>
      </c>
      <c r="J40" s="417">
        <v>200000</v>
      </c>
      <c r="K40" s="417">
        <v>0.2</v>
      </c>
      <c r="L40" s="417">
        <f>I40*K40</f>
        <v>2520501.7524000006</v>
      </c>
      <c r="M40" s="417">
        <f>J40+L40</f>
        <v>2720501.7524000006</v>
      </c>
      <c r="N40" s="417">
        <f>F40+G40+H40+M40</f>
        <v>2720501.7524000006</v>
      </c>
      <c r="O40" s="417">
        <f>E40-N40</f>
        <v>9882007.0096000023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1603681.6823040005</v>
      </c>
      <c r="V40" s="417">
        <f>P40+Q40+R40+S40+T40+U40</f>
        <v>2163681.6823040005</v>
      </c>
      <c r="W40" s="421">
        <v>12</v>
      </c>
      <c r="X40" s="417">
        <f>V40/W40</f>
        <v>180306.80685866671</v>
      </c>
      <c r="Y40" s="417"/>
      <c r="Z40" s="417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6">
        <v>36</v>
      </c>
      <c r="B41" s="155" t="s">
        <v>158</v>
      </c>
      <c r="C41" s="417">
        <v>527553.50249999994</v>
      </c>
      <c r="D41" s="418">
        <v>12</v>
      </c>
      <c r="E41" s="417">
        <f t="shared" ref="E41:E50" si="35">C41*D41</f>
        <v>6330642.0299999993</v>
      </c>
      <c r="F41" s="419"/>
      <c r="G41" s="419"/>
      <c r="H41" s="419"/>
      <c r="I41" s="417">
        <f t="shared" si="0"/>
        <v>6330642.0299999993</v>
      </c>
      <c r="J41" s="417">
        <v>200000</v>
      </c>
      <c r="K41" s="417">
        <v>0.2</v>
      </c>
      <c r="L41" s="417">
        <f t="shared" si="1"/>
        <v>1266128.406</v>
      </c>
      <c r="M41" s="417">
        <f t="shared" si="2"/>
        <v>1466128.406</v>
      </c>
      <c r="N41" s="417">
        <f t="shared" si="3"/>
        <v>1466128.406</v>
      </c>
      <c r="O41" s="417">
        <f t="shared" si="4"/>
        <v>4864513.6239999998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399483.26975999994</v>
      </c>
      <c r="V41" s="417">
        <f t="shared" si="11"/>
        <v>959483.26975999994</v>
      </c>
      <c r="W41" s="421">
        <v>12</v>
      </c>
      <c r="X41" s="417">
        <f t="shared" si="12"/>
        <v>79956.939146666657</v>
      </c>
      <c r="Y41" s="419"/>
      <c r="Z41" s="417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6">
        <v>37</v>
      </c>
      <c r="B42" s="155" t="s">
        <v>165</v>
      </c>
      <c r="C42" s="417">
        <v>617743.99575</v>
      </c>
      <c r="D42" s="418">
        <v>12</v>
      </c>
      <c r="E42" s="417">
        <f t="shared" si="35"/>
        <v>7412927.949</v>
      </c>
      <c r="F42" s="419"/>
      <c r="G42" s="419"/>
      <c r="H42" s="419"/>
      <c r="I42" s="417">
        <f t="shared" si="0"/>
        <v>7412927.949</v>
      </c>
      <c r="J42" s="417">
        <v>200000</v>
      </c>
      <c r="K42" s="417">
        <v>0.2</v>
      </c>
      <c r="L42" s="417">
        <f t="shared" si="1"/>
        <v>1482585.5898000002</v>
      </c>
      <c r="M42" s="417">
        <f t="shared" si="2"/>
        <v>1682585.5898000002</v>
      </c>
      <c r="N42" s="417">
        <f t="shared" si="3"/>
        <v>1682585.5898000002</v>
      </c>
      <c r="O42" s="417">
        <f t="shared" si="4"/>
        <v>5730342.3591999998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607282.16620799992</v>
      </c>
      <c r="V42" s="417">
        <f t="shared" si="11"/>
        <v>1167282.1662079999</v>
      </c>
      <c r="W42" s="421">
        <v>12</v>
      </c>
      <c r="X42" s="417">
        <f t="shared" si="12"/>
        <v>97273.513850666655</v>
      </c>
      <c r="Y42" s="419"/>
      <c r="Z42" s="417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6">
        <v>38</v>
      </c>
      <c r="B43" s="155" t="s">
        <v>159</v>
      </c>
      <c r="C43" s="417">
        <v>527553.50249999994</v>
      </c>
      <c r="D43" s="418">
        <v>12</v>
      </c>
      <c r="E43" s="417">
        <f t="shared" si="35"/>
        <v>6330642.0299999993</v>
      </c>
      <c r="F43" s="419"/>
      <c r="G43" s="419"/>
      <c r="H43" s="419"/>
      <c r="I43" s="417">
        <f t="shared" si="0"/>
        <v>6330642.0299999993</v>
      </c>
      <c r="J43" s="417">
        <v>200000</v>
      </c>
      <c r="K43" s="417">
        <v>0.2</v>
      </c>
      <c r="L43" s="417">
        <f t="shared" si="1"/>
        <v>1266128.406</v>
      </c>
      <c r="M43" s="417">
        <f t="shared" si="2"/>
        <v>1466128.406</v>
      </c>
      <c r="N43" s="417">
        <f t="shared" si="3"/>
        <v>1466128.406</v>
      </c>
      <c r="O43" s="417">
        <f t="shared" si="4"/>
        <v>4864513.6239999998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399483.26975999994</v>
      </c>
      <c r="V43" s="417">
        <f t="shared" si="11"/>
        <v>959483.26975999994</v>
      </c>
      <c r="W43" s="421">
        <v>12</v>
      </c>
      <c r="X43" s="417">
        <f t="shared" si="12"/>
        <v>79956.939146666657</v>
      </c>
      <c r="Y43" s="419"/>
      <c r="Z43" s="417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6">
        <v>39</v>
      </c>
      <c r="B44" s="155" t="s">
        <v>118</v>
      </c>
      <c r="C44" s="417">
        <v>527553.50249999994</v>
      </c>
      <c r="D44" s="418">
        <v>12</v>
      </c>
      <c r="E44" s="417">
        <f t="shared" si="35"/>
        <v>6330642.0299999993</v>
      </c>
      <c r="F44" s="419">
        <f>'[5]JANUARY 2024'!$V$47*12</f>
        <v>10052.25</v>
      </c>
      <c r="G44" s="419"/>
      <c r="H44" s="419"/>
      <c r="I44" s="417">
        <f t="shared" si="0"/>
        <v>6320589.7799999993</v>
      </c>
      <c r="J44" s="417">
        <v>200000</v>
      </c>
      <c r="K44" s="417">
        <v>0.2</v>
      </c>
      <c r="L44" s="417">
        <f t="shared" si="1"/>
        <v>1264117.956</v>
      </c>
      <c r="M44" s="417">
        <f t="shared" si="2"/>
        <v>1464117.956</v>
      </c>
      <c r="N44" s="417">
        <f t="shared" si="3"/>
        <v>1474170.206</v>
      </c>
      <c r="O44" s="417">
        <f t="shared" si="4"/>
        <v>4856471.8239999991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397553.23775999976</v>
      </c>
      <c r="V44" s="417">
        <f t="shared" si="11"/>
        <v>957553.2377599997</v>
      </c>
      <c r="W44" s="421">
        <v>12</v>
      </c>
      <c r="X44" s="417">
        <f t="shared" si="12"/>
        <v>79796.103146666646</v>
      </c>
      <c r="Y44" s="419"/>
      <c r="Z44" s="417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6">
        <v>40</v>
      </c>
      <c r="B45" s="155" t="s">
        <v>205</v>
      </c>
      <c r="C45" s="417">
        <v>504720.04700000002</v>
      </c>
      <c r="D45" s="418">
        <v>12</v>
      </c>
      <c r="E45" s="417">
        <f t="shared" si="35"/>
        <v>6056640.5640000002</v>
      </c>
      <c r="F45" s="417"/>
      <c r="G45" s="419"/>
      <c r="H45" s="419"/>
      <c r="I45" s="417">
        <f t="shared" si="0"/>
        <v>6056640.5640000002</v>
      </c>
      <c r="J45" s="417">
        <v>200000</v>
      </c>
      <c r="K45" s="417">
        <v>0.2</v>
      </c>
      <c r="L45" s="417">
        <f t="shared" si="1"/>
        <v>1211328.1128</v>
      </c>
      <c r="M45" s="417">
        <f t="shared" si="2"/>
        <v>1411328.1128</v>
      </c>
      <c r="N45" s="417">
        <f t="shared" si="3"/>
        <v>1411328.1128</v>
      </c>
      <c r="O45" s="417">
        <f t="shared" si="4"/>
        <v>4645312.4512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346874.98828799999</v>
      </c>
      <c r="V45" s="417">
        <f t="shared" si="11"/>
        <v>906874.98828799999</v>
      </c>
      <c r="W45" s="421">
        <v>12</v>
      </c>
      <c r="X45" s="417">
        <f t="shared" si="12"/>
        <v>75572.915690666661</v>
      </c>
      <c r="Y45" s="419"/>
      <c r="Z45" s="417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6">
        <v>41</v>
      </c>
      <c r="B46" s="157" t="s">
        <v>173</v>
      </c>
      <c r="C46" s="417">
        <v>413333.03525000007</v>
      </c>
      <c r="D46" s="418">
        <v>12</v>
      </c>
      <c r="E46" s="417">
        <f t="shared" si="35"/>
        <v>4959996.4230000004</v>
      </c>
      <c r="F46" s="417"/>
      <c r="G46" s="419"/>
      <c r="H46" s="419"/>
      <c r="I46" s="417">
        <f t="shared" si="0"/>
        <v>4959996.4230000004</v>
      </c>
      <c r="J46" s="417">
        <v>200000</v>
      </c>
      <c r="K46" s="417">
        <v>0.2</v>
      </c>
      <c r="L46" s="417">
        <f t="shared" si="1"/>
        <v>991999.28460000013</v>
      </c>
      <c r="M46" s="417">
        <f t="shared" si="2"/>
        <v>1191999.2846000001</v>
      </c>
      <c r="N46" s="417">
        <f t="shared" si="3"/>
        <v>1191999.2846000001</v>
      </c>
      <c r="O46" s="417">
        <f t="shared" si="4"/>
        <v>3767997.1384000005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136319.31321600013</v>
      </c>
      <c r="V46" s="417">
        <f t="shared" si="11"/>
        <v>696319.3132160001</v>
      </c>
      <c r="W46" s="421">
        <v>12</v>
      </c>
      <c r="X46" s="417">
        <f t="shared" si="12"/>
        <v>58026.609434666672</v>
      </c>
      <c r="Y46" s="419"/>
      <c r="Z46" s="417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6">
        <v>42</v>
      </c>
      <c r="B47" s="155" t="s">
        <v>551</v>
      </c>
      <c r="C47" s="417">
        <v>273169.11749999999</v>
      </c>
      <c r="D47" s="418">
        <v>12</v>
      </c>
      <c r="E47" s="417">
        <f t="shared" si="35"/>
        <v>3278029.41</v>
      </c>
      <c r="F47" s="417"/>
      <c r="G47" s="419"/>
      <c r="H47" s="419"/>
      <c r="I47" s="417">
        <f t="shared" si="0"/>
        <v>3278029.41</v>
      </c>
      <c r="J47" s="417">
        <v>200000</v>
      </c>
      <c r="K47" s="417">
        <v>0.2</v>
      </c>
      <c r="L47" s="417">
        <f t="shared" si="1"/>
        <v>655605.8820000001</v>
      </c>
      <c r="M47" s="417">
        <f t="shared" si="2"/>
        <v>855605.8820000001</v>
      </c>
      <c r="N47" s="417">
        <f t="shared" si="3"/>
        <v>855605.8820000001</v>
      </c>
      <c r="O47" s="417">
        <f t="shared" si="4"/>
        <v>2422423.5279999999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172708.94087999998</v>
      </c>
      <c r="U47" s="417"/>
      <c r="V47" s="417">
        <f t="shared" si="11"/>
        <v>396708.94088000001</v>
      </c>
      <c r="W47" s="421">
        <v>12</v>
      </c>
      <c r="X47" s="417">
        <f t="shared" si="12"/>
        <v>33059.078406666667</v>
      </c>
      <c r="Y47" s="419"/>
      <c r="Z47" s="417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14" customFormat="1" ht="18.75">
      <c r="A48" s="411">
        <v>43</v>
      </c>
      <c r="B48" s="155" t="s">
        <v>420</v>
      </c>
      <c r="C48" s="417">
        <v>249356.04725</v>
      </c>
      <c r="D48" s="418">
        <v>12</v>
      </c>
      <c r="E48" s="417">
        <f t="shared" si="35"/>
        <v>2992272.5669999998</v>
      </c>
      <c r="F48" s="417"/>
      <c r="G48" s="419"/>
      <c r="H48" s="419"/>
      <c r="I48" s="417">
        <f t="shared" si="0"/>
        <v>2992272.5669999998</v>
      </c>
      <c r="J48" s="417">
        <v>200000</v>
      </c>
      <c r="K48" s="417">
        <v>0.2</v>
      </c>
      <c r="L48" s="417">
        <f t="shared" si="1"/>
        <v>598454.51339999994</v>
      </c>
      <c r="M48" s="417">
        <f t="shared" si="2"/>
        <v>798454.51339999994</v>
      </c>
      <c r="N48" s="417">
        <f t="shared" si="3"/>
        <v>798454.51339999994</v>
      </c>
      <c r="O48" s="417">
        <f t="shared" si="4"/>
        <v>2193818.0535999998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124701.79125599994</v>
      </c>
      <c r="U48" s="417"/>
      <c r="V48" s="417">
        <f t="shared" si="11"/>
        <v>348701.79125599994</v>
      </c>
      <c r="W48" s="421">
        <v>12</v>
      </c>
      <c r="X48" s="417">
        <f>V48/W48</f>
        <v>29058.48260466666</v>
      </c>
      <c r="Y48" s="419"/>
      <c r="Z48" s="417">
        <f t="shared" si="13"/>
        <v>29058.48260466666</v>
      </c>
      <c r="AA48" s="413">
        <v>29058.48260466666</v>
      </c>
      <c r="AB48" s="34">
        <f t="shared" si="36"/>
        <v>0</v>
      </c>
      <c r="AC48" s="413"/>
      <c r="AD48" s="413"/>
      <c r="AE48" s="413"/>
    </row>
    <row r="49" spans="1:31" ht="18.75">
      <c r="A49" s="406">
        <v>44</v>
      </c>
      <c r="B49" s="155" t="s">
        <v>435</v>
      </c>
      <c r="C49" s="417">
        <v>249356.04725</v>
      </c>
      <c r="D49" s="418">
        <v>12</v>
      </c>
      <c r="E49" s="417">
        <f t="shared" si="35"/>
        <v>2992272.5669999998</v>
      </c>
      <c r="F49" s="417"/>
      <c r="G49" s="419"/>
      <c r="H49" s="419"/>
      <c r="I49" s="417">
        <f t="shared" si="0"/>
        <v>2992272.5669999998</v>
      </c>
      <c r="J49" s="417">
        <v>200000</v>
      </c>
      <c r="K49" s="417">
        <v>0.2</v>
      </c>
      <c r="L49" s="417">
        <f t="shared" si="1"/>
        <v>598454.51339999994</v>
      </c>
      <c r="M49" s="417">
        <f t="shared" si="2"/>
        <v>798454.51339999994</v>
      </c>
      <c r="N49" s="417">
        <f t="shared" si="3"/>
        <v>798454.51339999994</v>
      </c>
      <c r="O49" s="417">
        <f t="shared" si="4"/>
        <v>2193818.0535999998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124701.79125599994</v>
      </c>
      <c r="U49" s="417"/>
      <c r="V49" s="417">
        <f t="shared" si="11"/>
        <v>348701.79125599994</v>
      </c>
      <c r="W49" s="421">
        <v>12</v>
      </c>
      <c r="X49" s="417">
        <v>28360.952862666662</v>
      </c>
      <c r="Y49" s="419"/>
      <c r="Z49" s="417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6">
        <v>45</v>
      </c>
      <c r="B50" s="155" t="s">
        <v>452</v>
      </c>
      <c r="C50" s="417">
        <v>249356.04725</v>
      </c>
      <c r="D50" s="418">
        <v>12</v>
      </c>
      <c r="E50" s="417">
        <f t="shared" si="35"/>
        <v>2992272.5669999998</v>
      </c>
      <c r="F50" s="417"/>
      <c r="G50" s="419"/>
      <c r="H50" s="419"/>
      <c r="I50" s="417">
        <f t="shared" si="0"/>
        <v>2992272.5669999998</v>
      </c>
      <c r="J50" s="417">
        <v>200000</v>
      </c>
      <c r="K50" s="417">
        <v>0.2</v>
      </c>
      <c r="L50" s="417">
        <f t="shared" si="1"/>
        <v>598454.51339999994</v>
      </c>
      <c r="M50" s="417">
        <f t="shared" si="2"/>
        <v>798454.51339999994</v>
      </c>
      <c r="N50" s="417">
        <f t="shared" si="3"/>
        <v>798454.51339999994</v>
      </c>
      <c r="O50" s="417">
        <f t="shared" si="4"/>
        <v>2193818.0535999998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124701.79125599994</v>
      </c>
      <c r="U50" s="417"/>
      <c r="V50" s="417">
        <f t="shared" si="11"/>
        <v>348701.79125599994</v>
      </c>
      <c r="W50" s="421">
        <v>12</v>
      </c>
      <c r="X50" s="417">
        <f t="shared" si="12"/>
        <v>29058.48260466666</v>
      </c>
      <c r="Y50" s="419"/>
      <c r="Z50" s="417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6"/>
      <c r="B51" s="122"/>
      <c r="C51" s="417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17"/>
      <c r="AA51" s="34"/>
      <c r="AB51" s="34"/>
      <c r="AC51" s="34"/>
      <c r="AD51" s="34"/>
      <c r="AE51" s="34"/>
    </row>
    <row r="52" spans="1:31" ht="18.75">
      <c r="A52" s="406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17"/>
      <c r="AA52" s="34"/>
      <c r="AB52" s="34"/>
      <c r="AC52" s="34"/>
      <c r="AD52" s="34"/>
      <c r="AE52" s="34"/>
    </row>
    <row r="53" spans="1:31" ht="18.75">
      <c r="A53" s="406">
        <v>47</v>
      </c>
      <c r="B53" s="155" t="s">
        <v>11</v>
      </c>
      <c r="C53" s="417">
        <v>1050209.0635000002</v>
      </c>
      <c r="D53" s="418">
        <v>12</v>
      </c>
      <c r="E53" s="417">
        <f>C53*D53</f>
        <v>12602508.762000002</v>
      </c>
      <c r="F53" s="417"/>
      <c r="G53" s="419"/>
      <c r="H53" s="419"/>
      <c r="I53" s="417">
        <f t="shared" si="0"/>
        <v>12602508.762000002</v>
      </c>
      <c r="J53" s="417">
        <v>200000</v>
      </c>
      <c r="K53" s="417">
        <v>0.2</v>
      </c>
      <c r="L53" s="417">
        <f t="shared" si="1"/>
        <v>2520501.7524000006</v>
      </c>
      <c r="M53" s="417">
        <f t="shared" si="2"/>
        <v>2720501.7524000006</v>
      </c>
      <c r="N53" s="417">
        <f t="shared" si="3"/>
        <v>2720501.7524000006</v>
      </c>
      <c r="O53" s="417">
        <f t="shared" si="4"/>
        <v>9882007.0096000023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1603681.6823040005</v>
      </c>
      <c r="V53" s="417">
        <f t="shared" si="11"/>
        <v>2163681.6823040005</v>
      </c>
      <c r="W53" s="421">
        <v>12</v>
      </c>
      <c r="X53" s="417">
        <f t="shared" si="12"/>
        <v>180306.80685866671</v>
      </c>
      <c r="Y53" s="419"/>
      <c r="Z53" s="417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6">
        <v>48</v>
      </c>
      <c r="B54" s="155" t="s">
        <v>276</v>
      </c>
      <c r="C54" s="417">
        <v>447553.5025</v>
      </c>
      <c r="D54" s="418">
        <v>12</v>
      </c>
      <c r="E54" s="417">
        <f>C54*D54</f>
        <v>5370642.0300000003</v>
      </c>
      <c r="F54" s="417"/>
      <c r="G54" s="419"/>
      <c r="H54" s="419"/>
      <c r="I54" s="417">
        <f t="shared" si="0"/>
        <v>5370642.0300000003</v>
      </c>
      <c r="J54" s="417">
        <v>200000</v>
      </c>
      <c r="K54" s="417">
        <v>0.2</v>
      </c>
      <c r="L54" s="417">
        <f t="shared" si="1"/>
        <v>1074128.4060000002</v>
      </c>
      <c r="M54" s="417">
        <f t="shared" si="2"/>
        <v>1274128.4060000002</v>
      </c>
      <c r="N54" s="417">
        <f t="shared" si="3"/>
        <v>1274128.4060000002</v>
      </c>
      <c r="O54" s="417">
        <f t="shared" si="4"/>
        <v>4096513.6239999998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215163.26975999997</v>
      </c>
      <c r="V54" s="417">
        <f t="shared" si="11"/>
        <v>775163.26975999994</v>
      </c>
      <c r="W54" s="421">
        <v>12</v>
      </c>
      <c r="X54" s="417">
        <f t="shared" si="12"/>
        <v>64596.939146666664</v>
      </c>
      <c r="Y54" s="419"/>
      <c r="Z54" s="417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6"/>
      <c r="B55" s="158"/>
      <c r="C55" s="417"/>
      <c r="D55" s="418"/>
      <c r="E55" s="417"/>
      <c r="F55" s="417"/>
      <c r="G55" s="419"/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17"/>
      <c r="AA55" s="34"/>
      <c r="AB55" s="34"/>
      <c r="AC55" s="34"/>
      <c r="AD55" s="34"/>
      <c r="AE55" s="34"/>
    </row>
    <row r="56" spans="1:31" ht="37.5">
      <c r="A56" s="406">
        <v>49</v>
      </c>
      <c r="B56" s="158" t="s">
        <v>461</v>
      </c>
      <c r="C56" s="417"/>
      <c r="D56" s="418"/>
      <c r="E56" s="417"/>
      <c r="F56" s="417"/>
      <c r="G56" s="419"/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17"/>
      <c r="AA56" s="34"/>
      <c r="AB56" s="34"/>
      <c r="AC56" s="34"/>
      <c r="AD56" s="34"/>
      <c r="AE56" s="34"/>
    </row>
    <row r="57" spans="1:31" ht="18.75">
      <c r="A57" s="406">
        <v>50</v>
      </c>
      <c r="B57" s="155" t="s">
        <v>277</v>
      </c>
      <c r="C57" s="417">
        <v>1050209.0635000002</v>
      </c>
      <c r="D57" s="418">
        <v>12</v>
      </c>
      <c r="E57" s="417">
        <f>C57*D57</f>
        <v>12602508.762000002</v>
      </c>
      <c r="F57" s="417"/>
      <c r="G57" s="419"/>
      <c r="H57" s="419"/>
      <c r="I57" s="417">
        <f t="shared" si="0"/>
        <v>12602508.762000002</v>
      </c>
      <c r="J57" s="417">
        <v>200000</v>
      </c>
      <c r="K57" s="417">
        <v>0.2</v>
      </c>
      <c r="L57" s="417">
        <f t="shared" si="1"/>
        <v>2520501.7524000006</v>
      </c>
      <c r="M57" s="417">
        <f t="shared" si="2"/>
        <v>2720501.7524000006</v>
      </c>
      <c r="N57" s="417">
        <f t="shared" si="3"/>
        <v>2720501.7524000006</v>
      </c>
      <c r="O57" s="417">
        <f t="shared" si="4"/>
        <v>9882007.0096000023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1603681.6823040005</v>
      </c>
      <c r="V57" s="417">
        <f t="shared" si="11"/>
        <v>2163681.6823040005</v>
      </c>
      <c r="W57" s="421">
        <v>12</v>
      </c>
      <c r="X57" s="417">
        <f t="shared" si="12"/>
        <v>180306.80685866671</v>
      </c>
      <c r="Y57" s="419"/>
      <c r="Z57" s="417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14" customFormat="1" ht="31.5">
      <c r="A58" s="411">
        <v>51</v>
      </c>
      <c r="B58" s="288" t="s">
        <v>332</v>
      </c>
      <c r="C58" s="417">
        <v>516137.05000000005</v>
      </c>
      <c r="D58" s="418">
        <v>12</v>
      </c>
      <c r="E58" s="417">
        <f t="shared" ref="E58:E66" si="37">C58*D58</f>
        <v>6193644.6000000006</v>
      </c>
      <c r="F58" s="417"/>
      <c r="G58" s="419"/>
      <c r="H58" s="419"/>
      <c r="I58" s="417">
        <f t="shared" si="0"/>
        <v>6193644.6000000006</v>
      </c>
      <c r="J58" s="417">
        <v>200000</v>
      </c>
      <c r="K58" s="417">
        <v>0.2</v>
      </c>
      <c r="L58" s="417">
        <f t="shared" si="1"/>
        <v>1238728.9200000002</v>
      </c>
      <c r="M58" s="417">
        <f t="shared" si="2"/>
        <v>1438728.9200000002</v>
      </c>
      <c r="N58" s="417">
        <f t="shared" si="3"/>
        <v>1438728.9200000002</v>
      </c>
      <c r="O58" s="417">
        <f t="shared" si="4"/>
        <v>4754915.6800000006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373179.76320000016</v>
      </c>
      <c r="V58" s="417">
        <f t="shared" si="11"/>
        <v>933179.76320000016</v>
      </c>
      <c r="W58" s="421">
        <v>12</v>
      </c>
      <c r="X58" s="417">
        <f t="shared" si="12"/>
        <v>77764.98026666668</v>
      </c>
      <c r="Y58" s="419"/>
      <c r="Z58" s="417">
        <f t="shared" si="13"/>
        <v>77764.98026666668</v>
      </c>
      <c r="AA58" s="413">
        <v>77764.98026666668</v>
      </c>
      <c r="AB58" s="34">
        <f t="shared" ref="AB58:AB66" si="38">Z58-AA58</f>
        <v>0</v>
      </c>
      <c r="AC58" s="413"/>
      <c r="AD58" s="413"/>
      <c r="AE58" s="413"/>
    </row>
    <row r="59" spans="1:31" ht="18.75">
      <c r="A59" s="406">
        <v>52</v>
      </c>
      <c r="B59" s="155" t="s">
        <v>189</v>
      </c>
      <c r="C59" s="417">
        <v>397211.36749999999</v>
      </c>
      <c r="D59" s="418">
        <v>12</v>
      </c>
      <c r="E59" s="417">
        <f t="shared" si="37"/>
        <v>4766536.41</v>
      </c>
      <c r="F59" s="417"/>
      <c r="G59" s="419"/>
      <c r="H59" s="419"/>
      <c r="I59" s="417">
        <f t="shared" si="0"/>
        <v>4766536.41</v>
      </c>
      <c r="J59" s="417">
        <v>200000</v>
      </c>
      <c r="K59" s="417">
        <v>0.2</v>
      </c>
      <c r="L59" s="417">
        <f t="shared" si="1"/>
        <v>953307.28200000012</v>
      </c>
      <c r="M59" s="417">
        <f t="shared" si="2"/>
        <v>1153307.2820000001</v>
      </c>
      <c r="N59" s="417">
        <f t="shared" si="3"/>
        <v>1153307.2820000001</v>
      </c>
      <c r="O59" s="417">
        <f t="shared" si="4"/>
        <v>3613229.128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99174.990720000002</v>
      </c>
      <c r="V59" s="417">
        <f t="shared" si="11"/>
        <v>659174.99072</v>
      </c>
      <c r="W59" s="421">
        <v>12</v>
      </c>
      <c r="X59" s="417">
        <f t="shared" si="12"/>
        <v>54931.249226666667</v>
      </c>
      <c r="Y59" s="419"/>
      <c r="Z59" s="417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6">
        <v>53</v>
      </c>
      <c r="B60" s="156" t="s">
        <v>448</v>
      </c>
      <c r="C60" s="417">
        <v>369177.65375</v>
      </c>
      <c r="D60" s="418">
        <v>12</v>
      </c>
      <c r="E60" s="417">
        <f t="shared" si="37"/>
        <v>4430131.8449999997</v>
      </c>
      <c r="F60" s="417"/>
      <c r="G60" s="419"/>
      <c r="H60" s="419"/>
      <c r="I60" s="417">
        <f t="shared" si="0"/>
        <v>4430131.8449999997</v>
      </c>
      <c r="J60" s="417">
        <v>200000</v>
      </c>
      <c r="K60" s="417">
        <v>0.2</v>
      </c>
      <c r="L60" s="417">
        <f t="shared" si="1"/>
        <v>886026.36899999995</v>
      </c>
      <c r="M60" s="417">
        <f t="shared" si="2"/>
        <v>1086026.3689999999</v>
      </c>
      <c r="N60" s="417">
        <f t="shared" si="3"/>
        <v>1086026.3689999999</v>
      </c>
      <c r="O60" s="417">
        <f t="shared" si="4"/>
        <v>3344105.4759999998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34585.314239999949</v>
      </c>
      <c r="V60" s="417">
        <f t="shared" si="11"/>
        <v>594585.31423999998</v>
      </c>
      <c r="W60" s="421">
        <v>12</v>
      </c>
      <c r="X60" s="417">
        <f t="shared" si="12"/>
        <v>49548.776186666662</v>
      </c>
      <c r="Y60" s="419"/>
      <c r="Z60" s="417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6">
        <v>54</v>
      </c>
      <c r="B61" s="157" t="s">
        <v>229</v>
      </c>
      <c r="C61" s="417">
        <v>421394.00675000006</v>
      </c>
      <c r="D61" s="418">
        <v>12</v>
      </c>
      <c r="E61" s="417">
        <f t="shared" si="37"/>
        <v>5056728.0810000002</v>
      </c>
      <c r="F61" s="417"/>
      <c r="G61" s="419"/>
      <c r="H61" s="419"/>
      <c r="I61" s="417">
        <f t="shared" si="0"/>
        <v>5056728.0810000002</v>
      </c>
      <c r="J61" s="417">
        <v>200000</v>
      </c>
      <c r="K61" s="417">
        <v>0.2</v>
      </c>
      <c r="L61" s="417">
        <f t="shared" si="1"/>
        <v>1011345.6162</v>
      </c>
      <c r="M61" s="417">
        <f t="shared" si="2"/>
        <v>1211345.6162</v>
      </c>
      <c r="N61" s="417">
        <f t="shared" si="3"/>
        <v>1211345.6162</v>
      </c>
      <c r="O61" s="417">
        <f t="shared" si="4"/>
        <v>3845382.4648000002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154891.79155200004</v>
      </c>
      <c r="V61" s="417">
        <f t="shared" si="11"/>
        <v>714891.79155199998</v>
      </c>
      <c r="W61" s="421">
        <v>12</v>
      </c>
      <c r="X61" s="417">
        <f t="shared" si="12"/>
        <v>59574.315962666667</v>
      </c>
      <c r="Y61" s="419"/>
      <c r="Z61" s="473">
        <f t="shared" si="13"/>
        <v>59574.315962666667</v>
      </c>
      <c r="AA61" s="437">
        <v>46666.666666666664</v>
      </c>
      <c r="AB61" s="437">
        <f t="shared" si="38"/>
        <v>12907.649296000003</v>
      </c>
      <c r="AC61" s="34"/>
      <c r="AD61" s="34"/>
      <c r="AE61" s="34"/>
    </row>
    <row r="62" spans="1:31" ht="37.5">
      <c r="A62" s="406">
        <v>55</v>
      </c>
      <c r="B62" s="155" t="s">
        <v>117</v>
      </c>
      <c r="C62" s="417">
        <v>322454.07400000002</v>
      </c>
      <c r="D62" s="418">
        <v>12</v>
      </c>
      <c r="E62" s="417">
        <f t="shared" si="37"/>
        <v>3869448.8880000003</v>
      </c>
      <c r="F62" s="417"/>
      <c r="G62" s="419"/>
      <c r="H62" s="419"/>
      <c r="I62" s="417">
        <f t="shared" si="0"/>
        <v>3869448.8880000003</v>
      </c>
      <c r="J62" s="417">
        <v>200000</v>
      </c>
      <c r="K62" s="417">
        <v>0.2</v>
      </c>
      <c r="L62" s="417">
        <f t="shared" si="1"/>
        <v>773889.77760000015</v>
      </c>
      <c r="M62" s="417">
        <f t="shared" si="2"/>
        <v>973889.77760000015</v>
      </c>
      <c r="N62" s="417">
        <f t="shared" si="3"/>
        <v>973889.77760000015</v>
      </c>
      <c r="O62" s="417">
        <f t="shared" si="4"/>
        <v>2895559.1104000001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272067.413184</v>
      </c>
      <c r="U62" s="417"/>
      <c r="V62" s="417">
        <f t="shared" si="11"/>
        <v>496067.413184</v>
      </c>
      <c r="W62" s="421">
        <v>12</v>
      </c>
      <c r="X62" s="417">
        <f t="shared" si="12"/>
        <v>41338.951098666665</v>
      </c>
      <c r="Y62" s="419"/>
      <c r="Z62" s="417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6">
        <v>56</v>
      </c>
      <c r="B63" s="155" t="s">
        <v>424</v>
      </c>
      <c r="C63" s="417">
        <v>322454.07400000002</v>
      </c>
      <c r="D63" s="418">
        <v>12</v>
      </c>
      <c r="E63" s="417">
        <f t="shared" si="37"/>
        <v>3869448.8880000003</v>
      </c>
      <c r="F63" s="417"/>
      <c r="G63" s="419"/>
      <c r="H63" s="419"/>
      <c r="I63" s="417">
        <f t="shared" si="0"/>
        <v>3869448.8880000003</v>
      </c>
      <c r="J63" s="417">
        <v>200000</v>
      </c>
      <c r="K63" s="417">
        <v>0.2</v>
      </c>
      <c r="L63" s="417">
        <f t="shared" si="1"/>
        <v>773889.77760000015</v>
      </c>
      <c r="M63" s="417">
        <f t="shared" si="2"/>
        <v>973889.77760000015</v>
      </c>
      <c r="N63" s="417">
        <f t="shared" si="3"/>
        <v>973889.77760000015</v>
      </c>
      <c r="O63" s="417">
        <f t="shared" si="4"/>
        <v>2895559.1104000001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272067.413184</v>
      </c>
      <c r="U63" s="417"/>
      <c r="V63" s="417">
        <f t="shared" si="11"/>
        <v>496067.413184</v>
      </c>
      <c r="W63" s="421">
        <v>12</v>
      </c>
      <c r="X63" s="417">
        <f t="shared" si="12"/>
        <v>41338.951098666665</v>
      </c>
      <c r="Y63" s="419"/>
      <c r="Z63" s="417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6">
        <v>57</v>
      </c>
      <c r="B64" s="155" t="s">
        <v>423</v>
      </c>
      <c r="C64" s="417">
        <v>322454.07400000002</v>
      </c>
      <c r="D64" s="418">
        <v>12</v>
      </c>
      <c r="E64" s="417">
        <f t="shared" si="37"/>
        <v>3869448.8880000003</v>
      </c>
      <c r="F64" s="417"/>
      <c r="G64" s="419"/>
      <c r="H64" s="419"/>
      <c r="I64" s="417">
        <f t="shared" si="0"/>
        <v>3869448.8880000003</v>
      </c>
      <c r="J64" s="417">
        <v>200000</v>
      </c>
      <c r="K64" s="417">
        <v>0.2</v>
      </c>
      <c r="L64" s="417">
        <f t="shared" si="1"/>
        <v>773889.77760000015</v>
      </c>
      <c r="M64" s="417">
        <f t="shared" si="2"/>
        <v>973889.77760000015</v>
      </c>
      <c r="N64" s="417">
        <f t="shared" si="3"/>
        <v>973889.77760000015</v>
      </c>
      <c r="O64" s="417">
        <f t="shared" si="4"/>
        <v>2895559.1104000001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272067.413184</v>
      </c>
      <c r="U64" s="417"/>
      <c r="V64" s="417">
        <f t="shared" si="11"/>
        <v>496067.413184</v>
      </c>
      <c r="W64" s="421">
        <v>12</v>
      </c>
      <c r="X64" s="417">
        <f t="shared" si="12"/>
        <v>41338.951098666665</v>
      </c>
      <c r="Y64" s="419"/>
      <c r="Z64" s="417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6">
        <v>58</v>
      </c>
      <c r="B65" s="155" t="s">
        <v>242</v>
      </c>
      <c r="C65" s="417">
        <v>334536.99849999999</v>
      </c>
      <c r="D65" s="418">
        <v>12</v>
      </c>
      <c r="E65" s="417">
        <f t="shared" si="37"/>
        <v>4014443.9819999998</v>
      </c>
      <c r="F65" s="417"/>
      <c r="G65" s="419"/>
      <c r="H65" s="419"/>
      <c r="I65" s="417">
        <f t="shared" si="0"/>
        <v>4014443.9819999998</v>
      </c>
      <c r="J65" s="417">
        <v>200000</v>
      </c>
      <c r="K65" s="417">
        <v>0.2</v>
      </c>
      <c r="L65" s="417">
        <f t="shared" si="1"/>
        <v>802888.79639999999</v>
      </c>
      <c r="M65" s="417">
        <f t="shared" si="2"/>
        <v>1002888.7964</v>
      </c>
      <c r="N65" s="417">
        <f t="shared" si="3"/>
        <v>1002888.7964</v>
      </c>
      <c r="O65" s="417">
        <f t="shared" si="4"/>
        <v>3011555.1856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296426.58897599997</v>
      </c>
      <c r="U65" s="417"/>
      <c r="V65" s="417">
        <f t="shared" si="11"/>
        <v>520426.58897599997</v>
      </c>
      <c r="W65" s="421">
        <v>12</v>
      </c>
      <c r="X65" s="417">
        <f t="shared" si="12"/>
        <v>43368.882414666667</v>
      </c>
      <c r="Y65" s="419"/>
      <c r="Z65" s="417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6">
        <v>59</v>
      </c>
      <c r="B66" s="155" t="s">
        <v>726</v>
      </c>
      <c r="C66" s="417">
        <v>277734.04699999996</v>
      </c>
      <c r="D66" s="418">
        <v>12</v>
      </c>
      <c r="E66" s="417">
        <f t="shared" si="37"/>
        <v>3332808.5639999993</v>
      </c>
      <c r="F66" s="417"/>
      <c r="G66" s="419"/>
      <c r="H66" s="419"/>
      <c r="I66" s="417">
        <f t="shared" si="0"/>
        <v>3332808.5639999993</v>
      </c>
      <c r="J66" s="417">
        <v>200000</v>
      </c>
      <c r="K66" s="417">
        <v>0.2</v>
      </c>
      <c r="L66" s="417">
        <f t="shared" si="1"/>
        <v>666561.71279999986</v>
      </c>
      <c r="M66" s="417">
        <f t="shared" si="2"/>
        <v>866561.71279999986</v>
      </c>
      <c r="N66" s="417">
        <f t="shared" si="3"/>
        <v>866561.71279999986</v>
      </c>
      <c r="O66" s="417">
        <f t="shared" si="4"/>
        <v>2466246.8511999995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181911.83875199987</v>
      </c>
      <c r="U66" s="417"/>
      <c r="V66" s="417">
        <f t="shared" si="11"/>
        <v>405911.83875199989</v>
      </c>
      <c r="W66" s="421">
        <v>12</v>
      </c>
      <c r="X66" s="417">
        <f t="shared" si="12"/>
        <v>33825.986562666658</v>
      </c>
      <c r="Y66" s="419"/>
      <c r="Z66" s="417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6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17"/>
      <c r="AA67" s="34"/>
      <c r="AB67" s="34"/>
      <c r="AC67" s="34"/>
      <c r="AD67" s="34"/>
      <c r="AE67" s="34"/>
    </row>
    <row r="68" spans="1:31" ht="18.75">
      <c r="A68" s="406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17"/>
      <c r="AA68" s="34"/>
      <c r="AB68" s="34"/>
      <c r="AC68" s="34"/>
      <c r="AD68" s="34"/>
      <c r="AE68" s="34"/>
    </row>
    <row r="69" spans="1:31" ht="18.75">
      <c r="A69" s="406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17"/>
      <c r="AA69" s="34"/>
      <c r="AB69" s="34"/>
      <c r="AC69" s="34"/>
      <c r="AD69" s="34"/>
      <c r="AE69" s="34"/>
    </row>
    <row r="70" spans="1:31" ht="18.75">
      <c r="A70" s="406"/>
      <c r="B70" s="155" t="s">
        <v>19</v>
      </c>
      <c r="C70" s="417">
        <v>1050209.0635000002</v>
      </c>
      <c r="D70" s="418">
        <v>12</v>
      </c>
      <c r="E70" s="417">
        <f>C70*D70</f>
        <v>12602508.762000002</v>
      </c>
      <c r="F70" s="417"/>
      <c r="G70" s="419"/>
      <c r="H70" s="419"/>
      <c r="I70" s="417">
        <f t="shared" ref="I70" si="39">E70-F70-G70-H70</f>
        <v>12602508.762000002</v>
      </c>
      <c r="J70" s="417">
        <v>200000</v>
      </c>
      <c r="K70" s="417">
        <v>0.2</v>
      </c>
      <c r="L70" s="417">
        <f t="shared" ref="L70" si="40">I70*K70</f>
        <v>2520501.7524000006</v>
      </c>
      <c r="M70" s="417">
        <f t="shared" ref="M70" si="41">J70+L70</f>
        <v>2720501.7524000006</v>
      </c>
      <c r="N70" s="417">
        <f t="shared" ref="N70" si="42">F70+G70+H70+M70</f>
        <v>2720501.7524000006</v>
      </c>
      <c r="O70" s="417">
        <f t="shared" ref="O70" si="43">E70-N70</f>
        <v>9882007.0096000023</v>
      </c>
      <c r="P70" s="417">
        <f t="shared" ref="P70" si="44">IF(O70&lt;300000,0.07*O70,21000)</f>
        <v>21000</v>
      </c>
      <c r="Q70" s="417">
        <f t="shared" ref="Q70" si="45">IF((O70-300000)&lt;0,0,IF((O70-300000)&lt;300000,0.11*(O70-300000),33000))</f>
        <v>33000</v>
      </c>
      <c r="R70" s="417">
        <f t="shared" ref="R70" si="46">IF((O70-600000)&lt;0,0,IF((O70-600000)&lt;500000,0.15*(O70-600000),75000))</f>
        <v>75000</v>
      </c>
      <c r="S70" s="417">
        <f t="shared" ref="S70" si="47">IF((O70-1100000)&lt;0,0,IF((O70-1100000)&lt;500000,0.19*(O70-1100000),95000))</f>
        <v>95000</v>
      </c>
      <c r="T70" s="417">
        <f t="shared" ref="T70" si="48">IF((O70-1600000)&lt;0,0,IF((O70-1600000)&lt;1600000,0.21*(O70-1600000),336000))</f>
        <v>336000</v>
      </c>
      <c r="U70" s="417">
        <f t="shared" ref="U70" si="49">24%*(O70-3200000)</f>
        <v>1603681.6823040005</v>
      </c>
      <c r="V70" s="417">
        <f t="shared" ref="V70" si="50">P70+Q70+R70+S70+T70+U70</f>
        <v>2163681.6823040005</v>
      </c>
      <c r="W70" s="421">
        <v>12</v>
      </c>
      <c r="X70" s="417">
        <f t="shared" ref="X70" si="51">V70/W70</f>
        <v>180306.80685866671</v>
      </c>
      <c r="Y70" s="419"/>
      <c r="Z70" s="417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6">
        <v>62</v>
      </c>
      <c r="B71" s="157" t="s">
        <v>325</v>
      </c>
      <c r="C71" s="417">
        <v>516137.05000000005</v>
      </c>
      <c r="D71" s="418">
        <v>12</v>
      </c>
      <c r="E71" s="417">
        <f t="shared" ref="E71:E76" si="53">C71*D71</f>
        <v>6193644.6000000006</v>
      </c>
      <c r="F71" s="417"/>
      <c r="G71" s="419"/>
      <c r="H71" s="419"/>
      <c r="I71" s="417">
        <f t="shared" si="0"/>
        <v>6193644.6000000006</v>
      </c>
      <c r="J71" s="417">
        <v>200000</v>
      </c>
      <c r="K71" s="417">
        <v>0.2</v>
      </c>
      <c r="L71" s="417">
        <f t="shared" si="1"/>
        <v>1238728.9200000002</v>
      </c>
      <c r="M71" s="417">
        <f t="shared" si="2"/>
        <v>1438728.9200000002</v>
      </c>
      <c r="N71" s="417">
        <f t="shared" si="3"/>
        <v>1438728.9200000002</v>
      </c>
      <c r="O71" s="417">
        <f t="shared" si="4"/>
        <v>4754915.6800000006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373179.76320000016</v>
      </c>
      <c r="V71" s="417">
        <f t="shared" si="11"/>
        <v>933179.76320000016</v>
      </c>
      <c r="W71" s="421">
        <v>12</v>
      </c>
      <c r="X71" s="417">
        <f t="shared" si="12"/>
        <v>77764.98026666668</v>
      </c>
      <c r="Y71" s="419"/>
      <c r="Z71" s="417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6">
        <v>63</v>
      </c>
      <c r="B72" s="156" t="s">
        <v>333</v>
      </c>
      <c r="C72" s="417">
        <v>447553.5025</v>
      </c>
      <c r="D72" s="418">
        <v>12</v>
      </c>
      <c r="E72" s="417">
        <f t="shared" si="53"/>
        <v>5370642.0300000003</v>
      </c>
      <c r="F72" s="417"/>
      <c r="G72" s="419"/>
      <c r="H72" s="419"/>
      <c r="I72" s="417">
        <f t="shared" si="0"/>
        <v>5370642.0300000003</v>
      </c>
      <c r="J72" s="417">
        <v>200000</v>
      </c>
      <c r="K72" s="417">
        <v>0.2</v>
      </c>
      <c r="L72" s="417">
        <f t="shared" si="1"/>
        <v>1074128.4060000002</v>
      </c>
      <c r="M72" s="417">
        <f t="shared" si="2"/>
        <v>1274128.4060000002</v>
      </c>
      <c r="N72" s="417">
        <f t="shared" si="3"/>
        <v>1274128.4060000002</v>
      </c>
      <c r="O72" s="417">
        <f t="shared" si="4"/>
        <v>4096513.6239999998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215163.26975999997</v>
      </c>
      <c r="V72" s="417">
        <f t="shared" si="11"/>
        <v>775163.26975999994</v>
      </c>
      <c r="W72" s="421">
        <v>12</v>
      </c>
      <c r="X72" s="417">
        <f t="shared" si="12"/>
        <v>64596.939146666664</v>
      </c>
      <c r="Y72" s="419"/>
      <c r="Z72" s="417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6">
        <v>64</v>
      </c>
      <c r="B73" s="155" t="s">
        <v>26</v>
      </c>
      <c r="C73" s="417">
        <v>405272.06374999997</v>
      </c>
      <c r="D73" s="418">
        <v>12</v>
      </c>
      <c r="E73" s="417">
        <f t="shared" si="53"/>
        <v>4863264.7649999997</v>
      </c>
      <c r="F73" s="417">
        <f>'[5]JANUARY 2024'!$V$78*12</f>
        <v>8019.795000000001</v>
      </c>
      <c r="G73" s="419"/>
      <c r="H73" s="419"/>
      <c r="I73" s="417">
        <f t="shared" si="0"/>
        <v>4855244.97</v>
      </c>
      <c r="J73" s="417">
        <v>200000</v>
      </c>
      <c r="K73" s="417">
        <v>0.2</v>
      </c>
      <c r="L73" s="417">
        <f t="shared" si="1"/>
        <v>971048.99399999995</v>
      </c>
      <c r="M73" s="417">
        <f t="shared" si="2"/>
        <v>1171048.9939999999</v>
      </c>
      <c r="N73" s="417">
        <f t="shared" si="3"/>
        <v>1179068.7889999999</v>
      </c>
      <c r="O73" s="417">
        <f t="shared" si="4"/>
        <v>3684195.9759999998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116207.03423999995</v>
      </c>
      <c r="V73" s="417">
        <f t="shared" si="11"/>
        <v>676207.03423999995</v>
      </c>
      <c r="W73" s="421">
        <v>12</v>
      </c>
      <c r="X73" s="417">
        <f t="shared" si="12"/>
        <v>56350.58618666666</v>
      </c>
      <c r="Y73" s="419"/>
      <c r="Z73" s="417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14" customFormat="1" ht="18.75">
      <c r="A74" s="411">
        <v>65</v>
      </c>
      <c r="B74" s="155" t="s">
        <v>324</v>
      </c>
      <c r="C74" s="417">
        <v>273169.11749999999</v>
      </c>
      <c r="D74" s="418">
        <v>12</v>
      </c>
      <c r="E74" s="417">
        <f t="shared" si="53"/>
        <v>3278029.41</v>
      </c>
      <c r="F74" s="417"/>
      <c r="G74" s="419"/>
      <c r="H74" s="419"/>
      <c r="I74" s="417">
        <f t="shared" si="0"/>
        <v>3278029.41</v>
      </c>
      <c r="J74" s="417">
        <v>200000</v>
      </c>
      <c r="K74" s="417">
        <v>0.2</v>
      </c>
      <c r="L74" s="417">
        <f t="shared" si="1"/>
        <v>655605.8820000001</v>
      </c>
      <c r="M74" s="417">
        <f t="shared" si="2"/>
        <v>855605.8820000001</v>
      </c>
      <c r="N74" s="417">
        <f t="shared" si="3"/>
        <v>855605.8820000001</v>
      </c>
      <c r="O74" s="417">
        <f t="shared" si="4"/>
        <v>2422423.5279999999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172708.94087999998</v>
      </c>
      <c r="U74" s="417"/>
      <c r="V74" s="417">
        <f t="shared" si="11"/>
        <v>396708.94088000001</v>
      </c>
      <c r="W74" s="421">
        <v>12</v>
      </c>
      <c r="X74" s="417">
        <f t="shared" si="12"/>
        <v>33059.078406666667</v>
      </c>
      <c r="Y74" s="419"/>
      <c r="Z74" s="438">
        <f t="shared" si="13"/>
        <v>33059.078406666667</v>
      </c>
      <c r="AA74" s="437">
        <v>17507.548966666665</v>
      </c>
      <c r="AB74" s="437">
        <f t="shared" si="54"/>
        <v>15551.529440000002</v>
      </c>
      <c r="AC74" s="413"/>
      <c r="AD74" s="413"/>
      <c r="AE74" s="413"/>
    </row>
    <row r="75" spans="1:31" ht="37.5">
      <c r="A75" s="406"/>
      <c r="B75" s="155" t="s">
        <v>554</v>
      </c>
      <c r="C75" s="417">
        <v>249356.04725</v>
      </c>
      <c r="D75" s="418">
        <v>12</v>
      </c>
      <c r="E75" s="417">
        <f t="shared" si="53"/>
        <v>2992272.5669999998</v>
      </c>
      <c r="F75" s="417"/>
      <c r="G75" s="419"/>
      <c r="H75" s="419"/>
      <c r="I75" s="417">
        <f t="shared" si="0"/>
        <v>2992272.5669999998</v>
      </c>
      <c r="J75" s="417">
        <v>200000</v>
      </c>
      <c r="K75" s="417">
        <v>0.2</v>
      </c>
      <c r="L75" s="417">
        <f t="shared" si="1"/>
        <v>598454.51339999994</v>
      </c>
      <c r="M75" s="417">
        <f t="shared" si="2"/>
        <v>798454.51339999994</v>
      </c>
      <c r="N75" s="417">
        <f t="shared" si="3"/>
        <v>798454.51339999994</v>
      </c>
      <c r="O75" s="417">
        <f t="shared" si="4"/>
        <v>2193818.0535999998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124701.79125599994</v>
      </c>
      <c r="U75" s="417"/>
      <c r="V75" s="417">
        <f t="shared" si="11"/>
        <v>348701.79125599994</v>
      </c>
      <c r="W75" s="421">
        <v>12</v>
      </c>
      <c r="X75" s="417">
        <f t="shared" si="12"/>
        <v>29058.48260466666</v>
      </c>
      <c r="Y75" s="419"/>
      <c r="Z75" s="417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6"/>
      <c r="B76" s="155" t="s">
        <v>552</v>
      </c>
      <c r="C76" s="417">
        <v>223717.28450000001</v>
      </c>
      <c r="D76" s="418">
        <v>12</v>
      </c>
      <c r="E76" s="417">
        <f t="shared" si="53"/>
        <v>2684607.4139999999</v>
      </c>
      <c r="F76" s="417"/>
      <c r="G76" s="419"/>
      <c r="H76" s="419"/>
      <c r="I76" s="417">
        <f t="shared" ref="I76" si="55">E76-F76-G76-H76</f>
        <v>2684607.4139999999</v>
      </c>
      <c r="J76" s="417">
        <v>200000</v>
      </c>
      <c r="K76" s="417">
        <v>0.2</v>
      </c>
      <c r="L76" s="417">
        <f t="shared" ref="L76" si="56">I76*K76</f>
        <v>536921.4828</v>
      </c>
      <c r="M76" s="417">
        <f t="shared" ref="M76" si="57">J76+L76</f>
        <v>736921.4828</v>
      </c>
      <c r="N76" s="417">
        <f t="shared" ref="N76" si="58">F76+G76+H76+M76</f>
        <v>736921.4828</v>
      </c>
      <c r="O76" s="417">
        <f t="shared" ref="O76" si="59">E76-N76</f>
        <v>1947685.9312</v>
      </c>
      <c r="P76" s="417">
        <f t="shared" ref="P76" si="60">IF(O76&lt;300000,0.07*O76,21000)</f>
        <v>21000</v>
      </c>
      <c r="Q76" s="417">
        <f t="shared" ref="Q76" si="61">IF((O76-300000)&lt;0,0,IF((O76-300000)&lt;300000,0.11*(O76-300000),33000))</f>
        <v>33000</v>
      </c>
      <c r="R76" s="417">
        <f t="shared" ref="R76" si="62">IF((O76-600000)&lt;0,0,IF((O76-600000)&lt;500000,0.15*(O76-600000),75000))</f>
        <v>75000</v>
      </c>
      <c r="S76" s="417">
        <f t="shared" ref="S76" si="63">IF((O76-1100000)&lt;0,0,IF((O76-1100000)&lt;500000,0.19*(O76-1100000),95000))</f>
        <v>95000</v>
      </c>
      <c r="T76" s="417">
        <f t="shared" ref="T76" si="64">IF((O76-1600000)&lt;0,0,IF((O76-1600000)&lt;1600000,0.21*(O76-1600000),336000))</f>
        <v>73014.045551999996</v>
      </c>
      <c r="U76" s="417">
        <v>0</v>
      </c>
      <c r="V76" s="417">
        <f t="shared" ref="V76" si="65">P76+Q76+R76+S76+T76+U76</f>
        <v>297014.045552</v>
      </c>
      <c r="W76" s="421">
        <v>12</v>
      </c>
      <c r="X76" s="417">
        <f t="shared" ref="X76" si="66">V76/W76</f>
        <v>24751.170462666665</v>
      </c>
      <c r="Y76" s="419"/>
      <c r="Z76" s="417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6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17"/>
      <c r="AA77" s="34"/>
      <c r="AB77" s="416">
        <f>SUM(AB70:AB76)</f>
        <v>15551.529440000002</v>
      </c>
      <c r="AC77" s="34"/>
      <c r="AD77" s="34"/>
      <c r="AE77" s="34"/>
    </row>
    <row r="78" spans="1:31" ht="18.75">
      <c r="A78" s="406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17"/>
      <c r="AA78" s="34"/>
      <c r="AB78" s="34"/>
      <c r="AC78" s="34"/>
      <c r="AD78" s="34"/>
      <c r="AE78" s="34"/>
    </row>
    <row r="79" spans="1:31" ht="37.5">
      <c r="A79" s="406">
        <v>67</v>
      </c>
      <c r="B79" s="158" t="s">
        <v>463</v>
      </c>
      <c r="C79" s="417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B79" t="s">
        <v>759</v>
      </c>
      <c r="AC79" s="34"/>
      <c r="AD79" s="34"/>
      <c r="AE79" s="34"/>
    </row>
    <row r="80" spans="1:31" ht="18.75">
      <c r="A80" s="406">
        <v>68</v>
      </c>
      <c r="B80" s="155" t="s">
        <v>169</v>
      </c>
      <c r="C80" s="417">
        <v>627553.50249999994</v>
      </c>
      <c r="D80" s="418">
        <v>12</v>
      </c>
      <c r="E80" s="417">
        <f>C80*D80</f>
        <v>7530642.0299999993</v>
      </c>
      <c r="F80" s="417"/>
      <c r="G80" s="419"/>
      <c r="H80" s="419"/>
      <c r="I80" s="417">
        <f t="shared" ref="I80:I89" si="68">E80-F80-G80-H80</f>
        <v>7530642.0299999993</v>
      </c>
      <c r="J80" s="417">
        <v>200000</v>
      </c>
      <c r="K80" s="417">
        <v>0.2</v>
      </c>
      <c r="L80" s="417">
        <f t="shared" ref="L80:L89" si="69">I80*K80</f>
        <v>1506128.406</v>
      </c>
      <c r="M80" s="417">
        <f t="shared" ref="M80:M89" si="70">J80+L80</f>
        <v>1706128.406</v>
      </c>
      <c r="N80" s="417">
        <f t="shared" ref="N80:N89" si="71">F80+G80+H80+M80</f>
        <v>1706128.406</v>
      </c>
      <c r="O80" s="417">
        <f t="shared" ref="O80:O89" si="72">E80-N80</f>
        <v>5824513.6239999998</v>
      </c>
      <c r="P80" s="417">
        <f t="shared" ref="P80:P89" si="73">IF(O80&lt;300000,0.07*O80,21000)</f>
        <v>21000</v>
      </c>
      <c r="Q80" s="417">
        <f t="shared" ref="Q80:Q89" si="74">IF((O80-300000)&lt;0,0,IF((O80-300000)&lt;300000,0.11*(O80-300000),33000))</f>
        <v>33000</v>
      </c>
      <c r="R80" s="417">
        <f t="shared" ref="R80:R89" si="75">IF((O80-600000)&lt;0,0,IF((O80-600000)&lt;500000,0.15*(O80-600000),75000))</f>
        <v>75000</v>
      </c>
      <c r="S80" s="417">
        <f t="shared" ref="S80:S89" si="76">IF((O80-1100000)&lt;0,0,IF((O80-1100000)&lt;500000,0.19*(O80-1100000),95000))</f>
        <v>95000</v>
      </c>
      <c r="T80" s="417">
        <f t="shared" ref="T80:T89" si="77">IF((O80-1600000)&lt;0,0,IF((O80-1600000)&lt;1600000,0.21*(O80-1600000),336000))</f>
        <v>336000</v>
      </c>
      <c r="U80" s="417">
        <f t="shared" ref="U80:U85" si="78">24%*(O80-3200000)</f>
        <v>629883.26975999994</v>
      </c>
      <c r="V80" s="417">
        <f t="shared" ref="V80:V89" si="79">P80+Q80+R80+S80+T80+U80</f>
        <v>1189883.2697600001</v>
      </c>
      <c r="W80" s="421">
        <v>12</v>
      </c>
      <c r="X80" s="417">
        <f t="shared" ref="X80:X89" si="80">V80/W80</f>
        <v>99156.939146666671</v>
      </c>
      <c r="Y80" s="419"/>
      <c r="Z80" s="417">
        <f t="shared" ref="Z80:Z89" si="81">X80</f>
        <v>99156.939146666671</v>
      </c>
      <c r="AA80" s="409">
        <v>99156.939146666671</v>
      </c>
      <c r="AB80" s="415">
        <f>Z80-AA80</f>
        <v>0</v>
      </c>
      <c r="AC80" s="34" t="s">
        <v>169</v>
      </c>
      <c r="AD80" s="34"/>
      <c r="AE80" s="34"/>
    </row>
    <row r="81" spans="1:31" s="414" customFormat="1" ht="18.75">
      <c r="A81" s="411">
        <v>69</v>
      </c>
      <c r="B81" s="155" t="s">
        <v>192</v>
      </c>
      <c r="C81" s="417">
        <v>527553.50249999994</v>
      </c>
      <c r="D81" s="418">
        <v>12</v>
      </c>
      <c r="E81" s="417">
        <f t="shared" ref="E81:E86" si="82">C81*D81</f>
        <v>6330642.0299999993</v>
      </c>
      <c r="F81" s="417">
        <f>'[5]JANUARY 2024'!$V$86*12</f>
        <v>10052.25</v>
      </c>
      <c r="G81" s="419"/>
      <c r="H81" s="419"/>
      <c r="I81" s="417">
        <f t="shared" si="68"/>
        <v>6320589.7799999993</v>
      </c>
      <c r="J81" s="417">
        <v>200000</v>
      </c>
      <c r="K81" s="417">
        <v>0.2</v>
      </c>
      <c r="L81" s="417">
        <f t="shared" si="69"/>
        <v>1264117.956</v>
      </c>
      <c r="M81" s="417">
        <f t="shared" si="70"/>
        <v>1464117.956</v>
      </c>
      <c r="N81" s="417">
        <f t="shared" si="71"/>
        <v>1474170.206</v>
      </c>
      <c r="O81" s="417">
        <f t="shared" si="72"/>
        <v>4856471.8239999991</v>
      </c>
      <c r="P81" s="417">
        <f t="shared" si="73"/>
        <v>21000</v>
      </c>
      <c r="Q81" s="417">
        <f t="shared" si="74"/>
        <v>33000</v>
      </c>
      <c r="R81" s="417">
        <f t="shared" si="75"/>
        <v>75000</v>
      </c>
      <c r="S81" s="417">
        <f t="shared" si="76"/>
        <v>95000</v>
      </c>
      <c r="T81" s="417">
        <f t="shared" si="77"/>
        <v>336000</v>
      </c>
      <c r="U81" s="417">
        <f t="shared" si="78"/>
        <v>397553.23775999976</v>
      </c>
      <c r="V81" s="417">
        <f t="shared" si="79"/>
        <v>957553.2377599997</v>
      </c>
      <c r="W81" s="421">
        <v>12</v>
      </c>
      <c r="X81" s="417">
        <f t="shared" si="80"/>
        <v>79796.103146666646</v>
      </c>
      <c r="Y81" s="419"/>
      <c r="Z81" s="417">
        <f t="shared" si="81"/>
        <v>79796.103146666646</v>
      </c>
      <c r="AA81" s="409">
        <v>98996.103146666661</v>
      </c>
      <c r="AB81" s="415">
        <f t="shared" ref="AB81:AB86" si="83">Z81-AA81</f>
        <v>-19200.000000000015</v>
      </c>
      <c r="AC81" s="413" t="s">
        <v>192</v>
      </c>
      <c r="AD81" s="413"/>
      <c r="AE81" s="413"/>
    </row>
    <row r="82" spans="1:31" s="414" customFormat="1" ht="37.5">
      <c r="A82" s="411">
        <v>70</v>
      </c>
      <c r="B82" s="155" t="s">
        <v>202</v>
      </c>
      <c r="C82" s="417">
        <v>504729.22200000007</v>
      </c>
      <c r="D82" s="418">
        <v>12</v>
      </c>
      <c r="E82" s="417">
        <f t="shared" si="82"/>
        <v>6056750.6640000008</v>
      </c>
      <c r="F82" s="417"/>
      <c r="G82" s="419"/>
      <c r="H82" s="419"/>
      <c r="I82" s="417">
        <f t="shared" si="68"/>
        <v>6056750.6640000008</v>
      </c>
      <c r="J82" s="417">
        <v>200000</v>
      </c>
      <c r="K82" s="417">
        <v>0.2</v>
      </c>
      <c r="L82" s="417">
        <f t="shared" si="69"/>
        <v>1211350.1328000003</v>
      </c>
      <c r="M82" s="417">
        <f t="shared" si="70"/>
        <v>1411350.1328000003</v>
      </c>
      <c r="N82" s="417">
        <f t="shared" si="71"/>
        <v>1411350.1328000003</v>
      </c>
      <c r="O82" s="417">
        <f t="shared" si="72"/>
        <v>4645400.531200001</v>
      </c>
      <c r="P82" s="417">
        <f t="shared" si="73"/>
        <v>21000</v>
      </c>
      <c r="Q82" s="417">
        <f t="shared" si="74"/>
        <v>33000</v>
      </c>
      <c r="R82" s="417">
        <f t="shared" si="75"/>
        <v>75000</v>
      </c>
      <c r="S82" s="417">
        <f t="shared" si="76"/>
        <v>95000</v>
      </c>
      <c r="T82" s="417">
        <f t="shared" si="77"/>
        <v>336000</v>
      </c>
      <c r="U82" s="417">
        <f t="shared" si="78"/>
        <v>346896.1274880002</v>
      </c>
      <c r="V82" s="417">
        <f t="shared" si="79"/>
        <v>906896.1274880002</v>
      </c>
      <c r="W82" s="421">
        <v>12</v>
      </c>
      <c r="X82" s="417">
        <f t="shared" si="80"/>
        <v>75574.677290666688</v>
      </c>
      <c r="Y82" s="419"/>
      <c r="Z82" s="417">
        <f t="shared" si="81"/>
        <v>75574.677290666688</v>
      </c>
      <c r="AA82" s="412">
        <v>79956.939146666657</v>
      </c>
      <c r="AB82" s="415">
        <f t="shared" si="83"/>
        <v>-4382.2618559999682</v>
      </c>
      <c r="AC82" s="413" t="s">
        <v>202</v>
      </c>
      <c r="AD82" s="413"/>
      <c r="AE82" s="413"/>
    </row>
    <row r="83" spans="1:31" ht="18.75">
      <c r="A83" s="406">
        <v>71</v>
      </c>
      <c r="B83" s="155" t="s">
        <v>101</v>
      </c>
      <c r="C83" s="417">
        <v>376663.07749999996</v>
      </c>
      <c r="D83" s="418">
        <v>12</v>
      </c>
      <c r="E83" s="417">
        <f t="shared" si="82"/>
        <v>4519956.93</v>
      </c>
      <c r="F83" s="417"/>
      <c r="G83" s="419"/>
      <c r="H83" s="419"/>
      <c r="I83" s="417">
        <f t="shared" si="68"/>
        <v>4519956.93</v>
      </c>
      <c r="J83" s="417">
        <v>200000</v>
      </c>
      <c r="K83" s="417">
        <v>0.2</v>
      </c>
      <c r="L83" s="417">
        <f t="shared" si="69"/>
        <v>903991.38599999994</v>
      </c>
      <c r="M83" s="417">
        <f t="shared" si="70"/>
        <v>1103991.3859999999</v>
      </c>
      <c r="N83" s="417">
        <f t="shared" si="71"/>
        <v>1103991.3859999999</v>
      </c>
      <c r="O83" s="417">
        <f t="shared" si="72"/>
        <v>3415965.5439999998</v>
      </c>
      <c r="P83" s="417">
        <f t="shared" si="73"/>
        <v>21000</v>
      </c>
      <c r="Q83" s="417">
        <f t="shared" si="74"/>
        <v>33000</v>
      </c>
      <c r="R83" s="417">
        <f t="shared" si="75"/>
        <v>75000</v>
      </c>
      <c r="S83" s="417">
        <f t="shared" si="76"/>
        <v>95000</v>
      </c>
      <c r="T83" s="417">
        <f t="shared" si="77"/>
        <v>336000</v>
      </c>
      <c r="U83" s="417">
        <f t="shared" si="78"/>
        <v>51831.730559999938</v>
      </c>
      <c r="V83" s="417">
        <f t="shared" si="79"/>
        <v>611831.73055999994</v>
      </c>
      <c r="W83" s="421">
        <v>12</v>
      </c>
      <c r="X83" s="417">
        <f t="shared" si="80"/>
        <v>50985.977546666662</v>
      </c>
      <c r="Y83" s="419"/>
      <c r="Z83" s="417">
        <f t="shared" si="81"/>
        <v>50985.977546666662</v>
      </c>
      <c r="AA83" s="412">
        <v>75574.677290666688</v>
      </c>
      <c r="AB83" s="415">
        <f t="shared" si="83"/>
        <v>-24588.699744000027</v>
      </c>
      <c r="AC83" s="34" t="s">
        <v>101</v>
      </c>
      <c r="AD83" s="34"/>
      <c r="AE83" s="34"/>
    </row>
    <row r="84" spans="1:31" ht="18.75">
      <c r="A84" s="406">
        <v>72</v>
      </c>
      <c r="B84" s="155" t="s">
        <v>336</v>
      </c>
      <c r="C84" s="417">
        <v>369177.65375</v>
      </c>
      <c r="D84" s="418">
        <v>12</v>
      </c>
      <c r="E84" s="417">
        <f t="shared" si="82"/>
        <v>4430131.8449999997</v>
      </c>
      <c r="F84" s="417"/>
      <c r="G84" s="419"/>
      <c r="H84" s="419"/>
      <c r="I84" s="417">
        <f t="shared" si="68"/>
        <v>4430131.8449999997</v>
      </c>
      <c r="J84" s="417">
        <v>200000</v>
      </c>
      <c r="K84" s="417">
        <v>0.2</v>
      </c>
      <c r="L84" s="417">
        <f t="shared" si="69"/>
        <v>886026.36899999995</v>
      </c>
      <c r="M84" s="417">
        <f t="shared" si="70"/>
        <v>1086026.3689999999</v>
      </c>
      <c r="N84" s="417">
        <f t="shared" si="71"/>
        <v>1086026.3689999999</v>
      </c>
      <c r="O84" s="417">
        <f t="shared" si="72"/>
        <v>3344105.4759999998</v>
      </c>
      <c r="P84" s="417">
        <f t="shared" si="73"/>
        <v>21000</v>
      </c>
      <c r="Q84" s="417">
        <f t="shared" si="74"/>
        <v>33000</v>
      </c>
      <c r="R84" s="417">
        <f t="shared" si="75"/>
        <v>75000</v>
      </c>
      <c r="S84" s="417">
        <f t="shared" si="76"/>
        <v>95000</v>
      </c>
      <c r="T84" s="417">
        <f t="shared" si="77"/>
        <v>336000</v>
      </c>
      <c r="U84" s="417">
        <f t="shared" si="78"/>
        <v>34585.314239999949</v>
      </c>
      <c r="V84" s="417">
        <f t="shared" si="79"/>
        <v>594585.31423999998</v>
      </c>
      <c r="W84" s="421">
        <v>12</v>
      </c>
      <c r="X84" s="417">
        <f t="shared" si="80"/>
        <v>49548.776186666662</v>
      </c>
      <c r="Y84" s="419"/>
      <c r="Z84" s="417">
        <f t="shared" si="81"/>
        <v>49548.776186666662</v>
      </c>
      <c r="AA84" s="409">
        <v>50985.977546666662</v>
      </c>
      <c r="AB84" s="415">
        <f t="shared" si="83"/>
        <v>-1437.2013599999991</v>
      </c>
      <c r="AC84" s="34" t="s">
        <v>336</v>
      </c>
      <c r="AD84" s="34"/>
      <c r="AE84" s="34"/>
    </row>
    <row r="85" spans="1:31" s="414" customFormat="1" ht="37.5">
      <c r="A85" s="411">
        <v>73</v>
      </c>
      <c r="B85" s="155" t="s">
        <v>337</v>
      </c>
      <c r="C85" s="417">
        <v>389153.05674999999</v>
      </c>
      <c r="D85" s="418">
        <v>12</v>
      </c>
      <c r="E85" s="417">
        <f t="shared" si="82"/>
        <v>4669836.6809999999</v>
      </c>
      <c r="F85" s="417"/>
      <c r="G85" s="419"/>
      <c r="H85" s="419"/>
      <c r="I85" s="417">
        <f t="shared" si="68"/>
        <v>4669836.6809999999</v>
      </c>
      <c r="J85" s="417">
        <v>200000</v>
      </c>
      <c r="K85" s="417">
        <v>0.2</v>
      </c>
      <c r="L85" s="417">
        <f t="shared" si="69"/>
        <v>933967.33620000002</v>
      </c>
      <c r="M85" s="417">
        <f t="shared" si="70"/>
        <v>1133967.3362</v>
      </c>
      <c r="N85" s="417">
        <f t="shared" si="71"/>
        <v>1133967.3362</v>
      </c>
      <c r="O85" s="417">
        <f t="shared" si="72"/>
        <v>3535869.3448000001</v>
      </c>
      <c r="P85" s="417">
        <f t="shared" si="73"/>
        <v>21000</v>
      </c>
      <c r="Q85" s="417">
        <f t="shared" si="74"/>
        <v>33000</v>
      </c>
      <c r="R85" s="417">
        <f t="shared" si="75"/>
        <v>75000</v>
      </c>
      <c r="S85" s="417">
        <f t="shared" si="76"/>
        <v>95000</v>
      </c>
      <c r="T85" s="417">
        <f t="shared" si="77"/>
        <v>336000</v>
      </c>
      <c r="U85" s="417">
        <f t="shared" si="78"/>
        <v>80608.642752000014</v>
      </c>
      <c r="V85" s="417">
        <f t="shared" si="79"/>
        <v>640608.64275200001</v>
      </c>
      <c r="W85" s="421">
        <v>12</v>
      </c>
      <c r="X85" s="417">
        <f t="shared" si="80"/>
        <v>53384.053562666668</v>
      </c>
      <c r="Y85" s="419"/>
      <c r="Z85" s="438">
        <f t="shared" si="81"/>
        <v>53384.053562666668</v>
      </c>
      <c r="AA85" s="438">
        <v>49548.776186666662</v>
      </c>
      <c r="AB85" s="439">
        <f t="shared" si="83"/>
        <v>3835.2773760000055</v>
      </c>
      <c r="AC85" s="413" t="s">
        <v>337</v>
      </c>
      <c r="AD85" s="413"/>
      <c r="AE85" s="413"/>
    </row>
    <row r="86" spans="1:31" ht="18.75">
      <c r="A86" s="406">
        <v>74</v>
      </c>
      <c r="B86" s="155" t="s">
        <v>421</v>
      </c>
      <c r="C86" s="417">
        <v>322454.07400000002</v>
      </c>
      <c r="D86" s="418">
        <v>12</v>
      </c>
      <c r="E86" s="417">
        <f t="shared" si="82"/>
        <v>3869448.8880000003</v>
      </c>
      <c r="F86" s="417"/>
      <c r="G86" s="419"/>
      <c r="H86" s="419"/>
      <c r="I86" s="417">
        <f t="shared" si="68"/>
        <v>3869448.8880000003</v>
      </c>
      <c r="J86" s="417">
        <v>200000</v>
      </c>
      <c r="K86" s="417">
        <v>0.2</v>
      </c>
      <c r="L86" s="417">
        <f t="shared" si="69"/>
        <v>773889.77760000015</v>
      </c>
      <c r="M86" s="417">
        <f t="shared" si="70"/>
        <v>973889.77760000015</v>
      </c>
      <c r="N86" s="417">
        <f t="shared" si="71"/>
        <v>973889.77760000015</v>
      </c>
      <c r="O86" s="417">
        <f t="shared" si="72"/>
        <v>2895559.1104000001</v>
      </c>
      <c r="P86" s="417">
        <f t="shared" si="73"/>
        <v>21000</v>
      </c>
      <c r="Q86" s="417">
        <f t="shared" si="74"/>
        <v>33000</v>
      </c>
      <c r="R86" s="417">
        <f t="shared" si="75"/>
        <v>75000</v>
      </c>
      <c r="S86" s="417">
        <f t="shared" si="76"/>
        <v>95000</v>
      </c>
      <c r="T86" s="417">
        <f t="shared" si="77"/>
        <v>272067.413184</v>
      </c>
      <c r="U86" s="417"/>
      <c r="V86" s="417">
        <f t="shared" si="79"/>
        <v>496067.413184</v>
      </c>
      <c r="W86" s="421">
        <v>12</v>
      </c>
      <c r="X86" s="417">
        <f t="shared" si="80"/>
        <v>41338.951098666665</v>
      </c>
      <c r="Y86" s="419"/>
      <c r="Z86" s="417">
        <f t="shared" si="81"/>
        <v>41338.951098666665</v>
      </c>
      <c r="AA86" s="412">
        <v>53384.053562666668</v>
      </c>
      <c r="AB86" s="415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6">
        <v>75</v>
      </c>
      <c r="B87" s="155" t="s">
        <v>556</v>
      </c>
      <c r="C87" s="417">
        <v>346713.03325000004</v>
      </c>
      <c r="D87" s="418">
        <v>12</v>
      </c>
      <c r="E87" s="417">
        <f>C87*D87</f>
        <v>4160556.3990000002</v>
      </c>
      <c r="F87" s="417">
        <f>'[5]JANUARY 2024'!$V$92*12</f>
        <v>6922.4970000000012</v>
      </c>
      <c r="G87" s="419"/>
      <c r="H87" s="419"/>
      <c r="I87" s="417">
        <f t="shared" si="68"/>
        <v>4153633.9020000002</v>
      </c>
      <c r="J87" s="417">
        <v>200000</v>
      </c>
      <c r="K87" s="417">
        <v>0.2</v>
      </c>
      <c r="L87" s="417">
        <f t="shared" si="69"/>
        <v>830726.78040000005</v>
      </c>
      <c r="M87" s="417">
        <f t="shared" si="70"/>
        <v>1030726.7804</v>
      </c>
      <c r="N87" s="417">
        <f t="shared" si="71"/>
        <v>1037649.2774</v>
      </c>
      <c r="O87" s="417">
        <f t="shared" si="72"/>
        <v>3122907.1216000002</v>
      </c>
      <c r="P87" s="417">
        <f t="shared" si="73"/>
        <v>21000</v>
      </c>
      <c r="Q87" s="417">
        <f t="shared" si="74"/>
        <v>33000</v>
      </c>
      <c r="R87" s="417">
        <f t="shared" si="75"/>
        <v>75000</v>
      </c>
      <c r="S87" s="417">
        <f t="shared" si="76"/>
        <v>95000</v>
      </c>
      <c r="T87" s="417">
        <f t="shared" si="77"/>
        <v>319810.495536</v>
      </c>
      <c r="U87" s="417"/>
      <c r="V87" s="417">
        <f t="shared" si="79"/>
        <v>543810.495536</v>
      </c>
      <c r="W87" s="421">
        <v>12</v>
      </c>
      <c r="X87" s="417">
        <f t="shared" si="80"/>
        <v>45317.541294666669</v>
      </c>
      <c r="Y87" s="419"/>
      <c r="Z87" s="438">
        <f t="shared" si="81"/>
        <v>45317.541294666669</v>
      </c>
      <c r="AA87" s="438">
        <v>41242.036140666671</v>
      </c>
      <c r="AB87" s="439">
        <f>Z87-AA87</f>
        <v>4075.5051539999986</v>
      </c>
      <c r="AC87" s="34" t="s">
        <v>556</v>
      </c>
      <c r="AD87" s="34"/>
      <c r="AE87" s="34"/>
    </row>
    <row r="88" spans="1:31" ht="18.75">
      <c r="A88" s="406">
        <v>76</v>
      </c>
      <c r="B88" s="155" t="s">
        <v>436</v>
      </c>
      <c r="C88" s="417">
        <v>277734.04699999996</v>
      </c>
      <c r="D88" s="418">
        <v>12</v>
      </c>
      <c r="E88" s="417">
        <f t="shared" ref="E88:E89" si="84">C88*D88</f>
        <v>3332808.5639999993</v>
      </c>
      <c r="F88" s="417"/>
      <c r="G88" s="419"/>
      <c r="H88" s="419"/>
      <c r="I88" s="417">
        <f t="shared" si="68"/>
        <v>3332808.5639999993</v>
      </c>
      <c r="J88" s="417">
        <v>200000</v>
      </c>
      <c r="K88" s="417">
        <v>0.2</v>
      </c>
      <c r="L88" s="417">
        <f t="shared" si="69"/>
        <v>666561.71279999986</v>
      </c>
      <c r="M88" s="417">
        <f t="shared" si="70"/>
        <v>866561.71279999986</v>
      </c>
      <c r="N88" s="417">
        <f t="shared" si="71"/>
        <v>866561.71279999986</v>
      </c>
      <c r="O88" s="417">
        <f t="shared" si="72"/>
        <v>2466246.8511999995</v>
      </c>
      <c r="P88" s="417">
        <f t="shared" si="73"/>
        <v>21000</v>
      </c>
      <c r="Q88" s="417">
        <f t="shared" si="74"/>
        <v>33000</v>
      </c>
      <c r="R88" s="417">
        <f t="shared" si="75"/>
        <v>75000</v>
      </c>
      <c r="S88" s="417">
        <f t="shared" si="76"/>
        <v>95000</v>
      </c>
      <c r="T88" s="417">
        <f t="shared" si="77"/>
        <v>181911.83875199987</v>
      </c>
      <c r="U88" s="417"/>
      <c r="V88" s="417">
        <f t="shared" si="79"/>
        <v>405911.83875199989</v>
      </c>
      <c r="W88" s="421">
        <v>12</v>
      </c>
      <c r="X88" s="417">
        <f t="shared" si="80"/>
        <v>33825.986562666658</v>
      </c>
      <c r="Y88" s="419"/>
      <c r="Z88" s="417">
        <f t="shared" si="81"/>
        <v>33825.986562666658</v>
      </c>
      <c r="AA88" s="409">
        <v>45414.456252666663</v>
      </c>
      <c r="AB88" s="415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6"/>
      <c r="B89" s="155" t="s">
        <v>406</v>
      </c>
      <c r="C89" s="417">
        <v>254870.26344499999</v>
      </c>
      <c r="D89" s="418">
        <v>12</v>
      </c>
      <c r="E89" s="417">
        <f t="shared" si="84"/>
        <v>3058443.1613400001</v>
      </c>
      <c r="F89" s="417"/>
      <c r="G89" s="419"/>
      <c r="H89" s="419"/>
      <c r="I89" s="417">
        <f t="shared" si="68"/>
        <v>3058443.1613400001</v>
      </c>
      <c r="J89" s="417">
        <v>200000</v>
      </c>
      <c r="K89" s="417">
        <v>0.2</v>
      </c>
      <c r="L89" s="417">
        <f t="shared" si="69"/>
        <v>611688.63226800004</v>
      </c>
      <c r="M89" s="417">
        <f t="shared" si="70"/>
        <v>811688.63226800004</v>
      </c>
      <c r="N89" s="417">
        <f t="shared" si="71"/>
        <v>811688.63226800004</v>
      </c>
      <c r="O89" s="417">
        <f t="shared" si="72"/>
        <v>2246754.5290720002</v>
      </c>
      <c r="P89" s="417">
        <f t="shared" si="73"/>
        <v>21000</v>
      </c>
      <c r="Q89" s="417">
        <f t="shared" si="74"/>
        <v>33000</v>
      </c>
      <c r="R89" s="417">
        <f t="shared" si="75"/>
        <v>75000</v>
      </c>
      <c r="S89" s="417">
        <f t="shared" si="76"/>
        <v>95000</v>
      </c>
      <c r="T89" s="417">
        <f t="shared" si="77"/>
        <v>135818.45110512004</v>
      </c>
      <c r="U89" s="417"/>
      <c r="V89" s="417">
        <f t="shared" si="79"/>
        <v>359818.45110512001</v>
      </c>
      <c r="W89" s="421">
        <v>12</v>
      </c>
      <c r="X89" s="417">
        <f t="shared" si="80"/>
        <v>29984.870925426669</v>
      </c>
      <c r="Y89" s="419"/>
      <c r="Z89" s="417">
        <f t="shared" si="81"/>
        <v>29984.870925426669</v>
      </c>
      <c r="AA89" s="409">
        <v>33825.986562666658</v>
      </c>
      <c r="AB89" s="415">
        <f t="shared" si="85"/>
        <v>-3841.1156372399892</v>
      </c>
      <c r="AC89" s="34" t="s">
        <v>406</v>
      </c>
      <c r="AD89" s="34"/>
      <c r="AE89" s="34"/>
    </row>
    <row r="90" spans="1:31" ht="18.75">
      <c r="A90" s="406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17"/>
      <c r="AA90" s="34"/>
      <c r="AB90" s="416">
        <f>SUM(AB80:AB89)</f>
        <v>-69172.068221239999</v>
      </c>
      <c r="AC90" s="34"/>
      <c r="AD90" s="34"/>
      <c r="AE90" s="34"/>
    </row>
    <row r="91" spans="1:31" ht="18.75">
      <c r="A91" s="406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17"/>
      <c r="AA91" s="34"/>
      <c r="AB91" s="34"/>
      <c r="AC91" s="34"/>
      <c r="AD91" s="34"/>
      <c r="AE91" s="34"/>
    </row>
    <row r="92" spans="1:31" ht="18.75">
      <c r="A92" s="406">
        <v>78</v>
      </c>
      <c r="B92" s="158" t="s">
        <v>464</v>
      </c>
      <c r="C92" s="417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C92" s="34"/>
      <c r="AD92" s="34"/>
      <c r="AE92" s="34"/>
    </row>
    <row r="93" spans="1:31" s="414" customFormat="1" ht="37.5">
      <c r="A93" s="411">
        <v>79</v>
      </c>
      <c r="B93" s="157" t="s">
        <v>112</v>
      </c>
      <c r="C93" s="417">
        <v>541465.02474999998</v>
      </c>
      <c r="D93" s="418">
        <v>12</v>
      </c>
      <c r="E93" s="417">
        <f>C93*D93</f>
        <v>6497580.2970000003</v>
      </c>
      <c r="F93" s="417">
        <f>'[5]JANUARY 2024'!$V$98*12</f>
        <v>12795.951000000001</v>
      </c>
      <c r="G93" s="419"/>
      <c r="H93" s="419"/>
      <c r="I93" s="417">
        <f>E93-F93-G93-H93</f>
        <v>6484784.3459999999</v>
      </c>
      <c r="J93" s="417">
        <v>200000</v>
      </c>
      <c r="K93" s="417">
        <v>0.2</v>
      </c>
      <c r="L93" s="417">
        <f>I93*K93</f>
        <v>1296956.8692000001</v>
      </c>
      <c r="M93" s="417">
        <f>J93+L93</f>
        <v>1496956.8692000001</v>
      </c>
      <c r="N93" s="417">
        <f>F93+G93+H93+M93</f>
        <v>1509752.8202</v>
      </c>
      <c r="O93" s="417">
        <f>E93-N93</f>
        <v>4987827.4768000003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429078.59443200007</v>
      </c>
      <c r="V93" s="417">
        <f>P93+Q93+R93+S93+T93+U93</f>
        <v>989078.59443200007</v>
      </c>
      <c r="W93" s="421">
        <v>12</v>
      </c>
      <c r="X93" s="417">
        <f>V93/W93</f>
        <v>82423.216202666677</v>
      </c>
      <c r="Y93" s="419"/>
      <c r="Z93" s="417">
        <f>X93</f>
        <v>82423.216202666677</v>
      </c>
      <c r="AA93" s="34">
        <v>82423.216202666677</v>
      </c>
      <c r="AB93" s="415">
        <f>Z93-AA93</f>
        <v>0</v>
      </c>
      <c r="AC93" s="413" t="s">
        <v>112</v>
      </c>
      <c r="AD93" s="413"/>
      <c r="AE93" s="413"/>
    </row>
    <row r="94" spans="1:31" ht="18.75">
      <c r="A94" s="406">
        <v>80</v>
      </c>
      <c r="B94" s="155" t="s">
        <v>124</v>
      </c>
      <c r="C94" s="417">
        <v>335272.06374999997</v>
      </c>
      <c r="D94" s="418">
        <v>12</v>
      </c>
      <c r="E94" s="417">
        <f t="shared" ref="E94:E96" si="86">C94*D94</f>
        <v>4023264.7649999997</v>
      </c>
      <c r="F94" s="417"/>
      <c r="G94" s="419"/>
      <c r="H94" s="419"/>
      <c r="I94" s="417">
        <f>E94-F94-G94-H94</f>
        <v>4023264.7649999997</v>
      </c>
      <c r="J94" s="417">
        <v>200000</v>
      </c>
      <c r="K94" s="417">
        <v>0.2</v>
      </c>
      <c r="L94" s="417">
        <f>I94*K94</f>
        <v>804652.95299999998</v>
      </c>
      <c r="M94" s="417">
        <f>J94+L94</f>
        <v>1004652.953</v>
      </c>
      <c r="N94" s="417">
        <f>F94+G94+H94+M94</f>
        <v>1004652.953</v>
      </c>
      <c r="O94" s="417">
        <f>E94-N94</f>
        <v>3018611.8119999999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297908.48051999998</v>
      </c>
      <c r="U94" s="417"/>
      <c r="V94" s="417">
        <f>P94+Q94+R94+S94+T94+U94</f>
        <v>521908.48051999998</v>
      </c>
      <c r="W94" s="421">
        <v>12</v>
      </c>
      <c r="X94" s="417">
        <f>V94/W94</f>
        <v>43492.373376666663</v>
      </c>
      <c r="Y94" s="419"/>
      <c r="Z94" s="417">
        <f>X94</f>
        <v>43492.373376666663</v>
      </c>
      <c r="AA94" s="413">
        <v>82627.951418666678</v>
      </c>
      <c r="AB94" s="415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6">
        <v>81</v>
      </c>
      <c r="B95" s="155" t="s">
        <v>237</v>
      </c>
      <c r="C95" s="417">
        <v>284536.99849999999</v>
      </c>
      <c r="D95" s="418">
        <v>12</v>
      </c>
      <c r="E95" s="417">
        <f t="shared" si="86"/>
        <v>3414443.9819999998</v>
      </c>
      <c r="F95" s="417"/>
      <c r="G95" s="419"/>
      <c r="H95" s="419"/>
      <c r="I95" s="417">
        <f>E95-F95-G95-H95</f>
        <v>3414443.9819999998</v>
      </c>
      <c r="J95" s="417">
        <v>200000</v>
      </c>
      <c r="K95" s="417">
        <v>0.2</v>
      </c>
      <c r="L95" s="417">
        <f>I95*K95</f>
        <v>682888.79639999999</v>
      </c>
      <c r="M95" s="417">
        <f>J95+L95</f>
        <v>882888.79639999999</v>
      </c>
      <c r="N95" s="417">
        <f>F95+G95+H95+M95</f>
        <v>882888.79639999999</v>
      </c>
      <c r="O95" s="417">
        <f>E95-N95</f>
        <v>2531555.1856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195626.588976</v>
      </c>
      <c r="U95" s="417"/>
      <c r="V95" s="417">
        <f>P95+Q95+R95+S95+T95+U95</f>
        <v>419626.58897599997</v>
      </c>
      <c r="W95" s="421">
        <v>12</v>
      </c>
      <c r="X95" s="417">
        <f>V95/W95</f>
        <v>34968.882414666667</v>
      </c>
      <c r="Y95" s="419"/>
      <c r="Z95" s="417">
        <f>X95</f>
        <v>34968.882414666667</v>
      </c>
      <c r="AA95" s="34">
        <v>43492.373376666663</v>
      </c>
      <c r="AB95" s="415">
        <f t="shared" si="87"/>
        <v>-8523.4909619999962</v>
      </c>
      <c r="AC95" s="34" t="s">
        <v>237</v>
      </c>
      <c r="AD95" s="34"/>
      <c r="AE95" s="34"/>
    </row>
    <row r="96" spans="1:31" ht="18.75">
      <c r="A96" s="406"/>
      <c r="B96" s="155" t="s">
        <v>345</v>
      </c>
      <c r="C96" s="417">
        <v>237734.04699999996</v>
      </c>
      <c r="D96" s="418">
        <v>12</v>
      </c>
      <c r="E96" s="417">
        <f t="shared" si="86"/>
        <v>2852808.5639999993</v>
      </c>
      <c r="F96" s="417"/>
      <c r="G96" s="419"/>
      <c r="H96" s="419"/>
      <c r="I96" s="417">
        <f>E96-F96-G96-H96</f>
        <v>2852808.5639999993</v>
      </c>
      <c r="J96" s="417">
        <v>200000</v>
      </c>
      <c r="K96" s="417">
        <v>0.2</v>
      </c>
      <c r="L96" s="417">
        <f>I96*K96</f>
        <v>570561.71279999986</v>
      </c>
      <c r="M96" s="417">
        <f>J96+L96</f>
        <v>770561.71279999986</v>
      </c>
      <c r="N96" s="417">
        <f>F96+G96+H96+M96</f>
        <v>770561.71279999986</v>
      </c>
      <c r="O96" s="417">
        <f>E96-N96</f>
        <v>2082246.8511999995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101271.83875199988</v>
      </c>
      <c r="U96" s="417"/>
      <c r="V96" s="417">
        <f>P96+Q96+R96+S96+T96+U96</f>
        <v>325271.83875199989</v>
      </c>
      <c r="W96" s="421">
        <v>12</v>
      </c>
      <c r="X96" s="417">
        <f>V96/W96</f>
        <v>27105.986562666658</v>
      </c>
      <c r="Y96" s="419"/>
      <c r="Z96" s="417">
        <f>X96</f>
        <v>27105.986562666658</v>
      </c>
      <c r="AA96" s="34">
        <v>34968.882414666667</v>
      </c>
      <c r="AB96" s="415">
        <f t="shared" si="87"/>
        <v>-7862.8958520000087</v>
      </c>
      <c r="AC96" s="34" t="s">
        <v>345</v>
      </c>
      <c r="AD96" s="34"/>
      <c r="AE96" s="34"/>
    </row>
    <row r="97" spans="1:31" ht="18.75">
      <c r="A97" s="406"/>
      <c r="B97" s="158" t="s">
        <v>15</v>
      </c>
      <c r="C97" s="417"/>
      <c r="D97" s="418"/>
      <c r="E97" s="417"/>
      <c r="F97" s="417"/>
      <c r="G97" s="419"/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17"/>
      <c r="AA97" s="34"/>
      <c r="AB97" s="416">
        <f>SUM(AB93:AB96)</f>
        <v>-55521.964856000021</v>
      </c>
      <c r="AC97" s="34"/>
      <c r="AD97" s="34"/>
      <c r="AE97" s="34"/>
    </row>
    <row r="98" spans="1:31" ht="18.75">
      <c r="A98" s="406">
        <v>83</v>
      </c>
      <c r="B98" s="122"/>
      <c r="C98" s="417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C98" s="34"/>
      <c r="AD98" s="34"/>
      <c r="AE98" s="34"/>
    </row>
    <row r="99" spans="1:31" ht="37.5">
      <c r="A99" s="406">
        <v>84</v>
      </c>
      <c r="B99" s="158" t="s">
        <v>465</v>
      </c>
      <c r="C99" s="417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B99" t="s">
        <v>531</v>
      </c>
      <c r="AC99" s="34"/>
      <c r="AD99" s="34"/>
      <c r="AE99" s="34"/>
    </row>
    <row r="100" spans="1:31" ht="18.75">
      <c r="A100" s="406">
        <v>85</v>
      </c>
      <c r="B100" s="155" t="s">
        <v>216</v>
      </c>
      <c r="C100" s="417">
        <v>1050209.0635000002</v>
      </c>
      <c r="D100" s="418">
        <v>12</v>
      </c>
      <c r="E100" s="417">
        <f>C100*D100</f>
        <v>12602508.762000002</v>
      </c>
      <c r="F100" s="417"/>
      <c r="G100" s="419"/>
      <c r="H100" s="419"/>
      <c r="I100" s="417">
        <f t="shared" ref="I100:I105" si="88">E100-F100-G100-H100</f>
        <v>12602508.762000002</v>
      </c>
      <c r="J100" s="417">
        <v>200000</v>
      </c>
      <c r="K100" s="417">
        <v>0.2</v>
      </c>
      <c r="L100" s="417">
        <f t="shared" ref="L100:L106" si="89">I100*K100</f>
        <v>2520501.7524000006</v>
      </c>
      <c r="M100" s="417">
        <f t="shared" ref="M100:M106" si="90">J100+L100</f>
        <v>2720501.7524000006</v>
      </c>
      <c r="N100" s="417">
        <f t="shared" ref="N100:N105" si="91">F100+G100+H100+M100</f>
        <v>2720501.7524000006</v>
      </c>
      <c r="O100" s="417">
        <f t="shared" ref="O100:O106" si="92">E100-N100</f>
        <v>9882007.0096000023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1603681.6823040005</v>
      </c>
      <c r="V100" s="417">
        <f t="shared" ref="V100:V106" si="98">P100+Q100+R100+S100+T100+U100</f>
        <v>2163681.6823040005</v>
      </c>
      <c r="W100" s="421">
        <v>12</v>
      </c>
      <c r="X100" s="417">
        <f t="shared" ref="X100:X106" si="99">V100/W100</f>
        <v>180306.80685866671</v>
      </c>
      <c r="Y100" s="419"/>
      <c r="Z100" s="417">
        <f t="shared" ref="Z100:Z106" si="100">X100</f>
        <v>180306.80685866671</v>
      </c>
      <c r="AA100" s="34">
        <v>180306.80685866671</v>
      </c>
      <c r="AB100" s="415">
        <f>Z100-AA100</f>
        <v>0</v>
      </c>
      <c r="AC100" s="34" t="s">
        <v>216</v>
      </c>
      <c r="AD100" s="34"/>
      <c r="AE100" s="34"/>
    </row>
    <row r="101" spans="1:31" ht="18.75">
      <c r="A101" s="406">
        <v>86</v>
      </c>
      <c r="B101" s="155" t="s">
        <v>110</v>
      </c>
      <c r="C101" s="417">
        <v>631465.0247500001</v>
      </c>
      <c r="D101" s="418">
        <v>12</v>
      </c>
      <c r="E101" s="417">
        <f t="shared" ref="E101:E106" si="101">C101*D101</f>
        <v>7577580.2970000012</v>
      </c>
      <c r="F101" s="417">
        <f>'[5]JANUARY 2024'!$V$106*12</f>
        <v>12795.951000000001</v>
      </c>
      <c r="G101" s="419"/>
      <c r="H101" s="419"/>
      <c r="I101" s="417">
        <f t="shared" si="88"/>
        <v>7564784.3460000008</v>
      </c>
      <c r="J101" s="417">
        <v>200000</v>
      </c>
      <c r="K101" s="417">
        <v>0.2</v>
      </c>
      <c r="L101" s="417">
        <f t="shared" si="89"/>
        <v>1512956.8692000003</v>
      </c>
      <c r="M101" s="417">
        <f t="shared" si="90"/>
        <v>1712956.8692000003</v>
      </c>
      <c r="N101" s="417">
        <f t="shared" si="91"/>
        <v>1725752.8202000004</v>
      </c>
      <c r="O101" s="417">
        <f t="shared" si="92"/>
        <v>5851827.4768000003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636438.59443200007</v>
      </c>
      <c r="V101" s="417">
        <f t="shared" si="98"/>
        <v>1196438.5944320001</v>
      </c>
      <c r="W101" s="421">
        <v>12</v>
      </c>
      <c r="X101" s="417">
        <f t="shared" si="99"/>
        <v>99703.216202666677</v>
      </c>
      <c r="Y101" s="419"/>
      <c r="Z101" s="417">
        <f t="shared" si="100"/>
        <v>99703.216202666677</v>
      </c>
      <c r="AA101" s="34">
        <v>99703.216202666677</v>
      </c>
      <c r="AB101" s="415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6">
        <v>87</v>
      </c>
      <c r="B102" s="155" t="s">
        <v>109</v>
      </c>
      <c r="C102" s="417">
        <v>418096.01602499996</v>
      </c>
      <c r="D102" s="418">
        <v>12</v>
      </c>
      <c r="E102" s="417">
        <f t="shared" si="101"/>
        <v>5017152.1922999993</v>
      </c>
      <c r="F102" s="417">
        <f>'[5]JANUARY 2024'!$V$107*12</f>
        <v>7901.7900000000009</v>
      </c>
      <c r="G102" s="419"/>
      <c r="H102" s="419"/>
      <c r="I102" s="417">
        <f t="shared" si="88"/>
        <v>5009250.4022999993</v>
      </c>
      <c r="J102" s="417">
        <v>200000</v>
      </c>
      <c r="K102" s="417">
        <v>0.2</v>
      </c>
      <c r="L102" s="417">
        <f t="shared" si="89"/>
        <v>1001850.0804599999</v>
      </c>
      <c r="M102" s="417">
        <f t="shared" si="90"/>
        <v>1201850.0804599999</v>
      </c>
      <c r="N102" s="417">
        <f t="shared" si="91"/>
        <v>1209751.8704599999</v>
      </c>
      <c r="O102" s="417">
        <f t="shared" si="92"/>
        <v>3807400.3218399994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145776.07724159985</v>
      </c>
      <c r="V102" s="417">
        <f t="shared" si="98"/>
        <v>705776.07724159979</v>
      </c>
      <c r="W102" s="421">
        <v>12</v>
      </c>
      <c r="X102" s="417">
        <f t="shared" si="99"/>
        <v>58814.673103466652</v>
      </c>
      <c r="Y102" s="419"/>
      <c r="Z102" s="417">
        <f t="shared" si="100"/>
        <v>58814.673103466652</v>
      </c>
      <c r="AA102" s="34">
        <v>180180.378218667</v>
      </c>
      <c r="AB102" s="415">
        <f t="shared" si="102"/>
        <v>-121365.70511520034</v>
      </c>
      <c r="AC102" s="34" t="s">
        <v>109</v>
      </c>
      <c r="AD102" s="34"/>
      <c r="AE102" s="34"/>
    </row>
    <row r="103" spans="1:31" ht="18.75">
      <c r="A103" s="406">
        <v>88</v>
      </c>
      <c r="B103" s="155" t="s">
        <v>135</v>
      </c>
      <c r="C103" s="417">
        <v>416483.19415499998</v>
      </c>
      <c r="D103" s="418">
        <v>12</v>
      </c>
      <c r="E103" s="417">
        <f t="shared" si="101"/>
        <v>4997798.3298599999</v>
      </c>
      <c r="F103" s="417"/>
      <c r="G103" s="419"/>
      <c r="H103" s="419"/>
      <c r="I103" s="417">
        <f t="shared" si="88"/>
        <v>4997798.3298599999</v>
      </c>
      <c r="J103" s="417">
        <v>200000</v>
      </c>
      <c r="K103" s="417">
        <v>0.2</v>
      </c>
      <c r="L103" s="417">
        <f t="shared" si="89"/>
        <v>999559.66597199999</v>
      </c>
      <c r="M103" s="417">
        <f t="shared" si="90"/>
        <v>1199559.665972</v>
      </c>
      <c r="N103" s="417">
        <f t="shared" si="91"/>
        <v>1199559.665972</v>
      </c>
      <c r="O103" s="417">
        <f t="shared" si="92"/>
        <v>3798238.663888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143577.27933311998</v>
      </c>
      <c r="V103" s="417">
        <f t="shared" si="98"/>
        <v>703577.27933311998</v>
      </c>
      <c r="W103" s="421">
        <v>12</v>
      </c>
      <c r="X103" s="417">
        <f t="shared" si="99"/>
        <v>58631.439944426667</v>
      </c>
      <c r="Y103" s="419"/>
      <c r="Z103" s="417">
        <f t="shared" si="100"/>
        <v>58631.439944426667</v>
      </c>
      <c r="AA103" s="34">
        <v>99907.951418666678</v>
      </c>
      <c r="AB103" s="415">
        <f t="shared" si="102"/>
        <v>-41276.511474240011</v>
      </c>
      <c r="AC103" s="34" t="s">
        <v>135</v>
      </c>
      <c r="AD103" s="34"/>
      <c r="AE103" s="34"/>
    </row>
    <row r="104" spans="1:31" ht="18.75">
      <c r="A104" s="406">
        <v>89</v>
      </c>
      <c r="B104" s="155" t="s">
        <v>240</v>
      </c>
      <c r="C104" s="417">
        <v>266099.21747999999</v>
      </c>
      <c r="D104" s="418">
        <v>12</v>
      </c>
      <c r="E104" s="417">
        <f t="shared" si="101"/>
        <v>3193190.6097599999</v>
      </c>
      <c r="F104" s="417"/>
      <c r="G104" s="419"/>
      <c r="H104" s="419"/>
      <c r="I104" s="417">
        <f t="shared" si="88"/>
        <v>3193190.6097599999</v>
      </c>
      <c r="J104" s="417">
        <v>200000</v>
      </c>
      <c r="K104" s="417">
        <v>0.2</v>
      </c>
      <c r="L104" s="417">
        <f t="shared" si="89"/>
        <v>638638.12195200007</v>
      </c>
      <c r="M104" s="417">
        <f t="shared" si="90"/>
        <v>838638.12195200007</v>
      </c>
      <c r="N104" s="417">
        <f t="shared" si="91"/>
        <v>838638.12195200007</v>
      </c>
      <c r="O104" s="417">
        <f t="shared" si="92"/>
        <v>2354552.4878079998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158456.02243967995</v>
      </c>
      <c r="U104" s="417"/>
      <c r="V104" s="417">
        <f t="shared" si="98"/>
        <v>382456.02243967995</v>
      </c>
      <c r="W104" s="421">
        <v>12</v>
      </c>
      <c r="X104" s="417">
        <f t="shared" si="99"/>
        <v>31871.335203306662</v>
      </c>
      <c r="Y104" s="419"/>
      <c r="Z104" s="417">
        <f t="shared" si="100"/>
        <v>31871.335203306662</v>
      </c>
      <c r="AA104" s="34">
        <v>58941.101743466657</v>
      </c>
      <c r="AB104" s="415">
        <f t="shared" si="102"/>
        <v>-27069.766540159995</v>
      </c>
      <c r="AC104" s="34" t="s">
        <v>240</v>
      </c>
      <c r="AD104" s="34"/>
      <c r="AE104" s="34"/>
    </row>
    <row r="105" spans="1:31" ht="37.5">
      <c r="A105" s="406"/>
      <c r="B105" s="156" t="s">
        <v>341</v>
      </c>
      <c r="C105" s="417">
        <v>262229.04099999997</v>
      </c>
      <c r="D105" s="418">
        <v>12</v>
      </c>
      <c r="E105" s="417">
        <f t="shared" si="101"/>
        <v>3146748.4919999996</v>
      </c>
      <c r="F105" s="417"/>
      <c r="G105" s="419"/>
      <c r="H105" s="419"/>
      <c r="I105" s="417">
        <f t="shared" si="88"/>
        <v>3146748.4919999996</v>
      </c>
      <c r="J105" s="417">
        <v>200000</v>
      </c>
      <c r="K105" s="417">
        <v>0.2</v>
      </c>
      <c r="L105" s="417">
        <f t="shared" si="89"/>
        <v>629349.69839999999</v>
      </c>
      <c r="M105" s="417">
        <f t="shared" si="90"/>
        <v>829349.69839999999</v>
      </c>
      <c r="N105" s="417">
        <f t="shared" si="91"/>
        <v>829349.69839999999</v>
      </c>
      <c r="O105" s="417">
        <f t="shared" si="92"/>
        <v>2317398.7935999995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150653.74665599989</v>
      </c>
      <c r="U105" s="417"/>
      <c r="V105" s="417">
        <f t="shared" si="98"/>
        <v>374653.74665599992</v>
      </c>
      <c r="W105" s="421">
        <v>12</v>
      </c>
      <c r="X105" s="417">
        <f t="shared" si="99"/>
        <v>31221.145554666658</v>
      </c>
      <c r="Y105" s="419"/>
      <c r="Z105" s="417">
        <f t="shared" si="100"/>
        <v>31221.145554666658</v>
      </c>
      <c r="AA105" s="34">
        <v>58631.439944426667</v>
      </c>
      <c r="AB105" s="415">
        <f t="shared" si="102"/>
        <v>-27410.294389760009</v>
      </c>
      <c r="AC105" s="34" t="s">
        <v>341</v>
      </c>
      <c r="AD105" s="34"/>
      <c r="AE105" s="34"/>
    </row>
    <row r="106" spans="1:31" ht="18.75">
      <c r="A106" s="406"/>
      <c r="B106" s="156" t="s">
        <v>374</v>
      </c>
      <c r="C106" s="417">
        <v>254870.26344499999</v>
      </c>
      <c r="D106" s="418">
        <v>12</v>
      </c>
      <c r="E106" s="417">
        <f t="shared" si="101"/>
        <v>3058443.1613400001</v>
      </c>
      <c r="F106" s="342"/>
      <c r="G106" s="419"/>
      <c r="H106" s="419"/>
      <c r="I106" s="417">
        <f>E106-F107-G106-H106</f>
        <v>3058443.1613400001</v>
      </c>
      <c r="J106" s="417">
        <v>200000</v>
      </c>
      <c r="K106" s="417">
        <v>0.2</v>
      </c>
      <c r="L106" s="417">
        <f t="shared" si="89"/>
        <v>611688.63226800004</v>
      </c>
      <c r="M106" s="417">
        <f t="shared" si="90"/>
        <v>811688.63226800004</v>
      </c>
      <c r="N106" s="417">
        <f>F107+G106+H106+M106</f>
        <v>811688.63226800004</v>
      </c>
      <c r="O106" s="417">
        <f t="shared" si="92"/>
        <v>2246754.5290720002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135818.45110512004</v>
      </c>
      <c r="U106" s="417"/>
      <c r="V106" s="417">
        <f t="shared" si="98"/>
        <v>359818.45110512001</v>
      </c>
      <c r="W106" s="421">
        <v>12</v>
      </c>
      <c r="X106" s="417">
        <f t="shared" si="99"/>
        <v>29984.870925426669</v>
      </c>
      <c r="Y106" s="419"/>
      <c r="Z106" s="417">
        <f t="shared" si="100"/>
        <v>29984.870925426669</v>
      </c>
      <c r="AA106" s="34">
        <v>31871.335203306662</v>
      </c>
      <c r="AB106" s="415">
        <f t="shared" si="102"/>
        <v>-1886.4642778799935</v>
      </c>
      <c r="AC106" s="34" t="s">
        <v>374</v>
      </c>
      <c r="AD106" s="34"/>
      <c r="AE106" s="34"/>
    </row>
    <row r="107" spans="1:31" ht="18.75">
      <c r="A107" s="406"/>
      <c r="B107" s="158" t="s">
        <v>15</v>
      </c>
      <c r="C107" s="417"/>
      <c r="D107" s="418"/>
      <c r="E107" s="417"/>
      <c r="F107" s="417"/>
      <c r="G107" s="419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17"/>
      <c r="AA107" s="34"/>
      <c r="AB107" s="416">
        <f>SUM(AB100:AB106)</f>
        <v>-219008.74179724036</v>
      </c>
      <c r="AC107" s="34"/>
      <c r="AD107" s="34"/>
      <c r="AE107" s="34"/>
    </row>
    <row r="108" spans="1:31" ht="18.75">
      <c r="A108" s="406">
        <v>90</v>
      </c>
      <c r="B108" s="158"/>
      <c r="C108" s="417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417"/>
      <c r="V108" s="342"/>
      <c r="W108" s="342"/>
      <c r="X108" s="342"/>
      <c r="Y108" s="342"/>
      <c r="Z108" s="342"/>
      <c r="AC108" s="34"/>
      <c r="AD108" s="34"/>
      <c r="AE108" s="34"/>
    </row>
    <row r="109" spans="1:31" ht="37.5">
      <c r="A109" s="406">
        <v>91</v>
      </c>
      <c r="B109" s="158" t="s">
        <v>542</v>
      </c>
      <c r="C109" s="417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417"/>
      <c r="V109" s="342"/>
      <c r="W109" s="342"/>
      <c r="X109" s="342"/>
      <c r="Y109" s="342"/>
      <c r="Z109" s="342"/>
      <c r="AC109" s="34"/>
      <c r="AD109" s="34"/>
      <c r="AE109" s="34"/>
    </row>
    <row r="110" spans="1:31" ht="37.5">
      <c r="A110" s="406">
        <v>92</v>
      </c>
      <c r="B110" s="157" t="s">
        <v>138</v>
      </c>
      <c r="C110" s="417">
        <v>516137.05000000005</v>
      </c>
      <c r="D110" s="418">
        <v>12</v>
      </c>
      <c r="E110" s="417">
        <f>C110*D110</f>
        <v>6193644.6000000006</v>
      </c>
      <c r="F110" s="417">
        <f>'[5]JANUARY 2024'!$V$115*12</f>
        <v>9678.9600000000009</v>
      </c>
      <c r="G110" s="419"/>
      <c r="H110" s="419"/>
      <c r="I110" s="417">
        <f>E110-F110-G110-H110</f>
        <v>6183965.6400000006</v>
      </c>
      <c r="J110" s="417">
        <v>200000</v>
      </c>
      <c r="K110" s="417">
        <v>0.2</v>
      </c>
      <c r="L110" s="417">
        <f>I110*K110</f>
        <v>1236793.1280000003</v>
      </c>
      <c r="M110" s="417">
        <f>J110+L110</f>
        <v>1436793.1280000003</v>
      </c>
      <c r="N110" s="417">
        <f>F110+G110+H110+M110</f>
        <v>1446472.0880000002</v>
      </c>
      <c r="O110" s="417">
        <f>E110-N110</f>
        <v>4747172.5120000001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31" si="103">0.24*(O110-3200000)</f>
        <v>371321.40288000001</v>
      </c>
      <c r="V110" s="417">
        <f>P110+Q110+R110+S110+T110+U110</f>
        <v>931321.40287999995</v>
      </c>
      <c r="W110" s="421">
        <v>12</v>
      </c>
      <c r="X110" s="417">
        <f>V110/W110</f>
        <v>77610.116906666663</v>
      </c>
      <c r="Y110" s="419"/>
      <c r="Z110" s="417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6">
        <v>93</v>
      </c>
      <c r="B111" s="155" t="s">
        <v>247</v>
      </c>
      <c r="C111" s="417">
        <v>334536.99850000005</v>
      </c>
      <c r="D111" s="418">
        <v>12</v>
      </c>
      <c r="E111" s="417">
        <f t="shared" ref="E111:E112" si="104">C111*D111</f>
        <v>4014443.9820000008</v>
      </c>
      <c r="F111" s="417"/>
      <c r="G111" s="419"/>
      <c r="H111" s="419"/>
      <c r="I111" s="417">
        <f>E111-F111-G111-H111</f>
        <v>4014443.9820000008</v>
      </c>
      <c r="J111" s="417">
        <v>200000</v>
      </c>
      <c r="K111" s="417">
        <v>0.2</v>
      </c>
      <c r="L111" s="417">
        <f>I111*K111</f>
        <v>802888.79640000022</v>
      </c>
      <c r="M111" s="417">
        <f>J111+L111</f>
        <v>1002888.7964000002</v>
      </c>
      <c r="N111" s="417">
        <f>F111+G111+H111+M111</f>
        <v>1002888.7964000002</v>
      </c>
      <c r="O111" s="417">
        <f>E111-N111</f>
        <v>3011555.1856000004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296426.58897600009</v>
      </c>
      <c r="U111" s="417"/>
      <c r="V111" s="417">
        <f>P111+Q111+R111+S111+T111+U111</f>
        <v>520426.58897600009</v>
      </c>
      <c r="W111" s="421">
        <v>12</v>
      </c>
      <c r="X111" s="417">
        <f>V111/W111</f>
        <v>43368.882414666674</v>
      </c>
      <c r="Y111" s="419"/>
      <c r="Z111" s="417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6">
        <v>94</v>
      </c>
      <c r="B112" s="155" t="s">
        <v>141</v>
      </c>
      <c r="C112" s="420">
        <v>286619.99874999991</v>
      </c>
      <c r="D112" s="418">
        <v>12</v>
      </c>
      <c r="E112" s="417">
        <f t="shared" si="104"/>
        <v>3439439.9849999989</v>
      </c>
      <c r="F112" s="417">
        <f>'[5]JANUARY 2024'!$V$117*12</f>
        <v>6919.4549999999999</v>
      </c>
      <c r="G112" s="419"/>
      <c r="H112" s="419"/>
      <c r="I112" s="417">
        <f>E112-F112-G112-H112</f>
        <v>3432520.5299999989</v>
      </c>
      <c r="J112" s="417">
        <v>200000</v>
      </c>
      <c r="K112" s="417">
        <v>0.2</v>
      </c>
      <c r="L112" s="417">
        <f>I112*K112</f>
        <v>686504.1059999998</v>
      </c>
      <c r="M112" s="417">
        <f>J112+L112</f>
        <v>886504.1059999998</v>
      </c>
      <c r="N112" s="417">
        <f>F112+G112+H112+M112</f>
        <v>893423.56099999975</v>
      </c>
      <c r="O112" s="417">
        <f>E112-N112</f>
        <v>2546016.4239999992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198663.44903999983</v>
      </c>
      <c r="U112" s="417"/>
      <c r="V112" s="417">
        <f>P112+Q112+R112+S112+T112+U112</f>
        <v>422663.44903999986</v>
      </c>
      <c r="W112" s="421">
        <v>12</v>
      </c>
      <c r="X112" s="417">
        <f>V112/W112</f>
        <v>35221.954086666658</v>
      </c>
      <c r="Y112" s="419"/>
      <c r="Z112" s="417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14" customFormat="1" ht="18.75">
      <c r="A113" s="411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17"/>
      <c r="AA113" s="422"/>
      <c r="AB113" s="34"/>
      <c r="AC113" s="413"/>
      <c r="AD113" s="413"/>
      <c r="AE113" s="413"/>
    </row>
    <row r="114" spans="1:31" s="414" customFormat="1" ht="18.75">
      <c r="A114" s="411">
        <v>96</v>
      </c>
      <c r="B114" s="122"/>
      <c r="C114" s="417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417"/>
      <c r="V114" s="342"/>
      <c r="W114" s="342"/>
      <c r="X114" s="342"/>
      <c r="Y114" s="342"/>
      <c r="Z114" s="342"/>
      <c r="AA114" s="342"/>
      <c r="AC114" s="413"/>
      <c r="AD114" s="413"/>
      <c r="AE114" s="413"/>
    </row>
    <row r="115" spans="1:31" ht="18.75">
      <c r="A115" s="406">
        <v>97</v>
      </c>
      <c r="B115" s="158" t="s">
        <v>466</v>
      </c>
      <c r="C115" s="417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417"/>
      <c r="V115" s="342"/>
      <c r="W115" s="342"/>
      <c r="X115" s="342"/>
      <c r="Y115" s="342"/>
      <c r="Z115" s="342"/>
      <c r="AA115" s="342"/>
      <c r="AC115" s="34"/>
      <c r="AD115" s="34"/>
      <c r="AE115" s="34"/>
    </row>
    <row r="116" spans="1:31" ht="18.75">
      <c r="A116" s="406">
        <v>98</v>
      </c>
      <c r="B116" s="155" t="s">
        <v>20</v>
      </c>
      <c r="C116" s="417">
        <v>1050209.0635000002</v>
      </c>
      <c r="D116" s="418">
        <v>12</v>
      </c>
      <c r="E116" s="417">
        <f>C116*D116</f>
        <v>12602508.762000002</v>
      </c>
      <c r="F116" s="417">
        <f>2043.5005*12</f>
        <v>24522.006000000001</v>
      </c>
      <c r="G116" s="419"/>
      <c r="H116" s="419"/>
      <c r="I116" s="417">
        <f>E116-F116-G116-H116</f>
        <v>12577986.756000003</v>
      </c>
      <c r="J116" s="417">
        <v>200000</v>
      </c>
      <c r="K116" s="417">
        <v>0.2</v>
      </c>
      <c r="L116" s="417">
        <f>I116*K116</f>
        <v>2515597.3512000008</v>
      </c>
      <c r="M116" s="417">
        <f>J116+L116</f>
        <v>2715597.3512000008</v>
      </c>
      <c r="N116" s="417">
        <f>F116+G116+H116+M116</f>
        <v>2740119.3572000009</v>
      </c>
      <c r="O116" s="417">
        <f>E116-N116</f>
        <v>9862389.4048000015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1598973.4571520004</v>
      </c>
      <c r="V116" s="417">
        <f>P116+Q116+R116+S116+T116+U116</f>
        <v>2158973.4571520006</v>
      </c>
      <c r="W116" s="421">
        <v>12</v>
      </c>
      <c r="X116" s="417">
        <f>V116/W116</f>
        <v>179914.45476266672</v>
      </c>
      <c r="Y116" s="419"/>
      <c r="Z116" s="417">
        <f>X116</f>
        <v>179914.45476266672</v>
      </c>
      <c r="AA116" s="422">
        <v>179914.45476266672</v>
      </c>
      <c r="AB116" s="413">
        <f>Z116-AA116</f>
        <v>0</v>
      </c>
      <c r="AC116" s="34"/>
      <c r="AD116" s="34"/>
      <c r="AE116" s="34"/>
    </row>
    <row r="117" spans="1:31" ht="18.75">
      <c r="A117" s="406">
        <v>99</v>
      </c>
      <c r="B117" s="155" t="s">
        <v>153</v>
      </c>
      <c r="C117" s="417">
        <v>627743.99575</v>
      </c>
      <c r="D117" s="418">
        <v>12</v>
      </c>
      <c r="E117" s="417">
        <f t="shared" ref="E117:E125" si="106">C117*D117</f>
        <v>7532927.949</v>
      </c>
      <c r="F117" s="417">
        <f>1028.94225*12</f>
        <v>12347.307000000001</v>
      </c>
      <c r="G117" s="419"/>
      <c r="H117" s="419"/>
      <c r="I117" s="417">
        <f>E117-F117-G117-H117</f>
        <v>7520580.642</v>
      </c>
      <c r="J117" s="417">
        <v>200000</v>
      </c>
      <c r="K117" s="417">
        <v>0.2</v>
      </c>
      <c r="L117" s="417">
        <f>I117*K117</f>
        <v>1504116.1284</v>
      </c>
      <c r="M117" s="417">
        <f>J117+L117</f>
        <v>1704116.1284</v>
      </c>
      <c r="N117" s="417">
        <f>F117+G117+H117+M117</f>
        <v>1716463.4354000001</v>
      </c>
      <c r="O117" s="417">
        <f>E117-N117</f>
        <v>5816464.5136000002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627951.48326400004</v>
      </c>
      <c r="V117" s="417">
        <f>P117+Q117+R117+S117+T117+U117</f>
        <v>1187951.4832640002</v>
      </c>
      <c r="W117" s="421">
        <v>12</v>
      </c>
      <c r="X117" s="417">
        <f>V117/W117</f>
        <v>98995.956938666684</v>
      </c>
      <c r="Y117" s="419"/>
      <c r="Z117" s="417">
        <f>X117</f>
        <v>98995.956938666684</v>
      </c>
      <c r="AA117" s="422">
        <v>98995.956938666684</v>
      </c>
      <c r="AB117" s="413">
        <f t="shared" ref="AB117:AB125" si="107">Z117-AA117</f>
        <v>0</v>
      </c>
      <c r="AC117" s="34"/>
      <c r="AD117" s="34"/>
      <c r="AE117" s="34"/>
    </row>
    <row r="118" spans="1:31" ht="18.75">
      <c r="A118" s="406"/>
      <c r="B118" s="157" t="s">
        <v>142</v>
      </c>
      <c r="C118" s="417">
        <v>577553.50249999994</v>
      </c>
      <c r="D118" s="418">
        <v>12</v>
      </c>
      <c r="E118" s="417">
        <f t="shared" si="106"/>
        <v>6930642.0299999993</v>
      </c>
      <c r="F118" s="417">
        <f>837.6875*12</f>
        <v>10052.25</v>
      </c>
      <c r="G118" s="419"/>
      <c r="H118" s="419"/>
      <c r="I118" s="417">
        <f>E118-F118-G118-H118</f>
        <v>6920589.7799999993</v>
      </c>
      <c r="J118" s="417">
        <v>200000</v>
      </c>
      <c r="K118" s="417">
        <v>0.2</v>
      </c>
      <c r="L118" s="417">
        <f>I118*K118</f>
        <v>1384117.956</v>
      </c>
      <c r="M118" s="417">
        <f>J118+L118</f>
        <v>1584117.956</v>
      </c>
      <c r="N118" s="417">
        <f>F118+G118+H118+M118</f>
        <v>1594170.206</v>
      </c>
      <c r="O118" s="417">
        <f>E118-N118</f>
        <v>5336471.8239999991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512753.23775999976</v>
      </c>
      <c r="V118" s="417">
        <f>P118+Q118+R118+S118+T118+U118</f>
        <v>1072753.2377599997</v>
      </c>
      <c r="W118" s="421">
        <v>12</v>
      </c>
      <c r="X118" s="417">
        <f>V118/W118</f>
        <v>89396.103146666646</v>
      </c>
      <c r="Y118" s="419"/>
      <c r="Z118" s="417">
        <f>X118</f>
        <v>89396.103146666646</v>
      </c>
      <c r="AA118" s="422">
        <v>89396.103146666646</v>
      </c>
      <c r="AB118" s="413">
        <f t="shared" si="107"/>
        <v>0</v>
      </c>
      <c r="AC118" s="34"/>
      <c r="AD118" s="34"/>
      <c r="AE118" s="34"/>
    </row>
    <row r="119" spans="1:31" ht="18.75">
      <c r="A119" s="406"/>
      <c r="B119" s="157" t="s">
        <v>363</v>
      </c>
      <c r="C119" s="417">
        <v>424729.22200000007</v>
      </c>
      <c r="D119" s="418">
        <v>12</v>
      </c>
      <c r="E119" s="417">
        <f t="shared" si="106"/>
        <v>5096750.6640000008</v>
      </c>
      <c r="F119" s="417"/>
      <c r="G119" s="419"/>
      <c r="H119" s="419"/>
      <c r="I119" s="417">
        <f>E119-F119-G119-H119</f>
        <v>5096750.6640000008</v>
      </c>
      <c r="J119" s="417">
        <v>200000</v>
      </c>
      <c r="K119" s="417">
        <v>0.2</v>
      </c>
      <c r="L119" s="417">
        <f>I119*K119</f>
        <v>1019350.1328000003</v>
      </c>
      <c r="M119" s="417">
        <f>J119+L119</f>
        <v>1219350.1328000003</v>
      </c>
      <c r="N119" s="417">
        <f>F119+G119+H119+M119</f>
        <v>1219350.1328000003</v>
      </c>
      <c r="O119" s="417">
        <f>E119-N119</f>
        <v>3877400.5312000006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162576.12748800011</v>
      </c>
      <c r="V119" s="417">
        <f>P119+Q119+R119+S119+T119+U119</f>
        <v>722576.12748800009</v>
      </c>
      <c r="W119" s="421">
        <v>12</v>
      </c>
      <c r="X119" s="417">
        <f>V119/W119</f>
        <v>60214.677290666674</v>
      </c>
      <c r="Y119" s="419"/>
      <c r="Z119" s="417">
        <f>X119</f>
        <v>60214.677290666674</v>
      </c>
      <c r="AA119" s="422">
        <v>60214.677290666674</v>
      </c>
      <c r="AB119" s="413">
        <f t="shared" si="107"/>
        <v>0</v>
      </c>
      <c r="AC119" s="34"/>
      <c r="AD119" s="34"/>
      <c r="AE119" s="34"/>
    </row>
    <row r="120" spans="1:31" ht="18.75">
      <c r="A120" s="406">
        <v>101</v>
      </c>
      <c r="B120" s="155" t="s">
        <v>108</v>
      </c>
      <c r="C120" s="417">
        <v>343333.03525000007</v>
      </c>
      <c r="D120" s="418">
        <v>12</v>
      </c>
      <c r="E120" s="417">
        <f t="shared" si="106"/>
        <v>4119996.4230000009</v>
      </c>
      <c r="F120" s="417"/>
      <c r="G120" s="419"/>
      <c r="H120" s="419"/>
      <c r="I120" s="417">
        <f t="shared" ref="I120:I125" si="108">E120-F120-G120-H120</f>
        <v>4119996.4230000009</v>
      </c>
      <c r="J120" s="417">
        <v>200000</v>
      </c>
      <c r="K120" s="417">
        <v>0.2</v>
      </c>
      <c r="L120" s="417">
        <f t="shared" ref="L120:L125" si="109">I120*K120</f>
        <v>823999.28460000025</v>
      </c>
      <c r="M120" s="417">
        <f t="shared" ref="M120:M125" si="110">J120+L120</f>
        <v>1023999.2846000002</v>
      </c>
      <c r="N120" s="417">
        <f t="shared" ref="N120:N125" si="111">F120+G120+H120+M120</f>
        <v>1023999.2846000002</v>
      </c>
      <c r="O120" s="417">
        <f t="shared" ref="O120:O125" si="112">E120-N120</f>
        <v>3095997.1384000005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314159.39906400011</v>
      </c>
      <c r="U120" s="417"/>
      <c r="V120" s="417">
        <f t="shared" ref="V120:V125" si="118">P120+Q120+R120+S120+T120+U120</f>
        <v>538159.39906400011</v>
      </c>
      <c r="W120" s="421">
        <v>12</v>
      </c>
      <c r="X120" s="417">
        <f t="shared" ref="X120:X125" si="119">V120/W120</f>
        <v>44846.616588666679</v>
      </c>
      <c r="Y120" s="419"/>
      <c r="Z120" s="417">
        <f t="shared" ref="Z120:Z125" si="120">X120</f>
        <v>44846.616588666679</v>
      </c>
      <c r="AA120" s="422">
        <v>44846.616588666679</v>
      </c>
      <c r="AB120" s="413">
        <f t="shared" si="107"/>
        <v>0</v>
      </c>
      <c r="AC120" s="34"/>
      <c r="AD120" s="34"/>
      <c r="AE120" s="34"/>
    </row>
    <row r="121" spans="1:31" ht="18.75">
      <c r="A121" s="406">
        <v>103</v>
      </c>
      <c r="B121" s="155" t="s">
        <v>178</v>
      </c>
      <c r="C121" s="417">
        <v>327211.36749999999</v>
      </c>
      <c r="D121" s="418">
        <v>12</v>
      </c>
      <c r="E121" s="417">
        <f t="shared" si="106"/>
        <v>3926536.41</v>
      </c>
      <c r="F121" s="420">
        <f>646.3525*12</f>
        <v>7756.23</v>
      </c>
      <c r="G121" s="419"/>
      <c r="H121" s="419"/>
      <c r="I121" s="417">
        <f t="shared" si="108"/>
        <v>3918780.18</v>
      </c>
      <c r="J121" s="417">
        <v>200000</v>
      </c>
      <c r="K121" s="417">
        <v>0.2</v>
      </c>
      <c r="L121" s="417">
        <f t="shared" si="109"/>
        <v>783756.03600000008</v>
      </c>
      <c r="M121" s="417">
        <f t="shared" si="110"/>
        <v>983756.03600000008</v>
      </c>
      <c r="N121" s="417">
        <f t="shared" si="111"/>
        <v>991512.26600000006</v>
      </c>
      <c r="O121" s="417">
        <f t="shared" si="112"/>
        <v>2935024.1440000003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280355.07024000003</v>
      </c>
      <c r="U121" s="417"/>
      <c r="V121" s="417">
        <f t="shared" si="118"/>
        <v>504355.07024000003</v>
      </c>
      <c r="W121" s="421">
        <v>12</v>
      </c>
      <c r="X121" s="417">
        <f t="shared" si="119"/>
        <v>42029.589186666672</v>
      </c>
      <c r="Y121" s="419"/>
      <c r="Z121" s="417">
        <f t="shared" si="120"/>
        <v>42029.589186666672</v>
      </c>
      <c r="AA121" s="422">
        <v>42029.589186666672</v>
      </c>
      <c r="AB121" s="413">
        <f t="shared" si="107"/>
        <v>0</v>
      </c>
      <c r="AC121" s="34"/>
      <c r="AD121" s="34"/>
      <c r="AE121" s="34"/>
    </row>
    <row r="122" spans="1:31" ht="18.75">
      <c r="A122" s="406">
        <v>105</v>
      </c>
      <c r="B122" s="155" t="s">
        <v>134</v>
      </c>
      <c r="C122" s="417">
        <v>335272.06374999997</v>
      </c>
      <c r="D122" s="418">
        <v>12</v>
      </c>
      <c r="E122" s="417">
        <f t="shared" si="106"/>
        <v>4023264.7649999997</v>
      </c>
      <c r="F122" s="420">
        <f>668.31625*12</f>
        <v>8019.7950000000001</v>
      </c>
      <c r="G122" s="419"/>
      <c r="H122" s="419"/>
      <c r="I122" s="417">
        <f t="shared" si="108"/>
        <v>4015244.9699999997</v>
      </c>
      <c r="J122" s="417">
        <v>200000</v>
      </c>
      <c r="K122" s="417">
        <v>0.2</v>
      </c>
      <c r="L122" s="417">
        <f t="shared" si="109"/>
        <v>803048.99399999995</v>
      </c>
      <c r="M122" s="417">
        <f t="shared" si="110"/>
        <v>1003048.9939999999</v>
      </c>
      <c r="N122" s="417">
        <f t="shared" si="111"/>
        <v>1011068.789</v>
      </c>
      <c r="O122" s="417">
        <f t="shared" si="112"/>
        <v>3012195.9759999998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296561.15495999996</v>
      </c>
      <c r="U122" s="417"/>
      <c r="V122" s="417">
        <f t="shared" si="118"/>
        <v>520561.15495999996</v>
      </c>
      <c r="W122" s="421">
        <v>12</v>
      </c>
      <c r="X122" s="417">
        <f t="shared" si="119"/>
        <v>43380.096246666661</v>
      </c>
      <c r="Y122" s="419"/>
      <c r="Z122" s="417">
        <f t="shared" si="120"/>
        <v>43380.096246666661</v>
      </c>
      <c r="AA122" s="422">
        <v>43380.096246666661</v>
      </c>
      <c r="AB122" s="413">
        <f t="shared" si="107"/>
        <v>0</v>
      </c>
      <c r="AC122" s="34"/>
      <c r="AD122" s="34"/>
      <c r="AE122" s="34"/>
    </row>
    <row r="123" spans="1:31" ht="18.75">
      <c r="A123" s="406">
        <v>106</v>
      </c>
      <c r="B123" s="155" t="s">
        <v>443</v>
      </c>
      <c r="C123" s="417">
        <v>213508.01</v>
      </c>
      <c r="D123" s="418">
        <v>12</v>
      </c>
      <c r="E123" s="417">
        <f t="shared" si="106"/>
        <v>2562096.12</v>
      </c>
      <c r="F123" s="417"/>
      <c r="G123" s="419"/>
      <c r="H123" s="419"/>
      <c r="I123" s="417">
        <f t="shared" si="108"/>
        <v>2562096.12</v>
      </c>
      <c r="J123" s="417">
        <v>200000</v>
      </c>
      <c r="K123" s="417">
        <v>0.2</v>
      </c>
      <c r="L123" s="417">
        <f t="shared" si="109"/>
        <v>512419.22400000005</v>
      </c>
      <c r="M123" s="417">
        <f t="shared" si="110"/>
        <v>712419.22400000005</v>
      </c>
      <c r="N123" s="417">
        <f t="shared" si="111"/>
        <v>712419.22400000005</v>
      </c>
      <c r="O123" s="417">
        <f t="shared" si="112"/>
        <v>1849676.8960000002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52432.148160000033</v>
      </c>
      <c r="U123" s="417"/>
      <c r="V123" s="417">
        <f t="shared" si="118"/>
        <v>276432.14816000004</v>
      </c>
      <c r="W123" s="421">
        <v>12</v>
      </c>
      <c r="X123" s="417">
        <f t="shared" si="119"/>
        <v>23036.01234666667</v>
      </c>
      <c r="Y123" s="419"/>
      <c r="Z123" s="417">
        <f t="shared" si="120"/>
        <v>23036.01234666667</v>
      </c>
      <c r="AA123" s="422">
        <v>23036.01234666667</v>
      </c>
      <c r="AB123" s="413">
        <f t="shared" si="107"/>
        <v>0</v>
      </c>
      <c r="AC123" s="34"/>
      <c r="AD123" s="34"/>
      <c r="AE123" s="34"/>
    </row>
    <row r="124" spans="1:31" ht="18.75">
      <c r="A124" s="406">
        <v>107</v>
      </c>
      <c r="B124" s="156" t="s">
        <v>439</v>
      </c>
      <c r="C124" s="417">
        <v>176816.09999999998</v>
      </c>
      <c r="D124" s="418">
        <v>12</v>
      </c>
      <c r="E124" s="417">
        <f t="shared" si="106"/>
        <v>2121793.1999999997</v>
      </c>
      <c r="F124" s="417"/>
      <c r="G124" s="419"/>
      <c r="H124" s="419"/>
      <c r="I124" s="417">
        <f t="shared" si="108"/>
        <v>2121793.1999999997</v>
      </c>
      <c r="J124" s="417">
        <v>200000</v>
      </c>
      <c r="K124" s="417">
        <v>0.2</v>
      </c>
      <c r="L124" s="417">
        <f t="shared" si="109"/>
        <v>424358.63999999996</v>
      </c>
      <c r="M124" s="417">
        <f t="shared" si="110"/>
        <v>624358.6399999999</v>
      </c>
      <c r="N124" s="417">
        <f t="shared" si="111"/>
        <v>624358.6399999999</v>
      </c>
      <c r="O124" s="417">
        <f t="shared" si="112"/>
        <v>1497434.5599999998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75512.566399999967</v>
      </c>
      <c r="T124" s="417">
        <f t="shared" si="117"/>
        <v>0</v>
      </c>
      <c r="U124" s="417"/>
      <c r="V124" s="417">
        <f t="shared" si="118"/>
        <v>204512.56639999995</v>
      </c>
      <c r="W124" s="421">
        <v>12</v>
      </c>
      <c r="X124" s="417">
        <f t="shared" si="119"/>
        <v>17042.713866666661</v>
      </c>
      <c r="Y124" s="419"/>
      <c r="Z124" s="417">
        <f t="shared" si="120"/>
        <v>17042.713866666661</v>
      </c>
      <c r="AA124" s="422">
        <v>17042.713866666661</v>
      </c>
      <c r="AB124" s="413">
        <f t="shared" si="107"/>
        <v>0</v>
      </c>
      <c r="AC124" s="34"/>
      <c r="AD124" s="34"/>
      <c r="AE124" s="34"/>
    </row>
    <row r="125" spans="1:31" s="414" customFormat="1" ht="18.75">
      <c r="A125" s="411">
        <v>108</v>
      </c>
      <c r="B125" s="156" t="s">
        <v>535</v>
      </c>
      <c r="C125" s="417">
        <v>176816.09999999998</v>
      </c>
      <c r="D125" s="418">
        <v>12</v>
      </c>
      <c r="E125" s="417">
        <f t="shared" si="106"/>
        <v>2121793.1999999997</v>
      </c>
      <c r="F125" s="417"/>
      <c r="G125" s="419"/>
      <c r="H125" s="419"/>
      <c r="I125" s="417">
        <f t="shared" si="108"/>
        <v>2121793.1999999997</v>
      </c>
      <c r="J125" s="417">
        <v>200000</v>
      </c>
      <c r="K125" s="417">
        <v>0.2</v>
      </c>
      <c r="L125" s="417">
        <f t="shared" si="109"/>
        <v>424358.63999999996</v>
      </c>
      <c r="M125" s="417">
        <f t="shared" si="110"/>
        <v>624358.6399999999</v>
      </c>
      <c r="N125" s="417">
        <f t="shared" si="111"/>
        <v>624358.6399999999</v>
      </c>
      <c r="O125" s="417">
        <f t="shared" si="112"/>
        <v>1497434.5599999998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75512.566399999967</v>
      </c>
      <c r="T125" s="417">
        <f t="shared" si="117"/>
        <v>0</v>
      </c>
      <c r="U125" s="417"/>
      <c r="V125" s="417">
        <f t="shared" si="118"/>
        <v>204512.56639999995</v>
      </c>
      <c r="W125" s="421">
        <v>12</v>
      </c>
      <c r="X125" s="417">
        <f t="shared" si="119"/>
        <v>17042.713866666661</v>
      </c>
      <c r="Y125" s="419"/>
      <c r="Z125" s="417">
        <f t="shared" si="120"/>
        <v>17042.713866666661</v>
      </c>
      <c r="AA125" s="413">
        <v>17042.713866666661</v>
      </c>
      <c r="AB125" s="413">
        <f t="shared" si="107"/>
        <v>0</v>
      </c>
      <c r="AC125" s="413"/>
      <c r="AD125" s="413"/>
      <c r="AE125" s="413"/>
    </row>
    <row r="126" spans="1:31" ht="18.75">
      <c r="A126" s="406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17"/>
      <c r="AA126" s="34"/>
      <c r="AB126" s="34"/>
      <c r="AC126" s="34"/>
      <c r="AD126" s="34"/>
      <c r="AE126" s="34"/>
    </row>
    <row r="127" spans="1:31" ht="18.75">
      <c r="A127" s="406">
        <v>110</v>
      </c>
      <c r="B127" s="122"/>
      <c r="C127" s="417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417"/>
      <c r="V127" s="342"/>
      <c r="W127" s="342"/>
      <c r="X127" s="342"/>
      <c r="Y127" s="342"/>
      <c r="Z127" s="342"/>
      <c r="AC127" s="34"/>
      <c r="AD127" s="34"/>
      <c r="AE127" s="34"/>
    </row>
    <row r="128" spans="1:31" ht="37.5">
      <c r="A128" s="406">
        <v>111</v>
      </c>
      <c r="B128" s="158" t="s">
        <v>467</v>
      </c>
      <c r="C128" s="417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417"/>
      <c r="V128" s="342"/>
      <c r="W128" s="342"/>
      <c r="X128" s="342"/>
      <c r="Y128" s="342"/>
      <c r="Z128" s="342"/>
      <c r="AC128" s="34"/>
      <c r="AD128" s="34"/>
      <c r="AE128" s="34"/>
    </row>
    <row r="129" spans="1:31" ht="18.75">
      <c r="A129" s="406">
        <v>112</v>
      </c>
      <c r="B129" s="155" t="s">
        <v>21</v>
      </c>
      <c r="C129" s="417">
        <v>950209.06350000005</v>
      </c>
      <c r="D129" s="418">
        <v>12</v>
      </c>
      <c r="E129" s="417">
        <f>C129*D129</f>
        <v>11402508.762</v>
      </c>
      <c r="F129" s="417"/>
      <c r="G129" s="419"/>
      <c r="H129" s="419"/>
      <c r="I129" s="417">
        <f>E129-F129-G129-H129</f>
        <v>11402508.762</v>
      </c>
      <c r="J129" s="417">
        <v>200000</v>
      </c>
      <c r="K129" s="417">
        <v>0.2</v>
      </c>
      <c r="L129" s="417">
        <f t="shared" ref="L129:L187" si="121">I129*K129</f>
        <v>2280501.7524000001</v>
      </c>
      <c r="M129" s="417">
        <f t="shared" ref="M129:M187" si="122">J129+L129</f>
        <v>2480501.7524000001</v>
      </c>
      <c r="N129" s="417">
        <f t="shared" ref="N129:N187" si="123">F129+G129+H129+M129</f>
        <v>2480501.7524000001</v>
      </c>
      <c r="O129" s="417">
        <f t="shared" ref="O129:O187" si="124">E129-N129</f>
        <v>8922007.0096000005</v>
      </c>
      <c r="P129" s="417">
        <f t="shared" ref="P129:P187" si="125">IF(O129&lt;300000,0.07*O129,21000)</f>
        <v>21000</v>
      </c>
      <c r="Q129" s="417">
        <f t="shared" ref="Q129:Q187" si="126">IF((O129-300000)&lt;0,0,IF((O129-300000)&lt;300000,0.11*(O129-300000),33000))</f>
        <v>33000</v>
      </c>
      <c r="R129" s="417">
        <f t="shared" ref="R129:R187" si="127">IF((O129-600000)&lt;0,0,IF((O129-600000)&lt;500000,0.15*(O129-600000),75000))</f>
        <v>75000</v>
      </c>
      <c r="S129" s="417">
        <f t="shared" ref="S129:S187" si="128">IF((O129-1100000)&lt;0,0,IF((O129-1100000)&lt;500000,0.19*(O129-1100000),95000))</f>
        <v>95000</v>
      </c>
      <c r="T129" s="417">
        <f t="shared" ref="T129:T187" si="129">IF((O129-1600000)&lt;0,0,IF((O129-1600000)&lt;1600000,0.21*(O129-1600000),336000))</f>
        <v>336000</v>
      </c>
      <c r="U129" s="417">
        <f t="shared" si="103"/>
        <v>1373281.682304</v>
      </c>
      <c r="V129" s="417">
        <f>P129+Q129+R129+S129+T129+U129</f>
        <v>1933281.682304</v>
      </c>
      <c r="W129" s="421">
        <v>12</v>
      </c>
      <c r="X129" s="417">
        <f t="shared" ref="X129:X187" si="130">V129/W129</f>
        <v>161106.80685866668</v>
      </c>
      <c r="Y129" s="419"/>
      <c r="Z129" s="417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14" customFormat="1" ht="18.75">
      <c r="A130" s="411">
        <v>113</v>
      </c>
      <c r="B130" s="155" t="s">
        <v>107</v>
      </c>
      <c r="C130" s="417">
        <v>541465.02474999998</v>
      </c>
      <c r="D130" s="418">
        <v>12</v>
      </c>
      <c r="E130" s="417">
        <f t="shared" ref="E130:E187" si="132">C130*D130</f>
        <v>6497580.2970000003</v>
      </c>
      <c r="F130" s="417"/>
      <c r="G130" s="419"/>
      <c r="H130" s="419"/>
      <c r="I130" s="417">
        <f t="shared" ref="I130:I187" si="133">E130-F130-G130-H130</f>
        <v>6497580.2970000003</v>
      </c>
      <c r="J130" s="417">
        <v>200000</v>
      </c>
      <c r="K130" s="417">
        <v>0.2</v>
      </c>
      <c r="L130" s="417">
        <f t="shared" si="121"/>
        <v>1299516.0594000001</v>
      </c>
      <c r="M130" s="417">
        <f t="shared" si="122"/>
        <v>1499516.0594000001</v>
      </c>
      <c r="N130" s="417">
        <f t="shared" si="123"/>
        <v>1499516.0594000001</v>
      </c>
      <c r="O130" s="417">
        <f t="shared" si="124"/>
        <v>4998064.2376000006</v>
      </c>
      <c r="P130" s="417">
        <f t="shared" si="125"/>
        <v>21000</v>
      </c>
      <c r="Q130" s="417">
        <f t="shared" si="126"/>
        <v>33000</v>
      </c>
      <c r="R130" s="417">
        <f t="shared" si="127"/>
        <v>75000</v>
      </c>
      <c r="S130" s="417">
        <f t="shared" si="128"/>
        <v>95000</v>
      </c>
      <c r="T130" s="417">
        <f t="shared" si="129"/>
        <v>336000</v>
      </c>
      <c r="U130" s="417">
        <f t="shared" si="103"/>
        <v>431535.41702400014</v>
      </c>
      <c r="V130" s="417">
        <f>P130+Q130+R130+S130+T130+U130</f>
        <v>991535.41702400008</v>
      </c>
      <c r="W130" s="421">
        <v>12</v>
      </c>
      <c r="X130" s="417">
        <f t="shared" si="130"/>
        <v>82627.951418666678</v>
      </c>
      <c r="Y130" s="419"/>
      <c r="Z130" s="417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13"/>
      <c r="AD130" s="413"/>
      <c r="AE130" s="413"/>
    </row>
    <row r="131" spans="1:31" ht="18.75">
      <c r="A131" s="406">
        <v>114</v>
      </c>
      <c r="B131" s="157" t="s">
        <v>183</v>
      </c>
      <c r="C131" s="417">
        <v>591465.02474999998</v>
      </c>
      <c r="D131" s="418">
        <v>12</v>
      </c>
      <c r="E131" s="417">
        <f t="shared" si="132"/>
        <v>7097580.2970000003</v>
      </c>
      <c r="F131" s="417">
        <f>1066.32925*12</f>
        <v>12795.951000000001</v>
      </c>
      <c r="G131" s="419"/>
      <c r="H131" s="419"/>
      <c r="I131" s="417">
        <f t="shared" si="133"/>
        <v>7084784.3459999999</v>
      </c>
      <c r="J131" s="417">
        <v>200000</v>
      </c>
      <c r="K131" s="417">
        <v>0.2</v>
      </c>
      <c r="L131" s="417">
        <f t="shared" si="121"/>
        <v>1416956.8692000001</v>
      </c>
      <c r="M131" s="417">
        <f t="shared" si="122"/>
        <v>1616956.8692000001</v>
      </c>
      <c r="N131" s="417">
        <f t="shared" si="123"/>
        <v>1629752.8202</v>
      </c>
      <c r="O131" s="417">
        <f t="shared" si="124"/>
        <v>5467827.4768000003</v>
      </c>
      <c r="P131" s="417">
        <f t="shared" si="125"/>
        <v>21000</v>
      </c>
      <c r="Q131" s="417">
        <f t="shared" si="126"/>
        <v>33000</v>
      </c>
      <c r="R131" s="417">
        <f t="shared" si="127"/>
        <v>75000</v>
      </c>
      <c r="S131" s="417">
        <f t="shared" si="128"/>
        <v>95000</v>
      </c>
      <c r="T131" s="417">
        <f t="shared" si="129"/>
        <v>336000</v>
      </c>
      <c r="U131" s="417">
        <f t="shared" si="103"/>
        <v>544278.59443200007</v>
      </c>
      <c r="V131" s="417">
        <f>P131+Q131+R131+S131+T131+U131</f>
        <v>1104278.5944320001</v>
      </c>
      <c r="W131" s="421">
        <v>12</v>
      </c>
      <c r="X131" s="417">
        <f t="shared" si="130"/>
        <v>92023.216202666677</v>
      </c>
      <c r="Y131" s="419"/>
      <c r="Z131" s="417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6">
        <v>115</v>
      </c>
      <c r="B132" s="155" t="s">
        <v>106</v>
      </c>
      <c r="C132" s="417">
        <v>351394.00675000006</v>
      </c>
      <c r="D132" s="418">
        <v>12</v>
      </c>
      <c r="E132" s="417">
        <f t="shared" si="132"/>
        <v>4216728.0810000002</v>
      </c>
      <c r="F132" s="417">
        <f>712.24525*12</f>
        <v>8546.9430000000011</v>
      </c>
      <c r="G132" s="419"/>
      <c r="H132" s="419"/>
      <c r="I132" s="417">
        <f t="shared" si="133"/>
        <v>4208181.1380000003</v>
      </c>
      <c r="J132" s="417">
        <v>200000</v>
      </c>
      <c r="K132" s="417">
        <v>0.2</v>
      </c>
      <c r="L132" s="417">
        <f t="shared" si="121"/>
        <v>841636.2276000001</v>
      </c>
      <c r="M132" s="417">
        <f t="shared" si="122"/>
        <v>1041636.2276000001</v>
      </c>
      <c r="N132" s="417">
        <f t="shared" si="123"/>
        <v>1050183.1706000001</v>
      </c>
      <c r="O132" s="417">
        <f t="shared" si="124"/>
        <v>3166544.9104000004</v>
      </c>
      <c r="P132" s="417">
        <f t="shared" si="125"/>
        <v>21000</v>
      </c>
      <c r="Q132" s="417">
        <f t="shared" si="126"/>
        <v>33000</v>
      </c>
      <c r="R132" s="417">
        <f t="shared" si="127"/>
        <v>75000</v>
      </c>
      <c r="S132" s="417">
        <f t="shared" si="128"/>
        <v>95000</v>
      </c>
      <c r="T132" s="417">
        <f t="shared" si="129"/>
        <v>328974.43118400004</v>
      </c>
      <c r="U132" s="417"/>
      <c r="V132" s="417">
        <f t="shared" ref="V132:V187" si="135">P132+Q132+R132+S132+T132+U132</f>
        <v>552974.4311840001</v>
      </c>
      <c r="W132" s="421">
        <v>12</v>
      </c>
      <c r="X132" s="417">
        <f t="shared" si="130"/>
        <v>46081.202598666678</v>
      </c>
      <c r="Y132" s="419"/>
      <c r="Z132" s="417">
        <f t="shared" si="131"/>
        <v>46081.202598666678</v>
      </c>
      <c r="AA132" s="413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6">
        <v>116</v>
      </c>
      <c r="B133" s="155" t="s">
        <v>7</v>
      </c>
      <c r="C133" s="417">
        <v>351394.00675000006</v>
      </c>
      <c r="D133" s="418">
        <v>12</v>
      </c>
      <c r="E133" s="417">
        <f t="shared" si="132"/>
        <v>4216728.0810000002</v>
      </c>
      <c r="F133" s="417">
        <f>712.24525*12</f>
        <v>8546.9430000000011</v>
      </c>
      <c r="G133" s="419"/>
      <c r="H133" s="419"/>
      <c r="I133" s="417">
        <f t="shared" si="133"/>
        <v>4208181.1380000003</v>
      </c>
      <c r="J133" s="417">
        <v>200000</v>
      </c>
      <c r="K133" s="417">
        <v>0.2</v>
      </c>
      <c r="L133" s="417">
        <f t="shared" si="121"/>
        <v>841636.2276000001</v>
      </c>
      <c r="M133" s="417">
        <f t="shared" si="122"/>
        <v>1041636.2276000001</v>
      </c>
      <c r="N133" s="417">
        <f t="shared" si="123"/>
        <v>1050183.1706000001</v>
      </c>
      <c r="O133" s="417">
        <f t="shared" si="124"/>
        <v>3166544.9104000004</v>
      </c>
      <c r="P133" s="417">
        <f t="shared" si="125"/>
        <v>21000</v>
      </c>
      <c r="Q133" s="417">
        <f t="shared" si="126"/>
        <v>33000</v>
      </c>
      <c r="R133" s="417">
        <f t="shared" si="127"/>
        <v>75000</v>
      </c>
      <c r="S133" s="417">
        <f t="shared" si="128"/>
        <v>95000</v>
      </c>
      <c r="T133" s="417">
        <f t="shared" si="129"/>
        <v>328974.43118400004</v>
      </c>
      <c r="U133" s="417"/>
      <c r="V133" s="417">
        <f t="shared" si="135"/>
        <v>552974.4311840001</v>
      </c>
      <c r="W133" s="421">
        <v>12</v>
      </c>
      <c r="X133" s="417">
        <f t="shared" si="130"/>
        <v>46081.202598666678</v>
      </c>
      <c r="Y133" s="419"/>
      <c r="Z133" s="417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6">
        <v>117</v>
      </c>
      <c r="B134" s="155" t="s">
        <v>6</v>
      </c>
      <c r="C134" s="417">
        <v>351394.00675000006</v>
      </c>
      <c r="D134" s="418">
        <v>12</v>
      </c>
      <c r="E134" s="417">
        <f t="shared" si="132"/>
        <v>4216728.0810000002</v>
      </c>
      <c r="F134" s="417">
        <f>712.24525*12</f>
        <v>8546.9430000000011</v>
      </c>
      <c r="G134" s="419"/>
      <c r="H134" s="419"/>
      <c r="I134" s="417">
        <f t="shared" si="133"/>
        <v>4208181.1380000003</v>
      </c>
      <c r="J134" s="417">
        <v>200000</v>
      </c>
      <c r="K134" s="417">
        <v>0.2</v>
      </c>
      <c r="L134" s="417">
        <f t="shared" si="121"/>
        <v>841636.2276000001</v>
      </c>
      <c r="M134" s="417">
        <f t="shared" si="122"/>
        <v>1041636.2276000001</v>
      </c>
      <c r="N134" s="417">
        <f t="shared" si="123"/>
        <v>1050183.1706000001</v>
      </c>
      <c r="O134" s="417">
        <f t="shared" si="124"/>
        <v>3166544.9104000004</v>
      </c>
      <c r="P134" s="417">
        <f t="shared" si="125"/>
        <v>21000</v>
      </c>
      <c r="Q134" s="417">
        <f t="shared" si="126"/>
        <v>33000</v>
      </c>
      <c r="R134" s="417">
        <f t="shared" si="127"/>
        <v>75000</v>
      </c>
      <c r="S134" s="417">
        <f t="shared" si="128"/>
        <v>95000</v>
      </c>
      <c r="T134" s="417">
        <f t="shared" si="129"/>
        <v>328974.43118400004</v>
      </c>
      <c r="U134" s="417"/>
      <c r="V134" s="417">
        <f t="shared" si="135"/>
        <v>552974.4311840001</v>
      </c>
      <c r="W134" s="421">
        <v>12</v>
      </c>
      <c r="X134" s="417">
        <f t="shared" si="130"/>
        <v>46081.202598666678</v>
      </c>
      <c r="Y134" s="419"/>
      <c r="Z134" s="417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6">
        <v>118</v>
      </c>
      <c r="B135" s="155" t="s">
        <v>102</v>
      </c>
      <c r="C135" s="417">
        <v>286619.99875000003</v>
      </c>
      <c r="D135" s="418">
        <v>12</v>
      </c>
      <c r="E135" s="417">
        <f t="shared" si="132"/>
        <v>3439439.9850000003</v>
      </c>
      <c r="F135" s="417">
        <f>576.62125*12</f>
        <v>6919.4549999999999</v>
      </c>
      <c r="G135" s="419"/>
      <c r="H135" s="419"/>
      <c r="I135" s="417">
        <f t="shared" si="133"/>
        <v>3432520.5300000003</v>
      </c>
      <c r="J135" s="417">
        <v>200000</v>
      </c>
      <c r="K135" s="417">
        <v>0.2</v>
      </c>
      <c r="L135" s="417">
        <f t="shared" si="121"/>
        <v>686504.10600000015</v>
      </c>
      <c r="M135" s="417">
        <f t="shared" si="122"/>
        <v>886504.10600000015</v>
      </c>
      <c r="N135" s="417">
        <f t="shared" si="123"/>
        <v>893423.5610000001</v>
      </c>
      <c r="O135" s="417">
        <f t="shared" si="124"/>
        <v>2546016.4240000001</v>
      </c>
      <c r="P135" s="417">
        <f t="shared" si="125"/>
        <v>21000</v>
      </c>
      <c r="Q135" s="417">
        <f t="shared" si="126"/>
        <v>33000</v>
      </c>
      <c r="R135" s="417">
        <f t="shared" si="127"/>
        <v>75000</v>
      </c>
      <c r="S135" s="417">
        <f t="shared" si="128"/>
        <v>95000</v>
      </c>
      <c r="T135" s="417">
        <f t="shared" si="129"/>
        <v>198663.44904000001</v>
      </c>
      <c r="U135" s="417"/>
      <c r="V135" s="417">
        <f t="shared" si="135"/>
        <v>422663.44903999998</v>
      </c>
      <c r="W135" s="421">
        <v>12</v>
      </c>
      <c r="X135" s="417">
        <f t="shared" si="130"/>
        <v>35221.954086666665</v>
      </c>
      <c r="Y135" s="419"/>
      <c r="Z135" s="417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6">
        <v>119</v>
      </c>
      <c r="B136" s="155" t="s">
        <v>103</v>
      </c>
      <c r="C136" s="417">
        <v>286619.99875000003</v>
      </c>
      <c r="D136" s="418">
        <v>12</v>
      </c>
      <c r="E136" s="417">
        <f t="shared" si="132"/>
        <v>3439439.9850000003</v>
      </c>
      <c r="F136" s="417"/>
      <c r="G136" s="419"/>
      <c r="H136" s="419"/>
      <c r="I136" s="417">
        <f t="shared" si="133"/>
        <v>3439439.9850000003</v>
      </c>
      <c r="J136" s="417">
        <v>200000</v>
      </c>
      <c r="K136" s="417">
        <v>0.2</v>
      </c>
      <c r="L136" s="417">
        <f t="shared" si="121"/>
        <v>687887.99700000009</v>
      </c>
      <c r="M136" s="417">
        <f t="shared" si="122"/>
        <v>887887.99700000009</v>
      </c>
      <c r="N136" s="417">
        <f t="shared" si="123"/>
        <v>887887.99700000009</v>
      </c>
      <c r="O136" s="417">
        <f t="shared" si="124"/>
        <v>2551551.9880000004</v>
      </c>
      <c r="P136" s="417">
        <f t="shared" si="125"/>
        <v>21000</v>
      </c>
      <c r="Q136" s="417">
        <f t="shared" si="126"/>
        <v>33000</v>
      </c>
      <c r="R136" s="417">
        <f t="shared" si="127"/>
        <v>75000</v>
      </c>
      <c r="S136" s="417">
        <f t="shared" si="128"/>
        <v>95000</v>
      </c>
      <c r="T136" s="417">
        <f t="shared" si="129"/>
        <v>199825.91748000006</v>
      </c>
      <c r="U136" s="417"/>
      <c r="V136" s="417">
        <f t="shared" si="135"/>
        <v>423825.91748000006</v>
      </c>
      <c r="W136" s="421">
        <v>12</v>
      </c>
      <c r="X136" s="417">
        <f t="shared" si="130"/>
        <v>35318.826456666669</v>
      </c>
      <c r="Y136" s="419"/>
      <c r="Z136" s="417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6">
        <v>120</v>
      </c>
      <c r="B137" s="155" t="s">
        <v>151</v>
      </c>
      <c r="C137" s="417">
        <v>286619.99875000003</v>
      </c>
      <c r="D137" s="418">
        <v>12</v>
      </c>
      <c r="E137" s="417">
        <f t="shared" si="132"/>
        <v>3439439.9850000003</v>
      </c>
      <c r="F137" s="417"/>
      <c r="G137" s="419"/>
      <c r="H137" s="419"/>
      <c r="I137" s="417">
        <f t="shared" si="133"/>
        <v>3439439.9850000003</v>
      </c>
      <c r="J137" s="417">
        <v>200000</v>
      </c>
      <c r="K137" s="417">
        <v>0.2</v>
      </c>
      <c r="L137" s="417">
        <f t="shared" si="121"/>
        <v>687887.99700000009</v>
      </c>
      <c r="M137" s="417">
        <f t="shared" si="122"/>
        <v>887887.99700000009</v>
      </c>
      <c r="N137" s="417">
        <f t="shared" si="123"/>
        <v>887887.99700000009</v>
      </c>
      <c r="O137" s="417">
        <f t="shared" si="124"/>
        <v>2551551.9880000004</v>
      </c>
      <c r="P137" s="417">
        <f t="shared" si="125"/>
        <v>21000</v>
      </c>
      <c r="Q137" s="417">
        <f t="shared" si="126"/>
        <v>33000</v>
      </c>
      <c r="R137" s="417">
        <f t="shared" si="127"/>
        <v>75000</v>
      </c>
      <c r="S137" s="417">
        <f t="shared" si="128"/>
        <v>95000</v>
      </c>
      <c r="T137" s="417">
        <f t="shared" si="129"/>
        <v>199825.91748000006</v>
      </c>
      <c r="U137" s="417"/>
      <c r="V137" s="417">
        <f t="shared" si="135"/>
        <v>423825.91748000006</v>
      </c>
      <c r="W137" s="421">
        <v>12</v>
      </c>
      <c r="X137" s="417">
        <f t="shared" si="130"/>
        <v>35318.826456666669</v>
      </c>
      <c r="Y137" s="419"/>
      <c r="Z137" s="417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6">
        <v>121</v>
      </c>
      <c r="B138" s="155" t="s">
        <v>238</v>
      </c>
      <c r="C138" s="417">
        <v>284536.99849999999</v>
      </c>
      <c r="D138" s="418">
        <v>12</v>
      </c>
      <c r="E138" s="417">
        <f t="shared" si="132"/>
        <v>3414443.9819999998</v>
      </c>
      <c r="F138" s="417"/>
      <c r="G138" s="419"/>
      <c r="H138" s="419"/>
      <c r="I138" s="417">
        <f t="shared" si="133"/>
        <v>3414443.9819999998</v>
      </c>
      <c r="J138" s="417">
        <v>200000</v>
      </c>
      <c r="K138" s="417">
        <v>0.2</v>
      </c>
      <c r="L138" s="417">
        <f t="shared" si="121"/>
        <v>682888.79639999999</v>
      </c>
      <c r="M138" s="417">
        <f t="shared" si="122"/>
        <v>882888.79639999999</v>
      </c>
      <c r="N138" s="417">
        <f t="shared" si="123"/>
        <v>882888.79639999999</v>
      </c>
      <c r="O138" s="417">
        <f t="shared" si="124"/>
        <v>2531555.1856</v>
      </c>
      <c r="P138" s="417">
        <f t="shared" si="125"/>
        <v>21000</v>
      </c>
      <c r="Q138" s="417">
        <f t="shared" si="126"/>
        <v>33000</v>
      </c>
      <c r="R138" s="417">
        <f t="shared" si="127"/>
        <v>75000</v>
      </c>
      <c r="S138" s="417">
        <f t="shared" si="128"/>
        <v>95000</v>
      </c>
      <c r="T138" s="417">
        <f t="shared" si="129"/>
        <v>195626.588976</v>
      </c>
      <c r="U138" s="417"/>
      <c r="V138" s="417">
        <f t="shared" si="135"/>
        <v>419626.58897599997</v>
      </c>
      <c r="W138" s="421">
        <v>12</v>
      </c>
      <c r="X138" s="417">
        <f t="shared" si="130"/>
        <v>34968.882414666667</v>
      </c>
      <c r="Y138" s="419"/>
      <c r="Z138" s="417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6">
        <v>122</v>
      </c>
      <c r="B139" s="155" t="s">
        <v>53</v>
      </c>
      <c r="C139" s="417">
        <v>272454.07400000002</v>
      </c>
      <c r="D139" s="418">
        <v>12</v>
      </c>
      <c r="E139" s="417">
        <f t="shared" si="132"/>
        <v>3269448.8880000003</v>
      </c>
      <c r="F139" s="417">
        <f>538.022*12</f>
        <v>6456.264000000001</v>
      </c>
      <c r="G139" s="419"/>
      <c r="H139" s="419"/>
      <c r="I139" s="417">
        <f t="shared" si="133"/>
        <v>3262992.6240000003</v>
      </c>
      <c r="J139" s="417">
        <v>200000</v>
      </c>
      <c r="K139" s="417">
        <v>0.2</v>
      </c>
      <c r="L139" s="417">
        <f t="shared" si="121"/>
        <v>652598.52480000013</v>
      </c>
      <c r="M139" s="417">
        <f t="shared" si="122"/>
        <v>852598.52480000013</v>
      </c>
      <c r="N139" s="417">
        <f t="shared" si="123"/>
        <v>859054.7888000001</v>
      </c>
      <c r="O139" s="417">
        <f t="shared" si="124"/>
        <v>2410394.0992000001</v>
      </c>
      <c r="P139" s="417">
        <f t="shared" si="125"/>
        <v>21000</v>
      </c>
      <c r="Q139" s="417">
        <f t="shared" si="126"/>
        <v>33000</v>
      </c>
      <c r="R139" s="417">
        <f t="shared" si="127"/>
        <v>75000</v>
      </c>
      <c r="S139" s="417">
        <f t="shared" si="128"/>
        <v>95000</v>
      </c>
      <c r="T139" s="417">
        <f t="shared" si="129"/>
        <v>170182.760832</v>
      </c>
      <c r="U139" s="417"/>
      <c r="V139" s="417">
        <f t="shared" si="135"/>
        <v>394182.760832</v>
      </c>
      <c r="W139" s="421">
        <v>12</v>
      </c>
      <c r="X139" s="417">
        <f t="shared" si="130"/>
        <v>32848.563402666667</v>
      </c>
      <c r="Y139" s="419"/>
      <c r="Z139" s="417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6">
        <v>123</v>
      </c>
      <c r="B140" s="155" t="s">
        <v>179</v>
      </c>
      <c r="C140" s="417">
        <v>286619.99875000003</v>
      </c>
      <c r="D140" s="418">
        <v>12</v>
      </c>
      <c r="E140" s="417">
        <f t="shared" si="132"/>
        <v>3439439.9850000003</v>
      </c>
      <c r="F140" s="417">
        <f>576.62125*12</f>
        <v>6919.4549999999999</v>
      </c>
      <c r="G140" s="419"/>
      <c r="H140" s="419"/>
      <c r="I140" s="417">
        <f t="shared" si="133"/>
        <v>3432520.5300000003</v>
      </c>
      <c r="J140" s="417">
        <v>200000</v>
      </c>
      <c r="K140" s="417">
        <v>0.2</v>
      </c>
      <c r="L140" s="417">
        <f t="shared" si="121"/>
        <v>686504.10600000015</v>
      </c>
      <c r="M140" s="417">
        <f t="shared" si="122"/>
        <v>886504.10600000015</v>
      </c>
      <c r="N140" s="417">
        <f t="shared" si="123"/>
        <v>893423.5610000001</v>
      </c>
      <c r="O140" s="417">
        <f t="shared" si="124"/>
        <v>2546016.4240000001</v>
      </c>
      <c r="P140" s="417">
        <f t="shared" si="125"/>
        <v>21000</v>
      </c>
      <c r="Q140" s="417">
        <f t="shared" si="126"/>
        <v>33000</v>
      </c>
      <c r="R140" s="417">
        <f t="shared" si="127"/>
        <v>75000</v>
      </c>
      <c r="S140" s="417">
        <f t="shared" si="128"/>
        <v>95000</v>
      </c>
      <c r="T140" s="417">
        <f t="shared" si="129"/>
        <v>198663.44904000001</v>
      </c>
      <c r="U140" s="417"/>
      <c r="V140" s="417">
        <f t="shared" si="135"/>
        <v>422663.44903999998</v>
      </c>
      <c r="W140" s="421">
        <v>12</v>
      </c>
      <c r="X140" s="417">
        <f t="shared" si="130"/>
        <v>35221.954086666665</v>
      </c>
      <c r="Y140" s="419"/>
      <c r="Z140" s="417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14" customFormat="1" ht="18.75">
      <c r="A141" s="411">
        <v>124</v>
      </c>
      <c r="B141" s="156" t="s">
        <v>293</v>
      </c>
      <c r="C141" s="417">
        <v>265372.07499999995</v>
      </c>
      <c r="D141" s="418">
        <v>12</v>
      </c>
      <c r="E141" s="417">
        <f t="shared" si="132"/>
        <v>3184464.8999999994</v>
      </c>
      <c r="F141" s="417">
        <v>0</v>
      </c>
      <c r="G141" s="419"/>
      <c r="H141" s="419"/>
      <c r="I141" s="417">
        <f t="shared" si="133"/>
        <v>3184464.8999999994</v>
      </c>
      <c r="J141" s="417">
        <v>200000</v>
      </c>
      <c r="K141" s="417">
        <v>0.2</v>
      </c>
      <c r="L141" s="417">
        <f t="shared" si="121"/>
        <v>636892.98</v>
      </c>
      <c r="M141" s="417">
        <f t="shared" si="122"/>
        <v>836892.98</v>
      </c>
      <c r="N141" s="417">
        <f t="shared" si="123"/>
        <v>836892.98</v>
      </c>
      <c r="O141" s="417">
        <f t="shared" si="124"/>
        <v>2347571.9199999995</v>
      </c>
      <c r="P141" s="417">
        <f t="shared" si="125"/>
        <v>21000</v>
      </c>
      <c r="Q141" s="417">
        <f t="shared" si="126"/>
        <v>33000</v>
      </c>
      <c r="R141" s="417">
        <f t="shared" si="127"/>
        <v>75000</v>
      </c>
      <c r="S141" s="417">
        <f t="shared" si="128"/>
        <v>95000</v>
      </c>
      <c r="T141" s="417">
        <f t="shared" si="129"/>
        <v>156990.10319999987</v>
      </c>
      <c r="U141" s="417"/>
      <c r="V141" s="417">
        <f t="shared" si="135"/>
        <v>380990.1031999999</v>
      </c>
      <c r="W141" s="421">
        <v>12</v>
      </c>
      <c r="X141" s="417">
        <f t="shared" si="130"/>
        <v>31749.175266666658</v>
      </c>
      <c r="Y141" s="419"/>
      <c r="Z141" s="417">
        <f t="shared" si="131"/>
        <v>31749.175266666658</v>
      </c>
      <c r="AA141" s="34">
        <v>31749.175266666658</v>
      </c>
      <c r="AB141" s="34">
        <f t="shared" si="134"/>
        <v>0</v>
      </c>
      <c r="AC141" s="413"/>
      <c r="AD141" s="413"/>
      <c r="AE141" s="413"/>
    </row>
    <row r="142" spans="1:31" ht="18.75">
      <c r="A142" s="406">
        <v>125</v>
      </c>
      <c r="B142" s="155" t="s">
        <v>488</v>
      </c>
      <c r="C142" s="417">
        <v>237734.04699999996</v>
      </c>
      <c r="D142" s="418">
        <v>12</v>
      </c>
      <c r="E142" s="417">
        <f t="shared" si="132"/>
        <v>2852808.5639999993</v>
      </c>
      <c r="F142" s="417"/>
      <c r="G142" s="419"/>
      <c r="H142" s="419"/>
      <c r="I142" s="417">
        <f t="shared" si="133"/>
        <v>2852808.5639999993</v>
      </c>
      <c r="J142" s="417">
        <v>200000</v>
      </c>
      <c r="K142" s="417">
        <v>0.2</v>
      </c>
      <c r="L142" s="417">
        <f t="shared" si="121"/>
        <v>570561.71279999986</v>
      </c>
      <c r="M142" s="417">
        <f t="shared" si="122"/>
        <v>770561.71279999986</v>
      </c>
      <c r="N142" s="417">
        <f t="shared" si="123"/>
        <v>770561.71279999986</v>
      </c>
      <c r="O142" s="417">
        <f t="shared" si="124"/>
        <v>2082246.8511999995</v>
      </c>
      <c r="P142" s="417">
        <f t="shared" si="125"/>
        <v>21000</v>
      </c>
      <c r="Q142" s="417">
        <f t="shared" si="126"/>
        <v>33000</v>
      </c>
      <c r="R142" s="417">
        <f t="shared" si="127"/>
        <v>75000</v>
      </c>
      <c r="S142" s="417">
        <f t="shared" si="128"/>
        <v>95000</v>
      </c>
      <c r="T142" s="417">
        <f t="shared" si="129"/>
        <v>101271.83875199988</v>
      </c>
      <c r="U142" s="417"/>
      <c r="V142" s="417">
        <f t="shared" si="135"/>
        <v>325271.83875199989</v>
      </c>
      <c r="W142" s="421">
        <v>12</v>
      </c>
      <c r="X142" s="417">
        <f t="shared" si="130"/>
        <v>27105.986562666658</v>
      </c>
      <c r="Y142" s="419"/>
      <c r="Z142" s="417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6">
        <v>126</v>
      </c>
      <c r="B143" s="155" t="s">
        <v>489</v>
      </c>
      <c r="C143" s="417">
        <v>242300.07749999996</v>
      </c>
      <c r="D143" s="418">
        <v>12</v>
      </c>
      <c r="E143" s="417">
        <f t="shared" si="132"/>
        <v>2907600.9299999997</v>
      </c>
      <c r="F143" s="417">
        <f>469.4825*12</f>
        <v>5633.79</v>
      </c>
      <c r="G143" s="419"/>
      <c r="H143" s="419"/>
      <c r="I143" s="417">
        <f t="shared" si="133"/>
        <v>2901967.1399999997</v>
      </c>
      <c r="J143" s="417">
        <v>200000</v>
      </c>
      <c r="K143" s="417">
        <v>0.2</v>
      </c>
      <c r="L143" s="417">
        <f t="shared" si="121"/>
        <v>580393.42799999996</v>
      </c>
      <c r="M143" s="417">
        <f t="shared" si="122"/>
        <v>780393.42799999996</v>
      </c>
      <c r="N143" s="417">
        <f t="shared" si="123"/>
        <v>786027.21799999999</v>
      </c>
      <c r="O143" s="417">
        <f t="shared" si="124"/>
        <v>2121573.7119999998</v>
      </c>
      <c r="P143" s="417">
        <f t="shared" si="125"/>
        <v>21000</v>
      </c>
      <c r="Q143" s="417">
        <f t="shared" si="126"/>
        <v>33000</v>
      </c>
      <c r="R143" s="417">
        <f t="shared" si="127"/>
        <v>75000</v>
      </c>
      <c r="S143" s="417">
        <f t="shared" si="128"/>
        <v>95000</v>
      </c>
      <c r="T143" s="417">
        <f t="shared" si="129"/>
        <v>109530.47951999996</v>
      </c>
      <c r="U143" s="417"/>
      <c r="V143" s="417">
        <f t="shared" si="135"/>
        <v>333530.47951999994</v>
      </c>
      <c r="W143" s="421">
        <v>12</v>
      </c>
      <c r="X143" s="417">
        <f t="shared" si="130"/>
        <v>27794.206626666662</v>
      </c>
      <c r="Y143" s="419"/>
      <c r="Z143" s="417">
        <f t="shared" si="131"/>
        <v>27794.206626666662</v>
      </c>
      <c r="AA143" s="413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6">
        <v>127</v>
      </c>
      <c r="B144" s="155" t="s">
        <v>212</v>
      </c>
      <c r="C144" s="417">
        <v>242300.07749999996</v>
      </c>
      <c r="D144" s="418">
        <v>12</v>
      </c>
      <c r="E144" s="417">
        <f t="shared" si="132"/>
        <v>2907600.9299999997</v>
      </c>
      <c r="F144" s="417"/>
      <c r="G144" s="419"/>
      <c r="H144" s="419"/>
      <c r="I144" s="417">
        <f t="shared" si="133"/>
        <v>2907600.9299999997</v>
      </c>
      <c r="J144" s="417">
        <v>200000</v>
      </c>
      <c r="K144" s="417">
        <v>0.2</v>
      </c>
      <c r="L144" s="417">
        <f t="shared" si="121"/>
        <v>581520.18599999999</v>
      </c>
      <c r="M144" s="417">
        <f t="shared" si="122"/>
        <v>781520.18599999999</v>
      </c>
      <c r="N144" s="417">
        <f t="shared" si="123"/>
        <v>781520.18599999999</v>
      </c>
      <c r="O144" s="417">
        <f t="shared" si="124"/>
        <v>2126080.7439999999</v>
      </c>
      <c r="P144" s="417">
        <f t="shared" si="125"/>
        <v>21000</v>
      </c>
      <c r="Q144" s="417">
        <f t="shared" si="126"/>
        <v>33000</v>
      </c>
      <c r="R144" s="417">
        <f t="shared" si="127"/>
        <v>75000</v>
      </c>
      <c r="S144" s="417">
        <f t="shared" si="128"/>
        <v>95000</v>
      </c>
      <c r="T144" s="417">
        <f t="shared" si="129"/>
        <v>110476.95623999998</v>
      </c>
      <c r="U144" s="417"/>
      <c r="V144" s="417">
        <f t="shared" si="135"/>
        <v>334476.95623999997</v>
      </c>
      <c r="W144" s="421">
        <v>12</v>
      </c>
      <c r="X144" s="417">
        <f t="shared" si="130"/>
        <v>27873.079686666664</v>
      </c>
      <c r="Y144" s="419"/>
      <c r="Z144" s="417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6">
        <v>128</v>
      </c>
      <c r="B145" s="155" t="s">
        <v>425</v>
      </c>
      <c r="C145" s="417">
        <v>237734.04699999996</v>
      </c>
      <c r="D145" s="418">
        <v>12</v>
      </c>
      <c r="E145" s="417">
        <f t="shared" si="132"/>
        <v>2852808.5639999993</v>
      </c>
      <c r="F145" s="417"/>
      <c r="G145" s="419"/>
      <c r="H145" s="419"/>
      <c r="I145" s="417">
        <f t="shared" si="133"/>
        <v>2852808.5639999993</v>
      </c>
      <c r="J145" s="417">
        <v>200000</v>
      </c>
      <c r="K145" s="417">
        <v>0.2</v>
      </c>
      <c r="L145" s="417">
        <f t="shared" si="121"/>
        <v>570561.71279999986</v>
      </c>
      <c r="M145" s="417">
        <f t="shared" si="122"/>
        <v>770561.71279999986</v>
      </c>
      <c r="N145" s="417">
        <f t="shared" si="123"/>
        <v>770561.71279999986</v>
      </c>
      <c r="O145" s="417">
        <f t="shared" si="124"/>
        <v>2082246.8511999995</v>
      </c>
      <c r="P145" s="417">
        <f t="shared" si="125"/>
        <v>21000</v>
      </c>
      <c r="Q145" s="417">
        <f t="shared" si="126"/>
        <v>33000</v>
      </c>
      <c r="R145" s="417">
        <f t="shared" si="127"/>
        <v>75000</v>
      </c>
      <c r="S145" s="417">
        <f t="shared" si="128"/>
        <v>95000</v>
      </c>
      <c r="T145" s="417">
        <f t="shared" si="129"/>
        <v>101271.83875199988</v>
      </c>
      <c r="U145" s="417"/>
      <c r="V145" s="417">
        <f t="shared" si="135"/>
        <v>325271.83875199989</v>
      </c>
      <c r="W145" s="421">
        <v>12</v>
      </c>
      <c r="X145" s="417">
        <f t="shared" si="130"/>
        <v>27105.986562666658</v>
      </c>
      <c r="Y145" s="419"/>
      <c r="Z145" s="417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6">
        <v>129</v>
      </c>
      <c r="B146" s="155" t="s">
        <v>750</v>
      </c>
      <c r="C146" s="417">
        <v>209356.04725</v>
      </c>
      <c r="D146" s="418">
        <v>12</v>
      </c>
      <c r="E146" s="417">
        <f t="shared" si="132"/>
        <v>2512272.5669999998</v>
      </c>
      <c r="F146" s="417"/>
      <c r="G146" s="419"/>
      <c r="H146" s="419"/>
      <c r="I146" s="417">
        <f t="shared" si="133"/>
        <v>2512272.5669999998</v>
      </c>
      <c r="J146" s="417">
        <v>200000</v>
      </c>
      <c r="K146" s="417">
        <v>0.2</v>
      </c>
      <c r="L146" s="417">
        <f t="shared" si="121"/>
        <v>502454.5134</v>
      </c>
      <c r="M146" s="417">
        <f t="shared" si="122"/>
        <v>702454.51340000005</v>
      </c>
      <c r="N146" s="417">
        <f t="shared" si="123"/>
        <v>702454.51340000005</v>
      </c>
      <c r="O146" s="417">
        <f t="shared" si="124"/>
        <v>1809818.0535999998</v>
      </c>
      <c r="P146" s="417">
        <f t="shared" si="125"/>
        <v>21000</v>
      </c>
      <c r="Q146" s="417">
        <f t="shared" si="126"/>
        <v>33000</v>
      </c>
      <c r="R146" s="417">
        <f t="shared" si="127"/>
        <v>75000</v>
      </c>
      <c r="S146" s="417">
        <f t="shared" si="128"/>
        <v>95000</v>
      </c>
      <c r="T146" s="417">
        <f t="shared" si="129"/>
        <v>44061.791255999946</v>
      </c>
      <c r="U146" s="417"/>
      <c r="V146" s="417">
        <f t="shared" si="135"/>
        <v>268061.79125599994</v>
      </c>
      <c r="W146" s="421">
        <v>12</v>
      </c>
      <c r="X146" s="417">
        <f t="shared" si="130"/>
        <v>22338.48260466666</v>
      </c>
      <c r="Y146" s="419"/>
      <c r="Z146" s="417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6">
        <v>130</v>
      </c>
      <c r="B147" s="155" t="s">
        <v>230</v>
      </c>
      <c r="C147" s="417">
        <v>237734.04699999996</v>
      </c>
      <c r="D147" s="418">
        <v>12</v>
      </c>
      <c r="E147" s="417">
        <f t="shared" si="132"/>
        <v>2852808.5639999993</v>
      </c>
      <c r="F147" s="417"/>
      <c r="G147" s="419"/>
      <c r="H147" s="419"/>
      <c r="I147" s="417">
        <f t="shared" si="133"/>
        <v>2852808.5639999993</v>
      </c>
      <c r="J147" s="417">
        <v>200000</v>
      </c>
      <c r="K147" s="417">
        <v>0.2</v>
      </c>
      <c r="L147" s="417">
        <f t="shared" si="121"/>
        <v>570561.71279999986</v>
      </c>
      <c r="M147" s="417">
        <f t="shared" si="122"/>
        <v>770561.71279999986</v>
      </c>
      <c r="N147" s="417">
        <f t="shared" si="123"/>
        <v>770561.71279999986</v>
      </c>
      <c r="O147" s="417">
        <f t="shared" si="124"/>
        <v>2082246.8511999995</v>
      </c>
      <c r="P147" s="417">
        <f t="shared" si="125"/>
        <v>21000</v>
      </c>
      <c r="Q147" s="417">
        <f t="shared" si="126"/>
        <v>33000</v>
      </c>
      <c r="R147" s="417">
        <f t="shared" si="127"/>
        <v>75000</v>
      </c>
      <c r="S147" s="417">
        <f t="shared" si="128"/>
        <v>95000</v>
      </c>
      <c r="T147" s="417">
        <f t="shared" si="129"/>
        <v>101271.83875199988</v>
      </c>
      <c r="U147" s="417"/>
      <c r="V147" s="417">
        <f t="shared" si="135"/>
        <v>325271.83875199989</v>
      </c>
      <c r="W147" s="421">
        <v>12</v>
      </c>
      <c r="X147" s="417">
        <f t="shared" si="130"/>
        <v>27105.986562666658</v>
      </c>
      <c r="Y147" s="419"/>
      <c r="Z147" s="417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6">
        <v>131</v>
      </c>
      <c r="B148" s="155" t="s">
        <v>57</v>
      </c>
      <c r="C148" s="417">
        <v>213508.01</v>
      </c>
      <c r="D148" s="418">
        <v>12</v>
      </c>
      <c r="E148" s="417">
        <f t="shared" si="132"/>
        <v>2562096.12</v>
      </c>
      <c r="F148" s="417"/>
      <c r="G148" s="419"/>
      <c r="H148" s="419"/>
      <c r="I148" s="417">
        <f t="shared" si="133"/>
        <v>2562096.12</v>
      </c>
      <c r="J148" s="417">
        <v>200000</v>
      </c>
      <c r="K148" s="417">
        <v>0.2</v>
      </c>
      <c r="L148" s="417">
        <f t="shared" si="121"/>
        <v>512419.22400000005</v>
      </c>
      <c r="M148" s="417">
        <f t="shared" si="122"/>
        <v>712419.22400000005</v>
      </c>
      <c r="N148" s="417">
        <f t="shared" si="123"/>
        <v>712419.22400000005</v>
      </c>
      <c r="O148" s="417">
        <f t="shared" si="124"/>
        <v>1849676.8960000002</v>
      </c>
      <c r="P148" s="417">
        <f t="shared" si="125"/>
        <v>21000</v>
      </c>
      <c r="Q148" s="417">
        <f t="shared" si="126"/>
        <v>33000</v>
      </c>
      <c r="R148" s="417">
        <f t="shared" si="127"/>
        <v>75000</v>
      </c>
      <c r="S148" s="417">
        <f t="shared" si="128"/>
        <v>95000</v>
      </c>
      <c r="T148" s="417">
        <f t="shared" si="129"/>
        <v>52432.148160000033</v>
      </c>
      <c r="U148" s="417"/>
      <c r="V148" s="417">
        <f t="shared" si="135"/>
        <v>276432.14816000004</v>
      </c>
      <c r="W148" s="421">
        <v>12</v>
      </c>
      <c r="X148" s="417">
        <f t="shared" si="130"/>
        <v>23036.01234666667</v>
      </c>
      <c r="Y148" s="419"/>
      <c r="Z148" s="417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6">
        <v>132</v>
      </c>
      <c r="B149" s="155" t="s">
        <v>251</v>
      </c>
      <c r="C149" s="417">
        <v>237734.04699999996</v>
      </c>
      <c r="D149" s="418">
        <v>12</v>
      </c>
      <c r="E149" s="417">
        <f t="shared" si="132"/>
        <v>2852808.5639999993</v>
      </c>
      <c r="F149" s="417">
        <f>457.041*12</f>
        <v>5484.4920000000002</v>
      </c>
      <c r="G149" s="419"/>
      <c r="H149" s="419"/>
      <c r="I149" s="417">
        <f t="shared" si="133"/>
        <v>2847324.0719999992</v>
      </c>
      <c r="J149" s="417">
        <v>200000</v>
      </c>
      <c r="K149" s="417">
        <v>0.2</v>
      </c>
      <c r="L149" s="417">
        <f t="shared" si="121"/>
        <v>569464.81439999992</v>
      </c>
      <c r="M149" s="417">
        <f t="shared" si="122"/>
        <v>769464.81439999992</v>
      </c>
      <c r="N149" s="417">
        <f t="shared" si="123"/>
        <v>774949.30639999988</v>
      </c>
      <c r="O149" s="417">
        <f t="shared" si="124"/>
        <v>2077859.2575999994</v>
      </c>
      <c r="P149" s="417">
        <f t="shared" si="125"/>
        <v>21000</v>
      </c>
      <c r="Q149" s="417">
        <f t="shared" si="126"/>
        <v>33000</v>
      </c>
      <c r="R149" s="417">
        <f t="shared" si="127"/>
        <v>75000</v>
      </c>
      <c r="S149" s="417">
        <f t="shared" si="128"/>
        <v>95000</v>
      </c>
      <c r="T149" s="417">
        <f t="shared" si="129"/>
        <v>100350.44409599988</v>
      </c>
      <c r="U149" s="417"/>
      <c r="V149" s="417">
        <f t="shared" si="135"/>
        <v>324350.44409599988</v>
      </c>
      <c r="W149" s="421">
        <v>12</v>
      </c>
      <c r="X149" s="417">
        <f t="shared" si="130"/>
        <v>27029.203674666656</v>
      </c>
      <c r="Y149" s="419"/>
      <c r="Z149" s="417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6">
        <v>133</v>
      </c>
      <c r="B150" s="155" t="s">
        <v>241</v>
      </c>
      <c r="C150" s="417">
        <v>209356.04725</v>
      </c>
      <c r="D150" s="418">
        <v>12</v>
      </c>
      <c r="E150" s="417">
        <f t="shared" si="132"/>
        <v>2512272.5669999998</v>
      </c>
      <c r="F150" s="417"/>
      <c r="G150" s="419"/>
      <c r="H150" s="419"/>
      <c r="I150" s="417">
        <f t="shared" si="133"/>
        <v>2512272.5669999998</v>
      </c>
      <c r="J150" s="417">
        <v>200000</v>
      </c>
      <c r="K150" s="417">
        <v>0.2</v>
      </c>
      <c r="L150" s="417">
        <f t="shared" si="121"/>
        <v>502454.5134</v>
      </c>
      <c r="M150" s="417">
        <f t="shared" si="122"/>
        <v>702454.51340000005</v>
      </c>
      <c r="N150" s="417">
        <f t="shared" si="123"/>
        <v>702454.51340000005</v>
      </c>
      <c r="O150" s="417">
        <f t="shared" si="124"/>
        <v>1809818.0535999998</v>
      </c>
      <c r="P150" s="417">
        <f t="shared" si="125"/>
        <v>21000</v>
      </c>
      <c r="Q150" s="417">
        <f t="shared" si="126"/>
        <v>33000</v>
      </c>
      <c r="R150" s="417">
        <f t="shared" si="127"/>
        <v>75000</v>
      </c>
      <c r="S150" s="417">
        <f t="shared" si="128"/>
        <v>95000</v>
      </c>
      <c r="T150" s="417">
        <f t="shared" si="129"/>
        <v>44061.791255999946</v>
      </c>
      <c r="U150" s="417"/>
      <c r="V150" s="417">
        <f t="shared" si="135"/>
        <v>268061.79125599994</v>
      </c>
      <c r="W150" s="421">
        <v>12</v>
      </c>
      <c r="X150" s="417">
        <f t="shared" si="130"/>
        <v>22338.48260466666</v>
      </c>
      <c r="Y150" s="419"/>
      <c r="Z150" s="417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6">
        <v>134</v>
      </c>
      <c r="B151" s="156" t="s">
        <v>289</v>
      </c>
      <c r="C151" s="417">
        <v>205204.0845</v>
      </c>
      <c r="D151" s="418">
        <v>12</v>
      </c>
      <c r="E151" s="417">
        <f t="shared" si="132"/>
        <v>2462449.014</v>
      </c>
      <c r="F151" s="417"/>
      <c r="G151" s="419"/>
      <c r="H151" s="419"/>
      <c r="I151" s="417">
        <f t="shared" si="133"/>
        <v>2462449.014</v>
      </c>
      <c r="J151" s="417">
        <v>200000</v>
      </c>
      <c r="K151" s="417">
        <v>0.2</v>
      </c>
      <c r="L151" s="417">
        <f t="shared" si="121"/>
        <v>492489.8028</v>
      </c>
      <c r="M151" s="417">
        <f t="shared" si="122"/>
        <v>692489.80279999995</v>
      </c>
      <c r="N151" s="417">
        <f t="shared" si="123"/>
        <v>692489.80279999995</v>
      </c>
      <c r="O151" s="417">
        <f t="shared" si="124"/>
        <v>1769959.2112</v>
      </c>
      <c r="P151" s="417">
        <f t="shared" si="125"/>
        <v>21000</v>
      </c>
      <c r="Q151" s="417">
        <f t="shared" si="126"/>
        <v>33000</v>
      </c>
      <c r="R151" s="417">
        <f t="shared" si="127"/>
        <v>75000</v>
      </c>
      <c r="S151" s="417">
        <f t="shared" si="128"/>
        <v>95000</v>
      </c>
      <c r="T151" s="417">
        <f t="shared" si="129"/>
        <v>35691.434352000004</v>
      </c>
      <c r="U151" s="417"/>
      <c r="V151" s="417">
        <f t="shared" si="135"/>
        <v>259691.43435200001</v>
      </c>
      <c r="W151" s="421">
        <v>12</v>
      </c>
      <c r="X151" s="417">
        <f t="shared" si="130"/>
        <v>21640.952862666669</v>
      </c>
      <c r="Y151" s="419"/>
      <c r="Z151" s="417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6">
        <v>135</v>
      </c>
      <c r="B152" s="156" t="s">
        <v>407</v>
      </c>
      <c r="C152" s="417">
        <v>176816.09999999998</v>
      </c>
      <c r="D152" s="418">
        <v>12</v>
      </c>
      <c r="E152" s="417">
        <f t="shared" si="132"/>
        <v>2121793.1999999997</v>
      </c>
      <c r="F152" s="417">
        <v>0</v>
      </c>
      <c r="G152" s="419"/>
      <c r="H152" s="419"/>
      <c r="I152" s="417">
        <f t="shared" si="133"/>
        <v>2121793.1999999997</v>
      </c>
      <c r="J152" s="417">
        <v>200000</v>
      </c>
      <c r="K152" s="417">
        <v>0.2</v>
      </c>
      <c r="L152" s="417">
        <f t="shared" si="121"/>
        <v>424358.63999999996</v>
      </c>
      <c r="M152" s="417">
        <f t="shared" si="122"/>
        <v>624358.6399999999</v>
      </c>
      <c r="N152" s="417">
        <f t="shared" si="123"/>
        <v>624358.6399999999</v>
      </c>
      <c r="O152" s="417">
        <f t="shared" si="124"/>
        <v>1497434.5599999998</v>
      </c>
      <c r="P152" s="417">
        <f t="shared" si="125"/>
        <v>21000</v>
      </c>
      <c r="Q152" s="417">
        <f t="shared" si="126"/>
        <v>33000</v>
      </c>
      <c r="R152" s="417">
        <f t="shared" si="127"/>
        <v>75000</v>
      </c>
      <c r="S152" s="417">
        <f t="shared" si="128"/>
        <v>75512.566399999967</v>
      </c>
      <c r="T152" s="417">
        <f t="shared" si="129"/>
        <v>0</v>
      </c>
      <c r="U152" s="417"/>
      <c r="V152" s="417">
        <f t="shared" si="135"/>
        <v>204512.56639999995</v>
      </c>
      <c r="W152" s="421">
        <v>12</v>
      </c>
      <c r="X152" s="417">
        <f t="shared" si="130"/>
        <v>17042.713866666661</v>
      </c>
      <c r="Y152" s="419"/>
      <c r="Z152" s="417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6">
        <v>136</v>
      </c>
      <c r="B153" s="156" t="s">
        <v>426</v>
      </c>
      <c r="C153" s="417">
        <v>176816.09999999998</v>
      </c>
      <c r="D153" s="418">
        <v>12</v>
      </c>
      <c r="E153" s="417">
        <f t="shared" si="132"/>
        <v>2121793.1999999997</v>
      </c>
      <c r="F153" s="417">
        <v>0</v>
      </c>
      <c r="G153" s="419"/>
      <c r="H153" s="419"/>
      <c r="I153" s="417">
        <f t="shared" si="133"/>
        <v>2121793.1999999997</v>
      </c>
      <c r="J153" s="417">
        <v>200000</v>
      </c>
      <c r="K153" s="417">
        <v>0.2</v>
      </c>
      <c r="L153" s="417">
        <f t="shared" si="121"/>
        <v>424358.63999999996</v>
      </c>
      <c r="M153" s="417">
        <f t="shared" si="122"/>
        <v>624358.6399999999</v>
      </c>
      <c r="N153" s="417">
        <f t="shared" si="123"/>
        <v>624358.6399999999</v>
      </c>
      <c r="O153" s="417">
        <f t="shared" si="124"/>
        <v>1497434.5599999998</v>
      </c>
      <c r="P153" s="417">
        <f t="shared" si="125"/>
        <v>21000</v>
      </c>
      <c r="Q153" s="417">
        <f t="shared" si="126"/>
        <v>33000</v>
      </c>
      <c r="R153" s="417">
        <f t="shared" si="127"/>
        <v>75000</v>
      </c>
      <c r="S153" s="417">
        <f t="shared" si="128"/>
        <v>75512.566399999967</v>
      </c>
      <c r="T153" s="417">
        <f t="shared" si="129"/>
        <v>0</v>
      </c>
      <c r="U153" s="417"/>
      <c r="V153" s="417">
        <f t="shared" si="135"/>
        <v>204512.56639999995</v>
      </c>
      <c r="W153" s="421">
        <v>12</v>
      </c>
      <c r="X153" s="417">
        <f t="shared" si="130"/>
        <v>17042.713866666661</v>
      </c>
      <c r="Y153" s="419"/>
      <c r="Z153" s="417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6">
        <v>137</v>
      </c>
      <c r="B154" s="156" t="s">
        <v>441</v>
      </c>
      <c r="C154" s="417">
        <v>176816.09999999998</v>
      </c>
      <c r="D154" s="418">
        <v>12</v>
      </c>
      <c r="E154" s="417">
        <f t="shared" si="132"/>
        <v>2121793.1999999997</v>
      </c>
      <c r="F154" s="417">
        <v>0</v>
      </c>
      <c r="G154" s="419"/>
      <c r="H154" s="419"/>
      <c r="I154" s="417">
        <f t="shared" si="133"/>
        <v>2121793.1999999997</v>
      </c>
      <c r="J154" s="417">
        <v>200000</v>
      </c>
      <c r="K154" s="417">
        <v>0.2</v>
      </c>
      <c r="L154" s="417">
        <f t="shared" si="121"/>
        <v>424358.63999999996</v>
      </c>
      <c r="M154" s="417">
        <f t="shared" si="122"/>
        <v>624358.6399999999</v>
      </c>
      <c r="N154" s="417">
        <f t="shared" si="123"/>
        <v>624358.6399999999</v>
      </c>
      <c r="O154" s="417">
        <f t="shared" si="124"/>
        <v>1497434.5599999998</v>
      </c>
      <c r="P154" s="417">
        <f t="shared" si="125"/>
        <v>21000</v>
      </c>
      <c r="Q154" s="417">
        <f t="shared" si="126"/>
        <v>33000</v>
      </c>
      <c r="R154" s="417">
        <f t="shared" si="127"/>
        <v>75000</v>
      </c>
      <c r="S154" s="417">
        <f t="shared" si="128"/>
        <v>75512.566399999967</v>
      </c>
      <c r="T154" s="417">
        <f t="shared" si="129"/>
        <v>0</v>
      </c>
      <c r="U154" s="417"/>
      <c r="V154" s="417">
        <f t="shared" si="135"/>
        <v>204512.56639999995</v>
      </c>
      <c r="W154" s="421">
        <v>12</v>
      </c>
      <c r="X154" s="417">
        <f t="shared" si="130"/>
        <v>17042.713866666661</v>
      </c>
      <c r="Y154" s="419"/>
      <c r="Z154" s="417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6">
        <v>138</v>
      </c>
      <c r="B155" s="156" t="s">
        <v>445</v>
      </c>
      <c r="C155" s="417">
        <v>180304.068</v>
      </c>
      <c r="D155" s="418">
        <v>12</v>
      </c>
      <c r="E155" s="417">
        <f t="shared" si="132"/>
        <v>2163648.8160000001</v>
      </c>
      <c r="F155" s="417">
        <v>0</v>
      </c>
      <c r="G155" s="419"/>
      <c r="H155" s="419"/>
      <c r="I155" s="417">
        <f t="shared" si="133"/>
        <v>2163648.8160000001</v>
      </c>
      <c r="J155" s="417">
        <v>200000</v>
      </c>
      <c r="K155" s="417">
        <v>0.2</v>
      </c>
      <c r="L155" s="417">
        <f t="shared" si="121"/>
        <v>432729.76320000004</v>
      </c>
      <c r="M155" s="417">
        <f t="shared" si="122"/>
        <v>632729.76320000004</v>
      </c>
      <c r="N155" s="417">
        <f t="shared" si="123"/>
        <v>632729.76320000004</v>
      </c>
      <c r="O155" s="417">
        <f t="shared" si="124"/>
        <v>1530919.0528000002</v>
      </c>
      <c r="P155" s="417">
        <f t="shared" si="125"/>
        <v>21000</v>
      </c>
      <c r="Q155" s="417">
        <f t="shared" si="126"/>
        <v>33000</v>
      </c>
      <c r="R155" s="417">
        <f t="shared" si="127"/>
        <v>75000</v>
      </c>
      <c r="S155" s="417">
        <f t="shared" si="128"/>
        <v>81874.620032000035</v>
      </c>
      <c r="T155" s="417">
        <f t="shared" si="129"/>
        <v>0</v>
      </c>
      <c r="U155" s="417"/>
      <c r="V155" s="417">
        <f t="shared" si="135"/>
        <v>210874.62003200004</v>
      </c>
      <c r="W155" s="421">
        <v>12</v>
      </c>
      <c r="X155" s="417">
        <f t="shared" si="130"/>
        <v>17572.88500266667</v>
      </c>
      <c r="Y155" s="419"/>
      <c r="Z155" s="417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6">
        <v>139</v>
      </c>
      <c r="B156" s="156" t="s">
        <v>550</v>
      </c>
      <c r="C156" s="417">
        <v>176816.09999999998</v>
      </c>
      <c r="D156" s="418">
        <v>12</v>
      </c>
      <c r="E156" s="417">
        <f t="shared" si="132"/>
        <v>2121793.1999999997</v>
      </c>
      <c r="F156" s="417">
        <v>0</v>
      </c>
      <c r="G156" s="419"/>
      <c r="H156" s="419"/>
      <c r="I156" s="417">
        <f t="shared" si="133"/>
        <v>2121793.1999999997</v>
      </c>
      <c r="J156" s="417">
        <v>200000</v>
      </c>
      <c r="K156" s="417">
        <v>0.2</v>
      </c>
      <c r="L156" s="417">
        <f t="shared" si="121"/>
        <v>424358.63999999996</v>
      </c>
      <c r="M156" s="417">
        <f t="shared" si="122"/>
        <v>624358.6399999999</v>
      </c>
      <c r="N156" s="417">
        <f t="shared" si="123"/>
        <v>624358.6399999999</v>
      </c>
      <c r="O156" s="417">
        <f t="shared" si="124"/>
        <v>1497434.5599999998</v>
      </c>
      <c r="P156" s="417">
        <f t="shared" si="125"/>
        <v>21000</v>
      </c>
      <c r="Q156" s="417">
        <f t="shared" si="126"/>
        <v>33000</v>
      </c>
      <c r="R156" s="417">
        <f t="shared" si="127"/>
        <v>75000</v>
      </c>
      <c r="S156" s="417">
        <f t="shared" si="128"/>
        <v>75512.566399999967</v>
      </c>
      <c r="T156" s="417">
        <f t="shared" si="129"/>
        <v>0</v>
      </c>
      <c r="U156" s="417"/>
      <c r="V156" s="417">
        <f t="shared" si="135"/>
        <v>204512.56639999995</v>
      </c>
      <c r="W156" s="421">
        <v>12</v>
      </c>
      <c r="X156" s="417">
        <f t="shared" si="130"/>
        <v>17042.713866666661</v>
      </c>
      <c r="Y156" s="419"/>
      <c r="Z156" s="417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6">
        <v>140</v>
      </c>
      <c r="B157" s="155" t="s">
        <v>22</v>
      </c>
      <c r="C157" s="417">
        <v>135590.72999999998</v>
      </c>
      <c r="D157" s="418">
        <v>12</v>
      </c>
      <c r="E157" s="417">
        <f t="shared" si="132"/>
        <v>1627088.7599999998</v>
      </c>
      <c r="F157" s="417">
        <f>263.19*12</f>
        <v>3158.2799999999997</v>
      </c>
      <c r="G157" s="419"/>
      <c r="H157" s="419"/>
      <c r="I157" s="417">
        <f t="shared" si="133"/>
        <v>1623930.4799999997</v>
      </c>
      <c r="J157" s="417">
        <v>200000</v>
      </c>
      <c r="K157" s="417">
        <v>0.2</v>
      </c>
      <c r="L157" s="417">
        <f t="shared" si="121"/>
        <v>324786.09599999996</v>
      </c>
      <c r="M157" s="417">
        <f t="shared" si="122"/>
        <v>524786.0959999999</v>
      </c>
      <c r="N157" s="417">
        <f t="shared" si="123"/>
        <v>527944.37599999993</v>
      </c>
      <c r="O157" s="417">
        <f t="shared" si="124"/>
        <v>1099144.3839999998</v>
      </c>
      <c r="P157" s="417">
        <f t="shared" si="125"/>
        <v>21000</v>
      </c>
      <c r="Q157" s="417">
        <f t="shared" si="126"/>
        <v>33000</v>
      </c>
      <c r="R157" s="417">
        <f t="shared" si="127"/>
        <v>74871.657599999977</v>
      </c>
      <c r="S157" s="417">
        <f t="shared" si="128"/>
        <v>0</v>
      </c>
      <c r="T157" s="417">
        <f t="shared" si="129"/>
        <v>0</v>
      </c>
      <c r="U157" s="417"/>
      <c r="V157" s="417">
        <f t="shared" si="135"/>
        <v>128871.65759999998</v>
      </c>
      <c r="W157" s="421">
        <v>12</v>
      </c>
      <c r="X157" s="417">
        <f t="shared" si="130"/>
        <v>10739.304799999998</v>
      </c>
      <c r="Y157" s="419"/>
      <c r="Z157" s="417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6">
        <v>141</v>
      </c>
      <c r="B158" s="155" t="s">
        <v>14</v>
      </c>
      <c r="C158" s="417">
        <v>138590.72999999998</v>
      </c>
      <c r="D158" s="418">
        <v>12</v>
      </c>
      <c r="E158" s="417">
        <f t="shared" si="132"/>
        <v>1663088.7599999998</v>
      </c>
      <c r="F158" s="417"/>
      <c r="G158" s="419"/>
      <c r="H158" s="419"/>
      <c r="I158" s="417">
        <f t="shared" si="133"/>
        <v>1663088.7599999998</v>
      </c>
      <c r="J158" s="417">
        <v>200000</v>
      </c>
      <c r="K158" s="417">
        <v>0.2</v>
      </c>
      <c r="L158" s="417">
        <f t="shared" si="121"/>
        <v>332617.75199999998</v>
      </c>
      <c r="M158" s="417">
        <f t="shared" si="122"/>
        <v>532617.75199999998</v>
      </c>
      <c r="N158" s="417">
        <f t="shared" si="123"/>
        <v>532617.75199999998</v>
      </c>
      <c r="O158" s="417">
        <f t="shared" si="124"/>
        <v>1130471.0079999999</v>
      </c>
      <c r="P158" s="417">
        <f t="shared" si="125"/>
        <v>21000</v>
      </c>
      <c r="Q158" s="417">
        <f t="shared" si="126"/>
        <v>33000</v>
      </c>
      <c r="R158" s="417">
        <f t="shared" si="127"/>
        <v>75000</v>
      </c>
      <c r="S158" s="417">
        <f t="shared" si="128"/>
        <v>5789.4915199999841</v>
      </c>
      <c r="T158" s="417">
        <f t="shared" si="129"/>
        <v>0</v>
      </c>
      <c r="U158" s="417"/>
      <c r="V158" s="417">
        <f t="shared" si="135"/>
        <v>134789.49151999998</v>
      </c>
      <c r="W158" s="421">
        <v>12</v>
      </c>
      <c r="X158" s="417">
        <f t="shared" si="130"/>
        <v>11232.457626666665</v>
      </c>
      <c r="Y158" s="419"/>
      <c r="Z158" s="417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6">
        <v>142</v>
      </c>
      <c r="B159" s="155" t="s">
        <v>23</v>
      </c>
      <c r="C159" s="417">
        <v>135590.72999999998</v>
      </c>
      <c r="D159" s="418">
        <v>12</v>
      </c>
      <c r="E159" s="417">
        <f t="shared" si="132"/>
        <v>1627088.7599999998</v>
      </c>
      <c r="F159" s="417"/>
      <c r="G159" s="419"/>
      <c r="H159" s="419"/>
      <c r="I159" s="417">
        <f t="shared" si="133"/>
        <v>1627088.7599999998</v>
      </c>
      <c r="J159" s="417">
        <v>200000</v>
      </c>
      <c r="K159" s="417">
        <v>0.2</v>
      </c>
      <c r="L159" s="417">
        <f t="shared" si="121"/>
        <v>325417.75199999998</v>
      </c>
      <c r="M159" s="417">
        <f t="shared" si="122"/>
        <v>525417.75199999998</v>
      </c>
      <c r="N159" s="417">
        <f t="shared" si="123"/>
        <v>525417.75199999998</v>
      </c>
      <c r="O159" s="417">
        <f t="shared" si="124"/>
        <v>1101671.0079999999</v>
      </c>
      <c r="P159" s="417">
        <f t="shared" si="125"/>
        <v>21000</v>
      </c>
      <c r="Q159" s="417">
        <f t="shared" si="126"/>
        <v>33000</v>
      </c>
      <c r="R159" s="417">
        <f t="shared" si="127"/>
        <v>75000</v>
      </c>
      <c r="S159" s="417">
        <f t="shared" si="128"/>
        <v>317.49151999998372</v>
      </c>
      <c r="T159" s="417">
        <f t="shared" si="129"/>
        <v>0</v>
      </c>
      <c r="U159" s="417"/>
      <c r="V159" s="417">
        <f t="shared" si="135"/>
        <v>129317.49151999998</v>
      </c>
      <c r="W159" s="421">
        <v>12</v>
      </c>
      <c r="X159" s="417">
        <f t="shared" si="130"/>
        <v>10776.457626666665</v>
      </c>
      <c r="Y159" s="419"/>
      <c r="Z159" s="417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14" customFormat="1" ht="18.75">
      <c r="A160" s="411">
        <v>143</v>
      </c>
      <c r="B160" s="155" t="s">
        <v>39</v>
      </c>
      <c r="C160" s="417">
        <v>135590.72999999998</v>
      </c>
      <c r="D160" s="418">
        <v>12</v>
      </c>
      <c r="E160" s="417">
        <f t="shared" si="132"/>
        <v>1627088.7599999998</v>
      </c>
      <c r="F160" s="417">
        <f>263.19*12</f>
        <v>3158.2799999999997</v>
      </c>
      <c r="G160" s="419"/>
      <c r="H160" s="419"/>
      <c r="I160" s="417">
        <f t="shared" si="133"/>
        <v>1623930.4799999997</v>
      </c>
      <c r="J160" s="417">
        <v>200000</v>
      </c>
      <c r="K160" s="417">
        <v>0.2</v>
      </c>
      <c r="L160" s="417">
        <f t="shared" si="121"/>
        <v>324786.09599999996</v>
      </c>
      <c r="M160" s="417">
        <f t="shared" si="122"/>
        <v>524786.0959999999</v>
      </c>
      <c r="N160" s="417">
        <f t="shared" si="123"/>
        <v>527944.37599999993</v>
      </c>
      <c r="O160" s="417">
        <f t="shared" si="124"/>
        <v>1099144.3839999998</v>
      </c>
      <c r="P160" s="417">
        <f t="shared" si="125"/>
        <v>21000</v>
      </c>
      <c r="Q160" s="417">
        <f t="shared" si="126"/>
        <v>33000</v>
      </c>
      <c r="R160" s="417">
        <f t="shared" si="127"/>
        <v>74871.657599999977</v>
      </c>
      <c r="S160" s="417">
        <f t="shared" si="128"/>
        <v>0</v>
      </c>
      <c r="T160" s="417">
        <f t="shared" si="129"/>
        <v>0</v>
      </c>
      <c r="U160" s="417"/>
      <c r="V160" s="417">
        <f t="shared" si="135"/>
        <v>128871.65759999998</v>
      </c>
      <c r="W160" s="421">
        <v>12</v>
      </c>
      <c r="X160" s="417">
        <f t="shared" si="130"/>
        <v>10739.304799999998</v>
      </c>
      <c r="Y160" s="419"/>
      <c r="Z160" s="417">
        <f t="shared" si="131"/>
        <v>10739.304799999998</v>
      </c>
      <c r="AA160" s="34">
        <v>10739.304799999998</v>
      </c>
      <c r="AB160" s="34">
        <f t="shared" si="134"/>
        <v>0</v>
      </c>
      <c r="AC160" s="413"/>
      <c r="AD160" s="413"/>
      <c r="AE160" s="413"/>
    </row>
    <row r="161" spans="1:31" s="414" customFormat="1" ht="18.75">
      <c r="A161" s="411">
        <v>144</v>
      </c>
      <c r="B161" s="155" t="s">
        <v>40</v>
      </c>
      <c r="C161" s="417">
        <v>135590.72999999998</v>
      </c>
      <c r="D161" s="418">
        <v>12</v>
      </c>
      <c r="E161" s="417">
        <f t="shared" si="132"/>
        <v>1627088.7599999998</v>
      </c>
      <c r="F161" s="417"/>
      <c r="G161" s="419"/>
      <c r="H161" s="419"/>
      <c r="I161" s="417">
        <f t="shared" si="133"/>
        <v>1627088.7599999998</v>
      </c>
      <c r="J161" s="417">
        <v>200000</v>
      </c>
      <c r="K161" s="417">
        <v>0.2</v>
      </c>
      <c r="L161" s="417">
        <f t="shared" si="121"/>
        <v>325417.75199999998</v>
      </c>
      <c r="M161" s="417">
        <f t="shared" si="122"/>
        <v>525417.75199999998</v>
      </c>
      <c r="N161" s="417">
        <f t="shared" si="123"/>
        <v>525417.75199999998</v>
      </c>
      <c r="O161" s="417">
        <f t="shared" si="124"/>
        <v>1101671.0079999999</v>
      </c>
      <c r="P161" s="417">
        <f t="shared" si="125"/>
        <v>21000</v>
      </c>
      <c r="Q161" s="417">
        <f t="shared" si="126"/>
        <v>33000</v>
      </c>
      <c r="R161" s="417">
        <f t="shared" si="127"/>
        <v>75000</v>
      </c>
      <c r="S161" s="417">
        <f t="shared" si="128"/>
        <v>317.49151999998372</v>
      </c>
      <c r="T161" s="417">
        <f t="shared" si="129"/>
        <v>0</v>
      </c>
      <c r="U161" s="417"/>
      <c r="V161" s="417">
        <f t="shared" si="135"/>
        <v>129317.49151999998</v>
      </c>
      <c r="W161" s="421">
        <v>12</v>
      </c>
      <c r="X161" s="417">
        <f t="shared" si="130"/>
        <v>10776.457626666665</v>
      </c>
      <c r="Y161" s="419"/>
      <c r="Z161" s="417">
        <f t="shared" si="131"/>
        <v>10776.457626666665</v>
      </c>
      <c r="AA161" s="34">
        <v>10776.457626666665</v>
      </c>
      <c r="AB161" s="34">
        <f t="shared" si="134"/>
        <v>0</v>
      </c>
      <c r="AC161" s="413"/>
      <c r="AD161" s="413"/>
      <c r="AE161" s="413"/>
    </row>
    <row r="162" spans="1:31" s="414" customFormat="1" ht="18.75">
      <c r="A162" s="411">
        <v>145</v>
      </c>
      <c r="B162" s="155" t="s">
        <v>127</v>
      </c>
      <c r="C162" s="417">
        <v>138590.72999999998</v>
      </c>
      <c r="D162" s="418">
        <v>12</v>
      </c>
      <c r="E162" s="417">
        <f t="shared" si="132"/>
        <v>1663088.7599999998</v>
      </c>
      <c r="F162" s="417"/>
      <c r="G162" s="419"/>
      <c r="H162" s="419"/>
      <c r="I162" s="417">
        <f t="shared" si="133"/>
        <v>1663088.7599999998</v>
      </c>
      <c r="J162" s="417">
        <v>200000</v>
      </c>
      <c r="K162" s="417">
        <v>0.2</v>
      </c>
      <c r="L162" s="417">
        <f t="shared" si="121"/>
        <v>332617.75199999998</v>
      </c>
      <c r="M162" s="417">
        <f t="shared" si="122"/>
        <v>532617.75199999998</v>
      </c>
      <c r="N162" s="417">
        <f t="shared" si="123"/>
        <v>532617.75199999998</v>
      </c>
      <c r="O162" s="417">
        <f t="shared" si="124"/>
        <v>1130471.0079999999</v>
      </c>
      <c r="P162" s="417">
        <f t="shared" si="125"/>
        <v>21000</v>
      </c>
      <c r="Q162" s="417">
        <f t="shared" si="126"/>
        <v>33000</v>
      </c>
      <c r="R162" s="417">
        <f t="shared" si="127"/>
        <v>75000</v>
      </c>
      <c r="S162" s="417">
        <f t="shared" si="128"/>
        <v>5789.4915199999841</v>
      </c>
      <c r="T162" s="417">
        <f t="shared" si="129"/>
        <v>0</v>
      </c>
      <c r="U162" s="417"/>
      <c r="V162" s="417">
        <f t="shared" si="135"/>
        <v>134789.49151999998</v>
      </c>
      <c r="W162" s="421">
        <v>12</v>
      </c>
      <c r="X162" s="417">
        <f t="shared" si="130"/>
        <v>11232.457626666665</v>
      </c>
      <c r="Y162" s="419"/>
      <c r="Z162" s="417">
        <f t="shared" si="131"/>
        <v>11232.457626666665</v>
      </c>
      <c r="AA162" s="413">
        <v>11232.457626666665</v>
      </c>
      <c r="AB162" s="34">
        <f t="shared" si="134"/>
        <v>0</v>
      </c>
      <c r="AC162" s="413"/>
      <c r="AD162" s="413"/>
      <c r="AE162" s="413"/>
    </row>
    <row r="163" spans="1:31" ht="18.75">
      <c r="A163" s="406">
        <v>146</v>
      </c>
      <c r="B163" s="155" t="s">
        <v>128</v>
      </c>
      <c r="C163" s="417">
        <v>135590.72999999998</v>
      </c>
      <c r="D163" s="418">
        <v>12</v>
      </c>
      <c r="E163" s="417">
        <f t="shared" si="132"/>
        <v>1627088.7599999998</v>
      </c>
      <c r="F163" s="417"/>
      <c r="G163" s="419"/>
      <c r="H163" s="419"/>
      <c r="I163" s="417">
        <f t="shared" si="133"/>
        <v>1627088.7599999998</v>
      </c>
      <c r="J163" s="417">
        <v>200000</v>
      </c>
      <c r="K163" s="417">
        <v>0.2</v>
      </c>
      <c r="L163" s="417">
        <f t="shared" si="121"/>
        <v>325417.75199999998</v>
      </c>
      <c r="M163" s="417">
        <f t="shared" si="122"/>
        <v>525417.75199999998</v>
      </c>
      <c r="N163" s="417">
        <f t="shared" si="123"/>
        <v>525417.75199999998</v>
      </c>
      <c r="O163" s="417">
        <f t="shared" si="124"/>
        <v>1101671.0079999999</v>
      </c>
      <c r="P163" s="417">
        <f t="shared" si="125"/>
        <v>21000</v>
      </c>
      <c r="Q163" s="417">
        <f t="shared" si="126"/>
        <v>33000</v>
      </c>
      <c r="R163" s="417">
        <f t="shared" si="127"/>
        <v>75000</v>
      </c>
      <c r="S163" s="417">
        <f t="shared" si="128"/>
        <v>317.49151999998372</v>
      </c>
      <c r="T163" s="417">
        <f t="shared" si="129"/>
        <v>0</v>
      </c>
      <c r="U163" s="417"/>
      <c r="V163" s="417">
        <f t="shared" si="135"/>
        <v>129317.49151999998</v>
      </c>
      <c r="W163" s="421">
        <v>12</v>
      </c>
      <c r="X163" s="417">
        <f t="shared" si="130"/>
        <v>10776.457626666665</v>
      </c>
      <c r="Y163" s="419"/>
      <c r="Z163" s="417">
        <f t="shared" si="131"/>
        <v>10776.457626666665</v>
      </c>
      <c r="AA163" s="413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6">
        <v>147</v>
      </c>
      <c r="B164" s="157" t="s">
        <v>136</v>
      </c>
      <c r="C164" s="417">
        <v>138590.72999999998</v>
      </c>
      <c r="D164" s="418">
        <v>12</v>
      </c>
      <c r="E164" s="417">
        <f t="shared" si="132"/>
        <v>1663088.7599999998</v>
      </c>
      <c r="F164" s="417"/>
      <c r="G164" s="419"/>
      <c r="H164" s="419"/>
      <c r="I164" s="417">
        <f t="shared" si="133"/>
        <v>1663088.7599999998</v>
      </c>
      <c r="J164" s="417">
        <v>200000</v>
      </c>
      <c r="K164" s="417">
        <v>0.2</v>
      </c>
      <c r="L164" s="417">
        <f t="shared" si="121"/>
        <v>332617.75199999998</v>
      </c>
      <c r="M164" s="417">
        <f t="shared" si="122"/>
        <v>532617.75199999998</v>
      </c>
      <c r="N164" s="417">
        <f t="shared" si="123"/>
        <v>532617.75199999998</v>
      </c>
      <c r="O164" s="417">
        <f t="shared" si="124"/>
        <v>1130471.0079999999</v>
      </c>
      <c r="P164" s="417">
        <f t="shared" si="125"/>
        <v>21000</v>
      </c>
      <c r="Q164" s="417">
        <f t="shared" si="126"/>
        <v>33000</v>
      </c>
      <c r="R164" s="417">
        <f t="shared" si="127"/>
        <v>75000</v>
      </c>
      <c r="S164" s="417">
        <f t="shared" si="128"/>
        <v>5789.4915199999841</v>
      </c>
      <c r="T164" s="417">
        <f t="shared" si="129"/>
        <v>0</v>
      </c>
      <c r="U164" s="417"/>
      <c r="V164" s="417">
        <f t="shared" si="135"/>
        <v>134789.49151999998</v>
      </c>
      <c r="W164" s="421">
        <v>12</v>
      </c>
      <c r="X164" s="417">
        <f t="shared" si="130"/>
        <v>11232.457626666665</v>
      </c>
      <c r="Y164" s="419"/>
      <c r="Z164" s="417">
        <f t="shared" si="131"/>
        <v>11232.457626666665</v>
      </c>
      <c r="AA164" s="413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6">
        <v>148</v>
      </c>
      <c r="B165" s="155" t="s">
        <v>140</v>
      </c>
      <c r="C165" s="417">
        <v>135590.72999999998</v>
      </c>
      <c r="D165" s="418">
        <v>12</v>
      </c>
      <c r="E165" s="417">
        <f t="shared" si="132"/>
        <v>1627088.7599999998</v>
      </c>
      <c r="F165" s="417"/>
      <c r="G165" s="419"/>
      <c r="H165" s="419"/>
      <c r="I165" s="417">
        <f t="shared" si="133"/>
        <v>1627088.7599999998</v>
      </c>
      <c r="J165" s="417">
        <v>200000</v>
      </c>
      <c r="K165" s="417">
        <v>0.2</v>
      </c>
      <c r="L165" s="417">
        <f t="shared" si="121"/>
        <v>325417.75199999998</v>
      </c>
      <c r="M165" s="417">
        <f t="shared" si="122"/>
        <v>525417.75199999998</v>
      </c>
      <c r="N165" s="417">
        <f t="shared" si="123"/>
        <v>525417.75199999998</v>
      </c>
      <c r="O165" s="417">
        <f t="shared" si="124"/>
        <v>1101671.0079999999</v>
      </c>
      <c r="P165" s="417">
        <f t="shared" si="125"/>
        <v>21000</v>
      </c>
      <c r="Q165" s="417">
        <f t="shared" si="126"/>
        <v>33000</v>
      </c>
      <c r="R165" s="417">
        <f t="shared" si="127"/>
        <v>75000</v>
      </c>
      <c r="S165" s="417">
        <f t="shared" si="128"/>
        <v>317.49151999998372</v>
      </c>
      <c r="T165" s="417">
        <f t="shared" si="129"/>
        <v>0</v>
      </c>
      <c r="U165" s="417"/>
      <c r="V165" s="417">
        <f t="shared" si="135"/>
        <v>129317.49151999998</v>
      </c>
      <c r="W165" s="421">
        <v>12</v>
      </c>
      <c r="X165" s="417">
        <f t="shared" si="130"/>
        <v>10776.457626666665</v>
      </c>
      <c r="Y165" s="419"/>
      <c r="Z165" s="417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6">
        <v>149</v>
      </c>
      <c r="B166" s="156" t="s">
        <v>152</v>
      </c>
      <c r="C166" s="417">
        <v>135590.72999999998</v>
      </c>
      <c r="D166" s="418">
        <v>12</v>
      </c>
      <c r="E166" s="417">
        <f t="shared" si="132"/>
        <v>1627088.7599999998</v>
      </c>
      <c r="F166" s="417"/>
      <c r="G166" s="419"/>
      <c r="H166" s="419"/>
      <c r="I166" s="417">
        <f t="shared" si="133"/>
        <v>1627088.7599999998</v>
      </c>
      <c r="J166" s="417">
        <v>200000</v>
      </c>
      <c r="K166" s="417">
        <v>0.2</v>
      </c>
      <c r="L166" s="417">
        <f t="shared" si="121"/>
        <v>325417.75199999998</v>
      </c>
      <c r="M166" s="417">
        <f t="shared" si="122"/>
        <v>525417.75199999998</v>
      </c>
      <c r="N166" s="417">
        <f t="shared" si="123"/>
        <v>525417.75199999998</v>
      </c>
      <c r="O166" s="417">
        <f t="shared" si="124"/>
        <v>1101671.0079999999</v>
      </c>
      <c r="P166" s="417">
        <f t="shared" si="125"/>
        <v>21000</v>
      </c>
      <c r="Q166" s="417">
        <f t="shared" si="126"/>
        <v>33000</v>
      </c>
      <c r="R166" s="417">
        <f t="shared" si="127"/>
        <v>75000</v>
      </c>
      <c r="S166" s="417">
        <f t="shared" si="128"/>
        <v>317.49151999998372</v>
      </c>
      <c r="T166" s="417">
        <f t="shared" si="129"/>
        <v>0</v>
      </c>
      <c r="U166" s="417"/>
      <c r="V166" s="417">
        <f t="shared" si="135"/>
        <v>129317.49151999998</v>
      </c>
      <c r="W166" s="421">
        <v>12</v>
      </c>
      <c r="X166" s="417">
        <f t="shared" si="130"/>
        <v>10776.457626666665</v>
      </c>
      <c r="Y166" s="419"/>
      <c r="Z166" s="417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6">
        <v>150</v>
      </c>
      <c r="B167" s="156" t="s">
        <v>132</v>
      </c>
      <c r="C167" s="417">
        <v>138590.72999999998</v>
      </c>
      <c r="D167" s="418">
        <v>12</v>
      </c>
      <c r="E167" s="417">
        <f t="shared" si="132"/>
        <v>1663088.7599999998</v>
      </c>
      <c r="F167" s="417"/>
      <c r="G167" s="419"/>
      <c r="H167" s="419"/>
      <c r="I167" s="417">
        <f t="shared" si="133"/>
        <v>1663088.7599999998</v>
      </c>
      <c r="J167" s="417">
        <v>200000</v>
      </c>
      <c r="K167" s="417">
        <v>0.2</v>
      </c>
      <c r="L167" s="417">
        <f t="shared" si="121"/>
        <v>332617.75199999998</v>
      </c>
      <c r="M167" s="417">
        <f t="shared" si="122"/>
        <v>532617.75199999998</v>
      </c>
      <c r="N167" s="417">
        <f t="shared" si="123"/>
        <v>532617.75199999998</v>
      </c>
      <c r="O167" s="417">
        <f t="shared" si="124"/>
        <v>1130471.0079999999</v>
      </c>
      <c r="P167" s="417">
        <f t="shared" si="125"/>
        <v>21000</v>
      </c>
      <c r="Q167" s="417">
        <f t="shared" si="126"/>
        <v>33000</v>
      </c>
      <c r="R167" s="417">
        <f t="shared" si="127"/>
        <v>75000</v>
      </c>
      <c r="S167" s="417">
        <f t="shared" si="128"/>
        <v>5789.4915199999841</v>
      </c>
      <c r="T167" s="417">
        <f t="shared" si="129"/>
        <v>0</v>
      </c>
      <c r="U167" s="417"/>
      <c r="V167" s="417">
        <f t="shared" si="135"/>
        <v>134789.49151999998</v>
      </c>
      <c r="W167" s="421">
        <v>12</v>
      </c>
      <c r="X167" s="417">
        <f t="shared" si="130"/>
        <v>11232.457626666665</v>
      </c>
      <c r="Y167" s="419"/>
      <c r="Z167" s="417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6">
        <v>151</v>
      </c>
      <c r="B168" s="155" t="s">
        <v>231</v>
      </c>
      <c r="C168" s="417">
        <v>122104.99825</v>
      </c>
      <c r="D168" s="418">
        <v>12</v>
      </c>
      <c r="E168" s="417">
        <f t="shared" si="132"/>
        <v>1465259.9790000001</v>
      </c>
      <c r="F168" s="417"/>
      <c r="G168" s="419"/>
      <c r="H168" s="419"/>
      <c r="I168" s="417">
        <f t="shared" si="133"/>
        <v>1465259.9790000001</v>
      </c>
      <c r="J168" s="417">
        <v>200000</v>
      </c>
      <c r="K168" s="417">
        <v>0.2</v>
      </c>
      <c r="L168" s="417">
        <f t="shared" si="121"/>
        <v>293051.99580000003</v>
      </c>
      <c r="M168" s="417">
        <f t="shared" si="122"/>
        <v>493051.99580000003</v>
      </c>
      <c r="N168" s="417">
        <f t="shared" si="123"/>
        <v>493051.99580000003</v>
      </c>
      <c r="O168" s="417">
        <f t="shared" si="124"/>
        <v>972207.98320000002</v>
      </c>
      <c r="P168" s="417">
        <f t="shared" si="125"/>
        <v>21000</v>
      </c>
      <c r="Q168" s="417">
        <f t="shared" si="126"/>
        <v>33000</v>
      </c>
      <c r="R168" s="417">
        <f t="shared" si="127"/>
        <v>55831.197480000003</v>
      </c>
      <c r="S168" s="417">
        <f t="shared" si="128"/>
        <v>0</v>
      </c>
      <c r="T168" s="417">
        <f t="shared" si="129"/>
        <v>0</v>
      </c>
      <c r="U168" s="417"/>
      <c r="V168" s="417">
        <f t="shared" si="135"/>
        <v>109831.19748</v>
      </c>
      <c r="W168" s="421">
        <v>12</v>
      </c>
      <c r="X168" s="417">
        <f t="shared" si="130"/>
        <v>9152.5997900000002</v>
      </c>
      <c r="Y168" s="419"/>
      <c r="Z168" s="417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6">
        <v>152</v>
      </c>
      <c r="B169" s="155" t="s">
        <v>246</v>
      </c>
      <c r="C169" s="417">
        <v>122104.99825</v>
      </c>
      <c r="D169" s="418">
        <v>12</v>
      </c>
      <c r="E169" s="417">
        <f t="shared" si="132"/>
        <v>1465259.9790000001</v>
      </c>
      <c r="F169" s="417"/>
      <c r="G169" s="419"/>
      <c r="H169" s="419"/>
      <c r="I169" s="417">
        <f t="shared" si="133"/>
        <v>1465259.9790000001</v>
      </c>
      <c r="J169" s="417">
        <v>200000</v>
      </c>
      <c r="K169" s="417">
        <v>0.2</v>
      </c>
      <c r="L169" s="417">
        <f t="shared" si="121"/>
        <v>293051.99580000003</v>
      </c>
      <c r="M169" s="417">
        <f t="shared" si="122"/>
        <v>493051.99580000003</v>
      </c>
      <c r="N169" s="417">
        <f t="shared" si="123"/>
        <v>493051.99580000003</v>
      </c>
      <c r="O169" s="417">
        <f t="shared" si="124"/>
        <v>972207.98320000002</v>
      </c>
      <c r="P169" s="417">
        <f t="shared" si="125"/>
        <v>21000</v>
      </c>
      <c r="Q169" s="417">
        <f t="shared" si="126"/>
        <v>33000</v>
      </c>
      <c r="R169" s="417">
        <f t="shared" si="127"/>
        <v>55831.197480000003</v>
      </c>
      <c r="S169" s="417">
        <f t="shared" si="128"/>
        <v>0</v>
      </c>
      <c r="T169" s="417">
        <f t="shared" si="129"/>
        <v>0</v>
      </c>
      <c r="U169" s="417"/>
      <c r="V169" s="417">
        <f t="shared" si="135"/>
        <v>109831.19748</v>
      </c>
      <c r="W169" s="421">
        <v>12</v>
      </c>
      <c r="X169" s="417">
        <f t="shared" si="130"/>
        <v>9152.5997900000002</v>
      </c>
      <c r="Y169" s="419"/>
      <c r="Z169" s="417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6">
        <v>153</v>
      </c>
      <c r="B170" s="156" t="s">
        <v>166</v>
      </c>
      <c r="C170" s="417">
        <v>125035.03449999999</v>
      </c>
      <c r="D170" s="418">
        <v>12</v>
      </c>
      <c r="E170" s="417">
        <f t="shared" si="132"/>
        <v>1500420.4139999999</v>
      </c>
      <c r="F170" s="417"/>
      <c r="G170" s="419"/>
      <c r="H170" s="419"/>
      <c r="I170" s="417">
        <f t="shared" si="133"/>
        <v>1500420.4139999999</v>
      </c>
      <c r="J170" s="417">
        <v>200000</v>
      </c>
      <c r="K170" s="417">
        <v>0.2</v>
      </c>
      <c r="L170" s="417">
        <f t="shared" si="121"/>
        <v>300084.08279999997</v>
      </c>
      <c r="M170" s="417">
        <f t="shared" si="122"/>
        <v>500084.08279999997</v>
      </c>
      <c r="N170" s="417">
        <f t="shared" si="123"/>
        <v>500084.08279999997</v>
      </c>
      <c r="O170" s="417">
        <f t="shared" si="124"/>
        <v>1000336.3311999999</v>
      </c>
      <c r="P170" s="417">
        <f t="shared" si="125"/>
        <v>21000</v>
      </c>
      <c r="Q170" s="417">
        <f t="shared" si="126"/>
        <v>33000</v>
      </c>
      <c r="R170" s="417">
        <f t="shared" si="127"/>
        <v>60050.449679999983</v>
      </c>
      <c r="S170" s="417">
        <f t="shared" si="128"/>
        <v>0</v>
      </c>
      <c r="T170" s="417">
        <f t="shared" si="129"/>
        <v>0</v>
      </c>
      <c r="U170" s="417"/>
      <c r="V170" s="417">
        <f t="shared" si="135"/>
        <v>114050.44967999999</v>
      </c>
      <c r="W170" s="421">
        <v>12</v>
      </c>
      <c r="X170" s="417">
        <f t="shared" si="130"/>
        <v>9504.2041399999998</v>
      </c>
      <c r="Y170" s="419"/>
      <c r="Z170" s="417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6">
        <v>154</v>
      </c>
      <c r="B171" s="155" t="s">
        <v>204</v>
      </c>
      <c r="C171" s="417">
        <v>81803.001000000018</v>
      </c>
      <c r="D171" s="418">
        <v>12</v>
      </c>
      <c r="E171" s="417">
        <f t="shared" si="132"/>
        <v>981636.01200000022</v>
      </c>
      <c r="F171" s="417"/>
      <c r="G171" s="419"/>
      <c r="H171" s="419"/>
      <c r="I171" s="417">
        <f t="shared" si="133"/>
        <v>981636.01200000022</v>
      </c>
      <c r="J171" s="417">
        <v>200000</v>
      </c>
      <c r="K171" s="417">
        <v>0.2</v>
      </c>
      <c r="L171" s="417">
        <f>I171*K171</f>
        <v>196327.20240000007</v>
      </c>
      <c r="M171" s="417">
        <f>J171+L171</f>
        <v>396327.20240000007</v>
      </c>
      <c r="N171" s="417">
        <f>F171+G171+H171+M171</f>
        <v>396327.20240000007</v>
      </c>
      <c r="O171" s="417">
        <f>E171-N171</f>
        <v>585308.80960000015</v>
      </c>
      <c r="P171" s="417">
        <f>IF(O171&lt;300000,0.07*O171,21000)</f>
        <v>21000</v>
      </c>
      <c r="Q171" s="417">
        <f>IF((O171-300000)&lt;0,0,IF((O171-300000)&lt;300000,0.11*(O171-300000),33000))</f>
        <v>31383.969056000016</v>
      </c>
      <c r="R171" s="417">
        <f t="shared" si="127"/>
        <v>0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52383.969056000016</v>
      </c>
      <c r="W171" s="421">
        <v>12</v>
      </c>
      <c r="X171" s="417">
        <f>V171/W171</f>
        <v>4365.3307546666683</v>
      </c>
      <c r="Y171" s="419"/>
      <c r="Z171" s="417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6">
        <v>155</v>
      </c>
      <c r="B172" s="155" t="s">
        <v>209</v>
      </c>
      <c r="C172" s="417">
        <v>80237.012000000002</v>
      </c>
      <c r="D172" s="418">
        <v>12</v>
      </c>
      <c r="E172" s="417">
        <f t="shared" si="132"/>
        <v>962844.14400000009</v>
      </c>
      <c r="F172" s="417"/>
      <c r="G172" s="419"/>
      <c r="H172" s="419"/>
      <c r="I172" s="417">
        <f t="shared" si="133"/>
        <v>962844.14400000009</v>
      </c>
      <c r="J172" s="417">
        <v>200000</v>
      </c>
      <c r="K172" s="417">
        <v>0.2</v>
      </c>
      <c r="L172" s="417">
        <f>I172*K172</f>
        <v>192568.82880000002</v>
      </c>
      <c r="M172" s="417">
        <f>J172+L172</f>
        <v>392568.82880000002</v>
      </c>
      <c r="N172" s="417">
        <f>F172+G172+H172+M172</f>
        <v>392568.82880000002</v>
      </c>
      <c r="O172" s="417">
        <f>E172-N172</f>
        <v>570275.31520000007</v>
      </c>
      <c r="P172" s="417">
        <f>IF(O172&lt;300000,0.07*O172,21000)</f>
        <v>21000</v>
      </c>
      <c r="Q172" s="417">
        <f>IF((O172-300000)&lt;0,0,IF((O172-300000)&lt;300000,0.11*(O172-300000),33000))</f>
        <v>29730.284672000009</v>
      </c>
      <c r="R172" s="417">
        <f t="shared" si="127"/>
        <v>0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50730.284672000009</v>
      </c>
      <c r="W172" s="421">
        <v>12</v>
      </c>
      <c r="X172" s="417">
        <f>V172/W172</f>
        <v>4227.5237226666677</v>
      </c>
      <c r="Y172" s="419"/>
      <c r="Z172" s="417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14" customFormat="1" ht="18.75">
      <c r="A173" s="411">
        <v>156</v>
      </c>
      <c r="B173" s="155" t="s">
        <v>218</v>
      </c>
      <c r="C173" s="417">
        <v>77237.012000000002</v>
      </c>
      <c r="D173" s="418">
        <v>12</v>
      </c>
      <c r="E173" s="417">
        <f t="shared" si="132"/>
        <v>926844.14400000009</v>
      </c>
      <c r="F173" s="417"/>
      <c r="G173" s="419"/>
      <c r="H173" s="419"/>
      <c r="I173" s="417">
        <f t="shared" si="133"/>
        <v>926844.14400000009</v>
      </c>
      <c r="J173" s="417">
        <v>200000</v>
      </c>
      <c r="K173" s="417">
        <v>0.2</v>
      </c>
      <c r="L173" s="417">
        <f t="shared" si="121"/>
        <v>185368.82880000002</v>
      </c>
      <c r="M173" s="417">
        <f t="shared" si="122"/>
        <v>385368.82880000002</v>
      </c>
      <c r="N173" s="417">
        <f t="shared" si="123"/>
        <v>385368.82880000002</v>
      </c>
      <c r="O173" s="417">
        <f t="shared" si="124"/>
        <v>541475.31520000007</v>
      </c>
      <c r="P173" s="417">
        <f t="shared" si="125"/>
        <v>21000</v>
      </c>
      <c r="Q173" s="417">
        <f t="shared" si="126"/>
        <v>26562.284672000009</v>
      </c>
      <c r="R173" s="417">
        <f t="shared" si="127"/>
        <v>0</v>
      </c>
      <c r="S173" s="417">
        <f t="shared" si="128"/>
        <v>0</v>
      </c>
      <c r="T173" s="417">
        <f t="shared" si="129"/>
        <v>0</v>
      </c>
      <c r="U173" s="417"/>
      <c r="V173" s="417">
        <f t="shared" si="135"/>
        <v>47562.284672000009</v>
      </c>
      <c r="W173" s="421">
        <v>12</v>
      </c>
      <c r="X173" s="417">
        <f t="shared" si="130"/>
        <v>3963.5237226666673</v>
      </c>
      <c r="Y173" s="419"/>
      <c r="Z173" s="417">
        <f t="shared" si="131"/>
        <v>3963.5237226666673</v>
      </c>
      <c r="AA173" s="34">
        <v>3963.5237226666673</v>
      </c>
      <c r="AB173" s="34">
        <f t="shared" si="134"/>
        <v>0</v>
      </c>
      <c r="AC173" s="413"/>
      <c r="AD173" s="413"/>
      <c r="AE173" s="413"/>
    </row>
    <row r="174" spans="1:31" ht="18.75">
      <c r="A174" s="406">
        <v>157</v>
      </c>
      <c r="B174" s="155" t="s">
        <v>219</v>
      </c>
      <c r="C174" s="417">
        <v>80237.012000000002</v>
      </c>
      <c r="D174" s="418">
        <v>12</v>
      </c>
      <c r="E174" s="417">
        <f t="shared" si="132"/>
        <v>962844.14400000009</v>
      </c>
      <c r="F174" s="417"/>
      <c r="G174" s="419"/>
      <c r="H174" s="419"/>
      <c r="I174" s="417">
        <f t="shared" si="133"/>
        <v>962844.14400000009</v>
      </c>
      <c r="J174" s="417">
        <v>200000</v>
      </c>
      <c r="K174" s="417">
        <v>0.2</v>
      </c>
      <c r="L174" s="417">
        <f t="shared" si="121"/>
        <v>192568.82880000002</v>
      </c>
      <c r="M174" s="417">
        <f t="shared" si="122"/>
        <v>392568.82880000002</v>
      </c>
      <c r="N174" s="417">
        <f t="shared" si="123"/>
        <v>392568.82880000002</v>
      </c>
      <c r="O174" s="417">
        <f t="shared" si="124"/>
        <v>570275.31520000007</v>
      </c>
      <c r="P174" s="417">
        <f t="shared" si="125"/>
        <v>21000</v>
      </c>
      <c r="Q174" s="417">
        <f t="shared" si="126"/>
        <v>29730.284672000009</v>
      </c>
      <c r="R174" s="417">
        <f t="shared" si="127"/>
        <v>0</v>
      </c>
      <c r="S174" s="417">
        <f t="shared" si="128"/>
        <v>0</v>
      </c>
      <c r="T174" s="417">
        <f t="shared" si="129"/>
        <v>0</v>
      </c>
      <c r="U174" s="417"/>
      <c r="V174" s="417">
        <f t="shared" si="135"/>
        <v>50730.284672000009</v>
      </c>
      <c r="W174" s="421">
        <v>12</v>
      </c>
      <c r="X174" s="417">
        <f t="shared" si="130"/>
        <v>4227.5237226666677</v>
      </c>
      <c r="Y174" s="419"/>
      <c r="Z174" s="417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401"/>
      <c r="B175" s="155" t="s">
        <v>211</v>
      </c>
      <c r="C175" s="426">
        <v>77237.012000000002</v>
      </c>
      <c r="D175" s="418">
        <v>12</v>
      </c>
      <c r="E175" s="417">
        <f t="shared" si="132"/>
        <v>926844.14400000009</v>
      </c>
      <c r="F175" s="417"/>
      <c r="G175" s="419"/>
      <c r="H175" s="419"/>
      <c r="I175" s="417">
        <f t="shared" si="133"/>
        <v>926844.14400000009</v>
      </c>
      <c r="J175" s="417">
        <v>200000</v>
      </c>
      <c r="K175" s="417">
        <v>0.2</v>
      </c>
      <c r="L175" s="417">
        <f t="shared" si="121"/>
        <v>185368.82880000002</v>
      </c>
      <c r="M175" s="417">
        <f t="shared" si="122"/>
        <v>385368.82880000002</v>
      </c>
      <c r="N175" s="417">
        <f t="shared" si="123"/>
        <v>385368.82880000002</v>
      </c>
      <c r="O175" s="417">
        <f t="shared" si="124"/>
        <v>541475.31520000007</v>
      </c>
      <c r="P175" s="417">
        <f t="shared" si="125"/>
        <v>21000</v>
      </c>
      <c r="Q175" s="417">
        <f t="shared" si="126"/>
        <v>26562.284672000009</v>
      </c>
      <c r="R175" s="417">
        <f t="shared" si="127"/>
        <v>0</v>
      </c>
      <c r="S175" s="417">
        <f t="shared" si="128"/>
        <v>0</v>
      </c>
      <c r="T175" s="417">
        <f t="shared" si="129"/>
        <v>0</v>
      </c>
      <c r="U175" s="417"/>
      <c r="V175" s="417">
        <f t="shared" si="135"/>
        <v>47562.284672000009</v>
      </c>
      <c r="W175" s="421">
        <v>12</v>
      </c>
      <c r="X175" s="417">
        <f t="shared" si="130"/>
        <v>3963.5237226666673</v>
      </c>
      <c r="Y175" s="419"/>
      <c r="Z175" s="417">
        <f t="shared" si="131"/>
        <v>3963.5237226666673</v>
      </c>
      <c r="AA175" s="413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401"/>
      <c r="B176" s="155" t="s">
        <v>213</v>
      </c>
      <c r="C176" s="426">
        <v>80237.012000000002</v>
      </c>
      <c r="D176" s="418">
        <v>12</v>
      </c>
      <c r="E176" s="417">
        <f t="shared" si="132"/>
        <v>962844.14400000009</v>
      </c>
      <c r="F176" s="417"/>
      <c r="G176" s="419"/>
      <c r="H176" s="419"/>
      <c r="I176" s="417">
        <f t="shared" si="133"/>
        <v>962844.14400000009</v>
      </c>
      <c r="J176" s="417">
        <v>200000</v>
      </c>
      <c r="K176" s="417">
        <v>0.2</v>
      </c>
      <c r="L176" s="417">
        <f t="shared" si="121"/>
        <v>192568.82880000002</v>
      </c>
      <c r="M176" s="417">
        <f t="shared" si="122"/>
        <v>392568.82880000002</v>
      </c>
      <c r="N176" s="417">
        <f t="shared" si="123"/>
        <v>392568.82880000002</v>
      </c>
      <c r="O176" s="417">
        <f t="shared" si="124"/>
        <v>570275.31520000007</v>
      </c>
      <c r="P176" s="417">
        <f t="shared" si="125"/>
        <v>21000</v>
      </c>
      <c r="Q176" s="417">
        <f t="shared" si="126"/>
        <v>29730.284672000009</v>
      </c>
      <c r="R176" s="417">
        <f t="shared" si="127"/>
        <v>0</v>
      </c>
      <c r="S176" s="417">
        <f t="shared" si="128"/>
        <v>0</v>
      </c>
      <c r="T176" s="417">
        <f t="shared" si="129"/>
        <v>0</v>
      </c>
      <c r="U176" s="417"/>
      <c r="V176" s="417">
        <f t="shared" si="135"/>
        <v>50730.284672000009</v>
      </c>
      <c r="W176" s="421">
        <v>12</v>
      </c>
      <c r="X176" s="417">
        <f t="shared" si="130"/>
        <v>4227.5237226666677</v>
      </c>
      <c r="Y176" s="419"/>
      <c r="Z176" s="417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22">
        <v>77237.012000000002</v>
      </c>
      <c r="D177" s="418">
        <v>12</v>
      </c>
      <c r="E177" s="417">
        <f t="shared" si="132"/>
        <v>926844.14400000009</v>
      </c>
      <c r="F177" s="342"/>
      <c r="G177" s="342"/>
      <c r="H177" s="342"/>
      <c r="I177" s="417">
        <f t="shared" si="133"/>
        <v>926844.14400000009</v>
      </c>
      <c r="J177" s="417">
        <v>200000</v>
      </c>
      <c r="K177" s="417">
        <v>0.2</v>
      </c>
      <c r="L177" s="417">
        <f t="shared" si="121"/>
        <v>185368.82880000002</v>
      </c>
      <c r="M177" s="417">
        <f t="shared" si="122"/>
        <v>385368.82880000002</v>
      </c>
      <c r="N177" s="417">
        <f t="shared" si="123"/>
        <v>385368.82880000002</v>
      </c>
      <c r="O177" s="417">
        <f t="shared" si="124"/>
        <v>541475.31520000007</v>
      </c>
      <c r="P177" s="417">
        <f t="shared" si="125"/>
        <v>21000</v>
      </c>
      <c r="Q177" s="417">
        <f t="shared" si="126"/>
        <v>26562.284672000009</v>
      </c>
      <c r="R177" s="417">
        <f t="shared" si="127"/>
        <v>0</v>
      </c>
      <c r="S177" s="417">
        <f t="shared" si="128"/>
        <v>0</v>
      </c>
      <c r="T177" s="417">
        <f t="shared" si="129"/>
        <v>0</v>
      </c>
      <c r="U177" s="417"/>
      <c r="V177" s="417">
        <f t="shared" si="135"/>
        <v>47562.284672000009</v>
      </c>
      <c r="W177" s="421">
        <v>12</v>
      </c>
      <c r="X177" s="417">
        <f t="shared" si="130"/>
        <v>3963.5237226666673</v>
      </c>
      <c r="Y177" s="342"/>
      <c r="Z177" s="417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22">
        <v>80237.012000000002</v>
      </c>
      <c r="D178" s="418">
        <v>12</v>
      </c>
      <c r="E178" s="417">
        <f t="shared" si="132"/>
        <v>962844.14400000009</v>
      </c>
      <c r="F178" s="342"/>
      <c r="G178" s="342"/>
      <c r="H178" s="342"/>
      <c r="I178" s="417">
        <f t="shared" si="133"/>
        <v>962844.14400000009</v>
      </c>
      <c r="J178" s="417">
        <v>200000</v>
      </c>
      <c r="K178" s="417">
        <v>0.2</v>
      </c>
      <c r="L178" s="417">
        <f t="shared" si="121"/>
        <v>192568.82880000002</v>
      </c>
      <c r="M178" s="417">
        <f t="shared" si="122"/>
        <v>392568.82880000002</v>
      </c>
      <c r="N178" s="417">
        <f t="shared" si="123"/>
        <v>392568.82880000002</v>
      </c>
      <c r="O178" s="417">
        <f t="shared" si="124"/>
        <v>570275.31520000007</v>
      </c>
      <c r="P178" s="417">
        <f t="shared" si="125"/>
        <v>21000</v>
      </c>
      <c r="Q178" s="417">
        <f t="shared" si="126"/>
        <v>29730.284672000009</v>
      </c>
      <c r="R178" s="417">
        <f t="shared" si="127"/>
        <v>0</v>
      </c>
      <c r="S178" s="417">
        <f t="shared" si="128"/>
        <v>0</v>
      </c>
      <c r="T178" s="417">
        <f t="shared" si="129"/>
        <v>0</v>
      </c>
      <c r="U178" s="342"/>
      <c r="V178" s="417">
        <f t="shared" si="135"/>
        <v>50730.284672000009</v>
      </c>
      <c r="W178" s="421">
        <v>12</v>
      </c>
      <c r="X178" s="417">
        <f t="shared" si="130"/>
        <v>4227.5237226666677</v>
      </c>
      <c r="Y178" s="342"/>
      <c r="Z178" s="417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22">
        <v>78671.023000000001</v>
      </c>
      <c r="D179" s="418">
        <v>12</v>
      </c>
      <c r="E179" s="417">
        <f t="shared" si="132"/>
        <v>944052.27600000007</v>
      </c>
      <c r="F179" s="342"/>
      <c r="G179" s="342"/>
      <c r="H179" s="342"/>
      <c r="I179" s="417">
        <f t="shared" si="133"/>
        <v>944052.27600000007</v>
      </c>
      <c r="J179" s="417">
        <v>200000</v>
      </c>
      <c r="K179" s="417">
        <v>0.2</v>
      </c>
      <c r="L179" s="417">
        <f t="shared" si="121"/>
        <v>188810.45520000003</v>
      </c>
      <c r="M179" s="417">
        <f t="shared" si="122"/>
        <v>388810.45520000003</v>
      </c>
      <c r="N179" s="417">
        <f t="shared" si="123"/>
        <v>388810.45520000003</v>
      </c>
      <c r="O179" s="417">
        <f t="shared" si="124"/>
        <v>555241.8208000001</v>
      </c>
      <c r="P179" s="417">
        <f t="shared" si="125"/>
        <v>21000</v>
      </c>
      <c r="Q179" s="417">
        <f t="shared" si="126"/>
        <v>28076.600288000012</v>
      </c>
      <c r="R179" s="417">
        <f t="shared" si="127"/>
        <v>0</v>
      </c>
      <c r="S179" s="417">
        <f t="shared" si="128"/>
        <v>0</v>
      </c>
      <c r="T179" s="417">
        <f t="shared" si="129"/>
        <v>0</v>
      </c>
      <c r="U179" s="342"/>
      <c r="V179" s="417">
        <f t="shared" si="135"/>
        <v>49076.600288000016</v>
      </c>
      <c r="W179" s="421">
        <v>12</v>
      </c>
      <c r="X179" s="417">
        <f t="shared" si="130"/>
        <v>4089.716690666668</v>
      </c>
      <c r="Y179" s="342"/>
      <c r="Z179" s="417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22">
        <v>80237.012000000002</v>
      </c>
      <c r="D180" s="418">
        <v>12</v>
      </c>
      <c r="E180" s="417">
        <f t="shared" si="132"/>
        <v>962844.14400000009</v>
      </c>
      <c r="F180" s="342"/>
      <c r="G180" s="342"/>
      <c r="H180" s="342"/>
      <c r="I180" s="417">
        <f t="shared" si="133"/>
        <v>962844.14400000009</v>
      </c>
      <c r="J180" s="417">
        <v>200000</v>
      </c>
      <c r="K180" s="417">
        <v>0.2</v>
      </c>
      <c r="L180" s="417">
        <f t="shared" si="121"/>
        <v>192568.82880000002</v>
      </c>
      <c r="M180" s="417">
        <f t="shared" si="122"/>
        <v>392568.82880000002</v>
      </c>
      <c r="N180" s="417">
        <f t="shared" si="123"/>
        <v>392568.82880000002</v>
      </c>
      <c r="O180" s="417">
        <f t="shared" si="124"/>
        <v>570275.31520000007</v>
      </c>
      <c r="P180" s="417">
        <f t="shared" si="125"/>
        <v>21000</v>
      </c>
      <c r="Q180" s="417">
        <f t="shared" si="126"/>
        <v>29730.284672000009</v>
      </c>
      <c r="R180" s="417">
        <f t="shared" si="127"/>
        <v>0</v>
      </c>
      <c r="S180" s="417">
        <f t="shared" si="128"/>
        <v>0</v>
      </c>
      <c r="T180" s="417">
        <f t="shared" si="129"/>
        <v>0</v>
      </c>
      <c r="U180" s="342"/>
      <c r="V180" s="417">
        <f t="shared" si="135"/>
        <v>50730.284672000009</v>
      </c>
      <c r="W180" s="421">
        <v>12</v>
      </c>
      <c r="X180" s="417">
        <f t="shared" si="130"/>
        <v>4227.5237226666677</v>
      </c>
      <c r="Y180" s="342"/>
      <c r="Z180" s="417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22">
        <v>78671.023000000016</v>
      </c>
      <c r="D181" s="418">
        <v>12</v>
      </c>
      <c r="E181" s="417">
        <f t="shared" si="132"/>
        <v>944052.27600000019</v>
      </c>
      <c r="F181" s="342"/>
      <c r="G181" s="342"/>
      <c r="H181" s="342"/>
      <c r="I181" s="417">
        <f t="shared" si="133"/>
        <v>944052.27600000019</v>
      </c>
      <c r="J181" s="417">
        <v>200000</v>
      </c>
      <c r="K181" s="417">
        <v>0.2</v>
      </c>
      <c r="L181" s="417">
        <f t="shared" si="121"/>
        <v>188810.45520000005</v>
      </c>
      <c r="M181" s="417">
        <f t="shared" si="122"/>
        <v>388810.45520000008</v>
      </c>
      <c r="N181" s="417">
        <f t="shared" si="123"/>
        <v>388810.45520000008</v>
      </c>
      <c r="O181" s="417">
        <f t="shared" si="124"/>
        <v>555241.8208000001</v>
      </c>
      <c r="P181" s="417">
        <f t="shared" si="125"/>
        <v>21000</v>
      </c>
      <c r="Q181" s="417">
        <f t="shared" si="126"/>
        <v>28076.600288000012</v>
      </c>
      <c r="R181" s="417">
        <f t="shared" si="127"/>
        <v>0</v>
      </c>
      <c r="S181" s="417">
        <f t="shared" si="128"/>
        <v>0</v>
      </c>
      <c r="T181" s="417">
        <f t="shared" si="129"/>
        <v>0</v>
      </c>
      <c r="U181" s="342"/>
      <c r="V181" s="417">
        <f t="shared" si="135"/>
        <v>49076.600288000016</v>
      </c>
      <c r="W181" s="421">
        <v>12</v>
      </c>
      <c r="X181" s="417">
        <f t="shared" si="130"/>
        <v>4089.716690666668</v>
      </c>
      <c r="Y181" s="342"/>
      <c r="Z181" s="417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22">
        <v>68675.99702499999</v>
      </c>
      <c r="D182" s="418">
        <v>12</v>
      </c>
      <c r="E182" s="417">
        <f t="shared" si="132"/>
        <v>824111.96429999988</v>
      </c>
      <c r="F182" s="342"/>
      <c r="G182" s="342"/>
      <c r="H182" s="342"/>
      <c r="I182" s="417">
        <f t="shared" si="133"/>
        <v>824111.96429999988</v>
      </c>
      <c r="J182" s="417">
        <v>200000</v>
      </c>
      <c r="K182" s="417">
        <v>0.2</v>
      </c>
      <c r="L182" s="417">
        <f t="shared" si="121"/>
        <v>164822.39285999999</v>
      </c>
      <c r="M182" s="417">
        <f t="shared" si="122"/>
        <v>364822.39286000002</v>
      </c>
      <c r="N182" s="417">
        <f t="shared" si="123"/>
        <v>364822.39286000002</v>
      </c>
      <c r="O182" s="417">
        <f t="shared" si="124"/>
        <v>459289.57143999985</v>
      </c>
      <c r="P182" s="417">
        <f t="shared" si="125"/>
        <v>21000</v>
      </c>
      <c r="Q182" s="417">
        <f t="shared" si="126"/>
        <v>17521.852858399983</v>
      </c>
      <c r="R182" s="417">
        <f t="shared" si="127"/>
        <v>0</v>
      </c>
      <c r="S182" s="417">
        <f t="shared" si="128"/>
        <v>0</v>
      </c>
      <c r="T182" s="417">
        <f t="shared" si="129"/>
        <v>0</v>
      </c>
      <c r="U182" s="342"/>
      <c r="V182" s="417">
        <f t="shared" si="135"/>
        <v>38521.852858399987</v>
      </c>
      <c r="W182" s="421">
        <v>12</v>
      </c>
      <c r="X182" s="417">
        <f t="shared" si="130"/>
        <v>3210.1544048666656</v>
      </c>
      <c r="Y182" s="342"/>
      <c r="Z182" s="417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22">
        <v>62980.07925000001</v>
      </c>
      <c r="D183" s="418">
        <v>12</v>
      </c>
      <c r="E183" s="417">
        <f t="shared" si="132"/>
        <v>755760.95100000012</v>
      </c>
      <c r="F183" s="342"/>
      <c r="G183" s="342"/>
      <c r="H183" s="342"/>
      <c r="I183" s="417">
        <f t="shared" si="133"/>
        <v>755760.95100000012</v>
      </c>
      <c r="J183" s="417">
        <v>200000</v>
      </c>
      <c r="K183" s="417">
        <v>0.2</v>
      </c>
      <c r="L183" s="417">
        <f t="shared" si="121"/>
        <v>151152.19020000004</v>
      </c>
      <c r="M183" s="417">
        <f t="shared" si="122"/>
        <v>351152.19020000007</v>
      </c>
      <c r="N183" s="417">
        <f t="shared" si="123"/>
        <v>351152.19020000007</v>
      </c>
      <c r="O183" s="417">
        <f t="shared" si="124"/>
        <v>404608.76080000005</v>
      </c>
      <c r="P183" s="417">
        <f t="shared" si="125"/>
        <v>21000</v>
      </c>
      <c r="Q183" s="417">
        <f t="shared" si="126"/>
        <v>11506.963688000005</v>
      </c>
      <c r="R183" s="417">
        <f t="shared" si="127"/>
        <v>0</v>
      </c>
      <c r="S183" s="417">
        <f t="shared" si="128"/>
        <v>0</v>
      </c>
      <c r="T183" s="417">
        <f t="shared" si="129"/>
        <v>0</v>
      </c>
      <c r="U183" s="342"/>
      <c r="V183" s="417">
        <f t="shared" si="135"/>
        <v>32506.963688000003</v>
      </c>
      <c r="W183" s="421">
        <v>12</v>
      </c>
      <c r="X183" s="417">
        <f t="shared" si="130"/>
        <v>2708.9136406666671</v>
      </c>
      <c r="Y183" s="342"/>
      <c r="Z183" s="417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22">
        <v>62980.07925000001</v>
      </c>
      <c r="D184" s="418">
        <v>12</v>
      </c>
      <c r="E184" s="417">
        <f t="shared" si="132"/>
        <v>755760.95100000012</v>
      </c>
      <c r="F184" s="342"/>
      <c r="G184" s="342"/>
      <c r="H184" s="342"/>
      <c r="I184" s="417">
        <f t="shared" si="133"/>
        <v>755760.95100000012</v>
      </c>
      <c r="J184" s="417">
        <v>200000</v>
      </c>
      <c r="K184" s="417">
        <v>0.2</v>
      </c>
      <c r="L184" s="417">
        <f t="shared" si="121"/>
        <v>151152.19020000004</v>
      </c>
      <c r="M184" s="417">
        <f t="shared" si="122"/>
        <v>351152.19020000007</v>
      </c>
      <c r="N184" s="417">
        <f t="shared" si="123"/>
        <v>351152.19020000007</v>
      </c>
      <c r="O184" s="417">
        <f t="shared" si="124"/>
        <v>404608.76080000005</v>
      </c>
      <c r="P184" s="417">
        <f t="shared" si="125"/>
        <v>21000</v>
      </c>
      <c r="Q184" s="417">
        <f t="shared" si="126"/>
        <v>11506.963688000005</v>
      </c>
      <c r="R184" s="417">
        <f t="shared" si="127"/>
        <v>0</v>
      </c>
      <c r="S184" s="417">
        <f t="shared" si="128"/>
        <v>0</v>
      </c>
      <c r="T184" s="417">
        <f t="shared" si="129"/>
        <v>0</v>
      </c>
      <c r="U184" s="342"/>
      <c r="V184" s="417">
        <f t="shared" si="135"/>
        <v>32506.963688000003</v>
      </c>
      <c r="W184" s="421">
        <v>12</v>
      </c>
      <c r="X184" s="417">
        <f t="shared" si="130"/>
        <v>2708.9136406666671</v>
      </c>
      <c r="Y184" s="342"/>
      <c r="Z184" s="417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22">
        <v>62980.07925000001</v>
      </c>
      <c r="D185" s="418">
        <v>12</v>
      </c>
      <c r="E185" s="417">
        <f t="shared" si="132"/>
        <v>755760.95100000012</v>
      </c>
      <c r="F185" s="342"/>
      <c r="G185" s="342"/>
      <c r="H185" s="342"/>
      <c r="I185" s="417">
        <f t="shared" si="133"/>
        <v>755760.95100000012</v>
      </c>
      <c r="J185" s="417">
        <v>200000</v>
      </c>
      <c r="K185" s="417">
        <v>0.2</v>
      </c>
      <c r="L185" s="417">
        <f t="shared" si="121"/>
        <v>151152.19020000004</v>
      </c>
      <c r="M185" s="417">
        <f t="shared" si="122"/>
        <v>351152.19020000007</v>
      </c>
      <c r="N185" s="417">
        <f t="shared" si="123"/>
        <v>351152.19020000007</v>
      </c>
      <c r="O185" s="417">
        <f t="shared" si="124"/>
        <v>404608.76080000005</v>
      </c>
      <c r="P185" s="417">
        <f t="shared" si="125"/>
        <v>21000</v>
      </c>
      <c r="Q185" s="417">
        <f t="shared" si="126"/>
        <v>11506.963688000005</v>
      </c>
      <c r="R185" s="417">
        <f t="shared" si="127"/>
        <v>0</v>
      </c>
      <c r="S185" s="417">
        <f t="shared" si="128"/>
        <v>0</v>
      </c>
      <c r="T185" s="417">
        <f t="shared" si="129"/>
        <v>0</v>
      </c>
      <c r="U185" s="342"/>
      <c r="V185" s="417">
        <f t="shared" si="135"/>
        <v>32506.963688000003</v>
      </c>
      <c r="W185" s="421">
        <v>12</v>
      </c>
      <c r="X185" s="417">
        <f t="shared" si="130"/>
        <v>2708.9136406666671</v>
      </c>
      <c r="Y185" s="342"/>
      <c r="Z185" s="417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22">
        <v>72103.749500000005</v>
      </c>
      <c r="D186" s="418">
        <v>12</v>
      </c>
      <c r="E186" s="417">
        <f t="shared" si="132"/>
        <v>865244.99400000006</v>
      </c>
      <c r="F186" s="342"/>
      <c r="G186" s="342"/>
      <c r="H186" s="342"/>
      <c r="I186" s="417">
        <f t="shared" si="133"/>
        <v>865244.99400000006</v>
      </c>
      <c r="J186" s="417">
        <v>200000</v>
      </c>
      <c r="K186" s="417">
        <v>0.2</v>
      </c>
      <c r="L186" s="417">
        <f t="shared" si="121"/>
        <v>173048.99880000003</v>
      </c>
      <c r="M186" s="417">
        <f t="shared" si="122"/>
        <v>373048.99880000006</v>
      </c>
      <c r="N186" s="417">
        <f t="shared" si="123"/>
        <v>373048.99880000006</v>
      </c>
      <c r="O186" s="417">
        <f t="shared" si="124"/>
        <v>492195.9952</v>
      </c>
      <c r="P186" s="417">
        <f t="shared" si="125"/>
        <v>21000</v>
      </c>
      <c r="Q186" s="417">
        <f t="shared" si="126"/>
        <v>21141.559472000001</v>
      </c>
      <c r="R186" s="417">
        <f t="shared" si="127"/>
        <v>0</v>
      </c>
      <c r="S186" s="417">
        <f t="shared" si="128"/>
        <v>0</v>
      </c>
      <c r="T186" s="417">
        <f t="shared" si="129"/>
        <v>0</v>
      </c>
      <c r="U186" s="342"/>
      <c r="V186" s="417">
        <f t="shared" si="135"/>
        <v>42141.559472000001</v>
      </c>
      <c r="W186" s="421">
        <v>12</v>
      </c>
      <c r="X186" s="417">
        <f t="shared" si="130"/>
        <v>3511.7966226666667</v>
      </c>
      <c r="Y186" s="342"/>
      <c r="Z186" s="417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22">
        <v>72103.749500000005</v>
      </c>
      <c r="D187" s="418">
        <v>12</v>
      </c>
      <c r="E187" s="417">
        <f t="shared" si="132"/>
        <v>865244.99400000006</v>
      </c>
      <c r="F187" s="342"/>
      <c r="G187" s="342"/>
      <c r="H187" s="342"/>
      <c r="I187" s="417">
        <f t="shared" si="133"/>
        <v>865244.99400000006</v>
      </c>
      <c r="J187" s="417">
        <v>200000</v>
      </c>
      <c r="K187" s="417">
        <v>0.2</v>
      </c>
      <c r="L187" s="417">
        <f t="shared" si="121"/>
        <v>173048.99880000003</v>
      </c>
      <c r="M187" s="417">
        <f t="shared" si="122"/>
        <v>373048.99880000006</v>
      </c>
      <c r="N187" s="417">
        <f t="shared" si="123"/>
        <v>373048.99880000006</v>
      </c>
      <c r="O187" s="417">
        <f t="shared" si="124"/>
        <v>492195.9952</v>
      </c>
      <c r="P187" s="417">
        <f t="shared" si="125"/>
        <v>21000</v>
      </c>
      <c r="Q187" s="417">
        <f t="shared" si="126"/>
        <v>21141.559472000001</v>
      </c>
      <c r="R187" s="417">
        <f t="shared" si="127"/>
        <v>0</v>
      </c>
      <c r="S187" s="417">
        <f t="shared" si="128"/>
        <v>0</v>
      </c>
      <c r="T187" s="417">
        <f t="shared" si="129"/>
        <v>0</v>
      </c>
      <c r="U187" s="342"/>
      <c r="V187" s="417">
        <f t="shared" si="135"/>
        <v>42141.559472000001</v>
      </c>
      <c r="W187" s="421">
        <v>12</v>
      </c>
      <c r="X187" s="417">
        <f t="shared" si="130"/>
        <v>3511.7966226666667</v>
      </c>
      <c r="Y187" s="342"/>
      <c r="Z187" s="417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9"/>
      <c r="W188" s="343" t="s">
        <v>760</v>
      </c>
      <c r="Z188" s="477">
        <f>SUM(Z6:Z187)</f>
        <v>7214215.7686455874</v>
      </c>
      <c r="AA188" s="423">
        <f>SUM(AA6:AA187)</f>
        <v>7445494.5793200685</v>
      </c>
      <c r="AB188" s="474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43" t="s">
        <v>784</v>
      </c>
      <c r="AB190" s="442">
        <f>AB81+AB82+AB83+AB84+AB86+AB88+AB89+AB94+AB95+AB96+AB102+AB103+AB104+AB105+AB106</f>
        <v>-351613.55740448035</v>
      </c>
    </row>
    <row r="191" spans="2:28" ht="15">
      <c r="X191" s="343" t="s">
        <v>764</v>
      </c>
      <c r="AB191" s="441">
        <f>AB87+AB85+AB74+AB61+AB21+AB19+AB18+AB16+AB15</f>
        <v>126852.23813000001</v>
      </c>
    </row>
    <row r="192" spans="2:28" ht="15">
      <c r="X192" s="343" t="s">
        <v>765</v>
      </c>
      <c r="AB192" s="475">
        <f>SUM(AB190:AB191)</f>
        <v>-224761.31927448034</v>
      </c>
    </row>
    <row r="193" spans="24:28" ht="15">
      <c r="X193" s="343" t="s">
        <v>785</v>
      </c>
      <c r="AB193" s="476">
        <f>-6517.49</f>
        <v>-6517.49</v>
      </c>
    </row>
    <row r="194" spans="24:28" ht="24.75" customHeight="1">
      <c r="X194" s="343" t="s">
        <v>786</v>
      </c>
      <c r="AA194" s="34"/>
      <c r="AB194" s="478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7"/>
      <c r="B1" s="427"/>
      <c r="C1" s="427"/>
      <c r="D1" s="427"/>
      <c r="E1" s="427"/>
    </row>
    <row r="2" spans="1:6" ht="56.25">
      <c r="A2" s="428" t="s">
        <v>143</v>
      </c>
      <c r="B2" s="428" t="s">
        <v>487</v>
      </c>
      <c r="C2" s="429" t="s">
        <v>761</v>
      </c>
      <c r="D2" s="429" t="s">
        <v>762</v>
      </c>
      <c r="E2" s="429" t="s">
        <v>763</v>
      </c>
      <c r="F2" s="430"/>
    </row>
    <row r="3" spans="1:6" ht="18.75">
      <c r="A3" s="428"/>
      <c r="B3" s="428"/>
      <c r="C3" s="429" t="s">
        <v>5</v>
      </c>
      <c r="D3" s="429" t="s">
        <v>5</v>
      </c>
      <c r="E3" s="429" t="s">
        <v>5</v>
      </c>
      <c r="F3" s="430"/>
    </row>
    <row r="4" spans="1:6" ht="18.75">
      <c r="A4" s="431">
        <v>1</v>
      </c>
      <c r="B4" s="432" t="s">
        <v>192</v>
      </c>
      <c r="C4" s="433">
        <v>98996.103146666661</v>
      </c>
      <c r="D4" s="433">
        <v>79796.103146666646</v>
      </c>
      <c r="E4" s="433">
        <f>C4-D4</f>
        <v>19200.000000000015</v>
      </c>
      <c r="F4" s="430"/>
    </row>
    <row r="5" spans="1:6" ht="18.75">
      <c r="A5" s="431">
        <v>2</v>
      </c>
      <c r="B5" s="432" t="s">
        <v>202</v>
      </c>
      <c r="C5" s="433">
        <v>79956.939146666657</v>
      </c>
      <c r="D5" s="433">
        <v>75574.677290666688</v>
      </c>
      <c r="E5" s="433">
        <f t="shared" ref="E5:E10" si="0">C5-D5</f>
        <v>4382.2618559999682</v>
      </c>
      <c r="F5" s="430"/>
    </row>
    <row r="6" spans="1:6" ht="18.75">
      <c r="A6" s="431">
        <v>3</v>
      </c>
      <c r="B6" s="432" t="s">
        <v>101</v>
      </c>
      <c r="C6" s="433">
        <v>75574.677290666688</v>
      </c>
      <c r="D6" s="433">
        <v>50985.977546666662</v>
      </c>
      <c r="E6" s="433">
        <f t="shared" si="0"/>
        <v>24588.699744000027</v>
      </c>
      <c r="F6" s="430"/>
    </row>
    <row r="7" spans="1:6" ht="18.75">
      <c r="A7" s="431">
        <v>4</v>
      </c>
      <c r="B7" s="432" t="s">
        <v>336</v>
      </c>
      <c r="C7" s="433">
        <v>50985.977546666662</v>
      </c>
      <c r="D7" s="433">
        <v>49548.776186666662</v>
      </c>
      <c r="E7" s="433">
        <f t="shared" si="0"/>
        <v>1437.2013599999991</v>
      </c>
      <c r="F7" s="430"/>
    </row>
    <row r="8" spans="1:6" ht="18.75">
      <c r="A8" s="431">
        <v>5</v>
      </c>
      <c r="B8" s="432" t="s">
        <v>421</v>
      </c>
      <c r="C8" s="433">
        <v>53384.053562666668</v>
      </c>
      <c r="D8" s="433">
        <v>41338.951098666665</v>
      </c>
      <c r="E8" s="433">
        <f t="shared" si="0"/>
        <v>12045.102464000003</v>
      </c>
      <c r="F8" s="430"/>
    </row>
    <row r="9" spans="1:6" ht="18.75">
      <c r="A9" s="431">
        <v>6</v>
      </c>
      <c r="B9" s="432" t="s">
        <v>436</v>
      </c>
      <c r="C9" s="433">
        <v>45414.456252666663</v>
      </c>
      <c r="D9" s="433">
        <v>33825.986562666658</v>
      </c>
      <c r="E9" s="433">
        <f t="shared" si="0"/>
        <v>11588.469690000005</v>
      </c>
      <c r="F9" s="430"/>
    </row>
    <row r="10" spans="1:6" ht="18.75">
      <c r="A10" s="431">
        <v>7</v>
      </c>
      <c r="B10" s="432" t="s">
        <v>406</v>
      </c>
      <c r="C10" s="433">
        <v>33825.986562666658</v>
      </c>
      <c r="D10" s="433">
        <v>29984.870925426669</v>
      </c>
      <c r="E10" s="433">
        <f t="shared" si="0"/>
        <v>3841.1156372399892</v>
      </c>
      <c r="F10" s="430"/>
    </row>
    <row r="11" spans="1:6" ht="18.75">
      <c r="A11" s="431">
        <v>8</v>
      </c>
      <c r="B11" s="432" t="s">
        <v>124</v>
      </c>
      <c r="C11" s="434">
        <v>82627.951418666678</v>
      </c>
      <c r="D11" s="433">
        <v>43492.373376666663</v>
      </c>
      <c r="E11" s="433">
        <f>C11-D11</f>
        <v>39135.578042000016</v>
      </c>
      <c r="F11" s="430"/>
    </row>
    <row r="12" spans="1:6" ht="18.75">
      <c r="A12" s="431">
        <v>9</v>
      </c>
      <c r="B12" s="432" t="s">
        <v>237</v>
      </c>
      <c r="C12" s="433">
        <v>43492.373376666663</v>
      </c>
      <c r="D12" s="433">
        <v>34968.882414666667</v>
      </c>
      <c r="E12" s="433">
        <f t="shared" ref="E12:E13" si="1">C12-D12</f>
        <v>8523.4909619999962</v>
      </c>
      <c r="F12" s="430"/>
    </row>
    <row r="13" spans="1:6" ht="18.75">
      <c r="A13" s="431">
        <v>10</v>
      </c>
      <c r="B13" s="432" t="s">
        <v>345</v>
      </c>
      <c r="C13" s="433">
        <v>34968.882414666667</v>
      </c>
      <c r="D13" s="433">
        <v>27105.986562666658</v>
      </c>
      <c r="E13" s="433">
        <f t="shared" si="1"/>
        <v>7862.8958520000087</v>
      </c>
      <c r="F13" s="430"/>
    </row>
    <row r="14" spans="1:6" ht="18.75">
      <c r="A14" s="431">
        <v>11</v>
      </c>
      <c r="B14" s="432" t="s">
        <v>109</v>
      </c>
      <c r="C14" s="433">
        <v>180180.378218667</v>
      </c>
      <c r="D14" s="433">
        <v>58814.673103466652</v>
      </c>
      <c r="E14" s="433">
        <f>C14-D14</f>
        <v>121365.70511520034</v>
      </c>
      <c r="F14" s="430"/>
    </row>
    <row r="15" spans="1:6" ht="18.75">
      <c r="A15" s="431">
        <v>12</v>
      </c>
      <c r="B15" s="432" t="s">
        <v>135</v>
      </c>
      <c r="C15" s="433">
        <v>99907.951418666678</v>
      </c>
      <c r="D15" s="433">
        <v>58631.439944426667</v>
      </c>
      <c r="E15" s="433">
        <f t="shared" ref="E15:E18" si="2">C15-D15</f>
        <v>41276.511474240011</v>
      </c>
      <c r="F15" s="430"/>
    </row>
    <row r="16" spans="1:6" ht="18.75">
      <c r="A16" s="431">
        <v>13</v>
      </c>
      <c r="B16" s="432" t="s">
        <v>240</v>
      </c>
      <c r="C16" s="433">
        <v>58941.101743466657</v>
      </c>
      <c r="D16" s="433">
        <v>31871.335203306662</v>
      </c>
      <c r="E16" s="433">
        <f t="shared" si="2"/>
        <v>27069.766540159995</v>
      </c>
      <c r="F16" s="430"/>
    </row>
    <row r="17" spans="1:6" ht="18.75">
      <c r="A17" s="431">
        <v>14</v>
      </c>
      <c r="B17" s="432" t="s">
        <v>341</v>
      </c>
      <c r="C17" s="433">
        <v>58631.439944426667</v>
      </c>
      <c r="D17" s="433">
        <v>31221.145554666658</v>
      </c>
      <c r="E17" s="433">
        <f t="shared" si="2"/>
        <v>27410.294389760009</v>
      </c>
      <c r="F17" s="430"/>
    </row>
    <row r="18" spans="1:6" ht="18.75">
      <c r="A18" s="431">
        <v>15</v>
      </c>
      <c r="B18" s="432" t="s">
        <v>374</v>
      </c>
      <c r="C18" s="433">
        <v>31871.335203306662</v>
      </c>
      <c r="D18" s="433">
        <v>29984.870925426669</v>
      </c>
      <c r="E18" s="433">
        <f t="shared" si="2"/>
        <v>1886.4642778799935</v>
      </c>
      <c r="F18" s="430"/>
    </row>
    <row r="19" spans="1:6" ht="18.75">
      <c r="A19" s="432"/>
      <c r="B19" s="435" t="s">
        <v>15</v>
      </c>
      <c r="C19" s="435">
        <f>SUM(C4:C18)</f>
        <v>1028759.6072472003</v>
      </c>
      <c r="D19" s="435">
        <f t="shared" ref="D19:E19" si="3">SUM(D4:D18)</f>
        <v>677146.04984271992</v>
      </c>
      <c r="E19" s="435">
        <f t="shared" si="3"/>
        <v>351613.55740448035</v>
      </c>
      <c r="F19" s="430"/>
    </row>
    <row r="20" spans="1:6" ht="24.75" customHeight="1">
      <c r="A20" s="436"/>
      <c r="B20" s="436"/>
      <c r="C20" s="436"/>
      <c r="D20" s="436"/>
      <c r="E20" s="436"/>
      <c r="F20" s="4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666" t="s">
        <v>234</v>
      </c>
      <c r="B1" s="666"/>
      <c r="C1" s="666"/>
      <c r="D1" s="666"/>
      <c r="E1" s="666"/>
      <c r="F1" s="666"/>
      <c r="G1" s="162"/>
      <c r="H1" s="162"/>
      <c r="I1" s="162"/>
      <c r="J1" s="162"/>
      <c r="K1" s="162"/>
      <c r="L1" s="162"/>
    </row>
    <row r="2" spans="1:16" ht="33.75" customHeight="1">
      <c r="A2" s="443" t="s">
        <v>767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447" t="s">
        <v>774</v>
      </c>
      <c r="O4" s="447" t="s">
        <v>775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8"/>
      <c r="K5" s="448"/>
      <c r="L5" s="448"/>
      <c r="M5" s="449" t="s">
        <v>5</v>
      </c>
      <c r="N5" s="449"/>
      <c r="O5" s="449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8"/>
      <c r="K6" s="448"/>
      <c r="L6" s="448"/>
      <c r="M6" s="449"/>
      <c r="N6" s="449"/>
      <c r="O6" s="449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451">
        <v>201165.83594666663</v>
      </c>
      <c r="O7" s="452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451">
        <v>82627.951418666678</v>
      </c>
      <c r="O8" s="452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453">
        <v>121027.95141866669</v>
      </c>
      <c r="O9" s="452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453">
        <v>99703.216202666677</v>
      </c>
      <c r="O10" s="452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451">
        <v>111223.21620266668</v>
      </c>
      <c r="O11" s="452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453">
        <v>101827.95141866668</v>
      </c>
      <c r="O12" s="452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453">
        <v>74036.103146666661</v>
      </c>
      <c r="O13" s="452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451">
        <v>94625.782058666678</v>
      </c>
      <c r="O14" s="452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453">
        <v>44846.616588666657</v>
      </c>
      <c r="O15" s="452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451">
        <v>67626.60943466668</v>
      </c>
      <c r="O16" s="452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453">
        <v>83731.249226666652</v>
      </c>
      <c r="O17" s="452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451">
        <v>42046.063686666661</v>
      </c>
      <c r="O18" s="452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453">
        <v>49548.776186666662</v>
      </c>
      <c r="O19" s="452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453">
        <v>67370.87028266667</v>
      </c>
      <c r="O20" s="452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453">
        <v>52497.770378666646</v>
      </c>
      <c r="O21" s="452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453">
        <v>55538.105066666671</v>
      </c>
      <c r="O22" s="452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v>1015372.0750000001</v>
      </c>
      <c r="L23" s="450">
        <f t="shared" si="1"/>
        <v>-551859.57500000007</v>
      </c>
      <c r="M23" s="453">
        <v>62231.114666666661</v>
      </c>
      <c r="N23" s="453">
        <v>40149.175266666658</v>
      </c>
      <c r="O23" s="452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453">
        <v>42371.815728666676</v>
      </c>
      <c r="O24" s="452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453">
        <v>23036.01234666667</v>
      </c>
      <c r="O25" s="452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453">
        <v>23036.01234666667</v>
      </c>
      <c r="O26" s="452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453">
        <v>29756.01234666667</v>
      </c>
      <c r="O27" s="452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453">
        <v>22338.48260466666</v>
      </c>
      <c r="O28" s="452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453">
        <v>21640.952862666669</v>
      </c>
      <c r="O29" s="452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453">
        <v>21640.952862666669</v>
      </c>
      <c r="O30" s="452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455">
        <v>22338.48260466666</v>
      </c>
      <c r="O31" s="452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453">
        <v>17572.88500266667</v>
      </c>
      <c r="O32" s="452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453">
        <v>16512.68219066667</v>
      </c>
      <c r="O33" s="452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457"/>
      <c r="O35" s="457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453"/>
      <c r="O36" s="451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453">
        <v>161106.80685866668</v>
      </c>
      <c r="O37" s="452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8">E38+F38+G38+H38+I38</f>
        <v>353029.66666666669</v>
      </c>
      <c r="K38" s="458">
        <v>176816.09999999998</v>
      </c>
      <c r="L38" s="458">
        <f t="shared" ref="L38:L39" si="9">J38-K38</f>
        <v>176213.56666666671</v>
      </c>
      <c r="M38" s="452">
        <v>42537.331946666665</v>
      </c>
      <c r="N38" s="453">
        <v>17042.713866666661</v>
      </c>
      <c r="O38" s="452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8"/>
        <v>360965.58333333331</v>
      </c>
      <c r="K39" s="458">
        <v>233169.11749999999</v>
      </c>
      <c r="L39" s="458">
        <f t="shared" si="9"/>
        <v>127796.46583333332</v>
      </c>
      <c r="M39" s="452">
        <v>43763.90722666667</v>
      </c>
      <c r="N39" s="453">
        <v>26339.078406666667</v>
      </c>
      <c r="O39" s="452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457"/>
      <c r="O41" s="457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451"/>
      <c r="O42" s="451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453">
        <v>180306.80685866671</v>
      </c>
      <c r="O43" s="452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2">E44+F44+G44+H44+I44</f>
        <v>780675.58333333337</v>
      </c>
      <c r="K44" s="458">
        <v>527553.50249999994</v>
      </c>
      <c r="L44" s="458">
        <f t="shared" ref="L44:L53" si="13">J44-K44</f>
        <v>253122.08083333343</v>
      </c>
      <c r="M44" s="452">
        <v>119022.80170666667</v>
      </c>
      <c r="N44" s="453">
        <v>79956.939146666657</v>
      </c>
      <c r="O44" s="452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2"/>
        <v>919203.58333333337</v>
      </c>
      <c r="K45" s="458">
        <v>617743.99575</v>
      </c>
      <c r="L45" s="458">
        <f t="shared" si="13"/>
        <v>301459.58758333337</v>
      </c>
      <c r="M45" s="452">
        <v>143799.58762666667</v>
      </c>
      <c r="N45" s="453">
        <v>97273.513850666655</v>
      </c>
      <c r="O45" s="452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2"/>
        <v>780675.58333333337</v>
      </c>
      <c r="K46" s="458">
        <v>527553.50249999994</v>
      </c>
      <c r="L46" s="458">
        <f t="shared" si="13"/>
        <v>253122.08083333343</v>
      </c>
      <c r="M46" s="452">
        <v>119022.80170666667</v>
      </c>
      <c r="N46" s="453">
        <v>79956.939146666657</v>
      </c>
      <c r="O46" s="452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2"/>
        <v>780675.58333333337</v>
      </c>
      <c r="K47" s="458">
        <v>527553.50249999994</v>
      </c>
      <c r="L47" s="458">
        <f t="shared" si="13"/>
        <v>253122.08083333343</v>
      </c>
      <c r="M47" s="452">
        <v>118861.96570666666</v>
      </c>
      <c r="N47" s="453">
        <v>79796.103146666646</v>
      </c>
      <c r="O47" s="452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2"/>
        <v>742118.08333333337</v>
      </c>
      <c r="K48" s="458">
        <v>504720.04700000002</v>
      </c>
      <c r="L48" s="458">
        <f t="shared" si="13"/>
        <v>237398.03633333335</v>
      </c>
      <c r="M48" s="452">
        <v>112212.00490666665</v>
      </c>
      <c r="N48" s="453">
        <v>75572.915690666661</v>
      </c>
      <c r="O48" s="452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2"/>
        <v>610498</v>
      </c>
      <c r="K49" s="458">
        <v>413333.03525000007</v>
      </c>
      <c r="L49" s="458">
        <f t="shared" si="13"/>
        <v>197164.96474999993</v>
      </c>
      <c r="M49" s="452">
        <v>88655.433386666657</v>
      </c>
      <c r="N49" s="451">
        <v>58026.609434666672</v>
      </c>
      <c r="O49" s="452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2"/>
        <v>400965.58333333331</v>
      </c>
      <c r="K50" s="458">
        <v>273169.11749999999</v>
      </c>
      <c r="L50" s="458">
        <f t="shared" si="13"/>
        <v>127796.46583333332</v>
      </c>
      <c r="M50" s="452">
        <v>51029.227306666668</v>
      </c>
      <c r="N50" s="453">
        <v>33059.078406666667</v>
      </c>
      <c r="O50" s="452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2"/>
        <v>363165.33333333331</v>
      </c>
      <c r="K51" s="458">
        <v>249356.04725</v>
      </c>
      <c r="L51" s="458">
        <f t="shared" si="13"/>
        <v>113809.28608333331</v>
      </c>
      <c r="M51" s="452">
        <v>44641.500586666669</v>
      </c>
      <c r="N51" s="453">
        <v>29058.48260466666</v>
      </c>
      <c r="O51" s="452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2"/>
        <v>363165.33333333331</v>
      </c>
      <c r="K52" s="458">
        <v>249356.04725</v>
      </c>
      <c r="L52" s="458">
        <f t="shared" si="13"/>
        <v>113809.28608333331</v>
      </c>
      <c r="M52" s="452">
        <v>44641.500586666669</v>
      </c>
      <c r="N52" s="453">
        <v>28360.952862666662</v>
      </c>
      <c r="O52" s="452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2"/>
        <v>363165.33333333331</v>
      </c>
      <c r="K53" s="458">
        <v>249356.04725</v>
      </c>
      <c r="L53" s="458">
        <f t="shared" si="13"/>
        <v>113809.28608333331</v>
      </c>
      <c r="M53" s="452">
        <v>44641.500586666669</v>
      </c>
      <c r="N53" s="453">
        <v>29058.48260466666</v>
      </c>
      <c r="O53" s="452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460"/>
      <c r="O55" s="460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460"/>
      <c r="O56" s="460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454">
        <v>180306.80685866671</v>
      </c>
      <c r="O57" s="452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454">
        <v>64596.939146666664</v>
      </c>
      <c r="O58" s="452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460"/>
      <c r="O60" s="460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460"/>
      <c r="O61" s="460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453">
        <v>180306.80685866671</v>
      </c>
      <c r="O62" s="452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17">E63+F63+G63+H63+I63</f>
        <v>761396.83333333337</v>
      </c>
      <c r="K63" s="458">
        <v>516137.05000000005</v>
      </c>
      <c r="L63" s="458">
        <f t="shared" ref="L63:L71" si="18">J63-K63</f>
        <v>245259.78333333333</v>
      </c>
      <c r="M63" s="452">
        <v>115617.40330666665</v>
      </c>
      <c r="N63" s="453">
        <v>77764.98026666668</v>
      </c>
      <c r="O63" s="452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17"/>
        <v>582746.5</v>
      </c>
      <c r="K64" s="458">
        <v>397211.36749999999</v>
      </c>
      <c r="L64" s="458">
        <f t="shared" si="18"/>
        <v>185535.13250000001</v>
      </c>
      <c r="M64" s="452">
        <v>83753.408426666647</v>
      </c>
      <c r="N64" s="453">
        <v>54931.249226666667</v>
      </c>
      <c r="O64" s="452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8">
        <f t="shared" si="17"/>
        <v>548915.91666666674</v>
      </c>
      <c r="K65" s="458">
        <v>369177.65375</v>
      </c>
      <c r="L65" s="458">
        <f t="shared" si="18"/>
        <v>179738.26291666675</v>
      </c>
      <c r="M65" s="452">
        <v>77470.374186666668</v>
      </c>
      <c r="N65" s="453">
        <v>49548.776186666662</v>
      </c>
      <c r="O65" s="452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17"/>
        <v>624373.75</v>
      </c>
      <c r="K66" s="458">
        <v>421394.00675000006</v>
      </c>
      <c r="L66" s="458">
        <f t="shared" si="18"/>
        <v>202979.74324999994</v>
      </c>
      <c r="M66" s="452">
        <v>91106.445866666661</v>
      </c>
      <c r="N66" s="451">
        <v>59574.315962666667</v>
      </c>
      <c r="O66" s="452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17"/>
        <v>475703.83333333331</v>
      </c>
      <c r="K67" s="458">
        <v>322454.07400000002</v>
      </c>
      <c r="L67" s="458">
        <f t="shared" si="18"/>
        <v>153249.75933333329</v>
      </c>
      <c r="M67" s="452">
        <v>64384.591786666664</v>
      </c>
      <c r="N67" s="453">
        <v>41338.951098666665</v>
      </c>
      <c r="O67" s="452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8">
        <f t="shared" si="17"/>
        <v>475703.83333333331</v>
      </c>
      <c r="K68" s="458">
        <v>322454.07400000002</v>
      </c>
      <c r="L68" s="458">
        <f t="shared" si="18"/>
        <v>153249.75933333329</v>
      </c>
      <c r="M68" s="452">
        <v>64384.591786666664</v>
      </c>
      <c r="N68" s="453">
        <v>41338.951098666665</v>
      </c>
      <c r="O68" s="452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8">
        <f t="shared" si="17"/>
        <v>475703.83333333331</v>
      </c>
      <c r="K69" s="458">
        <v>322454.07400000002</v>
      </c>
      <c r="L69" s="458">
        <f t="shared" si="18"/>
        <v>153249.75933333329</v>
      </c>
      <c r="M69" s="452">
        <v>64384.591786666664</v>
      </c>
      <c r="N69" s="453">
        <v>41338.951098666665</v>
      </c>
      <c r="O69" s="452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17"/>
        <v>487895.16666666669</v>
      </c>
      <c r="K70" s="458">
        <v>334536.99849999999</v>
      </c>
      <c r="L70" s="458">
        <f t="shared" si="18"/>
        <v>153358.1681666667</v>
      </c>
      <c r="M70" s="452">
        <v>66538.068906666667</v>
      </c>
      <c r="N70" s="453">
        <v>43368.882414666667</v>
      </c>
      <c r="O70" s="452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17"/>
        <v>400965.58333333331</v>
      </c>
      <c r="K71" s="458">
        <v>277734.04699999996</v>
      </c>
      <c r="L71" s="458">
        <f t="shared" si="18"/>
        <v>123231.53633333335</v>
      </c>
      <c r="M71" s="452">
        <v>51029.227306666668</v>
      </c>
      <c r="N71" s="453">
        <v>33825.986562666658</v>
      </c>
      <c r="O71" s="452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460"/>
      <c r="O73" s="460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460"/>
      <c r="O74" s="460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453">
        <v>180306.80685866671</v>
      </c>
      <c r="O75" s="452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3">E76+F76+G76+H76+I76</f>
        <v>761396.83333333337</v>
      </c>
      <c r="K76" s="458">
        <v>516137.05000000005</v>
      </c>
      <c r="L76" s="458">
        <f t="shared" ref="L76:L81" si="24">J76-K76</f>
        <v>245259.78333333333</v>
      </c>
      <c r="M76" s="452">
        <v>124854.85866666667</v>
      </c>
      <c r="N76" s="453">
        <v>77764.98026666668</v>
      </c>
      <c r="O76" s="452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3"/>
        <v>700675.58333333337</v>
      </c>
      <c r="K77" s="458">
        <v>447553.5025</v>
      </c>
      <c r="L77" s="458">
        <f t="shared" si="24"/>
        <v>253122.08083333337</v>
      </c>
      <c r="M77" s="452">
        <v>113196.37866666664</v>
      </c>
      <c r="N77" s="451">
        <v>64596.939146666664</v>
      </c>
      <c r="O77" s="452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3"/>
        <v>596622.25</v>
      </c>
      <c r="K78" s="458">
        <v>405272.06374999997</v>
      </c>
      <c r="L78" s="458">
        <f t="shared" si="24"/>
        <v>191350.18625000003</v>
      </c>
      <c r="M78" s="452">
        <v>86076.104186666664</v>
      </c>
      <c r="N78" s="453">
        <v>56350.58618666666</v>
      </c>
      <c r="O78" s="452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3"/>
        <v>408901.5</v>
      </c>
      <c r="K79" s="458">
        <v>273169.11749999999</v>
      </c>
      <c r="L79" s="458">
        <f t="shared" si="24"/>
        <v>135732.38250000001</v>
      </c>
      <c r="M79" s="452">
        <v>52431.02762666667</v>
      </c>
      <c r="N79" s="453">
        <v>33059.078406666667</v>
      </c>
      <c r="O79" s="452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3"/>
        <v>363165.33333333331</v>
      </c>
      <c r="K80" s="458">
        <v>249356.04725</v>
      </c>
      <c r="L80" s="458">
        <f t="shared" si="24"/>
        <v>113809.28608333331</v>
      </c>
      <c r="M80" s="452">
        <v>44641.500586666669</v>
      </c>
      <c r="N80" s="453">
        <v>29058.48260466666</v>
      </c>
      <c r="O80" s="452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3"/>
        <v>324459.75</v>
      </c>
      <c r="K81" s="458">
        <v>223717.28450000001</v>
      </c>
      <c r="L81" s="458">
        <f t="shared" si="24"/>
        <v>100742.46549999999</v>
      </c>
      <c r="M81" s="452">
        <v>38659.165626666669</v>
      </c>
      <c r="N81" s="453">
        <v>24751.170462666665</v>
      </c>
      <c r="O81" s="452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460"/>
      <c r="O83" s="461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460"/>
      <c r="O84" s="461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453">
        <v>99156.939146666671</v>
      </c>
      <c r="O85" s="452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27">E86+F86+G86+H86+I86</f>
        <v>780675.58333333337</v>
      </c>
      <c r="K86" s="458">
        <v>527553.50249999994</v>
      </c>
      <c r="L86" s="458">
        <f t="shared" ref="L86:L94" si="28">J86-K86</f>
        <v>253122.08083333343</v>
      </c>
      <c r="M86" s="452">
        <v>118861.96570666666</v>
      </c>
      <c r="N86" s="453">
        <v>79796.103146666646</v>
      </c>
      <c r="O86" s="452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27"/>
        <v>742118.08333333337</v>
      </c>
      <c r="K87" s="458">
        <v>504729.22200000007</v>
      </c>
      <c r="L87" s="458">
        <f t="shared" si="28"/>
        <v>237388.86133333331</v>
      </c>
      <c r="M87" s="452">
        <v>112212.00490666665</v>
      </c>
      <c r="N87" s="451">
        <v>75574.677290666688</v>
      </c>
      <c r="O87" s="452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27"/>
        <v>561804.91666666674</v>
      </c>
      <c r="K88" s="458">
        <v>376663.07749999996</v>
      </c>
      <c r="L88" s="458">
        <f t="shared" si="28"/>
        <v>185141.83916666679</v>
      </c>
      <c r="M88" s="452">
        <v>79747.087146666672</v>
      </c>
      <c r="N88" s="453">
        <v>50985.977546666662</v>
      </c>
      <c r="O88" s="452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8">
        <f t="shared" si="27"/>
        <v>548915.91666666674</v>
      </c>
      <c r="K89" s="458">
        <v>369177.65375</v>
      </c>
      <c r="L89" s="458">
        <f t="shared" si="28"/>
        <v>179738.26291666675</v>
      </c>
      <c r="M89" s="452">
        <v>77470.374186666668</v>
      </c>
      <c r="N89" s="453">
        <v>49548.776186666662</v>
      </c>
      <c r="O89" s="452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27"/>
        <v>568870.75</v>
      </c>
      <c r="K90" s="458">
        <v>389153.05674999999</v>
      </c>
      <c r="L90" s="458">
        <f t="shared" si="28"/>
        <v>179717.69325000001</v>
      </c>
      <c r="M90" s="452">
        <v>81302.395946666657</v>
      </c>
      <c r="N90" s="453">
        <v>53384.053562666668</v>
      </c>
      <c r="O90" s="452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8">
        <f t="shared" si="27"/>
        <v>475703.83333333331</v>
      </c>
      <c r="K91" s="458">
        <v>322454.07400000002</v>
      </c>
      <c r="L91" s="458">
        <f t="shared" si="28"/>
        <v>153249.75933333329</v>
      </c>
      <c r="M91" s="452">
        <v>64384.591786666657</v>
      </c>
      <c r="N91" s="453">
        <v>41338.951098666665</v>
      </c>
      <c r="O91" s="452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27"/>
        <v>510248.91666666669</v>
      </c>
      <c r="K92" s="458">
        <v>346713.03325000004</v>
      </c>
      <c r="L92" s="458">
        <f t="shared" si="28"/>
        <v>163535.88341666665</v>
      </c>
      <c r="M92" s="452">
        <v>70529.475354666662</v>
      </c>
      <c r="N92" s="453">
        <v>45317.541294666669</v>
      </c>
      <c r="O92" s="452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27"/>
        <v>400965.58333333331</v>
      </c>
      <c r="K93" s="458">
        <v>277734.04699999996</v>
      </c>
      <c r="L93" s="458">
        <f t="shared" si="28"/>
        <v>123231.53633333335</v>
      </c>
      <c r="M93" s="452">
        <v>51029.227306666668</v>
      </c>
      <c r="N93" s="453">
        <v>33825.986562666658</v>
      </c>
      <c r="O93" s="452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8">
        <f t="shared" si="27"/>
        <v>330631.91666666663</v>
      </c>
      <c r="K94" s="458">
        <v>254870.26344499999</v>
      </c>
      <c r="L94" s="458">
        <f t="shared" si="28"/>
        <v>75761.653221666638</v>
      </c>
      <c r="M94" s="452">
        <v>39613.135706666661</v>
      </c>
      <c r="N94" s="453">
        <v>29984.870925426669</v>
      </c>
      <c r="O94" s="452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460"/>
      <c r="O96" s="460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460"/>
      <c r="O97" s="460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62">
        <v>130407.52761066666</v>
      </c>
      <c r="N98" s="451">
        <v>82423.216202666677</v>
      </c>
      <c r="O98" s="462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33">E99+F99+G99+H99+I99</f>
        <v>526622.25</v>
      </c>
      <c r="K99" s="458">
        <v>335272.06374999997</v>
      </c>
      <c r="L99" s="458">
        <f t="shared" ref="L99:L101" si="34">J99-K99</f>
        <v>191350.18625000003</v>
      </c>
      <c r="M99" s="462">
        <v>72764.420906666652</v>
      </c>
      <c r="N99" s="453">
        <v>43492.373376666663</v>
      </c>
      <c r="O99" s="462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33"/>
        <v>437895.16666666669</v>
      </c>
      <c r="K100" s="458">
        <v>284536.99849999999</v>
      </c>
      <c r="L100" s="458">
        <f t="shared" si="34"/>
        <v>153358.1681666667</v>
      </c>
      <c r="M100" s="462">
        <v>56938.068906666675</v>
      </c>
      <c r="N100" s="453">
        <v>34968.882414666667</v>
      </c>
      <c r="O100" s="462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33"/>
        <v>360965.58333333331</v>
      </c>
      <c r="K101" s="458">
        <v>237734.04699999996</v>
      </c>
      <c r="L101" s="458">
        <f t="shared" si="34"/>
        <v>123231.53633333335</v>
      </c>
      <c r="M101" s="462">
        <v>43763.90722666667</v>
      </c>
      <c r="N101" s="453">
        <v>27105.986562666658</v>
      </c>
      <c r="O101" s="462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460"/>
      <c r="O103" s="460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464"/>
      <c r="O104" s="464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453">
        <v>180306.80685866671</v>
      </c>
      <c r="O105" s="452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37">E106+F106+G106+H106+I106</f>
        <v>942373.16666666663</v>
      </c>
      <c r="K106" s="458">
        <v>631465.0247500001</v>
      </c>
      <c r="L106" s="458">
        <f t="shared" ref="L106:L111" si="38">J106-K106</f>
        <v>310908.14191666653</v>
      </c>
      <c r="M106" s="452">
        <v>147687.52761066667</v>
      </c>
      <c r="N106" s="453">
        <v>99703.216202666677</v>
      </c>
      <c r="O106" s="452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37"/>
        <v>603237.85519166675</v>
      </c>
      <c r="K107" s="458">
        <v>418096.01602499996</v>
      </c>
      <c r="L107" s="458">
        <f t="shared" si="38"/>
        <v>185141.83916666679</v>
      </c>
      <c r="M107" s="452">
        <v>87575.78270346667</v>
      </c>
      <c r="N107" s="451">
        <v>58814.673103466652</v>
      </c>
      <c r="O107" s="452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37"/>
        <v>601625.03332166676</v>
      </c>
      <c r="K108" s="458">
        <v>416483.19415499998</v>
      </c>
      <c r="L108" s="458">
        <f t="shared" si="38"/>
        <v>185141.83916666679</v>
      </c>
      <c r="M108" s="452">
        <v>87392.549544426671</v>
      </c>
      <c r="N108" s="451">
        <v>58631.439944426667</v>
      </c>
      <c r="O108" s="452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37"/>
        <v>374481.8641466666</v>
      </c>
      <c r="K109" s="458">
        <v>266099.21747999999</v>
      </c>
      <c r="L109" s="458">
        <f t="shared" si="38"/>
        <v>108382.64666666661</v>
      </c>
      <c r="M109" s="452">
        <v>46740.264902826661</v>
      </c>
      <c r="N109" s="453">
        <v>31871.335203306662</v>
      </c>
      <c r="O109" s="452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37"/>
        <v>367926.02100000001</v>
      </c>
      <c r="K110" s="458">
        <v>262229.04099999997</v>
      </c>
      <c r="L110" s="458">
        <f t="shared" si="38"/>
        <v>105696.98000000004</v>
      </c>
      <c r="M110" s="452">
        <v>45712.637394666672</v>
      </c>
      <c r="N110" s="453">
        <v>31221.145554666658</v>
      </c>
      <c r="O110" s="452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8">
        <f t="shared" si="37"/>
        <v>355198.11211166665</v>
      </c>
      <c r="K111" s="458">
        <v>254870.26344499999</v>
      </c>
      <c r="L111" s="458">
        <f t="shared" si="38"/>
        <v>100327.84866666666</v>
      </c>
      <c r="M111" s="452">
        <v>43740.256541426665</v>
      </c>
      <c r="N111" s="453">
        <v>29984.870925426669</v>
      </c>
      <c r="O111" s="452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466"/>
      <c r="O113" s="466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460"/>
      <c r="O114" s="460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451">
        <v>77610.116906666663</v>
      </c>
      <c r="O115" s="452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41">E116+F116+G116+H116+I116</f>
        <v>487895.16666666669</v>
      </c>
      <c r="K116" s="458">
        <v>334536.99850000005</v>
      </c>
      <c r="L116" s="458">
        <f t="shared" ref="L116:L117" si="42">J116-K116</f>
        <v>153358.16816666664</v>
      </c>
      <c r="M116" s="452">
        <v>66538.068906666667</v>
      </c>
      <c r="N116" s="453">
        <v>43368.882414666674</v>
      </c>
      <c r="O116" s="452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41"/>
        <v>450086.5</v>
      </c>
      <c r="K117" s="458">
        <v>286619.99874999991</v>
      </c>
      <c r="L117" s="458">
        <f t="shared" si="42"/>
        <v>163466.50125000009</v>
      </c>
      <c r="M117" s="452">
        <v>58980.834746666667</v>
      </c>
      <c r="N117" s="453">
        <v>35221.954086666658</v>
      </c>
      <c r="O117" s="452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468"/>
      <c r="O119" s="468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460"/>
      <c r="O120" s="461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453">
        <v>179914.45476266672</v>
      </c>
      <c r="O121" s="452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45">E122+F122+G122+H122+I122</f>
        <v>929203.58333333337</v>
      </c>
      <c r="K122" s="458">
        <v>627743.99575</v>
      </c>
      <c r="L122" s="458">
        <f t="shared" ref="L122:L130" si="46">J122-K122</f>
        <v>301459.58758333337</v>
      </c>
      <c r="M122" s="452">
        <v>145522.03071466667</v>
      </c>
      <c r="N122" s="453">
        <v>98995.956938666684</v>
      </c>
      <c r="O122" s="452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8">
        <f t="shared" si="45"/>
        <v>830675.58333333337</v>
      </c>
      <c r="K123" s="458">
        <v>577553.50249999994</v>
      </c>
      <c r="L123" s="458">
        <f t="shared" si="46"/>
        <v>253122.08083333343</v>
      </c>
      <c r="M123" s="452">
        <v>128461.96570666666</v>
      </c>
      <c r="N123" s="453">
        <v>89396.103146666646</v>
      </c>
      <c r="O123" s="452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45"/>
        <v>662118.08333333337</v>
      </c>
      <c r="K124" s="458">
        <v>424729.22200000007</v>
      </c>
      <c r="L124" s="458">
        <f t="shared" si="46"/>
        <v>237388.86133333331</v>
      </c>
      <c r="M124" s="452">
        <v>105793.33866666665</v>
      </c>
      <c r="N124" s="453">
        <v>60214.677290666674</v>
      </c>
      <c r="O124" s="452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45"/>
        <v>540498</v>
      </c>
      <c r="K125" s="458">
        <v>343333.03525000007</v>
      </c>
      <c r="L125" s="458">
        <f t="shared" si="46"/>
        <v>197164.96474999993</v>
      </c>
      <c r="M125" s="452">
        <v>75215.433386666657</v>
      </c>
      <c r="N125" s="453">
        <v>44846.616588666679</v>
      </c>
      <c r="O125" s="452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8">
        <f t="shared" si="45"/>
        <v>512746.5</v>
      </c>
      <c r="K126" s="458">
        <v>327211.36749999999</v>
      </c>
      <c r="L126" s="458">
        <f t="shared" si="46"/>
        <v>185535.13250000001</v>
      </c>
      <c r="M126" s="452">
        <v>70189.308746666662</v>
      </c>
      <c r="N126" s="453">
        <v>42029.589186666672</v>
      </c>
      <c r="O126" s="452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8">
        <f t="shared" si="45"/>
        <v>526622.25</v>
      </c>
      <c r="K127" s="458">
        <v>335272.06374999997</v>
      </c>
      <c r="L127" s="458">
        <f t="shared" si="46"/>
        <v>191350.18625000003</v>
      </c>
      <c r="M127" s="452">
        <v>72636.104186666664</v>
      </c>
      <c r="N127" s="453">
        <v>43380.096246666661</v>
      </c>
      <c r="O127" s="452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45"/>
        <v>330481.66666666669</v>
      </c>
      <c r="K128" s="458">
        <v>213508.01</v>
      </c>
      <c r="L128" s="458">
        <f t="shared" si="46"/>
        <v>116973.65666666668</v>
      </c>
      <c r="M128" s="452">
        <v>39052.313066666662</v>
      </c>
      <c r="N128" s="453">
        <v>23036.01234666667</v>
      </c>
      <c r="O128" s="452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45"/>
        <v>274459.75</v>
      </c>
      <c r="K129" s="458">
        <v>176816.09999999998</v>
      </c>
      <c r="L129" s="458">
        <f t="shared" si="46"/>
        <v>97643.650000000023</v>
      </c>
      <c r="M129" s="452">
        <v>30259.165626666669</v>
      </c>
      <c r="N129" s="453">
        <v>17042.713866666661</v>
      </c>
      <c r="O129" s="452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45"/>
        <v>274459.75</v>
      </c>
      <c r="K130" s="458">
        <v>176816.09999999998</v>
      </c>
      <c r="L130" s="458">
        <f t="shared" si="46"/>
        <v>97643.650000000023</v>
      </c>
      <c r="M130" s="452">
        <v>30259.165626666669</v>
      </c>
      <c r="N130" s="453">
        <v>17042.713866666661</v>
      </c>
      <c r="O130" s="452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460"/>
      <c r="O132" s="461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453"/>
      <c r="O133" s="451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453">
        <v>161106.80685866668</v>
      </c>
      <c r="O134" s="452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50">E135+F135+G135+H135+I135</f>
        <v>852373.16666666663</v>
      </c>
      <c r="K135" s="458">
        <v>541465.02474999998</v>
      </c>
      <c r="L135" s="458">
        <f t="shared" ref="L135:L192" si="51">J135-K135</f>
        <v>310908.14191666665</v>
      </c>
      <c r="M135" s="452">
        <v>142322.31466666667</v>
      </c>
      <c r="N135" s="451">
        <v>82627.951418666678</v>
      </c>
      <c r="O135" s="452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50"/>
        <v>902373.16666666663</v>
      </c>
      <c r="K136" s="458">
        <v>591465.02474999998</v>
      </c>
      <c r="L136" s="458">
        <f t="shared" si="51"/>
        <v>310908.14191666665</v>
      </c>
      <c r="M136" s="452">
        <v>140007.52761066667</v>
      </c>
      <c r="N136" s="451">
        <v>92023.216202666677</v>
      </c>
      <c r="O136" s="452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50"/>
        <v>554373.75</v>
      </c>
      <c r="K137" s="458">
        <v>351394.00675000006</v>
      </c>
      <c r="L137" s="458">
        <f t="shared" si="51"/>
        <v>202979.74324999994</v>
      </c>
      <c r="M137" s="452">
        <v>77529.694778666671</v>
      </c>
      <c r="N137" s="453">
        <v>46081.202598666678</v>
      </c>
      <c r="O137" s="452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50"/>
        <v>554373.75</v>
      </c>
      <c r="K138" s="458">
        <v>351394.00675000006</v>
      </c>
      <c r="L138" s="458">
        <f t="shared" si="51"/>
        <v>202979.74324999994</v>
      </c>
      <c r="M138" s="452">
        <v>77529.694778666671</v>
      </c>
      <c r="N138" s="453">
        <v>46081.202598666678</v>
      </c>
      <c r="O138" s="452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50"/>
        <v>554373.75</v>
      </c>
      <c r="K139" s="458">
        <v>351394.00675000006</v>
      </c>
      <c r="L139" s="458">
        <f t="shared" si="51"/>
        <v>202979.74324999994</v>
      </c>
      <c r="M139" s="452">
        <v>77529.694778666671</v>
      </c>
      <c r="N139" s="453">
        <v>46081.202598666678</v>
      </c>
      <c r="O139" s="452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50"/>
        <v>450086.5</v>
      </c>
      <c r="K140" s="458">
        <v>286619.99875000003</v>
      </c>
      <c r="L140" s="458">
        <f t="shared" si="51"/>
        <v>163466.50124999997</v>
      </c>
      <c r="M140" s="452">
        <v>58980.834746666667</v>
      </c>
      <c r="N140" s="453">
        <v>35221.954086666665</v>
      </c>
      <c r="O140" s="452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50"/>
        <v>450086.5</v>
      </c>
      <c r="K141" s="458">
        <v>286619.99875000003</v>
      </c>
      <c r="L141" s="458">
        <f t="shared" si="51"/>
        <v>163466.50124999997</v>
      </c>
      <c r="M141" s="452">
        <v>59091.546026666671</v>
      </c>
      <c r="N141" s="453">
        <v>35318.826456666669</v>
      </c>
      <c r="O141" s="452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50"/>
        <v>450086.5</v>
      </c>
      <c r="K142" s="458">
        <v>286619.99875000003</v>
      </c>
      <c r="L142" s="458">
        <f t="shared" si="51"/>
        <v>163466.50124999997</v>
      </c>
      <c r="M142" s="452">
        <v>59091.546026666671</v>
      </c>
      <c r="N142" s="453">
        <v>35318.826456666669</v>
      </c>
      <c r="O142" s="452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50"/>
        <v>437895.16666666669</v>
      </c>
      <c r="K143" s="458">
        <v>284536.99849999999</v>
      </c>
      <c r="L143" s="458">
        <f t="shared" si="51"/>
        <v>153358.1681666667</v>
      </c>
      <c r="M143" s="452">
        <v>56938.068906666675</v>
      </c>
      <c r="N143" s="453">
        <v>34968.882414666667</v>
      </c>
      <c r="O143" s="452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50"/>
        <v>425703.83333333331</v>
      </c>
      <c r="K144" s="458">
        <v>272454.07400000002</v>
      </c>
      <c r="L144" s="458">
        <f t="shared" si="51"/>
        <v>153249.75933333329</v>
      </c>
      <c r="M144" s="452">
        <v>54681.291562666673</v>
      </c>
      <c r="N144" s="453">
        <v>32848.563402666667</v>
      </c>
      <c r="O144" s="452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50"/>
        <v>450086.5</v>
      </c>
      <c r="K145" s="458">
        <v>286619.99875000003</v>
      </c>
      <c r="L145" s="458">
        <f t="shared" si="51"/>
        <v>163466.50124999997</v>
      </c>
      <c r="M145" s="452">
        <v>58980.834746666667</v>
      </c>
      <c r="N145" s="453">
        <v>35221.954086666665</v>
      </c>
      <c r="O145" s="452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50"/>
        <v>413512.5</v>
      </c>
      <c r="K146" s="458">
        <v>265372.07499999995</v>
      </c>
      <c r="L146" s="458">
        <f t="shared" si="51"/>
        <v>148140.42500000005</v>
      </c>
      <c r="M146" s="452">
        <v>52631.114666666661</v>
      </c>
      <c r="N146" s="453">
        <v>31749.175266666658</v>
      </c>
      <c r="O146" s="452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50"/>
        <v>368901.5</v>
      </c>
      <c r="K147" s="458">
        <v>237734.04699999996</v>
      </c>
      <c r="L147" s="458">
        <f t="shared" si="51"/>
        <v>131167.45300000004</v>
      </c>
      <c r="M147" s="452">
        <v>44990.48250666666</v>
      </c>
      <c r="N147" s="453">
        <v>27105.986562666658</v>
      </c>
      <c r="O147" s="452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50"/>
        <v>376837.41666666669</v>
      </c>
      <c r="K148" s="458">
        <v>242300.07749999996</v>
      </c>
      <c r="L148" s="458">
        <f t="shared" si="51"/>
        <v>134537.33916666673</v>
      </c>
      <c r="M148" s="452">
        <v>46138.184726666659</v>
      </c>
      <c r="N148" s="453">
        <v>27794.206626666662</v>
      </c>
      <c r="O148" s="452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50"/>
        <v>376837.41666666669</v>
      </c>
      <c r="K149" s="458">
        <v>242300.07749999996</v>
      </c>
      <c r="L149" s="458">
        <f t="shared" si="51"/>
        <v>134537.33916666673</v>
      </c>
      <c r="M149" s="452">
        <v>46217.057786666664</v>
      </c>
      <c r="N149" s="453">
        <v>27873.079686666664</v>
      </c>
      <c r="O149" s="452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50"/>
        <v>360965.58333333331</v>
      </c>
      <c r="K150" s="458">
        <v>237734.04699999996</v>
      </c>
      <c r="L150" s="458">
        <f t="shared" si="51"/>
        <v>123231.53633333335</v>
      </c>
      <c r="M150" s="452">
        <v>43763.90722666667</v>
      </c>
      <c r="N150" s="453">
        <v>27105.986562666658</v>
      </c>
      <c r="O150" s="452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50"/>
        <v>323165.33333333331</v>
      </c>
      <c r="K151" s="458">
        <v>209356.04725</v>
      </c>
      <c r="L151" s="458">
        <f t="shared" si="51"/>
        <v>113809.28608333331</v>
      </c>
      <c r="M151" s="452">
        <v>37921.500586666662</v>
      </c>
      <c r="N151" s="453">
        <v>22338.48260466666</v>
      </c>
      <c r="O151" s="452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50"/>
        <v>368901.5</v>
      </c>
      <c r="K152" s="458">
        <v>237734.04699999996</v>
      </c>
      <c r="L152" s="458">
        <f t="shared" si="51"/>
        <v>131167.45300000004</v>
      </c>
      <c r="M152" s="452">
        <v>44990.48250666666</v>
      </c>
      <c r="N152" s="453">
        <v>27105.986562666658</v>
      </c>
      <c r="O152" s="452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50"/>
        <v>330481.66666666669</v>
      </c>
      <c r="K153" s="458">
        <v>213508.01</v>
      </c>
      <c r="L153" s="458">
        <f t="shared" si="51"/>
        <v>116973.65666666668</v>
      </c>
      <c r="M153" s="452">
        <v>39052.313066666662</v>
      </c>
      <c r="N153" s="453">
        <v>23036.01234666667</v>
      </c>
      <c r="O153" s="452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50"/>
        <v>368901.5</v>
      </c>
      <c r="K154" s="458">
        <v>237734.04699999996</v>
      </c>
      <c r="L154" s="458">
        <f t="shared" si="51"/>
        <v>131167.45300000004</v>
      </c>
      <c r="M154" s="452">
        <v>44913.699618666666</v>
      </c>
      <c r="N154" s="453">
        <v>27029.203674666656</v>
      </c>
      <c r="O154" s="452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50"/>
        <v>330481.66666666669</v>
      </c>
      <c r="K155" s="458">
        <v>209356.04725</v>
      </c>
      <c r="L155" s="458">
        <f t="shared" si="51"/>
        <v>121125.61941666668</v>
      </c>
      <c r="M155" s="452">
        <v>39052.313066666662</v>
      </c>
      <c r="N155" s="453">
        <v>22338.48260466666</v>
      </c>
      <c r="O155" s="452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50"/>
        <v>315849</v>
      </c>
      <c r="K156" s="458">
        <v>205204.0845</v>
      </c>
      <c r="L156" s="458">
        <f t="shared" si="51"/>
        <v>110644.9155</v>
      </c>
      <c r="M156" s="452">
        <v>36790.688106666661</v>
      </c>
      <c r="N156" s="453">
        <v>21640.952862666669</v>
      </c>
      <c r="O156" s="452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50"/>
        <v>274459.75</v>
      </c>
      <c r="K157" s="458">
        <v>176816.09999999998</v>
      </c>
      <c r="L157" s="458">
        <f t="shared" si="51"/>
        <v>97643.650000000023</v>
      </c>
      <c r="M157" s="452">
        <v>30259.165626666669</v>
      </c>
      <c r="N157" s="453">
        <v>17042.713866666661</v>
      </c>
      <c r="O157" s="452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50"/>
        <v>274459.75</v>
      </c>
      <c r="K158" s="458">
        <v>176816.09999999998</v>
      </c>
      <c r="L158" s="458">
        <f t="shared" si="51"/>
        <v>97643.650000000023</v>
      </c>
      <c r="M158" s="452">
        <v>30259.165626666669</v>
      </c>
      <c r="N158" s="453">
        <v>17042.713866666661</v>
      </c>
      <c r="O158" s="452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50"/>
        <v>274459.75</v>
      </c>
      <c r="K159" s="458">
        <v>176816.09999999998</v>
      </c>
      <c r="L159" s="458">
        <f t="shared" si="51"/>
        <v>97643.650000000023</v>
      </c>
      <c r="M159" s="452">
        <v>30259.165626666669</v>
      </c>
      <c r="N159" s="453">
        <v>17042.713866666661</v>
      </c>
      <c r="O159" s="452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50"/>
        <v>280631.91666666663</v>
      </c>
      <c r="K160" s="458">
        <v>180304.068</v>
      </c>
      <c r="L160" s="458">
        <f t="shared" si="51"/>
        <v>100327.84866666663</v>
      </c>
      <c r="M160" s="452">
        <v>31213.135706666657</v>
      </c>
      <c r="N160" s="453">
        <v>17572.88500266667</v>
      </c>
      <c r="O160" s="452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50"/>
        <v>274459.75</v>
      </c>
      <c r="K161" s="458">
        <v>176816.09999999998</v>
      </c>
      <c r="L161" s="458">
        <f t="shared" si="51"/>
        <v>97643.650000000023</v>
      </c>
      <c r="M161" s="452">
        <v>30259.165626666669</v>
      </c>
      <c r="N161" s="453">
        <v>17042.713866666661</v>
      </c>
      <c r="O161" s="452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50"/>
        <v>202598.16666666666</v>
      </c>
      <c r="K162" s="458">
        <v>135590.72999999998</v>
      </c>
      <c r="L162" s="458">
        <f t="shared" si="51"/>
        <v>67007.436666666676</v>
      </c>
      <c r="M162" s="452">
        <v>18892.983386666663</v>
      </c>
      <c r="N162" s="451">
        <v>10739.304799999998</v>
      </c>
      <c r="O162" s="452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50"/>
        <v>205598.16666666666</v>
      </c>
      <c r="K163" s="458">
        <v>138590.72999999998</v>
      </c>
      <c r="L163" s="458">
        <f t="shared" si="51"/>
        <v>67007.436666666676</v>
      </c>
      <c r="M163" s="452">
        <v>19441.199306666666</v>
      </c>
      <c r="N163" s="451">
        <v>11232.457626666665</v>
      </c>
      <c r="O163" s="452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50"/>
        <v>202598.16666666666</v>
      </c>
      <c r="K164" s="458">
        <v>135590.72999999998</v>
      </c>
      <c r="L164" s="458">
        <f t="shared" si="51"/>
        <v>67007.436666666676</v>
      </c>
      <c r="M164" s="452">
        <v>18937.199306666666</v>
      </c>
      <c r="N164" s="451">
        <v>10776.457626666665</v>
      </c>
      <c r="O164" s="452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50"/>
        <v>202598.16666666666</v>
      </c>
      <c r="K165" s="458">
        <v>135590.72999999998</v>
      </c>
      <c r="L165" s="458">
        <f t="shared" si="51"/>
        <v>67007.436666666676</v>
      </c>
      <c r="M165" s="452">
        <v>18892.983386666663</v>
      </c>
      <c r="N165" s="451">
        <v>10739.304799999998</v>
      </c>
      <c r="O165" s="452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50"/>
        <v>202598.16666666666</v>
      </c>
      <c r="K166" s="458">
        <v>135590.72999999998</v>
      </c>
      <c r="L166" s="458">
        <f t="shared" si="51"/>
        <v>67007.436666666676</v>
      </c>
      <c r="M166" s="452">
        <v>18937.199306666666</v>
      </c>
      <c r="N166" s="451">
        <v>10776.457626666665</v>
      </c>
      <c r="O166" s="452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50"/>
        <v>200336.83333333334</v>
      </c>
      <c r="K167" s="458">
        <v>138590.72999999998</v>
      </c>
      <c r="L167" s="458">
        <f t="shared" si="51"/>
        <v>61746.103333333362</v>
      </c>
      <c r="M167" s="452">
        <v>18631.689440000002</v>
      </c>
      <c r="N167" s="451">
        <v>11232.457626666665</v>
      </c>
      <c r="O167" s="452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8">
        <f t="shared" si="50"/>
        <v>197336.83333333334</v>
      </c>
      <c r="K168" s="458">
        <v>135590.72999999998</v>
      </c>
      <c r="L168" s="458">
        <f t="shared" si="51"/>
        <v>61746.103333333362</v>
      </c>
      <c r="M168" s="452">
        <v>18175.689440000002</v>
      </c>
      <c r="N168" s="451">
        <v>10776.457626666665</v>
      </c>
      <c r="O168" s="452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8">
        <f t="shared" si="50"/>
        <v>200336.83333333334</v>
      </c>
      <c r="K169" s="458">
        <v>138590.72999999998</v>
      </c>
      <c r="L169" s="458">
        <f t="shared" si="51"/>
        <v>61746.103333333362</v>
      </c>
      <c r="M169" s="452">
        <v>18631.689440000002</v>
      </c>
      <c r="N169" s="451">
        <v>11232.457626666665</v>
      </c>
      <c r="O169" s="452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8">
        <f t="shared" si="50"/>
        <v>197336.83333333334</v>
      </c>
      <c r="K170" s="458">
        <v>135590.72999999998</v>
      </c>
      <c r="L170" s="458">
        <f t="shared" si="51"/>
        <v>61746.103333333362</v>
      </c>
      <c r="M170" s="452">
        <v>18175.689440000002</v>
      </c>
      <c r="N170" s="451">
        <v>10776.457626666665</v>
      </c>
      <c r="O170" s="452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8">
        <f t="shared" si="50"/>
        <v>197336.83333333334</v>
      </c>
      <c r="K171" s="458">
        <v>135590.72999999998</v>
      </c>
      <c r="L171" s="458">
        <f t="shared" si="51"/>
        <v>61746.103333333362</v>
      </c>
      <c r="M171" s="452">
        <v>18175.689440000002</v>
      </c>
      <c r="N171" s="451">
        <v>10776.457626666665</v>
      </c>
      <c r="O171" s="452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8">
        <f t="shared" si="50"/>
        <v>200336.83333333334</v>
      </c>
      <c r="K172" s="458">
        <v>138590.72999999998</v>
      </c>
      <c r="L172" s="458">
        <f t="shared" si="51"/>
        <v>61746.103333333362</v>
      </c>
      <c r="M172" s="452">
        <v>18631.689440000002</v>
      </c>
      <c r="N172" s="451">
        <v>11232.457626666665</v>
      </c>
      <c r="O172" s="452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50"/>
        <v>189814.16666666666</v>
      </c>
      <c r="K173" s="458">
        <v>122104.99825</v>
      </c>
      <c r="L173" s="458">
        <f t="shared" si="51"/>
        <v>67709.168416666653</v>
      </c>
      <c r="M173" s="452">
        <v>17160.199733333338</v>
      </c>
      <c r="N173" s="451">
        <v>9152.5997900000002</v>
      </c>
      <c r="O173" s="452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50"/>
        <v>189814.16666666666</v>
      </c>
      <c r="K174" s="458">
        <v>122104.99825</v>
      </c>
      <c r="L174" s="458">
        <f t="shared" si="51"/>
        <v>67709.168416666653</v>
      </c>
      <c r="M174" s="452">
        <v>17160.199733333338</v>
      </c>
      <c r="N174" s="451">
        <v>9152.5997900000002</v>
      </c>
      <c r="O174" s="452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50"/>
        <v>195075.5</v>
      </c>
      <c r="K175" s="458">
        <v>125035.03449999999</v>
      </c>
      <c r="L175" s="458">
        <f t="shared" si="51"/>
        <v>70040.465500000006</v>
      </c>
      <c r="M175" s="452">
        <v>17895.944586666668</v>
      </c>
      <c r="N175" s="451">
        <v>9504.2041399999998</v>
      </c>
      <c r="O175" s="452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50"/>
        <v>121145.75</v>
      </c>
      <c r="K176" s="458">
        <v>81803.001000000018</v>
      </c>
      <c r="L176" s="458">
        <f t="shared" si="51"/>
        <v>39342.748999999982</v>
      </c>
      <c r="M176" s="452">
        <v>8133.6907999999994</v>
      </c>
      <c r="N176" s="451">
        <v>4365.3307546666683</v>
      </c>
      <c r="O176" s="452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50"/>
        <v>118598</v>
      </c>
      <c r="K177" s="458">
        <v>80237.012000000002</v>
      </c>
      <c r="L177" s="458">
        <f t="shared" si="51"/>
        <v>38360.987999999998</v>
      </c>
      <c r="M177" s="452">
        <v>7852.4191999999994</v>
      </c>
      <c r="N177" s="451">
        <v>4227.5237226666677</v>
      </c>
      <c r="O177" s="452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50"/>
        <v>115598</v>
      </c>
      <c r="K178" s="458">
        <v>77237.012000000002</v>
      </c>
      <c r="L178" s="458">
        <f t="shared" si="51"/>
        <v>38360.987999999998</v>
      </c>
      <c r="M178" s="452">
        <v>7492.4192000000012</v>
      </c>
      <c r="N178" s="451">
        <v>3963.5237226666673</v>
      </c>
      <c r="O178" s="452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50"/>
        <v>118598</v>
      </c>
      <c r="K179" s="458">
        <v>80237.012000000002</v>
      </c>
      <c r="L179" s="458">
        <f t="shared" si="51"/>
        <v>38360.987999999998</v>
      </c>
      <c r="M179" s="452">
        <v>7852.4191999999994</v>
      </c>
      <c r="N179" s="451">
        <v>4227.5237226666677</v>
      </c>
      <c r="O179" s="452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50"/>
        <v>115598</v>
      </c>
      <c r="K180" s="458">
        <v>77237.012000000002</v>
      </c>
      <c r="L180" s="458">
        <f t="shared" si="51"/>
        <v>38360.987999999998</v>
      </c>
      <c r="M180" s="452">
        <v>7492.4192000000012</v>
      </c>
      <c r="N180" s="451">
        <v>3963.5237226666673</v>
      </c>
      <c r="O180" s="452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50"/>
        <v>118598</v>
      </c>
      <c r="K181" s="458">
        <v>80237.012000000002</v>
      </c>
      <c r="L181" s="458">
        <f t="shared" si="51"/>
        <v>38360.987999999998</v>
      </c>
      <c r="M181" s="452">
        <v>7852.4191999999994</v>
      </c>
      <c r="N181" s="451">
        <v>4227.5237226666677</v>
      </c>
      <c r="O181" s="452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50"/>
        <v>115598</v>
      </c>
      <c r="K182" s="458">
        <v>77237.012000000002</v>
      </c>
      <c r="L182" s="458">
        <f t="shared" si="51"/>
        <v>38360.987999999998</v>
      </c>
      <c r="M182" s="452">
        <v>7492.4192000000012</v>
      </c>
      <c r="N182" s="451">
        <v>3963.5237226666673</v>
      </c>
      <c r="O182" s="452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50"/>
        <v>118598</v>
      </c>
      <c r="K183" s="458">
        <v>80237.012000000002</v>
      </c>
      <c r="L183" s="458">
        <f t="shared" si="51"/>
        <v>38360.987999999998</v>
      </c>
      <c r="M183" s="452">
        <v>7852.4191999999994</v>
      </c>
      <c r="N183" s="451">
        <v>4227.5237226666677</v>
      </c>
      <c r="O183" s="452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50"/>
        <v>118598</v>
      </c>
      <c r="K184" s="458">
        <v>78671.023000000001</v>
      </c>
      <c r="L184" s="458">
        <f t="shared" si="51"/>
        <v>39926.976999999999</v>
      </c>
      <c r="M184" s="452">
        <v>7852.4191999999994</v>
      </c>
      <c r="N184" s="451">
        <v>4089.716690666668</v>
      </c>
      <c r="O184" s="452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50"/>
        <v>118598</v>
      </c>
      <c r="K185" s="458">
        <v>80237.012000000002</v>
      </c>
      <c r="L185" s="458">
        <f t="shared" si="51"/>
        <v>38360.987999999998</v>
      </c>
      <c r="M185" s="452">
        <v>7852.4191999999994</v>
      </c>
      <c r="N185" s="451">
        <v>4227.5237226666677</v>
      </c>
      <c r="O185" s="452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50"/>
        <v>116050.25</v>
      </c>
      <c r="K186" s="458">
        <v>78671.023000000016</v>
      </c>
      <c r="L186" s="458">
        <f t="shared" si="51"/>
        <v>37379.226999999984</v>
      </c>
      <c r="M186" s="452">
        <v>7571.1475999999993</v>
      </c>
      <c r="N186" s="451">
        <v>4089.716690666668</v>
      </c>
      <c r="O186" s="452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50"/>
        <v>102926.91666666667</v>
      </c>
      <c r="K187" s="458">
        <v>68675.99702499999</v>
      </c>
      <c r="L187" s="458">
        <f t="shared" si="51"/>
        <v>34250.919641666682</v>
      </c>
      <c r="M187" s="452">
        <v>6074.3316000000004</v>
      </c>
      <c r="N187" s="451">
        <v>3210.1544048666656</v>
      </c>
      <c r="O187" s="452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50"/>
        <v>95540.75</v>
      </c>
      <c r="K188" s="458">
        <v>62980.07925000001</v>
      </c>
      <c r="L188" s="458">
        <f t="shared" si="51"/>
        <v>32560.67074999999</v>
      </c>
      <c r="M188" s="452">
        <v>5230.0987999999998</v>
      </c>
      <c r="N188" s="451">
        <v>2708.9136406666671</v>
      </c>
      <c r="O188" s="452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50"/>
        <v>95540.75</v>
      </c>
      <c r="K189" s="458">
        <v>62980.07925000001</v>
      </c>
      <c r="L189" s="458">
        <f t="shared" si="51"/>
        <v>32560.67074999999</v>
      </c>
      <c r="M189" s="452">
        <v>5230.0987999999998</v>
      </c>
      <c r="N189" s="451">
        <v>2708.9136406666671</v>
      </c>
      <c r="O189" s="452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50"/>
        <v>95540.75</v>
      </c>
      <c r="K190" s="458">
        <v>62980.07925000001</v>
      </c>
      <c r="L190" s="458">
        <f t="shared" si="51"/>
        <v>32560.67074999999</v>
      </c>
      <c r="M190" s="452">
        <v>5230.0987999999998</v>
      </c>
      <c r="N190" s="451">
        <v>2708.9136406666671</v>
      </c>
      <c r="O190" s="452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50"/>
        <v>108502.5</v>
      </c>
      <c r="K191" s="458">
        <v>72103.749500000005</v>
      </c>
      <c r="L191" s="458">
        <f t="shared" si="51"/>
        <v>36398.750499999995</v>
      </c>
      <c r="M191" s="452">
        <v>6689.8759999999993</v>
      </c>
      <c r="N191" s="451">
        <v>3511.7966226666667</v>
      </c>
      <c r="O191" s="452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50"/>
        <v>108502.5</v>
      </c>
      <c r="K192" s="458">
        <v>72103.749500000005</v>
      </c>
      <c r="L192" s="458">
        <f t="shared" si="51"/>
        <v>36398.750499999995</v>
      </c>
      <c r="M192" s="452">
        <v>6689.8759999999993</v>
      </c>
      <c r="N192" s="451">
        <v>3511.7966226666667</v>
      </c>
      <c r="O192" s="452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9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9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'May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1" t="s">
        <v>234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479"/>
    </row>
    <row r="2" spans="1:31" ht="13.5" hidden="1" thickBot="1">
      <c r="A2" s="662" t="s">
        <v>509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479"/>
    </row>
    <row r="3" spans="1:31" ht="13.5" hidden="1" thickBot="1">
      <c r="A3" s="663" t="s">
        <v>758</v>
      </c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ht="18.75">
      <c r="A7" s="485">
        <v>4</v>
      </c>
      <c r="B7" s="155" t="s">
        <v>315</v>
      </c>
      <c r="C7" s="424">
        <v>852373.16666666663</v>
      </c>
      <c r="D7" s="418">
        <v>12</v>
      </c>
      <c r="E7" s="417">
        <f t="shared" ref="E7:E32" si="14">C7*D7</f>
        <v>10228478</v>
      </c>
      <c r="F7" s="417"/>
      <c r="G7" s="417">
        <v>731878.23999999964</v>
      </c>
      <c r="H7" s="417"/>
      <c r="I7" s="417">
        <f t="shared" si="0"/>
        <v>9496599.7599999998</v>
      </c>
      <c r="J7" s="417">
        <v>200000</v>
      </c>
      <c r="K7" s="417">
        <v>0.2</v>
      </c>
      <c r="L7" s="417">
        <f t="shared" si="1"/>
        <v>1899319.952</v>
      </c>
      <c r="M7" s="417">
        <f t="shared" si="2"/>
        <v>2099319.952</v>
      </c>
      <c r="N7" s="417">
        <f t="shared" si="3"/>
        <v>2831198.1919999998</v>
      </c>
      <c r="O7" s="417">
        <f t="shared" si="4"/>
        <v>7397279.8080000002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1007347.15392</v>
      </c>
      <c r="V7" s="417">
        <f t="shared" si="11"/>
        <v>1567347.15392</v>
      </c>
      <c r="W7" s="421">
        <v>12</v>
      </c>
      <c r="X7" s="417">
        <f t="shared" si="12"/>
        <v>130612.26282666666</v>
      </c>
      <c r="Y7" s="417"/>
      <c r="Z7" s="486">
        <f t="shared" si="13"/>
        <v>130612.26282666666</v>
      </c>
      <c r="AA7" s="422">
        <v>82627.951418666678</v>
      </c>
      <c r="AB7" s="422">
        <f t="shared" ref="AB7:AB32" si="15">Z7-AA7</f>
        <v>47984.31140799998</v>
      </c>
      <c r="AC7" s="422"/>
      <c r="AD7" s="422"/>
      <c r="AE7" s="422"/>
    </row>
    <row r="8" spans="1:31" ht="18.75">
      <c r="A8" s="485">
        <v>5</v>
      </c>
      <c r="B8" s="157" t="s">
        <v>317</v>
      </c>
      <c r="C8" s="424">
        <v>1052373.1666666665</v>
      </c>
      <c r="D8" s="418">
        <v>12</v>
      </c>
      <c r="E8" s="417">
        <f t="shared" si="14"/>
        <v>12628477.999999998</v>
      </c>
      <c r="F8" s="417"/>
      <c r="G8" s="417">
        <v>0</v>
      </c>
      <c r="H8" s="417"/>
      <c r="I8" s="417">
        <f t="shared" si="0"/>
        <v>12628477.999999998</v>
      </c>
      <c r="J8" s="417">
        <v>200000</v>
      </c>
      <c r="K8" s="417">
        <v>0.2</v>
      </c>
      <c r="L8" s="417">
        <f t="shared" si="1"/>
        <v>2525695.5999999996</v>
      </c>
      <c r="M8" s="417">
        <f t="shared" si="2"/>
        <v>2725695.5999999996</v>
      </c>
      <c r="N8" s="417">
        <f t="shared" si="3"/>
        <v>2725695.5999999996</v>
      </c>
      <c r="O8" s="417">
        <f t="shared" si="4"/>
        <v>9902782.3999999985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1608667.7759999996</v>
      </c>
      <c r="V8" s="417">
        <f t="shared" si="11"/>
        <v>2168667.7759999996</v>
      </c>
      <c r="W8" s="421">
        <v>12</v>
      </c>
      <c r="X8" s="417">
        <f t="shared" si="12"/>
        <v>180722.31466666664</v>
      </c>
      <c r="Y8" s="417"/>
      <c r="Z8" s="486">
        <f t="shared" si="13"/>
        <v>180722.31466666664</v>
      </c>
      <c r="AA8" s="422">
        <v>121027.95141866669</v>
      </c>
      <c r="AB8" s="422">
        <f t="shared" si="15"/>
        <v>59694.363247999951</v>
      </c>
      <c r="AC8" s="422"/>
      <c r="AD8" s="422"/>
      <c r="AE8" s="422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ht="18.75">
      <c r="A10" s="485">
        <v>7</v>
      </c>
      <c r="B10" s="157" t="s">
        <v>203</v>
      </c>
      <c r="C10" s="424">
        <v>1002373.1666666666</v>
      </c>
      <c r="D10" s="418">
        <v>12</v>
      </c>
      <c r="E10" s="417">
        <f t="shared" si="14"/>
        <v>12028478</v>
      </c>
      <c r="F10" s="417">
        <f>'[5]JANUARY 2024'!$V$10*12</f>
        <v>12795.951000000001</v>
      </c>
      <c r="G10" s="417">
        <v>731878.24</v>
      </c>
      <c r="H10" s="417"/>
      <c r="I10" s="417">
        <f t="shared" si="0"/>
        <v>11283803.809</v>
      </c>
      <c r="J10" s="417">
        <v>200000</v>
      </c>
      <c r="K10" s="417">
        <v>0.2</v>
      </c>
      <c r="L10" s="417">
        <f t="shared" si="1"/>
        <v>2256760.7618</v>
      </c>
      <c r="M10" s="417">
        <f t="shared" si="2"/>
        <v>2456760.7618</v>
      </c>
      <c r="N10" s="417">
        <f t="shared" si="3"/>
        <v>3201434.9528000001</v>
      </c>
      <c r="O10" s="417">
        <f t="shared" si="4"/>
        <v>8827043.0471999999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1350490.3313279999</v>
      </c>
      <c r="V10" s="417">
        <f t="shared" si="11"/>
        <v>1910490.3313279999</v>
      </c>
      <c r="W10" s="421">
        <v>12</v>
      </c>
      <c r="X10" s="417">
        <f t="shared" si="12"/>
        <v>159207.52761066667</v>
      </c>
      <c r="Y10" s="417"/>
      <c r="Z10" s="486">
        <f t="shared" si="13"/>
        <v>159207.52761066667</v>
      </c>
      <c r="AA10" s="422">
        <v>111223.21620266668</v>
      </c>
      <c r="AB10" s="422">
        <f t="shared" si="15"/>
        <v>47984.311407999994</v>
      </c>
      <c r="AC10" s="422"/>
      <c r="AD10" s="422"/>
      <c r="AE10" s="422"/>
    </row>
    <row r="11" spans="1:31" ht="18.75">
      <c r="A11" s="485">
        <v>8</v>
      </c>
      <c r="B11" s="156" t="s">
        <v>364</v>
      </c>
      <c r="C11" s="424">
        <v>952373.16666666663</v>
      </c>
      <c r="D11" s="418">
        <v>12</v>
      </c>
      <c r="E11" s="417">
        <f t="shared" si="14"/>
        <v>11428478</v>
      </c>
      <c r="F11" s="417"/>
      <c r="G11" s="417">
        <v>0</v>
      </c>
      <c r="H11" s="417"/>
      <c r="I11" s="417">
        <f t="shared" si="0"/>
        <v>11428478</v>
      </c>
      <c r="J11" s="417">
        <v>200000</v>
      </c>
      <c r="K11" s="417">
        <v>0.2</v>
      </c>
      <c r="L11" s="417">
        <f t="shared" si="1"/>
        <v>2285695.6</v>
      </c>
      <c r="M11" s="417">
        <f t="shared" si="2"/>
        <v>2485695.6</v>
      </c>
      <c r="N11" s="417">
        <f t="shared" si="3"/>
        <v>2485695.6</v>
      </c>
      <c r="O11" s="417">
        <f t="shared" si="4"/>
        <v>8942782.4000000004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1378267.7760000001</v>
      </c>
      <c r="V11" s="417">
        <f t="shared" si="11"/>
        <v>1938267.7760000001</v>
      </c>
      <c r="W11" s="421">
        <v>12</v>
      </c>
      <c r="X11" s="417">
        <f t="shared" si="12"/>
        <v>161522.31466666667</v>
      </c>
      <c r="Y11" s="417"/>
      <c r="Z11" s="486">
        <f t="shared" si="13"/>
        <v>161522.31466666667</v>
      </c>
      <c r="AA11" s="422">
        <v>101827.95141866668</v>
      </c>
      <c r="AB11" s="422">
        <f t="shared" si="15"/>
        <v>59694.363247999994</v>
      </c>
      <c r="AC11" s="422"/>
      <c r="AD11" s="422"/>
      <c r="AE11" s="422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ht="18.75">
      <c r="A13" s="485">
        <v>10</v>
      </c>
      <c r="B13" s="155" t="s">
        <v>185</v>
      </c>
      <c r="C13" s="424">
        <v>842118.08333333337</v>
      </c>
      <c r="D13" s="418">
        <v>12</v>
      </c>
      <c r="E13" s="417">
        <f t="shared" si="14"/>
        <v>10105417</v>
      </c>
      <c r="F13" s="417">
        <f>'[5]JANUARY 2024'!$V$14*12</f>
        <v>9305.9520000000011</v>
      </c>
      <c r="G13" s="417">
        <v>558833.3600000001</v>
      </c>
      <c r="H13" s="417"/>
      <c r="I13" s="417">
        <f t="shared" si="0"/>
        <v>9537277.688000001</v>
      </c>
      <c r="J13" s="417">
        <v>200000</v>
      </c>
      <c r="K13" s="417">
        <v>0.2</v>
      </c>
      <c r="L13" s="417">
        <f t="shared" si="1"/>
        <v>1907455.5376000004</v>
      </c>
      <c r="M13" s="417">
        <f t="shared" si="2"/>
        <v>2107455.5376000004</v>
      </c>
      <c r="N13" s="417">
        <f t="shared" si="3"/>
        <v>2675594.8496000003</v>
      </c>
      <c r="O13" s="417">
        <f t="shared" si="4"/>
        <v>7429822.1503999997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1015157.3160959999</v>
      </c>
      <c r="V13" s="417">
        <f t="shared" si="11"/>
        <v>1575157.3160959999</v>
      </c>
      <c r="W13" s="421">
        <v>12</v>
      </c>
      <c r="X13" s="417">
        <f t="shared" si="12"/>
        <v>131263.10967466666</v>
      </c>
      <c r="Y13" s="417"/>
      <c r="Z13" s="486">
        <f t="shared" si="13"/>
        <v>131263.10967466666</v>
      </c>
      <c r="AA13" s="422">
        <v>94625.782058666678</v>
      </c>
      <c r="AB13" s="422">
        <f t="shared" si="15"/>
        <v>36637.32761599998</v>
      </c>
      <c r="AC13" s="422"/>
      <c r="AD13" s="422"/>
      <c r="AE13" s="422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ht="18.75">
      <c r="A16" s="485">
        <v>13</v>
      </c>
      <c r="B16" s="155" t="s">
        <v>184</v>
      </c>
      <c r="C16" s="424">
        <v>732746.5</v>
      </c>
      <c r="D16" s="418">
        <v>12</v>
      </c>
      <c r="E16" s="417">
        <f t="shared" si="14"/>
        <v>8792958</v>
      </c>
      <c r="F16" s="417"/>
      <c r="G16" s="417">
        <v>425036.64</v>
      </c>
      <c r="H16" s="417"/>
      <c r="I16" s="417">
        <f t="shared" si="0"/>
        <v>8367921.3600000003</v>
      </c>
      <c r="J16" s="417">
        <v>200000</v>
      </c>
      <c r="K16" s="417">
        <v>0.2</v>
      </c>
      <c r="L16" s="417">
        <f t="shared" si="1"/>
        <v>1673584.2720000001</v>
      </c>
      <c r="M16" s="417">
        <f t="shared" si="2"/>
        <v>1873584.2720000001</v>
      </c>
      <c r="N16" s="417">
        <f t="shared" si="3"/>
        <v>2298620.912</v>
      </c>
      <c r="O16" s="417">
        <f t="shared" si="4"/>
        <v>6494337.0879999995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790640.90111999982</v>
      </c>
      <c r="V16" s="417">
        <f t="shared" si="11"/>
        <v>1350640.9011199998</v>
      </c>
      <c r="W16" s="421">
        <v>12</v>
      </c>
      <c r="X16" s="417">
        <f t="shared" si="12"/>
        <v>112553.40842666665</v>
      </c>
      <c r="Y16" s="417"/>
      <c r="Z16" s="486">
        <f t="shared" si="13"/>
        <v>112553.40842666665</v>
      </c>
      <c r="AA16" s="422">
        <v>46666.666666666664</v>
      </c>
      <c r="AB16" s="422">
        <f t="shared" si="15"/>
        <v>65886.741759999975</v>
      </c>
      <c r="AC16" s="422"/>
      <c r="AD16" s="422"/>
      <c r="AE16" s="422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ht="18.75">
      <c r="A19" s="485">
        <v>16</v>
      </c>
      <c r="B19" s="156" t="s">
        <v>291</v>
      </c>
      <c r="C19" s="424">
        <v>636026.91666666674</v>
      </c>
      <c r="D19" s="418">
        <v>12</v>
      </c>
      <c r="E19" s="417">
        <f t="shared" si="14"/>
        <v>7632323.0000000009</v>
      </c>
      <c r="F19" s="417">
        <f>618.53*12</f>
        <v>7422.36</v>
      </c>
      <c r="G19" s="417">
        <v>399385.84</v>
      </c>
      <c r="H19" s="417"/>
      <c r="I19" s="417">
        <f t="shared" si="0"/>
        <v>7225514.8000000007</v>
      </c>
      <c r="J19" s="417">
        <v>200000</v>
      </c>
      <c r="K19" s="417">
        <v>0.2</v>
      </c>
      <c r="L19" s="417">
        <f>I19*K19</f>
        <v>1445102.9600000002</v>
      </c>
      <c r="M19" s="417">
        <f>J19+L19</f>
        <v>1645102.9600000002</v>
      </c>
      <c r="N19" s="417">
        <f t="shared" si="3"/>
        <v>2051911.1600000001</v>
      </c>
      <c r="O19" s="417">
        <f t="shared" si="4"/>
        <v>5580411.8400000008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571298.84160000016</v>
      </c>
      <c r="V19" s="417">
        <f>P19+Q19+R19+S19+T19+U19</f>
        <v>1131298.8416000002</v>
      </c>
      <c r="W19" s="421">
        <v>12</v>
      </c>
      <c r="X19" s="417">
        <f>V19/W19</f>
        <v>94274.903466666685</v>
      </c>
      <c r="Y19" s="417"/>
      <c r="Z19" s="486">
        <f>X19</f>
        <v>94274.903466666685</v>
      </c>
      <c r="AA19" s="422">
        <v>46666.666666666664</v>
      </c>
      <c r="AB19" s="422">
        <f t="shared" si="15"/>
        <v>47608.236800000021</v>
      </c>
      <c r="AC19" s="422"/>
      <c r="AD19" s="422"/>
      <c r="AE19" s="422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ht="18.75">
      <c r="A21" s="485">
        <v>18</v>
      </c>
      <c r="B21" s="157" t="s">
        <v>321</v>
      </c>
      <c r="C21" s="424">
        <v>553512.5</v>
      </c>
      <c r="D21" s="418">
        <v>12</v>
      </c>
      <c r="E21" s="417">
        <f t="shared" si="14"/>
        <v>6642150</v>
      </c>
      <c r="F21" s="417"/>
      <c r="G21" s="417">
        <v>339372</v>
      </c>
      <c r="H21" s="417"/>
      <c r="I21" s="417">
        <f t="shared" si="0"/>
        <v>6302778</v>
      </c>
      <c r="J21" s="417">
        <v>200000</v>
      </c>
      <c r="K21" s="417">
        <v>0.2</v>
      </c>
      <c r="L21" s="417">
        <f>I21*K21</f>
        <v>1260555.6000000001</v>
      </c>
      <c r="M21" s="417">
        <f>J21+L21</f>
        <v>1460555.6</v>
      </c>
      <c r="N21" s="417">
        <f t="shared" si="3"/>
        <v>1799927.6</v>
      </c>
      <c r="O21" s="417">
        <f t="shared" si="4"/>
        <v>4842222.4000000004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394133.37600000005</v>
      </c>
      <c r="V21" s="417">
        <f>P21+Q21+R21+S21+T21+U21</f>
        <v>954133.37600000005</v>
      </c>
      <c r="W21" s="421">
        <v>12</v>
      </c>
      <c r="X21" s="417">
        <f>V21/W21</f>
        <v>79511.114666666675</v>
      </c>
      <c r="Y21" s="417"/>
      <c r="Z21" s="486">
        <f>X21</f>
        <v>79511.114666666675</v>
      </c>
      <c r="AA21" s="422">
        <v>46666.666666666664</v>
      </c>
      <c r="AB21" s="422">
        <f t="shared" si="15"/>
        <v>32844.448000000011</v>
      </c>
      <c r="AC21" s="422"/>
      <c r="AD21" s="422"/>
      <c r="AE21" s="422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ht="18.75">
      <c r="A23" s="485">
        <v>20</v>
      </c>
      <c r="B23" s="157" t="s">
        <v>741</v>
      </c>
      <c r="C23" s="424">
        <v>453029.66666666669</v>
      </c>
      <c r="D23" s="418">
        <v>12</v>
      </c>
      <c r="E23" s="417">
        <f t="shared" si="14"/>
        <v>5436356</v>
      </c>
      <c r="F23" s="417"/>
      <c r="G23" s="417">
        <v>281308.48000000004</v>
      </c>
      <c r="H23" s="417"/>
      <c r="I23" s="417">
        <f t="shared" si="0"/>
        <v>5155047.5199999996</v>
      </c>
      <c r="J23" s="417">
        <v>200000</v>
      </c>
      <c r="K23" s="417">
        <v>0.2</v>
      </c>
      <c r="L23" s="417">
        <f t="shared" si="1"/>
        <v>1031009.504</v>
      </c>
      <c r="M23" s="417">
        <f t="shared" si="2"/>
        <v>1231009.504</v>
      </c>
      <c r="N23" s="417">
        <f t="shared" si="3"/>
        <v>1512317.9839999999</v>
      </c>
      <c r="O23" s="417">
        <f t="shared" si="4"/>
        <v>3924038.0159999998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336000</v>
      </c>
      <c r="U23" s="417">
        <f t="shared" si="10"/>
        <v>173769.12383999996</v>
      </c>
      <c r="V23" s="417">
        <f t="shared" si="11"/>
        <v>733769.12384000001</v>
      </c>
      <c r="W23" s="421">
        <v>12</v>
      </c>
      <c r="X23" s="417">
        <f t="shared" si="12"/>
        <v>61147.426986666665</v>
      </c>
      <c r="Y23" s="417"/>
      <c r="Z23" s="486">
        <f t="shared" si="13"/>
        <v>61147.426986666665</v>
      </c>
      <c r="AA23" s="422">
        <v>42371.815728666676</v>
      </c>
      <c r="AB23" s="422">
        <f t="shared" si="15"/>
        <v>18775.61125799999</v>
      </c>
      <c r="AC23" s="422"/>
      <c r="AD23" s="422"/>
      <c r="AE23" s="422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ht="18.75">
      <c r="A80" s="485">
        <v>68</v>
      </c>
      <c r="B80" s="155" t="s">
        <v>169</v>
      </c>
      <c r="C80" s="417">
        <v>880675.58333333337</v>
      </c>
      <c r="D80" s="418">
        <v>12</v>
      </c>
      <c r="E80" s="417">
        <f>C80*D80</f>
        <v>10568107</v>
      </c>
      <c r="F80" s="417"/>
      <c r="G80" s="487">
        <v>595848.56000000006</v>
      </c>
      <c r="H80" s="419"/>
      <c r="I80" s="417">
        <f t="shared" ref="I80:I89" si="67">E80-F80-G80-H80</f>
        <v>9972258.4399999995</v>
      </c>
      <c r="J80" s="417">
        <v>200000</v>
      </c>
      <c r="K80" s="417">
        <v>0.2</v>
      </c>
      <c r="L80" s="417">
        <f t="shared" ref="L80:L89" si="68">I80*K80</f>
        <v>1994451.6880000001</v>
      </c>
      <c r="M80" s="417">
        <f t="shared" ref="M80:M89" si="69">J80+L80</f>
        <v>2194451.6880000001</v>
      </c>
      <c r="N80" s="417">
        <f t="shared" ref="N80:N89" si="70">F80+G80+H80+M80</f>
        <v>2790300.2480000001</v>
      </c>
      <c r="O80" s="417">
        <f t="shared" ref="O80:O89" si="71">E80-N80</f>
        <v>7777806.7520000003</v>
      </c>
      <c r="P80" s="417">
        <f t="shared" ref="P80:P89" si="72">IF(O80&lt;300000,0.07*O80,21000)</f>
        <v>21000</v>
      </c>
      <c r="Q80" s="417">
        <f t="shared" ref="Q80:Q89" si="73">IF((O80-300000)&lt;0,0,IF((O80-300000)&lt;300000,0.11*(O80-300000),33000))</f>
        <v>33000</v>
      </c>
      <c r="R80" s="417">
        <f t="shared" ref="R80:R89" si="74">IF((O80-600000)&lt;0,0,IF((O80-600000)&lt;500000,0.15*(O80-600000),75000))</f>
        <v>75000</v>
      </c>
      <c r="S80" s="417">
        <f t="shared" ref="S80:S89" si="75">IF((O80-1100000)&lt;0,0,IF((O80-1100000)&lt;500000,0.19*(O80-1100000),95000))</f>
        <v>95000</v>
      </c>
      <c r="T80" s="417">
        <f t="shared" ref="T80:T89" si="76">IF((O80-1600000)&lt;0,0,IF((O80-1600000)&lt;1600000,0.21*(O80-1600000),336000))</f>
        <v>336000</v>
      </c>
      <c r="U80" s="417">
        <f t="shared" ref="U80:U88" si="77">24%*(O80-3200000)</f>
        <v>1098673.62048</v>
      </c>
      <c r="V80" s="417">
        <f t="shared" ref="V80:V89" si="78">P80+Q80+R80+S80+T80+U80</f>
        <v>1658673.62048</v>
      </c>
      <c r="W80" s="421">
        <v>12</v>
      </c>
      <c r="X80" s="417">
        <f t="shared" ref="X80:X89" si="79">V80/W80</f>
        <v>138222.80170666668</v>
      </c>
      <c r="Y80" s="419"/>
      <c r="Z80" s="486">
        <f t="shared" ref="Z80:Z89" si="80">X80</f>
        <v>138222.80170666668</v>
      </c>
      <c r="AA80" s="417">
        <v>99156.939146666671</v>
      </c>
      <c r="AB80" s="422">
        <f>Z80-AA80</f>
        <v>39065.862560000009</v>
      </c>
      <c r="AC80" s="422" t="s">
        <v>169</v>
      </c>
      <c r="AD80" s="422"/>
      <c r="AE80" s="422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852373.16666666663</v>
      </c>
      <c r="D93" s="418">
        <v>12</v>
      </c>
      <c r="E93" s="417">
        <f>C93*D93</f>
        <v>10228478</v>
      </c>
      <c r="F93" s="417">
        <f>'[5]JANUARY 2024'!$V$98*12</f>
        <v>12795.951000000001</v>
      </c>
      <c r="G93" s="487">
        <v>731878.24</v>
      </c>
      <c r="H93" s="419"/>
      <c r="I93" s="417">
        <f>E93-F93-G93-H93</f>
        <v>9483803.8090000004</v>
      </c>
      <c r="J93" s="417">
        <v>200000</v>
      </c>
      <c r="K93" s="417">
        <v>0.2</v>
      </c>
      <c r="L93" s="417">
        <f>I93*K93</f>
        <v>1896760.7618000002</v>
      </c>
      <c r="M93" s="417">
        <f>J93+L93</f>
        <v>2096760.7618000002</v>
      </c>
      <c r="N93" s="417">
        <f>F93+G93+H93+M93</f>
        <v>2841434.9528000001</v>
      </c>
      <c r="O93" s="417">
        <f>E93-N93</f>
        <v>7387043.0471999999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1004890.3313279999</v>
      </c>
      <c r="V93" s="417">
        <f>P93+Q93+R93+S93+T93+U93</f>
        <v>1564890.3313279999</v>
      </c>
      <c r="W93" s="421">
        <v>12</v>
      </c>
      <c r="X93" s="417">
        <f>V93/W93</f>
        <v>130407.52761066666</v>
      </c>
      <c r="Y93" s="419"/>
      <c r="Z93" s="486">
        <f>X93</f>
        <v>130407.52761066666</v>
      </c>
      <c r="AA93" s="422">
        <v>82423.216202666677</v>
      </c>
      <c r="AB93" s="422">
        <f>Z93-AA93</f>
        <v>47984.31140799998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79212127.886105016</v>
      </c>
      <c r="D188" s="510"/>
      <c r="E188" s="512"/>
      <c r="F188" s="508">
        <f>SUM(F6:F187)</f>
        <v>276375.74700000009</v>
      </c>
      <c r="G188" s="508">
        <f>SUM(G6:G187)</f>
        <v>54773768.879999958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135631933.58243379</v>
      </c>
      <c r="W188" s="508"/>
      <c r="X188" s="508">
        <f t="shared" ref="X188" si="137">SUM(X6:X187)</f>
        <v>11302661.131869487</v>
      </c>
      <c r="Y188" s="508"/>
      <c r="Z188" s="508">
        <f t="shared" ref="Z188" si="138">SUM(Z6:Z187)</f>
        <v>11302661.131869487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4564480.7399999965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11302661.131869482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9"/>
  <sheetViews>
    <sheetView workbookViewId="0">
      <selection activeCell="C197" sqref="C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  <c r="F1" s="664"/>
    </row>
    <row r="2" spans="1:7" ht="20.25" customHeight="1">
      <c r="A2" s="664" t="s">
        <v>780</v>
      </c>
      <c r="B2" s="664"/>
      <c r="C2" s="664"/>
      <c r="D2" s="664"/>
      <c r="E2" s="664"/>
      <c r="F2" s="664"/>
    </row>
    <row r="3" spans="1:7" ht="9.75" customHeight="1">
      <c r="A3" s="664"/>
      <c r="B3" s="664"/>
      <c r="C3" s="664"/>
      <c r="D3" s="664"/>
      <c r="E3" s="664"/>
      <c r="F3" s="664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781</v>
      </c>
      <c r="F5" s="172" t="s">
        <v>782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649" t="s">
        <v>234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798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795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796</v>
      </c>
      <c r="C8" s="157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8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9"/>
      <c r="N9" s="559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63"/>
      <c r="Y9" s="219">
        <f>R9-W9</f>
        <v>43256.871616666671</v>
      </c>
    </row>
    <row r="10" spans="1:25" ht="18.75">
      <c r="W10" s="560"/>
      <c r="X10" s="561" t="s">
        <v>511</v>
      </c>
      <c r="Y10" s="562">
        <f>1+(27/31)</f>
        <v>1.870967741935484</v>
      </c>
    </row>
    <row r="11" spans="1:25" ht="18.75">
      <c r="W11" s="563"/>
      <c r="X11" s="564" t="s">
        <v>797</v>
      </c>
      <c r="Y11" s="565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6" t="s">
        <v>800</v>
      </c>
      <c r="B1" s="567"/>
      <c r="C1" s="566"/>
      <c r="D1" s="566"/>
      <c r="E1" s="568"/>
      <c r="F1" s="568"/>
      <c r="G1" s="569"/>
    </row>
    <row r="2" spans="1:10" ht="22.5">
      <c r="A2" s="566" t="s">
        <v>801</v>
      </c>
      <c r="B2" s="566"/>
      <c r="C2" s="566"/>
      <c r="D2" s="566"/>
      <c r="E2" s="568"/>
      <c r="F2" s="568"/>
      <c r="G2" s="569"/>
    </row>
    <row r="3" spans="1:10" ht="22.5">
      <c r="A3" s="566" t="s">
        <v>802</v>
      </c>
      <c r="B3" s="566"/>
      <c r="C3" s="566"/>
      <c r="D3" s="566"/>
      <c r="E3" s="568"/>
      <c r="F3" s="568"/>
      <c r="G3" s="569"/>
    </row>
    <row r="4" spans="1:10" ht="45" customHeight="1">
      <c r="A4" s="570" t="s">
        <v>143</v>
      </c>
      <c r="B4" s="571" t="s">
        <v>803</v>
      </c>
      <c r="C4" s="572" t="s">
        <v>804</v>
      </c>
      <c r="D4" s="573" t="s">
        <v>805</v>
      </c>
      <c r="E4" s="573" t="s">
        <v>806</v>
      </c>
      <c r="F4" s="573" t="s">
        <v>807</v>
      </c>
      <c r="G4" s="573" t="s">
        <v>808</v>
      </c>
      <c r="H4" s="574" t="s">
        <v>15</v>
      </c>
    </row>
    <row r="5" spans="1:10" ht="16.5">
      <c r="A5" s="575" t="s">
        <v>809</v>
      </c>
      <c r="B5" s="576" t="s">
        <v>810</v>
      </c>
      <c r="C5" s="577">
        <v>45323</v>
      </c>
      <c r="D5" s="578">
        <f>0</f>
        <v>0</v>
      </c>
      <c r="E5" s="578">
        <v>0</v>
      </c>
      <c r="F5" s="578">
        <v>0</v>
      </c>
      <c r="G5" s="578">
        <f>0</f>
        <v>0</v>
      </c>
      <c r="H5" s="579">
        <f>D5+E5+F5+G5</f>
        <v>0</v>
      </c>
      <c r="I5" s="65"/>
    </row>
    <row r="6" spans="1:10" ht="16.5">
      <c r="A6" s="575" t="s">
        <v>811</v>
      </c>
      <c r="B6" s="580" t="s">
        <v>812</v>
      </c>
      <c r="C6" s="577">
        <v>45323</v>
      </c>
      <c r="D6" s="581">
        <v>250000</v>
      </c>
      <c r="E6" s="581">
        <v>0</v>
      </c>
      <c r="F6" s="581"/>
      <c r="G6" s="579">
        <f>0</f>
        <v>0</v>
      </c>
      <c r="H6" s="579">
        <f t="shared" ref="H6:H69" si="0">D6+E6+F6+G6</f>
        <v>250000</v>
      </c>
      <c r="I6" s="582"/>
    </row>
    <row r="7" spans="1:10" ht="16.5">
      <c r="A7" s="575" t="s">
        <v>813</v>
      </c>
      <c r="B7" s="576" t="s">
        <v>814</v>
      </c>
      <c r="C7" s="577">
        <v>45323</v>
      </c>
      <c r="D7" s="581">
        <f>0</f>
        <v>0</v>
      </c>
      <c r="E7" s="581">
        <v>0</v>
      </c>
      <c r="F7" s="581">
        <v>0</v>
      </c>
      <c r="G7" s="581">
        <f>0</f>
        <v>0</v>
      </c>
      <c r="H7" s="579">
        <f t="shared" si="0"/>
        <v>0</v>
      </c>
      <c r="I7" s="65"/>
    </row>
    <row r="8" spans="1:10" ht="16.5">
      <c r="A8" s="575" t="s">
        <v>815</v>
      </c>
      <c r="B8" s="576" t="s">
        <v>816</v>
      </c>
      <c r="C8" s="577">
        <v>45323</v>
      </c>
      <c r="D8" s="581">
        <v>200000</v>
      </c>
      <c r="E8" s="581">
        <v>0</v>
      </c>
      <c r="F8" s="581">
        <v>0</v>
      </c>
      <c r="G8" s="581">
        <f>327777.78</f>
        <v>327777.78000000003</v>
      </c>
      <c r="H8" s="579">
        <f t="shared" si="0"/>
        <v>527777.78</v>
      </c>
      <c r="I8" s="582"/>
    </row>
    <row r="9" spans="1:10" ht="16.5">
      <c r="A9" s="575" t="s">
        <v>817</v>
      </c>
      <c r="B9" s="576" t="s">
        <v>818</v>
      </c>
      <c r="C9" s="577">
        <v>45323</v>
      </c>
      <c r="D9" s="581">
        <f>0</f>
        <v>0</v>
      </c>
      <c r="E9" s="581"/>
      <c r="F9" s="581"/>
      <c r="G9" s="581">
        <f>0</f>
        <v>0</v>
      </c>
      <c r="H9" s="579">
        <f t="shared" si="0"/>
        <v>0</v>
      </c>
      <c r="I9" s="65"/>
    </row>
    <row r="10" spans="1:10" ht="16.5">
      <c r="A10" s="575" t="s">
        <v>819</v>
      </c>
      <c r="B10" s="576" t="s">
        <v>820</v>
      </c>
      <c r="C10" s="577">
        <v>45323</v>
      </c>
      <c r="D10" s="581">
        <f>0</f>
        <v>0</v>
      </c>
      <c r="E10" s="581">
        <v>0</v>
      </c>
      <c r="F10" s="581">
        <v>0</v>
      </c>
      <c r="G10" s="581">
        <f>0</f>
        <v>0</v>
      </c>
      <c r="H10" s="579">
        <f t="shared" si="0"/>
        <v>0</v>
      </c>
      <c r="I10" s="65"/>
      <c r="J10" s="66"/>
    </row>
    <row r="11" spans="1:10" ht="16.5">
      <c r="A11" s="575" t="s">
        <v>821</v>
      </c>
      <c r="B11" s="576" t="s">
        <v>822</v>
      </c>
      <c r="C11" s="577">
        <v>45323</v>
      </c>
      <c r="D11" s="581">
        <v>0</v>
      </c>
      <c r="E11" s="581">
        <v>0</v>
      </c>
      <c r="F11" s="581">
        <v>0</v>
      </c>
      <c r="G11" s="581">
        <v>0</v>
      </c>
      <c r="H11" s="579">
        <f t="shared" si="0"/>
        <v>0</v>
      </c>
      <c r="I11" s="583"/>
    </row>
    <row r="12" spans="1:10" ht="16.5">
      <c r="A12" s="575" t="s">
        <v>823</v>
      </c>
      <c r="B12" s="576" t="s">
        <v>824</v>
      </c>
      <c r="C12" s="577">
        <v>45323</v>
      </c>
      <c r="D12" s="581">
        <v>50000</v>
      </c>
      <c r="E12" s="581">
        <v>0</v>
      </c>
      <c r="F12" s="581">
        <v>0</v>
      </c>
      <c r="G12" s="581">
        <f>385000</f>
        <v>385000</v>
      </c>
      <c r="H12" s="579">
        <f t="shared" si="0"/>
        <v>435000</v>
      </c>
      <c r="I12" s="582"/>
    </row>
    <row r="13" spans="1:10" ht="16.5">
      <c r="A13" s="575" t="s">
        <v>825</v>
      </c>
      <c r="B13" s="576" t="s">
        <v>826</v>
      </c>
      <c r="C13" s="577">
        <v>45323</v>
      </c>
      <c r="D13" s="581">
        <v>0</v>
      </c>
      <c r="E13" s="581">
        <v>0</v>
      </c>
      <c r="F13" s="581">
        <v>0</v>
      </c>
      <c r="G13" s="581">
        <v>0</v>
      </c>
      <c r="H13" s="579">
        <f t="shared" si="0"/>
        <v>0</v>
      </c>
      <c r="I13" s="583"/>
    </row>
    <row r="14" spans="1:10" ht="16.5">
      <c r="A14" s="575" t="s">
        <v>827</v>
      </c>
      <c r="B14" s="576" t="s">
        <v>828</v>
      </c>
      <c r="C14" s="577">
        <v>45323</v>
      </c>
      <c r="D14" s="581">
        <f>0</f>
        <v>0</v>
      </c>
      <c r="E14" s="581">
        <v>0</v>
      </c>
      <c r="F14" s="581">
        <v>0</v>
      </c>
      <c r="G14" s="581">
        <f>0</f>
        <v>0</v>
      </c>
      <c r="H14" s="579">
        <f t="shared" si="0"/>
        <v>0</v>
      </c>
      <c r="I14" s="65"/>
    </row>
    <row r="15" spans="1:10" ht="16.5">
      <c r="A15" s="575" t="s">
        <v>829</v>
      </c>
      <c r="B15" s="576" t="s">
        <v>830</v>
      </c>
      <c r="C15" s="577">
        <v>45323</v>
      </c>
      <c r="D15" s="581">
        <v>30000</v>
      </c>
      <c r="E15" s="581">
        <v>0</v>
      </c>
      <c r="F15" s="581">
        <v>0</v>
      </c>
      <c r="G15" s="581">
        <v>91666.67</v>
      </c>
      <c r="H15" s="579">
        <f t="shared" si="0"/>
        <v>121666.67</v>
      </c>
      <c r="I15" s="582"/>
    </row>
    <row r="16" spans="1:10" ht="16.5">
      <c r="A16" s="575" t="s">
        <v>831</v>
      </c>
      <c r="B16" s="576" t="s">
        <v>153</v>
      </c>
      <c r="C16" s="577">
        <v>45323</v>
      </c>
      <c r="D16" s="581">
        <f>100000</f>
        <v>100000</v>
      </c>
      <c r="E16" s="581">
        <v>0</v>
      </c>
      <c r="F16" s="581">
        <v>0</v>
      </c>
      <c r="G16" s="581">
        <f>0</f>
        <v>0</v>
      </c>
      <c r="H16" s="579">
        <f t="shared" si="0"/>
        <v>100000</v>
      </c>
      <c r="I16" s="582"/>
    </row>
    <row r="17" spans="1:9" ht="16.5">
      <c r="A17" s="575" t="s">
        <v>832</v>
      </c>
      <c r="B17" s="576" t="s">
        <v>833</v>
      </c>
      <c r="C17" s="577">
        <v>45323</v>
      </c>
      <c r="D17" s="581">
        <f>0</f>
        <v>0</v>
      </c>
      <c r="E17" s="581">
        <v>0</v>
      </c>
      <c r="F17" s="581">
        <v>0</v>
      </c>
      <c r="G17" s="581">
        <f>0</f>
        <v>0</v>
      </c>
      <c r="H17" s="579">
        <f t="shared" si="0"/>
        <v>0</v>
      </c>
      <c r="I17" s="65"/>
    </row>
    <row r="18" spans="1:9" ht="16.5">
      <c r="A18" s="575" t="s">
        <v>834</v>
      </c>
      <c r="B18" s="576" t="s">
        <v>835</v>
      </c>
      <c r="C18" s="577">
        <v>45323</v>
      </c>
      <c r="D18" s="581">
        <v>0</v>
      </c>
      <c r="E18" s="581">
        <v>0</v>
      </c>
      <c r="F18" s="581">
        <v>0</v>
      </c>
      <c r="G18" s="581">
        <v>0</v>
      </c>
      <c r="H18" s="579">
        <f t="shared" si="0"/>
        <v>0</v>
      </c>
      <c r="I18" s="31"/>
    </row>
    <row r="19" spans="1:9" ht="16.5">
      <c r="A19" s="575" t="s">
        <v>836</v>
      </c>
      <c r="B19" s="576" t="s">
        <v>837</v>
      </c>
      <c r="C19" s="577">
        <v>45323</v>
      </c>
      <c r="D19" s="581">
        <f>100000</f>
        <v>100000</v>
      </c>
      <c r="E19" s="581">
        <v>0</v>
      </c>
      <c r="F19" s="581">
        <v>0</v>
      </c>
      <c r="G19" s="581">
        <f>0</f>
        <v>0</v>
      </c>
      <c r="H19" s="579">
        <f t="shared" si="0"/>
        <v>100000</v>
      </c>
      <c r="I19" s="584"/>
    </row>
    <row r="20" spans="1:9" ht="16.5">
      <c r="A20" s="575" t="s">
        <v>838</v>
      </c>
      <c r="B20" s="576" t="s">
        <v>839</v>
      </c>
      <c r="C20" s="577">
        <v>45323</v>
      </c>
      <c r="D20" s="581">
        <f>50000</f>
        <v>50000</v>
      </c>
      <c r="E20" s="581">
        <v>0</v>
      </c>
      <c r="F20" s="581">
        <v>0</v>
      </c>
      <c r="G20" s="579">
        <f>200000</f>
        <v>200000</v>
      </c>
      <c r="H20" s="579">
        <f t="shared" si="0"/>
        <v>250000</v>
      </c>
      <c r="I20" s="585"/>
    </row>
    <row r="21" spans="1:9" ht="16.5">
      <c r="A21" s="575" t="s">
        <v>840</v>
      </c>
      <c r="B21" s="576" t="s">
        <v>841</v>
      </c>
      <c r="C21" s="577">
        <v>45323</v>
      </c>
      <c r="D21" s="578">
        <f>0</f>
        <v>0</v>
      </c>
      <c r="E21" s="578">
        <v>0</v>
      </c>
      <c r="F21" s="578">
        <v>0</v>
      </c>
      <c r="G21" s="586">
        <f>0</f>
        <v>0</v>
      </c>
      <c r="H21" s="579">
        <f t="shared" si="0"/>
        <v>0</v>
      </c>
      <c r="I21" s="587"/>
    </row>
    <row r="22" spans="1:9" ht="16.5">
      <c r="A22" s="575" t="s">
        <v>842</v>
      </c>
      <c r="B22" s="576" t="s">
        <v>843</v>
      </c>
      <c r="C22" s="577">
        <v>45323</v>
      </c>
      <c r="D22" s="581">
        <v>50000</v>
      </c>
      <c r="E22" s="581">
        <v>0</v>
      </c>
      <c r="F22" s="581">
        <v>0</v>
      </c>
      <c r="G22" s="581">
        <f>0</f>
        <v>0</v>
      </c>
      <c r="H22" s="579">
        <f t="shared" si="0"/>
        <v>50000</v>
      </c>
      <c r="I22" s="585"/>
    </row>
    <row r="23" spans="1:9" ht="16.5">
      <c r="A23" s="575" t="s">
        <v>844</v>
      </c>
      <c r="B23" s="576" t="s">
        <v>845</v>
      </c>
      <c r="C23" s="577">
        <v>45323</v>
      </c>
      <c r="D23" s="581">
        <v>0</v>
      </c>
      <c r="E23" s="581">
        <v>0</v>
      </c>
      <c r="F23" s="581">
        <v>0</v>
      </c>
      <c r="G23" s="581">
        <v>0</v>
      </c>
      <c r="H23" s="579">
        <f t="shared" si="0"/>
        <v>0</v>
      </c>
    </row>
    <row r="24" spans="1:9" ht="16.5">
      <c r="A24" s="575" t="s">
        <v>846</v>
      </c>
      <c r="B24" s="576" t="s">
        <v>178</v>
      </c>
      <c r="C24" s="577">
        <v>45323</v>
      </c>
      <c r="D24" s="578">
        <f>20000</f>
        <v>20000</v>
      </c>
      <c r="E24" s="578">
        <v>0</v>
      </c>
      <c r="F24" s="578">
        <f>0</f>
        <v>0</v>
      </c>
      <c r="G24" s="578">
        <v>75694.44</v>
      </c>
      <c r="H24" s="579">
        <f t="shared" si="0"/>
        <v>95694.44</v>
      </c>
      <c r="I24" s="582"/>
    </row>
    <row r="25" spans="1:9" ht="16.5">
      <c r="A25" s="575" t="s">
        <v>847</v>
      </c>
      <c r="B25" s="576" t="s">
        <v>848</v>
      </c>
      <c r="C25" s="577">
        <v>45323</v>
      </c>
      <c r="D25" s="581">
        <v>0</v>
      </c>
      <c r="E25" s="581">
        <v>0</v>
      </c>
      <c r="F25" s="581">
        <v>0</v>
      </c>
      <c r="G25" s="581">
        <v>0</v>
      </c>
      <c r="H25" s="579">
        <f t="shared" si="0"/>
        <v>0</v>
      </c>
      <c r="I25" s="65"/>
    </row>
    <row r="26" spans="1:9" ht="16.5">
      <c r="A26" s="575" t="s">
        <v>849</v>
      </c>
      <c r="B26" s="576" t="s">
        <v>850</v>
      </c>
      <c r="C26" s="577">
        <v>45323</v>
      </c>
      <c r="D26" s="581">
        <v>10000</v>
      </c>
      <c r="E26" s="581">
        <v>0</v>
      </c>
      <c r="F26" s="581">
        <v>0</v>
      </c>
      <c r="G26" s="581">
        <f>65885.83</f>
        <v>65885.83</v>
      </c>
      <c r="H26" s="579">
        <f t="shared" si="0"/>
        <v>75885.83</v>
      </c>
      <c r="I26" s="582"/>
    </row>
    <row r="27" spans="1:9" ht="16.5">
      <c r="A27" s="575" t="s">
        <v>851</v>
      </c>
      <c r="B27" s="576" t="s">
        <v>852</v>
      </c>
      <c r="C27" s="577">
        <v>45323</v>
      </c>
      <c r="D27" s="581">
        <v>30000</v>
      </c>
      <c r="E27" s="581">
        <v>0</v>
      </c>
      <c r="F27" s="581">
        <v>10000</v>
      </c>
      <c r="G27" s="581">
        <f>238888.89</f>
        <v>238888.89</v>
      </c>
      <c r="H27" s="579">
        <f t="shared" si="0"/>
        <v>278888.89</v>
      </c>
      <c r="I27" s="582"/>
    </row>
    <row r="28" spans="1:9" ht="16.5">
      <c r="A28" s="575" t="s">
        <v>853</v>
      </c>
      <c r="B28" s="576" t="s">
        <v>854</v>
      </c>
      <c r="C28" s="577">
        <v>45323</v>
      </c>
      <c r="D28" s="581">
        <v>30000</v>
      </c>
      <c r="E28" s="581">
        <v>0</v>
      </c>
      <c r="F28" s="581">
        <v>0</v>
      </c>
      <c r="G28" s="581">
        <f>61111.11</f>
        <v>61111.11</v>
      </c>
      <c r="H28" s="579">
        <f t="shared" si="0"/>
        <v>91111.11</v>
      </c>
      <c r="I28" s="582"/>
    </row>
    <row r="29" spans="1:9" ht="18">
      <c r="A29" s="575" t="s">
        <v>855</v>
      </c>
      <c r="B29" s="576" t="s">
        <v>856</v>
      </c>
      <c r="C29" s="577">
        <v>45323</v>
      </c>
      <c r="D29" s="588">
        <f>15000</f>
        <v>15000</v>
      </c>
      <c r="E29" s="588"/>
      <c r="F29" s="588"/>
      <c r="G29" s="589">
        <f>30000</f>
        <v>30000</v>
      </c>
      <c r="H29" s="579">
        <f t="shared" si="0"/>
        <v>45000</v>
      </c>
      <c r="I29" s="582"/>
    </row>
    <row r="30" spans="1:9" ht="16.5">
      <c r="A30" s="575" t="s">
        <v>857</v>
      </c>
      <c r="B30" s="576" t="s">
        <v>858</v>
      </c>
      <c r="C30" s="577">
        <v>45323</v>
      </c>
      <c r="D30" s="581">
        <v>20000</v>
      </c>
      <c r="E30" s="581">
        <v>0</v>
      </c>
      <c r="F30" s="581">
        <v>0</v>
      </c>
      <c r="G30" s="581">
        <f>163103.59</f>
        <v>163103.59</v>
      </c>
      <c r="H30" s="579">
        <f t="shared" si="0"/>
        <v>183103.59</v>
      </c>
      <c r="I30" s="582"/>
    </row>
    <row r="31" spans="1:9" ht="16.5">
      <c r="A31" s="575" t="s">
        <v>859</v>
      </c>
      <c r="B31" s="576" t="s">
        <v>26</v>
      </c>
      <c r="C31" s="577">
        <v>45323</v>
      </c>
      <c r="D31" s="581">
        <v>20000</v>
      </c>
      <c r="E31" s="581">
        <v>0</v>
      </c>
      <c r="F31" s="581">
        <v>0</v>
      </c>
      <c r="G31" s="581">
        <v>96664.65</v>
      </c>
      <c r="H31" s="579">
        <f t="shared" si="0"/>
        <v>116664.65</v>
      </c>
      <c r="I31" s="582"/>
    </row>
    <row r="32" spans="1:9" ht="16.5">
      <c r="A32" s="575" t="s">
        <v>860</v>
      </c>
      <c r="B32" s="576" t="s">
        <v>861</v>
      </c>
      <c r="C32" s="577">
        <v>45323</v>
      </c>
      <c r="D32" s="581">
        <v>20000</v>
      </c>
      <c r="E32" s="581">
        <v>0</v>
      </c>
      <c r="F32" s="581">
        <v>0</v>
      </c>
      <c r="G32" s="590"/>
      <c r="H32" s="579">
        <f t="shared" si="0"/>
        <v>20000</v>
      </c>
      <c r="I32" s="582"/>
    </row>
    <row r="33" spans="1:9" ht="16.5">
      <c r="A33" s="575" t="s">
        <v>862</v>
      </c>
      <c r="B33" s="576" t="s">
        <v>863</v>
      </c>
      <c r="C33" s="577">
        <v>45323</v>
      </c>
      <c r="D33" s="586"/>
      <c r="E33" s="586"/>
      <c r="F33" s="586"/>
      <c r="G33" s="586"/>
      <c r="H33" s="579">
        <f t="shared" si="0"/>
        <v>0</v>
      </c>
      <c r="I33" s="65"/>
    </row>
    <row r="34" spans="1:9" ht="16.5">
      <c r="A34" s="575" t="s">
        <v>864</v>
      </c>
      <c r="B34" s="576" t="s">
        <v>865</v>
      </c>
      <c r="C34" s="577">
        <v>45323</v>
      </c>
      <c r="D34" s="581">
        <v>20000</v>
      </c>
      <c r="E34" s="581">
        <v>0</v>
      </c>
      <c r="F34" s="588">
        <f>5000+5000</f>
        <v>10000</v>
      </c>
      <c r="G34" s="581">
        <f>47916.66</f>
        <v>47916.66</v>
      </c>
      <c r="H34" s="579">
        <f t="shared" si="0"/>
        <v>77916.66</v>
      </c>
      <c r="I34" s="582"/>
    </row>
    <row r="35" spans="1:9" ht="16.5">
      <c r="A35" s="575" t="s">
        <v>866</v>
      </c>
      <c r="B35" s="576" t="s">
        <v>867</v>
      </c>
      <c r="C35" s="577">
        <v>45323</v>
      </c>
      <c r="D35" s="581">
        <v>0</v>
      </c>
      <c r="E35" s="581">
        <v>0</v>
      </c>
      <c r="F35" s="581">
        <v>0</v>
      </c>
      <c r="G35" s="581">
        <v>0</v>
      </c>
      <c r="H35" s="579">
        <f t="shared" si="0"/>
        <v>0</v>
      </c>
      <c r="I35" s="65"/>
    </row>
    <row r="36" spans="1:9" ht="16.5">
      <c r="A36" s="575" t="s">
        <v>868</v>
      </c>
      <c r="B36" s="576" t="s">
        <v>869</v>
      </c>
      <c r="C36" s="577">
        <v>45323</v>
      </c>
      <c r="D36" s="581">
        <f>20000</f>
        <v>20000</v>
      </c>
      <c r="E36" s="581">
        <v>0</v>
      </c>
      <c r="F36" s="581">
        <v>0</v>
      </c>
      <c r="G36" s="581">
        <f>43750</f>
        <v>43750</v>
      </c>
      <c r="H36" s="579">
        <f t="shared" si="0"/>
        <v>63750</v>
      </c>
      <c r="I36" s="582"/>
    </row>
    <row r="37" spans="1:9" ht="16.5">
      <c r="A37" s="575" t="s">
        <v>870</v>
      </c>
      <c r="B37" s="576" t="s">
        <v>871</v>
      </c>
      <c r="C37" s="577">
        <v>45323</v>
      </c>
      <c r="D37" s="581">
        <f>10000</f>
        <v>10000</v>
      </c>
      <c r="E37" s="581">
        <f>0</f>
        <v>0</v>
      </c>
      <c r="F37" s="581">
        <f>0</f>
        <v>0</v>
      </c>
      <c r="G37" s="581">
        <f>90000+25000</f>
        <v>115000</v>
      </c>
      <c r="H37" s="579">
        <f t="shared" si="0"/>
        <v>125000</v>
      </c>
      <c r="I37" s="582"/>
    </row>
    <row r="38" spans="1:9" ht="16.5">
      <c r="A38" s="575" t="s">
        <v>872</v>
      </c>
      <c r="B38" s="576" t="s">
        <v>6</v>
      </c>
      <c r="C38" s="577">
        <v>45323</v>
      </c>
      <c r="D38" s="581">
        <f>0</f>
        <v>0</v>
      </c>
      <c r="E38" s="581">
        <v>0</v>
      </c>
      <c r="F38" s="581">
        <v>0</v>
      </c>
      <c r="G38" s="581">
        <f>50000</f>
        <v>50000</v>
      </c>
      <c r="H38" s="579">
        <f t="shared" si="0"/>
        <v>50000</v>
      </c>
      <c r="I38" s="65"/>
    </row>
    <row r="39" spans="1:9" ht="16.5">
      <c r="A39" s="575" t="s">
        <v>873</v>
      </c>
      <c r="B39" s="576" t="s">
        <v>111</v>
      </c>
      <c r="C39" s="577">
        <v>45323</v>
      </c>
      <c r="D39" s="581">
        <f>10000</f>
        <v>10000</v>
      </c>
      <c r="E39" s="581">
        <v>0</v>
      </c>
      <c r="F39" s="581">
        <v>0</v>
      </c>
      <c r="G39" s="581">
        <f>200000</f>
        <v>200000</v>
      </c>
      <c r="H39" s="579">
        <f t="shared" si="0"/>
        <v>210000</v>
      </c>
      <c r="I39" s="582"/>
    </row>
    <row r="40" spans="1:9" ht="16.5">
      <c r="A40" s="575" t="s">
        <v>874</v>
      </c>
      <c r="B40" s="576" t="s">
        <v>134</v>
      </c>
      <c r="C40" s="577">
        <v>45323</v>
      </c>
      <c r="D40" s="581">
        <v>35000</v>
      </c>
      <c r="E40" s="581">
        <v>0</v>
      </c>
      <c r="F40" s="581">
        <f>25000</f>
        <v>25000</v>
      </c>
      <c r="G40" s="581">
        <f>55000</f>
        <v>55000</v>
      </c>
      <c r="H40" s="579">
        <f t="shared" si="0"/>
        <v>115000</v>
      </c>
      <c r="I40" s="582"/>
    </row>
    <row r="41" spans="1:9" ht="16.5">
      <c r="A41" s="575" t="s">
        <v>875</v>
      </c>
      <c r="B41" s="576" t="s">
        <v>53</v>
      </c>
      <c r="C41" s="577">
        <v>45323</v>
      </c>
      <c r="D41" s="581">
        <v>10000</v>
      </c>
      <c r="E41" s="581">
        <v>0</v>
      </c>
      <c r="F41" s="581">
        <v>0</v>
      </c>
      <c r="G41" s="581">
        <f>100000</f>
        <v>100000</v>
      </c>
      <c r="H41" s="579">
        <f t="shared" si="0"/>
        <v>110000</v>
      </c>
      <c r="I41" s="582"/>
    </row>
    <row r="42" spans="1:9" ht="16.5">
      <c r="A42" s="575" t="s">
        <v>876</v>
      </c>
      <c r="B42" s="576" t="s">
        <v>877</v>
      </c>
      <c r="C42" s="577">
        <v>45323</v>
      </c>
      <c r="D42" s="581">
        <f>10000</f>
        <v>10000</v>
      </c>
      <c r="E42" s="586"/>
      <c r="F42" s="586"/>
      <c r="G42" s="586"/>
      <c r="H42" s="579">
        <f t="shared" si="0"/>
        <v>10000</v>
      </c>
      <c r="I42" s="582"/>
    </row>
    <row r="43" spans="1:9" ht="16.5">
      <c r="A43" s="575" t="s">
        <v>878</v>
      </c>
      <c r="B43" s="576" t="s">
        <v>132</v>
      </c>
      <c r="C43" s="577">
        <v>45323</v>
      </c>
      <c r="D43" s="579">
        <v>10000</v>
      </c>
      <c r="E43" s="591">
        <v>0</v>
      </c>
      <c r="F43" s="588">
        <f>5000+5000</f>
        <v>10000</v>
      </c>
      <c r="G43" s="579">
        <f>22361.11</f>
        <v>22361.11</v>
      </c>
      <c r="H43" s="579">
        <f t="shared" si="0"/>
        <v>42361.11</v>
      </c>
      <c r="I43" s="582"/>
    </row>
    <row r="44" spans="1:9" ht="16.5">
      <c r="A44" s="575" t="s">
        <v>879</v>
      </c>
      <c r="B44" s="576" t="s">
        <v>880</v>
      </c>
      <c r="C44" s="577">
        <v>45323</v>
      </c>
      <c r="D44" s="579">
        <f>10000</f>
        <v>10000</v>
      </c>
      <c r="E44" s="591">
        <v>0</v>
      </c>
      <c r="F44" s="588">
        <f>5000+5000</f>
        <v>10000</v>
      </c>
      <c r="G44" s="579">
        <f>20000</f>
        <v>20000</v>
      </c>
      <c r="H44" s="579">
        <f t="shared" si="0"/>
        <v>40000</v>
      </c>
      <c r="I44" s="582"/>
    </row>
    <row r="45" spans="1:9" ht="16.5">
      <c r="A45" s="575" t="s">
        <v>881</v>
      </c>
      <c r="B45" s="576" t="s">
        <v>882</v>
      </c>
      <c r="C45" s="577">
        <v>45323</v>
      </c>
      <c r="D45" s="581">
        <f>5000</f>
        <v>5000</v>
      </c>
      <c r="E45" s="581">
        <v>0</v>
      </c>
      <c r="F45" s="588">
        <f>5000+5000</f>
        <v>10000</v>
      </c>
      <c r="G45" s="581">
        <f>35704.84</f>
        <v>35704.839999999997</v>
      </c>
      <c r="H45" s="579">
        <f t="shared" si="0"/>
        <v>50704.84</v>
      </c>
      <c r="I45" s="582"/>
    </row>
    <row r="46" spans="1:9" ht="16.5">
      <c r="A46" s="575" t="s">
        <v>883</v>
      </c>
      <c r="B46" s="576" t="s">
        <v>445</v>
      </c>
      <c r="C46" s="577">
        <v>45323</v>
      </c>
      <c r="D46" s="581">
        <v>10000</v>
      </c>
      <c r="E46" s="581">
        <v>0</v>
      </c>
      <c r="F46" s="581">
        <f>5000+5000</f>
        <v>10000</v>
      </c>
      <c r="G46" s="581">
        <f>32000</f>
        <v>32000</v>
      </c>
      <c r="H46" s="579">
        <f t="shared" si="0"/>
        <v>52000</v>
      </c>
      <c r="I46" s="582"/>
    </row>
    <row r="47" spans="1:9" ht="16.5">
      <c r="A47" s="575" t="s">
        <v>884</v>
      </c>
      <c r="B47" s="576" t="s">
        <v>885</v>
      </c>
      <c r="C47" s="577">
        <v>45323</v>
      </c>
      <c r="D47" s="581">
        <v>0</v>
      </c>
      <c r="E47" s="581">
        <v>0</v>
      </c>
      <c r="F47" s="581">
        <v>0</v>
      </c>
      <c r="G47" s="581">
        <v>0</v>
      </c>
      <c r="H47" s="579">
        <f t="shared" si="0"/>
        <v>0</v>
      </c>
      <c r="I47" s="65"/>
    </row>
    <row r="48" spans="1:9" ht="16.5">
      <c r="A48" s="575" t="s">
        <v>886</v>
      </c>
      <c r="B48" s="576" t="s">
        <v>25</v>
      </c>
      <c r="C48" s="577">
        <v>45323</v>
      </c>
      <c r="D48" s="581">
        <f>0</f>
        <v>0</v>
      </c>
      <c r="E48" s="581">
        <v>0</v>
      </c>
      <c r="F48" s="581">
        <v>0</v>
      </c>
      <c r="G48" s="581">
        <f>0</f>
        <v>0</v>
      </c>
      <c r="H48" s="579">
        <f t="shared" si="0"/>
        <v>0</v>
      </c>
      <c r="I48" s="65"/>
    </row>
    <row r="49" spans="1:11" ht="16.5">
      <c r="A49" s="575" t="s">
        <v>887</v>
      </c>
      <c r="B49" s="576" t="s">
        <v>24</v>
      </c>
      <c r="C49" s="577">
        <v>45323</v>
      </c>
      <c r="D49" s="581">
        <f>0</f>
        <v>0</v>
      </c>
      <c r="E49" s="581">
        <v>0</v>
      </c>
      <c r="F49" s="588">
        <f>0</f>
        <v>0</v>
      </c>
      <c r="G49" s="581">
        <f>0</f>
        <v>0</v>
      </c>
      <c r="H49" s="579">
        <f t="shared" si="0"/>
        <v>0</v>
      </c>
      <c r="I49" s="65"/>
    </row>
    <row r="50" spans="1:11" ht="16.5">
      <c r="A50" s="575" t="s">
        <v>888</v>
      </c>
      <c r="B50" s="576" t="s">
        <v>23</v>
      </c>
      <c r="C50" s="577">
        <v>45323</v>
      </c>
      <c r="D50" s="581">
        <v>10000</v>
      </c>
      <c r="E50" s="581">
        <v>0</v>
      </c>
      <c r="F50" s="581">
        <f>5000+5000</f>
        <v>10000</v>
      </c>
      <c r="G50" s="592">
        <f>0</f>
        <v>0</v>
      </c>
      <c r="H50" s="579">
        <f t="shared" si="0"/>
        <v>20000</v>
      </c>
      <c r="I50" s="582"/>
    </row>
    <row r="51" spans="1:11" ht="16.5">
      <c r="A51" s="575" t="s">
        <v>889</v>
      </c>
      <c r="B51" s="576" t="s">
        <v>890</v>
      </c>
      <c r="C51" s="577">
        <v>45323</v>
      </c>
      <c r="D51" s="579">
        <v>20000</v>
      </c>
      <c r="E51" s="593">
        <f>0</f>
        <v>0</v>
      </c>
      <c r="F51" s="581">
        <f>5000+5000</f>
        <v>10000</v>
      </c>
      <c r="G51" s="581">
        <f>26430.62</f>
        <v>26430.62</v>
      </c>
      <c r="H51" s="579">
        <f t="shared" si="0"/>
        <v>56430.619999999995</v>
      </c>
      <c r="I51" s="582"/>
      <c r="J51" s="31"/>
    </row>
    <row r="52" spans="1:11" ht="16.5">
      <c r="A52" s="575" t="s">
        <v>891</v>
      </c>
      <c r="B52" s="576" t="s">
        <v>166</v>
      </c>
      <c r="C52" s="577">
        <v>45323</v>
      </c>
      <c r="D52" s="579">
        <f>3000</f>
        <v>3000</v>
      </c>
      <c r="E52" s="579"/>
      <c r="F52" s="581">
        <f>5000+5000</f>
        <v>10000</v>
      </c>
      <c r="G52" s="579">
        <f>44000</f>
        <v>44000</v>
      </c>
      <c r="H52" s="579">
        <f t="shared" si="0"/>
        <v>57000</v>
      </c>
      <c r="I52" s="582"/>
    </row>
    <row r="53" spans="1:11" ht="16.5">
      <c r="A53" s="575" t="s">
        <v>892</v>
      </c>
      <c r="B53" s="576" t="s">
        <v>40</v>
      </c>
      <c r="C53" s="577">
        <v>45323</v>
      </c>
      <c r="D53" s="581">
        <v>10000</v>
      </c>
      <c r="E53" s="581">
        <v>0</v>
      </c>
      <c r="F53" s="581">
        <f>5000+5000</f>
        <v>10000</v>
      </c>
      <c r="G53" s="581">
        <f>15112.49</f>
        <v>15112.49</v>
      </c>
      <c r="H53" s="579">
        <f t="shared" si="0"/>
        <v>35112.49</v>
      </c>
      <c r="I53" s="582"/>
      <c r="K53" s="66"/>
    </row>
    <row r="54" spans="1:11" ht="16.5">
      <c r="A54" s="575" t="s">
        <v>893</v>
      </c>
      <c r="B54" s="576" t="s">
        <v>894</v>
      </c>
      <c r="C54" s="577">
        <v>45323</v>
      </c>
      <c r="D54" s="581">
        <v>20000</v>
      </c>
      <c r="E54" s="581">
        <v>0</v>
      </c>
      <c r="F54" s="581">
        <f>5000+5000</f>
        <v>10000</v>
      </c>
      <c r="G54" s="581">
        <f>25555.56</f>
        <v>25555.56</v>
      </c>
      <c r="H54" s="579">
        <f t="shared" si="0"/>
        <v>55555.56</v>
      </c>
      <c r="I54" s="582"/>
    </row>
    <row r="55" spans="1:11" ht="16.5">
      <c r="A55" s="594" t="s">
        <v>895</v>
      </c>
      <c r="B55" s="595" t="s">
        <v>896</v>
      </c>
      <c r="C55" s="577">
        <v>45323</v>
      </c>
      <c r="D55" s="596">
        <v>0</v>
      </c>
      <c r="E55" s="596">
        <v>0</v>
      </c>
      <c r="F55" s="596">
        <v>0</v>
      </c>
      <c r="G55" s="596">
        <v>0</v>
      </c>
      <c r="H55" s="579">
        <f t="shared" si="0"/>
        <v>0</v>
      </c>
      <c r="I55" s="65"/>
      <c r="K55" s="66"/>
    </row>
    <row r="56" spans="1:11" ht="16.5">
      <c r="A56" s="575" t="s">
        <v>897</v>
      </c>
      <c r="B56" s="576" t="s">
        <v>21</v>
      </c>
      <c r="C56" s="577">
        <v>45323</v>
      </c>
      <c r="D56" s="578">
        <v>100000</v>
      </c>
      <c r="E56" s="578">
        <v>0</v>
      </c>
      <c r="F56" s="578">
        <v>0</v>
      </c>
      <c r="G56" s="578">
        <v>208526.23499999999</v>
      </c>
      <c r="H56" s="579">
        <f t="shared" si="0"/>
        <v>308526.23499999999</v>
      </c>
      <c r="I56" s="582"/>
    </row>
    <row r="57" spans="1:11" ht="16.5">
      <c r="A57" s="575" t="s">
        <v>898</v>
      </c>
      <c r="B57" s="576" t="s">
        <v>899</v>
      </c>
      <c r="C57" s="577">
        <v>45323</v>
      </c>
      <c r="D57" s="579"/>
      <c r="E57" s="579">
        <v>0</v>
      </c>
      <c r="F57" s="579">
        <v>0</v>
      </c>
      <c r="G57" s="579">
        <v>0</v>
      </c>
      <c r="H57" s="579">
        <f t="shared" si="0"/>
        <v>0</v>
      </c>
      <c r="I57" s="65"/>
    </row>
    <row r="58" spans="1:11" ht="16.5">
      <c r="A58" s="575" t="s">
        <v>900</v>
      </c>
      <c r="B58" s="576" t="s">
        <v>901</v>
      </c>
      <c r="C58" s="577">
        <v>45323</v>
      </c>
      <c r="D58" s="579">
        <f>80000</f>
        <v>80000</v>
      </c>
      <c r="E58" s="579">
        <v>0</v>
      </c>
      <c r="F58" s="579">
        <v>0</v>
      </c>
      <c r="G58" s="581">
        <f>230499.8</f>
        <v>230499.8</v>
      </c>
      <c r="H58" s="579">
        <f t="shared" si="0"/>
        <v>310499.8</v>
      </c>
      <c r="I58" s="582"/>
      <c r="J58" s="65"/>
    </row>
    <row r="59" spans="1:11" ht="16.5">
      <c r="A59" s="594" t="s">
        <v>902</v>
      </c>
      <c r="B59" s="595" t="s">
        <v>903</v>
      </c>
      <c r="C59" s="577">
        <v>45323</v>
      </c>
      <c r="D59" s="596">
        <v>0</v>
      </c>
      <c r="E59" s="596">
        <v>0</v>
      </c>
      <c r="F59" s="596">
        <v>0</v>
      </c>
      <c r="G59" s="596">
        <v>0</v>
      </c>
      <c r="H59" s="579">
        <f t="shared" si="0"/>
        <v>0</v>
      </c>
      <c r="I59" s="65"/>
    </row>
    <row r="60" spans="1:11" ht="16.5">
      <c r="A60" s="575" t="s">
        <v>904</v>
      </c>
      <c r="B60" s="576" t="s">
        <v>905</v>
      </c>
      <c r="C60" s="577">
        <v>45323</v>
      </c>
      <c r="D60" s="581">
        <f>30000</f>
        <v>30000</v>
      </c>
      <c r="E60" s="581">
        <v>0</v>
      </c>
      <c r="F60" s="581">
        <f>10000</f>
        <v>10000</v>
      </c>
      <c r="G60" s="581">
        <f>70000</f>
        <v>70000</v>
      </c>
      <c r="H60" s="579">
        <f t="shared" si="0"/>
        <v>110000</v>
      </c>
      <c r="I60" s="582"/>
    </row>
    <row r="61" spans="1:11" ht="16.5">
      <c r="A61" s="575" t="s">
        <v>906</v>
      </c>
      <c r="B61" s="576" t="s">
        <v>907</v>
      </c>
      <c r="C61" s="577">
        <v>45323</v>
      </c>
      <c r="D61" s="581">
        <f>0</f>
        <v>0</v>
      </c>
      <c r="E61" s="581">
        <v>0</v>
      </c>
      <c r="F61" s="581">
        <v>0</v>
      </c>
      <c r="G61" s="581">
        <f>0</f>
        <v>0</v>
      </c>
      <c r="H61" s="579">
        <f t="shared" si="0"/>
        <v>0</v>
      </c>
      <c r="I61" s="65"/>
    </row>
    <row r="62" spans="1:11" ht="16.5">
      <c r="A62" s="575" t="s">
        <v>908</v>
      </c>
      <c r="B62" s="576" t="s">
        <v>909</v>
      </c>
      <c r="C62" s="577">
        <v>45323</v>
      </c>
      <c r="D62" s="586">
        <v>0</v>
      </c>
      <c r="E62" s="586">
        <v>0</v>
      </c>
      <c r="F62" s="586">
        <v>0</v>
      </c>
      <c r="G62" s="586">
        <v>0</v>
      </c>
      <c r="H62" s="579">
        <f t="shared" si="0"/>
        <v>0</v>
      </c>
      <c r="I62" s="65"/>
    </row>
    <row r="63" spans="1:11" ht="16.5">
      <c r="A63" s="575" t="s">
        <v>910</v>
      </c>
      <c r="B63" s="576" t="s">
        <v>911</v>
      </c>
      <c r="C63" s="577">
        <v>45323</v>
      </c>
      <c r="D63" s="581">
        <f>0</f>
        <v>0</v>
      </c>
      <c r="E63" s="581"/>
      <c r="F63" s="581"/>
      <c r="G63" s="581">
        <f>0</f>
        <v>0</v>
      </c>
      <c r="H63" s="579">
        <f t="shared" si="0"/>
        <v>0</v>
      </c>
      <c r="I63" s="582"/>
    </row>
    <row r="64" spans="1:11" ht="16.5">
      <c r="A64" s="575" t="s">
        <v>912</v>
      </c>
      <c r="B64" s="576" t="s">
        <v>913</v>
      </c>
      <c r="C64" s="577">
        <v>45323</v>
      </c>
      <c r="D64" s="581">
        <f>0</f>
        <v>0</v>
      </c>
      <c r="E64" s="581">
        <v>0</v>
      </c>
      <c r="F64" s="581">
        <f>0</f>
        <v>0</v>
      </c>
      <c r="G64" s="581"/>
      <c r="H64" s="579">
        <f t="shared" si="0"/>
        <v>0</v>
      </c>
      <c r="I64" s="65"/>
    </row>
    <row r="65" spans="1:9" ht="16.5">
      <c r="A65" s="575" t="s">
        <v>914</v>
      </c>
      <c r="B65" s="576" t="s">
        <v>7</v>
      </c>
      <c r="C65" s="577">
        <v>45323</v>
      </c>
      <c r="D65" s="581">
        <f>0</f>
        <v>0</v>
      </c>
      <c r="E65" s="581">
        <v>0</v>
      </c>
      <c r="F65" s="581">
        <v>0</v>
      </c>
      <c r="G65" s="581">
        <f>133333.33+30000</f>
        <v>163333.32999999999</v>
      </c>
      <c r="H65" s="579">
        <f t="shared" si="0"/>
        <v>163333.32999999999</v>
      </c>
      <c r="I65" s="582"/>
    </row>
    <row r="66" spans="1:9" ht="16.5">
      <c r="A66" s="575" t="s">
        <v>915</v>
      </c>
      <c r="B66" s="576" t="s">
        <v>916</v>
      </c>
      <c r="C66" s="577">
        <v>45323</v>
      </c>
      <c r="D66" s="581"/>
      <c r="E66" s="581"/>
      <c r="F66" s="581"/>
      <c r="G66" s="581"/>
      <c r="H66" s="579">
        <f t="shared" si="0"/>
        <v>0</v>
      </c>
      <c r="I66" s="582"/>
    </row>
    <row r="67" spans="1:9" ht="16.5">
      <c r="A67" s="575" t="s">
        <v>917</v>
      </c>
      <c r="B67" s="576" t="s">
        <v>14</v>
      </c>
      <c r="C67" s="577">
        <v>45323</v>
      </c>
      <c r="D67" s="581">
        <v>5000</v>
      </c>
      <c r="E67" s="581">
        <v>0</v>
      </c>
      <c r="F67" s="581">
        <f>5000+5000</f>
        <v>10000</v>
      </c>
      <c r="G67" s="581">
        <f>14524.11</f>
        <v>14524.11</v>
      </c>
      <c r="H67" s="579">
        <f t="shared" si="0"/>
        <v>29524.11</v>
      </c>
      <c r="I67" s="582"/>
    </row>
    <row r="68" spans="1:9" ht="16.5">
      <c r="A68" s="575" t="s">
        <v>918</v>
      </c>
      <c r="B68" s="576" t="s">
        <v>159</v>
      </c>
      <c r="C68" s="577">
        <v>45323</v>
      </c>
      <c r="D68" s="581">
        <v>30000</v>
      </c>
      <c r="E68" s="581">
        <v>0</v>
      </c>
      <c r="F68" s="581"/>
      <c r="G68" s="592">
        <f>176288.88</f>
        <v>176288.88</v>
      </c>
      <c r="H68" s="579">
        <f t="shared" si="0"/>
        <v>206288.88</v>
      </c>
      <c r="I68" s="582"/>
    </row>
    <row r="69" spans="1:9" ht="16.5">
      <c r="A69" s="575" t="s">
        <v>919</v>
      </c>
      <c r="B69" s="576" t="s">
        <v>920</v>
      </c>
      <c r="C69" s="577">
        <v>45323</v>
      </c>
      <c r="D69" s="581">
        <v>80000</v>
      </c>
      <c r="E69" s="581">
        <v>0</v>
      </c>
      <c r="F69" s="581">
        <f>23000</f>
        <v>23000</v>
      </c>
      <c r="G69" s="581">
        <v>246905.964583333</v>
      </c>
      <c r="H69" s="579">
        <f t="shared" si="0"/>
        <v>349905.964583333</v>
      </c>
      <c r="I69" s="582"/>
    </row>
    <row r="70" spans="1:9" ht="16.5">
      <c r="A70" s="575" t="s">
        <v>921</v>
      </c>
      <c r="B70" s="576" t="s">
        <v>18</v>
      </c>
      <c r="C70" s="577">
        <v>45323</v>
      </c>
      <c r="D70" s="581">
        <v>0</v>
      </c>
      <c r="E70" s="581">
        <v>0</v>
      </c>
      <c r="F70" s="581">
        <v>0</v>
      </c>
      <c r="G70" s="581">
        <v>0</v>
      </c>
      <c r="H70" s="579">
        <f t="shared" ref="H70:H133" si="1">D70+E70+F70+G70</f>
        <v>0</v>
      </c>
      <c r="I70" s="65"/>
    </row>
    <row r="71" spans="1:9" ht="16.5">
      <c r="A71" s="575" t="s">
        <v>922</v>
      </c>
      <c r="B71" s="576" t="s">
        <v>923</v>
      </c>
      <c r="C71" s="577">
        <v>45323</v>
      </c>
      <c r="D71" s="581">
        <f>70000</f>
        <v>70000</v>
      </c>
      <c r="E71" s="581">
        <f>0</f>
        <v>0</v>
      </c>
      <c r="F71" s="581">
        <v>0</v>
      </c>
      <c r="G71" s="581">
        <f>50000</f>
        <v>50000</v>
      </c>
      <c r="H71" s="579">
        <f t="shared" si="1"/>
        <v>120000</v>
      </c>
      <c r="I71" s="582"/>
    </row>
    <row r="72" spans="1:9" ht="16.5">
      <c r="A72" s="575" t="s">
        <v>924</v>
      </c>
      <c r="B72" s="576" t="s">
        <v>925</v>
      </c>
      <c r="C72" s="577">
        <v>45323</v>
      </c>
      <c r="D72" s="581">
        <f>10000</f>
        <v>10000</v>
      </c>
      <c r="E72" s="581">
        <v>0</v>
      </c>
      <c r="F72" s="581">
        <v>0</v>
      </c>
      <c r="G72" s="581">
        <f>54585.66</f>
        <v>54585.66</v>
      </c>
      <c r="H72" s="579">
        <f t="shared" si="1"/>
        <v>64585.66</v>
      </c>
      <c r="I72" s="583"/>
    </row>
    <row r="73" spans="1:9" ht="16.5">
      <c r="A73" s="575" t="s">
        <v>926</v>
      </c>
      <c r="B73" s="576" t="s">
        <v>927</v>
      </c>
      <c r="C73" s="577">
        <v>45323</v>
      </c>
      <c r="D73" s="581">
        <v>10000</v>
      </c>
      <c r="E73" s="581">
        <v>0</v>
      </c>
      <c r="F73" s="581">
        <f>5000+5000</f>
        <v>10000</v>
      </c>
      <c r="G73" s="581">
        <f>13750</f>
        <v>13750</v>
      </c>
      <c r="H73" s="579">
        <f t="shared" si="1"/>
        <v>33750</v>
      </c>
      <c r="I73" s="582"/>
    </row>
    <row r="74" spans="1:9" ht="18">
      <c r="A74" s="575" t="s">
        <v>928</v>
      </c>
      <c r="B74" s="576" t="s">
        <v>152</v>
      </c>
      <c r="C74" s="577">
        <v>45323</v>
      </c>
      <c r="D74" s="581">
        <f>10000</f>
        <v>10000</v>
      </c>
      <c r="E74" s="581">
        <v>0</v>
      </c>
      <c r="F74" s="581">
        <f>5000+5000</f>
        <v>10000</v>
      </c>
      <c r="G74" s="597">
        <f>16958.34</f>
        <v>16958.34</v>
      </c>
      <c r="H74" s="579">
        <f t="shared" si="1"/>
        <v>36958.339999999997</v>
      </c>
      <c r="I74" s="582"/>
    </row>
    <row r="75" spans="1:9" ht="16.5">
      <c r="A75" s="575" t="s">
        <v>929</v>
      </c>
      <c r="B75" s="576" t="s">
        <v>930</v>
      </c>
      <c r="C75" s="577">
        <v>45323</v>
      </c>
      <c r="D75" s="581">
        <f>0</f>
        <v>0</v>
      </c>
      <c r="E75" s="581">
        <v>0</v>
      </c>
      <c r="F75" s="581">
        <f>0</f>
        <v>0</v>
      </c>
      <c r="G75" s="581">
        <f>0</f>
        <v>0</v>
      </c>
      <c r="H75" s="579">
        <f t="shared" si="1"/>
        <v>0</v>
      </c>
      <c r="I75" s="65"/>
    </row>
    <row r="76" spans="1:9" ht="18">
      <c r="A76" s="575" t="s">
        <v>931</v>
      </c>
      <c r="B76" s="576" t="s">
        <v>932</v>
      </c>
      <c r="C76" s="577">
        <v>45323</v>
      </c>
      <c r="D76" s="597">
        <f>20000</f>
        <v>20000</v>
      </c>
      <c r="E76" s="591"/>
      <c r="F76" s="591"/>
      <c r="G76" s="581">
        <f>111833.33</f>
        <v>111833.33</v>
      </c>
      <c r="H76" s="579">
        <f t="shared" si="1"/>
        <v>131833.33000000002</v>
      </c>
      <c r="I76" s="582"/>
    </row>
    <row r="77" spans="1:9" ht="16.5">
      <c r="A77" s="575" t="s">
        <v>933</v>
      </c>
      <c r="B77" s="576" t="s">
        <v>934</v>
      </c>
      <c r="C77" s="577">
        <v>45323</v>
      </c>
      <c r="D77" s="581"/>
      <c r="E77" s="581"/>
      <c r="F77" s="581"/>
      <c r="G77" s="598"/>
      <c r="H77" s="579">
        <f t="shared" si="1"/>
        <v>0</v>
      </c>
      <c r="I77" s="582"/>
    </row>
    <row r="78" spans="1:9" ht="16.5">
      <c r="A78" s="575" t="s">
        <v>935</v>
      </c>
      <c r="B78" s="576" t="s">
        <v>936</v>
      </c>
      <c r="C78" s="577">
        <v>45323</v>
      </c>
      <c r="D78" s="581">
        <v>0</v>
      </c>
      <c r="E78" s="581">
        <v>0</v>
      </c>
      <c r="F78" s="581">
        <v>0</v>
      </c>
      <c r="G78" s="581"/>
      <c r="H78" s="579">
        <f t="shared" si="1"/>
        <v>0</v>
      </c>
      <c r="I78" s="583"/>
    </row>
    <row r="79" spans="1:9" ht="16.5">
      <c r="A79" s="575" t="s">
        <v>937</v>
      </c>
      <c r="B79" s="576" t="s">
        <v>938</v>
      </c>
      <c r="C79" s="577">
        <v>45323</v>
      </c>
      <c r="D79" s="581">
        <v>0</v>
      </c>
      <c r="E79" s="581">
        <v>0</v>
      </c>
      <c r="F79" s="581">
        <v>0</v>
      </c>
      <c r="G79" s="581"/>
      <c r="H79" s="579">
        <f t="shared" si="1"/>
        <v>0</v>
      </c>
      <c r="I79" s="65"/>
    </row>
    <row r="80" spans="1:9" ht="16.5">
      <c r="A80" s="575" t="s">
        <v>939</v>
      </c>
      <c r="B80" s="576" t="s">
        <v>940</v>
      </c>
      <c r="C80" s="577">
        <v>45323</v>
      </c>
      <c r="D80" s="581">
        <v>20000</v>
      </c>
      <c r="E80" s="581">
        <v>0</v>
      </c>
      <c r="F80" s="581">
        <v>0</v>
      </c>
      <c r="G80" s="581">
        <f>68750</f>
        <v>68750</v>
      </c>
      <c r="H80" s="579">
        <f t="shared" si="1"/>
        <v>88750</v>
      </c>
      <c r="I80" s="582"/>
    </row>
    <row r="81" spans="1:9" ht="16.5">
      <c r="A81" s="575" t="s">
        <v>941</v>
      </c>
      <c r="B81" s="576" t="s">
        <v>942</v>
      </c>
      <c r="C81" s="577">
        <v>45323</v>
      </c>
      <c r="D81" s="581">
        <f>37500</f>
        <v>37500</v>
      </c>
      <c r="E81" s="581">
        <v>0</v>
      </c>
      <c r="F81" s="581"/>
      <c r="G81" s="581"/>
      <c r="H81" s="579">
        <f t="shared" si="1"/>
        <v>37500</v>
      </c>
      <c r="I81" s="582"/>
    </row>
    <row r="82" spans="1:9" ht="16.5">
      <c r="A82" s="575" t="s">
        <v>943</v>
      </c>
      <c r="B82" s="576" t="s">
        <v>944</v>
      </c>
      <c r="C82" s="577">
        <v>45323</v>
      </c>
      <c r="D82" s="578">
        <v>0</v>
      </c>
      <c r="E82" s="578">
        <v>0</v>
      </c>
      <c r="F82" s="578">
        <v>0</v>
      </c>
      <c r="G82" s="586">
        <v>0</v>
      </c>
      <c r="H82" s="579">
        <f t="shared" si="1"/>
        <v>0</v>
      </c>
      <c r="I82" s="65"/>
    </row>
    <row r="83" spans="1:9" ht="16.5">
      <c r="A83" s="575" t="s">
        <v>945</v>
      </c>
      <c r="B83" s="576" t="s">
        <v>946</v>
      </c>
      <c r="C83" s="577">
        <v>45323</v>
      </c>
      <c r="D83" s="581">
        <v>50000</v>
      </c>
      <c r="E83" s="581">
        <v>0</v>
      </c>
      <c r="F83" s="581"/>
      <c r="G83" s="598">
        <f>103000</f>
        <v>103000</v>
      </c>
      <c r="H83" s="579">
        <f t="shared" si="1"/>
        <v>153000</v>
      </c>
      <c r="I83" s="582"/>
    </row>
    <row r="84" spans="1:9" ht="16.5">
      <c r="A84" s="575" t="s">
        <v>947</v>
      </c>
      <c r="B84" s="576" t="s">
        <v>948</v>
      </c>
      <c r="C84" s="577">
        <v>45323</v>
      </c>
      <c r="D84" s="581">
        <v>100000</v>
      </c>
      <c r="E84" s="581">
        <v>0</v>
      </c>
      <c r="F84" s="581">
        <v>10000</v>
      </c>
      <c r="G84" s="581"/>
      <c r="H84" s="579">
        <f t="shared" si="1"/>
        <v>110000</v>
      </c>
      <c r="I84" s="582"/>
    </row>
    <row r="85" spans="1:9" ht="16.5">
      <c r="A85" s="575" t="s">
        <v>949</v>
      </c>
      <c r="B85" s="576" t="s">
        <v>950</v>
      </c>
      <c r="C85" s="577">
        <v>45323</v>
      </c>
      <c r="D85" s="581">
        <v>0</v>
      </c>
      <c r="E85" s="581">
        <v>0</v>
      </c>
      <c r="F85" s="581">
        <v>0</v>
      </c>
      <c r="G85" s="581"/>
      <c r="H85" s="579">
        <f t="shared" si="1"/>
        <v>0</v>
      </c>
      <c r="I85" s="65"/>
    </row>
    <row r="86" spans="1:9" ht="16.5">
      <c r="A86" s="575" t="s">
        <v>951</v>
      </c>
      <c r="B86" s="576" t="s">
        <v>952</v>
      </c>
      <c r="C86" s="577">
        <v>45323</v>
      </c>
      <c r="D86" s="581">
        <f>0</f>
        <v>0</v>
      </c>
      <c r="E86" s="581">
        <v>0</v>
      </c>
      <c r="F86" s="581">
        <f>0</f>
        <v>0</v>
      </c>
      <c r="G86" s="581">
        <f>0</f>
        <v>0</v>
      </c>
      <c r="H86" s="579">
        <f t="shared" si="1"/>
        <v>0</v>
      </c>
      <c r="I86" s="65"/>
    </row>
    <row r="87" spans="1:9" ht="16.5">
      <c r="A87" s="575" t="s">
        <v>953</v>
      </c>
      <c r="B87" s="576" t="s">
        <v>954</v>
      </c>
      <c r="C87" s="577">
        <v>45323</v>
      </c>
      <c r="D87" s="581">
        <v>15000</v>
      </c>
      <c r="E87" s="581">
        <f>0</f>
        <v>0</v>
      </c>
      <c r="F87" s="581">
        <v>0</v>
      </c>
      <c r="G87" s="581">
        <f>133333.34+25000+33333.33+25000</f>
        <v>216666.66999999998</v>
      </c>
      <c r="H87" s="579">
        <f t="shared" si="1"/>
        <v>231666.66999999998</v>
      </c>
      <c r="I87" s="582"/>
    </row>
    <row r="88" spans="1:9" ht="16.5">
      <c r="A88" s="575" t="s">
        <v>955</v>
      </c>
      <c r="B88" s="576" t="s">
        <v>956</v>
      </c>
      <c r="C88" s="577">
        <v>45323</v>
      </c>
      <c r="D88" s="581">
        <v>50000</v>
      </c>
      <c r="E88" s="581">
        <v>0</v>
      </c>
      <c r="F88" s="581">
        <f>20000</f>
        <v>20000</v>
      </c>
      <c r="G88" s="581">
        <f>0</f>
        <v>0</v>
      </c>
      <c r="H88" s="579">
        <f t="shared" si="1"/>
        <v>70000</v>
      </c>
      <c r="I88" s="582"/>
    </row>
    <row r="89" spans="1:9" ht="16.5">
      <c r="A89" s="575" t="s">
        <v>957</v>
      </c>
      <c r="B89" s="576" t="s">
        <v>958</v>
      </c>
      <c r="C89" s="577">
        <v>45323</v>
      </c>
      <c r="D89" s="581">
        <f>50000</f>
        <v>50000</v>
      </c>
      <c r="E89" s="581">
        <v>0</v>
      </c>
      <c r="F89" s="581"/>
      <c r="G89" s="581"/>
      <c r="H89" s="579">
        <f t="shared" si="1"/>
        <v>50000</v>
      </c>
      <c r="I89" s="65"/>
    </row>
    <row r="90" spans="1:9" ht="16.5">
      <c r="A90" s="575" t="s">
        <v>959</v>
      </c>
      <c r="B90" s="576" t="s">
        <v>960</v>
      </c>
      <c r="C90" s="577">
        <v>45323</v>
      </c>
      <c r="D90" s="590"/>
      <c r="E90" s="581">
        <v>0</v>
      </c>
      <c r="F90" s="581"/>
      <c r="G90" s="581"/>
      <c r="H90" s="579">
        <f t="shared" si="1"/>
        <v>0</v>
      </c>
      <c r="I90" s="65"/>
    </row>
    <row r="91" spans="1:9" ht="16.5">
      <c r="A91" s="575" t="s">
        <v>961</v>
      </c>
      <c r="B91" s="576" t="s">
        <v>962</v>
      </c>
      <c r="C91" s="577">
        <v>45323</v>
      </c>
      <c r="D91" s="581">
        <f>10000</f>
        <v>10000</v>
      </c>
      <c r="E91" s="581">
        <v>0</v>
      </c>
      <c r="F91" s="581"/>
      <c r="G91" s="590"/>
      <c r="H91" s="579">
        <f t="shared" si="1"/>
        <v>10000</v>
      </c>
      <c r="I91" s="582"/>
    </row>
    <row r="92" spans="1:9" ht="16.5">
      <c r="A92" s="575" t="s">
        <v>963</v>
      </c>
      <c r="B92" s="576" t="s">
        <v>964</v>
      </c>
      <c r="C92" s="577">
        <v>45323</v>
      </c>
      <c r="D92" s="581">
        <f>50000</f>
        <v>50000</v>
      </c>
      <c r="E92" s="581">
        <v>0</v>
      </c>
      <c r="F92" s="581"/>
      <c r="G92" s="592">
        <f>79861.11</f>
        <v>79861.11</v>
      </c>
      <c r="H92" s="579">
        <f t="shared" si="1"/>
        <v>129861.11</v>
      </c>
      <c r="I92" s="582"/>
    </row>
    <row r="93" spans="1:9" ht="16.5">
      <c r="A93" s="575" t="s">
        <v>965</v>
      </c>
      <c r="B93" s="576" t="s">
        <v>966</v>
      </c>
      <c r="C93" s="577">
        <v>45323</v>
      </c>
      <c r="D93" s="581">
        <f>30000</f>
        <v>30000</v>
      </c>
      <c r="E93" s="581">
        <v>0</v>
      </c>
      <c r="F93" s="581">
        <v>0</v>
      </c>
      <c r="G93" s="579">
        <f>68750+30000</f>
        <v>98750</v>
      </c>
      <c r="H93" s="579">
        <f t="shared" si="1"/>
        <v>128750</v>
      </c>
      <c r="I93" s="582"/>
    </row>
    <row r="94" spans="1:9" ht="16.5">
      <c r="A94" s="575" t="s">
        <v>967</v>
      </c>
      <c r="B94" s="576" t="s">
        <v>968</v>
      </c>
      <c r="C94" s="577">
        <v>45323</v>
      </c>
      <c r="D94" s="581">
        <v>0</v>
      </c>
      <c r="E94" s="581">
        <v>0</v>
      </c>
      <c r="F94" s="586">
        <v>0</v>
      </c>
      <c r="G94" s="581">
        <v>0</v>
      </c>
      <c r="H94" s="579">
        <f t="shared" si="1"/>
        <v>0</v>
      </c>
      <c r="I94" s="65"/>
    </row>
    <row r="95" spans="1:9" ht="16.5">
      <c r="A95" s="575" t="s">
        <v>969</v>
      </c>
      <c r="B95" s="576" t="s">
        <v>211</v>
      </c>
      <c r="C95" s="577">
        <v>45323</v>
      </c>
      <c r="D95" s="581">
        <f>10000</f>
        <v>10000</v>
      </c>
      <c r="E95" s="581">
        <v>0</v>
      </c>
      <c r="F95" s="588">
        <f>5000+5000</f>
        <v>10000</v>
      </c>
      <c r="G95" s="581">
        <f>8416.67</f>
        <v>8416.67</v>
      </c>
      <c r="H95" s="579">
        <f t="shared" si="1"/>
        <v>28416.67</v>
      </c>
      <c r="I95" s="582"/>
    </row>
    <row r="96" spans="1:9" ht="16.5">
      <c r="A96" s="575" t="s">
        <v>970</v>
      </c>
      <c r="B96" s="576" t="s">
        <v>971</v>
      </c>
      <c r="C96" s="577">
        <v>45323</v>
      </c>
      <c r="D96" s="581">
        <f>20000</f>
        <v>20000</v>
      </c>
      <c r="E96" s="581">
        <v>0</v>
      </c>
      <c r="F96" s="581">
        <f>5000+5000</f>
        <v>10000</v>
      </c>
      <c r="G96" s="581">
        <f>25555.56</f>
        <v>25555.56</v>
      </c>
      <c r="H96" s="579">
        <f t="shared" si="1"/>
        <v>55555.56</v>
      </c>
      <c r="I96" s="582"/>
    </row>
    <row r="97" spans="1:9" ht="16.5">
      <c r="A97" s="575" t="s">
        <v>972</v>
      </c>
      <c r="B97" s="576" t="s">
        <v>973</v>
      </c>
      <c r="C97" s="577">
        <v>45323</v>
      </c>
      <c r="D97" s="581">
        <f>5000</f>
        <v>5000</v>
      </c>
      <c r="E97" s="581">
        <v>0</v>
      </c>
      <c r="F97" s="588">
        <f>5000+5000</f>
        <v>10000</v>
      </c>
      <c r="G97" s="581">
        <f>15972.22</f>
        <v>15972.22</v>
      </c>
      <c r="H97" s="579">
        <f t="shared" si="1"/>
        <v>30972.22</v>
      </c>
      <c r="I97" s="582"/>
    </row>
    <row r="98" spans="1:9" ht="16.5">
      <c r="A98" s="575" t="s">
        <v>974</v>
      </c>
      <c r="B98" s="576" t="s">
        <v>975</v>
      </c>
      <c r="C98" s="577">
        <v>45323</v>
      </c>
      <c r="D98" s="581">
        <v>10000</v>
      </c>
      <c r="E98" s="581">
        <v>0</v>
      </c>
      <c r="F98" s="581">
        <f>10000</f>
        <v>10000</v>
      </c>
      <c r="G98" s="581">
        <f>30000</f>
        <v>30000</v>
      </c>
      <c r="H98" s="579">
        <f t="shared" si="1"/>
        <v>50000</v>
      </c>
      <c r="I98" s="582"/>
    </row>
    <row r="99" spans="1:9" ht="16.5">
      <c r="A99" s="575" t="s">
        <v>976</v>
      </c>
      <c r="B99" s="576" t="s">
        <v>977</v>
      </c>
      <c r="C99" s="577">
        <v>45323</v>
      </c>
      <c r="D99" s="581">
        <v>0</v>
      </c>
      <c r="E99" s="581">
        <v>0</v>
      </c>
      <c r="F99" s="581">
        <v>0</v>
      </c>
      <c r="G99" s="581">
        <v>0</v>
      </c>
      <c r="H99" s="579">
        <f t="shared" si="1"/>
        <v>0</v>
      </c>
      <c r="I99" s="65"/>
    </row>
    <row r="100" spans="1:9" ht="16.5">
      <c r="A100" s="575" t="s">
        <v>978</v>
      </c>
      <c r="B100" s="576" t="s">
        <v>979</v>
      </c>
      <c r="C100" s="577">
        <v>45323</v>
      </c>
      <c r="D100" s="581">
        <f>0</f>
        <v>0</v>
      </c>
      <c r="E100" s="581">
        <v>0</v>
      </c>
      <c r="F100" s="581">
        <v>0</v>
      </c>
      <c r="G100" s="581">
        <f>0</f>
        <v>0</v>
      </c>
      <c r="H100" s="579">
        <f t="shared" si="1"/>
        <v>0</v>
      </c>
      <c r="I100" s="65"/>
    </row>
    <row r="101" spans="1:9" ht="16.5">
      <c r="A101" s="575" t="s">
        <v>980</v>
      </c>
      <c r="B101" s="576" t="s">
        <v>981</v>
      </c>
      <c r="C101" s="577">
        <v>45323</v>
      </c>
      <c r="D101" s="581">
        <v>0</v>
      </c>
      <c r="E101" s="581">
        <v>0</v>
      </c>
      <c r="F101" s="581">
        <v>0</v>
      </c>
      <c r="G101" s="581">
        <v>0</v>
      </c>
      <c r="H101" s="579">
        <f t="shared" si="1"/>
        <v>0</v>
      </c>
      <c r="I101" s="65"/>
    </row>
    <row r="102" spans="1:9" ht="16.5">
      <c r="A102" s="575" t="s">
        <v>982</v>
      </c>
      <c r="B102" s="576" t="s">
        <v>983</v>
      </c>
      <c r="C102" s="577">
        <v>45323</v>
      </c>
      <c r="D102" s="581">
        <f>10000</f>
        <v>10000</v>
      </c>
      <c r="E102" s="581">
        <v>0</v>
      </c>
      <c r="F102" s="581">
        <v>0</v>
      </c>
      <c r="G102" s="581">
        <f>50000</f>
        <v>50000</v>
      </c>
      <c r="H102" s="579">
        <f t="shared" si="1"/>
        <v>60000</v>
      </c>
      <c r="I102" s="582"/>
    </row>
    <row r="103" spans="1:9" ht="16.5">
      <c r="A103" s="575" t="s">
        <v>984</v>
      </c>
      <c r="B103" s="576" t="s">
        <v>985</v>
      </c>
      <c r="C103" s="577">
        <v>45323</v>
      </c>
      <c r="D103" s="581">
        <v>0</v>
      </c>
      <c r="E103" s="581">
        <v>0</v>
      </c>
      <c r="F103" s="581">
        <v>0</v>
      </c>
      <c r="G103" s="581">
        <v>0</v>
      </c>
      <c r="H103" s="579">
        <f t="shared" si="1"/>
        <v>0</v>
      </c>
      <c r="I103" s="65"/>
    </row>
    <row r="104" spans="1:9" ht="16.5">
      <c r="A104" s="575" t="s">
        <v>986</v>
      </c>
      <c r="B104" s="576" t="s">
        <v>987</v>
      </c>
      <c r="C104" s="577">
        <v>45323</v>
      </c>
      <c r="D104" s="581"/>
      <c r="E104" s="581"/>
      <c r="F104" s="581"/>
      <c r="G104" s="581">
        <f>0</f>
        <v>0</v>
      </c>
      <c r="H104" s="579">
        <f t="shared" si="1"/>
        <v>0</v>
      </c>
      <c r="I104" s="582"/>
    </row>
    <row r="105" spans="1:9" ht="16.5">
      <c r="A105" s="575" t="s">
        <v>988</v>
      </c>
      <c r="B105" s="576" t="s">
        <v>989</v>
      </c>
      <c r="C105" s="577">
        <v>45323</v>
      </c>
      <c r="D105" s="581"/>
      <c r="E105" s="581"/>
      <c r="F105" s="581"/>
      <c r="G105" s="590"/>
      <c r="H105" s="579">
        <f t="shared" si="1"/>
        <v>0</v>
      </c>
      <c r="I105" s="65"/>
    </row>
    <row r="106" spans="1:9" ht="16.5">
      <c r="A106" s="575" t="s">
        <v>990</v>
      </c>
      <c r="B106" s="576" t="s">
        <v>991</v>
      </c>
      <c r="C106" s="577">
        <v>45323</v>
      </c>
      <c r="D106" s="581">
        <v>0</v>
      </c>
      <c r="E106" s="581">
        <v>0</v>
      </c>
      <c r="F106" s="581">
        <v>0</v>
      </c>
      <c r="G106" s="581">
        <v>0</v>
      </c>
      <c r="H106" s="579">
        <f t="shared" si="1"/>
        <v>0</v>
      </c>
      <c r="I106" s="65"/>
    </row>
    <row r="107" spans="1:9" ht="15" customHeight="1">
      <c r="A107" s="599" t="s">
        <v>992</v>
      </c>
      <c r="B107" s="576" t="s">
        <v>993</v>
      </c>
      <c r="C107" s="577">
        <v>45323</v>
      </c>
      <c r="D107" s="579">
        <f>50000</f>
        <v>50000</v>
      </c>
      <c r="E107" s="586"/>
      <c r="F107" s="586"/>
      <c r="G107" s="598">
        <f>0</f>
        <v>0</v>
      </c>
      <c r="H107" s="579">
        <f t="shared" si="1"/>
        <v>50000</v>
      </c>
      <c r="I107" s="582"/>
    </row>
    <row r="108" spans="1:9" ht="18">
      <c r="A108" s="599" t="s">
        <v>994</v>
      </c>
      <c r="B108" s="576" t="s">
        <v>995</v>
      </c>
      <c r="C108" s="577">
        <v>45323</v>
      </c>
      <c r="D108" s="579">
        <f>30000</f>
        <v>30000</v>
      </c>
      <c r="E108" s="581"/>
      <c r="F108" s="581">
        <f>0</f>
        <v>0</v>
      </c>
      <c r="G108" s="600">
        <f>17500</f>
        <v>17500</v>
      </c>
      <c r="H108" s="579">
        <f t="shared" si="1"/>
        <v>47500</v>
      </c>
      <c r="I108" s="582"/>
    </row>
    <row r="109" spans="1:9" ht="18">
      <c r="A109" s="575" t="s">
        <v>996</v>
      </c>
      <c r="B109" s="576" t="s">
        <v>997</v>
      </c>
      <c r="C109" s="577">
        <v>45323</v>
      </c>
      <c r="D109" s="581">
        <v>100000</v>
      </c>
      <c r="E109" s="581"/>
      <c r="F109" s="581">
        <v>0</v>
      </c>
      <c r="G109" s="600">
        <v>0</v>
      </c>
      <c r="H109" s="579">
        <f t="shared" si="1"/>
        <v>100000</v>
      </c>
      <c r="I109" s="582"/>
    </row>
    <row r="110" spans="1:9" ht="18">
      <c r="A110" s="575" t="s">
        <v>998</v>
      </c>
      <c r="B110" s="576" t="s">
        <v>999</v>
      </c>
      <c r="C110" s="577">
        <v>45323</v>
      </c>
      <c r="D110" s="581">
        <f>20000</f>
        <v>20000</v>
      </c>
      <c r="E110" s="581"/>
      <c r="F110" s="581">
        <f>10000</f>
        <v>10000</v>
      </c>
      <c r="G110" s="600">
        <v>45833.333333333299</v>
      </c>
      <c r="H110" s="579">
        <f t="shared" si="1"/>
        <v>75833.333333333299</v>
      </c>
      <c r="I110" s="582"/>
    </row>
    <row r="111" spans="1:9" ht="18">
      <c r="A111" s="599" t="s">
        <v>1000</v>
      </c>
      <c r="B111" s="576" t="s">
        <v>336</v>
      </c>
      <c r="C111" s="577">
        <v>45323</v>
      </c>
      <c r="D111" s="597">
        <f>50000</f>
        <v>50000</v>
      </c>
      <c r="E111" s="597"/>
      <c r="F111" s="586"/>
      <c r="G111" s="597">
        <f>0</f>
        <v>0</v>
      </c>
      <c r="H111" s="579">
        <f t="shared" si="1"/>
        <v>50000</v>
      </c>
      <c r="I111" s="65"/>
    </row>
    <row r="112" spans="1:9" ht="18">
      <c r="A112" s="575" t="s">
        <v>1001</v>
      </c>
      <c r="B112" s="576" t="s">
        <v>1002</v>
      </c>
      <c r="C112" s="577">
        <v>45323</v>
      </c>
      <c r="D112" s="600">
        <f>15000</f>
        <v>15000</v>
      </c>
      <c r="E112" s="600"/>
      <c r="F112" s="581"/>
      <c r="G112" s="581">
        <f>20000</f>
        <v>20000</v>
      </c>
      <c r="H112" s="579">
        <f t="shared" si="1"/>
        <v>35000</v>
      </c>
      <c r="I112" s="582"/>
    </row>
    <row r="113" spans="1:15" ht="18">
      <c r="A113" s="601" t="s">
        <v>1003</v>
      </c>
      <c r="B113" s="576" t="s">
        <v>337</v>
      </c>
      <c r="C113" s="577">
        <v>45323</v>
      </c>
      <c r="D113" s="597">
        <f>0</f>
        <v>0</v>
      </c>
      <c r="E113" s="600"/>
      <c r="F113" s="581"/>
      <c r="G113" s="581">
        <f>0</f>
        <v>0</v>
      </c>
      <c r="H113" s="579">
        <f t="shared" si="1"/>
        <v>0</v>
      </c>
      <c r="I113" s="65"/>
    </row>
    <row r="114" spans="1:15" ht="18">
      <c r="A114" s="575" t="s">
        <v>1004</v>
      </c>
      <c r="B114" s="576" t="s">
        <v>1005</v>
      </c>
      <c r="C114" s="577">
        <v>45323</v>
      </c>
      <c r="D114" s="600">
        <f>20000</f>
        <v>20000</v>
      </c>
      <c r="E114" s="602"/>
      <c r="F114" s="581">
        <v>0</v>
      </c>
      <c r="G114" s="581">
        <f>50000</f>
        <v>50000</v>
      </c>
      <c r="H114" s="579">
        <f t="shared" si="1"/>
        <v>70000</v>
      </c>
      <c r="I114" s="582"/>
    </row>
    <row r="115" spans="1:15" ht="18">
      <c r="A115" s="575" t="s">
        <v>1006</v>
      </c>
      <c r="B115" s="576" t="s">
        <v>1007</v>
      </c>
      <c r="C115" s="577">
        <v>45323</v>
      </c>
      <c r="D115" s="600">
        <f>10000</f>
        <v>10000</v>
      </c>
      <c r="E115" s="602"/>
      <c r="F115" s="588">
        <f>5000+5000</f>
        <v>10000</v>
      </c>
      <c r="G115" s="581">
        <f>14222.06+12000</f>
        <v>26222.059999999998</v>
      </c>
      <c r="H115" s="579">
        <f t="shared" si="1"/>
        <v>46222.06</v>
      </c>
      <c r="I115" s="582"/>
    </row>
    <row r="116" spans="1:15" ht="18">
      <c r="A116" s="575" t="s">
        <v>1008</v>
      </c>
      <c r="B116" s="576" t="s">
        <v>238</v>
      </c>
      <c r="C116" s="577">
        <v>45323</v>
      </c>
      <c r="D116" s="600">
        <f>35000</f>
        <v>35000</v>
      </c>
      <c r="E116" s="602"/>
      <c r="F116" s="581">
        <v>0</v>
      </c>
      <c r="G116" s="581">
        <v>159722.22222222222</v>
      </c>
      <c r="H116" s="579">
        <f t="shared" si="1"/>
        <v>194722.22222222222</v>
      </c>
      <c r="I116" s="582"/>
    </row>
    <row r="117" spans="1:15" ht="16.5">
      <c r="A117" s="601" t="s">
        <v>1009</v>
      </c>
      <c r="B117" s="576" t="s">
        <v>1010</v>
      </c>
      <c r="C117" s="577">
        <v>45323</v>
      </c>
      <c r="D117" s="579">
        <f>35000</f>
        <v>35000</v>
      </c>
      <c r="E117" s="579"/>
      <c r="F117" s="579">
        <f>50000</f>
        <v>50000</v>
      </c>
      <c r="G117" s="603"/>
      <c r="H117" s="579">
        <f t="shared" si="1"/>
        <v>85000</v>
      </c>
      <c r="I117" s="582"/>
    </row>
    <row r="118" spans="1:15" ht="18">
      <c r="A118" s="575" t="s">
        <v>1011</v>
      </c>
      <c r="B118" s="576" t="s">
        <v>1012</v>
      </c>
      <c r="C118" s="577">
        <v>45323</v>
      </c>
      <c r="D118" s="581">
        <f>10000</f>
        <v>10000</v>
      </c>
      <c r="E118" s="581"/>
      <c r="F118" s="588">
        <f>10000</f>
        <v>10000</v>
      </c>
      <c r="G118" s="604">
        <f>18333.33</f>
        <v>18333.330000000002</v>
      </c>
      <c r="H118" s="579">
        <f t="shared" si="1"/>
        <v>38333.33</v>
      </c>
      <c r="I118" s="582"/>
      <c r="J118" s="65"/>
      <c r="L118" s="66"/>
    </row>
    <row r="119" spans="1:15" ht="16.5">
      <c r="A119" s="575" t="s">
        <v>1013</v>
      </c>
      <c r="B119" s="576" t="s">
        <v>1014</v>
      </c>
      <c r="C119" s="577">
        <v>45323</v>
      </c>
      <c r="D119" s="581">
        <f>10000</f>
        <v>10000</v>
      </c>
      <c r="E119" s="581"/>
      <c r="F119" s="588">
        <f>5000+5000</f>
        <v>10000</v>
      </c>
      <c r="G119" s="581">
        <f>13125+2500</f>
        <v>15625</v>
      </c>
      <c r="H119" s="579">
        <f t="shared" si="1"/>
        <v>35625</v>
      </c>
      <c r="I119" s="582"/>
    </row>
    <row r="120" spans="1:15" ht="16.5">
      <c r="A120" s="575" t="s">
        <v>1015</v>
      </c>
      <c r="B120" s="576" t="s">
        <v>1016</v>
      </c>
      <c r="C120" s="577">
        <v>45323</v>
      </c>
      <c r="D120" s="581">
        <f>10000</f>
        <v>10000</v>
      </c>
      <c r="E120" s="581"/>
      <c r="F120" s="588">
        <f>10000</f>
        <v>10000</v>
      </c>
      <c r="G120" s="581">
        <f>10000</f>
        <v>10000</v>
      </c>
      <c r="H120" s="579">
        <f t="shared" si="1"/>
        <v>30000</v>
      </c>
      <c r="I120" s="582"/>
    </row>
    <row r="121" spans="1:15" ht="16.5">
      <c r="A121" s="575" t="s">
        <v>1017</v>
      </c>
      <c r="B121" s="576" t="s">
        <v>1018</v>
      </c>
      <c r="C121" s="577">
        <v>45323</v>
      </c>
      <c r="D121" s="581">
        <v>10000</v>
      </c>
      <c r="E121" s="581"/>
      <c r="F121" s="588"/>
      <c r="G121" s="581">
        <v>63888.89</v>
      </c>
      <c r="H121" s="579">
        <f t="shared" si="1"/>
        <v>73888.89</v>
      </c>
      <c r="I121" s="582"/>
    </row>
    <row r="122" spans="1:15" ht="16.5">
      <c r="A122" s="575" t="s">
        <v>1019</v>
      </c>
      <c r="B122" s="576" t="s">
        <v>1020</v>
      </c>
      <c r="C122" s="577">
        <v>45323</v>
      </c>
      <c r="D122" s="581">
        <f>50000</f>
        <v>50000</v>
      </c>
      <c r="E122" s="581"/>
      <c r="F122" s="581">
        <f>50000</f>
        <v>50000</v>
      </c>
      <c r="G122" s="581"/>
      <c r="H122" s="579">
        <f t="shared" si="1"/>
        <v>100000</v>
      </c>
      <c r="I122" s="582"/>
      <c r="O122" s="65"/>
    </row>
    <row r="123" spans="1:15" ht="18">
      <c r="A123" s="575" t="s">
        <v>1021</v>
      </c>
      <c r="B123" s="576" t="s">
        <v>237</v>
      </c>
      <c r="C123" s="577">
        <v>45323</v>
      </c>
      <c r="D123" s="581">
        <f>5000</f>
        <v>5000</v>
      </c>
      <c r="E123" s="581"/>
      <c r="F123" s="581"/>
      <c r="G123" s="600">
        <f>64806.29</f>
        <v>64806.29</v>
      </c>
      <c r="H123" s="579">
        <f t="shared" si="1"/>
        <v>69806.290000000008</v>
      </c>
      <c r="I123" s="582"/>
      <c r="O123" s="65"/>
    </row>
    <row r="124" spans="1:15" ht="18">
      <c r="A124" s="575" t="s">
        <v>1022</v>
      </c>
      <c r="B124" s="576" t="s">
        <v>1023</v>
      </c>
      <c r="C124" s="577">
        <v>45323</v>
      </c>
      <c r="D124" s="588">
        <f>30000</f>
        <v>30000</v>
      </c>
      <c r="E124" s="588">
        <f>0</f>
        <v>0</v>
      </c>
      <c r="F124" s="588">
        <f>0</f>
        <v>0</v>
      </c>
      <c r="G124" s="605">
        <f>60000</f>
        <v>60000</v>
      </c>
      <c r="H124" s="579">
        <f t="shared" si="1"/>
        <v>90000</v>
      </c>
      <c r="I124" s="582"/>
      <c r="N124" s="65"/>
      <c r="O124" s="65"/>
    </row>
    <row r="125" spans="1:15" ht="18">
      <c r="A125" s="601" t="s">
        <v>1024</v>
      </c>
      <c r="B125" s="576" t="s">
        <v>1025</v>
      </c>
      <c r="C125" s="577">
        <v>45323</v>
      </c>
      <c r="D125" s="588">
        <f>20000</f>
        <v>20000</v>
      </c>
      <c r="E125" s="588"/>
      <c r="F125" s="598"/>
      <c r="G125" s="606">
        <f>17500</f>
        <v>17500</v>
      </c>
      <c r="H125" s="579">
        <f t="shared" si="1"/>
        <v>37500</v>
      </c>
      <c r="I125" s="582"/>
      <c r="N125" s="65"/>
      <c r="O125" s="65"/>
    </row>
    <row r="126" spans="1:15" ht="16.5">
      <c r="A126" s="601" t="s">
        <v>1026</v>
      </c>
      <c r="B126" s="576" t="s">
        <v>103</v>
      </c>
      <c r="C126" s="577">
        <v>45323</v>
      </c>
      <c r="D126" s="581">
        <v>0</v>
      </c>
      <c r="E126" s="581">
        <v>0</v>
      </c>
      <c r="F126" s="581">
        <v>0</v>
      </c>
      <c r="G126" s="581">
        <f>100000</f>
        <v>100000</v>
      </c>
      <c r="H126" s="579">
        <f t="shared" si="1"/>
        <v>100000</v>
      </c>
      <c r="I126" s="582"/>
      <c r="N126" s="65"/>
      <c r="O126" s="31"/>
    </row>
    <row r="127" spans="1:15" ht="16.5">
      <c r="A127" s="601" t="s">
        <v>1027</v>
      </c>
      <c r="B127" s="576" t="s">
        <v>1028</v>
      </c>
      <c r="C127" s="577">
        <v>45323</v>
      </c>
      <c r="D127" s="581"/>
      <c r="E127" s="581"/>
      <c r="F127" s="581"/>
      <c r="G127" s="581"/>
      <c r="H127" s="579">
        <f t="shared" si="1"/>
        <v>0</v>
      </c>
      <c r="I127" s="65"/>
      <c r="N127" s="65"/>
      <c r="O127" s="66"/>
    </row>
    <row r="128" spans="1:15" ht="16.5">
      <c r="A128" s="601" t="s">
        <v>1029</v>
      </c>
      <c r="B128" s="576" t="s">
        <v>1030</v>
      </c>
      <c r="C128" s="577">
        <v>45323</v>
      </c>
      <c r="D128" s="579">
        <f>0</f>
        <v>0</v>
      </c>
      <c r="E128" s="581"/>
      <c r="F128" s="581"/>
      <c r="G128" s="581">
        <f>0</f>
        <v>0</v>
      </c>
      <c r="H128" s="579">
        <f t="shared" si="1"/>
        <v>0</v>
      </c>
      <c r="I128" s="65"/>
      <c r="N128" s="65"/>
    </row>
    <row r="129" spans="1:15" ht="16.5">
      <c r="A129" s="601" t="s">
        <v>1031</v>
      </c>
      <c r="B129" s="576" t="s">
        <v>1032</v>
      </c>
      <c r="C129" s="577">
        <v>45323</v>
      </c>
      <c r="D129" s="579">
        <f>50000</f>
        <v>50000</v>
      </c>
      <c r="E129" s="581"/>
      <c r="F129" s="581">
        <f>0</f>
        <v>0</v>
      </c>
      <c r="G129" s="581"/>
      <c r="H129" s="579">
        <f t="shared" si="1"/>
        <v>50000</v>
      </c>
      <c r="I129" s="582"/>
      <c r="K129" s="65"/>
    </row>
    <row r="130" spans="1:15" ht="16.5">
      <c r="A130" s="601" t="s">
        <v>1031</v>
      </c>
      <c r="B130" s="576" t="s">
        <v>1033</v>
      </c>
      <c r="C130" s="577">
        <v>45323</v>
      </c>
      <c r="D130" s="579"/>
      <c r="E130" s="581"/>
      <c r="F130" s="581"/>
      <c r="G130" s="581"/>
      <c r="H130" s="579">
        <f t="shared" si="1"/>
        <v>0</v>
      </c>
      <c r="I130" s="582"/>
      <c r="K130" s="65"/>
      <c r="O130" s="66"/>
    </row>
    <row r="131" spans="1:15" ht="16.5">
      <c r="A131" s="601" t="s">
        <v>1034</v>
      </c>
      <c r="B131" s="576" t="s">
        <v>101</v>
      </c>
      <c r="C131" s="577">
        <v>45323</v>
      </c>
      <c r="D131" s="581">
        <f>50000</f>
        <v>50000</v>
      </c>
      <c r="E131" s="581">
        <f>0</f>
        <v>0</v>
      </c>
      <c r="F131" s="581">
        <v>0</v>
      </c>
      <c r="G131" s="581">
        <f>0</f>
        <v>0</v>
      </c>
      <c r="H131" s="579">
        <f t="shared" si="1"/>
        <v>50000</v>
      </c>
      <c r="I131" s="582"/>
      <c r="K131" s="65"/>
      <c r="L131" s="66"/>
    </row>
    <row r="132" spans="1:15" ht="16.5">
      <c r="A132" s="601" t="s">
        <v>1035</v>
      </c>
      <c r="B132" s="576" t="s">
        <v>1036</v>
      </c>
      <c r="C132" s="577">
        <v>45323</v>
      </c>
      <c r="D132" s="581">
        <f>0</f>
        <v>0</v>
      </c>
      <c r="E132" s="581">
        <f>0</f>
        <v>0</v>
      </c>
      <c r="F132" s="581">
        <f>0</f>
        <v>0</v>
      </c>
      <c r="G132" s="581">
        <v>0</v>
      </c>
      <c r="H132" s="579">
        <f t="shared" si="1"/>
        <v>0</v>
      </c>
      <c r="I132" s="65"/>
      <c r="K132" s="66"/>
      <c r="L132" s="66"/>
      <c r="N132" s="65"/>
    </row>
    <row r="133" spans="1:15" ht="16.5">
      <c r="A133" s="601" t="s">
        <v>1037</v>
      </c>
      <c r="B133" s="576" t="s">
        <v>1038</v>
      </c>
      <c r="C133" s="577">
        <v>45323</v>
      </c>
      <c r="D133" s="579">
        <f>50000</f>
        <v>50000</v>
      </c>
      <c r="E133" s="581"/>
      <c r="F133" s="581"/>
      <c r="G133" s="581">
        <v>59583.333333333299</v>
      </c>
      <c r="H133" s="579">
        <f t="shared" si="1"/>
        <v>109583.3333333333</v>
      </c>
      <c r="I133" s="582"/>
      <c r="L133" s="66"/>
      <c r="N133" s="65"/>
    </row>
    <row r="134" spans="1:15" ht="16.5">
      <c r="A134" s="601" t="s">
        <v>1039</v>
      </c>
      <c r="B134" s="576" t="s">
        <v>1040</v>
      </c>
      <c r="C134" s="577">
        <v>45323</v>
      </c>
      <c r="D134" s="586"/>
      <c r="E134" s="586"/>
      <c r="F134" s="581"/>
      <c r="G134" s="581"/>
      <c r="H134" s="579">
        <f t="shared" ref="H134:H184" si="2">D134+E134+F134+G134</f>
        <v>0</v>
      </c>
      <c r="I134" s="65"/>
      <c r="N134" s="65"/>
    </row>
    <row r="135" spans="1:15" ht="16.5">
      <c r="A135" s="601" t="s">
        <v>1041</v>
      </c>
      <c r="B135" s="576" t="s">
        <v>1042</v>
      </c>
      <c r="C135" s="577">
        <v>45323</v>
      </c>
      <c r="D135" s="581">
        <f>10000</f>
        <v>10000</v>
      </c>
      <c r="E135" s="581">
        <f>0</f>
        <v>0</v>
      </c>
      <c r="F135" s="581"/>
      <c r="G135" s="581">
        <f>95833.33</f>
        <v>95833.33</v>
      </c>
      <c r="H135" s="579">
        <f t="shared" si="2"/>
        <v>105833.33</v>
      </c>
      <c r="I135" s="582"/>
      <c r="J135" s="65"/>
      <c r="L135" s="66"/>
      <c r="M135" s="65"/>
      <c r="N135" s="65"/>
    </row>
    <row r="136" spans="1:15" ht="16.5">
      <c r="A136" s="601" t="s">
        <v>1043</v>
      </c>
      <c r="B136" s="576" t="s">
        <v>1044</v>
      </c>
      <c r="C136" s="577">
        <v>45323</v>
      </c>
      <c r="D136" s="581">
        <f>10000</f>
        <v>10000</v>
      </c>
      <c r="E136" s="581">
        <v>0</v>
      </c>
      <c r="F136" s="581">
        <f>5000+5000</f>
        <v>10000</v>
      </c>
      <c r="G136" s="588">
        <f>22916.67+10000</f>
        <v>32916.67</v>
      </c>
      <c r="H136" s="579">
        <f t="shared" si="2"/>
        <v>52916.67</v>
      </c>
      <c r="I136" s="582"/>
      <c r="J136" s="65"/>
      <c r="M136" s="65"/>
      <c r="N136" s="65"/>
    </row>
    <row r="137" spans="1:15" ht="16.5">
      <c r="A137" s="601" t="s">
        <v>1045</v>
      </c>
      <c r="B137" s="576" t="s">
        <v>1046</v>
      </c>
      <c r="C137" s="577">
        <v>45323</v>
      </c>
      <c r="D137" s="588">
        <f>100000</f>
        <v>100000</v>
      </c>
      <c r="E137" s="581"/>
      <c r="F137" s="581"/>
      <c r="G137" s="588">
        <f>131250</f>
        <v>131250</v>
      </c>
      <c r="H137" s="579">
        <f t="shared" si="2"/>
        <v>231250</v>
      </c>
      <c r="I137" s="582"/>
      <c r="J137" s="65"/>
      <c r="M137" s="65"/>
    </row>
    <row r="138" spans="1:15" ht="16.5">
      <c r="A138" s="601" t="s">
        <v>1047</v>
      </c>
      <c r="B138" s="576" t="s">
        <v>1048</v>
      </c>
      <c r="C138" s="577">
        <v>45323</v>
      </c>
      <c r="D138" s="588">
        <f>50000</f>
        <v>50000</v>
      </c>
      <c r="E138" s="588">
        <f>0</f>
        <v>0</v>
      </c>
      <c r="F138" s="588"/>
      <c r="G138" s="588"/>
      <c r="H138" s="579">
        <f t="shared" si="2"/>
        <v>50000</v>
      </c>
      <c r="I138" s="582"/>
      <c r="J138" s="65"/>
      <c r="M138" s="65"/>
    </row>
    <row r="139" spans="1:15" ht="16.5">
      <c r="A139" s="601" t="s">
        <v>1049</v>
      </c>
      <c r="B139" s="576" t="s">
        <v>251</v>
      </c>
      <c r="C139" s="577">
        <v>45323</v>
      </c>
      <c r="D139" s="588">
        <f>10000</f>
        <v>10000</v>
      </c>
      <c r="E139" s="588">
        <f>0</f>
        <v>0</v>
      </c>
      <c r="F139" s="588"/>
      <c r="G139" s="579">
        <f>90000</f>
        <v>90000</v>
      </c>
      <c r="H139" s="579">
        <f t="shared" si="2"/>
        <v>100000</v>
      </c>
      <c r="I139" s="582"/>
      <c r="J139" s="65"/>
      <c r="M139" s="65"/>
    </row>
    <row r="140" spans="1:15" ht="16.5">
      <c r="A140" s="601" t="s">
        <v>1050</v>
      </c>
      <c r="B140" s="576" t="s">
        <v>324</v>
      </c>
      <c r="C140" s="577">
        <v>45323</v>
      </c>
      <c r="D140" s="588">
        <f>50000</f>
        <v>50000</v>
      </c>
      <c r="E140" s="588"/>
      <c r="F140" s="588"/>
      <c r="G140" s="579">
        <f>50000</f>
        <v>50000</v>
      </c>
      <c r="H140" s="579">
        <f t="shared" si="2"/>
        <v>100000</v>
      </c>
      <c r="I140" s="582"/>
      <c r="M140" s="65"/>
    </row>
    <row r="141" spans="1:15" ht="16.5">
      <c r="A141" s="601" t="s">
        <v>1051</v>
      </c>
      <c r="B141" s="576" t="s">
        <v>1052</v>
      </c>
      <c r="C141" s="577">
        <v>45323</v>
      </c>
      <c r="D141" s="588">
        <f>100000</f>
        <v>100000</v>
      </c>
      <c r="E141" s="588">
        <f>0</f>
        <v>0</v>
      </c>
      <c r="F141" s="588">
        <f>100000</f>
        <v>100000</v>
      </c>
      <c r="G141" s="588">
        <f>223611.11</f>
        <v>223611.11</v>
      </c>
      <c r="H141" s="579">
        <f t="shared" si="2"/>
        <v>423611.11</v>
      </c>
      <c r="I141" s="582"/>
      <c r="J141" s="65"/>
      <c r="M141" s="65"/>
      <c r="N141" s="66"/>
    </row>
    <row r="142" spans="1:15" ht="16.5">
      <c r="A142" s="601" t="s">
        <v>1053</v>
      </c>
      <c r="B142" s="576" t="s">
        <v>1054</v>
      </c>
      <c r="C142" s="577">
        <v>45323</v>
      </c>
      <c r="D142" s="588">
        <f>10000</f>
        <v>10000</v>
      </c>
      <c r="E142" s="588">
        <f>0</f>
        <v>0</v>
      </c>
      <c r="F142" s="588"/>
      <c r="G142" s="588">
        <f>70000</f>
        <v>70000</v>
      </c>
      <c r="H142" s="579">
        <f t="shared" si="2"/>
        <v>80000</v>
      </c>
      <c r="I142" s="582"/>
      <c r="J142" s="65"/>
      <c r="M142" s="65"/>
    </row>
    <row r="143" spans="1:15" ht="16.5">
      <c r="A143" s="601" t="s">
        <v>1055</v>
      </c>
      <c r="B143" s="576" t="s">
        <v>209</v>
      </c>
      <c r="C143" s="577">
        <v>45323</v>
      </c>
      <c r="D143" s="588">
        <f>5000</f>
        <v>5000</v>
      </c>
      <c r="E143" s="588">
        <f>0</f>
        <v>0</v>
      </c>
      <c r="F143" s="588">
        <f>5000+5000</f>
        <v>10000</v>
      </c>
      <c r="G143" s="588">
        <f>15000</f>
        <v>15000</v>
      </c>
      <c r="H143" s="579">
        <f t="shared" si="2"/>
        <v>30000</v>
      </c>
      <c r="I143" s="582"/>
      <c r="M143" s="65"/>
    </row>
    <row r="144" spans="1:15" ht="16.5">
      <c r="A144" s="601" t="s">
        <v>1056</v>
      </c>
      <c r="B144" s="576" t="s">
        <v>1057</v>
      </c>
      <c r="C144" s="577">
        <v>45323</v>
      </c>
      <c r="D144" s="588">
        <f>0</f>
        <v>0</v>
      </c>
      <c r="E144" s="588">
        <v>0</v>
      </c>
      <c r="F144" s="588"/>
      <c r="G144" s="588">
        <f>0</f>
        <v>0</v>
      </c>
      <c r="H144" s="579">
        <f t="shared" si="2"/>
        <v>0</v>
      </c>
      <c r="I144" s="65"/>
      <c r="L144" s="65"/>
      <c r="M144" s="65"/>
    </row>
    <row r="145" spans="1:13" ht="18">
      <c r="A145" s="601" t="s">
        <v>1058</v>
      </c>
      <c r="B145" s="576" t="s">
        <v>1059</v>
      </c>
      <c r="C145" s="577">
        <v>45323</v>
      </c>
      <c r="D145" s="588"/>
      <c r="E145" s="588"/>
      <c r="F145" s="588"/>
      <c r="G145" s="600"/>
      <c r="H145" s="579">
        <f t="shared" si="2"/>
        <v>0</v>
      </c>
      <c r="I145" s="582"/>
      <c r="L145" s="65"/>
      <c r="M145" s="65"/>
    </row>
    <row r="146" spans="1:13" ht="16.5">
      <c r="A146" s="601" t="s">
        <v>1060</v>
      </c>
      <c r="B146" s="576" t="s">
        <v>1061</v>
      </c>
      <c r="C146" s="577">
        <v>45323</v>
      </c>
      <c r="D146" s="588">
        <f>200000</f>
        <v>200000</v>
      </c>
      <c r="E146" s="588">
        <f>0</f>
        <v>0</v>
      </c>
      <c r="F146" s="588"/>
      <c r="G146" s="588">
        <f>52500*2+275000</f>
        <v>380000</v>
      </c>
      <c r="H146" s="579">
        <f t="shared" si="2"/>
        <v>580000</v>
      </c>
      <c r="I146" s="582"/>
      <c r="L146" s="65"/>
    </row>
    <row r="147" spans="1:13" ht="16.5">
      <c r="A147" s="601" t="s">
        <v>1062</v>
      </c>
      <c r="B147" s="576" t="s">
        <v>1063</v>
      </c>
      <c r="C147" s="577">
        <v>45323</v>
      </c>
      <c r="D147" s="588">
        <f>25000</f>
        <v>25000</v>
      </c>
      <c r="E147" s="588"/>
      <c r="F147" s="588"/>
      <c r="G147" s="590"/>
      <c r="H147" s="579">
        <f t="shared" si="2"/>
        <v>25000</v>
      </c>
      <c r="I147" s="582"/>
      <c r="L147" s="65"/>
    </row>
    <row r="148" spans="1:13" ht="16.5">
      <c r="A148" s="601" t="s">
        <v>1064</v>
      </c>
      <c r="B148" s="576" t="s">
        <v>1065</v>
      </c>
      <c r="C148" s="577">
        <v>45323</v>
      </c>
      <c r="D148" s="588">
        <f>0</f>
        <v>0</v>
      </c>
      <c r="E148" s="588"/>
      <c r="F148" s="588"/>
      <c r="G148" s="588"/>
      <c r="H148" s="579">
        <f t="shared" si="2"/>
        <v>0</v>
      </c>
      <c r="I148" s="582"/>
      <c r="L148" s="65"/>
    </row>
    <row r="149" spans="1:13" ht="16.5">
      <c r="A149" s="601" t="s">
        <v>1066</v>
      </c>
      <c r="B149" s="576" t="s">
        <v>276</v>
      </c>
      <c r="C149" s="577">
        <v>45323</v>
      </c>
      <c r="D149" s="588">
        <v>50000</v>
      </c>
      <c r="E149" s="588"/>
      <c r="F149" s="588"/>
      <c r="G149" s="588">
        <v>145000</v>
      </c>
      <c r="H149" s="579">
        <f t="shared" si="2"/>
        <v>195000</v>
      </c>
      <c r="I149" s="582"/>
    </row>
    <row r="150" spans="1:13" ht="16.5">
      <c r="A150" s="601" t="s">
        <v>1067</v>
      </c>
      <c r="B150" s="576" t="s">
        <v>345</v>
      </c>
      <c r="C150" s="577">
        <v>45323</v>
      </c>
      <c r="D150" s="588">
        <f>10000</f>
        <v>10000</v>
      </c>
      <c r="E150" s="588">
        <f>0</f>
        <v>0</v>
      </c>
      <c r="F150" s="588"/>
      <c r="G150" s="581">
        <v>19583.330000000002</v>
      </c>
      <c r="H150" s="579">
        <f t="shared" si="2"/>
        <v>29583.33</v>
      </c>
      <c r="I150" s="65"/>
      <c r="L150" s="65"/>
    </row>
    <row r="151" spans="1:13" ht="16.5">
      <c r="A151" s="601" t="s">
        <v>1068</v>
      </c>
      <c r="B151" s="576" t="s">
        <v>1069</v>
      </c>
      <c r="C151" s="577">
        <v>45323</v>
      </c>
      <c r="D151" s="588">
        <f>10000</f>
        <v>10000</v>
      </c>
      <c r="E151" s="588"/>
      <c r="F151" s="588"/>
      <c r="G151" s="588">
        <f>95833.33</f>
        <v>95833.33</v>
      </c>
      <c r="H151" s="579">
        <f t="shared" si="2"/>
        <v>105833.33</v>
      </c>
      <c r="I151" s="582"/>
    </row>
    <row r="152" spans="1:13" ht="16.5">
      <c r="A152" s="601" t="s">
        <v>1070</v>
      </c>
      <c r="B152" s="576" t="s">
        <v>330</v>
      </c>
      <c r="C152" s="577">
        <v>45323</v>
      </c>
      <c r="D152" s="588">
        <f>0</f>
        <v>0</v>
      </c>
      <c r="E152" s="588"/>
      <c r="F152" s="588"/>
      <c r="G152" s="588">
        <f>26666.67</f>
        <v>26666.67</v>
      </c>
      <c r="H152" s="579">
        <f t="shared" si="2"/>
        <v>26666.67</v>
      </c>
      <c r="I152" s="582"/>
    </row>
    <row r="153" spans="1:13" ht="16.5">
      <c r="A153" s="601" t="s">
        <v>1071</v>
      </c>
      <c r="B153" s="576" t="s">
        <v>360</v>
      </c>
      <c r="C153" s="577">
        <v>45323</v>
      </c>
      <c r="D153" s="588">
        <f>50000</f>
        <v>50000</v>
      </c>
      <c r="E153" s="588"/>
      <c r="F153" s="588"/>
      <c r="G153" s="588">
        <f>50000</f>
        <v>50000</v>
      </c>
      <c r="H153" s="579">
        <f t="shared" si="2"/>
        <v>100000</v>
      </c>
      <c r="I153" s="582"/>
    </row>
    <row r="154" spans="1:13" ht="16.5">
      <c r="A154" s="601" t="s">
        <v>1072</v>
      </c>
      <c r="B154" s="576" t="s">
        <v>1073</v>
      </c>
      <c r="C154" s="577">
        <v>45323</v>
      </c>
      <c r="D154" s="588">
        <f>30000</f>
        <v>30000</v>
      </c>
      <c r="E154" s="588"/>
      <c r="F154" s="588"/>
      <c r="G154" s="588"/>
      <c r="H154" s="579">
        <f t="shared" si="2"/>
        <v>30000</v>
      </c>
      <c r="I154" s="582"/>
    </row>
    <row r="155" spans="1:13" ht="16.5">
      <c r="A155" s="601" t="s">
        <v>1074</v>
      </c>
      <c r="B155" s="576" t="s">
        <v>1075</v>
      </c>
      <c r="C155" s="577">
        <v>45323</v>
      </c>
      <c r="D155" s="588">
        <f>0</f>
        <v>0</v>
      </c>
      <c r="E155" s="588"/>
      <c r="F155" s="588"/>
      <c r="G155" s="588"/>
      <c r="H155" s="579">
        <f t="shared" si="2"/>
        <v>0</v>
      </c>
      <c r="I155" s="65"/>
    </row>
    <row r="156" spans="1:13" ht="16.5">
      <c r="A156" s="601" t="s">
        <v>1076</v>
      </c>
      <c r="B156" s="576" t="s">
        <v>1077</v>
      </c>
      <c r="C156" s="577">
        <v>45323</v>
      </c>
      <c r="D156" s="588">
        <f>100000</f>
        <v>100000</v>
      </c>
      <c r="E156" s="588"/>
      <c r="F156" s="588"/>
      <c r="G156" s="588">
        <f>51500</f>
        <v>51500</v>
      </c>
      <c r="H156" s="579">
        <f t="shared" si="2"/>
        <v>151500</v>
      </c>
      <c r="I156" s="582"/>
    </row>
    <row r="157" spans="1:13" ht="16.5">
      <c r="A157" s="601" t="s">
        <v>1078</v>
      </c>
      <c r="B157" s="576" t="s">
        <v>1079</v>
      </c>
      <c r="C157" s="577">
        <v>45323</v>
      </c>
      <c r="D157" s="588">
        <f>10000</f>
        <v>10000</v>
      </c>
      <c r="E157" s="588"/>
      <c r="F157" s="588">
        <f>10000</f>
        <v>10000</v>
      </c>
      <c r="G157" s="588">
        <f>11518</f>
        <v>11518</v>
      </c>
      <c r="H157" s="579">
        <f t="shared" si="2"/>
        <v>31518</v>
      </c>
      <c r="I157" s="582"/>
    </row>
    <row r="158" spans="1:13" ht="16.5">
      <c r="A158" s="601" t="s">
        <v>1080</v>
      </c>
      <c r="B158" s="576" t="s">
        <v>1081</v>
      </c>
      <c r="C158" s="577">
        <v>45323</v>
      </c>
      <c r="D158" s="588">
        <f>20000</f>
        <v>20000</v>
      </c>
      <c r="E158" s="588"/>
      <c r="F158" s="588"/>
      <c r="G158" s="588"/>
      <c r="H158" s="579">
        <f t="shared" si="2"/>
        <v>20000</v>
      </c>
      <c r="I158" s="582"/>
    </row>
    <row r="159" spans="1:13" ht="16.5">
      <c r="A159" s="601" t="s">
        <v>1082</v>
      </c>
      <c r="B159" s="576" t="s">
        <v>405</v>
      </c>
      <c r="C159" s="577">
        <v>45323</v>
      </c>
      <c r="D159" s="588">
        <v>10000</v>
      </c>
      <c r="E159" s="588"/>
      <c r="F159" s="588">
        <f>5000+5000</f>
        <v>10000</v>
      </c>
      <c r="G159" s="588"/>
      <c r="H159" s="579">
        <f t="shared" si="2"/>
        <v>20000</v>
      </c>
      <c r="I159" s="582"/>
    </row>
    <row r="160" spans="1:13" ht="16.5">
      <c r="A160" s="601" t="s">
        <v>1083</v>
      </c>
      <c r="B160" s="576" t="s">
        <v>1084</v>
      </c>
      <c r="C160" s="577">
        <v>45323</v>
      </c>
      <c r="D160" s="588">
        <v>200000</v>
      </c>
      <c r="E160" s="588"/>
      <c r="F160" s="588"/>
      <c r="G160" s="607">
        <f>0</f>
        <v>0</v>
      </c>
      <c r="H160" s="579">
        <f t="shared" si="2"/>
        <v>200000</v>
      </c>
      <c r="I160" s="582"/>
    </row>
    <row r="161" spans="1:9" ht="16.5">
      <c r="A161" s="601" t="s">
        <v>1085</v>
      </c>
      <c r="B161" s="576" t="s">
        <v>1086</v>
      </c>
      <c r="C161" s="577">
        <v>45323</v>
      </c>
      <c r="D161" s="588">
        <f>0</f>
        <v>0</v>
      </c>
      <c r="E161" s="588"/>
      <c r="F161" s="588"/>
      <c r="G161" s="588">
        <f>0</f>
        <v>0</v>
      </c>
      <c r="H161" s="579">
        <f t="shared" si="2"/>
        <v>0</v>
      </c>
      <c r="I161" s="65"/>
    </row>
    <row r="162" spans="1:9" ht="16.5">
      <c r="A162" s="601" t="s">
        <v>1087</v>
      </c>
      <c r="B162" s="576" t="s">
        <v>1088</v>
      </c>
      <c r="C162" s="577">
        <v>45323</v>
      </c>
      <c r="D162" s="588">
        <f>100000</f>
        <v>100000</v>
      </c>
      <c r="E162" s="588"/>
      <c r="F162" s="588"/>
      <c r="G162" s="588"/>
      <c r="H162" s="579">
        <f t="shared" si="2"/>
        <v>100000</v>
      </c>
      <c r="I162" s="582"/>
    </row>
    <row r="163" spans="1:9" ht="16.5">
      <c r="A163" s="601" t="s">
        <v>1089</v>
      </c>
      <c r="B163" s="576" t="s">
        <v>1090</v>
      </c>
      <c r="C163" s="577">
        <v>45323</v>
      </c>
      <c r="D163" s="588">
        <f>5000</f>
        <v>5000</v>
      </c>
      <c r="E163" s="588">
        <f>0</f>
        <v>0</v>
      </c>
      <c r="F163" s="588">
        <f>10000</f>
        <v>10000</v>
      </c>
      <c r="G163" s="588">
        <v>20000</v>
      </c>
      <c r="H163" s="579">
        <f t="shared" si="2"/>
        <v>35000</v>
      </c>
      <c r="I163" s="582"/>
    </row>
    <row r="164" spans="1:9" ht="16.5">
      <c r="A164" s="601" t="s">
        <v>1091</v>
      </c>
      <c r="B164" s="576" t="s">
        <v>1092</v>
      </c>
      <c r="C164" s="577">
        <v>45323</v>
      </c>
      <c r="D164" s="588">
        <f>20000</f>
        <v>20000</v>
      </c>
      <c r="E164" s="588"/>
      <c r="F164" s="588"/>
      <c r="G164" s="588"/>
      <c r="H164" s="579">
        <f t="shared" si="2"/>
        <v>20000</v>
      </c>
      <c r="I164" s="582"/>
    </row>
    <row r="165" spans="1:9" ht="16.5">
      <c r="A165" s="601" t="s">
        <v>1093</v>
      </c>
      <c r="B165" s="576" t="s">
        <v>1094</v>
      </c>
      <c r="C165" s="577">
        <v>45323</v>
      </c>
      <c r="D165" s="588">
        <f>50000</f>
        <v>50000</v>
      </c>
      <c r="E165" s="588"/>
      <c r="F165" s="588"/>
      <c r="G165" s="588">
        <f>91666.67</f>
        <v>91666.67</v>
      </c>
      <c r="H165" s="579">
        <f t="shared" si="2"/>
        <v>141666.66999999998</v>
      </c>
      <c r="I165" s="582"/>
    </row>
    <row r="166" spans="1:9" ht="16.5">
      <c r="A166" s="601" t="s">
        <v>1095</v>
      </c>
      <c r="B166" s="576" t="s">
        <v>421</v>
      </c>
      <c r="C166" s="577">
        <v>45323</v>
      </c>
      <c r="D166" s="588">
        <f>20000</f>
        <v>20000</v>
      </c>
      <c r="E166" s="588">
        <f>0</f>
        <v>0</v>
      </c>
      <c r="F166" s="588"/>
      <c r="G166" s="588">
        <f>43750</f>
        <v>43750</v>
      </c>
      <c r="H166" s="579">
        <f t="shared" si="2"/>
        <v>63750</v>
      </c>
      <c r="I166" s="582"/>
    </row>
    <row r="167" spans="1:9" ht="16.5">
      <c r="A167" s="601" t="s">
        <v>1096</v>
      </c>
      <c r="B167" s="576" t="s">
        <v>1097</v>
      </c>
      <c r="C167" s="577">
        <v>45323</v>
      </c>
      <c r="D167" s="588">
        <f>10000</f>
        <v>10000</v>
      </c>
      <c r="E167" s="588">
        <f>0</f>
        <v>0</v>
      </c>
      <c r="F167" s="588"/>
      <c r="G167" s="588"/>
      <c r="H167" s="579">
        <f t="shared" si="2"/>
        <v>10000</v>
      </c>
      <c r="I167" s="582"/>
    </row>
    <row r="168" spans="1:9" ht="16.5">
      <c r="A168" s="601" t="s">
        <v>1098</v>
      </c>
      <c r="B168" s="576" t="s">
        <v>434</v>
      </c>
      <c r="C168" s="577">
        <v>45323</v>
      </c>
      <c r="D168" s="588">
        <f>10000</f>
        <v>10000</v>
      </c>
      <c r="E168" s="588">
        <f>0</f>
        <v>0</v>
      </c>
      <c r="F168" s="588"/>
      <c r="G168" s="588">
        <f>20000</f>
        <v>20000</v>
      </c>
      <c r="H168" s="579">
        <f t="shared" si="2"/>
        <v>30000</v>
      </c>
      <c r="I168" s="582"/>
    </row>
    <row r="169" spans="1:9" ht="16.5">
      <c r="A169" s="601" t="s">
        <v>1099</v>
      </c>
      <c r="B169" s="576" t="s">
        <v>1100</v>
      </c>
      <c r="C169" s="577">
        <v>45323</v>
      </c>
      <c r="D169" s="588">
        <v>20000</v>
      </c>
      <c r="E169" s="588">
        <f>0</f>
        <v>0</v>
      </c>
      <c r="F169" s="588"/>
      <c r="G169" s="588"/>
      <c r="H169" s="579">
        <f t="shared" si="2"/>
        <v>20000</v>
      </c>
      <c r="I169" s="582"/>
    </row>
    <row r="170" spans="1:9" ht="16.5">
      <c r="A170" s="601" t="s">
        <v>1101</v>
      </c>
      <c r="B170" s="576" t="s">
        <v>1102</v>
      </c>
      <c r="C170" s="577">
        <v>45323</v>
      </c>
      <c r="D170" s="588">
        <f>0</f>
        <v>0</v>
      </c>
      <c r="E170" s="588">
        <f>0</f>
        <v>0</v>
      </c>
      <c r="F170" s="588">
        <f>120000</f>
        <v>120000</v>
      </c>
      <c r="G170" s="588"/>
      <c r="H170" s="579">
        <f t="shared" si="2"/>
        <v>120000</v>
      </c>
      <c r="I170" s="582"/>
    </row>
    <row r="171" spans="1:9" ht="16.5">
      <c r="A171" s="601" t="s">
        <v>1103</v>
      </c>
      <c r="B171" s="576" t="s">
        <v>1104</v>
      </c>
      <c r="C171" s="577">
        <v>45323</v>
      </c>
      <c r="D171" s="588">
        <f>50000</f>
        <v>50000</v>
      </c>
      <c r="E171" s="588"/>
      <c r="F171" s="588"/>
      <c r="G171" s="588"/>
      <c r="H171" s="579">
        <f t="shared" si="2"/>
        <v>50000</v>
      </c>
      <c r="I171" s="582"/>
    </row>
    <row r="172" spans="1:9" ht="16.5">
      <c r="A172" s="601" t="s">
        <v>1105</v>
      </c>
      <c r="B172" s="576" t="s">
        <v>423</v>
      </c>
      <c r="C172" s="577">
        <v>45323</v>
      </c>
      <c r="D172" s="588">
        <f>65000</f>
        <v>65000</v>
      </c>
      <c r="E172" s="588"/>
      <c r="F172" s="588"/>
      <c r="G172" s="588"/>
      <c r="H172" s="579">
        <f t="shared" si="2"/>
        <v>65000</v>
      </c>
      <c r="I172" s="582"/>
    </row>
    <row r="173" spans="1:9" ht="16.5">
      <c r="A173" s="601" t="s">
        <v>1106</v>
      </c>
      <c r="B173" s="576" t="s">
        <v>426</v>
      </c>
      <c r="C173" s="577">
        <v>45323</v>
      </c>
      <c r="D173" s="588">
        <f>10000</f>
        <v>10000</v>
      </c>
      <c r="E173" s="588"/>
      <c r="F173" s="588"/>
      <c r="G173" s="588"/>
      <c r="H173" s="579">
        <f t="shared" si="2"/>
        <v>10000</v>
      </c>
      <c r="I173" s="582"/>
    </row>
    <row r="174" spans="1:9" ht="16.5">
      <c r="A174" s="601" t="s">
        <v>1107</v>
      </c>
      <c r="B174" s="576" t="s">
        <v>1108</v>
      </c>
      <c r="C174" s="577">
        <v>45323</v>
      </c>
      <c r="D174" s="588">
        <f>10000</f>
        <v>10000</v>
      </c>
      <c r="E174" s="588"/>
      <c r="F174" s="588"/>
      <c r="G174" s="588"/>
      <c r="H174" s="579">
        <f t="shared" si="2"/>
        <v>10000</v>
      </c>
      <c r="I174" s="582"/>
    </row>
    <row r="175" spans="1:9" ht="16.5">
      <c r="A175" s="601" t="s">
        <v>1109</v>
      </c>
      <c r="B175" s="576" t="s">
        <v>1110</v>
      </c>
      <c r="C175" s="577">
        <v>45323</v>
      </c>
      <c r="D175" s="588">
        <f>30000</f>
        <v>30000</v>
      </c>
      <c r="E175" s="588"/>
      <c r="F175" s="588"/>
      <c r="G175" s="588"/>
      <c r="H175" s="579">
        <f t="shared" si="2"/>
        <v>30000</v>
      </c>
      <c r="I175" s="582"/>
    </row>
    <row r="176" spans="1:9" ht="16.5">
      <c r="A176" s="601" t="s">
        <v>1111</v>
      </c>
      <c r="B176" s="576" t="s">
        <v>555</v>
      </c>
      <c r="C176" s="577">
        <v>45323</v>
      </c>
      <c r="D176" s="588">
        <f>20000</f>
        <v>20000</v>
      </c>
      <c r="E176" s="588"/>
      <c r="F176" s="588"/>
      <c r="G176" s="588"/>
      <c r="H176" s="579">
        <f t="shared" si="2"/>
        <v>20000</v>
      </c>
      <c r="I176" s="582"/>
    </row>
    <row r="177" spans="1:12" ht="16.5">
      <c r="A177" s="601" t="s">
        <v>1112</v>
      </c>
      <c r="B177" s="576" t="s">
        <v>1113</v>
      </c>
      <c r="C177" s="577">
        <v>45323</v>
      </c>
      <c r="D177" s="588">
        <f>30000</f>
        <v>30000</v>
      </c>
      <c r="E177" s="588"/>
      <c r="F177" s="588"/>
      <c r="G177" s="588"/>
      <c r="H177" s="579">
        <f t="shared" si="2"/>
        <v>30000</v>
      </c>
      <c r="I177" s="582"/>
    </row>
    <row r="178" spans="1:12" ht="16.5">
      <c r="A178" s="601" t="s">
        <v>1114</v>
      </c>
      <c r="B178" s="576" t="s">
        <v>1115</v>
      </c>
      <c r="C178" s="577">
        <v>45323</v>
      </c>
      <c r="D178" s="588">
        <v>30000</v>
      </c>
      <c r="E178" s="588"/>
      <c r="F178" s="588"/>
      <c r="G178" s="588"/>
      <c r="H178" s="579">
        <f t="shared" si="2"/>
        <v>30000</v>
      </c>
      <c r="I178" s="582"/>
    </row>
    <row r="179" spans="1:12" ht="16.5">
      <c r="A179" s="601" t="s">
        <v>1116</v>
      </c>
      <c r="B179" s="576" t="s">
        <v>1117</v>
      </c>
      <c r="C179" s="577">
        <v>45323</v>
      </c>
      <c r="D179" s="588">
        <f>50000</f>
        <v>50000</v>
      </c>
      <c r="E179" s="588"/>
      <c r="F179" s="588"/>
      <c r="G179" s="588"/>
      <c r="H179" s="579">
        <f t="shared" si="2"/>
        <v>50000</v>
      </c>
      <c r="I179" s="582"/>
    </row>
    <row r="180" spans="1:12" ht="16.5">
      <c r="A180" s="601" t="s">
        <v>1118</v>
      </c>
      <c r="B180" s="576" t="s">
        <v>1119</v>
      </c>
      <c r="C180" s="577">
        <v>45323</v>
      </c>
      <c r="D180" s="588">
        <v>5000</v>
      </c>
      <c r="E180" s="588"/>
      <c r="F180" s="588">
        <f>10000</f>
        <v>10000</v>
      </c>
      <c r="G180" s="588"/>
      <c r="H180" s="579">
        <f t="shared" si="2"/>
        <v>15000</v>
      </c>
      <c r="I180" s="582"/>
    </row>
    <row r="181" spans="1:12" ht="16.5">
      <c r="A181" s="601" t="s">
        <v>1120</v>
      </c>
      <c r="B181" s="576" t="s">
        <v>562</v>
      </c>
      <c r="C181" s="577">
        <v>45323</v>
      </c>
      <c r="D181" s="588">
        <f>10000</f>
        <v>10000</v>
      </c>
      <c r="E181" s="588"/>
      <c r="F181" s="588">
        <f>10000</f>
        <v>10000</v>
      </c>
      <c r="G181" s="588"/>
      <c r="H181" s="579">
        <f t="shared" si="2"/>
        <v>20000</v>
      </c>
      <c r="I181" s="582"/>
    </row>
    <row r="182" spans="1:12" ht="16.5">
      <c r="A182" s="601" t="s">
        <v>1118</v>
      </c>
      <c r="B182" s="576" t="s">
        <v>1121</v>
      </c>
      <c r="C182" s="577">
        <v>45323</v>
      </c>
      <c r="D182" s="588">
        <f>10000</f>
        <v>10000</v>
      </c>
      <c r="E182" s="588"/>
      <c r="F182" s="588"/>
      <c r="G182" s="588"/>
      <c r="H182" s="579">
        <f t="shared" si="2"/>
        <v>10000</v>
      </c>
      <c r="I182" s="582"/>
    </row>
    <row r="183" spans="1:12" ht="16.5">
      <c r="A183" s="601" t="s">
        <v>1118</v>
      </c>
      <c r="B183" s="576" t="s">
        <v>557</v>
      </c>
      <c r="C183" s="577">
        <v>45323</v>
      </c>
      <c r="D183" s="588">
        <f>10000</f>
        <v>10000</v>
      </c>
      <c r="E183" s="588"/>
      <c r="F183" s="588"/>
      <c r="G183" s="588"/>
      <c r="H183" s="579">
        <f t="shared" si="2"/>
        <v>10000</v>
      </c>
      <c r="I183" s="582"/>
    </row>
    <row r="184" spans="1:12" ht="16.5">
      <c r="A184" s="601" t="s">
        <v>1118</v>
      </c>
      <c r="B184" s="576" t="s">
        <v>1122</v>
      </c>
      <c r="C184" s="577">
        <v>45323</v>
      </c>
      <c r="D184" s="588">
        <f>10000</f>
        <v>10000</v>
      </c>
      <c r="E184" s="588"/>
      <c r="F184" s="588"/>
      <c r="G184" s="588"/>
      <c r="H184" s="579">
        <f t="shared" si="2"/>
        <v>10000</v>
      </c>
      <c r="I184" s="582"/>
    </row>
    <row r="185" spans="1:12" ht="16.5">
      <c r="A185" s="576"/>
      <c r="B185" s="576"/>
      <c r="C185" s="608"/>
      <c r="D185" s="609">
        <f>SUM(D5:D184)</f>
        <v>4415500</v>
      </c>
      <c r="E185" s="609">
        <f>SUM(E5:E184)</f>
        <v>0</v>
      </c>
      <c r="F185" s="609">
        <f>SUM(F5:F184)</f>
        <v>708000</v>
      </c>
      <c r="G185" s="609">
        <f>SUM(G5:G184)</f>
        <v>7015945.6884722207</v>
      </c>
      <c r="H185" s="610">
        <f>SUM(H5:H184)</f>
        <v>12139445.688472221</v>
      </c>
      <c r="I185" s="65"/>
      <c r="J185" s="65"/>
      <c r="L185" s="65"/>
    </row>
    <row r="186" spans="1:12" ht="22.5">
      <c r="A186" s="611"/>
      <c r="B186" s="612" t="s">
        <v>15</v>
      </c>
      <c r="C186" s="576"/>
      <c r="D186" s="613">
        <f>D185+E185+F185</f>
        <v>5123500</v>
      </c>
      <c r="E186" s="614"/>
      <c r="F186" s="614"/>
      <c r="G186" s="614"/>
      <c r="H186" s="614"/>
      <c r="I186" s="66"/>
      <c r="J186" s="66"/>
      <c r="L186" s="65"/>
    </row>
    <row r="187" spans="1:12" ht="15.75">
      <c r="A187" s="567"/>
      <c r="B187" s="570" t="s">
        <v>1123</v>
      </c>
      <c r="C187" s="570"/>
      <c r="D187" s="615"/>
      <c r="E187" s="576"/>
      <c r="F187" s="66"/>
      <c r="G187" s="616"/>
      <c r="H187" s="65"/>
      <c r="I187" s="65"/>
      <c r="L187" s="617"/>
    </row>
    <row r="188" spans="1:12" ht="15.75">
      <c r="A188" s="567"/>
      <c r="B188" s="576"/>
      <c r="C188" s="570" t="s">
        <v>1124</v>
      </c>
      <c r="D188" s="570" t="s">
        <v>1125</v>
      </c>
      <c r="E188" s="576"/>
      <c r="F188" s="616"/>
      <c r="G188" s="616"/>
      <c r="H188" s="617"/>
      <c r="I188" s="65"/>
    </row>
    <row r="189" spans="1:12" ht="18">
      <c r="A189" s="576"/>
      <c r="B189" s="576" t="s">
        <v>1126</v>
      </c>
      <c r="C189" s="597">
        <f>22000</f>
        <v>22000</v>
      </c>
      <c r="D189" s="627">
        <f>20000</f>
        <v>20000</v>
      </c>
      <c r="E189" s="628">
        <f>D189-C189</f>
        <v>-2000</v>
      </c>
      <c r="F189" s="440" t="s">
        <v>1151</v>
      </c>
      <c r="G189" s="65"/>
      <c r="H189" s="65"/>
      <c r="I189" s="65"/>
      <c r="K189" s="65"/>
    </row>
    <row r="190" spans="1:12" ht="18">
      <c r="A190" s="576"/>
      <c r="B190" s="576" t="s">
        <v>1127</v>
      </c>
      <c r="C190" s="597">
        <f>52000</f>
        <v>52000</v>
      </c>
      <c r="D190" s="618">
        <f>50000</f>
        <v>50000</v>
      </c>
      <c r="E190" s="597">
        <f t="shared" ref="E190" si="3">D190-C190</f>
        <v>-2000</v>
      </c>
      <c r="G190" s="65"/>
      <c r="H190" s="65"/>
      <c r="I190" s="65"/>
      <c r="K190" s="65"/>
    </row>
    <row r="191" spans="1:12" ht="18">
      <c r="A191" s="576"/>
      <c r="B191" s="576" t="s">
        <v>1128</v>
      </c>
      <c r="C191" s="597">
        <f>17000</f>
        <v>17000</v>
      </c>
      <c r="D191" s="618">
        <f>15000</f>
        <v>15000</v>
      </c>
      <c r="E191" s="597">
        <f>D191-C191</f>
        <v>-2000</v>
      </c>
      <c r="F191" s="582"/>
      <c r="G191" s="65"/>
      <c r="H191" s="65"/>
      <c r="I191" s="65"/>
      <c r="K191" s="65"/>
    </row>
    <row r="192" spans="1:12" ht="18">
      <c r="A192" s="576"/>
      <c r="B192" s="576" t="s">
        <v>562</v>
      </c>
      <c r="C192" s="597">
        <v>22000</v>
      </c>
      <c r="D192" s="618">
        <f>20000</f>
        <v>20000</v>
      </c>
      <c r="E192" s="597">
        <f t="shared" ref="E192:E195" si="4">D192-C192</f>
        <v>-2000</v>
      </c>
      <c r="F192" s="582"/>
      <c r="G192" s="65"/>
      <c r="H192" s="65"/>
      <c r="I192" s="65"/>
      <c r="K192" s="65"/>
    </row>
    <row r="193" spans="1:11" ht="18">
      <c r="A193" s="576"/>
      <c r="B193" s="576" t="s">
        <v>1121</v>
      </c>
      <c r="C193" s="597">
        <v>12000</v>
      </c>
      <c r="D193" s="618">
        <f>10000</f>
        <v>10000</v>
      </c>
      <c r="E193" s="597">
        <f t="shared" si="4"/>
        <v>-2000</v>
      </c>
      <c r="F193" s="582"/>
      <c r="G193" s="65"/>
      <c r="H193" s="65"/>
      <c r="I193" s="65"/>
      <c r="K193" s="65"/>
    </row>
    <row r="194" spans="1:11" ht="18">
      <c r="A194" s="576"/>
      <c r="B194" s="576" t="s">
        <v>557</v>
      </c>
      <c r="C194" s="597">
        <v>12000</v>
      </c>
      <c r="D194" s="618">
        <f>10000</f>
        <v>10000</v>
      </c>
      <c r="E194" s="597">
        <f t="shared" si="4"/>
        <v>-2000</v>
      </c>
      <c r="F194" s="582"/>
      <c r="G194" s="65"/>
      <c r="H194" s="65"/>
      <c r="I194" s="65"/>
      <c r="K194" s="65"/>
    </row>
    <row r="195" spans="1:11" ht="18">
      <c r="A195" s="576"/>
      <c r="B195" s="576" t="s">
        <v>1122</v>
      </c>
      <c r="C195" s="597">
        <v>12000</v>
      </c>
      <c r="D195" s="618">
        <f>10000</f>
        <v>10000</v>
      </c>
      <c r="E195" s="597">
        <f t="shared" si="4"/>
        <v>-2000</v>
      </c>
      <c r="F195" s="582"/>
      <c r="G195" s="65"/>
      <c r="H195" s="65"/>
      <c r="I195" s="65"/>
      <c r="K195" s="65"/>
    </row>
    <row r="196" spans="1:11" ht="18">
      <c r="A196" s="567"/>
      <c r="B196" s="620" t="s">
        <v>786</v>
      </c>
      <c r="C196" s="591"/>
      <c r="D196" s="621">
        <f>0</f>
        <v>0</v>
      </c>
      <c r="E196" s="622">
        <f>SUM(E190:E195)</f>
        <v>-12000</v>
      </c>
      <c r="I196" s="31"/>
      <c r="K196" s="65"/>
    </row>
    <row r="197" spans="1:11" ht="15">
      <c r="A197" s="576"/>
      <c r="B197" s="576"/>
      <c r="C197" s="570"/>
      <c r="D197" s="576"/>
      <c r="E197" s="576"/>
      <c r="K197" s="65"/>
    </row>
    <row r="198" spans="1:11" ht="15">
      <c r="A198" s="576"/>
      <c r="B198" s="570" t="s">
        <v>1129</v>
      </c>
      <c r="C198" s="570"/>
      <c r="D198" s="576"/>
      <c r="E198" s="576"/>
      <c r="K198" s="65"/>
    </row>
    <row r="199" spans="1:11" ht="15">
      <c r="A199" s="576"/>
      <c r="B199" s="570"/>
      <c r="C199" s="570" t="s">
        <v>1124</v>
      </c>
      <c r="D199" s="570" t="s">
        <v>1125</v>
      </c>
      <c r="E199" s="576"/>
      <c r="K199" s="65"/>
    </row>
    <row r="200" spans="1:11" ht="18">
      <c r="A200" s="619"/>
      <c r="B200" s="619" t="s">
        <v>1130</v>
      </c>
      <c r="C200" s="579">
        <f>20000</f>
        <v>20000</v>
      </c>
      <c r="D200" s="581">
        <f>0</f>
        <v>0</v>
      </c>
      <c r="E200" s="597">
        <f>D200-C200</f>
        <v>-20000</v>
      </c>
      <c r="G200" s="65"/>
      <c r="K200" s="65"/>
    </row>
    <row r="201" spans="1:11" ht="18">
      <c r="A201" s="619"/>
      <c r="B201" s="619" t="s">
        <v>1152</v>
      </c>
      <c r="C201" s="579">
        <v>120000</v>
      </c>
      <c r="D201" s="581"/>
      <c r="E201" s="597">
        <f>D201-C201</f>
        <v>-120000</v>
      </c>
      <c r="G201" s="65"/>
      <c r="K201" s="65"/>
    </row>
    <row r="202" spans="1:11" ht="18">
      <c r="A202" s="619"/>
      <c r="B202" s="619"/>
      <c r="C202" s="579"/>
      <c r="D202" s="581"/>
      <c r="E202" s="597"/>
      <c r="G202" s="65"/>
      <c r="K202" s="65"/>
    </row>
    <row r="203" spans="1:11" ht="18">
      <c r="A203" s="619"/>
      <c r="B203" s="619"/>
      <c r="C203" s="597"/>
      <c r="D203" s="597"/>
      <c r="E203" s="597"/>
      <c r="G203" s="65"/>
      <c r="K203" s="65"/>
    </row>
    <row r="204" spans="1:11" ht="18">
      <c r="A204" s="619"/>
      <c r="B204" s="619"/>
      <c r="C204" s="579"/>
      <c r="D204" s="581"/>
      <c r="E204" s="597"/>
      <c r="G204" s="65"/>
      <c r="H204" s="65"/>
      <c r="K204" s="65"/>
    </row>
    <row r="205" spans="1:11" ht="18">
      <c r="A205" s="567"/>
      <c r="B205" s="567"/>
      <c r="C205" s="567"/>
      <c r="D205" s="567"/>
      <c r="E205" s="622">
        <f>SUM(E200:E204)</f>
        <v>-140000</v>
      </c>
      <c r="G205" s="65"/>
      <c r="K205" s="65"/>
    </row>
    <row r="206" spans="1:11" ht="30" customHeight="1">
      <c r="A206" s="567"/>
      <c r="B206" s="620" t="s">
        <v>1131</v>
      </c>
      <c r="C206" s="567"/>
      <c r="D206" s="567"/>
      <c r="E206" s="629">
        <f>E196+E205</f>
        <v>-152000</v>
      </c>
      <c r="G206" s="65"/>
      <c r="K206" s="65"/>
    </row>
    <row r="207" spans="1:11" ht="18.75">
      <c r="E207" s="623"/>
      <c r="K207" s="65"/>
    </row>
    <row r="208" spans="1:11" ht="16.5">
      <c r="A208" s="601" t="s">
        <v>862</v>
      </c>
      <c r="B208" s="576" t="s">
        <v>863</v>
      </c>
      <c r="C208" s="577">
        <v>45292</v>
      </c>
      <c r="D208" s="581">
        <v>10000</v>
      </c>
      <c r="E208" s="581">
        <v>0</v>
      </c>
      <c r="F208" s="581">
        <v>0</v>
      </c>
      <c r="G208" s="581">
        <f>40000</f>
        <v>40000</v>
      </c>
      <c r="H208" s="579">
        <f t="shared" ref="H208:H222" si="5">D208+E208+F208+G208</f>
        <v>50000</v>
      </c>
      <c r="I208" s="65"/>
      <c r="K208" s="65"/>
    </row>
    <row r="209" spans="1:14" ht="16.5">
      <c r="A209" s="601" t="s">
        <v>908</v>
      </c>
      <c r="B209" s="576" t="s">
        <v>909</v>
      </c>
      <c r="C209" s="577">
        <v>45292</v>
      </c>
      <c r="D209" s="588">
        <v>30000</v>
      </c>
      <c r="E209" s="588">
        <v>0</v>
      </c>
      <c r="F209" s="588">
        <v>0</v>
      </c>
      <c r="G209" s="588">
        <f>0</f>
        <v>0</v>
      </c>
      <c r="H209" s="579">
        <f t="shared" si="5"/>
        <v>30000</v>
      </c>
      <c r="K209" s="65"/>
    </row>
    <row r="210" spans="1:14" ht="16.5">
      <c r="A210" s="601" t="s">
        <v>943</v>
      </c>
      <c r="B210" s="576" t="s">
        <v>944</v>
      </c>
      <c r="C210" s="577">
        <v>45292</v>
      </c>
      <c r="D210" s="588">
        <v>10000</v>
      </c>
      <c r="E210" s="588">
        <v>0</v>
      </c>
      <c r="F210" s="588"/>
      <c r="G210" s="588">
        <f>20000</f>
        <v>20000</v>
      </c>
      <c r="H210" s="579">
        <f t="shared" si="5"/>
        <v>30000</v>
      </c>
      <c r="K210" s="65"/>
      <c r="N210" s="65"/>
    </row>
    <row r="211" spans="1:14" ht="16.5">
      <c r="A211" s="601" t="s">
        <v>1017</v>
      </c>
      <c r="B211" s="576" t="s">
        <v>1018</v>
      </c>
      <c r="C211" s="577">
        <v>45292</v>
      </c>
      <c r="D211" s="588"/>
      <c r="E211" s="588"/>
      <c r="F211" s="588"/>
      <c r="G211" s="588"/>
      <c r="H211" s="579">
        <f t="shared" si="5"/>
        <v>0</v>
      </c>
      <c r="I211" s="65"/>
      <c r="K211" s="65"/>
      <c r="N211" s="65"/>
    </row>
    <row r="212" spans="1:14" ht="16.5">
      <c r="A212" s="601" t="s">
        <v>1132</v>
      </c>
      <c r="B212" s="576" t="s">
        <v>1133</v>
      </c>
      <c r="C212" s="577">
        <v>45292</v>
      </c>
      <c r="D212" s="588">
        <f>5000</f>
        <v>5000</v>
      </c>
      <c r="E212" s="588">
        <f>0</f>
        <v>0</v>
      </c>
      <c r="F212" s="588">
        <f>5000+5000</f>
        <v>10000</v>
      </c>
      <c r="G212" s="588">
        <f>14350</f>
        <v>14350</v>
      </c>
      <c r="H212" s="579">
        <f t="shared" si="5"/>
        <v>29350</v>
      </c>
      <c r="I212" s="66"/>
      <c r="K212" s="65"/>
      <c r="N212" s="65"/>
    </row>
    <row r="213" spans="1:14" ht="16.5">
      <c r="A213" s="601" t="s">
        <v>1134</v>
      </c>
      <c r="B213" s="576" t="s">
        <v>1135</v>
      </c>
      <c r="C213" s="577">
        <v>45292</v>
      </c>
      <c r="D213" s="588">
        <f>0</f>
        <v>0</v>
      </c>
      <c r="E213" s="588"/>
      <c r="F213" s="588"/>
      <c r="G213" s="588"/>
      <c r="H213" s="579">
        <f t="shared" si="5"/>
        <v>0</v>
      </c>
      <c r="K213" s="65"/>
      <c r="N213" s="65"/>
    </row>
    <row r="214" spans="1:14" ht="16.5">
      <c r="A214" s="601" t="s">
        <v>1136</v>
      </c>
      <c r="B214" s="576" t="s">
        <v>1137</v>
      </c>
      <c r="C214" s="577">
        <v>45292</v>
      </c>
      <c r="D214" s="588">
        <f>5000</f>
        <v>5000</v>
      </c>
      <c r="E214" s="588"/>
      <c r="F214" s="588"/>
      <c r="G214" s="588">
        <f>0</f>
        <v>0</v>
      </c>
      <c r="H214" s="579">
        <f t="shared" si="5"/>
        <v>5000</v>
      </c>
      <c r="K214" s="65"/>
      <c r="N214" s="65"/>
    </row>
    <row r="215" spans="1:14" ht="16.5">
      <c r="A215" s="601" t="s">
        <v>1138</v>
      </c>
      <c r="B215" s="576" t="s">
        <v>1139</v>
      </c>
      <c r="C215" s="577">
        <v>45292</v>
      </c>
      <c r="D215" s="588">
        <f>10000</f>
        <v>10000</v>
      </c>
      <c r="E215" s="588">
        <f>0</f>
        <v>0</v>
      </c>
      <c r="F215" s="588"/>
      <c r="G215" s="588">
        <f>20000</f>
        <v>20000</v>
      </c>
      <c r="H215" s="579">
        <f t="shared" si="5"/>
        <v>30000</v>
      </c>
      <c r="J215" s="65"/>
      <c r="K215" s="65"/>
      <c r="N215" s="65"/>
    </row>
    <row r="216" spans="1:14" ht="16.5">
      <c r="A216" s="601" t="s">
        <v>1140</v>
      </c>
      <c r="B216" s="576" t="s">
        <v>1141</v>
      </c>
      <c r="C216" s="577">
        <v>45292</v>
      </c>
      <c r="D216" s="588">
        <f>25000</f>
        <v>25000</v>
      </c>
      <c r="E216" s="588"/>
      <c r="F216" s="588"/>
      <c r="G216" s="588">
        <f>60640</f>
        <v>60640</v>
      </c>
      <c r="H216" s="579">
        <f t="shared" si="5"/>
        <v>85640</v>
      </c>
      <c r="J216" s="65"/>
      <c r="K216" s="65"/>
      <c r="N216" s="65"/>
    </row>
    <row r="217" spans="1:14" ht="18">
      <c r="A217" s="601" t="s">
        <v>1142</v>
      </c>
      <c r="B217" s="576" t="s">
        <v>1143</v>
      </c>
      <c r="C217" s="577">
        <v>45292</v>
      </c>
      <c r="D217" s="588">
        <v>10000</v>
      </c>
      <c r="E217" s="588"/>
      <c r="F217" s="588"/>
      <c r="G217" s="589">
        <f>0</f>
        <v>0</v>
      </c>
      <c r="H217" s="579">
        <f t="shared" si="5"/>
        <v>10000</v>
      </c>
      <c r="J217" s="65"/>
      <c r="K217" s="65"/>
      <c r="N217" s="65"/>
    </row>
    <row r="218" spans="1:14" ht="16.5">
      <c r="A218" s="601" t="s">
        <v>1099</v>
      </c>
      <c r="B218" s="576" t="s">
        <v>1100</v>
      </c>
      <c r="C218" s="577">
        <v>45292</v>
      </c>
      <c r="D218" s="588"/>
      <c r="E218" s="588">
        <f>0</f>
        <v>0</v>
      </c>
      <c r="F218" s="588"/>
      <c r="G218" s="588"/>
      <c r="H218" s="579">
        <f t="shared" si="5"/>
        <v>0</v>
      </c>
      <c r="J218" s="65"/>
      <c r="K218" s="65"/>
      <c r="N218" s="66"/>
    </row>
    <row r="219" spans="1:14" ht="16.5">
      <c r="A219" s="601" t="s">
        <v>1114</v>
      </c>
      <c r="B219" s="576" t="s">
        <v>1115</v>
      </c>
      <c r="C219" s="577">
        <v>45292</v>
      </c>
      <c r="D219" s="588"/>
      <c r="E219" s="588">
        <f>0</f>
        <v>0</v>
      </c>
      <c r="F219" s="588"/>
      <c r="G219" s="588"/>
      <c r="H219" s="579">
        <f t="shared" si="5"/>
        <v>0</v>
      </c>
      <c r="J219" s="65"/>
      <c r="K219" s="65"/>
      <c r="N219" s="66"/>
    </row>
    <row r="220" spans="1:14" ht="16.5">
      <c r="A220" s="601" t="s">
        <v>1144</v>
      </c>
      <c r="B220" s="576" t="s">
        <v>1145</v>
      </c>
      <c r="C220" s="577">
        <v>45292</v>
      </c>
      <c r="D220" s="588">
        <f>20000</f>
        <v>20000</v>
      </c>
      <c r="E220" s="588"/>
      <c r="F220" s="588"/>
      <c r="G220" s="588"/>
      <c r="H220" s="579">
        <f t="shared" si="5"/>
        <v>20000</v>
      </c>
      <c r="J220" s="65"/>
      <c r="K220" s="65"/>
      <c r="N220" s="66"/>
    </row>
    <row r="221" spans="1:14" ht="16.5">
      <c r="A221" s="601" t="s">
        <v>1146</v>
      </c>
      <c r="B221" s="576" t="s">
        <v>1147</v>
      </c>
      <c r="C221" s="577">
        <v>45292</v>
      </c>
      <c r="D221" s="588">
        <f>20000</f>
        <v>20000</v>
      </c>
      <c r="E221" s="588"/>
      <c r="F221" s="588"/>
      <c r="G221" s="588"/>
      <c r="H221" s="579">
        <f t="shared" si="5"/>
        <v>20000</v>
      </c>
      <c r="J221" s="65"/>
      <c r="K221" s="65"/>
      <c r="N221" s="66"/>
    </row>
    <row r="222" spans="1:14" ht="16.5">
      <c r="A222" s="601" t="s">
        <v>1148</v>
      </c>
      <c r="B222" s="576" t="s">
        <v>1149</v>
      </c>
      <c r="C222" s="577">
        <v>45292</v>
      </c>
      <c r="D222" s="588">
        <f>50000</f>
        <v>50000</v>
      </c>
      <c r="E222" s="588"/>
      <c r="F222" s="588"/>
      <c r="G222" s="588"/>
      <c r="H222" s="579">
        <f t="shared" si="5"/>
        <v>50000</v>
      </c>
      <c r="J222" s="65"/>
      <c r="K222" s="65"/>
      <c r="N222" s="66"/>
    </row>
    <row r="223" spans="1:14" ht="16.5">
      <c r="A223" s="601" t="s">
        <v>1150</v>
      </c>
      <c r="B223" s="576" t="s">
        <v>1126</v>
      </c>
      <c r="C223" s="577">
        <v>45292</v>
      </c>
      <c r="D223" s="588">
        <f>20000</f>
        <v>20000</v>
      </c>
      <c r="E223" s="588">
        <f>2000</f>
        <v>2000</v>
      </c>
      <c r="F223" s="588"/>
      <c r="G223" s="588"/>
      <c r="H223" s="579">
        <f>D223+E223+F223+G223</f>
        <v>22000</v>
      </c>
      <c r="J223" s="65"/>
      <c r="K223" s="65"/>
      <c r="N223" s="66"/>
    </row>
    <row r="224" spans="1:14" ht="16.5">
      <c r="A224" s="567"/>
      <c r="B224" s="567"/>
      <c r="C224" s="624"/>
      <c r="D224" s="610">
        <f>SUM(D208:D223)</f>
        <v>215000</v>
      </c>
      <c r="E224" s="610">
        <f>SUM(E208:E223)</f>
        <v>2000</v>
      </c>
      <c r="F224" s="610">
        <f>SUM(F208:F223)</f>
        <v>10000</v>
      </c>
      <c r="G224" s="610">
        <f>SUM(G208:G223)</f>
        <v>154990</v>
      </c>
      <c r="H224" s="610">
        <f>SUM(H208:H223)</f>
        <v>381990</v>
      </c>
      <c r="I224" s="31"/>
      <c r="J224" s="65"/>
      <c r="K224" s="65"/>
      <c r="N224" s="66"/>
    </row>
    <row r="225" spans="1:13" ht="15">
      <c r="A225" s="569"/>
      <c r="B225" s="569"/>
      <c r="C225" s="569"/>
      <c r="D225" s="625"/>
      <c r="E225" s="625"/>
      <c r="F225" s="625"/>
      <c r="G225" s="625"/>
      <c r="H225" s="625"/>
      <c r="I225" s="65"/>
      <c r="J225" s="65"/>
      <c r="K225" s="65"/>
      <c r="L225" s="65"/>
      <c r="M225" s="65"/>
    </row>
    <row r="226" spans="1:13" ht="15">
      <c r="A226" s="569"/>
      <c r="B226" s="569"/>
      <c r="C226" s="569"/>
      <c r="D226" s="626">
        <f>D185+D224</f>
        <v>4630500</v>
      </c>
      <c r="E226" s="626">
        <f>E185+E224</f>
        <v>2000</v>
      </c>
      <c r="F226" s="626">
        <f>F185+F224</f>
        <v>718000</v>
      </c>
      <c r="G226" s="626">
        <f>G185+G224</f>
        <v>7170935.6884722207</v>
      </c>
      <c r="H226" s="626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603"/>
      <c r="E227" s="66"/>
      <c r="F227" s="616"/>
      <c r="H227" s="616"/>
      <c r="I227" s="65"/>
      <c r="J227" s="617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7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670" t="s">
        <v>234</v>
      </c>
      <c r="B1" s="670"/>
      <c r="C1" s="670"/>
      <c r="D1" s="670"/>
      <c r="E1" s="670"/>
    </row>
    <row r="2" spans="1:7" ht="33.75" customHeight="1">
      <c r="A2" s="269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7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7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7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8">
        <v>400000</v>
      </c>
      <c r="F115" s="388">
        <f>E115</f>
        <v>400000</v>
      </c>
      <c r="G115" s="388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8">
        <v>400000</v>
      </c>
      <c r="F116" s="388">
        <f>E116</f>
        <v>400000</v>
      </c>
      <c r="G116" s="388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7">
        <f>SUM(E115:E116)</f>
        <v>800000</v>
      </c>
      <c r="F117" s="397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7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7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7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7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7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7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7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7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7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7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7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7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7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7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7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9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9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9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9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9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9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9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9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9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9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9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9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9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9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9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9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9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9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9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9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9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9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9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9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9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9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9">
        <v>100000</v>
      </c>
      <c r="F187" s="240">
        <f t="shared" si="23"/>
        <v>100000</v>
      </c>
      <c r="G187" s="390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9">
        <v>100000</v>
      </c>
      <c r="F188" s="240">
        <f t="shared" si="23"/>
        <v>100000</v>
      </c>
      <c r="G188" s="390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9">
        <v>100000</v>
      </c>
      <c r="F189" s="240">
        <f t="shared" si="23"/>
        <v>100000</v>
      </c>
      <c r="G189" s="390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9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9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spans="1:7" ht="20.100000000000001" customHeight="1">
      <c r="B195" s="197"/>
      <c r="D195" s="198"/>
      <c r="E195" s="391"/>
      <c r="F195" s="391"/>
      <c r="G195" s="391"/>
    </row>
    <row r="196" spans="1:7" ht="36.75" customHeight="1">
      <c r="A196" s="392"/>
      <c r="B196" s="393"/>
      <c r="C196" s="394"/>
      <c r="D196" s="394"/>
      <c r="E196" s="395"/>
      <c r="F196" s="395"/>
      <c r="G196" s="396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61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7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60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61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7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61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62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22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21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61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7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'MAY 2024'!J127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9">
        <v>4365.3307546666683</v>
      </c>
      <c r="X22" s="23">
        <f>'[7]October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6" customFormat="1" ht="20.100000000000001" customHeight="1">
      <c r="A23" s="349">
        <v>16</v>
      </c>
      <c r="B23" s="350" t="s">
        <v>246</v>
      </c>
      <c r="C23" s="351" t="s">
        <v>167</v>
      </c>
      <c r="D23" s="352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3"/>
      <c r="M23" s="353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2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4">
        <f>4365.33075466667</f>
        <v>4365.3307546666701</v>
      </c>
      <c r="X23" s="15">
        <f>'[7]October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5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9">
        <v>4504.4109199999994</v>
      </c>
      <c r="X24" s="23">
        <f>'[7]October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21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21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23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23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665" t="s">
        <v>234</v>
      </c>
      <c r="B1" s="665"/>
      <c r="C1" s="665"/>
      <c r="D1" s="665"/>
      <c r="E1" s="665"/>
    </row>
    <row r="2" spans="1:6" ht="33.75" customHeight="1">
      <c r="A2" s="269" t="s">
        <v>745</v>
      </c>
      <c r="B2" s="270"/>
      <c r="C2" s="269"/>
      <c r="D2" s="269"/>
      <c r="E2" s="269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6" ht="17.25" customHeight="1">
      <c r="C5" s="176"/>
      <c r="D5" s="176"/>
      <c r="E5" s="376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6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9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9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9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9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9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9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7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7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7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7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7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7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7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7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7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7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7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7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7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7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7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7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7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7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9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9"/>
      <c r="F32" s="179"/>
    </row>
    <row r="33" spans="1:6" ht="18.75" customHeight="1">
      <c r="A33" s="28"/>
      <c r="B33" s="158" t="s">
        <v>284</v>
      </c>
      <c r="C33" s="20"/>
      <c r="D33" s="180"/>
      <c r="E33" s="377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7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7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7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9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9"/>
      <c r="F38" s="179"/>
    </row>
    <row r="39" spans="1:6" ht="20.100000000000001" customHeight="1">
      <c r="A39" s="28"/>
      <c r="B39" s="184" t="s">
        <v>56</v>
      </c>
      <c r="C39" s="169"/>
      <c r="D39" s="173"/>
      <c r="E39" s="379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7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7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7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7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7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7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7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7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7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7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7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7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80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81"/>
      <c r="F53" s="179"/>
    </row>
    <row r="54" spans="1:6" ht="20.100000000000001" customHeight="1">
      <c r="A54" s="28"/>
      <c r="B54" s="158" t="s">
        <v>195</v>
      </c>
      <c r="C54" s="29"/>
      <c r="D54" s="29"/>
      <c r="E54" s="381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7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7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80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81"/>
      <c r="F58" s="179"/>
    </row>
    <row r="59" spans="1:6" ht="20.100000000000001" customHeight="1">
      <c r="A59" s="28"/>
      <c r="B59" s="158" t="s">
        <v>461</v>
      </c>
      <c r="C59" s="29"/>
      <c r="D59" s="29"/>
      <c r="E59" s="381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7">
        <v>270000</v>
      </c>
      <c r="F60" s="179"/>
    </row>
    <row r="61" spans="1:6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89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7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7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7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7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7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7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7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7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7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80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81"/>
      <c r="F72" s="179"/>
    </row>
    <row r="73" spans="1:6" ht="20.100000000000001" customHeight="1">
      <c r="A73" s="28"/>
      <c r="B73" s="158" t="s">
        <v>462</v>
      </c>
      <c r="C73" s="29"/>
      <c r="D73" s="29"/>
      <c r="E73" s="381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7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9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9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7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7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7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7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80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81"/>
      <c r="F82" s="179"/>
    </row>
    <row r="83" spans="1:6" ht="20.100000000000001" customHeight="1">
      <c r="A83" s="28"/>
      <c r="B83" s="158" t="s">
        <v>463</v>
      </c>
      <c r="C83" s="185"/>
      <c r="D83" s="29"/>
      <c r="E83" s="381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7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7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7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7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7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7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7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7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7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7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7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80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81"/>
      <c r="F96" s="179"/>
    </row>
    <row r="97" spans="1:6" ht="20.100000000000001" customHeight="1">
      <c r="A97" s="28"/>
      <c r="B97" s="158" t="s">
        <v>464</v>
      </c>
      <c r="C97" s="29"/>
      <c r="D97" s="29"/>
      <c r="E97" s="381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7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7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7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7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80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81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82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7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7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7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7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8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8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8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83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83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81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7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7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80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84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8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7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7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7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7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7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7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7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7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7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7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81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81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7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7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7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7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7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7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7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7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7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7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7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7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7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7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7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7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7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7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7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7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7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7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7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7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7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7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7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7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7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85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85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8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8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8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8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8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8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8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8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8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8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8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8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8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8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8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8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8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8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8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8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8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85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85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85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85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85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85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80">
        <f>SUM(E133:E191)</f>
        <v>3204000</v>
      </c>
      <c r="F192" s="179"/>
    </row>
    <row r="193" spans="1:6" ht="20.100000000000001" customHeight="1">
      <c r="A193" s="671"/>
      <c r="B193" s="671"/>
      <c r="C193" s="671"/>
      <c r="D193" s="671"/>
      <c r="E193" s="671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6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62"/>
    </row>
    <row r="197" spans="1:6" ht="20.100000000000001" customHeight="1">
      <c r="E197" s="362"/>
    </row>
    <row r="198" spans="1:6" ht="20.100000000000001" customHeight="1">
      <c r="E198" s="362"/>
    </row>
    <row r="199" spans="1:6" ht="20.100000000000001" customHeight="1">
      <c r="E199" s="362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672" t="s">
        <v>734</v>
      </c>
      <c r="B2" s="672"/>
      <c r="C2" s="672"/>
      <c r="D2" s="672"/>
      <c r="E2" s="672"/>
      <c r="F2" s="672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5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6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6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6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6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9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9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74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74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6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9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9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9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6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62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60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63"/>
      <c r="S9" s="318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9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21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23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23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5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9" t="s">
        <v>669</v>
      </c>
      <c r="AA4" s="340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62"/>
    </row>
    <row r="8" spans="1:31" s="332" customFormat="1" ht="20.100000000000001" customHeight="1">
      <c r="A8" s="334">
        <v>40</v>
      </c>
      <c r="B8" s="333" t="s">
        <v>231</v>
      </c>
      <c r="C8" s="326" t="s">
        <v>714</v>
      </c>
      <c r="D8" s="327" t="s">
        <v>306</v>
      </c>
      <c r="E8" s="329">
        <v>5428.12</v>
      </c>
      <c r="F8" s="328"/>
      <c r="G8" s="329">
        <f t="shared" ref="G8:G10" si="0">E8*300%</f>
        <v>16284.36</v>
      </c>
      <c r="H8" s="329">
        <f t="shared" ref="H8:H10" si="1">E8*7.5%</f>
        <v>407.10899999999998</v>
      </c>
      <c r="I8" s="329"/>
      <c r="J8" s="329">
        <f t="shared" ref="J8:J10" si="2">E8*50%</f>
        <v>2714.06</v>
      </c>
      <c r="K8" s="330">
        <f t="shared" ref="K8:K10" si="3">E8*350%</f>
        <v>18998.419999999998</v>
      </c>
      <c r="L8" s="329">
        <f t="shared" ref="L8:L10" si="4">E8*100%</f>
        <v>5428.12</v>
      </c>
      <c r="M8" s="328"/>
      <c r="N8" s="328">
        <f>20000</f>
        <v>20000</v>
      </c>
      <c r="O8" s="329">
        <f t="shared" ref="O8:O10" si="5">E8*10%</f>
        <v>542.81200000000001</v>
      </c>
      <c r="P8" s="329">
        <v>5000</v>
      </c>
      <c r="Q8" s="329">
        <f>7000</f>
        <v>7000</v>
      </c>
      <c r="R8" s="330">
        <f t="shared" ref="R8:R10" si="6">SUM(E8:Q8)</f>
        <v>81803.001000000018</v>
      </c>
      <c r="S8" s="368" t="s">
        <v>306</v>
      </c>
      <c r="T8" s="330">
        <f>122105</f>
        <v>122105</v>
      </c>
      <c r="U8" s="330">
        <f>T8-R8</f>
        <v>40301.998999999982</v>
      </c>
      <c r="V8" s="330"/>
      <c r="W8" s="330"/>
      <c r="X8" s="23">
        <v>4365.3307546666683</v>
      </c>
      <c r="Y8" s="330">
        <f>9152.6</f>
        <v>9152.6</v>
      </c>
      <c r="Z8" s="206">
        <f>Y8-X8</f>
        <v>4787.269245333332</v>
      </c>
      <c r="AA8" s="370">
        <f>U8-Z8</f>
        <v>35514.729754666652</v>
      </c>
      <c r="AB8" s="371">
        <f>(11/31)+3</f>
        <v>3.3548387096774195</v>
      </c>
      <c r="AC8" s="372">
        <f>AA8*AB8</f>
        <v>119146.19014468812</v>
      </c>
      <c r="AD8" s="17">
        <f>66227.57</f>
        <v>66227.570000000007</v>
      </c>
      <c r="AE8" s="369">
        <f>AC8-AD8</f>
        <v>52918.620144688117</v>
      </c>
    </row>
    <row r="9" spans="1:31" s="332" customFormat="1" ht="20.100000000000001" customHeight="1">
      <c r="A9" s="334">
        <v>41</v>
      </c>
      <c r="B9" s="333" t="s">
        <v>246</v>
      </c>
      <c r="C9" s="326" t="s">
        <v>714</v>
      </c>
      <c r="D9" s="327" t="s">
        <v>306</v>
      </c>
      <c r="E9" s="329">
        <v>5428.12</v>
      </c>
      <c r="F9" s="328"/>
      <c r="G9" s="329">
        <f t="shared" si="0"/>
        <v>16284.36</v>
      </c>
      <c r="H9" s="329">
        <f t="shared" si="1"/>
        <v>407.10899999999998</v>
      </c>
      <c r="I9" s="329"/>
      <c r="J9" s="329">
        <f t="shared" si="2"/>
        <v>2714.06</v>
      </c>
      <c r="K9" s="330">
        <f t="shared" si="3"/>
        <v>18998.419999999998</v>
      </c>
      <c r="L9" s="329">
        <f t="shared" si="4"/>
        <v>5428.12</v>
      </c>
      <c r="M9" s="328"/>
      <c r="N9" s="328">
        <f>20000</f>
        <v>20000</v>
      </c>
      <c r="O9" s="329">
        <f t="shared" si="5"/>
        <v>542.81200000000001</v>
      </c>
      <c r="P9" s="329">
        <v>5000</v>
      </c>
      <c r="Q9" s="329">
        <f>7000</f>
        <v>7000</v>
      </c>
      <c r="R9" s="330">
        <f>SUM(E9:Q9)</f>
        <v>81803.001000000018</v>
      </c>
      <c r="S9" s="368" t="s">
        <v>306</v>
      </c>
      <c r="T9" s="330">
        <f t="shared" ref="T9:T10" si="7">122105</f>
        <v>122105</v>
      </c>
      <c r="U9" s="330">
        <f t="shared" ref="U9:U10" si="8">T9-R9</f>
        <v>40301.998999999982</v>
      </c>
      <c r="V9" s="330"/>
      <c r="W9" s="330"/>
      <c r="X9" s="23">
        <f>4365.33075466667</f>
        <v>4365.3307546666701</v>
      </c>
      <c r="Y9" s="330">
        <f t="shared" ref="Y9:Y10" si="9">9152.6</f>
        <v>9152.6</v>
      </c>
      <c r="Z9" s="206">
        <f t="shared" ref="Z9:Z10" si="10">Y9-X9</f>
        <v>4787.2692453333302</v>
      </c>
      <c r="AA9" s="370">
        <f t="shared" ref="AA9:AA10" si="11">U9-Z9</f>
        <v>35514.729754666652</v>
      </c>
      <c r="AB9" s="371">
        <f>(17/31)+2</f>
        <v>2.5483870967741935</v>
      </c>
      <c r="AC9" s="372">
        <f t="shared" ref="AC9:AC10" si="12">AA9*AB9</f>
        <v>90505.279052215017</v>
      </c>
      <c r="AD9" s="207">
        <v>44151.71</v>
      </c>
      <c r="AE9" s="369">
        <f t="shared" ref="AE9:AE10" si="13">AC9-AD9</f>
        <v>46353.569052215018</v>
      </c>
    </row>
    <row r="10" spans="1:31" s="332" customFormat="1" ht="20.100000000000001" customHeight="1">
      <c r="A10" s="334">
        <v>42</v>
      </c>
      <c r="B10" s="325" t="s">
        <v>166</v>
      </c>
      <c r="C10" s="326" t="s">
        <v>714</v>
      </c>
      <c r="D10" s="327" t="s">
        <v>306</v>
      </c>
      <c r="E10" s="329">
        <v>5598.92</v>
      </c>
      <c r="F10" s="328"/>
      <c r="G10" s="329">
        <f t="shared" si="0"/>
        <v>16796.760000000002</v>
      </c>
      <c r="H10" s="329">
        <f t="shared" si="1"/>
        <v>419.91899999999998</v>
      </c>
      <c r="I10" s="329"/>
      <c r="J10" s="329">
        <f t="shared" si="2"/>
        <v>2799.46</v>
      </c>
      <c r="K10" s="330">
        <f t="shared" si="3"/>
        <v>19596.22</v>
      </c>
      <c r="L10" s="329">
        <f t="shared" si="4"/>
        <v>5598.92</v>
      </c>
      <c r="M10" s="328"/>
      <c r="N10" s="328">
        <f>20000</f>
        <v>20000</v>
      </c>
      <c r="O10" s="329">
        <f t="shared" si="5"/>
        <v>559.89200000000005</v>
      </c>
      <c r="P10" s="329">
        <v>5000</v>
      </c>
      <c r="Q10" s="329">
        <f>7000</f>
        <v>7000</v>
      </c>
      <c r="R10" s="330">
        <f t="shared" si="6"/>
        <v>83370.091</v>
      </c>
      <c r="S10" s="368" t="s">
        <v>306</v>
      </c>
      <c r="T10" s="330">
        <f t="shared" si="7"/>
        <v>122105</v>
      </c>
      <c r="U10" s="330">
        <f t="shared" si="8"/>
        <v>38734.909</v>
      </c>
      <c r="V10" s="330"/>
      <c r="W10" s="330"/>
      <c r="X10" s="23">
        <v>4504.4109199999994</v>
      </c>
      <c r="Y10" s="330">
        <f t="shared" si="9"/>
        <v>9152.6</v>
      </c>
      <c r="Z10" s="206">
        <f t="shared" si="10"/>
        <v>4648.189080000001</v>
      </c>
      <c r="AA10" s="370">
        <f t="shared" si="11"/>
        <v>34086.719919999996</v>
      </c>
      <c r="AB10" s="371">
        <v>9</v>
      </c>
      <c r="AC10" s="372">
        <f t="shared" si="12"/>
        <v>306780.47927999997</v>
      </c>
      <c r="AD10" s="207">
        <v>216693.09</v>
      </c>
      <c r="AE10" s="369">
        <f t="shared" si="13"/>
        <v>90087.389279999974</v>
      </c>
    </row>
    <row r="11" spans="1:31" s="332" customFormat="1" ht="20.100000000000001" customHeight="1">
      <c r="A11" s="334"/>
      <c r="B11" s="325"/>
      <c r="C11" s="326"/>
      <c r="D11" s="327"/>
      <c r="E11" s="329"/>
      <c r="F11" s="328"/>
      <c r="G11" s="329"/>
      <c r="H11" s="329"/>
      <c r="I11" s="329"/>
      <c r="J11" s="329"/>
      <c r="K11" s="330"/>
      <c r="L11" s="329"/>
      <c r="M11" s="328"/>
      <c r="N11" s="328"/>
      <c r="O11" s="329"/>
      <c r="P11" s="329"/>
      <c r="Q11" s="329"/>
      <c r="R11" s="330"/>
      <c r="S11" s="330"/>
      <c r="T11" s="330"/>
      <c r="U11" s="330"/>
      <c r="V11" s="330"/>
      <c r="W11" s="365"/>
      <c r="X11" s="366"/>
      <c r="Y11" s="365"/>
      <c r="Z11" s="367"/>
      <c r="AA11" s="331"/>
      <c r="AE11" s="373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32" customFormat="1" ht="20.100000000000001" customHeight="1">
      <c r="A13" s="334">
        <v>40</v>
      </c>
      <c r="B13" s="333" t="s">
        <v>231</v>
      </c>
      <c r="C13" s="326" t="s">
        <v>714</v>
      </c>
      <c r="D13" s="327" t="s">
        <v>306</v>
      </c>
      <c r="E13" s="329">
        <f>8730.79</f>
        <v>8730.7900000000009</v>
      </c>
      <c r="F13" s="328"/>
      <c r="G13" s="329">
        <f t="shared" ref="G13:G15" si="14">E13*300%</f>
        <v>26192.370000000003</v>
      </c>
      <c r="H13" s="329">
        <f t="shared" ref="H13:H15" si="15">E13*7.5%</f>
        <v>654.80925000000002</v>
      </c>
      <c r="I13" s="329"/>
      <c r="J13" s="329">
        <f t="shared" ref="J13:J15" si="16">E13*50%</f>
        <v>4365.3950000000004</v>
      </c>
      <c r="K13" s="330">
        <f t="shared" ref="K13:K15" si="17">E13*350%</f>
        <v>30557.765000000003</v>
      </c>
      <c r="L13" s="329">
        <f t="shared" ref="L13:L15" si="18">E13*100%</f>
        <v>8730.7900000000009</v>
      </c>
      <c r="M13" s="328"/>
      <c r="N13" s="328">
        <v>30000</v>
      </c>
      <c r="O13" s="329">
        <f t="shared" ref="O13:O15" si="19">E13*10%</f>
        <v>873.07900000000018</v>
      </c>
      <c r="P13" s="329">
        <v>5000</v>
      </c>
      <c r="Q13" s="329">
        <f>7000</f>
        <v>7000</v>
      </c>
      <c r="R13" s="330">
        <f t="shared" ref="R13" si="20">SUM(E13:Q13)</f>
        <v>122104.99825</v>
      </c>
      <c r="S13" s="330"/>
      <c r="T13" s="330">
        <f>10000+5000+5000</f>
        <v>20000</v>
      </c>
      <c r="U13" s="330">
        <f>15625</f>
        <v>15625</v>
      </c>
      <c r="V13" s="330"/>
      <c r="W13" s="330">
        <f>[8]PROMOTIONS!$X$42</f>
        <v>8312.5899999999983</v>
      </c>
      <c r="X13" s="257">
        <f t="shared" ref="X13:X15" si="21">W13+V13+U13+T13+S13</f>
        <v>43937.59</v>
      </c>
      <c r="Y13" s="330">
        <v>106043.96784954835</v>
      </c>
      <c r="Z13" s="206">
        <f t="shared" ref="Z13:Z15" si="22">R13-X13</f>
        <v>78167.408250000008</v>
      </c>
      <c r="AA13" s="331"/>
    </row>
    <row r="14" spans="1:31" s="332" customFormat="1" ht="20.100000000000001" customHeight="1">
      <c r="A14" s="334">
        <v>41</v>
      </c>
      <c r="B14" s="333" t="s">
        <v>246</v>
      </c>
      <c r="C14" s="326" t="s">
        <v>714</v>
      </c>
      <c r="D14" s="327" t="s">
        <v>306</v>
      </c>
      <c r="E14" s="329">
        <f t="shared" ref="E14:E15" si="23">8730.79</f>
        <v>8730.7900000000009</v>
      </c>
      <c r="F14" s="328"/>
      <c r="G14" s="329">
        <f t="shared" si="14"/>
        <v>26192.370000000003</v>
      </c>
      <c r="H14" s="329">
        <f t="shared" si="15"/>
        <v>654.80925000000002</v>
      </c>
      <c r="I14" s="329"/>
      <c r="J14" s="329">
        <f t="shared" si="16"/>
        <v>4365.3950000000004</v>
      </c>
      <c r="K14" s="330">
        <f t="shared" si="17"/>
        <v>30557.765000000003</v>
      </c>
      <c r="L14" s="329">
        <f t="shared" si="18"/>
        <v>8730.7900000000009</v>
      </c>
      <c r="M14" s="328"/>
      <c r="N14" s="328">
        <v>30000</v>
      </c>
      <c r="O14" s="329">
        <f t="shared" si="19"/>
        <v>873.07900000000018</v>
      </c>
      <c r="P14" s="329">
        <v>5000</v>
      </c>
      <c r="Q14" s="329">
        <f>7000</f>
        <v>7000</v>
      </c>
      <c r="R14" s="330">
        <f>SUM(E14:Q14)</f>
        <v>122104.99825</v>
      </c>
      <c r="S14" s="330"/>
      <c r="T14" s="330">
        <v>20000</v>
      </c>
      <c r="U14" s="330">
        <v>18333.330000000002</v>
      </c>
      <c r="V14" s="330"/>
      <c r="W14" s="330">
        <f>[8]PROMOTIONS!$X$42</f>
        <v>8312.5899999999983</v>
      </c>
      <c r="X14" s="257">
        <f t="shared" si="21"/>
        <v>46645.919999999998</v>
      </c>
      <c r="Y14" s="330">
        <v>80609.452233032236</v>
      </c>
      <c r="Z14" s="206">
        <f t="shared" si="22"/>
        <v>75459.078250000006</v>
      </c>
      <c r="AA14" s="331"/>
    </row>
    <row r="15" spans="1:31" s="332" customFormat="1" ht="20.100000000000001" customHeight="1">
      <c r="A15" s="334">
        <v>42</v>
      </c>
      <c r="B15" s="325" t="s">
        <v>166</v>
      </c>
      <c r="C15" s="326" t="s">
        <v>714</v>
      </c>
      <c r="D15" s="327" t="s">
        <v>306</v>
      </c>
      <c r="E15" s="329">
        <f t="shared" si="23"/>
        <v>8730.7900000000009</v>
      </c>
      <c r="F15" s="328"/>
      <c r="G15" s="329">
        <f t="shared" si="14"/>
        <v>26192.370000000003</v>
      </c>
      <c r="H15" s="329">
        <f t="shared" si="15"/>
        <v>654.80925000000002</v>
      </c>
      <c r="I15" s="329"/>
      <c r="J15" s="329">
        <f t="shared" si="16"/>
        <v>4365.3950000000004</v>
      </c>
      <c r="K15" s="330">
        <f t="shared" si="17"/>
        <v>30557.765000000003</v>
      </c>
      <c r="L15" s="329">
        <f t="shared" si="18"/>
        <v>8730.7900000000009</v>
      </c>
      <c r="M15" s="328"/>
      <c r="N15" s="328">
        <v>30000</v>
      </c>
      <c r="O15" s="329">
        <f t="shared" si="19"/>
        <v>873.07900000000018</v>
      </c>
      <c r="P15" s="329">
        <v>5000</v>
      </c>
      <c r="Q15" s="329">
        <f>7000</f>
        <v>7000</v>
      </c>
      <c r="R15" s="330">
        <f t="shared" ref="R15" si="24">SUM(E15:Q15)</f>
        <v>122104.99825</v>
      </c>
      <c r="S15" s="330"/>
      <c r="T15" s="330">
        <f>3000+5000+5000</f>
        <v>13000</v>
      </c>
      <c r="U15" s="330">
        <f>44000</f>
        <v>44000</v>
      </c>
      <c r="V15" s="330"/>
      <c r="W15" s="330">
        <f>[8]PROMOTIONS!$X$42</f>
        <v>8312.5899999999983</v>
      </c>
      <c r="X15" s="257">
        <f t="shared" si="21"/>
        <v>65312.59</v>
      </c>
      <c r="Y15" s="330">
        <v>239903.58369333335</v>
      </c>
      <c r="Z15" s="206">
        <f t="shared" si="22"/>
        <v>56792.408250000008</v>
      </c>
      <c r="AA15" s="331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23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23"/>
      <c r="T18" s="200"/>
      <c r="U18" s="200"/>
      <c r="V18" s="200"/>
      <c r="W18" s="200"/>
      <c r="X18" s="200"/>
    </row>
    <row r="21" spans="1:27" s="314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7">
        <v>18102.902732666666</v>
      </c>
      <c r="X7" s="25">
        <f>'[7]October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7">
        <v>49548.776186666662</v>
      </c>
      <c r="X11" s="25">
        <f>'[7]October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6">
        <f t="shared" si="8"/>
        <v>22769.903850000002</v>
      </c>
      <c r="AA12" s="68"/>
      <c r="AB12" s="336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21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9">
        <v>59441.782042666666</v>
      </c>
      <c r="X15" s="23">
        <f>'[7]October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7">
        <v>49548.776186666662</v>
      </c>
      <c r="X16" s="25">
        <f>'[7]October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6">
        <f t="shared" si="11"/>
        <v>89978.682982666622</v>
      </c>
      <c r="AA17" s="68"/>
      <c r="AB17" s="336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21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21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7">
        <v>49548.776186666662</v>
      </c>
      <c r="X20" s="25">
        <f>'[7]October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0">
        <f>SUM(W20:W20)</f>
        <v>49548.776186666662</v>
      </c>
      <c r="X21" s="320">
        <f t="shared" ref="X21:AB21" si="13">SUM(X20:X20)</f>
        <v>54931.226666666662</v>
      </c>
      <c r="Y21" s="320">
        <f t="shared" si="13"/>
        <v>5382.4504799999995</v>
      </c>
      <c r="Z21" s="337">
        <f t="shared" si="13"/>
        <v>22651.145770000003</v>
      </c>
      <c r="AA21" s="320"/>
      <c r="AB21" s="337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21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21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9">
        <v>58026.609434666672</v>
      </c>
      <c r="X24" s="23">
        <f>'[7]October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7">
        <v>48170.870282666663</v>
      </c>
      <c r="X25" s="25">
        <f>'[7]October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6">
        <f t="shared" si="16"/>
        <v>95779.905967333296</v>
      </c>
      <c r="AA26" s="68"/>
      <c r="AB26" s="336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21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21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9">
        <f>77098.29</f>
        <v>77098.289999999994</v>
      </c>
      <c r="X29" s="23">
        <f>'[7]October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7">
        <v>40698.124856666655</v>
      </c>
      <c r="X30" s="25">
        <f>'[7]October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7">
        <v>18102.902732666666</v>
      </c>
      <c r="X31" s="25">
        <f>'[7]October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0">
        <f>SUM(W29:W31)</f>
        <v>135899.31758933331</v>
      </c>
      <c r="X32" s="320">
        <f t="shared" ref="X32:AB32" si="18">SUM(X29:X31)</f>
        <v>162264.12356000001</v>
      </c>
      <c r="Y32" s="320">
        <f t="shared" si="18"/>
        <v>26364.805970666683</v>
      </c>
      <c r="Z32" s="337">
        <f t="shared" si="18"/>
        <v>117866.47827933333</v>
      </c>
      <c r="AA32" s="320"/>
      <c r="AB32" s="337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22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21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7">
        <v>40684.599176666663</v>
      </c>
      <c r="X35" s="25">
        <f>'[7]October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21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7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7">
        <v>27794.206626666662</v>
      </c>
      <c r="X39" s="25">
        <f>'[7]October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7">
        <v>27873.079686666664</v>
      </c>
      <c r="X40" s="25">
        <f>'[7]October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7">
        <v>18102.902732666666</v>
      </c>
      <c r="X41" s="25">
        <f>'[7]October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9">
        <v>4365.3307546666683</v>
      </c>
      <c r="X42" s="23">
        <f>'[7]October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6" customFormat="1" ht="20.100000000000001" customHeight="1">
      <c r="A43" s="349">
        <v>16</v>
      </c>
      <c r="B43" s="350" t="s">
        <v>246</v>
      </c>
      <c r="C43" s="351" t="s">
        <v>167</v>
      </c>
      <c r="D43" s="352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3"/>
      <c r="M43" s="353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2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4">
        <f>4365.33075466667</f>
        <v>4365.3307546666701</v>
      </c>
      <c r="X43" s="15">
        <f>'[7]October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5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9">
        <v>4504.4109199999994</v>
      </c>
      <c r="X44" s="23">
        <f>'[7]October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9">
        <v>3064.8720786666654</v>
      </c>
      <c r="X45" s="23">
        <f>'[7]October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6">
        <f t="shared" si="30"/>
        <v>152111.30090400006</v>
      </c>
      <c r="AA46" s="68"/>
      <c r="AB46" s="336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8">
        <f t="shared" si="31"/>
        <v>525716.02981600002</v>
      </c>
      <c r="AA47" s="196">
        <f t="shared" si="31"/>
        <v>0</v>
      </c>
      <c r="AB47" s="338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23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23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4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8" t="s">
        <v>672</v>
      </c>
      <c r="B1" s="298"/>
      <c r="C1" s="298"/>
      <c r="D1" s="298"/>
      <c r="E1" s="298"/>
      <c r="F1" s="298"/>
      <c r="G1" s="298"/>
      <c r="H1" s="347"/>
      <c r="I1" s="298"/>
      <c r="J1" s="298"/>
      <c r="K1" s="298"/>
      <c r="L1" s="298"/>
      <c r="M1" s="298"/>
      <c r="N1" s="298"/>
      <c r="O1" s="298"/>
      <c r="P1" s="298"/>
      <c r="Q1" s="343"/>
      <c r="R1" s="343"/>
    </row>
    <row r="2" spans="1:18">
      <c r="A2" s="298" t="s">
        <v>673</v>
      </c>
      <c r="B2" s="298"/>
      <c r="C2" s="298"/>
      <c r="D2" s="298"/>
      <c r="E2" s="298"/>
      <c r="F2" s="298"/>
      <c r="G2" s="298"/>
      <c r="H2" s="348"/>
      <c r="I2" s="298"/>
      <c r="J2" s="298"/>
      <c r="K2" s="298"/>
      <c r="L2" s="298"/>
      <c r="M2" s="298"/>
      <c r="N2" s="298"/>
      <c r="O2" s="298"/>
      <c r="P2" s="298"/>
      <c r="Q2" s="343"/>
      <c r="R2" s="343"/>
    </row>
    <row r="3" spans="1:18">
      <c r="A3" s="298"/>
      <c r="B3" s="298" t="s">
        <v>674</v>
      </c>
      <c r="C3" s="298" t="s">
        <v>675</v>
      </c>
      <c r="D3" s="298" t="s">
        <v>676</v>
      </c>
      <c r="E3" s="298" t="s">
        <v>677</v>
      </c>
      <c r="F3" s="298" t="s">
        <v>678</v>
      </c>
      <c r="G3" s="298" t="s">
        <v>679</v>
      </c>
      <c r="H3" s="348" t="s">
        <v>680</v>
      </c>
      <c r="I3" s="298" t="s">
        <v>681</v>
      </c>
      <c r="J3" s="298" t="s">
        <v>682</v>
      </c>
      <c r="K3" s="298" t="s">
        <v>683</v>
      </c>
      <c r="L3" s="298" t="s">
        <v>684</v>
      </c>
      <c r="M3" s="298" t="s">
        <v>685</v>
      </c>
      <c r="N3" s="298" t="s">
        <v>686</v>
      </c>
      <c r="O3" s="298" t="s">
        <v>687</v>
      </c>
      <c r="P3" s="298" t="s">
        <v>688</v>
      </c>
      <c r="Q3" s="343"/>
      <c r="R3" s="343"/>
    </row>
    <row r="4" spans="1:18">
      <c r="A4" s="298" t="s">
        <v>689</v>
      </c>
      <c r="B4" s="298" t="s">
        <v>5</v>
      </c>
      <c r="C4" s="298" t="s">
        <v>5</v>
      </c>
      <c r="D4" s="298" t="s">
        <v>5</v>
      </c>
      <c r="E4" s="298" t="s">
        <v>5</v>
      </c>
      <c r="F4" s="298" t="s">
        <v>5</v>
      </c>
      <c r="G4" s="298" t="s">
        <v>5</v>
      </c>
      <c r="H4" s="348" t="s">
        <v>5</v>
      </c>
      <c r="I4" s="298" t="s">
        <v>5</v>
      </c>
      <c r="J4" s="298" t="s">
        <v>5</v>
      </c>
      <c r="K4" s="298" t="s">
        <v>5</v>
      </c>
      <c r="L4" s="298" t="s">
        <v>5</v>
      </c>
      <c r="M4" s="298" t="s">
        <v>5</v>
      </c>
      <c r="N4" s="298" t="s">
        <v>5</v>
      </c>
      <c r="O4" s="298" t="s">
        <v>5</v>
      </c>
      <c r="P4" s="298" t="s">
        <v>5</v>
      </c>
      <c r="Q4" s="343"/>
      <c r="R4" s="343"/>
    </row>
    <row r="5" spans="1:18" ht="14.25">
      <c r="A5" s="345" t="s">
        <v>690</v>
      </c>
      <c r="B5" s="345">
        <v>32012.166666666668</v>
      </c>
      <c r="C5" s="345">
        <v>32710.5</v>
      </c>
      <c r="D5" s="345">
        <v>33408.75</v>
      </c>
      <c r="E5" s="345">
        <v>34107.083333333336</v>
      </c>
      <c r="F5" s="345">
        <v>34805.5</v>
      </c>
      <c r="G5" s="345">
        <v>35503.75</v>
      </c>
      <c r="H5" s="346">
        <v>36202.083333333336</v>
      </c>
      <c r="I5" s="345">
        <v>36900.333333333336</v>
      </c>
      <c r="J5" s="345">
        <v>37598.666666666664</v>
      </c>
      <c r="K5" s="345">
        <v>38297.083333333336</v>
      </c>
      <c r="L5" s="345">
        <v>38995.333333333336</v>
      </c>
      <c r="M5" s="345">
        <v>39693.666666666664</v>
      </c>
      <c r="N5" s="345">
        <v>40391.916666666664</v>
      </c>
      <c r="O5" s="345">
        <v>41090.166666666664</v>
      </c>
      <c r="P5" s="345">
        <v>41788.666666666664</v>
      </c>
      <c r="Q5" s="343"/>
      <c r="R5" s="343"/>
    </row>
    <row r="6" spans="1:18" ht="14.25">
      <c r="A6" s="345" t="s">
        <v>691</v>
      </c>
      <c r="B6" s="345">
        <v>32532.166666666668</v>
      </c>
      <c r="C6" s="345">
        <v>33445.166666666664</v>
      </c>
      <c r="D6" s="345">
        <v>34358.333333333336</v>
      </c>
      <c r="E6" s="345">
        <v>35271.25</v>
      </c>
      <c r="F6" s="345">
        <v>36184.25</v>
      </c>
      <c r="G6" s="345">
        <v>37097.416666666664</v>
      </c>
      <c r="H6" s="346">
        <v>38010.333333333336</v>
      </c>
      <c r="I6" s="345">
        <v>38923.416666666664</v>
      </c>
      <c r="J6" s="345">
        <v>39836.416666666664</v>
      </c>
      <c r="K6" s="345">
        <v>40749.416666666664</v>
      </c>
      <c r="L6" s="345">
        <v>41662.5</v>
      </c>
      <c r="M6" s="345">
        <v>42575.5</v>
      </c>
      <c r="N6" s="345">
        <v>43488.666666666664</v>
      </c>
      <c r="O6" s="345">
        <v>44401.583333333336</v>
      </c>
      <c r="P6" s="345">
        <v>45314.583333333336</v>
      </c>
      <c r="Q6" s="343"/>
      <c r="R6" s="343"/>
    </row>
    <row r="7" spans="1:18" ht="14.25">
      <c r="A7" s="345" t="s">
        <v>692</v>
      </c>
      <c r="B7" s="345">
        <v>32976.25</v>
      </c>
      <c r="C7" s="345">
        <v>34098.416666666664</v>
      </c>
      <c r="D7" s="345">
        <v>35220.666666666664</v>
      </c>
      <c r="E7" s="345">
        <v>36343</v>
      </c>
      <c r="F7" s="345">
        <v>37465.166666666664</v>
      </c>
      <c r="G7" s="345">
        <v>38587.416666666664</v>
      </c>
      <c r="H7" s="346">
        <v>39709.666666666664</v>
      </c>
      <c r="I7" s="345">
        <v>40823.583333333336</v>
      </c>
      <c r="J7" s="345">
        <v>41954.083333333336</v>
      </c>
      <c r="K7" s="345">
        <v>43076.416666666664</v>
      </c>
      <c r="L7" s="345">
        <v>44198.666666666664</v>
      </c>
      <c r="M7" s="345">
        <v>45445.833333333336</v>
      </c>
      <c r="N7" s="345">
        <v>46443.166666666664</v>
      </c>
      <c r="O7" s="345">
        <v>47565.333333333336</v>
      </c>
      <c r="P7" s="345">
        <v>48687.5</v>
      </c>
      <c r="Q7" s="343"/>
      <c r="R7" s="343"/>
    </row>
    <row r="8" spans="1:18" ht="14.25">
      <c r="A8" s="345" t="s">
        <v>693</v>
      </c>
      <c r="B8" s="345">
        <v>34542.5</v>
      </c>
      <c r="C8" s="345">
        <v>35890.833333333336</v>
      </c>
      <c r="D8" s="345">
        <v>37238.916666666664</v>
      </c>
      <c r="E8" s="345">
        <v>38587.166666666664</v>
      </c>
      <c r="F8" s="345">
        <v>39935.5</v>
      </c>
      <c r="G8" s="345">
        <v>41283.75</v>
      </c>
      <c r="H8" s="346">
        <v>42631.916666666664</v>
      </c>
      <c r="I8" s="345">
        <v>43980</v>
      </c>
      <c r="J8" s="345">
        <v>45328.333333333336</v>
      </c>
      <c r="K8" s="345">
        <v>46676.416666666664</v>
      </c>
      <c r="L8" s="345">
        <v>48024.666666666664</v>
      </c>
      <c r="M8" s="345">
        <v>49373</v>
      </c>
      <c r="N8" s="345">
        <v>50721.166666666664</v>
      </c>
      <c r="O8" s="345">
        <v>52069.416666666664</v>
      </c>
      <c r="P8" s="345">
        <v>53417.5</v>
      </c>
      <c r="Q8" s="343"/>
      <c r="R8" s="343"/>
    </row>
    <row r="9" spans="1:18" ht="14.25">
      <c r="A9" s="345" t="s">
        <v>694</v>
      </c>
      <c r="B9" s="345">
        <v>39140.333333333336</v>
      </c>
      <c r="C9" s="345">
        <v>40706.583333333336</v>
      </c>
      <c r="D9" s="345">
        <v>42272.833333333336</v>
      </c>
      <c r="E9" s="345">
        <v>43839.083333333336</v>
      </c>
      <c r="F9" s="345">
        <v>45405.5</v>
      </c>
      <c r="G9" s="345">
        <v>46971.75</v>
      </c>
      <c r="H9" s="346">
        <v>48538</v>
      </c>
      <c r="I9" s="345">
        <v>50104.416666666664</v>
      </c>
      <c r="J9" s="345">
        <v>51670.666666666664</v>
      </c>
      <c r="K9" s="345">
        <v>53236.916666666664</v>
      </c>
      <c r="L9" s="345">
        <v>54803.166666666664</v>
      </c>
      <c r="M9" s="345">
        <v>56369.583333333336</v>
      </c>
      <c r="N9" s="345">
        <v>57936</v>
      </c>
      <c r="O9" s="345">
        <v>59502.083333333336</v>
      </c>
      <c r="P9" s="345">
        <v>61068.333333333336</v>
      </c>
      <c r="Q9" s="343"/>
      <c r="R9" s="343"/>
    </row>
    <row r="10" spans="1:18" ht="14.25">
      <c r="A10" s="345" t="s">
        <v>695</v>
      </c>
      <c r="B10" s="345">
        <v>47723.333333333336</v>
      </c>
      <c r="C10" s="345">
        <v>49632.5</v>
      </c>
      <c r="D10" s="345">
        <v>51541.75</v>
      </c>
      <c r="E10" s="345">
        <v>53450.916666666664</v>
      </c>
      <c r="F10" s="345">
        <v>55360.166666666664</v>
      </c>
      <c r="G10" s="345">
        <v>57269.416666666664</v>
      </c>
      <c r="H10" s="346">
        <v>59178.666666666664</v>
      </c>
      <c r="I10" s="345">
        <v>61087.833333333336</v>
      </c>
      <c r="J10" s="345">
        <v>62997.083333333336</v>
      </c>
      <c r="K10" s="345">
        <v>64906.25</v>
      </c>
      <c r="L10" s="345">
        <v>66815.5</v>
      </c>
      <c r="M10" s="345">
        <v>68724.666666666672</v>
      </c>
      <c r="N10" s="345">
        <v>70633.916666666672</v>
      </c>
      <c r="O10" s="345">
        <v>72543.166666666672</v>
      </c>
      <c r="P10" s="345">
        <v>74452.416666666672</v>
      </c>
      <c r="Q10" s="343"/>
      <c r="R10" s="343"/>
    </row>
    <row r="11" spans="1:18" ht="14.25">
      <c r="A11" s="345" t="s">
        <v>696</v>
      </c>
      <c r="B11" s="345">
        <v>79244.583333333328</v>
      </c>
      <c r="C11" s="345">
        <v>82174.666666666672</v>
      </c>
      <c r="D11" s="345">
        <v>85104.916666666672</v>
      </c>
      <c r="E11" s="345">
        <v>88034.916666666672</v>
      </c>
      <c r="F11" s="345">
        <v>106590</v>
      </c>
      <c r="G11" s="345">
        <v>93895</v>
      </c>
      <c r="H11" s="346">
        <v>96825.166666666672</v>
      </c>
      <c r="I11" s="345">
        <v>99755.166666666672</v>
      </c>
      <c r="J11" s="345">
        <v>102685.33333333333</v>
      </c>
      <c r="K11" s="345">
        <v>105615.33333333333</v>
      </c>
      <c r="L11" s="345">
        <v>108545.5</v>
      </c>
      <c r="M11" s="345">
        <v>111468</v>
      </c>
      <c r="N11" s="345">
        <v>114405.66666666667</v>
      </c>
      <c r="O11" s="345">
        <v>117335.83333333333</v>
      </c>
      <c r="P11" s="345">
        <v>120265.83333333333</v>
      </c>
      <c r="Q11" s="343"/>
      <c r="R11" s="343"/>
    </row>
    <row r="12" spans="1:18" ht="14.25">
      <c r="A12" s="345" t="s">
        <v>697</v>
      </c>
      <c r="B12" s="345">
        <v>102403.75</v>
      </c>
      <c r="C12" s="345">
        <v>105891.25</v>
      </c>
      <c r="D12" s="345">
        <v>109378.75</v>
      </c>
      <c r="E12" s="345">
        <v>112866.25</v>
      </c>
      <c r="F12" s="345">
        <v>116353.66666666667</v>
      </c>
      <c r="G12" s="345">
        <v>119841.16666666667</v>
      </c>
      <c r="H12" s="346">
        <v>123328.66666666667</v>
      </c>
      <c r="I12" s="345">
        <v>126816.16666666667</v>
      </c>
      <c r="J12" s="345">
        <v>130303.66666666667</v>
      </c>
      <c r="K12" s="345">
        <v>133791.16666666666</v>
      </c>
      <c r="L12" s="345">
        <v>137278.66666666666</v>
      </c>
      <c r="M12" s="345">
        <v>140766.16666666666</v>
      </c>
      <c r="N12" s="345">
        <v>144253.66666666666</v>
      </c>
      <c r="O12" s="345">
        <v>147741.16666666666</v>
      </c>
      <c r="P12" s="345">
        <v>151228.66666666666</v>
      </c>
      <c r="Q12" s="343"/>
      <c r="R12" s="343"/>
    </row>
    <row r="13" spans="1:18" ht="14.25">
      <c r="A13" s="345" t="s">
        <v>698</v>
      </c>
      <c r="B13" s="345">
        <v>120290</v>
      </c>
      <c r="C13" s="345">
        <v>124442.16666666667</v>
      </c>
      <c r="D13" s="345">
        <v>128594.58333333333</v>
      </c>
      <c r="E13" s="345">
        <v>132746.75</v>
      </c>
      <c r="F13" s="345">
        <v>136899.08333333334</v>
      </c>
      <c r="G13" s="345">
        <v>141051.25</v>
      </c>
      <c r="H13" s="346">
        <v>145203.66666666666</v>
      </c>
      <c r="I13" s="345">
        <v>149355.83333333334</v>
      </c>
      <c r="J13" s="345">
        <v>153508</v>
      </c>
      <c r="K13" s="345">
        <v>157660.33333333334</v>
      </c>
      <c r="L13" s="345">
        <v>161812.5</v>
      </c>
      <c r="M13" s="345">
        <v>165964.91666666666</v>
      </c>
      <c r="N13" s="345">
        <v>170117.08333333334</v>
      </c>
      <c r="O13" s="345">
        <v>174269.41666666666</v>
      </c>
      <c r="P13" s="345">
        <v>178421.58333333334</v>
      </c>
      <c r="Q13" s="343"/>
      <c r="R13" s="343"/>
    </row>
    <row r="14" spans="1:18" ht="14.25">
      <c r="A14" s="345" t="s">
        <v>699</v>
      </c>
      <c r="B14" s="345">
        <v>141204.91666666666</v>
      </c>
      <c r="C14" s="345">
        <v>145770.91666666666</v>
      </c>
      <c r="D14" s="345">
        <v>150337.08333333334</v>
      </c>
      <c r="E14" s="345">
        <v>154903.33333333334</v>
      </c>
      <c r="F14" s="345">
        <v>159469.41666666666</v>
      </c>
      <c r="G14" s="345">
        <v>164035.5</v>
      </c>
      <c r="H14" s="346">
        <v>168601.58333333334</v>
      </c>
      <c r="I14" s="345">
        <v>173167.66666666666</v>
      </c>
      <c r="J14" s="345">
        <v>177733.75</v>
      </c>
      <c r="K14" s="345">
        <v>182299.91666666666</v>
      </c>
      <c r="L14" s="345">
        <v>186865.91666666666</v>
      </c>
      <c r="M14" s="345">
        <v>191432.16666666666</v>
      </c>
      <c r="N14" s="345">
        <v>195998.33333333334</v>
      </c>
      <c r="O14" s="345">
        <v>200564.41666666666</v>
      </c>
      <c r="P14" s="345">
        <v>205130.5</v>
      </c>
      <c r="Q14" s="343"/>
      <c r="R14" s="343"/>
    </row>
    <row r="15" spans="1:18" ht="14.25">
      <c r="A15" s="345" t="s">
        <v>700</v>
      </c>
      <c r="B15" s="345">
        <v>162876.25</v>
      </c>
      <c r="C15" s="345">
        <v>169958.91666666666</v>
      </c>
      <c r="D15" s="345">
        <v>177039.91666666666</v>
      </c>
      <c r="E15" s="345">
        <v>184124.08333333334</v>
      </c>
      <c r="F15" s="345">
        <v>191206.58333333334</v>
      </c>
      <c r="G15" s="345">
        <v>198289.25</v>
      </c>
      <c r="H15" s="346">
        <v>205371.75</v>
      </c>
      <c r="I15" s="345">
        <v>212454.41666666666</v>
      </c>
      <c r="J15" s="345">
        <v>219536.91666666666</v>
      </c>
      <c r="K15" s="345">
        <v>226619.58333333334</v>
      </c>
      <c r="L15" s="345">
        <v>233702.08333333334</v>
      </c>
      <c r="M15" s="345"/>
      <c r="N15" s="345"/>
      <c r="O15" s="345"/>
      <c r="P15" s="345"/>
      <c r="Q15" s="343"/>
      <c r="R15" s="343"/>
    </row>
    <row r="16" spans="1:18" ht="14.25">
      <c r="A16" s="345" t="s">
        <v>701</v>
      </c>
      <c r="B16" s="345">
        <v>181786.41666666666</v>
      </c>
      <c r="C16" s="345">
        <v>189274.25</v>
      </c>
      <c r="D16" s="345">
        <v>198324.58333333334</v>
      </c>
      <c r="E16" s="345">
        <v>204249.91666666666</v>
      </c>
      <c r="F16" s="345">
        <v>211737.66666666666</v>
      </c>
      <c r="G16" s="345">
        <v>219225.5</v>
      </c>
      <c r="H16" s="346">
        <v>226713.33333333334</v>
      </c>
      <c r="I16" s="345">
        <v>234201.16666666666</v>
      </c>
      <c r="J16" s="345">
        <v>242001.41666666666</v>
      </c>
      <c r="K16" s="345">
        <v>249176.75</v>
      </c>
      <c r="L16" s="345">
        <v>256664.58333333334</v>
      </c>
      <c r="M16" s="345"/>
      <c r="N16" s="345"/>
      <c r="O16" s="345"/>
      <c r="P16" s="345"/>
      <c r="Q16" s="343"/>
      <c r="R16" s="343"/>
    </row>
    <row r="17" spans="1:18" ht="14.25">
      <c r="A17" s="345" t="s">
        <v>702</v>
      </c>
      <c r="B17" s="345">
        <v>200784.08333333334</v>
      </c>
      <c r="C17" s="345">
        <v>208845.16666666666</v>
      </c>
      <c r="D17" s="345">
        <v>216904.66666666666</v>
      </c>
      <c r="E17" s="345">
        <v>224967.16666666666</v>
      </c>
      <c r="F17" s="345">
        <v>233028.33333333334</v>
      </c>
      <c r="G17" s="345">
        <v>241089.25</v>
      </c>
      <c r="H17" s="346">
        <v>249153.41666666666</v>
      </c>
      <c r="I17" s="345">
        <v>257211.25</v>
      </c>
      <c r="J17" s="345">
        <v>265272.41666666669</v>
      </c>
      <c r="K17" s="345">
        <v>273333.41666666669</v>
      </c>
      <c r="L17" s="345">
        <v>281394.41666666669</v>
      </c>
      <c r="M17" s="345"/>
      <c r="N17" s="345"/>
      <c r="O17" s="345"/>
      <c r="P17" s="345"/>
      <c r="Q17" s="343"/>
      <c r="R17" s="343"/>
    </row>
    <row r="18" spans="1:18" ht="14.25">
      <c r="A18" s="345" t="s">
        <v>703</v>
      </c>
      <c r="B18" s="345">
        <v>276221.25</v>
      </c>
      <c r="C18" s="345">
        <v>287637.83333333331</v>
      </c>
      <c r="D18" s="345">
        <v>299054.25</v>
      </c>
      <c r="E18" s="345">
        <v>312760.25</v>
      </c>
      <c r="F18" s="345">
        <v>321887.16666666669</v>
      </c>
      <c r="G18" s="345">
        <v>333303.75</v>
      </c>
      <c r="H18" s="346">
        <v>344720.16666666669</v>
      </c>
      <c r="I18" s="345">
        <v>356136.75</v>
      </c>
      <c r="J18" s="345">
        <v>367553.16666666669</v>
      </c>
      <c r="K18" s="345"/>
      <c r="L18" s="345"/>
      <c r="M18" s="345"/>
      <c r="N18" s="345"/>
      <c r="O18" s="345"/>
      <c r="P18" s="345"/>
      <c r="Q18" s="343"/>
      <c r="R18" s="343"/>
    </row>
    <row r="19" spans="1:18" ht="14.25">
      <c r="A19" s="345" t="s">
        <v>704</v>
      </c>
      <c r="B19" s="345">
        <v>341699.58333333331</v>
      </c>
      <c r="C19" s="345">
        <v>355420.16666666669</v>
      </c>
      <c r="D19" s="345">
        <v>369154.91666666669</v>
      </c>
      <c r="E19" s="345">
        <v>382861.41666666669</v>
      </c>
      <c r="F19" s="345">
        <v>396582.08333333331</v>
      </c>
      <c r="G19" s="345">
        <v>410302.66666666669</v>
      </c>
      <c r="H19" s="346">
        <v>424023.33333333331</v>
      </c>
      <c r="I19" s="345">
        <v>437743.91666666669</v>
      </c>
      <c r="J19" s="345">
        <v>451464.58333333331</v>
      </c>
      <c r="K19" s="345"/>
      <c r="L19" s="345"/>
      <c r="M19" s="345"/>
      <c r="N19" s="345"/>
      <c r="O19" s="345"/>
      <c r="P19" s="345"/>
      <c r="Q19" s="343"/>
      <c r="R19" s="343"/>
    </row>
    <row r="20" spans="1:18" ht="14.25">
      <c r="A20" s="345" t="s">
        <v>705</v>
      </c>
      <c r="B20" s="345">
        <v>652000</v>
      </c>
      <c r="C20" s="345">
        <v>676776.16666666663</v>
      </c>
      <c r="D20" s="345">
        <v>701552.16666666663</v>
      </c>
      <c r="E20" s="345">
        <v>726328.33333333337</v>
      </c>
      <c r="F20" s="345">
        <v>751104.41666666663</v>
      </c>
      <c r="G20" s="345">
        <v>775880.5</v>
      </c>
      <c r="H20" s="346">
        <v>800656.58333333337</v>
      </c>
      <c r="I20" s="345">
        <v>825432.66666666663</v>
      </c>
      <c r="J20" s="345">
        <v>850208.75</v>
      </c>
      <c r="K20" s="345"/>
      <c r="L20" s="345"/>
      <c r="M20" s="345"/>
      <c r="N20" s="345"/>
      <c r="O20" s="345"/>
      <c r="P20" s="345"/>
      <c r="Q20" s="343"/>
      <c r="R20" s="343"/>
    </row>
    <row r="21" spans="1:18" ht="14.25">
      <c r="A21" s="345"/>
      <c r="B21" s="345"/>
      <c r="C21" s="345"/>
      <c r="D21" s="345"/>
      <c r="E21" s="345"/>
      <c r="F21" s="345"/>
      <c r="G21" s="345"/>
      <c r="H21" s="346"/>
      <c r="I21" s="345"/>
      <c r="J21" s="345"/>
      <c r="K21" s="345"/>
      <c r="L21" s="345"/>
      <c r="M21" s="345"/>
      <c r="N21" s="345"/>
      <c r="O21" s="345"/>
      <c r="P21" s="345"/>
      <c r="Q21" s="343"/>
      <c r="R21" s="343"/>
    </row>
    <row r="22" spans="1:18">
      <c r="A22" s="343"/>
      <c r="B22" s="343"/>
      <c r="C22" s="343"/>
      <c r="D22" s="343"/>
      <c r="E22" s="343"/>
      <c r="F22" s="343"/>
      <c r="G22" s="343"/>
      <c r="H22" s="344"/>
      <c r="I22" s="343"/>
      <c r="J22" s="253"/>
      <c r="K22" s="343"/>
      <c r="L22" s="343"/>
      <c r="M22" s="343"/>
      <c r="N22" s="343"/>
      <c r="O22" s="343"/>
      <c r="P22" s="343"/>
      <c r="Q22" s="343"/>
      <c r="R22" s="343"/>
    </row>
    <row r="23" spans="1:18">
      <c r="D23" s="34"/>
      <c r="F23" s="34"/>
      <c r="H23" s="342"/>
    </row>
    <row r="24" spans="1:18">
      <c r="H24" s="342"/>
    </row>
    <row r="25" spans="1:18">
      <c r="H25" s="342"/>
    </row>
    <row r="26" spans="1:18">
      <c r="H26" s="342"/>
    </row>
    <row r="27" spans="1:18">
      <c r="H27" s="342"/>
    </row>
    <row r="28" spans="1:18">
      <c r="H28" s="342"/>
    </row>
    <row r="29" spans="1:18">
      <c r="H29" s="342"/>
    </row>
    <row r="30" spans="1:18">
      <c r="H30" s="342"/>
    </row>
    <row r="31" spans="1:18">
      <c r="H31" s="342"/>
    </row>
    <row r="32" spans="1:18">
      <c r="H32" s="342"/>
    </row>
    <row r="33" spans="8:8">
      <c r="H33" s="342"/>
    </row>
    <row r="34" spans="8:8">
      <c r="H34" s="342"/>
    </row>
    <row r="35" spans="8:8">
      <c r="H35" s="342"/>
    </row>
    <row r="36" spans="8:8">
      <c r="H36" s="342"/>
    </row>
    <row r="37" spans="8:8">
      <c r="H37" s="342"/>
    </row>
    <row r="38" spans="8:8">
      <c r="H38" s="342"/>
    </row>
    <row r="39" spans="8:8">
      <c r="H39" s="342"/>
    </row>
    <row r="40" spans="8:8">
      <c r="H40" s="342"/>
    </row>
    <row r="41" spans="8:8">
      <c r="H41" s="342"/>
    </row>
    <row r="42" spans="8:8">
      <c r="H42" s="342"/>
    </row>
    <row r="43" spans="8:8">
      <c r="H43" s="342"/>
    </row>
    <row r="44" spans="8:8">
      <c r="H44" s="342"/>
    </row>
    <row r="45" spans="8:8">
      <c r="H45" s="342"/>
    </row>
    <row r="46" spans="8:8">
      <c r="H46" s="342"/>
    </row>
    <row r="47" spans="8:8">
      <c r="H47" s="342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673" t="s">
        <v>234</v>
      </c>
      <c r="B1" s="673"/>
      <c r="C1" s="673"/>
      <c r="D1" s="673"/>
      <c r="E1" s="673"/>
      <c r="F1" s="673"/>
      <c r="G1" s="673"/>
      <c r="H1" s="673"/>
      <c r="I1" s="673"/>
      <c r="J1" s="295"/>
      <c r="K1" s="295"/>
    </row>
    <row r="2" spans="1:11" ht="14.25">
      <c r="A2" s="673" t="s">
        <v>567</v>
      </c>
      <c r="B2" s="673"/>
      <c r="C2" s="673"/>
      <c r="D2" s="673"/>
      <c r="E2" s="673"/>
      <c r="F2" s="673"/>
      <c r="G2" s="673"/>
      <c r="H2" s="673"/>
      <c r="I2" s="673"/>
      <c r="J2" s="293"/>
      <c r="K2" s="293"/>
    </row>
    <row r="3" spans="1:11" ht="23.25" customHeight="1">
      <c r="A3" s="674" t="s">
        <v>568</v>
      </c>
      <c r="B3" s="674"/>
      <c r="C3" s="674"/>
      <c r="D3" s="674"/>
      <c r="E3" s="674"/>
      <c r="F3" s="674"/>
      <c r="G3" s="674"/>
      <c r="H3" s="674"/>
      <c r="I3" s="674"/>
    </row>
    <row r="5" spans="1:11" ht="42.75" customHeight="1">
      <c r="A5" s="296" t="s">
        <v>143</v>
      </c>
      <c r="B5" s="296" t="s">
        <v>0</v>
      </c>
      <c r="C5" s="296" t="s">
        <v>12</v>
      </c>
      <c r="D5" s="297" t="s">
        <v>309</v>
      </c>
      <c r="E5" s="297" t="s">
        <v>584</v>
      </c>
      <c r="F5" s="297" t="s">
        <v>585</v>
      </c>
      <c r="G5" s="297" t="s">
        <v>586</v>
      </c>
      <c r="H5" s="297" t="s">
        <v>587</v>
      </c>
      <c r="I5" s="300" t="s">
        <v>583</v>
      </c>
    </row>
    <row r="6" spans="1:11">
      <c r="B6" s="298" t="s">
        <v>433</v>
      </c>
    </row>
    <row r="7" spans="1:11">
      <c r="A7" s="307">
        <v>1</v>
      </c>
      <c r="B7" s="307" t="s">
        <v>224</v>
      </c>
      <c r="C7" s="307" t="s">
        <v>119</v>
      </c>
      <c r="D7" s="307" t="s">
        <v>582</v>
      </c>
      <c r="E7" s="308">
        <v>35000</v>
      </c>
      <c r="F7" s="308">
        <v>35000</v>
      </c>
      <c r="G7" s="308">
        <v>35000</v>
      </c>
      <c r="H7" s="308">
        <v>35000</v>
      </c>
      <c r="I7" s="308">
        <f>E7+F7+G7+H7</f>
        <v>140000</v>
      </c>
    </row>
    <row r="8" spans="1:11">
      <c r="A8" s="307">
        <v>2</v>
      </c>
      <c r="B8" s="309" t="s">
        <v>137</v>
      </c>
      <c r="C8" s="307" t="s">
        <v>540</v>
      </c>
      <c r="D8" s="307" t="s">
        <v>160</v>
      </c>
      <c r="E8" s="308">
        <v>35000</v>
      </c>
      <c r="F8" s="308">
        <v>35000</v>
      </c>
      <c r="G8" s="308">
        <v>35000</v>
      </c>
      <c r="H8" s="308">
        <v>35000</v>
      </c>
      <c r="I8" s="308">
        <f t="shared" ref="I8:I27" si="0">E8+F8+G8+H8</f>
        <v>140000</v>
      </c>
    </row>
    <row r="9" spans="1:11">
      <c r="A9" s="307">
        <v>3</v>
      </c>
      <c r="B9" s="307" t="s">
        <v>315</v>
      </c>
      <c r="C9" s="307" t="s">
        <v>316</v>
      </c>
      <c r="D9" s="307" t="s">
        <v>496</v>
      </c>
      <c r="E9" s="308">
        <v>35000</v>
      </c>
      <c r="F9" s="308">
        <v>35000</v>
      </c>
      <c r="G9" s="308">
        <v>35000</v>
      </c>
      <c r="H9" s="308">
        <v>35000</v>
      </c>
      <c r="I9" s="308">
        <f t="shared" si="0"/>
        <v>140000</v>
      </c>
    </row>
    <row r="10" spans="1:11">
      <c r="A10" s="307">
        <v>4</v>
      </c>
      <c r="B10" s="307" t="s">
        <v>317</v>
      </c>
      <c r="C10" s="307" t="s">
        <v>418</v>
      </c>
      <c r="D10" s="307" t="s">
        <v>221</v>
      </c>
      <c r="E10" s="308">
        <v>35000</v>
      </c>
      <c r="F10" s="308">
        <v>35000</v>
      </c>
      <c r="G10" s="308">
        <v>35000</v>
      </c>
      <c r="H10" s="308">
        <v>35000</v>
      </c>
      <c r="I10" s="308">
        <f t="shared" si="0"/>
        <v>140000</v>
      </c>
    </row>
    <row r="11" spans="1:11">
      <c r="A11" s="307">
        <v>5</v>
      </c>
      <c r="B11" s="307" t="s">
        <v>112</v>
      </c>
      <c r="C11" s="307" t="s">
        <v>473</v>
      </c>
      <c r="D11" s="307" t="s">
        <v>221</v>
      </c>
      <c r="E11" s="308">
        <v>35000</v>
      </c>
      <c r="F11" s="308">
        <v>35000</v>
      </c>
      <c r="G11" s="308">
        <v>35000</v>
      </c>
      <c r="H11" s="308">
        <v>35000</v>
      </c>
      <c r="I11" s="308">
        <f t="shared" si="0"/>
        <v>140000</v>
      </c>
    </row>
    <row r="12" spans="1:11">
      <c r="A12" s="307">
        <v>6</v>
      </c>
      <c r="B12" s="307" t="s">
        <v>187</v>
      </c>
      <c r="C12" s="307" t="s">
        <v>474</v>
      </c>
      <c r="D12" s="307" t="s">
        <v>221</v>
      </c>
      <c r="E12" s="308">
        <v>35000</v>
      </c>
      <c r="F12" s="308">
        <v>35000</v>
      </c>
      <c r="G12" s="308">
        <v>35000</v>
      </c>
      <c r="H12" s="308">
        <v>35000</v>
      </c>
      <c r="I12" s="308">
        <f t="shared" si="0"/>
        <v>140000</v>
      </c>
    </row>
    <row r="13" spans="1:11">
      <c r="A13" s="307">
        <v>7</v>
      </c>
      <c r="B13" s="307" t="s">
        <v>203</v>
      </c>
      <c r="C13" s="307" t="s">
        <v>475</v>
      </c>
      <c r="D13" s="307" t="s">
        <v>221</v>
      </c>
      <c r="E13" s="308">
        <v>35000</v>
      </c>
      <c r="F13" s="308">
        <v>35000</v>
      </c>
      <c r="G13" s="308">
        <v>35000</v>
      </c>
      <c r="H13" s="308">
        <v>35000</v>
      </c>
      <c r="I13" s="308">
        <f t="shared" si="0"/>
        <v>140000</v>
      </c>
    </row>
    <row r="14" spans="1:11">
      <c r="A14" s="307">
        <v>8</v>
      </c>
      <c r="B14" s="307" t="s">
        <v>111</v>
      </c>
      <c r="C14" s="307" t="s">
        <v>468</v>
      </c>
      <c r="D14" s="307" t="s">
        <v>75</v>
      </c>
      <c r="E14" s="308">
        <v>35000</v>
      </c>
      <c r="F14" s="308">
        <v>35000</v>
      </c>
      <c r="G14" s="308">
        <v>35000</v>
      </c>
      <c r="H14" s="308">
        <v>35000</v>
      </c>
      <c r="I14" s="308">
        <f t="shared" si="0"/>
        <v>140000</v>
      </c>
    </row>
    <row r="15" spans="1:11">
      <c r="A15" s="307">
        <v>9</v>
      </c>
      <c r="B15" s="307" t="s">
        <v>144</v>
      </c>
      <c r="C15" s="307" t="s">
        <v>389</v>
      </c>
      <c r="D15" s="307" t="s">
        <v>181</v>
      </c>
      <c r="E15" s="308">
        <v>35000</v>
      </c>
      <c r="F15" s="308">
        <v>35000</v>
      </c>
      <c r="G15" s="308">
        <v>35000</v>
      </c>
      <c r="H15" s="308">
        <v>35000</v>
      </c>
      <c r="I15" s="308">
        <f t="shared" si="0"/>
        <v>140000</v>
      </c>
    </row>
    <row r="16" spans="1:11">
      <c r="A16" s="307">
        <v>11</v>
      </c>
      <c r="B16" s="307" t="s">
        <v>18</v>
      </c>
      <c r="C16" s="307" t="s">
        <v>389</v>
      </c>
      <c r="D16" s="307" t="s">
        <v>181</v>
      </c>
      <c r="E16" s="308">
        <v>35000</v>
      </c>
      <c r="F16" s="308">
        <v>35000</v>
      </c>
      <c r="G16" s="308">
        <v>35000</v>
      </c>
      <c r="H16" s="308">
        <v>35000</v>
      </c>
      <c r="I16" s="308">
        <f t="shared" si="0"/>
        <v>140000</v>
      </c>
    </row>
    <row r="17" spans="1:9">
      <c r="A17" s="307">
        <v>12</v>
      </c>
      <c r="B17" s="307" t="s">
        <v>334</v>
      </c>
      <c r="C17" s="307" t="s">
        <v>351</v>
      </c>
      <c r="D17" s="307" t="s">
        <v>163</v>
      </c>
      <c r="E17" s="308">
        <v>35000</v>
      </c>
      <c r="F17" s="308">
        <v>35000</v>
      </c>
      <c r="G17" s="308">
        <v>35000</v>
      </c>
      <c r="H17" s="308">
        <v>35000</v>
      </c>
      <c r="I17" s="308">
        <f t="shared" si="0"/>
        <v>140000</v>
      </c>
    </row>
    <row r="18" spans="1:9">
      <c r="A18" s="307">
        <v>13</v>
      </c>
      <c r="B18" s="307" t="s">
        <v>291</v>
      </c>
      <c r="C18" s="307" t="s">
        <v>346</v>
      </c>
      <c r="D18" s="307" t="s">
        <v>413</v>
      </c>
      <c r="E18" s="308">
        <v>35000</v>
      </c>
      <c r="F18" s="308">
        <v>35000</v>
      </c>
      <c r="G18" s="308">
        <v>35000</v>
      </c>
      <c r="H18" s="308">
        <v>35000</v>
      </c>
      <c r="I18" s="308">
        <f t="shared" si="0"/>
        <v>140000</v>
      </c>
    </row>
    <row r="19" spans="1:9">
      <c r="A19" s="307">
        <v>14</v>
      </c>
      <c r="B19" s="307" t="s">
        <v>253</v>
      </c>
      <c r="C19" s="307" t="s">
        <v>478</v>
      </c>
      <c r="D19" s="307" t="s">
        <v>415</v>
      </c>
      <c r="E19" s="308">
        <v>35000</v>
      </c>
      <c r="F19" s="308">
        <v>35000</v>
      </c>
      <c r="G19" s="308">
        <v>35000</v>
      </c>
      <c r="H19" s="308">
        <v>35000</v>
      </c>
      <c r="I19" s="308">
        <f t="shared" si="0"/>
        <v>140000</v>
      </c>
    </row>
    <row r="20" spans="1:9">
      <c r="A20" s="307">
        <v>16</v>
      </c>
      <c r="B20" s="307" t="s">
        <v>254</v>
      </c>
      <c r="C20" s="307" t="s">
        <v>17</v>
      </c>
      <c r="D20" s="307" t="s">
        <v>498</v>
      </c>
      <c r="E20" s="308">
        <v>35000</v>
      </c>
      <c r="F20" s="308">
        <v>35000</v>
      </c>
      <c r="G20" s="308">
        <v>35000</v>
      </c>
      <c r="H20" s="308">
        <v>35000</v>
      </c>
      <c r="I20" s="308">
        <f t="shared" si="0"/>
        <v>140000</v>
      </c>
    </row>
    <row r="21" spans="1:9">
      <c r="A21" s="307">
        <v>17</v>
      </c>
      <c r="B21" s="307" t="s">
        <v>248</v>
      </c>
      <c r="C21" s="307" t="s">
        <v>480</v>
      </c>
      <c r="D21" s="307" t="s">
        <v>498</v>
      </c>
      <c r="E21" s="308">
        <v>35000</v>
      </c>
      <c r="F21" s="308">
        <v>35000</v>
      </c>
      <c r="G21" s="308">
        <v>35000</v>
      </c>
      <c r="H21" s="308">
        <v>35000</v>
      </c>
      <c r="I21" s="308">
        <f t="shared" si="0"/>
        <v>140000</v>
      </c>
    </row>
    <row r="22" spans="1:9">
      <c r="A22" s="307">
        <v>18</v>
      </c>
      <c r="B22" s="307" t="s">
        <v>288</v>
      </c>
      <c r="C22" s="307" t="s">
        <v>249</v>
      </c>
      <c r="D22" s="307" t="s">
        <v>267</v>
      </c>
      <c r="E22" s="308">
        <v>35000</v>
      </c>
      <c r="F22" s="308">
        <v>35000</v>
      </c>
      <c r="G22" s="308">
        <v>35000</v>
      </c>
      <c r="H22" s="308">
        <v>35000</v>
      </c>
      <c r="I22" s="308">
        <f t="shared" si="0"/>
        <v>140000</v>
      </c>
    </row>
    <row r="23" spans="1:9">
      <c r="A23" s="307">
        <v>19</v>
      </c>
      <c r="B23" s="307" t="s">
        <v>328</v>
      </c>
      <c r="C23" s="307" t="s">
        <v>329</v>
      </c>
      <c r="D23" s="307" t="s">
        <v>267</v>
      </c>
      <c r="E23" s="308">
        <v>35000</v>
      </c>
      <c r="F23" s="308">
        <v>35000</v>
      </c>
      <c r="G23" s="308">
        <v>35000</v>
      </c>
      <c r="H23" s="308">
        <v>35000</v>
      </c>
      <c r="I23" s="308">
        <f t="shared" si="0"/>
        <v>140000</v>
      </c>
    </row>
    <row r="24" spans="1:9">
      <c r="A24" s="307">
        <v>20</v>
      </c>
      <c r="B24" s="307" t="s">
        <v>360</v>
      </c>
      <c r="C24" s="307" t="s">
        <v>372</v>
      </c>
      <c r="D24" s="307" t="s">
        <v>498</v>
      </c>
      <c r="E24" s="308">
        <v>35000</v>
      </c>
      <c r="F24" s="308">
        <v>35000</v>
      </c>
      <c r="G24" s="308">
        <v>35000</v>
      </c>
      <c r="H24" s="308">
        <v>35000</v>
      </c>
      <c r="I24" s="308">
        <f t="shared" si="0"/>
        <v>140000</v>
      </c>
    </row>
    <row r="25" spans="1:9">
      <c r="A25" s="307">
        <v>21</v>
      </c>
      <c r="B25" s="307" t="s">
        <v>330</v>
      </c>
      <c r="C25" s="307" t="s">
        <v>533</v>
      </c>
      <c r="D25" s="307" t="s">
        <v>176</v>
      </c>
      <c r="E25" s="308">
        <v>35000</v>
      </c>
      <c r="F25" s="308">
        <v>35000</v>
      </c>
      <c r="G25" s="308">
        <v>35000</v>
      </c>
      <c r="H25" s="308">
        <v>35000</v>
      </c>
      <c r="I25" s="308">
        <f t="shared" si="0"/>
        <v>140000</v>
      </c>
    </row>
    <row r="26" spans="1:9">
      <c r="A26" s="307">
        <v>22</v>
      </c>
      <c r="B26" s="307" t="s">
        <v>274</v>
      </c>
      <c r="C26" s="307" t="s">
        <v>314</v>
      </c>
      <c r="D26" s="307" t="s">
        <v>176</v>
      </c>
      <c r="E26" s="308">
        <v>35000</v>
      </c>
      <c r="F26" s="308">
        <v>35000</v>
      </c>
      <c r="G26" s="308">
        <v>35000</v>
      </c>
      <c r="H26" s="308">
        <v>35000</v>
      </c>
      <c r="I26" s="308">
        <f t="shared" si="0"/>
        <v>140000</v>
      </c>
    </row>
    <row r="27" spans="1:9">
      <c r="A27" s="307">
        <v>23</v>
      </c>
      <c r="B27" s="307" t="s">
        <v>555</v>
      </c>
      <c r="C27" s="307" t="s">
        <v>314</v>
      </c>
      <c r="D27" s="307" t="s">
        <v>105</v>
      </c>
      <c r="E27" s="310">
        <v>35000</v>
      </c>
      <c r="F27" s="310">
        <v>35000</v>
      </c>
      <c r="G27" s="310">
        <v>35000</v>
      </c>
      <c r="H27" s="310">
        <v>35000</v>
      </c>
      <c r="I27" s="310">
        <f t="shared" si="0"/>
        <v>140000</v>
      </c>
    </row>
    <row r="28" spans="1:9">
      <c r="A28" s="307"/>
      <c r="B28" s="311" t="s">
        <v>569</v>
      </c>
      <c r="C28" s="307"/>
      <c r="D28" s="307"/>
      <c r="E28" s="312">
        <f>SUM(E7:E27)</f>
        <v>735000</v>
      </c>
      <c r="F28" s="312">
        <f>SUM(F7:F27)</f>
        <v>735000</v>
      </c>
      <c r="G28" s="312">
        <f>SUM(G7:G27)</f>
        <v>735000</v>
      </c>
      <c r="H28" s="312">
        <f>SUM(H7:H27)</f>
        <v>735000</v>
      </c>
      <c r="I28" s="312">
        <f>SUM(I7:I27)</f>
        <v>2940000</v>
      </c>
    </row>
    <row r="29" spans="1:9">
      <c r="E29" s="294"/>
      <c r="F29" s="294"/>
      <c r="G29" s="294"/>
      <c r="H29" s="294"/>
      <c r="I29" s="294"/>
    </row>
    <row r="30" spans="1:9">
      <c r="B30" s="298" t="s">
        <v>284</v>
      </c>
      <c r="E30" s="294"/>
      <c r="F30" s="294"/>
      <c r="G30" s="294"/>
      <c r="H30" s="294"/>
      <c r="I30" s="294"/>
    </row>
    <row r="31" spans="1:9">
      <c r="A31" s="307">
        <v>1</v>
      </c>
      <c r="B31" s="307" t="s">
        <v>361</v>
      </c>
      <c r="C31" s="307" t="s">
        <v>362</v>
      </c>
      <c r="D31" s="307" t="s">
        <v>161</v>
      </c>
      <c r="E31" s="308">
        <v>35000</v>
      </c>
      <c r="F31" s="308">
        <v>35000</v>
      </c>
      <c r="G31" s="308">
        <v>35000</v>
      </c>
      <c r="H31" s="308">
        <v>35000</v>
      </c>
      <c r="I31" s="308">
        <f>E31+F31+G31+H31</f>
        <v>140000</v>
      </c>
    </row>
    <row r="32" spans="1:9">
      <c r="A32" s="307">
        <v>2</v>
      </c>
      <c r="B32" s="307" t="s">
        <v>419</v>
      </c>
      <c r="C32" s="307" t="s">
        <v>427</v>
      </c>
      <c r="D32" s="307" t="s">
        <v>105</v>
      </c>
      <c r="E32" s="310">
        <v>35000</v>
      </c>
      <c r="F32" s="310">
        <v>35000</v>
      </c>
      <c r="G32" s="310">
        <v>35000</v>
      </c>
      <c r="H32" s="310">
        <v>35000</v>
      </c>
      <c r="I32" s="308">
        <f>E32+F32+G32+H32</f>
        <v>140000</v>
      </c>
    </row>
    <row r="33" spans="1:9">
      <c r="A33" s="307"/>
      <c r="B33" s="311" t="s">
        <v>570</v>
      </c>
      <c r="C33" s="307"/>
      <c r="D33" s="307"/>
      <c r="E33" s="312">
        <f>SUM(E31:E32)</f>
        <v>70000</v>
      </c>
      <c r="F33" s="312">
        <f t="shared" ref="F33:H33" si="1">SUM(F31:F32)</f>
        <v>70000</v>
      </c>
      <c r="G33" s="312">
        <f t="shared" si="1"/>
        <v>70000</v>
      </c>
      <c r="H33" s="312">
        <f t="shared" si="1"/>
        <v>70000</v>
      </c>
      <c r="I33" s="312">
        <f>SUM(I31:I32)</f>
        <v>280000</v>
      </c>
    </row>
    <row r="34" spans="1:9">
      <c r="E34" s="294"/>
      <c r="F34" s="294"/>
      <c r="G34" s="294"/>
      <c r="H34" s="294"/>
      <c r="I34" s="294"/>
    </row>
    <row r="35" spans="1:9">
      <c r="B35" s="298" t="s">
        <v>56</v>
      </c>
      <c r="E35" s="294"/>
      <c r="F35" s="294"/>
      <c r="G35" s="294"/>
      <c r="H35" s="294"/>
      <c r="I35" s="294"/>
    </row>
    <row r="36" spans="1:9">
      <c r="A36" s="307">
        <v>1</v>
      </c>
      <c r="B36" s="307" t="s">
        <v>255</v>
      </c>
      <c r="C36" s="307" t="s">
        <v>256</v>
      </c>
      <c r="D36" s="307" t="s">
        <v>161</v>
      </c>
      <c r="E36" s="308">
        <v>35000</v>
      </c>
      <c r="F36" s="308">
        <v>35000</v>
      </c>
      <c r="G36" s="308">
        <v>35000</v>
      </c>
      <c r="H36" s="308">
        <v>35000</v>
      </c>
      <c r="I36" s="308">
        <f>E36+F36+G36+H36</f>
        <v>140000</v>
      </c>
    </row>
    <row r="37" spans="1:9">
      <c r="A37" s="307">
        <v>2</v>
      </c>
      <c r="B37" s="307" t="s">
        <v>158</v>
      </c>
      <c r="C37" s="307" t="s">
        <v>199</v>
      </c>
      <c r="D37" s="307" t="s">
        <v>75</v>
      </c>
      <c r="E37" s="308">
        <v>35000</v>
      </c>
      <c r="F37" s="308">
        <v>35000</v>
      </c>
      <c r="G37" s="308">
        <v>35000</v>
      </c>
      <c r="H37" s="308">
        <v>35000</v>
      </c>
      <c r="I37" s="308">
        <f t="shared" ref="I37:I48" si="2">E37+F37+G37+H37</f>
        <v>140000</v>
      </c>
    </row>
    <row r="38" spans="1:9">
      <c r="A38" s="307">
        <v>3</v>
      </c>
      <c r="B38" s="307" t="s">
        <v>165</v>
      </c>
      <c r="C38" s="307" t="s">
        <v>258</v>
      </c>
      <c r="D38" s="307" t="s">
        <v>75</v>
      </c>
      <c r="E38" s="308">
        <v>35000</v>
      </c>
      <c r="F38" s="308">
        <v>35000</v>
      </c>
      <c r="G38" s="308">
        <v>35000</v>
      </c>
      <c r="H38" s="308">
        <v>35000</v>
      </c>
      <c r="I38" s="308">
        <f t="shared" si="2"/>
        <v>140000</v>
      </c>
    </row>
    <row r="39" spans="1:9">
      <c r="A39" s="307">
        <v>4</v>
      </c>
      <c r="B39" s="307" t="s">
        <v>159</v>
      </c>
      <c r="C39" s="307" t="s">
        <v>258</v>
      </c>
      <c r="D39" s="307" t="s">
        <v>75</v>
      </c>
      <c r="E39" s="308">
        <v>35000</v>
      </c>
      <c r="F39" s="308">
        <v>35000</v>
      </c>
      <c r="G39" s="308">
        <v>35000</v>
      </c>
      <c r="H39" s="308">
        <v>35000</v>
      </c>
      <c r="I39" s="308">
        <f t="shared" si="2"/>
        <v>140000</v>
      </c>
    </row>
    <row r="40" spans="1:9">
      <c r="A40" s="307">
        <v>5</v>
      </c>
      <c r="B40" s="307" t="s">
        <v>118</v>
      </c>
      <c r="C40" s="307" t="s">
        <v>258</v>
      </c>
      <c r="D40" s="307" t="s">
        <v>148</v>
      </c>
      <c r="E40" s="308">
        <v>35000</v>
      </c>
      <c r="F40" s="308">
        <v>35000</v>
      </c>
      <c r="G40" s="308">
        <v>35000</v>
      </c>
      <c r="H40" s="308">
        <v>35000</v>
      </c>
      <c r="I40" s="308">
        <f t="shared" si="2"/>
        <v>140000</v>
      </c>
    </row>
    <row r="41" spans="1:9">
      <c r="A41" s="307">
        <v>6</v>
      </c>
      <c r="B41" s="307" t="s">
        <v>205</v>
      </c>
      <c r="C41" s="307" t="s">
        <v>78</v>
      </c>
      <c r="D41" s="307" t="s">
        <v>181</v>
      </c>
      <c r="E41" s="308">
        <v>35000</v>
      </c>
      <c r="F41" s="308">
        <v>35000</v>
      </c>
      <c r="G41" s="308">
        <v>35000</v>
      </c>
      <c r="H41" s="308">
        <v>35000</v>
      </c>
      <c r="I41" s="308">
        <f t="shared" si="2"/>
        <v>140000</v>
      </c>
    </row>
    <row r="42" spans="1:9">
      <c r="A42" s="307">
        <v>7</v>
      </c>
      <c r="B42" s="307" t="s">
        <v>173</v>
      </c>
      <c r="C42" s="307" t="s">
        <v>297</v>
      </c>
      <c r="D42" s="307" t="s">
        <v>181</v>
      </c>
      <c r="E42" s="308">
        <v>35000</v>
      </c>
      <c r="F42" s="308">
        <v>35000</v>
      </c>
      <c r="G42" s="308">
        <v>35000</v>
      </c>
      <c r="H42" s="308">
        <v>35000</v>
      </c>
      <c r="I42" s="308">
        <f t="shared" si="2"/>
        <v>140000</v>
      </c>
    </row>
    <row r="43" spans="1:9">
      <c r="A43" s="307">
        <v>8</v>
      </c>
      <c r="B43" s="307" t="s">
        <v>116</v>
      </c>
      <c r="C43" s="307" t="s">
        <v>297</v>
      </c>
      <c r="D43" s="307" t="s">
        <v>162</v>
      </c>
      <c r="E43" s="308">
        <v>35000</v>
      </c>
      <c r="F43" s="308">
        <v>35000</v>
      </c>
      <c r="G43" s="308">
        <v>35000</v>
      </c>
      <c r="H43" s="308">
        <v>35000</v>
      </c>
      <c r="I43" s="308">
        <f t="shared" si="2"/>
        <v>140000</v>
      </c>
    </row>
    <row r="44" spans="1:9">
      <c r="A44" s="307">
        <v>9</v>
      </c>
      <c r="B44" s="307" t="s">
        <v>184</v>
      </c>
      <c r="C44" s="307" t="s">
        <v>80</v>
      </c>
      <c r="D44" s="307" t="s">
        <v>170</v>
      </c>
      <c r="E44" s="308">
        <v>35000</v>
      </c>
      <c r="F44" s="308">
        <v>35000</v>
      </c>
      <c r="G44" s="308">
        <v>35000</v>
      </c>
      <c r="H44" s="308">
        <v>35000</v>
      </c>
      <c r="I44" s="308">
        <f t="shared" si="2"/>
        <v>140000</v>
      </c>
    </row>
    <row r="45" spans="1:9">
      <c r="A45" s="307">
        <v>10</v>
      </c>
      <c r="B45" s="307" t="s">
        <v>551</v>
      </c>
      <c r="C45" s="307" t="s">
        <v>84</v>
      </c>
      <c r="D45" s="307" t="s">
        <v>104</v>
      </c>
      <c r="E45" s="308">
        <v>35000</v>
      </c>
      <c r="F45" s="308">
        <v>35000</v>
      </c>
      <c r="G45" s="308">
        <v>35000</v>
      </c>
      <c r="H45" s="308">
        <v>35000</v>
      </c>
      <c r="I45" s="308">
        <f t="shared" si="2"/>
        <v>140000</v>
      </c>
    </row>
    <row r="46" spans="1:9">
      <c r="A46" s="307">
        <v>11</v>
      </c>
      <c r="B46" s="307" t="s">
        <v>420</v>
      </c>
      <c r="C46" s="307" t="s">
        <v>84</v>
      </c>
      <c r="D46" s="307" t="s">
        <v>428</v>
      </c>
      <c r="E46" s="308">
        <v>35000</v>
      </c>
      <c r="F46" s="308">
        <v>35000</v>
      </c>
      <c r="G46" s="308">
        <v>35000</v>
      </c>
      <c r="H46" s="308">
        <v>35000</v>
      </c>
      <c r="I46" s="308">
        <f t="shared" si="2"/>
        <v>140000</v>
      </c>
    </row>
    <row r="47" spans="1:9">
      <c r="A47" s="307">
        <v>12</v>
      </c>
      <c r="B47" s="307" t="s">
        <v>435</v>
      </c>
      <c r="C47" s="307" t="s">
        <v>84</v>
      </c>
      <c r="D47" s="307" t="s">
        <v>428</v>
      </c>
      <c r="E47" s="308">
        <v>35000</v>
      </c>
      <c r="F47" s="308">
        <v>35000</v>
      </c>
      <c r="G47" s="308">
        <v>35000</v>
      </c>
      <c r="H47" s="308">
        <v>35000</v>
      </c>
      <c r="I47" s="308">
        <f t="shared" si="2"/>
        <v>140000</v>
      </c>
    </row>
    <row r="48" spans="1:9">
      <c r="A48" s="307">
        <v>13</v>
      </c>
      <c r="B48" s="307" t="s">
        <v>452</v>
      </c>
      <c r="C48" s="307" t="s">
        <v>84</v>
      </c>
      <c r="D48" s="307" t="s">
        <v>428</v>
      </c>
      <c r="E48" s="310">
        <v>35000</v>
      </c>
      <c r="F48" s="310">
        <v>35000</v>
      </c>
      <c r="G48" s="310">
        <v>35000</v>
      </c>
      <c r="H48" s="310">
        <v>35000</v>
      </c>
      <c r="I48" s="310">
        <f t="shared" si="2"/>
        <v>140000</v>
      </c>
    </row>
    <row r="49" spans="1:9">
      <c r="A49" s="307"/>
      <c r="B49" s="311" t="s">
        <v>571</v>
      </c>
      <c r="C49" s="307"/>
      <c r="D49" s="307"/>
      <c r="E49" s="312">
        <f>SUM(E36:E48)</f>
        <v>455000</v>
      </c>
      <c r="F49" s="312">
        <f t="shared" ref="F49:H49" si="3">SUM(F36:F48)</f>
        <v>455000</v>
      </c>
      <c r="G49" s="312">
        <f t="shared" si="3"/>
        <v>455000</v>
      </c>
      <c r="H49" s="312">
        <f t="shared" si="3"/>
        <v>455000</v>
      </c>
      <c r="I49" s="312">
        <f>SUM(I36:I48)</f>
        <v>1820000</v>
      </c>
    </row>
    <row r="50" spans="1:9">
      <c r="E50" s="294"/>
      <c r="F50" s="294"/>
      <c r="G50" s="294"/>
      <c r="H50" s="294"/>
      <c r="I50" s="294"/>
    </row>
    <row r="51" spans="1:9">
      <c r="B51" s="298" t="s">
        <v>195</v>
      </c>
      <c r="E51" s="294"/>
      <c r="F51" s="294"/>
      <c r="G51" s="294"/>
      <c r="H51" s="294"/>
      <c r="I51" s="294"/>
    </row>
    <row r="52" spans="1:9">
      <c r="A52" s="307">
        <v>1</v>
      </c>
      <c r="B52" s="309" t="s">
        <v>11</v>
      </c>
      <c r="C52" s="307" t="s">
        <v>200</v>
      </c>
      <c r="D52" s="307" t="s">
        <v>161</v>
      </c>
      <c r="E52" s="308">
        <v>35000</v>
      </c>
      <c r="F52" s="308">
        <v>35000</v>
      </c>
      <c r="G52" s="308">
        <v>35000</v>
      </c>
      <c r="H52" s="308">
        <v>35000</v>
      </c>
      <c r="I52" s="308">
        <f>E52+F52+G52+H52</f>
        <v>140000</v>
      </c>
    </row>
    <row r="53" spans="1:9">
      <c r="A53" s="307">
        <v>2</v>
      </c>
      <c r="B53" s="307" t="s">
        <v>276</v>
      </c>
      <c r="C53" s="307" t="s">
        <v>340</v>
      </c>
      <c r="D53" s="307" t="s">
        <v>412</v>
      </c>
      <c r="E53" s="310">
        <v>35000</v>
      </c>
      <c r="F53" s="310">
        <v>35000</v>
      </c>
      <c r="G53" s="310">
        <v>35000</v>
      </c>
      <c r="H53" s="310">
        <v>35000</v>
      </c>
      <c r="I53" s="310">
        <f>E53+F53+G53+H53</f>
        <v>140000</v>
      </c>
    </row>
    <row r="54" spans="1:9">
      <c r="A54" s="307"/>
      <c r="B54" s="311" t="s">
        <v>572</v>
      </c>
      <c r="C54" s="307"/>
      <c r="D54" s="307"/>
      <c r="E54" s="312">
        <f>SUM(E52:E53)</f>
        <v>70000</v>
      </c>
      <c r="F54" s="312">
        <f t="shared" ref="F54:H54" si="4">SUM(F52:F53)</f>
        <v>70000</v>
      </c>
      <c r="G54" s="312">
        <f t="shared" si="4"/>
        <v>70000</v>
      </c>
      <c r="H54" s="312">
        <f t="shared" si="4"/>
        <v>70000</v>
      </c>
      <c r="I54" s="312">
        <f>SUM(I52:I53)</f>
        <v>280000</v>
      </c>
    </row>
    <row r="55" spans="1:9">
      <c r="E55" s="294"/>
      <c r="F55" s="294"/>
      <c r="G55" s="294"/>
      <c r="H55" s="294"/>
      <c r="I55" s="294"/>
    </row>
    <row r="56" spans="1:9">
      <c r="B56" s="298" t="s">
        <v>461</v>
      </c>
      <c r="E56" s="294"/>
      <c r="F56" s="294"/>
      <c r="G56" s="294"/>
      <c r="H56" s="294"/>
      <c r="I56" s="294"/>
    </row>
    <row r="57" spans="1:9">
      <c r="A57" s="307">
        <v>1</v>
      </c>
      <c r="B57" s="307" t="s">
        <v>277</v>
      </c>
      <c r="C57" s="307" t="s">
        <v>278</v>
      </c>
      <c r="D57" s="307" t="s">
        <v>161</v>
      </c>
      <c r="E57" s="308">
        <v>35000</v>
      </c>
      <c r="F57" s="308">
        <v>35000</v>
      </c>
      <c r="G57" s="308">
        <v>35000</v>
      </c>
      <c r="H57" s="308">
        <v>35000</v>
      </c>
      <c r="I57" s="308">
        <f>E57+F57+G57+H57</f>
        <v>140000</v>
      </c>
    </row>
    <row r="58" spans="1:9">
      <c r="A58" s="307">
        <v>2</v>
      </c>
      <c r="B58" s="307" t="s">
        <v>332</v>
      </c>
      <c r="C58" s="307" t="s">
        <v>188</v>
      </c>
      <c r="D58" s="307" t="s">
        <v>272</v>
      </c>
      <c r="E58" s="308">
        <v>35000</v>
      </c>
      <c r="F58" s="308">
        <v>35000</v>
      </c>
      <c r="G58" s="308">
        <v>35000</v>
      </c>
      <c r="H58" s="308">
        <v>35000</v>
      </c>
      <c r="I58" s="308">
        <f t="shared" ref="I58:I68" si="5">E58+F58+G58+H58</f>
        <v>140000</v>
      </c>
    </row>
    <row r="59" spans="1:9">
      <c r="A59" s="307">
        <v>3</v>
      </c>
      <c r="B59" s="307" t="s">
        <v>189</v>
      </c>
      <c r="C59" s="307" t="s">
        <v>257</v>
      </c>
      <c r="D59" s="307" t="s">
        <v>170</v>
      </c>
      <c r="E59" s="308">
        <v>35000</v>
      </c>
      <c r="F59" s="308">
        <v>35000</v>
      </c>
      <c r="G59" s="308">
        <v>35000</v>
      </c>
      <c r="H59" s="308">
        <v>35000</v>
      </c>
      <c r="I59" s="308">
        <f t="shared" si="5"/>
        <v>140000</v>
      </c>
    </row>
    <row r="60" spans="1:9">
      <c r="A60" s="307">
        <v>4</v>
      </c>
      <c r="B60" s="307" t="s">
        <v>448</v>
      </c>
      <c r="C60" s="307" t="s">
        <v>257</v>
      </c>
      <c r="D60" s="307" t="s">
        <v>163</v>
      </c>
      <c r="E60" s="308">
        <v>35000</v>
      </c>
      <c r="F60" s="308">
        <v>35000</v>
      </c>
      <c r="G60" s="308">
        <v>35000</v>
      </c>
      <c r="H60" s="308">
        <v>35000</v>
      </c>
      <c r="I60" s="308">
        <f t="shared" si="5"/>
        <v>140000</v>
      </c>
    </row>
    <row r="61" spans="1:9">
      <c r="A61" s="307">
        <v>5</v>
      </c>
      <c r="B61" s="307" t="s">
        <v>229</v>
      </c>
      <c r="C61" s="307" t="s">
        <v>297</v>
      </c>
      <c r="D61" s="307" t="s">
        <v>181</v>
      </c>
      <c r="E61" s="308">
        <v>35000</v>
      </c>
      <c r="F61" s="308">
        <v>35000</v>
      </c>
      <c r="G61" s="308">
        <v>35000</v>
      </c>
      <c r="H61" s="308">
        <v>35000</v>
      </c>
      <c r="I61" s="308">
        <f t="shared" si="5"/>
        <v>140000</v>
      </c>
    </row>
    <row r="62" spans="1:9">
      <c r="A62" s="307">
        <v>6</v>
      </c>
      <c r="B62" s="307" t="s">
        <v>534</v>
      </c>
      <c r="C62" s="307" t="s">
        <v>297</v>
      </c>
      <c r="D62" s="307" t="s">
        <v>162</v>
      </c>
      <c r="E62" s="308">
        <v>35000</v>
      </c>
      <c r="F62" s="308">
        <v>35000</v>
      </c>
      <c r="G62" s="308">
        <v>35000</v>
      </c>
      <c r="H62" s="308">
        <v>35000</v>
      </c>
      <c r="I62" s="308">
        <f t="shared" si="5"/>
        <v>140000</v>
      </c>
    </row>
    <row r="63" spans="1:9">
      <c r="A63" s="307">
        <v>7</v>
      </c>
      <c r="B63" s="307" t="s">
        <v>117</v>
      </c>
      <c r="C63" s="307" t="s">
        <v>84</v>
      </c>
      <c r="D63" s="307" t="s">
        <v>369</v>
      </c>
      <c r="E63" s="308">
        <v>35000</v>
      </c>
      <c r="F63" s="308">
        <v>35000</v>
      </c>
      <c r="G63" s="308">
        <v>35000</v>
      </c>
      <c r="H63" s="308">
        <v>35000</v>
      </c>
      <c r="I63" s="308">
        <f t="shared" si="5"/>
        <v>140000</v>
      </c>
    </row>
    <row r="64" spans="1:9">
      <c r="A64" s="307">
        <v>8</v>
      </c>
      <c r="B64" s="307" t="s">
        <v>424</v>
      </c>
      <c r="C64" s="307" t="s">
        <v>422</v>
      </c>
      <c r="D64" s="307" t="s">
        <v>369</v>
      </c>
      <c r="E64" s="308">
        <v>35000</v>
      </c>
      <c r="F64" s="308">
        <v>35000</v>
      </c>
      <c r="G64" s="308">
        <v>35000</v>
      </c>
      <c r="H64" s="308">
        <v>35000</v>
      </c>
      <c r="I64" s="308">
        <f t="shared" si="5"/>
        <v>140000</v>
      </c>
    </row>
    <row r="65" spans="1:9">
      <c r="A65" s="307">
        <v>9</v>
      </c>
      <c r="B65" s="307" t="s">
        <v>423</v>
      </c>
      <c r="C65" s="307" t="s">
        <v>422</v>
      </c>
      <c r="D65" s="307" t="s">
        <v>369</v>
      </c>
      <c r="E65" s="308">
        <v>35000</v>
      </c>
      <c r="F65" s="308">
        <v>35000</v>
      </c>
      <c r="G65" s="308">
        <v>35000</v>
      </c>
      <c r="H65" s="308">
        <v>35000</v>
      </c>
      <c r="I65" s="308">
        <f t="shared" si="5"/>
        <v>140000</v>
      </c>
    </row>
    <row r="66" spans="1:9">
      <c r="A66" s="307">
        <v>10</v>
      </c>
      <c r="B66" s="307" t="s">
        <v>242</v>
      </c>
      <c r="C66" s="307" t="s">
        <v>484</v>
      </c>
      <c r="D66" s="307" t="s">
        <v>415</v>
      </c>
      <c r="E66" s="308">
        <v>35000</v>
      </c>
      <c r="F66" s="308">
        <v>35000</v>
      </c>
      <c r="G66" s="308">
        <v>35000</v>
      </c>
      <c r="H66" s="308">
        <v>35000</v>
      </c>
      <c r="I66" s="308">
        <f t="shared" si="5"/>
        <v>140000</v>
      </c>
    </row>
    <row r="67" spans="1:9">
      <c r="A67" s="307">
        <v>11</v>
      </c>
      <c r="B67" s="307" t="s">
        <v>320</v>
      </c>
      <c r="C67" s="307" t="s">
        <v>115</v>
      </c>
      <c r="D67" s="307" t="s">
        <v>498</v>
      </c>
      <c r="E67" s="308">
        <v>35000</v>
      </c>
      <c r="F67" s="308">
        <v>35000</v>
      </c>
      <c r="G67" s="308">
        <v>35000</v>
      </c>
      <c r="H67" s="308">
        <v>35000</v>
      </c>
      <c r="I67" s="308">
        <f t="shared" si="5"/>
        <v>140000</v>
      </c>
    </row>
    <row r="68" spans="1:9">
      <c r="A68" s="307">
        <v>12</v>
      </c>
      <c r="B68" s="307" t="s">
        <v>321</v>
      </c>
      <c r="C68" s="307" t="s">
        <v>115</v>
      </c>
      <c r="D68" s="307" t="s">
        <v>176</v>
      </c>
      <c r="E68" s="310">
        <v>35000</v>
      </c>
      <c r="F68" s="310">
        <v>35000</v>
      </c>
      <c r="G68" s="310">
        <v>35000</v>
      </c>
      <c r="H68" s="310">
        <v>35000</v>
      </c>
      <c r="I68" s="310">
        <f t="shared" si="5"/>
        <v>140000</v>
      </c>
    </row>
    <row r="69" spans="1:9">
      <c r="A69" s="307"/>
      <c r="B69" s="311" t="s">
        <v>573</v>
      </c>
      <c r="C69" s="307"/>
      <c r="D69" s="307"/>
      <c r="E69" s="312">
        <f>SUM(E57:E68)</f>
        <v>420000</v>
      </c>
      <c r="F69" s="312">
        <f t="shared" ref="F69:H69" si="6">SUM(F57:F68)</f>
        <v>420000</v>
      </c>
      <c r="G69" s="312">
        <f t="shared" si="6"/>
        <v>420000</v>
      </c>
      <c r="H69" s="312">
        <f t="shared" si="6"/>
        <v>420000</v>
      </c>
      <c r="I69" s="312">
        <f>SUM(I57:I68)</f>
        <v>1680000</v>
      </c>
    </row>
    <row r="70" spans="1:9">
      <c r="E70" s="294"/>
      <c r="F70" s="294"/>
      <c r="G70" s="294"/>
      <c r="H70" s="294"/>
      <c r="I70" s="294"/>
    </row>
    <row r="71" spans="1:9">
      <c r="B71" s="298" t="s">
        <v>462</v>
      </c>
      <c r="E71" s="294"/>
      <c r="F71" s="294"/>
      <c r="G71" s="294"/>
      <c r="H71" s="294"/>
      <c r="I71" s="294"/>
    </row>
    <row r="72" spans="1:9">
      <c r="A72" s="307">
        <v>1</v>
      </c>
      <c r="B72" s="307" t="s">
        <v>19</v>
      </c>
      <c r="C72" s="307" t="s">
        <v>201</v>
      </c>
      <c r="D72" s="307" t="s">
        <v>161</v>
      </c>
      <c r="E72" s="308">
        <v>35000</v>
      </c>
      <c r="F72" s="308">
        <v>35000</v>
      </c>
      <c r="G72" s="308">
        <v>35000</v>
      </c>
      <c r="H72" s="308">
        <v>35000</v>
      </c>
      <c r="I72" s="308">
        <f>E72+F72+G72+H72</f>
        <v>140000</v>
      </c>
    </row>
    <row r="73" spans="1:9">
      <c r="A73" s="307">
        <v>2</v>
      </c>
      <c r="B73" s="307" t="s">
        <v>325</v>
      </c>
      <c r="C73" s="307" t="s">
        <v>245</v>
      </c>
      <c r="D73" s="307" t="s">
        <v>272</v>
      </c>
      <c r="E73" s="308">
        <v>35000</v>
      </c>
      <c r="F73" s="308">
        <v>35000</v>
      </c>
      <c r="G73" s="308">
        <v>35000</v>
      </c>
      <c r="H73" s="308">
        <v>35000</v>
      </c>
      <c r="I73" s="308">
        <f t="shared" ref="I73:I78" si="7">E73+F73+G73+H73</f>
        <v>140000</v>
      </c>
    </row>
    <row r="74" spans="1:9">
      <c r="A74" s="307">
        <v>3</v>
      </c>
      <c r="B74" s="307" t="s">
        <v>333</v>
      </c>
      <c r="C74" s="307" t="s">
        <v>387</v>
      </c>
      <c r="D74" s="307" t="s">
        <v>412</v>
      </c>
      <c r="E74" s="308">
        <v>35000</v>
      </c>
      <c r="F74" s="308">
        <v>35000</v>
      </c>
      <c r="G74" s="308">
        <v>35000</v>
      </c>
      <c r="H74" s="308">
        <v>35000</v>
      </c>
      <c r="I74" s="308">
        <f t="shared" si="7"/>
        <v>140000</v>
      </c>
    </row>
    <row r="75" spans="1:9">
      <c r="A75" s="307">
        <v>4</v>
      </c>
      <c r="B75" s="307" t="s">
        <v>26</v>
      </c>
      <c r="C75" s="307" t="s">
        <v>296</v>
      </c>
      <c r="D75" s="307" t="s">
        <v>170</v>
      </c>
      <c r="E75" s="308">
        <v>35000</v>
      </c>
      <c r="F75" s="308">
        <v>35000</v>
      </c>
      <c r="G75" s="308">
        <v>35000</v>
      </c>
      <c r="H75" s="308">
        <v>35000</v>
      </c>
      <c r="I75" s="308">
        <f t="shared" si="7"/>
        <v>140000</v>
      </c>
    </row>
    <row r="76" spans="1:9">
      <c r="A76" s="307">
        <v>5</v>
      </c>
      <c r="B76" s="307" t="s">
        <v>324</v>
      </c>
      <c r="C76" s="307" t="s">
        <v>243</v>
      </c>
      <c r="D76" s="307" t="s">
        <v>207</v>
      </c>
      <c r="E76" s="308">
        <v>35000</v>
      </c>
      <c r="F76" s="308">
        <v>35000</v>
      </c>
      <c r="G76" s="308">
        <v>35000</v>
      </c>
      <c r="H76" s="308">
        <v>35000</v>
      </c>
      <c r="I76" s="308">
        <f t="shared" si="7"/>
        <v>140000</v>
      </c>
    </row>
    <row r="77" spans="1:9">
      <c r="A77" s="307">
        <v>6</v>
      </c>
      <c r="B77" s="307" t="s">
        <v>554</v>
      </c>
      <c r="C77" s="307" t="s">
        <v>243</v>
      </c>
      <c r="D77" s="307" t="s">
        <v>428</v>
      </c>
      <c r="E77" s="308">
        <v>35000</v>
      </c>
      <c r="F77" s="308">
        <v>35000</v>
      </c>
      <c r="G77" s="308">
        <v>35000</v>
      </c>
      <c r="H77" s="308">
        <v>35000</v>
      </c>
      <c r="I77" s="308">
        <f t="shared" si="7"/>
        <v>140000</v>
      </c>
    </row>
    <row r="78" spans="1:9">
      <c r="A78" s="307">
        <v>7</v>
      </c>
      <c r="B78" s="307" t="s">
        <v>552</v>
      </c>
      <c r="C78" s="307" t="s">
        <v>553</v>
      </c>
      <c r="D78" s="307" t="s">
        <v>105</v>
      </c>
      <c r="E78" s="310">
        <v>35000</v>
      </c>
      <c r="F78" s="310">
        <v>35000</v>
      </c>
      <c r="G78" s="310">
        <v>35000</v>
      </c>
      <c r="H78" s="310">
        <v>35000</v>
      </c>
      <c r="I78" s="310">
        <f t="shared" si="7"/>
        <v>140000</v>
      </c>
    </row>
    <row r="79" spans="1:9">
      <c r="A79" s="307"/>
      <c r="B79" s="311" t="s">
        <v>574</v>
      </c>
      <c r="C79" s="307"/>
      <c r="D79" s="307"/>
      <c r="E79" s="312">
        <f>SUM(E72:E78)</f>
        <v>245000</v>
      </c>
      <c r="F79" s="312">
        <f t="shared" ref="F79:H79" si="8">SUM(F72:F78)</f>
        <v>245000</v>
      </c>
      <c r="G79" s="312">
        <f t="shared" si="8"/>
        <v>245000</v>
      </c>
      <c r="H79" s="312">
        <f t="shared" si="8"/>
        <v>245000</v>
      </c>
      <c r="I79" s="312">
        <f>SUM(I72:I78)</f>
        <v>980000</v>
      </c>
    </row>
    <row r="80" spans="1:9">
      <c r="E80" s="294"/>
      <c r="F80" s="294"/>
      <c r="G80" s="294"/>
      <c r="H80" s="294"/>
      <c r="I80" s="294"/>
    </row>
    <row r="81" spans="1:9">
      <c r="B81" s="298" t="s">
        <v>463</v>
      </c>
      <c r="E81" s="294"/>
      <c r="F81" s="294"/>
      <c r="G81" s="294"/>
      <c r="H81" s="294"/>
      <c r="I81" s="294"/>
    </row>
    <row r="82" spans="1:9">
      <c r="A82" s="307">
        <v>1</v>
      </c>
      <c r="B82" s="307" t="s">
        <v>169</v>
      </c>
      <c r="C82" s="307" t="s">
        <v>258</v>
      </c>
      <c r="D82" s="307" t="s">
        <v>75</v>
      </c>
      <c r="E82" s="308">
        <v>35000</v>
      </c>
      <c r="F82" s="308">
        <v>35000</v>
      </c>
      <c r="G82" s="308">
        <v>35000</v>
      </c>
      <c r="H82" s="308">
        <v>35000</v>
      </c>
      <c r="I82" s="308">
        <f t="shared" ref="I82:I92" si="9">35000*4</f>
        <v>140000</v>
      </c>
    </row>
    <row r="83" spans="1:9">
      <c r="A83" s="307">
        <v>2</v>
      </c>
      <c r="B83" s="307" t="s">
        <v>192</v>
      </c>
      <c r="C83" s="307" t="s">
        <v>258</v>
      </c>
      <c r="D83" s="307" t="s">
        <v>75</v>
      </c>
      <c r="E83" s="308">
        <v>35000</v>
      </c>
      <c r="F83" s="308">
        <v>35000</v>
      </c>
      <c r="G83" s="308">
        <v>35000</v>
      </c>
      <c r="H83" s="308">
        <v>35000</v>
      </c>
      <c r="I83" s="308">
        <f t="shared" si="9"/>
        <v>140000</v>
      </c>
    </row>
    <row r="84" spans="1:9">
      <c r="A84" s="307">
        <v>3</v>
      </c>
      <c r="B84" s="307" t="s">
        <v>138</v>
      </c>
      <c r="C84" s="307" t="s">
        <v>297</v>
      </c>
      <c r="D84" s="307" t="s">
        <v>174</v>
      </c>
      <c r="E84" s="308">
        <v>35000</v>
      </c>
      <c r="F84" s="308">
        <v>35000</v>
      </c>
      <c r="G84" s="308">
        <v>35000</v>
      </c>
      <c r="H84" s="308">
        <v>35000</v>
      </c>
      <c r="I84" s="308">
        <f t="shared" si="9"/>
        <v>140000</v>
      </c>
    </row>
    <row r="85" spans="1:9">
      <c r="A85" s="307">
        <v>4</v>
      </c>
      <c r="B85" s="307" t="s">
        <v>202</v>
      </c>
      <c r="C85" s="307" t="s">
        <v>78</v>
      </c>
      <c r="D85" s="307" t="s">
        <v>181</v>
      </c>
      <c r="E85" s="308">
        <v>35000</v>
      </c>
      <c r="F85" s="308">
        <v>35000</v>
      </c>
      <c r="G85" s="308">
        <v>35000</v>
      </c>
      <c r="H85" s="308">
        <v>35000</v>
      </c>
      <c r="I85" s="308">
        <f t="shared" si="9"/>
        <v>140000</v>
      </c>
    </row>
    <row r="86" spans="1:9">
      <c r="A86" s="307">
        <v>5</v>
      </c>
      <c r="B86" s="307" t="s">
        <v>101</v>
      </c>
      <c r="C86" s="307" t="s">
        <v>80</v>
      </c>
      <c r="D86" s="307" t="s">
        <v>170</v>
      </c>
      <c r="E86" s="308">
        <v>35000</v>
      </c>
      <c r="F86" s="308">
        <v>35000</v>
      </c>
      <c r="G86" s="308">
        <v>35000</v>
      </c>
      <c r="H86" s="308">
        <v>35000</v>
      </c>
      <c r="I86" s="308">
        <f t="shared" si="9"/>
        <v>140000</v>
      </c>
    </row>
    <row r="87" spans="1:9">
      <c r="A87" s="307">
        <v>6</v>
      </c>
      <c r="B87" s="307" t="s">
        <v>336</v>
      </c>
      <c r="C87" s="307" t="s">
        <v>257</v>
      </c>
      <c r="D87" s="307" t="s">
        <v>163</v>
      </c>
      <c r="E87" s="308">
        <v>35000</v>
      </c>
      <c r="F87" s="308">
        <v>35000</v>
      </c>
      <c r="G87" s="308">
        <v>35000</v>
      </c>
      <c r="H87" s="308">
        <v>35000</v>
      </c>
      <c r="I87" s="308">
        <f t="shared" si="9"/>
        <v>140000</v>
      </c>
    </row>
    <row r="88" spans="1:9">
      <c r="A88" s="307">
        <v>7</v>
      </c>
      <c r="B88" s="307" t="s">
        <v>337</v>
      </c>
      <c r="C88" s="307" t="s">
        <v>257</v>
      </c>
      <c r="D88" s="307" t="s">
        <v>163</v>
      </c>
      <c r="E88" s="308">
        <v>35000</v>
      </c>
      <c r="F88" s="308">
        <v>35000</v>
      </c>
      <c r="G88" s="308">
        <v>35000</v>
      </c>
      <c r="H88" s="308">
        <v>35000</v>
      </c>
      <c r="I88" s="308">
        <f t="shared" si="9"/>
        <v>140000</v>
      </c>
    </row>
    <row r="89" spans="1:9">
      <c r="A89" s="307">
        <v>8</v>
      </c>
      <c r="B89" s="307" t="s">
        <v>421</v>
      </c>
      <c r="C89" s="307" t="s">
        <v>422</v>
      </c>
      <c r="D89" s="307" t="s">
        <v>369</v>
      </c>
      <c r="E89" s="308">
        <v>35000</v>
      </c>
      <c r="F89" s="308">
        <v>35000</v>
      </c>
      <c r="G89" s="308">
        <v>35000</v>
      </c>
      <c r="H89" s="308">
        <v>35000</v>
      </c>
      <c r="I89" s="308">
        <f t="shared" si="9"/>
        <v>140000</v>
      </c>
    </row>
    <row r="90" spans="1:9">
      <c r="A90" s="307">
        <v>9</v>
      </c>
      <c r="B90" s="307" t="s">
        <v>556</v>
      </c>
      <c r="C90" s="307" t="s">
        <v>422</v>
      </c>
      <c r="D90" s="307" t="s">
        <v>369</v>
      </c>
      <c r="E90" s="308">
        <v>35000</v>
      </c>
      <c r="F90" s="308">
        <v>35000</v>
      </c>
      <c r="G90" s="308">
        <v>35000</v>
      </c>
      <c r="H90" s="308">
        <v>35000</v>
      </c>
      <c r="I90" s="308">
        <f t="shared" si="9"/>
        <v>140000</v>
      </c>
    </row>
    <row r="91" spans="1:9">
      <c r="A91" s="307">
        <v>10</v>
      </c>
      <c r="B91" s="307" t="s">
        <v>436</v>
      </c>
      <c r="C91" s="307" t="s">
        <v>470</v>
      </c>
      <c r="D91" s="307" t="s">
        <v>104</v>
      </c>
      <c r="E91" s="308">
        <v>35000</v>
      </c>
      <c r="F91" s="308">
        <v>35000</v>
      </c>
      <c r="G91" s="308">
        <v>35000</v>
      </c>
      <c r="H91" s="308">
        <v>35000</v>
      </c>
      <c r="I91" s="308">
        <f t="shared" si="9"/>
        <v>140000</v>
      </c>
    </row>
    <row r="92" spans="1:9">
      <c r="A92" s="307">
        <v>11</v>
      </c>
      <c r="B92" s="307" t="s">
        <v>406</v>
      </c>
      <c r="C92" s="307" t="s">
        <v>432</v>
      </c>
      <c r="D92" s="307" t="s">
        <v>176</v>
      </c>
      <c r="E92" s="310">
        <v>35000</v>
      </c>
      <c r="F92" s="310">
        <v>35000</v>
      </c>
      <c r="G92" s="310">
        <v>35000</v>
      </c>
      <c r="H92" s="310">
        <v>35000</v>
      </c>
      <c r="I92" s="310">
        <f t="shared" si="9"/>
        <v>140000</v>
      </c>
    </row>
    <row r="93" spans="1:9">
      <c r="A93" s="307"/>
      <c r="B93" s="311" t="s">
        <v>575</v>
      </c>
      <c r="C93" s="307"/>
      <c r="D93" s="307"/>
      <c r="E93" s="312">
        <f>SUM(E82:E92)</f>
        <v>385000</v>
      </c>
      <c r="F93" s="312">
        <f t="shared" ref="F93:H93" si="10">SUM(F82:F92)</f>
        <v>385000</v>
      </c>
      <c r="G93" s="312">
        <f t="shared" si="10"/>
        <v>385000</v>
      </c>
      <c r="H93" s="312">
        <f t="shared" si="10"/>
        <v>385000</v>
      </c>
      <c r="I93" s="312">
        <f>SUM(I82:I92)</f>
        <v>1540000</v>
      </c>
    </row>
    <row r="94" spans="1:9">
      <c r="E94" s="294"/>
      <c r="F94" s="294"/>
      <c r="G94" s="294"/>
      <c r="H94" s="294"/>
      <c r="I94" s="294"/>
    </row>
    <row r="95" spans="1:9">
      <c r="B95" s="298" t="s">
        <v>464</v>
      </c>
      <c r="E95" s="294"/>
      <c r="F95" s="294"/>
      <c r="G95" s="294"/>
      <c r="H95" s="294"/>
      <c r="I95" s="294"/>
    </row>
    <row r="96" spans="1:9">
      <c r="A96" s="307">
        <v>1</v>
      </c>
      <c r="B96" s="307" t="s">
        <v>364</v>
      </c>
      <c r="C96" s="307" t="s">
        <v>343</v>
      </c>
      <c r="D96" s="307" t="s">
        <v>221</v>
      </c>
      <c r="E96" s="308">
        <v>35000</v>
      </c>
      <c r="F96" s="308">
        <v>35000</v>
      </c>
      <c r="G96" s="308">
        <v>35000</v>
      </c>
      <c r="H96" s="308">
        <v>35000</v>
      </c>
      <c r="I96" s="308">
        <f>E96+F96+G96+H96</f>
        <v>140000</v>
      </c>
    </row>
    <row r="97" spans="1:9">
      <c r="A97" s="307">
        <v>2</v>
      </c>
      <c r="B97" s="307" t="s">
        <v>185</v>
      </c>
      <c r="C97" s="307" t="s">
        <v>373</v>
      </c>
      <c r="D97" s="307" t="s">
        <v>181</v>
      </c>
      <c r="E97" s="308">
        <v>35000</v>
      </c>
      <c r="F97" s="308">
        <v>35000</v>
      </c>
      <c r="G97" s="308">
        <v>35000</v>
      </c>
      <c r="H97" s="308">
        <v>35000</v>
      </c>
      <c r="I97" s="308">
        <f t="shared" ref="I97:I99" si="11">E97+F97+G97+H97</f>
        <v>140000</v>
      </c>
    </row>
    <row r="98" spans="1:9">
      <c r="A98" s="307">
        <v>3</v>
      </c>
      <c r="B98" s="307" t="s">
        <v>237</v>
      </c>
      <c r="C98" s="307" t="s">
        <v>483</v>
      </c>
      <c r="D98" s="307" t="s">
        <v>415</v>
      </c>
      <c r="E98" s="308">
        <v>35000</v>
      </c>
      <c r="F98" s="308">
        <v>35000</v>
      </c>
      <c r="G98" s="308">
        <v>35000</v>
      </c>
      <c r="H98" s="308">
        <v>35000</v>
      </c>
      <c r="I98" s="308">
        <f t="shared" si="11"/>
        <v>140000</v>
      </c>
    </row>
    <row r="99" spans="1:9">
      <c r="A99" s="307">
        <v>4</v>
      </c>
      <c r="B99" s="307" t="s">
        <v>345</v>
      </c>
      <c r="C99" s="307" t="s">
        <v>541</v>
      </c>
      <c r="D99" s="307" t="s">
        <v>267</v>
      </c>
      <c r="E99" s="310">
        <v>35000</v>
      </c>
      <c r="F99" s="310">
        <v>35000</v>
      </c>
      <c r="G99" s="310">
        <v>35000</v>
      </c>
      <c r="H99" s="310">
        <v>35000</v>
      </c>
      <c r="I99" s="310">
        <f t="shared" si="11"/>
        <v>140000</v>
      </c>
    </row>
    <row r="100" spans="1:9">
      <c r="A100" s="307"/>
      <c r="B100" s="311" t="s">
        <v>576</v>
      </c>
      <c r="C100" s="307"/>
      <c r="D100" s="307"/>
      <c r="E100" s="312">
        <f>SUM(E96:E99)</f>
        <v>140000</v>
      </c>
      <c r="F100" s="312">
        <f t="shared" ref="F100:H100" si="12">SUM(F96:F99)</f>
        <v>140000</v>
      </c>
      <c r="G100" s="312">
        <f t="shared" si="12"/>
        <v>140000</v>
      </c>
      <c r="H100" s="312">
        <f t="shared" si="12"/>
        <v>140000</v>
      </c>
      <c r="I100" s="312">
        <f>SUM(I96:I99)</f>
        <v>560000</v>
      </c>
    </row>
    <row r="101" spans="1:9">
      <c r="E101" s="294"/>
      <c r="F101" s="294"/>
      <c r="G101" s="294"/>
      <c r="H101" s="294"/>
      <c r="I101" s="294"/>
    </row>
    <row r="102" spans="1:9">
      <c r="B102" s="298" t="s">
        <v>465</v>
      </c>
      <c r="E102" s="294"/>
      <c r="F102" s="294"/>
      <c r="G102" s="294"/>
      <c r="H102" s="294"/>
      <c r="I102" s="294"/>
    </row>
    <row r="103" spans="1:9">
      <c r="A103" s="307">
        <v>1</v>
      </c>
      <c r="B103" s="307" t="s">
        <v>216</v>
      </c>
      <c r="C103" s="307" t="s">
        <v>217</v>
      </c>
      <c r="D103" s="307" t="s">
        <v>161</v>
      </c>
      <c r="E103" s="308">
        <f>35000</f>
        <v>35000</v>
      </c>
      <c r="F103" s="308">
        <f>35000</f>
        <v>35000</v>
      </c>
      <c r="G103" s="308">
        <f>35000</f>
        <v>35000</v>
      </c>
      <c r="H103" s="308">
        <f>35000</f>
        <v>35000</v>
      </c>
      <c r="I103" s="308">
        <f>E103+F103+G103+H103</f>
        <v>140000</v>
      </c>
    </row>
    <row r="104" spans="1:9">
      <c r="A104" s="307">
        <v>2</v>
      </c>
      <c r="B104" s="307" t="s">
        <v>110</v>
      </c>
      <c r="C104" s="307" t="s">
        <v>259</v>
      </c>
      <c r="D104" s="307" t="s">
        <v>221</v>
      </c>
      <c r="E104" s="308">
        <f>35000</f>
        <v>35000</v>
      </c>
      <c r="F104" s="308">
        <f>35000</f>
        <v>35000</v>
      </c>
      <c r="G104" s="308">
        <f>35000</f>
        <v>35000</v>
      </c>
      <c r="H104" s="308">
        <f>35000</f>
        <v>35000</v>
      </c>
      <c r="I104" s="308">
        <f t="shared" ref="I104:I109" si="13">E104+F104+G104+H104</f>
        <v>140000</v>
      </c>
    </row>
    <row r="105" spans="1:9">
      <c r="A105" s="307">
        <v>3</v>
      </c>
      <c r="B105" s="307" t="s">
        <v>109</v>
      </c>
      <c r="C105" s="307" t="s">
        <v>311</v>
      </c>
      <c r="D105" s="307" t="s">
        <v>175</v>
      </c>
      <c r="E105" s="308">
        <f>35000</f>
        <v>35000</v>
      </c>
      <c r="F105" s="308">
        <f>35000</f>
        <v>35000</v>
      </c>
      <c r="G105" s="308">
        <f>35000</f>
        <v>35000</v>
      </c>
      <c r="H105" s="308">
        <f>35000</f>
        <v>35000</v>
      </c>
      <c r="I105" s="308">
        <f t="shared" si="13"/>
        <v>140000</v>
      </c>
    </row>
    <row r="106" spans="1:9">
      <c r="A106" s="307">
        <v>4</v>
      </c>
      <c r="B106" s="307" t="s">
        <v>135</v>
      </c>
      <c r="C106" s="307" t="s">
        <v>311</v>
      </c>
      <c r="D106" s="307" t="s">
        <v>175</v>
      </c>
      <c r="E106" s="308">
        <f>35000</f>
        <v>35000</v>
      </c>
      <c r="F106" s="308">
        <f>35000</f>
        <v>35000</v>
      </c>
      <c r="G106" s="308">
        <f>35000</f>
        <v>35000</v>
      </c>
      <c r="H106" s="308">
        <f>35000</f>
        <v>35000</v>
      </c>
      <c r="I106" s="308">
        <f t="shared" si="13"/>
        <v>140000</v>
      </c>
    </row>
    <row r="107" spans="1:9">
      <c r="A107" s="307">
        <v>5</v>
      </c>
      <c r="B107" s="307" t="s">
        <v>240</v>
      </c>
      <c r="C107" s="307" t="s">
        <v>338</v>
      </c>
      <c r="D107" s="307" t="s">
        <v>499</v>
      </c>
      <c r="E107" s="308">
        <f>35000</f>
        <v>35000</v>
      </c>
      <c r="F107" s="308">
        <f>35000</f>
        <v>35000</v>
      </c>
      <c r="G107" s="308">
        <f>35000</f>
        <v>35000</v>
      </c>
      <c r="H107" s="308">
        <f>35000</f>
        <v>35000</v>
      </c>
      <c r="I107" s="308">
        <f t="shared" si="13"/>
        <v>140000</v>
      </c>
    </row>
    <row r="108" spans="1:9">
      <c r="A108" s="307">
        <v>6</v>
      </c>
      <c r="B108" s="307" t="s">
        <v>341</v>
      </c>
      <c r="C108" s="307" t="s">
        <v>338</v>
      </c>
      <c r="D108" s="307" t="s">
        <v>267</v>
      </c>
      <c r="E108" s="308">
        <f>35000</f>
        <v>35000</v>
      </c>
      <c r="F108" s="308">
        <f>35000</f>
        <v>35000</v>
      </c>
      <c r="G108" s="308">
        <f>35000</f>
        <v>35000</v>
      </c>
      <c r="H108" s="308">
        <f>35000</f>
        <v>35000</v>
      </c>
      <c r="I108" s="308">
        <f t="shared" si="13"/>
        <v>140000</v>
      </c>
    </row>
    <row r="109" spans="1:9">
      <c r="A109" s="307">
        <v>7</v>
      </c>
      <c r="B109" s="307" t="s">
        <v>374</v>
      </c>
      <c r="C109" s="307" t="s">
        <v>338</v>
      </c>
      <c r="D109" s="307" t="s">
        <v>176</v>
      </c>
      <c r="E109" s="310">
        <f>35000</f>
        <v>35000</v>
      </c>
      <c r="F109" s="310">
        <f>35000</f>
        <v>35000</v>
      </c>
      <c r="G109" s="310">
        <f>35000</f>
        <v>35000</v>
      </c>
      <c r="H109" s="310">
        <f>35000</f>
        <v>35000</v>
      </c>
      <c r="I109" s="310">
        <f t="shared" si="13"/>
        <v>140000</v>
      </c>
    </row>
    <row r="110" spans="1:9">
      <c r="A110" s="307"/>
      <c r="B110" s="311" t="s">
        <v>577</v>
      </c>
      <c r="C110" s="307"/>
      <c r="D110" s="307"/>
      <c r="E110" s="312">
        <f>SUM(E103:E109)</f>
        <v>245000</v>
      </c>
      <c r="F110" s="312">
        <f t="shared" ref="F110:H110" si="14">SUM(F103:F109)</f>
        <v>245000</v>
      </c>
      <c r="G110" s="312">
        <f t="shared" si="14"/>
        <v>245000</v>
      </c>
      <c r="H110" s="312">
        <f t="shared" si="14"/>
        <v>245000</v>
      </c>
      <c r="I110" s="312">
        <f>SUM(I103:I109)</f>
        <v>980000</v>
      </c>
    </row>
    <row r="111" spans="1:9">
      <c r="I111" s="301"/>
    </row>
    <row r="112" spans="1:9">
      <c r="B112" s="298" t="s">
        <v>542</v>
      </c>
      <c r="E112" s="294"/>
      <c r="F112" s="294"/>
      <c r="G112" s="294"/>
      <c r="H112" s="294"/>
      <c r="I112" s="294"/>
    </row>
    <row r="113" spans="1:9">
      <c r="A113" s="307">
        <v>1</v>
      </c>
      <c r="B113" s="307" t="s">
        <v>182</v>
      </c>
      <c r="C113" s="307" t="s">
        <v>422</v>
      </c>
      <c r="D113" s="307" t="s">
        <v>497</v>
      </c>
      <c r="E113" s="308">
        <v>35000</v>
      </c>
      <c r="F113" s="308">
        <v>35000</v>
      </c>
      <c r="G113" s="308">
        <v>35000</v>
      </c>
      <c r="H113" s="308">
        <v>35000</v>
      </c>
      <c r="I113" s="308">
        <f>E113+F113+G113+H113</f>
        <v>140000</v>
      </c>
    </row>
    <row r="114" spans="1:9">
      <c r="A114" s="307">
        <v>2</v>
      </c>
      <c r="B114" s="307" t="s">
        <v>247</v>
      </c>
      <c r="C114" s="307" t="s">
        <v>477</v>
      </c>
      <c r="D114" s="307" t="s">
        <v>415</v>
      </c>
      <c r="E114" s="308">
        <v>35000</v>
      </c>
      <c r="F114" s="308">
        <v>35000</v>
      </c>
      <c r="G114" s="308">
        <v>35000</v>
      </c>
      <c r="H114" s="308">
        <v>35000</v>
      </c>
      <c r="I114" s="308">
        <f t="shared" ref="I114:I115" si="15">E114+F114+G114+H114</f>
        <v>140000</v>
      </c>
    </row>
    <row r="115" spans="1:9">
      <c r="A115" s="307">
        <v>3</v>
      </c>
      <c r="B115" s="307" t="s">
        <v>141</v>
      </c>
      <c r="C115" s="307" t="s">
        <v>391</v>
      </c>
      <c r="D115" s="307" t="s">
        <v>497</v>
      </c>
      <c r="E115" s="310">
        <v>35000</v>
      </c>
      <c r="F115" s="310">
        <v>35000</v>
      </c>
      <c r="G115" s="310">
        <v>35000</v>
      </c>
      <c r="H115" s="310">
        <v>35000</v>
      </c>
      <c r="I115" s="310">
        <f t="shared" si="15"/>
        <v>140000</v>
      </c>
    </row>
    <row r="116" spans="1:9">
      <c r="A116" s="307"/>
      <c r="B116" s="311" t="s">
        <v>578</v>
      </c>
      <c r="C116" s="307"/>
      <c r="D116" s="307"/>
      <c r="E116" s="312">
        <f>SUM(E113:E115)</f>
        <v>105000</v>
      </c>
      <c r="F116" s="312">
        <f t="shared" ref="F116:H116" si="16">SUM(F113:F115)</f>
        <v>105000</v>
      </c>
      <c r="G116" s="312">
        <f t="shared" si="16"/>
        <v>105000</v>
      </c>
      <c r="H116" s="312">
        <f t="shared" si="16"/>
        <v>105000</v>
      </c>
      <c r="I116" s="312">
        <f>SUM(I113:I115)</f>
        <v>420000</v>
      </c>
    </row>
    <row r="117" spans="1:9">
      <c r="E117" s="299"/>
      <c r="F117" s="299"/>
      <c r="G117" s="299"/>
      <c r="H117" s="299"/>
      <c r="I117" s="299"/>
    </row>
    <row r="118" spans="1:9">
      <c r="B118" s="298" t="s">
        <v>466</v>
      </c>
      <c r="E118" s="294"/>
      <c r="F118" s="294"/>
      <c r="G118" s="294"/>
      <c r="H118" s="294"/>
      <c r="I118" s="294"/>
    </row>
    <row r="119" spans="1:9">
      <c r="A119" s="307">
        <v>1</v>
      </c>
      <c r="B119" s="307" t="s">
        <v>20</v>
      </c>
      <c r="C119" s="307" t="s">
        <v>250</v>
      </c>
      <c r="D119" s="307" t="s">
        <v>161</v>
      </c>
      <c r="E119" s="308">
        <v>35000</v>
      </c>
      <c r="F119" s="308">
        <v>35000</v>
      </c>
      <c r="G119" s="308">
        <v>35000</v>
      </c>
      <c r="H119" s="308">
        <v>35000</v>
      </c>
      <c r="I119" s="308">
        <f>E119+F119+G119+H119</f>
        <v>140000</v>
      </c>
    </row>
    <row r="120" spans="1:9">
      <c r="A120" s="307">
        <v>2</v>
      </c>
      <c r="B120" s="307" t="s">
        <v>153</v>
      </c>
      <c r="C120" s="307" t="s">
        <v>376</v>
      </c>
      <c r="D120" s="307" t="s">
        <v>75</v>
      </c>
      <c r="E120" s="308">
        <v>35000</v>
      </c>
      <c r="F120" s="308">
        <v>35000</v>
      </c>
      <c r="G120" s="308">
        <v>35000</v>
      </c>
      <c r="H120" s="308">
        <v>35000</v>
      </c>
      <c r="I120" s="308">
        <f t="shared" ref="I120:I127" si="17">E120+F120+G120+H120</f>
        <v>140000</v>
      </c>
    </row>
    <row r="121" spans="1:9">
      <c r="A121" s="307">
        <v>3</v>
      </c>
      <c r="B121" s="307" t="s">
        <v>142</v>
      </c>
      <c r="C121" s="307" t="s">
        <v>376</v>
      </c>
      <c r="D121" s="307" t="s">
        <v>75</v>
      </c>
      <c r="E121" s="308">
        <v>35000</v>
      </c>
      <c r="F121" s="308">
        <v>35000</v>
      </c>
      <c r="G121" s="308">
        <v>35000</v>
      </c>
      <c r="H121" s="308">
        <v>35000</v>
      </c>
      <c r="I121" s="308">
        <f t="shared" si="17"/>
        <v>140000</v>
      </c>
    </row>
    <row r="122" spans="1:9">
      <c r="A122" s="307">
        <v>5</v>
      </c>
      <c r="B122" s="307" t="s">
        <v>108</v>
      </c>
      <c r="C122" s="307" t="s">
        <v>476</v>
      </c>
      <c r="D122" s="307" t="s">
        <v>162</v>
      </c>
      <c r="E122" s="308">
        <v>35000</v>
      </c>
      <c r="F122" s="308">
        <v>35000</v>
      </c>
      <c r="G122" s="308">
        <v>35000</v>
      </c>
      <c r="H122" s="308">
        <v>35000</v>
      </c>
      <c r="I122" s="308">
        <f t="shared" si="17"/>
        <v>140000</v>
      </c>
    </row>
    <row r="123" spans="1:9">
      <c r="A123" s="307">
        <v>6</v>
      </c>
      <c r="B123" s="307" t="s">
        <v>178</v>
      </c>
      <c r="C123" s="307" t="s">
        <v>382</v>
      </c>
      <c r="D123" s="307" t="s">
        <v>170</v>
      </c>
      <c r="E123" s="308">
        <v>35000</v>
      </c>
      <c r="F123" s="308">
        <v>35000</v>
      </c>
      <c r="G123" s="308">
        <v>35000</v>
      </c>
      <c r="H123" s="308">
        <v>35000</v>
      </c>
      <c r="I123" s="308">
        <f t="shared" si="17"/>
        <v>140000</v>
      </c>
    </row>
    <row r="124" spans="1:9">
      <c r="A124" s="307">
        <v>7</v>
      </c>
      <c r="B124" s="307" t="s">
        <v>134</v>
      </c>
      <c r="C124" s="307" t="s">
        <v>384</v>
      </c>
      <c r="D124" s="307" t="s">
        <v>170</v>
      </c>
      <c r="E124" s="308">
        <v>35000</v>
      </c>
      <c r="F124" s="308">
        <v>35000</v>
      </c>
      <c r="G124" s="308">
        <v>35000</v>
      </c>
      <c r="H124" s="308">
        <v>35000</v>
      </c>
      <c r="I124" s="308">
        <f t="shared" si="17"/>
        <v>140000</v>
      </c>
    </row>
    <row r="125" spans="1:9">
      <c r="A125" s="307">
        <v>8</v>
      </c>
      <c r="B125" s="307" t="s">
        <v>443</v>
      </c>
      <c r="C125" s="307" t="s">
        <v>447</v>
      </c>
      <c r="D125" s="307" t="s">
        <v>498</v>
      </c>
      <c r="E125" s="308">
        <v>35000</v>
      </c>
      <c r="F125" s="308">
        <v>35000</v>
      </c>
      <c r="G125" s="308">
        <v>35000</v>
      </c>
      <c r="H125" s="308">
        <v>35000</v>
      </c>
      <c r="I125" s="308">
        <f t="shared" si="17"/>
        <v>140000</v>
      </c>
    </row>
    <row r="126" spans="1:9">
      <c r="A126" s="307">
        <v>9</v>
      </c>
      <c r="B126" s="307" t="s">
        <v>439</v>
      </c>
      <c r="C126" s="307" t="s">
        <v>440</v>
      </c>
      <c r="D126" s="307" t="s">
        <v>105</v>
      </c>
      <c r="E126" s="308">
        <v>35000</v>
      </c>
      <c r="F126" s="308">
        <v>35000</v>
      </c>
      <c r="G126" s="308">
        <v>35000</v>
      </c>
      <c r="H126" s="308">
        <v>35000</v>
      </c>
      <c r="I126" s="308">
        <f t="shared" si="17"/>
        <v>140000</v>
      </c>
    </row>
    <row r="127" spans="1:9">
      <c r="A127" s="307">
        <v>10</v>
      </c>
      <c r="B127" s="307" t="s">
        <v>535</v>
      </c>
      <c r="C127" s="307" t="s">
        <v>536</v>
      </c>
      <c r="D127" s="307" t="s">
        <v>105</v>
      </c>
      <c r="E127" s="310">
        <v>35000</v>
      </c>
      <c r="F127" s="310">
        <v>35000</v>
      </c>
      <c r="G127" s="310">
        <v>35000</v>
      </c>
      <c r="H127" s="310">
        <v>35000</v>
      </c>
      <c r="I127" s="310">
        <f t="shared" si="17"/>
        <v>140000</v>
      </c>
    </row>
    <row r="128" spans="1:9">
      <c r="A128" s="307"/>
      <c r="B128" s="311" t="s">
        <v>579</v>
      </c>
      <c r="C128" s="307"/>
      <c r="D128" s="307"/>
      <c r="E128" s="312">
        <f>SUM(E119:E127)</f>
        <v>315000</v>
      </c>
      <c r="F128" s="312">
        <f>SUM(F119:F127)</f>
        <v>315000</v>
      </c>
      <c r="G128" s="312">
        <f>SUM(G119:G127)</f>
        <v>315000</v>
      </c>
      <c r="H128" s="312">
        <f>SUM(H119:H127)</f>
        <v>315000</v>
      </c>
      <c r="I128" s="312">
        <f>SUM(I119:I127)</f>
        <v>1260000</v>
      </c>
    </row>
    <row r="129" spans="1:9">
      <c r="E129" s="294"/>
      <c r="F129" s="294"/>
      <c r="G129" s="294"/>
      <c r="H129" s="294"/>
      <c r="I129" s="294"/>
    </row>
    <row r="130" spans="1:9">
      <c r="B130" s="298" t="s">
        <v>467</v>
      </c>
      <c r="E130" s="294"/>
      <c r="F130" s="294"/>
      <c r="G130" s="294"/>
      <c r="H130" s="294"/>
      <c r="I130" s="294"/>
    </row>
    <row r="131" spans="1:9">
      <c r="A131" s="307">
        <v>1</v>
      </c>
      <c r="B131" s="307" t="s">
        <v>21</v>
      </c>
      <c r="C131" s="307" t="s">
        <v>393</v>
      </c>
      <c r="D131" s="307" t="s">
        <v>161</v>
      </c>
      <c r="E131" s="308">
        <v>35000</v>
      </c>
      <c r="F131" s="308">
        <v>35000</v>
      </c>
      <c r="G131" s="308">
        <v>35000</v>
      </c>
      <c r="H131" s="308">
        <v>35000</v>
      </c>
      <c r="I131" s="308">
        <f>E131+F131+G131+H131</f>
        <v>140000</v>
      </c>
    </row>
    <row r="132" spans="1:9">
      <c r="A132" s="307">
        <v>3</v>
      </c>
      <c r="B132" s="307" t="s">
        <v>183</v>
      </c>
      <c r="C132" s="307" t="s">
        <v>486</v>
      </c>
      <c r="D132" s="307" t="s">
        <v>221</v>
      </c>
      <c r="E132" s="308">
        <v>35000</v>
      </c>
      <c r="F132" s="308">
        <v>35000</v>
      </c>
      <c r="G132" s="308">
        <v>35000</v>
      </c>
      <c r="H132" s="308">
        <v>35000</v>
      </c>
      <c r="I132" s="308">
        <f t="shared" ref="I132:I189" si="18">E132+F132+G132+H132</f>
        <v>140000</v>
      </c>
    </row>
    <row r="133" spans="1:9">
      <c r="A133" s="307">
        <v>4</v>
      </c>
      <c r="B133" s="307" t="s">
        <v>106</v>
      </c>
      <c r="C133" s="307" t="s">
        <v>381</v>
      </c>
      <c r="D133" s="307" t="s">
        <v>181</v>
      </c>
      <c r="E133" s="308">
        <v>35000</v>
      </c>
      <c r="F133" s="308">
        <v>35000</v>
      </c>
      <c r="G133" s="308">
        <v>35000</v>
      </c>
      <c r="H133" s="308">
        <v>35000</v>
      </c>
      <c r="I133" s="308">
        <f t="shared" si="18"/>
        <v>140000</v>
      </c>
    </row>
    <row r="134" spans="1:9">
      <c r="A134" s="307">
        <v>5</v>
      </c>
      <c r="B134" s="307" t="s">
        <v>7</v>
      </c>
      <c r="C134" s="307" t="s">
        <v>385</v>
      </c>
      <c r="D134" s="307" t="s">
        <v>181</v>
      </c>
      <c r="E134" s="308">
        <v>35000</v>
      </c>
      <c r="F134" s="308">
        <v>35000</v>
      </c>
      <c r="G134" s="308">
        <v>35000</v>
      </c>
      <c r="H134" s="308">
        <v>35000</v>
      </c>
      <c r="I134" s="308">
        <f t="shared" si="18"/>
        <v>140000</v>
      </c>
    </row>
    <row r="135" spans="1:9">
      <c r="A135" s="307">
        <v>6</v>
      </c>
      <c r="B135" s="307" t="s">
        <v>6</v>
      </c>
      <c r="C135" s="307" t="s">
        <v>385</v>
      </c>
      <c r="D135" s="307" t="s">
        <v>181</v>
      </c>
      <c r="E135" s="308">
        <v>35000</v>
      </c>
      <c r="F135" s="308">
        <v>35000</v>
      </c>
      <c r="G135" s="308">
        <v>35000</v>
      </c>
      <c r="H135" s="308">
        <v>35000</v>
      </c>
      <c r="I135" s="308">
        <f t="shared" si="18"/>
        <v>140000</v>
      </c>
    </row>
    <row r="136" spans="1:9">
      <c r="A136" s="307">
        <v>7</v>
      </c>
      <c r="B136" s="307" t="s">
        <v>124</v>
      </c>
      <c r="C136" s="307" t="s">
        <v>235</v>
      </c>
      <c r="D136" s="307" t="s">
        <v>170</v>
      </c>
      <c r="E136" s="308">
        <v>35000</v>
      </c>
      <c r="F136" s="308">
        <v>35000</v>
      </c>
      <c r="G136" s="308">
        <v>35000</v>
      </c>
      <c r="H136" s="308">
        <v>35000</v>
      </c>
      <c r="I136" s="308">
        <f t="shared" si="18"/>
        <v>140000</v>
      </c>
    </row>
    <row r="137" spans="1:9">
      <c r="A137" s="307">
        <v>8</v>
      </c>
      <c r="B137" s="307" t="s">
        <v>102</v>
      </c>
      <c r="C137" s="307" t="s">
        <v>395</v>
      </c>
      <c r="D137" s="307" t="s">
        <v>497</v>
      </c>
      <c r="E137" s="308">
        <v>35000</v>
      </c>
      <c r="F137" s="308">
        <v>35000</v>
      </c>
      <c r="G137" s="308">
        <v>35000</v>
      </c>
      <c r="H137" s="308">
        <v>35000</v>
      </c>
      <c r="I137" s="308">
        <f t="shared" si="18"/>
        <v>140000</v>
      </c>
    </row>
    <row r="138" spans="1:9">
      <c r="A138" s="307">
        <v>9</v>
      </c>
      <c r="B138" s="307" t="s">
        <v>103</v>
      </c>
      <c r="C138" s="307" t="s">
        <v>395</v>
      </c>
      <c r="D138" s="307" t="s">
        <v>497</v>
      </c>
      <c r="E138" s="308">
        <v>35000</v>
      </c>
      <c r="F138" s="308">
        <v>35000</v>
      </c>
      <c r="G138" s="308">
        <v>35000</v>
      </c>
      <c r="H138" s="308">
        <v>35000</v>
      </c>
      <c r="I138" s="308">
        <f t="shared" si="18"/>
        <v>140000</v>
      </c>
    </row>
    <row r="139" spans="1:9">
      <c r="A139" s="307">
        <v>10</v>
      </c>
      <c r="B139" s="307" t="s">
        <v>151</v>
      </c>
      <c r="C139" s="307" t="s">
        <v>235</v>
      </c>
      <c r="D139" s="307" t="s">
        <v>497</v>
      </c>
      <c r="E139" s="308">
        <v>35000</v>
      </c>
      <c r="F139" s="308">
        <v>35000</v>
      </c>
      <c r="G139" s="308">
        <v>35000</v>
      </c>
      <c r="H139" s="308">
        <v>35000</v>
      </c>
      <c r="I139" s="308">
        <f t="shared" si="18"/>
        <v>140000</v>
      </c>
    </row>
    <row r="140" spans="1:9">
      <c r="A140" s="307">
        <v>11</v>
      </c>
      <c r="B140" s="307" t="s">
        <v>238</v>
      </c>
      <c r="C140" s="307" t="s">
        <v>546</v>
      </c>
      <c r="D140" s="307" t="s">
        <v>415</v>
      </c>
      <c r="E140" s="308">
        <v>35000</v>
      </c>
      <c r="F140" s="308">
        <v>35000</v>
      </c>
      <c r="G140" s="308">
        <v>35000</v>
      </c>
      <c r="H140" s="308">
        <v>35000</v>
      </c>
      <c r="I140" s="308">
        <f t="shared" si="18"/>
        <v>140000</v>
      </c>
    </row>
    <row r="141" spans="1:9">
      <c r="A141" s="307">
        <v>12</v>
      </c>
      <c r="B141" s="307" t="s">
        <v>53</v>
      </c>
      <c r="C141" s="307" t="s">
        <v>300</v>
      </c>
      <c r="D141" s="307" t="s">
        <v>27</v>
      </c>
      <c r="E141" s="308">
        <v>35000</v>
      </c>
      <c r="F141" s="308">
        <v>35000</v>
      </c>
      <c r="G141" s="308">
        <v>35000</v>
      </c>
      <c r="H141" s="308">
        <v>35000</v>
      </c>
      <c r="I141" s="308">
        <f t="shared" si="18"/>
        <v>140000</v>
      </c>
    </row>
    <row r="142" spans="1:9">
      <c r="A142" s="307">
        <v>13</v>
      </c>
      <c r="B142" s="307" t="s">
        <v>179</v>
      </c>
      <c r="C142" s="307" t="s">
        <v>479</v>
      </c>
      <c r="D142" s="307" t="s">
        <v>497</v>
      </c>
      <c r="E142" s="308">
        <v>35000</v>
      </c>
      <c r="F142" s="308">
        <v>35000</v>
      </c>
      <c r="G142" s="308">
        <v>35000</v>
      </c>
      <c r="H142" s="308">
        <v>35000</v>
      </c>
      <c r="I142" s="308">
        <f t="shared" si="18"/>
        <v>140000</v>
      </c>
    </row>
    <row r="143" spans="1:9">
      <c r="A143" s="307">
        <v>14</v>
      </c>
      <c r="B143" s="307" t="s">
        <v>293</v>
      </c>
      <c r="C143" s="307" t="s">
        <v>438</v>
      </c>
      <c r="D143" s="307" t="s">
        <v>27</v>
      </c>
      <c r="E143" s="308">
        <v>35000</v>
      </c>
      <c r="F143" s="308">
        <v>35000</v>
      </c>
      <c r="G143" s="308">
        <v>35000</v>
      </c>
      <c r="H143" s="308">
        <v>35000</v>
      </c>
      <c r="I143" s="308">
        <f t="shared" si="18"/>
        <v>140000</v>
      </c>
    </row>
    <row r="144" spans="1:9">
      <c r="A144" s="307">
        <v>15</v>
      </c>
      <c r="B144" s="307" t="s">
        <v>488</v>
      </c>
      <c r="C144" s="307" t="s">
        <v>239</v>
      </c>
      <c r="D144" s="307" t="s">
        <v>207</v>
      </c>
      <c r="E144" s="308">
        <v>35000</v>
      </c>
      <c r="F144" s="308">
        <v>35000</v>
      </c>
      <c r="G144" s="308">
        <v>35000</v>
      </c>
      <c r="H144" s="308">
        <v>35000</v>
      </c>
      <c r="I144" s="308">
        <f t="shared" si="18"/>
        <v>140000</v>
      </c>
    </row>
    <row r="145" spans="1:9">
      <c r="A145" s="307">
        <v>16</v>
      </c>
      <c r="B145" s="307" t="s">
        <v>489</v>
      </c>
      <c r="C145" s="307" t="s">
        <v>239</v>
      </c>
      <c r="D145" s="307" t="s">
        <v>164</v>
      </c>
      <c r="E145" s="308">
        <v>35000</v>
      </c>
      <c r="F145" s="308">
        <v>35000</v>
      </c>
      <c r="G145" s="308">
        <v>35000</v>
      </c>
      <c r="H145" s="308">
        <v>35000</v>
      </c>
      <c r="I145" s="308">
        <f t="shared" si="18"/>
        <v>140000</v>
      </c>
    </row>
    <row r="146" spans="1:9">
      <c r="A146" s="307">
        <v>17</v>
      </c>
      <c r="B146" s="307" t="s">
        <v>212</v>
      </c>
      <c r="C146" s="307" t="s">
        <v>239</v>
      </c>
      <c r="D146" s="307" t="s">
        <v>164</v>
      </c>
      <c r="E146" s="308">
        <v>35000</v>
      </c>
      <c r="F146" s="308">
        <v>35000</v>
      </c>
      <c r="G146" s="308">
        <v>35000</v>
      </c>
      <c r="H146" s="308">
        <v>35000</v>
      </c>
      <c r="I146" s="308">
        <f t="shared" si="18"/>
        <v>140000</v>
      </c>
    </row>
    <row r="147" spans="1:9">
      <c r="A147" s="307">
        <v>18</v>
      </c>
      <c r="B147" s="307" t="s">
        <v>425</v>
      </c>
      <c r="C147" s="307" t="s">
        <v>430</v>
      </c>
      <c r="D147" s="307" t="s">
        <v>104</v>
      </c>
      <c r="E147" s="308">
        <v>35000</v>
      </c>
      <c r="F147" s="308">
        <v>35000</v>
      </c>
      <c r="G147" s="308">
        <v>35000</v>
      </c>
      <c r="H147" s="308">
        <v>35000</v>
      </c>
      <c r="I147" s="308">
        <f t="shared" si="18"/>
        <v>140000</v>
      </c>
    </row>
    <row r="148" spans="1:9">
      <c r="A148" s="307">
        <v>19</v>
      </c>
      <c r="B148" s="307" t="s">
        <v>437</v>
      </c>
      <c r="C148" s="307" t="s">
        <v>438</v>
      </c>
      <c r="D148" s="307" t="s">
        <v>428</v>
      </c>
      <c r="E148" s="308">
        <v>35000</v>
      </c>
      <c r="F148" s="308">
        <v>35000</v>
      </c>
      <c r="G148" s="308">
        <v>35000</v>
      </c>
      <c r="H148" s="308">
        <v>35000</v>
      </c>
      <c r="I148" s="308">
        <f t="shared" si="18"/>
        <v>140000</v>
      </c>
    </row>
    <row r="149" spans="1:9">
      <c r="A149" s="307">
        <v>20</v>
      </c>
      <c r="B149" s="307" t="s">
        <v>230</v>
      </c>
      <c r="C149" s="307" t="s">
        <v>485</v>
      </c>
      <c r="D149" s="307" t="s">
        <v>207</v>
      </c>
      <c r="E149" s="308">
        <v>35000</v>
      </c>
      <c r="F149" s="308">
        <v>35000</v>
      </c>
      <c r="G149" s="308">
        <v>35000</v>
      </c>
      <c r="H149" s="308">
        <v>35000</v>
      </c>
      <c r="I149" s="308">
        <f t="shared" si="18"/>
        <v>140000</v>
      </c>
    </row>
    <row r="150" spans="1:9">
      <c r="A150" s="307">
        <v>21</v>
      </c>
      <c r="B150" s="307" t="s">
        <v>57</v>
      </c>
      <c r="C150" s="307" t="s">
        <v>481</v>
      </c>
      <c r="D150" s="307" t="s">
        <v>498</v>
      </c>
      <c r="E150" s="308">
        <v>35000</v>
      </c>
      <c r="F150" s="308">
        <v>35000</v>
      </c>
      <c r="G150" s="308">
        <v>35000</v>
      </c>
      <c r="H150" s="308">
        <v>35000</v>
      </c>
      <c r="I150" s="308">
        <f t="shared" si="18"/>
        <v>140000</v>
      </c>
    </row>
    <row r="151" spans="1:9">
      <c r="A151" s="307">
        <v>22</v>
      </c>
      <c r="B151" s="307" t="s">
        <v>251</v>
      </c>
      <c r="C151" s="307" t="s">
        <v>482</v>
      </c>
      <c r="D151" s="307" t="s">
        <v>207</v>
      </c>
      <c r="E151" s="308">
        <v>35000</v>
      </c>
      <c r="F151" s="308">
        <v>35000</v>
      </c>
      <c r="G151" s="308">
        <v>35000</v>
      </c>
      <c r="H151" s="308">
        <v>35000</v>
      </c>
      <c r="I151" s="308">
        <f t="shared" si="18"/>
        <v>140000</v>
      </c>
    </row>
    <row r="152" spans="1:9">
      <c r="A152" s="307">
        <v>23</v>
      </c>
      <c r="B152" s="307" t="s">
        <v>241</v>
      </c>
      <c r="C152" s="307" t="s">
        <v>348</v>
      </c>
      <c r="D152" s="307" t="s">
        <v>498</v>
      </c>
      <c r="E152" s="308">
        <v>35000</v>
      </c>
      <c r="F152" s="308">
        <v>35000</v>
      </c>
      <c r="G152" s="308">
        <v>35000</v>
      </c>
      <c r="H152" s="308">
        <v>35000</v>
      </c>
      <c r="I152" s="308">
        <f t="shared" si="18"/>
        <v>140000</v>
      </c>
    </row>
    <row r="153" spans="1:9">
      <c r="A153" s="307">
        <v>24</v>
      </c>
      <c r="B153" s="307" t="s">
        <v>289</v>
      </c>
      <c r="C153" s="307" t="s">
        <v>290</v>
      </c>
      <c r="D153" s="307" t="s">
        <v>267</v>
      </c>
      <c r="E153" s="308">
        <v>35000</v>
      </c>
      <c r="F153" s="308">
        <v>35000</v>
      </c>
      <c r="G153" s="308">
        <v>35000</v>
      </c>
      <c r="H153" s="308">
        <v>35000</v>
      </c>
      <c r="I153" s="308">
        <f t="shared" si="18"/>
        <v>140000</v>
      </c>
    </row>
    <row r="154" spans="1:9">
      <c r="A154" s="307">
        <v>25</v>
      </c>
      <c r="B154" s="307" t="s">
        <v>407</v>
      </c>
      <c r="C154" s="307" t="s">
        <v>131</v>
      </c>
      <c r="D154" s="307" t="s">
        <v>105</v>
      </c>
      <c r="E154" s="308">
        <v>35000</v>
      </c>
      <c r="F154" s="308">
        <v>35000</v>
      </c>
      <c r="G154" s="308">
        <v>35000</v>
      </c>
      <c r="H154" s="308">
        <v>35000</v>
      </c>
      <c r="I154" s="308">
        <f t="shared" si="18"/>
        <v>140000</v>
      </c>
    </row>
    <row r="155" spans="1:9">
      <c r="A155" s="307">
        <v>26</v>
      </c>
      <c r="B155" s="307" t="s">
        <v>426</v>
      </c>
      <c r="C155" s="307" t="s">
        <v>290</v>
      </c>
      <c r="D155" s="307" t="s">
        <v>105</v>
      </c>
      <c r="E155" s="308">
        <v>35000</v>
      </c>
      <c r="F155" s="308">
        <v>35000</v>
      </c>
      <c r="G155" s="308">
        <v>35000</v>
      </c>
      <c r="H155" s="308">
        <v>35000</v>
      </c>
      <c r="I155" s="308">
        <f t="shared" si="18"/>
        <v>140000</v>
      </c>
    </row>
    <row r="156" spans="1:9">
      <c r="A156" s="307">
        <v>27</v>
      </c>
      <c r="B156" s="307" t="s">
        <v>441</v>
      </c>
      <c r="C156" s="307" t="s">
        <v>442</v>
      </c>
      <c r="D156" s="307" t="s">
        <v>105</v>
      </c>
      <c r="E156" s="308">
        <v>35000</v>
      </c>
      <c r="F156" s="308">
        <v>35000</v>
      </c>
      <c r="G156" s="308">
        <v>35000</v>
      </c>
      <c r="H156" s="308">
        <v>35000</v>
      </c>
      <c r="I156" s="308">
        <f t="shared" si="18"/>
        <v>140000</v>
      </c>
    </row>
    <row r="157" spans="1:9">
      <c r="A157" s="307">
        <v>28</v>
      </c>
      <c r="B157" s="307" t="s">
        <v>445</v>
      </c>
      <c r="C157" s="307" t="s">
        <v>446</v>
      </c>
      <c r="D157" s="307" t="s">
        <v>176</v>
      </c>
      <c r="E157" s="308">
        <v>35000</v>
      </c>
      <c r="F157" s="308">
        <v>35000</v>
      </c>
      <c r="G157" s="308">
        <v>35000</v>
      </c>
      <c r="H157" s="308">
        <v>35000</v>
      </c>
      <c r="I157" s="308">
        <f t="shared" si="18"/>
        <v>140000</v>
      </c>
    </row>
    <row r="158" spans="1:9">
      <c r="A158" s="307">
        <v>29</v>
      </c>
      <c r="B158" s="307" t="s">
        <v>550</v>
      </c>
      <c r="C158" s="307" t="s">
        <v>290</v>
      </c>
      <c r="D158" s="307" t="s">
        <v>105</v>
      </c>
      <c r="E158" s="308">
        <v>35000</v>
      </c>
      <c r="F158" s="308">
        <v>35000</v>
      </c>
      <c r="G158" s="308">
        <v>35000</v>
      </c>
      <c r="H158" s="308">
        <v>35000</v>
      </c>
      <c r="I158" s="308">
        <f t="shared" si="18"/>
        <v>140000</v>
      </c>
    </row>
    <row r="159" spans="1:9">
      <c r="A159" s="307">
        <v>30</v>
      </c>
      <c r="B159" s="307" t="s">
        <v>22</v>
      </c>
      <c r="C159" s="307" t="s">
        <v>302</v>
      </c>
      <c r="D159" s="307" t="s">
        <v>501</v>
      </c>
      <c r="E159" s="308">
        <v>35000</v>
      </c>
      <c r="F159" s="308">
        <v>35000</v>
      </c>
      <c r="G159" s="308">
        <v>35000</v>
      </c>
      <c r="H159" s="308">
        <v>35000</v>
      </c>
      <c r="I159" s="308">
        <f t="shared" si="18"/>
        <v>140000</v>
      </c>
    </row>
    <row r="160" spans="1:9">
      <c r="A160" s="307">
        <v>31</v>
      </c>
      <c r="B160" s="307" t="s">
        <v>14</v>
      </c>
      <c r="C160" s="307" t="s">
        <v>302</v>
      </c>
      <c r="D160" s="307" t="s">
        <v>501</v>
      </c>
      <c r="E160" s="308">
        <v>35000</v>
      </c>
      <c r="F160" s="308">
        <v>35000</v>
      </c>
      <c r="G160" s="308">
        <v>35000</v>
      </c>
      <c r="H160" s="308">
        <v>35000</v>
      </c>
      <c r="I160" s="308">
        <f t="shared" si="18"/>
        <v>140000</v>
      </c>
    </row>
    <row r="161" spans="1:9">
      <c r="A161" s="307">
        <v>32</v>
      </c>
      <c r="B161" s="307" t="s">
        <v>23</v>
      </c>
      <c r="C161" s="307" t="s">
        <v>302</v>
      </c>
      <c r="D161" s="307" t="s">
        <v>501</v>
      </c>
      <c r="E161" s="308">
        <v>35000</v>
      </c>
      <c r="F161" s="308">
        <v>35000</v>
      </c>
      <c r="G161" s="308">
        <v>35000</v>
      </c>
      <c r="H161" s="308">
        <v>35000</v>
      </c>
      <c r="I161" s="308">
        <f t="shared" si="18"/>
        <v>140000</v>
      </c>
    </row>
    <row r="162" spans="1:9">
      <c r="A162" s="307">
        <v>33</v>
      </c>
      <c r="B162" s="307" t="s">
        <v>39</v>
      </c>
      <c r="C162" s="307" t="s">
        <v>302</v>
      </c>
      <c r="D162" s="307" t="s">
        <v>501</v>
      </c>
      <c r="E162" s="308">
        <v>35000</v>
      </c>
      <c r="F162" s="308">
        <v>35000</v>
      </c>
      <c r="G162" s="308">
        <v>35000</v>
      </c>
      <c r="H162" s="308">
        <v>35000</v>
      </c>
      <c r="I162" s="308">
        <f t="shared" si="18"/>
        <v>140000</v>
      </c>
    </row>
    <row r="163" spans="1:9">
      <c r="A163" s="307">
        <v>34</v>
      </c>
      <c r="B163" s="307" t="s">
        <v>40</v>
      </c>
      <c r="C163" s="307" t="s">
        <v>302</v>
      </c>
      <c r="D163" s="307" t="s">
        <v>501</v>
      </c>
      <c r="E163" s="308">
        <v>35000</v>
      </c>
      <c r="F163" s="308">
        <v>35000</v>
      </c>
      <c r="G163" s="308">
        <v>35000</v>
      </c>
      <c r="H163" s="308">
        <v>35000</v>
      </c>
      <c r="I163" s="308">
        <f t="shared" si="18"/>
        <v>140000</v>
      </c>
    </row>
    <row r="164" spans="1:9">
      <c r="A164" s="307">
        <v>35</v>
      </c>
      <c r="B164" s="307" t="s">
        <v>127</v>
      </c>
      <c r="C164" s="307" t="s">
        <v>302</v>
      </c>
      <c r="D164" s="307" t="s">
        <v>416</v>
      </c>
      <c r="E164" s="308">
        <v>35000</v>
      </c>
      <c r="F164" s="308">
        <v>35000</v>
      </c>
      <c r="G164" s="308">
        <v>35000</v>
      </c>
      <c r="H164" s="308">
        <v>35000</v>
      </c>
      <c r="I164" s="308">
        <f t="shared" si="18"/>
        <v>140000</v>
      </c>
    </row>
    <row r="165" spans="1:9">
      <c r="A165" s="307">
        <v>36</v>
      </c>
      <c r="B165" s="307" t="s">
        <v>128</v>
      </c>
      <c r="C165" s="307" t="s">
        <v>302</v>
      </c>
      <c r="D165" s="307" t="s">
        <v>416</v>
      </c>
      <c r="E165" s="308">
        <v>35000</v>
      </c>
      <c r="F165" s="308">
        <v>35000</v>
      </c>
      <c r="G165" s="308">
        <v>35000</v>
      </c>
      <c r="H165" s="308">
        <v>35000</v>
      </c>
      <c r="I165" s="308">
        <f t="shared" si="18"/>
        <v>140000</v>
      </c>
    </row>
    <row r="166" spans="1:9">
      <c r="A166" s="307">
        <v>37</v>
      </c>
      <c r="B166" s="307" t="s">
        <v>136</v>
      </c>
      <c r="C166" s="307" t="s">
        <v>302</v>
      </c>
      <c r="D166" s="307" t="s">
        <v>416</v>
      </c>
      <c r="E166" s="308">
        <v>35000</v>
      </c>
      <c r="F166" s="308">
        <v>35000</v>
      </c>
      <c r="G166" s="308">
        <v>35000</v>
      </c>
      <c r="H166" s="308">
        <v>35000</v>
      </c>
      <c r="I166" s="308">
        <f t="shared" si="18"/>
        <v>140000</v>
      </c>
    </row>
    <row r="167" spans="1:9">
      <c r="A167" s="307">
        <v>38</v>
      </c>
      <c r="B167" s="307" t="s">
        <v>140</v>
      </c>
      <c r="C167" s="307" t="s">
        <v>302</v>
      </c>
      <c r="D167" s="307" t="s">
        <v>416</v>
      </c>
      <c r="E167" s="308">
        <v>35000</v>
      </c>
      <c r="F167" s="308">
        <v>35000</v>
      </c>
      <c r="G167" s="308">
        <v>35000</v>
      </c>
      <c r="H167" s="308">
        <v>35000</v>
      </c>
      <c r="I167" s="308">
        <f t="shared" si="18"/>
        <v>140000</v>
      </c>
    </row>
    <row r="168" spans="1:9">
      <c r="A168" s="307">
        <v>39</v>
      </c>
      <c r="B168" s="307" t="s">
        <v>152</v>
      </c>
      <c r="C168" s="307" t="s">
        <v>302</v>
      </c>
      <c r="D168" s="307" t="s">
        <v>416</v>
      </c>
      <c r="E168" s="308">
        <v>35000</v>
      </c>
      <c r="F168" s="308">
        <v>35000</v>
      </c>
      <c r="G168" s="308">
        <v>35000</v>
      </c>
      <c r="H168" s="308">
        <v>35000</v>
      </c>
      <c r="I168" s="308">
        <f t="shared" si="18"/>
        <v>140000</v>
      </c>
    </row>
    <row r="169" spans="1:9">
      <c r="A169" s="307">
        <v>40</v>
      </c>
      <c r="B169" s="307" t="s">
        <v>132</v>
      </c>
      <c r="C169" s="307" t="s">
        <v>302</v>
      </c>
      <c r="D169" s="307" t="s">
        <v>416</v>
      </c>
      <c r="E169" s="308">
        <v>35000</v>
      </c>
      <c r="F169" s="308">
        <v>35000</v>
      </c>
      <c r="G169" s="308">
        <v>35000</v>
      </c>
      <c r="H169" s="308">
        <v>35000</v>
      </c>
      <c r="I169" s="308">
        <f t="shared" si="18"/>
        <v>140000</v>
      </c>
    </row>
    <row r="170" spans="1:9">
      <c r="A170" s="307">
        <v>41</v>
      </c>
      <c r="B170" s="307" t="s">
        <v>231</v>
      </c>
      <c r="C170" s="307" t="s">
        <v>167</v>
      </c>
      <c r="D170" s="307" t="s">
        <v>263</v>
      </c>
      <c r="E170" s="308">
        <v>35000</v>
      </c>
      <c r="F170" s="308">
        <v>35000</v>
      </c>
      <c r="G170" s="308">
        <v>35000</v>
      </c>
      <c r="H170" s="308">
        <v>35000</v>
      </c>
      <c r="I170" s="308">
        <f t="shared" si="18"/>
        <v>140000</v>
      </c>
    </row>
    <row r="171" spans="1:9">
      <c r="A171" s="307">
        <v>42</v>
      </c>
      <c r="B171" s="307" t="s">
        <v>246</v>
      </c>
      <c r="C171" s="307" t="s">
        <v>167</v>
      </c>
      <c r="D171" s="307" t="s">
        <v>263</v>
      </c>
      <c r="E171" s="308">
        <v>35000</v>
      </c>
      <c r="F171" s="308">
        <v>35000</v>
      </c>
      <c r="G171" s="308">
        <v>35000</v>
      </c>
      <c r="H171" s="308">
        <v>35000</v>
      </c>
      <c r="I171" s="308">
        <f t="shared" si="18"/>
        <v>140000</v>
      </c>
    </row>
    <row r="172" spans="1:9">
      <c r="A172" s="307">
        <v>43</v>
      </c>
      <c r="B172" s="307" t="s">
        <v>166</v>
      </c>
      <c r="C172" s="307" t="s">
        <v>167</v>
      </c>
      <c r="D172" s="307" t="s">
        <v>223</v>
      </c>
      <c r="E172" s="308">
        <v>35000</v>
      </c>
      <c r="F172" s="308">
        <v>35000</v>
      </c>
      <c r="G172" s="308">
        <v>35000</v>
      </c>
      <c r="H172" s="308">
        <v>35000</v>
      </c>
      <c r="I172" s="308">
        <f t="shared" si="18"/>
        <v>140000</v>
      </c>
    </row>
    <row r="173" spans="1:9">
      <c r="A173" s="307">
        <v>44</v>
      </c>
      <c r="B173" s="307" t="s">
        <v>204</v>
      </c>
      <c r="C173" s="307" t="s">
        <v>167</v>
      </c>
      <c r="D173" s="307" t="s">
        <v>177</v>
      </c>
      <c r="E173" s="308">
        <v>35000</v>
      </c>
      <c r="F173" s="308">
        <v>35000</v>
      </c>
      <c r="G173" s="308">
        <v>35000</v>
      </c>
      <c r="H173" s="308">
        <v>35000</v>
      </c>
      <c r="I173" s="308">
        <f t="shared" si="18"/>
        <v>140000</v>
      </c>
    </row>
    <row r="174" spans="1:9">
      <c r="A174" s="307">
        <v>45</v>
      </c>
      <c r="B174" s="307" t="s">
        <v>209</v>
      </c>
      <c r="C174" s="307" t="s">
        <v>13</v>
      </c>
      <c r="D174" s="307" t="s">
        <v>502</v>
      </c>
      <c r="E174" s="308">
        <v>35000</v>
      </c>
      <c r="F174" s="308">
        <v>35000</v>
      </c>
      <c r="G174" s="308">
        <v>35000</v>
      </c>
      <c r="H174" s="308">
        <v>35000</v>
      </c>
      <c r="I174" s="308">
        <f t="shared" si="18"/>
        <v>140000</v>
      </c>
    </row>
    <row r="175" spans="1:9">
      <c r="A175" s="307">
        <v>46</v>
      </c>
      <c r="B175" s="307" t="s">
        <v>218</v>
      </c>
      <c r="C175" s="307" t="s">
        <v>13</v>
      </c>
      <c r="D175" s="307" t="s">
        <v>502</v>
      </c>
      <c r="E175" s="308">
        <v>35000</v>
      </c>
      <c r="F175" s="308">
        <v>35000</v>
      </c>
      <c r="G175" s="308">
        <v>35000</v>
      </c>
      <c r="H175" s="308">
        <v>35000</v>
      </c>
      <c r="I175" s="308">
        <f t="shared" si="18"/>
        <v>140000</v>
      </c>
    </row>
    <row r="176" spans="1:9">
      <c r="A176" s="307">
        <v>47</v>
      </c>
      <c r="B176" s="307" t="s">
        <v>219</v>
      </c>
      <c r="C176" s="307" t="s">
        <v>13</v>
      </c>
      <c r="D176" s="307" t="s">
        <v>502</v>
      </c>
      <c r="E176" s="308">
        <v>35000</v>
      </c>
      <c r="F176" s="308">
        <v>35000</v>
      </c>
      <c r="G176" s="308">
        <v>35000</v>
      </c>
      <c r="H176" s="308">
        <v>35000</v>
      </c>
      <c r="I176" s="308">
        <f t="shared" si="18"/>
        <v>140000</v>
      </c>
    </row>
    <row r="177" spans="1:9">
      <c r="A177" s="307">
        <v>48</v>
      </c>
      <c r="B177" s="307" t="s">
        <v>211</v>
      </c>
      <c r="C177" s="307" t="s">
        <v>13</v>
      </c>
      <c r="D177" s="307" t="s">
        <v>502</v>
      </c>
      <c r="E177" s="308">
        <v>35000</v>
      </c>
      <c r="F177" s="308">
        <v>35000</v>
      </c>
      <c r="G177" s="308">
        <v>35000</v>
      </c>
      <c r="H177" s="308">
        <v>35000</v>
      </c>
      <c r="I177" s="308">
        <f t="shared" si="18"/>
        <v>140000</v>
      </c>
    </row>
    <row r="178" spans="1:9">
      <c r="A178" s="307">
        <v>49</v>
      </c>
      <c r="B178" s="307" t="s">
        <v>213</v>
      </c>
      <c r="C178" s="307" t="s">
        <v>13</v>
      </c>
      <c r="D178" s="307" t="s">
        <v>502</v>
      </c>
      <c r="E178" s="308">
        <v>35000</v>
      </c>
      <c r="F178" s="308">
        <v>35000</v>
      </c>
      <c r="G178" s="308">
        <v>35000</v>
      </c>
      <c r="H178" s="308">
        <v>35000</v>
      </c>
      <c r="I178" s="308">
        <f t="shared" si="18"/>
        <v>140000</v>
      </c>
    </row>
    <row r="179" spans="1:9">
      <c r="A179" s="307">
        <v>50</v>
      </c>
      <c r="B179" s="307" t="s">
        <v>342</v>
      </c>
      <c r="C179" s="307" t="s">
        <v>13</v>
      </c>
      <c r="D179" s="307" t="s">
        <v>502</v>
      </c>
      <c r="E179" s="308">
        <v>35000</v>
      </c>
      <c r="F179" s="308">
        <v>35000</v>
      </c>
      <c r="G179" s="308">
        <v>35000</v>
      </c>
      <c r="H179" s="308">
        <v>35000</v>
      </c>
      <c r="I179" s="308">
        <f t="shared" si="18"/>
        <v>140000</v>
      </c>
    </row>
    <row r="180" spans="1:9">
      <c r="A180" s="307">
        <v>51</v>
      </c>
      <c r="B180" s="307" t="s">
        <v>405</v>
      </c>
      <c r="C180" s="307" t="s">
        <v>13</v>
      </c>
      <c r="D180" s="307" t="s">
        <v>502</v>
      </c>
      <c r="E180" s="308">
        <v>35000</v>
      </c>
      <c r="F180" s="308">
        <v>35000</v>
      </c>
      <c r="G180" s="308">
        <v>35000</v>
      </c>
      <c r="H180" s="308">
        <v>35000</v>
      </c>
      <c r="I180" s="308">
        <f t="shared" si="18"/>
        <v>140000</v>
      </c>
    </row>
    <row r="181" spans="1:9">
      <c r="A181" s="307">
        <v>52</v>
      </c>
      <c r="B181" s="307" t="s">
        <v>232</v>
      </c>
      <c r="C181" s="307" t="s">
        <v>167</v>
      </c>
      <c r="D181" s="307" t="s">
        <v>502</v>
      </c>
      <c r="E181" s="308">
        <v>35000</v>
      </c>
      <c r="F181" s="308">
        <v>35000</v>
      </c>
      <c r="G181" s="308">
        <v>35000</v>
      </c>
      <c r="H181" s="308">
        <v>35000</v>
      </c>
      <c r="I181" s="308">
        <f t="shared" si="18"/>
        <v>140000</v>
      </c>
    </row>
    <row r="182" spans="1:9">
      <c r="A182" s="307">
        <v>53</v>
      </c>
      <c r="B182" s="307" t="s">
        <v>233</v>
      </c>
      <c r="C182" s="307" t="s">
        <v>167</v>
      </c>
      <c r="D182" s="307" t="s">
        <v>502</v>
      </c>
      <c r="E182" s="308">
        <v>35000</v>
      </c>
      <c r="F182" s="308">
        <v>35000</v>
      </c>
      <c r="G182" s="308">
        <v>35000</v>
      </c>
      <c r="H182" s="308">
        <v>35000</v>
      </c>
      <c r="I182" s="308">
        <f t="shared" si="18"/>
        <v>140000</v>
      </c>
    </row>
    <row r="183" spans="1:9">
      <c r="A183" s="307">
        <v>54</v>
      </c>
      <c r="B183" s="307" t="s">
        <v>279</v>
      </c>
      <c r="C183" s="307" t="s">
        <v>13</v>
      </c>
      <c r="D183" s="307" t="s">
        <v>503</v>
      </c>
      <c r="E183" s="308">
        <v>35000</v>
      </c>
      <c r="F183" s="308">
        <v>35000</v>
      </c>
      <c r="G183" s="308">
        <v>35000</v>
      </c>
      <c r="H183" s="308">
        <v>35000</v>
      </c>
      <c r="I183" s="308">
        <f t="shared" si="18"/>
        <v>140000</v>
      </c>
    </row>
    <row r="184" spans="1:9">
      <c r="A184" s="307">
        <v>55</v>
      </c>
      <c r="B184" s="307" t="s">
        <v>403</v>
      </c>
      <c r="C184" s="307" t="s">
        <v>13</v>
      </c>
      <c r="D184" s="307" t="s">
        <v>264</v>
      </c>
      <c r="E184" s="308">
        <v>35000</v>
      </c>
      <c r="F184" s="308">
        <v>35000</v>
      </c>
      <c r="G184" s="308">
        <v>35000</v>
      </c>
      <c r="H184" s="308">
        <v>35000</v>
      </c>
      <c r="I184" s="308">
        <f t="shared" si="18"/>
        <v>140000</v>
      </c>
    </row>
    <row r="185" spans="1:9">
      <c r="A185" s="307">
        <v>56</v>
      </c>
      <c r="B185" s="307" t="s">
        <v>557</v>
      </c>
      <c r="C185" s="307" t="s">
        <v>558</v>
      </c>
      <c r="D185" s="307" t="s">
        <v>559</v>
      </c>
      <c r="E185" s="308">
        <v>35000</v>
      </c>
      <c r="F185" s="308">
        <v>35000</v>
      </c>
      <c r="G185" s="308">
        <v>35000</v>
      </c>
      <c r="H185" s="308">
        <v>35000</v>
      </c>
      <c r="I185" s="308">
        <f t="shared" si="18"/>
        <v>140000</v>
      </c>
    </row>
    <row r="186" spans="1:9">
      <c r="A186" s="307">
        <v>57</v>
      </c>
      <c r="B186" s="307" t="s">
        <v>560</v>
      </c>
      <c r="C186" s="307" t="s">
        <v>558</v>
      </c>
      <c r="D186" s="307" t="s">
        <v>559</v>
      </c>
      <c r="E186" s="308">
        <v>35000</v>
      </c>
      <c r="F186" s="308">
        <v>35000</v>
      </c>
      <c r="G186" s="308">
        <v>35000</v>
      </c>
      <c r="H186" s="308">
        <v>35000</v>
      </c>
      <c r="I186" s="308">
        <f t="shared" si="18"/>
        <v>140000</v>
      </c>
    </row>
    <row r="187" spans="1:9">
      <c r="A187" s="307">
        <v>58</v>
      </c>
      <c r="B187" s="307" t="s">
        <v>561</v>
      </c>
      <c r="C187" s="307" t="s">
        <v>558</v>
      </c>
      <c r="D187" s="307" t="s">
        <v>559</v>
      </c>
      <c r="E187" s="308">
        <v>35000</v>
      </c>
      <c r="F187" s="308">
        <v>35000</v>
      </c>
      <c r="G187" s="308">
        <v>35000</v>
      </c>
      <c r="H187" s="308">
        <v>35000</v>
      </c>
      <c r="I187" s="308">
        <f t="shared" si="18"/>
        <v>140000</v>
      </c>
    </row>
    <row r="188" spans="1:9">
      <c r="A188" s="307">
        <v>59</v>
      </c>
      <c r="B188" s="307" t="s">
        <v>562</v>
      </c>
      <c r="C188" s="307" t="s">
        <v>563</v>
      </c>
      <c r="D188" s="307" t="s">
        <v>564</v>
      </c>
      <c r="E188" s="308">
        <v>35000</v>
      </c>
      <c r="F188" s="308">
        <v>35000</v>
      </c>
      <c r="G188" s="308">
        <v>35000</v>
      </c>
      <c r="H188" s="308">
        <v>35000</v>
      </c>
      <c r="I188" s="308">
        <f t="shared" si="18"/>
        <v>140000</v>
      </c>
    </row>
    <row r="189" spans="1:9">
      <c r="A189" s="307">
        <v>60</v>
      </c>
      <c r="B189" s="307" t="s">
        <v>565</v>
      </c>
      <c r="C189" s="307" t="s">
        <v>563</v>
      </c>
      <c r="D189" s="307" t="s">
        <v>564</v>
      </c>
      <c r="E189" s="310">
        <v>35000</v>
      </c>
      <c r="F189" s="310">
        <v>35000</v>
      </c>
      <c r="G189" s="310">
        <v>35000</v>
      </c>
      <c r="H189" s="310">
        <v>35000</v>
      </c>
      <c r="I189" s="310">
        <f t="shared" si="18"/>
        <v>140000</v>
      </c>
    </row>
    <row r="190" spans="1:9">
      <c r="A190" s="307"/>
      <c r="B190" s="311" t="s">
        <v>580</v>
      </c>
      <c r="C190" s="307"/>
      <c r="D190" s="307"/>
      <c r="E190" s="312">
        <f>SUM(E131:E189)</f>
        <v>2065000</v>
      </c>
      <c r="F190" s="312">
        <f t="shared" ref="F190:H190" si="19">SUM(F131:F189)</f>
        <v>2065000</v>
      </c>
      <c r="G190" s="312">
        <f t="shared" si="19"/>
        <v>2065000</v>
      </c>
      <c r="H190" s="312">
        <f t="shared" si="19"/>
        <v>2065000</v>
      </c>
      <c r="I190" s="312">
        <f>SUM(I131:I189)</f>
        <v>8260000</v>
      </c>
    </row>
    <row r="191" spans="1:9">
      <c r="E191" s="294"/>
      <c r="F191" s="294"/>
      <c r="G191" s="294"/>
      <c r="H191" s="294"/>
      <c r="I191" s="299"/>
    </row>
    <row r="192" spans="1:9" ht="24" customHeight="1">
      <c r="A192" s="307"/>
      <c r="B192" s="675" t="s">
        <v>581</v>
      </c>
      <c r="C192" s="675"/>
      <c r="D192" s="675"/>
      <c r="E192" s="675"/>
      <c r="F192" s="675"/>
      <c r="G192" s="675"/>
      <c r="H192" s="675"/>
      <c r="I192" s="313">
        <f>I190+I116+I110+I100+I93+I79+I69+I54+I49+I33+I28</f>
        <v>19740000</v>
      </c>
    </row>
    <row r="193" spans="5:8">
      <c r="E193" s="294"/>
      <c r="F193" s="294"/>
      <c r="G193" s="294"/>
      <c r="H193" s="294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664" t="s">
        <v>234</v>
      </c>
      <c r="B1" s="664"/>
      <c r="C1" s="664"/>
      <c r="D1" s="664"/>
      <c r="E1" s="664"/>
      <c r="F1" s="664"/>
      <c r="G1" s="664"/>
      <c r="H1" s="664"/>
      <c r="I1" s="295"/>
      <c r="J1" s="295"/>
    </row>
    <row r="2" spans="1:10" ht="18.75">
      <c r="A2" s="676" t="s">
        <v>567</v>
      </c>
      <c r="B2" s="676"/>
      <c r="C2" s="676"/>
      <c r="D2" s="676"/>
      <c r="E2" s="676"/>
      <c r="F2" s="676"/>
      <c r="G2" s="676"/>
      <c r="H2" s="676"/>
      <c r="I2" s="293"/>
      <c r="J2" s="293"/>
    </row>
    <row r="3" spans="1:10" ht="37.5" customHeight="1">
      <c r="A3" s="677" t="s">
        <v>568</v>
      </c>
      <c r="B3" s="677"/>
      <c r="C3" s="677"/>
      <c r="D3" s="677"/>
      <c r="E3" s="677"/>
      <c r="F3" s="677"/>
      <c r="G3" s="677"/>
      <c r="H3" s="677"/>
    </row>
    <row r="5" spans="1:10" ht="42.75" customHeight="1">
      <c r="A5" s="303" t="s">
        <v>143</v>
      </c>
      <c r="B5" s="106" t="s">
        <v>0</v>
      </c>
      <c r="C5" s="106" t="s">
        <v>12</v>
      </c>
      <c r="D5" s="304" t="s">
        <v>566</v>
      </c>
      <c r="E5" s="304" t="s">
        <v>655</v>
      </c>
      <c r="F5" s="304" t="s">
        <v>656</v>
      </c>
      <c r="G5" s="304" t="s">
        <v>657</v>
      </c>
      <c r="H5" s="305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1">
        <v>35000</v>
      </c>
      <c r="E6" s="291">
        <v>35000</v>
      </c>
      <c r="F6" s="291">
        <v>35000</v>
      </c>
      <c r="G6" s="291">
        <v>35000</v>
      </c>
      <c r="H6" s="291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1">
        <v>35000</v>
      </c>
      <c r="E7" s="291">
        <v>35000</v>
      </c>
      <c r="F7" s="291">
        <v>35000</v>
      </c>
      <c r="G7" s="291">
        <v>35000</v>
      </c>
      <c r="H7" s="291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1">
        <v>35000</v>
      </c>
      <c r="E8" s="291">
        <v>35000</v>
      </c>
      <c r="F8" s="291">
        <v>35000</v>
      </c>
      <c r="G8" s="291">
        <v>35000</v>
      </c>
      <c r="H8" s="291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1">
        <v>35000</v>
      </c>
      <c r="E9" s="291">
        <v>35000</v>
      </c>
      <c r="F9" s="291">
        <v>35000</v>
      </c>
      <c r="G9" s="291">
        <v>35000</v>
      </c>
      <c r="H9" s="291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1">
        <v>35000</v>
      </c>
      <c r="E10" s="291">
        <v>35000</v>
      </c>
      <c r="F10" s="291">
        <v>35000</v>
      </c>
      <c r="G10" s="291">
        <v>35000</v>
      </c>
      <c r="H10" s="291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1">
        <v>35000</v>
      </c>
      <c r="E11" s="291">
        <v>35000</v>
      </c>
      <c r="F11" s="291">
        <v>35000</v>
      </c>
      <c r="G11" s="291">
        <v>35000</v>
      </c>
      <c r="H11" s="291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1">
        <v>35000</v>
      </c>
      <c r="E12" s="291">
        <v>35000</v>
      </c>
      <c r="F12" s="291">
        <v>35000</v>
      </c>
      <c r="G12" s="291">
        <v>35000</v>
      </c>
      <c r="H12" s="291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1">
        <v>35000</v>
      </c>
      <c r="E13" s="291">
        <v>35000</v>
      </c>
      <c r="F13" s="291">
        <v>35000</v>
      </c>
      <c r="G13" s="291">
        <v>35000</v>
      </c>
      <c r="H13" s="291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1">
        <v>35000</v>
      </c>
      <c r="E14" s="291">
        <v>35000</v>
      </c>
      <c r="F14" s="291">
        <v>35000</v>
      </c>
      <c r="G14" s="291">
        <v>35000</v>
      </c>
      <c r="H14" s="291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1">
        <v>35000</v>
      </c>
      <c r="E15" s="291">
        <v>35000</v>
      </c>
      <c r="F15" s="291">
        <v>35000</v>
      </c>
      <c r="G15" s="291">
        <v>35000</v>
      </c>
      <c r="H15" s="291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1">
        <v>35000</v>
      </c>
      <c r="E16" s="291">
        <v>35000</v>
      </c>
      <c r="F16" s="291">
        <v>35000</v>
      </c>
      <c r="G16" s="291">
        <v>35000</v>
      </c>
      <c r="H16" s="291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1">
        <v>35000</v>
      </c>
      <c r="E17" s="291">
        <v>35000</v>
      </c>
      <c r="F17" s="291">
        <v>35000</v>
      </c>
      <c r="G17" s="291">
        <v>35000</v>
      </c>
      <c r="H17" s="291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1">
        <v>35000</v>
      </c>
      <c r="E18" s="291">
        <v>35000</v>
      </c>
      <c r="F18" s="291">
        <v>35000</v>
      </c>
      <c r="G18" s="291">
        <v>35000</v>
      </c>
      <c r="H18" s="291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1">
        <v>35000</v>
      </c>
      <c r="E19" s="291">
        <v>35000</v>
      </c>
      <c r="F19" s="291">
        <v>35000</v>
      </c>
      <c r="G19" s="291">
        <v>35000</v>
      </c>
      <c r="H19" s="291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1">
        <v>35000</v>
      </c>
      <c r="E20" s="291">
        <v>35000</v>
      </c>
      <c r="F20" s="291">
        <v>35000</v>
      </c>
      <c r="G20" s="291">
        <v>35000</v>
      </c>
      <c r="H20" s="291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1">
        <v>35000</v>
      </c>
      <c r="E21" s="291">
        <v>35000</v>
      </c>
      <c r="F21" s="291">
        <v>35000</v>
      </c>
      <c r="G21" s="291">
        <v>35000</v>
      </c>
      <c r="H21" s="291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1">
        <v>35000</v>
      </c>
      <c r="E22" s="291">
        <v>35000</v>
      </c>
      <c r="F22" s="291">
        <v>35000</v>
      </c>
      <c r="G22" s="291">
        <v>35000</v>
      </c>
      <c r="H22" s="291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1">
        <v>35000</v>
      </c>
      <c r="E23" s="291">
        <v>35000</v>
      </c>
      <c r="F23" s="291">
        <v>35000</v>
      </c>
      <c r="G23" s="291">
        <v>35000</v>
      </c>
      <c r="H23" s="291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1">
        <v>35000</v>
      </c>
      <c r="E24" s="291">
        <v>35000</v>
      </c>
      <c r="F24" s="291">
        <v>35000</v>
      </c>
      <c r="G24" s="291">
        <v>35000</v>
      </c>
      <c r="H24" s="291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1">
        <v>35000</v>
      </c>
      <c r="E25" s="291">
        <v>35000</v>
      </c>
      <c r="F25" s="291">
        <v>35000</v>
      </c>
      <c r="G25" s="291">
        <v>35000</v>
      </c>
      <c r="H25" s="291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1">
        <v>35000</v>
      </c>
      <c r="E26" s="291">
        <v>35000</v>
      </c>
      <c r="F26" s="291">
        <v>35000</v>
      </c>
      <c r="G26" s="291">
        <v>35000</v>
      </c>
      <c r="H26" s="291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1">
        <v>35000</v>
      </c>
      <c r="E27" s="291">
        <v>35000</v>
      </c>
      <c r="F27" s="291">
        <v>35000</v>
      </c>
      <c r="G27" s="291">
        <v>35000</v>
      </c>
      <c r="H27" s="291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1">
        <v>35000</v>
      </c>
      <c r="E28" s="291">
        <v>35000</v>
      </c>
      <c r="F28" s="291">
        <v>35000</v>
      </c>
      <c r="G28" s="291">
        <v>35000</v>
      </c>
      <c r="H28" s="291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1">
        <v>35000</v>
      </c>
      <c r="E29" s="291">
        <v>35000</v>
      </c>
      <c r="F29" s="291">
        <v>35000</v>
      </c>
      <c r="G29" s="291">
        <v>35000</v>
      </c>
      <c r="H29" s="291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1">
        <v>35000</v>
      </c>
      <c r="E30" s="291">
        <v>35000</v>
      </c>
      <c r="F30" s="291">
        <v>35000</v>
      </c>
      <c r="G30" s="291">
        <v>35000</v>
      </c>
      <c r="H30" s="291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1">
        <v>35000</v>
      </c>
      <c r="E31" s="291">
        <v>35000</v>
      </c>
      <c r="F31" s="291">
        <v>35000</v>
      </c>
      <c r="G31" s="291">
        <v>35000</v>
      </c>
      <c r="H31" s="291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1">
        <v>35000</v>
      </c>
      <c r="E32" s="291">
        <v>35000</v>
      </c>
      <c r="F32" s="291">
        <v>35000</v>
      </c>
      <c r="G32" s="291">
        <v>35000</v>
      </c>
      <c r="H32" s="291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1">
        <v>35000</v>
      </c>
      <c r="E33" s="291">
        <v>35000</v>
      </c>
      <c r="F33" s="291">
        <v>35000</v>
      </c>
      <c r="G33" s="291">
        <v>35000</v>
      </c>
      <c r="H33" s="291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1">
        <v>35000</v>
      </c>
      <c r="E34" s="291">
        <v>35000</v>
      </c>
      <c r="F34" s="291">
        <v>35000</v>
      </c>
      <c r="G34" s="291">
        <v>35000</v>
      </c>
      <c r="H34" s="291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1">
        <v>35000</v>
      </c>
      <c r="E35" s="291">
        <v>35000</v>
      </c>
      <c r="F35" s="291">
        <v>35000</v>
      </c>
      <c r="G35" s="291">
        <v>35000</v>
      </c>
      <c r="H35" s="291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1">
        <v>35000</v>
      </c>
      <c r="E36" s="291">
        <v>35000</v>
      </c>
      <c r="F36" s="291">
        <v>35000</v>
      </c>
      <c r="G36" s="291">
        <v>35000</v>
      </c>
      <c r="H36" s="291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1">
        <v>35000</v>
      </c>
      <c r="E37" s="291">
        <v>35000</v>
      </c>
      <c r="F37" s="291">
        <v>35000</v>
      </c>
      <c r="G37" s="291">
        <v>35000</v>
      </c>
      <c r="H37" s="291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1">
        <v>35000</v>
      </c>
      <c r="E38" s="291">
        <v>35000</v>
      </c>
      <c r="F38" s="291">
        <v>35000</v>
      </c>
      <c r="G38" s="291">
        <v>35000</v>
      </c>
      <c r="H38" s="291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1">
        <v>35000</v>
      </c>
      <c r="E39" s="291">
        <v>35000</v>
      </c>
      <c r="F39" s="291">
        <v>35000</v>
      </c>
      <c r="G39" s="291">
        <v>35000</v>
      </c>
      <c r="H39" s="291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1">
        <v>35000</v>
      </c>
      <c r="E40" s="291">
        <v>35000</v>
      </c>
      <c r="F40" s="291">
        <v>35000</v>
      </c>
      <c r="G40" s="291">
        <v>35000</v>
      </c>
      <c r="H40" s="291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1">
        <v>35000</v>
      </c>
      <c r="E41" s="291">
        <v>35000</v>
      </c>
      <c r="F41" s="291">
        <v>35000</v>
      </c>
      <c r="G41" s="291">
        <v>35000</v>
      </c>
      <c r="H41" s="291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1">
        <v>35000</v>
      </c>
      <c r="E42" s="291">
        <v>35000</v>
      </c>
      <c r="F42" s="291">
        <v>35000</v>
      </c>
      <c r="G42" s="291">
        <v>35000</v>
      </c>
      <c r="H42" s="291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1">
        <v>35000</v>
      </c>
      <c r="E43" s="291">
        <v>35000</v>
      </c>
      <c r="F43" s="291">
        <v>35000</v>
      </c>
      <c r="G43" s="291">
        <v>35000</v>
      </c>
      <c r="H43" s="291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1">
        <v>35000</v>
      </c>
      <c r="E44" s="291">
        <v>35000</v>
      </c>
      <c r="F44" s="291">
        <v>35000</v>
      </c>
      <c r="G44" s="291">
        <v>35000</v>
      </c>
      <c r="H44" s="291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1">
        <v>35000</v>
      </c>
      <c r="E45" s="291">
        <v>35000</v>
      </c>
      <c r="F45" s="291">
        <v>35000</v>
      </c>
      <c r="G45" s="291">
        <v>35000</v>
      </c>
      <c r="H45" s="291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1">
        <v>35000</v>
      </c>
      <c r="E46" s="291">
        <v>35000</v>
      </c>
      <c r="F46" s="291">
        <v>35000</v>
      </c>
      <c r="G46" s="291">
        <v>35000</v>
      </c>
      <c r="H46" s="291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1">
        <v>35000</v>
      </c>
      <c r="E47" s="291">
        <v>35000</v>
      </c>
      <c r="F47" s="291">
        <v>35000</v>
      </c>
      <c r="G47" s="291">
        <v>35000</v>
      </c>
      <c r="H47" s="291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1">
        <v>35000</v>
      </c>
      <c r="E48" s="291">
        <v>35000</v>
      </c>
      <c r="F48" s="291">
        <v>35000</v>
      </c>
      <c r="G48" s="291">
        <v>35000</v>
      </c>
      <c r="H48" s="291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1">
        <v>35000</v>
      </c>
      <c r="E49" s="291">
        <v>35000</v>
      </c>
      <c r="F49" s="291">
        <v>35000</v>
      </c>
      <c r="G49" s="291">
        <v>35000</v>
      </c>
      <c r="H49" s="291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1">
        <v>35000</v>
      </c>
      <c r="E50" s="291">
        <v>35000</v>
      </c>
      <c r="F50" s="291">
        <v>35000</v>
      </c>
      <c r="G50" s="291">
        <v>35000</v>
      </c>
      <c r="H50" s="291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1">
        <v>35000</v>
      </c>
      <c r="E51" s="291">
        <v>35000</v>
      </c>
      <c r="F51" s="291">
        <v>35000</v>
      </c>
      <c r="G51" s="291">
        <v>35000</v>
      </c>
      <c r="H51" s="291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1">
        <v>35000</v>
      </c>
      <c r="E52" s="291">
        <v>35000</v>
      </c>
      <c r="F52" s="291">
        <v>35000</v>
      </c>
      <c r="G52" s="291">
        <v>35000</v>
      </c>
      <c r="H52" s="291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1">
        <v>35000</v>
      </c>
      <c r="E53" s="291">
        <v>35000</v>
      </c>
      <c r="F53" s="291">
        <v>35000</v>
      </c>
      <c r="G53" s="291">
        <v>35000</v>
      </c>
      <c r="H53" s="291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1">
        <v>35000</v>
      </c>
      <c r="E54" s="291">
        <v>35000</v>
      </c>
      <c r="F54" s="291">
        <v>35000</v>
      </c>
      <c r="G54" s="291">
        <v>35000</v>
      </c>
      <c r="H54" s="291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1">
        <v>35000</v>
      </c>
      <c r="E55" s="291">
        <v>35000</v>
      </c>
      <c r="F55" s="291">
        <v>35000</v>
      </c>
      <c r="G55" s="291">
        <v>35000</v>
      </c>
      <c r="H55" s="291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1">
        <v>35000</v>
      </c>
      <c r="E56" s="291">
        <v>35000</v>
      </c>
      <c r="F56" s="291">
        <v>35000</v>
      </c>
      <c r="G56" s="291">
        <v>35000</v>
      </c>
      <c r="H56" s="291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1">
        <v>35000</v>
      </c>
      <c r="E57" s="291">
        <v>35000</v>
      </c>
      <c r="F57" s="291">
        <v>35000</v>
      </c>
      <c r="G57" s="291">
        <v>35000</v>
      </c>
      <c r="H57" s="291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1">
        <v>35000</v>
      </c>
      <c r="E58" s="291">
        <v>35000</v>
      </c>
      <c r="F58" s="291">
        <v>35000</v>
      </c>
      <c r="G58" s="291">
        <v>35000</v>
      </c>
      <c r="H58" s="291">
        <f t="shared" si="2"/>
        <v>140000</v>
      </c>
      <c r="I58" s="1"/>
    </row>
    <row r="59" spans="1:9" ht="18.75">
      <c r="A59" s="21"/>
      <c r="B59" s="32"/>
      <c r="C59" s="32"/>
      <c r="D59" s="306">
        <f>SUM(D8:D58)</f>
        <v>1785000</v>
      </c>
      <c r="E59" s="306">
        <f>SUM(E8:E58)</f>
        <v>1785000</v>
      </c>
      <c r="F59" s="306">
        <f>SUM(F8:F58)</f>
        <v>1785000</v>
      </c>
      <c r="G59" s="306">
        <f>SUM(G8:G58)</f>
        <v>1785000</v>
      </c>
      <c r="H59" s="306">
        <f>SUM(H8:H58)</f>
        <v>7140000</v>
      </c>
      <c r="I59" s="1"/>
    </row>
    <row r="60" spans="1:9">
      <c r="D60" s="294"/>
      <c r="E60" s="294"/>
      <c r="F60" s="294"/>
      <c r="G60" s="294"/>
      <c r="H60" s="294"/>
    </row>
    <row r="61" spans="1:9">
      <c r="D61" s="294"/>
      <c r="E61" s="294"/>
      <c r="F61" s="294"/>
      <c r="G61" s="294"/>
      <c r="H61" s="299"/>
    </row>
    <row r="62" spans="1:9">
      <c r="A62" s="298"/>
      <c r="B62" s="298"/>
      <c r="C62" s="298"/>
      <c r="D62" s="299"/>
      <c r="E62" s="299"/>
      <c r="F62" s="299"/>
      <c r="G62" s="299"/>
      <c r="H62" s="302"/>
    </row>
    <row r="63" spans="1:9">
      <c r="D63" s="294"/>
      <c r="E63" s="294"/>
      <c r="F63" s="294"/>
      <c r="G63" s="294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0" t="s">
        <v>730</v>
      </c>
      <c r="E2" s="290" t="s">
        <v>38</v>
      </c>
      <c r="F2" s="290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1">
        <f>20000*28</f>
        <v>560000</v>
      </c>
      <c r="E3" s="341">
        <f>86186.67</f>
        <v>86186.67</v>
      </c>
      <c r="F3" s="291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91">
        <f>20000*28</f>
        <v>560000</v>
      </c>
      <c r="E4" s="341">
        <f>86186.67</f>
        <v>86186.67</v>
      </c>
      <c r="F4" s="291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2">
        <f>SUM(D3:D4)</f>
        <v>1120000</v>
      </c>
      <c r="E5" s="292">
        <f>SUM(E3:E4)</f>
        <v>172373.34</v>
      </c>
      <c r="F5" s="292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5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5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5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5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5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5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5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5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6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7"/>
      <c r="F38" s="179"/>
    </row>
    <row r="39" spans="1:6" ht="18.75" customHeight="1">
      <c r="A39" s="28"/>
      <c r="B39" s="158" t="s">
        <v>284</v>
      </c>
      <c r="C39" s="20"/>
      <c r="D39" s="180"/>
      <c r="E39" s="275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5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5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6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5"/>
      <c r="F43" s="179"/>
    </row>
    <row r="44" spans="1:6" ht="20.100000000000001" customHeight="1">
      <c r="A44" s="28"/>
      <c r="B44" s="184" t="s">
        <v>56</v>
      </c>
      <c r="C44" s="169"/>
      <c r="D44" s="173"/>
      <c r="E44" s="275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5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5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5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5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5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5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5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5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5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5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8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9"/>
      <c r="F58" s="179"/>
    </row>
    <row r="59" spans="1:6" ht="20.100000000000001" customHeight="1">
      <c r="A59" s="28"/>
      <c r="B59" s="158" t="s">
        <v>195</v>
      </c>
      <c r="C59" s="29"/>
      <c r="D59" s="29"/>
      <c r="E59" s="279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5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5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8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9"/>
      <c r="F63" s="179"/>
    </row>
    <row r="64" spans="1:6" ht="20.100000000000001" customHeight="1">
      <c r="A64" s="28"/>
      <c r="B64" s="158" t="s">
        <v>461</v>
      </c>
      <c r="C64" s="29"/>
      <c r="D64" s="29"/>
      <c r="E64" s="279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80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5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80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80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80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80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5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5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5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5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5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5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5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5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8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9"/>
      <c r="F80" s="179"/>
    </row>
    <row r="81" spans="1:6" ht="20.100000000000001" customHeight="1">
      <c r="A81" s="28"/>
      <c r="B81" s="158" t="s">
        <v>462</v>
      </c>
      <c r="C81" s="29"/>
      <c r="D81" s="29"/>
      <c r="E81" s="279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5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5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5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5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5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8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5"/>
      <c r="F88" s="179"/>
    </row>
    <row r="89" spans="1:6" ht="20.100000000000001" customHeight="1">
      <c r="A89" s="28"/>
      <c r="B89" s="158" t="s">
        <v>463</v>
      </c>
      <c r="C89" s="185"/>
      <c r="D89" s="29"/>
      <c r="E89" s="275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5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5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80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80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80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80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80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5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5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5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8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9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9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5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5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5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5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8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9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81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5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5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5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5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5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5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5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82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83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5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5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5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5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5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5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5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5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5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4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5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5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5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5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5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5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5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5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5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5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5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5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5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5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5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5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5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5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5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5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5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5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5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5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5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5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5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5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5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5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5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5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5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5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5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5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5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5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5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5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5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5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6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6"/>
      <c r="F187" s="179"/>
    </row>
    <row r="188" spans="1:6" ht="30" customHeight="1">
      <c r="A188" s="20"/>
      <c r="B188" s="265" t="s">
        <v>8</v>
      </c>
      <c r="C188" s="266">
        <f>C37+C42+C57+C62+C79+C87+C100+C107+C117+C129+C186</f>
        <v>149</v>
      </c>
      <c r="D188" s="267"/>
      <c r="E188" s="268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5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5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5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5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5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5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5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6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7"/>
      <c r="F37" s="179"/>
    </row>
    <row r="38" spans="1:6" ht="18.75" customHeight="1">
      <c r="A38" s="28"/>
      <c r="B38" s="158" t="s">
        <v>284</v>
      </c>
      <c r="C38" s="20"/>
      <c r="D38" s="180"/>
      <c r="E38" s="275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5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5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6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5"/>
      <c r="F42" s="179"/>
    </row>
    <row r="43" spans="1:6" ht="20.100000000000001" customHeight="1">
      <c r="A43" s="28"/>
      <c r="B43" s="184" t="s">
        <v>56</v>
      </c>
      <c r="C43" s="169"/>
      <c r="D43" s="173"/>
      <c r="E43" s="275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5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5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5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5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5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5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5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5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5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5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8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9"/>
      <c r="F57" s="179"/>
    </row>
    <row r="58" spans="1:6" ht="20.100000000000001" customHeight="1">
      <c r="A58" s="28"/>
      <c r="B58" s="158" t="s">
        <v>195</v>
      </c>
      <c r="C58" s="29"/>
      <c r="D58" s="29"/>
      <c r="E58" s="279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5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5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8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9"/>
      <c r="F62" s="179"/>
    </row>
    <row r="63" spans="1:6" ht="20.100000000000001" customHeight="1">
      <c r="A63" s="28"/>
      <c r="B63" s="158" t="s">
        <v>461</v>
      </c>
      <c r="C63" s="29"/>
      <c r="D63" s="29"/>
      <c r="E63" s="279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80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5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80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80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80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80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5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5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5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5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5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5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5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8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9"/>
      <c r="F78" s="179"/>
    </row>
    <row r="79" spans="1:6" ht="20.100000000000001" customHeight="1">
      <c r="A79" s="28"/>
      <c r="B79" s="158" t="s">
        <v>462</v>
      </c>
      <c r="C79" s="29"/>
      <c r="D79" s="29"/>
      <c r="E79" s="279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5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5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5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5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5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8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5"/>
      <c r="F86" s="179"/>
    </row>
    <row r="87" spans="1:6" ht="20.100000000000001" customHeight="1">
      <c r="A87" s="28"/>
      <c r="B87" s="158" t="s">
        <v>463</v>
      </c>
      <c r="C87" s="185"/>
      <c r="D87" s="29"/>
      <c r="E87" s="275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5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5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80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80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80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80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80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5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5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5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8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9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9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5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5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5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5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8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9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81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5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5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5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5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5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5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5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82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82"/>
      <c r="F116" s="179"/>
    </row>
    <row r="117" spans="1:6" ht="48.75" customHeight="1">
      <c r="A117" s="28"/>
      <c r="B117" s="158" t="s">
        <v>545</v>
      </c>
      <c r="C117" s="29"/>
      <c r="D117" s="29"/>
      <c r="E117" s="282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5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5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82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83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5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5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5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5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5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5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5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5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5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5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4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5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5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5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5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5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5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5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5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5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5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5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5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5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5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5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5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5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5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5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5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5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5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5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5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5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5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5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5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5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5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5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5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5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5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5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5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5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5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5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5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5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6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6"/>
      <c r="F189" s="179"/>
    </row>
    <row r="190" spans="1:6" ht="30" customHeight="1">
      <c r="A190" s="20"/>
      <c r="B190" s="265" t="s">
        <v>8</v>
      </c>
      <c r="C190" s="266">
        <f>C36+C41+C56+C61+C77+C85+C98+C105+C115+C132+C188</f>
        <v>146</v>
      </c>
      <c r="D190" s="267"/>
      <c r="E190" s="268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7">
        <f>'[9]Sallah Welfare June 2023 '!$D$73</f>
        <v>2842500</v>
      </c>
    </row>
    <row r="193" spans="6:6" ht="20.100000000000001" customHeight="1">
      <c r="F193" s="287">
        <v>830000</v>
      </c>
    </row>
    <row r="194" spans="6:6" ht="20.100000000000001" customHeight="1">
      <c r="F194" s="287">
        <f>E190</f>
        <v>11040000</v>
      </c>
    </row>
    <row r="195" spans="6:6" ht="20.100000000000001" customHeight="1">
      <c r="F195" s="28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69"/>
    </row>
    <row r="2" spans="1:6" ht="33.75" customHeight="1">
      <c r="A2" s="269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5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5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5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5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5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5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5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5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5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5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5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5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5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5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5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5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5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5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5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5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5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5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5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5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5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5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6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7"/>
      <c r="F36" s="179"/>
    </row>
    <row r="37" spans="1:6" ht="18.75" customHeight="1">
      <c r="A37" s="28"/>
      <c r="B37" s="158" t="s">
        <v>284</v>
      </c>
      <c r="C37" s="20"/>
      <c r="D37" s="180"/>
      <c r="E37" s="275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5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5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6">
        <v>324000</v>
      </c>
      <c r="F40" s="179"/>
    </row>
    <row r="41" spans="1:6" ht="20.100000000000001" customHeight="1">
      <c r="A41" s="28"/>
      <c r="B41" s="157"/>
      <c r="C41" s="20"/>
      <c r="D41" s="28"/>
      <c r="E41" s="275"/>
      <c r="F41" s="179"/>
    </row>
    <row r="42" spans="1:6" ht="20.100000000000001" customHeight="1">
      <c r="A42" s="28"/>
      <c r="B42" s="184" t="s">
        <v>56</v>
      </c>
      <c r="C42" s="169"/>
      <c r="D42" s="173"/>
      <c r="E42" s="275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5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5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5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5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5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5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5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5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5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5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5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5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8">
        <v>1296000</v>
      </c>
      <c r="F55" s="179"/>
    </row>
    <row r="56" spans="1:6" ht="20.100000000000001" customHeight="1">
      <c r="A56" s="28"/>
      <c r="B56" s="122"/>
      <c r="C56" s="29"/>
      <c r="D56" s="29"/>
      <c r="E56" s="279"/>
      <c r="F56" s="179"/>
    </row>
    <row r="57" spans="1:6" ht="20.100000000000001" customHeight="1">
      <c r="A57" s="28"/>
      <c r="B57" s="158" t="s">
        <v>195</v>
      </c>
      <c r="C57" s="29"/>
      <c r="D57" s="29"/>
      <c r="E57" s="279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5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5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8">
        <v>396000</v>
      </c>
      <c r="F60" s="179"/>
    </row>
    <row r="61" spans="1:6" ht="20.100000000000001" customHeight="1">
      <c r="A61" s="28"/>
      <c r="B61" s="158"/>
      <c r="C61" s="29"/>
      <c r="D61" s="29"/>
      <c r="E61" s="279"/>
      <c r="F61" s="179"/>
    </row>
    <row r="62" spans="1:6" ht="20.100000000000001" customHeight="1">
      <c r="A62" s="28"/>
      <c r="B62" s="158" t="s">
        <v>461</v>
      </c>
      <c r="C62" s="29"/>
      <c r="D62" s="29"/>
      <c r="E62" s="279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80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5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80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80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80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80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5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5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5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5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5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5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5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8">
        <v>1134000</v>
      </c>
      <c r="F76" s="179"/>
    </row>
    <row r="77" spans="1:6" ht="20.100000000000001" customHeight="1">
      <c r="A77" s="28"/>
      <c r="B77" s="122"/>
      <c r="C77" s="29"/>
      <c r="D77" s="29"/>
      <c r="E77" s="279"/>
      <c r="F77" s="179"/>
    </row>
    <row r="78" spans="1:6" ht="20.100000000000001" customHeight="1">
      <c r="A78" s="28"/>
      <c r="B78" s="158" t="s">
        <v>462</v>
      </c>
      <c r="C78" s="29"/>
      <c r="D78" s="29"/>
      <c r="E78" s="279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5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5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5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5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5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8">
        <v>666000</v>
      </c>
      <c r="F84" s="179"/>
    </row>
    <row r="85" spans="1:6" ht="20.100000000000001" customHeight="1">
      <c r="A85" s="28"/>
      <c r="B85" s="158"/>
      <c r="C85" s="29"/>
      <c r="D85" s="29"/>
      <c r="E85" s="275"/>
      <c r="F85" s="179"/>
    </row>
    <row r="86" spans="1:6" ht="20.100000000000001" customHeight="1">
      <c r="A86" s="28"/>
      <c r="B86" s="158" t="s">
        <v>463</v>
      </c>
      <c r="C86" s="185"/>
      <c r="D86" s="29"/>
      <c r="E86" s="275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5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5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80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80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80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80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80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5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5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5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8">
        <v>864000</v>
      </c>
      <c r="F97" s="179"/>
    </row>
    <row r="98" spans="1:6" ht="20.100000000000001" customHeight="1">
      <c r="A98" s="28"/>
      <c r="B98" s="122"/>
      <c r="C98" s="29"/>
      <c r="D98" s="29"/>
      <c r="E98" s="279"/>
      <c r="F98" s="179"/>
    </row>
    <row r="99" spans="1:6" ht="20.100000000000001" customHeight="1">
      <c r="A99" s="28"/>
      <c r="B99" s="158" t="s">
        <v>464</v>
      </c>
      <c r="C99" s="29"/>
      <c r="D99" s="29"/>
      <c r="E99" s="279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5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5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5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5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8">
        <v>378000</v>
      </c>
      <c r="F104" s="179"/>
    </row>
    <row r="105" spans="1:6" ht="20.100000000000001" customHeight="1">
      <c r="A105" s="20"/>
      <c r="B105" s="122"/>
      <c r="C105" s="29"/>
      <c r="D105" s="186"/>
      <c r="E105" s="279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81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5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5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5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5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5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5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5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82">
        <v>792000</v>
      </c>
      <c r="F114" s="179"/>
    </row>
    <row r="115" spans="1:6" ht="20.100000000000001" customHeight="1">
      <c r="A115" s="20"/>
      <c r="B115" s="158"/>
      <c r="C115" s="29"/>
      <c r="D115" s="20"/>
      <c r="E115" s="282"/>
      <c r="F115" s="179"/>
    </row>
    <row r="116" spans="1:6" ht="43.5" customHeight="1">
      <c r="A116" s="28"/>
      <c r="B116" s="158" t="s">
        <v>547</v>
      </c>
      <c r="C116" s="29"/>
      <c r="D116" s="29"/>
      <c r="E116" s="282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5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5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82">
        <v>108000</v>
      </c>
      <c r="F119" s="179"/>
    </row>
    <row r="120" spans="1:6" ht="20.100000000000001" customHeight="1">
      <c r="A120" s="20"/>
      <c r="B120" s="122"/>
      <c r="C120" s="28"/>
      <c r="D120" s="20"/>
      <c r="E120" s="283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5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5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5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5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5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5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5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5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5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5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4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5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5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5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5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5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5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5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5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5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5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5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5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5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5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5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5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5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5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5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5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5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5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5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5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5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5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5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5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5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5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5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5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6">
        <v>2970000</v>
      </c>
      <c r="F187" s="179"/>
    </row>
    <row r="188" spans="1:6" ht="9" customHeight="1">
      <c r="A188" s="190"/>
      <c r="B188" s="176"/>
      <c r="C188" s="192"/>
      <c r="D188" s="22"/>
      <c r="E188" s="286"/>
      <c r="F188" s="179"/>
    </row>
    <row r="189" spans="1:6" ht="40.5" customHeight="1">
      <c r="A189" s="20"/>
      <c r="B189" s="265" t="s">
        <v>8</v>
      </c>
      <c r="C189" s="266">
        <f>C35+C40+C55+C60+C76+C84+C97+C104+C114+C131+C187</f>
        <v>145</v>
      </c>
      <c r="D189" s="267"/>
      <c r="E189" s="268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7"/>
    </row>
    <row r="192" spans="1:6" ht="20.100000000000001" customHeight="1">
      <c r="F192" s="287"/>
    </row>
    <row r="193" spans="6:6" ht="20.100000000000001" customHeight="1">
      <c r="F193" s="287"/>
    </row>
    <row r="194" spans="6:6" ht="20.100000000000001" customHeight="1">
      <c r="F194" s="28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649" t="s">
        <v>234</v>
      </c>
      <c r="B1" s="649"/>
      <c r="C1" s="649"/>
      <c r="D1" s="649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'[10]August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'[10]August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649" t="s">
        <v>234</v>
      </c>
      <c r="B1" s="649"/>
      <c r="C1" s="649"/>
      <c r="D1" s="649"/>
      <c r="E1" s="649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'[11]April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'[11]April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'[11]April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'[11]April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'[11]April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'[11]April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'[11]April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'[11]April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'[11]April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'[11]April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'[11]April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'[11]April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'[11]April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'[11]April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'[11]April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'[11]April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'[11]April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'[11]April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'[11]April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'[11]April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'[11]April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'[11]April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'[11]April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'[11]April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678" t="s">
        <v>449</v>
      </c>
      <c r="C3" s="678"/>
      <c r="D3" s="678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679"/>
      <c r="G5" s="679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680" t="s">
        <v>9</v>
      </c>
      <c r="D201" s="680"/>
      <c r="E201" s="139"/>
      <c r="F201" s="59"/>
      <c r="G201" s="59"/>
    </row>
    <row r="202" spans="1:8" ht="20.100000000000001" customHeight="1">
      <c r="A202" s="32"/>
      <c r="B202" s="103"/>
      <c r="C202" s="680"/>
      <c r="D202" s="680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678" t="s">
        <v>409</v>
      </c>
      <c r="C3" s="678"/>
      <c r="D3" s="678"/>
      <c r="E3" s="678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678" t="s">
        <v>0</v>
      </c>
      <c r="C5" s="678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679"/>
      <c r="V5" s="679"/>
      <c r="W5" s="679"/>
      <c r="X5" s="679"/>
      <c r="Y5" s="679"/>
      <c r="Z5" s="679"/>
      <c r="AA5" s="99"/>
      <c r="AB5" s="99"/>
    </row>
    <row r="6" spans="1:33" ht="35.450000000000003" customHeight="1">
      <c r="A6" s="32"/>
      <c r="B6" s="714"/>
      <c r="C6" s="714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15"/>
      <c r="C7" s="715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716" t="s">
        <v>16</v>
      </c>
      <c r="C8" s="716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683" t="s">
        <v>224</v>
      </c>
      <c r="C9" s="684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683" t="s">
        <v>154</v>
      </c>
      <c r="C10" s="684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00" t="s">
        <v>227</v>
      </c>
      <c r="C11" s="701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683" t="s">
        <v>137</v>
      </c>
      <c r="C12" s="684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00" t="s">
        <v>225</v>
      </c>
      <c r="C13" s="701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683" t="s">
        <v>315</v>
      </c>
      <c r="C14" s="684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00" t="s">
        <v>112</v>
      </c>
      <c r="C15" s="701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696" t="s">
        <v>187</v>
      </c>
      <c r="C16" s="697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00" t="s">
        <v>203</v>
      </c>
      <c r="C17" s="701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690" t="s">
        <v>111</v>
      </c>
      <c r="C18" s="690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00" t="s">
        <v>220</v>
      </c>
      <c r="C20" s="701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00" t="s">
        <v>144</v>
      </c>
      <c r="C21" s="701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00" t="s">
        <v>139</v>
      </c>
      <c r="C22" s="701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683" t="s">
        <v>18</v>
      </c>
      <c r="C23" s="684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00" t="s">
        <v>317</v>
      </c>
      <c r="C24" s="701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683" t="s">
        <v>334</v>
      </c>
      <c r="C25" s="684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683" t="s">
        <v>253</v>
      </c>
      <c r="C26" s="684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683" t="s">
        <v>141</v>
      </c>
      <c r="C27" s="684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690" t="s">
        <v>26</v>
      </c>
      <c r="C32" s="690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683" t="s">
        <v>247</v>
      </c>
      <c r="C33" s="684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683" t="s">
        <v>248</v>
      </c>
      <c r="C35" s="684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696" t="s">
        <v>345</v>
      </c>
      <c r="C37" s="697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693" t="s">
        <v>15</v>
      </c>
      <c r="C39" s="693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693" t="s">
        <v>284</v>
      </c>
      <c r="C41" s="693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10"/>
      <c r="C44" s="711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12" t="s">
        <v>56</v>
      </c>
      <c r="C45" s="713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683" t="s">
        <v>255</v>
      </c>
      <c r="C46" s="684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683" t="s">
        <v>158</v>
      </c>
      <c r="C47" s="684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683" t="s">
        <v>165</v>
      </c>
      <c r="C48" s="684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683" t="s">
        <v>159</v>
      </c>
      <c r="C49" s="684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683" t="s">
        <v>118</v>
      </c>
      <c r="C50" s="684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683" t="s">
        <v>205</v>
      </c>
      <c r="C51" s="684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691" t="s">
        <v>173</v>
      </c>
      <c r="C52" s="692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683" t="s">
        <v>116</v>
      </c>
      <c r="C53" s="684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08" t="s">
        <v>130</v>
      </c>
      <c r="C54" s="709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696" t="s">
        <v>184</v>
      </c>
      <c r="C55" s="697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02" t="s">
        <v>15</v>
      </c>
      <c r="C56" s="703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02" t="s">
        <v>195</v>
      </c>
      <c r="C58" s="703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683" t="s">
        <v>11</v>
      </c>
      <c r="C59" s="684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02" t="s">
        <v>15</v>
      </c>
      <c r="C61" s="703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02"/>
      <c r="C62" s="703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02" t="s">
        <v>353</v>
      </c>
      <c r="C63" s="703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696" t="s">
        <v>277</v>
      </c>
      <c r="C64" s="697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696" t="s">
        <v>186</v>
      </c>
      <c r="C66" s="697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696" t="s">
        <v>189</v>
      </c>
      <c r="C67" s="697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00" t="s">
        <v>229</v>
      </c>
      <c r="C69" s="701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696" t="s">
        <v>117</v>
      </c>
      <c r="C70" s="697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690" t="s">
        <v>182</v>
      </c>
      <c r="C71" s="690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683" t="s">
        <v>242</v>
      </c>
      <c r="C72" s="684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696" t="s">
        <v>322</v>
      </c>
      <c r="C73" s="697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696" t="s">
        <v>320</v>
      </c>
      <c r="C74" s="697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00" t="s">
        <v>321</v>
      </c>
      <c r="C75" s="701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02" t="s">
        <v>15</v>
      </c>
      <c r="C76" s="703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02" t="s">
        <v>347</v>
      </c>
      <c r="C78" s="703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683" t="s">
        <v>19</v>
      </c>
      <c r="C79" s="684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683" t="s">
        <v>114</v>
      </c>
      <c r="C82" s="684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683" t="s">
        <v>324</v>
      </c>
      <c r="C83" s="684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02" t="s">
        <v>15</v>
      </c>
      <c r="C86" s="703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04"/>
      <c r="C87" s="705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06" t="s">
        <v>354</v>
      </c>
      <c r="C88" s="707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683" t="s">
        <v>244</v>
      </c>
      <c r="C89" s="684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683" t="s">
        <v>169</v>
      </c>
      <c r="C90" s="684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683" t="s">
        <v>192</v>
      </c>
      <c r="C91" s="684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683" t="s">
        <v>113</v>
      </c>
      <c r="C92" s="684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00" t="s">
        <v>138</v>
      </c>
      <c r="C93" s="701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696" t="s">
        <v>202</v>
      </c>
      <c r="C94" s="697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683" t="s">
        <v>335</v>
      </c>
      <c r="C95" s="684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690" t="s">
        <v>101</v>
      </c>
      <c r="C96" s="690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683" t="s">
        <v>336</v>
      </c>
      <c r="C97" s="684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683" t="s">
        <v>337</v>
      </c>
      <c r="C98" s="684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693" t="s">
        <v>15</v>
      </c>
      <c r="C99" s="693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693" t="s">
        <v>283</v>
      </c>
      <c r="C101" s="693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696" t="s">
        <v>185</v>
      </c>
      <c r="C103" s="697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683" t="s">
        <v>237</v>
      </c>
      <c r="C105" s="684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693" t="s">
        <v>15</v>
      </c>
      <c r="C106" s="693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693" t="s">
        <v>282</v>
      </c>
      <c r="C108" s="693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683" t="s">
        <v>216</v>
      </c>
      <c r="C109" s="684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698" t="s">
        <v>110</v>
      </c>
      <c r="C110" s="699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683" t="s">
        <v>109</v>
      </c>
      <c r="C111" s="684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696" t="s">
        <v>135</v>
      </c>
      <c r="C112" s="697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683" t="s">
        <v>240</v>
      </c>
      <c r="C113" s="684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693" t="s">
        <v>15</v>
      </c>
      <c r="C117" s="693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693" t="s">
        <v>280</v>
      </c>
      <c r="C119" s="693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690" t="s">
        <v>20</v>
      </c>
      <c r="C120" s="690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690" t="s">
        <v>100</v>
      </c>
      <c r="C121" s="690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690" t="s">
        <v>153</v>
      </c>
      <c r="C122" s="690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695" t="s">
        <v>142</v>
      </c>
      <c r="C123" s="695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694" t="s">
        <v>108</v>
      </c>
      <c r="C125" s="694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690" t="s">
        <v>178</v>
      </c>
      <c r="C126" s="690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690" t="s">
        <v>134</v>
      </c>
      <c r="C127" s="690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693" t="s">
        <v>15</v>
      </c>
      <c r="C129" s="693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693" t="s">
        <v>281</v>
      </c>
      <c r="C131" s="693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690" t="s">
        <v>98</v>
      </c>
      <c r="C132" s="690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690" t="s">
        <v>21</v>
      </c>
      <c r="C133" s="690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694" t="s">
        <v>107</v>
      </c>
      <c r="C134" s="694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691" t="s">
        <v>183</v>
      </c>
      <c r="C135" s="692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691" t="s">
        <v>378</v>
      </c>
      <c r="C136" s="692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690" t="s">
        <v>106</v>
      </c>
      <c r="C137" s="690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690" t="s">
        <v>7</v>
      </c>
      <c r="C138" s="690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690" t="s">
        <v>6</v>
      </c>
      <c r="C139" s="690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690" t="s">
        <v>124</v>
      </c>
      <c r="C140" s="690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683" t="s">
        <v>102</v>
      </c>
      <c r="C141" s="684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690" t="s">
        <v>103</v>
      </c>
      <c r="C142" s="690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683" t="s">
        <v>151</v>
      </c>
      <c r="C143" s="684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683" t="s">
        <v>238</v>
      </c>
      <c r="C144" s="684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683" t="s">
        <v>53</v>
      </c>
      <c r="C145" s="684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683" t="s">
        <v>179</v>
      </c>
      <c r="C146" s="684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683" t="s">
        <v>208</v>
      </c>
      <c r="C147" s="684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683" t="s">
        <v>210</v>
      </c>
      <c r="C148" s="684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683" t="s">
        <v>212</v>
      </c>
      <c r="C149" s="684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683" t="s">
        <v>230</v>
      </c>
      <c r="C150" s="684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683" t="s">
        <v>57</v>
      </c>
      <c r="C151" s="684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683" t="s">
        <v>251</v>
      </c>
      <c r="C152" s="684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683" t="s">
        <v>241</v>
      </c>
      <c r="C153" s="684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690" t="s">
        <v>22</v>
      </c>
      <c r="C158" s="690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690" t="s">
        <v>14</v>
      </c>
      <c r="C159" s="690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690" t="s">
        <v>23</v>
      </c>
      <c r="C160" s="690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690" t="s">
        <v>24</v>
      </c>
      <c r="C161" s="690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690" t="s">
        <v>25</v>
      </c>
      <c r="C162" s="690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690" t="s">
        <v>39</v>
      </c>
      <c r="C163" s="690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690" t="s">
        <v>40</v>
      </c>
      <c r="C164" s="690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690" t="s">
        <v>127</v>
      </c>
      <c r="C165" s="690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690" t="s">
        <v>128</v>
      </c>
      <c r="C166" s="690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690" t="s">
        <v>129</v>
      </c>
      <c r="C167" s="690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683" t="s">
        <v>140</v>
      </c>
      <c r="C169" s="684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683" t="s">
        <v>231</v>
      </c>
      <c r="C172" s="684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683" t="s">
        <v>246</v>
      </c>
      <c r="C173" s="684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683" t="s">
        <v>204</v>
      </c>
      <c r="C175" s="684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683" t="s">
        <v>209</v>
      </c>
      <c r="C176" s="684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683" t="s">
        <v>218</v>
      </c>
      <c r="C177" s="684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683" t="s">
        <v>219</v>
      </c>
      <c r="C178" s="684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683" t="s">
        <v>211</v>
      </c>
      <c r="C179" s="684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683" t="s">
        <v>213</v>
      </c>
      <c r="C180" s="684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685" t="s">
        <v>232</v>
      </c>
      <c r="C181" s="686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687" t="s">
        <v>233</v>
      </c>
      <c r="C182" s="688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689" t="s">
        <v>8</v>
      </c>
      <c r="C188" s="689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681"/>
      <c r="C189" s="681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681"/>
      <c r="C190" s="681"/>
      <c r="D190" s="680" t="s">
        <v>9</v>
      </c>
      <c r="E190" s="680"/>
      <c r="F190" s="680"/>
      <c r="G190" s="680"/>
      <c r="H190" s="680"/>
      <c r="I190" s="680"/>
      <c r="J190" s="680"/>
      <c r="K190" s="682" t="s">
        <v>54</v>
      </c>
      <c r="L190" s="682"/>
      <c r="M190" s="682"/>
      <c r="N190" s="102"/>
      <c r="O190" s="102"/>
      <c r="P190" s="682" t="s">
        <v>55</v>
      </c>
      <c r="Q190" s="682"/>
      <c r="R190" s="682"/>
      <c r="S190" s="682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681"/>
      <c r="C191" s="681"/>
      <c r="D191" s="680"/>
      <c r="E191" s="680"/>
      <c r="F191" s="680"/>
      <c r="G191" s="680"/>
      <c r="H191" s="680"/>
      <c r="I191" s="680"/>
      <c r="J191" s="680"/>
      <c r="K191" s="682"/>
      <c r="L191" s="682"/>
      <c r="M191" s="682"/>
      <c r="N191" s="102"/>
      <c r="O191" s="102"/>
      <c r="P191" s="682"/>
      <c r="Q191" s="682"/>
      <c r="R191" s="682"/>
      <c r="S191" s="682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18" t="s">
        <v>126</v>
      </c>
      <c r="B1" s="718"/>
      <c r="C1" s="718"/>
      <c r="D1" s="718"/>
      <c r="E1" s="718"/>
      <c r="F1" s="718"/>
    </row>
    <row r="2" spans="1:6" ht="18.75">
      <c r="A2" s="719" t="s">
        <v>62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948475.67999999993</v>
      </c>
      <c r="E4" s="12">
        <f>SUMMARY!F3</f>
        <v>79039.64</v>
      </c>
      <c r="F4" s="1"/>
    </row>
    <row r="5" spans="1:6" ht="18.75">
      <c r="A5" s="695" t="s">
        <v>65</v>
      </c>
      <c r="B5" s="695"/>
      <c r="C5" s="695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695" t="s">
        <v>66</v>
      </c>
      <c r="B6" s="695"/>
      <c r="C6" s="695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695" t="s">
        <v>63</v>
      </c>
      <c r="B7" s="695"/>
      <c r="C7" s="695"/>
      <c r="D7" s="12">
        <f t="shared" si="0"/>
        <v>962932.56</v>
      </c>
      <c r="E7" s="12">
        <f>SUMMARY!J3</f>
        <v>80244.38</v>
      </c>
      <c r="F7" s="1"/>
    </row>
    <row r="8" spans="1:6" ht="18.75">
      <c r="A8" s="695" t="s">
        <v>67</v>
      </c>
      <c r="B8" s="695"/>
      <c r="C8" s="695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695" t="s">
        <v>68</v>
      </c>
      <c r="B9" s="695"/>
      <c r="C9" s="695"/>
      <c r="D9" s="12">
        <f t="shared" si="0"/>
        <v>3319664.88</v>
      </c>
      <c r="E9" s="12">
        <f>SUMMARY!L3</f>
        <v>276638.74</v>
      </c>
      <c r="F9" s="1"/>
    </row>
    <row r="10" spans="1:6" ht="18.75">
      <c r="A10" s="700" t="s">
        <v>91</v>
      </c>
      <c r="B10" s="717"/>
      <c r="C10" s="701"/>
      <c r="D10" s="12">
        <f>E10*12</f>
        <v>0</v>
      </c>
      <c r="E10" s="12"/>
      <c r="F10" s="1"/>
    </row>
    <row r="11" spans="1:6" ht="18.75">
      <c r="A11" s="695" t="s">
        <v>69</v>
      </c>
      <c r="B11" s="695"/>
      <c r="C11" s="695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695" t="s">
        <v>70</v>
      </c>
      <c r="B12" s="695"/>
      <c r="C12" s="695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695" t="s">
        <v>71</v>
      </c>
      <c r="B13" s="695"/>
      <c r="C13" s="695"/>
      <c r="D13" s="12">
        <f t="shared" si="0"/>
        <v>240000</v>
      </c>
      <c r="E13" s="12">
        <f>SUMMARY!P3</f>
        <v>20000</v>
      </c>
      <c r="F13" s="1"/>
    </row>
    <row r="14" spans="1:6" ht="18.75">
      <c r="A14" s="714" t="s">
        <v>74</v>
      </c>
      <c r="B14" s="714"/>
      <c r="C14" s="714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20" t="s">
        <v>194</v>
      </c>
      <c r="B1" s="720"/>
      <c r="C1" s="720"/>
      <c r="D1" s="720"/>
      <c r="E1" s="720"/>
      <c r="F1" s="720"/>
    </row>
    <row r="2" spans="1:6" ht="18.75">
      <c r="A2" s="719" t="s">
        <v>76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 t="e">
        <f>E4*12</f>
        <v>#REF!</v>
      </c>
      <c r="E4" s="12" t="e">
        <f>'MAY 2024'!#REF!</f>
        <v>#REF!</v>
      </c>
      <c r="F4" s="1"/>
    </row>
    <row r="5" spans="1:6" ht="18.75">
      <c r="A5" s="695" t="s">
        <v>65</v>
      </c>
      <c r="B5" s="695"/>
      <c r="C5" s="695"/>
      <c r="D5" s="12" t="e">
        <f t="shared" ref="D5:D13" si="0">E5*12</f>
        <v>#REF!</v>
      </c>
      <c r="E5" s="12" t="e">
        <f>'MAY 2024'!#REF!</f>
        <v>#REF!</v>
      </c>
      <c r="F5" s="1"/>
    </row>
    <row r="6" spans="1:6" ht="18.75">
      <c r="A6" s="695" t="s">
        <v>66</v>
      </c>
      <c r="B6" s="695"/>
      <c r="C6" s="695"/>
      <c r="D6" s="12" t="e">
        <f t="shared" si="0"/>
        <v>#REF!</v>
      </c>
      <c r="E6" s="12" t="e">
        <f>'MAY 2024'!#REF!</f>
        <v>#REF!</v>
      </c>
      <c r="F6" s="1"/>
    </row>
    <row r="7" spans="1:6" ht="18.75">
      <c r="A7" s="695" t="s">
        <v>63</v>
      </c>
      <c r="B7" s="695"/>
      <c r="C7" s="695"/>
      <c r="D7" s="12" t="e">
        <f t="shared" si="0"/>
        <v>#REF!</v>
      </c>
      <c r="E7" s="12" t="e">
        <f>'MAY 2024'!#REF!</f>
        <v>#REF!</v>
      </c>
      <c r="F7" s="1"/>
    </row>
    <row r="8" spans="1:6" ht="18.75">
      <c r="A8" s="695" t="s">
        <v>67</v>
      </c>
      <c r="B8" s="695"/>
      <c r="C8" s="695"/>
      <c r="D8" s="12" t="e">
        <f t="shared" si="0"/>
        <v>#REF!</v>
      </c>
      <c r="E8" s="12" t="e">
        <f>'MAY 2024'!#REF!</f>
        <v>#REF!</v>
      </c>
      <c r="F8" s="1"/>
    </row>
    <row r="9" spans="1:6" ht="18.75">
      <c r="A9" s="695" t="s">
        <v>68</v>
      </c>
      <c r="B9" s="695"/>
      <c r="C9" s="695"/>
      <c r="D9" s="12" t="e">
        <f t="shared" si="0"/>
        <v>#REF!</v>
      </c>
      <c r="E9" s="12" t="e">
        <f>'MAY 2024'!#REF!</f>
        <v>#REF!</v>
      </c>
      <c r="F9" s="1"/>
    </row>
    <row r="10" spans="1:6" ht="18.75">
      <c r="A10" s="695" t="s">
        <v>69</v>
      </c>
      <c r="B10" s="695"/>
      <c r="C10" s="695"/>
      <c r="D10" s="12" t="e">
        <f t="shared" si="0"/>
        <v>#REF!</v>
      </c>
      <c r="E10" s="12" t="e">
        <f>'MAY 2024'!#REF!</f>
        <v>#REF!</v>
      </c>
      <c r="F10" s="1"/>
    </row>
    <row r="11" spans="1:6" ht="18.75">
      <c r="A11" s="700" t="s">
        <v>198</v>
      </c>
      <c r="B11" s="717"/>
      <c r="C11" s="701"/>
      <c r="D11" s="12">
        <f t="shared" si="0"/>
        <v>1200000</v>
      </c>
      <c r="E11" s="12">
        <v>100000</v>
      </c>
      <c r="F11" s="1"/>
    </row>
    <row r="12" spans="1:6" ht="18.75">
      <c r="A12" s="695" t="s">
        <v>70</v>
      </c>
      <c r="B12" s="695"/>
      <c r="C12" s="695"/>
      <c r="D12" s="12" t="e">
        <f t="shared" si="0"/>
        <v>#REF!</v>
      </c>
      <c r="E12" s="12" t="e">
        <f>'MAY 2024'!#REF!</f>
        <v>#REF!</v>
      </c>
      <c r="F12" s="1"/>
    </row>
    <row r="13" spans="1:6" ht="18.75">
      <c r="A13" s="695" t="s">
        <v>71</v>
      </c>
      <c r="B13" s="695"/>
      <c r="C13" s="695"/>
      <c r="D13" s="12" t="e">
        <f t="shared" si="0"/>
        <v>#REF!</v>
      </c>
      <c r="E13" s="12" t="e">
        <f>'MAY 2024'!#REF!</f>
        <v>#REF!</v>
      </c>
      <c r="F13" s="1"/>
    </row>
    <row r="14" spans="1:6" ht="18.75">
      <c r="A14" s="714" t="s">
        <v>74</v>
      </c>
      <c r="B14" s="714"/>
      <c r="C14" s="714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20" t="s">
        <v>193</v>
      </c>
      <c r="B1" s="720"/>
      <c r="C1" s="720"/>
      <c r="D1" s="720"/>
      <c r="E1" s="720"/>
      <c r="F1" s="720"/>
    </row>
    <row r="2" spans="1:6" ht="18.75">
      <c r="A2" s="719" t="s">
        <v>156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16224512</v>
      </c>
      <c r="E4" s="12">
        <f>'MAY 2024'!E98</f>
        <v>1352042.6666666667</v>
      </c>
      <c r="F4" s="1"/>
    </row>
    <row r="5" spans="1:6" ht="18.75">
      <c r="A5" s="695" t="s">
        <v>65</v>
      </c>
      <c r="B5" s="695"/>
      <c r="C5" s="695"/>
      <c r="D5" s="12" t="e">
        <f t="shared" ref="D5:D14" si="0">E5*12</f>
        <v>#REF!</v>
      </c>
      <c r="E5" s="12" t="e">
        <f>'MAY 2024'!#REF!</f>
        <v>#REF!</v>
      </c>
      <c r="F5" s="1"/>
    </row>
    <row r="6" spans="1:6" ht="18.75">
      <c r="A6" s="695" t="s">
        <v>66</v>
      </c>
      <c r="B6" s="695"/>
      <c r="C6" s="695"/>
      <c r="D6" s="12" t="e">
        <f t="shared" si="0"/>
        <v>#REF!</v>
      </c>
      <c r="E6" s="12" t="e">
        <f>'MAY 2024'!#REF!</f>
        <v>#REF!</v>
      </c>
      <c r="F6" s="1"/>
    </row>
    <row r="7" spans="1:6" ht="18.75">
      <c r="A7" s="695" t="s">
        <v>63</v>
      </c>
      <c r="B7" s="695"/>
      <c r="C7" s="695"/>
      <c r="D7" s="12" t="e">
        <f t="shared" si="0"/>
        <v>#REF!</v>
      </c>
      <c r="E7" s="12" t="e">
        <f>'MAY 2024'!#REF!</f>
        <v>#REF!</v>
      </c>
      <c r="F7" s="1"/>
    </row>
    <row r="8" spans="1:6" ht="18.75">
      <c r="A8" s="695" t="s">
        <v>67</v>
      </c>
      <c r="B8" s="695"/>
      <c r="C8" s="695"/>
      <c r="D8" s="12" t="e">
        <f t="shared" si="0"/>
        <v>#REF!</v>
      </c>
      <c r="E8" s="12" t="e">
        <f>'MAY 2024'!#REF!</f>
        <v>#REF!</v>
      </c>
      <c r="F8" s="1"/>
    </row>
    <row r="9" spans="1:6" ht="18.75">
      <c r="A9" s="695" t="s">
        <v>68</v>
      </c>
      <c r="B9" s="695"/>
      <c r="C9" s="695"/>
      <c r="D9" s="12" t="e">
        <f t="shared" si="0"/>
        <v>#REF!</v>
      </c>
      <c r="E9" s="12" t="e">
        <f>'MAY 2024'!#REF!</f>
        <v>#REF!</v>
      </c>
      <c r="F9" s="1"/>
    </row>
    <row r="10" spans="1:6" ht="18.75">
      <c r="A10" s="695" t="s">
        <v>69</v>
      </c>
      <c r="B10" s="695"/>
      <c r="C10" s="695"/>
      <c r="D10" s="12" t="e">
        <f t="shared" si="0"/>
        <v>#REF!</v>
      </c>
      <c r="E10" s="12" t="e">
        <f>'MAY 2024'!#REF!</f>
        <v>#REF!</v>
      </c>
      <c r="F10" s="1"/>
    </row>
    <row r="11" spans="1:6" ht="18.75">
      <c r="A11" s="700" t="s">
        <v>91</v>
      </c>
      <c r="B11" s="717"/>
      <c r="C11" s="701"/>
      <c r="D11" s="12">
        <f t="shared" si="0"/>
        <v>0</v>
      </c>
      <c r="E11" s="12">
        <v>0</v>
      </c>
      <c r="F11" s="1"/>
    </row>
    <row r="12" spans="1:6" ht="18.75">
      <c r="A12" s="695" t="s">
        <v>70</v>
      </c>
      <c r="B12" s="695"/>
      <c r="C12" s="695"/>
      <c r="D12" s="12" t="e">
        <f t="shared" si="0"/>
        <v>#REF!</v>
      </c>
      <c r="E12" s="12" t="e">
        <f>'MAY 2024'!#REF!</f>
        <v>#REF!</v>
      </c>
      <c r="F12" s="1"/>
    </row>
    <row r="13" spans="1:6" ht="18.75">
      <c r="A13" s="695" t="s">
        <v>71</v>
      </c>
      <c r="B13" s="695"/>
      <c r="C13" s="695"/>
      <c r="D13" s="12">
        <f t="shared" si="0"/>
        <v>240000</v>
      </c>
      <c r="E13" s="12">
        <v>20000</v>
      </c>
      <c r="F13" s="1"/>
    </row>
    <row r="14" spans="1:6" ht="18.75">
      <c r="A14" s="714" t="s">
        <v>74</v>
      </c>
      <c r="B14" s="714"/>
      <c r="C14" s="714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20" t="s">
        <v>191</v>
      </c>
      <c r="B1" s="720"/>
      <c r="C1" s="720"/>
      <c r="D1" s="720"/>
      <c r="E1" s="720"/>
      <c r="F1" s="720"/>
    </row>
    <row r="2" spans="1:6" ht="18.75">
      <c r="A2" s="719" t="s">
        <v>190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 t="e">
        <f>E4*12</f>
        <v>#REF!</v>
      </c>
      <c r="E4" s="12" t="e">
        <f>'MAY 2024'!#REF!</f>
        <v>#REF!</v>
      </c>
      <c r="F4" s="1"/>
    </row>
    <row r="5" spans="1:6" ht="18.75">
      <c r="A5" s="695" t="s">
        <v>65</v>
      </c>
      <c r="B5" s="695"/>
      <c r="C5" s="695"/>
      <c r="D5" s="12" t="e">
        <f t="shared" ref="D5:D14" si="0">E5*12</f>
        <v>#REF!</v>
      </c>
      <c r="E5" s="12" t="e">
        <f>'MAY 2024'!#REF!</f>
        <v>#REF!</v>
      </c>
      <c r="F5" s="1"/>
    </row>
    <row r="6" spans="1:6" ht="18.75">
      <c r="A6" s="695" t="s">
        <v>66</v>
      </c>
      <c r="B6" s="695"/>
      <c r="C6" s="695"/>
      <c r="D6" s="12" t="e">
        <f t="shared" si="0"/>
        <v>#REF!</v>
      </c>
      <c r="E6" s="12" t="e">
        <f>'MAY 2024'!#REF!</f>
        <v>#REF!</v>
      </c>
      <c r="F6" s="1"/>
    </row>
    <row r="7" spans="1:6" ht="18.75">
      <c r="A7" s="695" t="s">
        <v>63</v>
      </c>
      <c r="B7" s="695"/>
      <c r="C7" s="695"/>
      <c r="D7" s="12">
        <f t="shared" si="0"/>
        <v>0</v>
      </c>
      <c r="E7" s="12">
        <f>SUMMARY!J6</f>
        <v>0</v>
      </c>
      <c r="F7" s="1"/>
    </row>
    <row r="8" spans="1:6" ht="18.75">
      <c r="A8" s="695" t="s">
        <v>67</v>
      </c>
      <c r="B8" s="695"/>
      <c r="C8" s="695"/>
      <c r="D8" s="12" t="e">
        <f t="shared" si="0"/>
        <v>#REF!</v>
      </c>
      <c r="E8" s="12" t="e">
        <f>'MAY 2024'!#REF!</f>
        <v>#REF!</v>
      </c>
      <c r="F8" s="1"/>
    </row>
    <row r="9" spans="1:6" ht="18.75">
      <c r="A9" s="695" t="s">
        <v>68</v>
      </c>
      <c r="B9" s="695"/>
      <c r="C9" s="695"/>
      <c r="D9" s="12" t="e">
        <f t="shared" si="0"/>
        <v>#REF!</v>
      </c>
      <c r="E9" s="12" t="e">
        <f>'MAY 2024'!#REF!</f>
        <v>#REF!</v>
      </c>
      <c r="F9" s="1"/>
    </row>
    <row r="10" spans="1:6" ht="18.75">
      <c r="A10" s="695" t="s">
        <v>69</v>
      </c>
      <c r="B10" s="695"/>
      <c r="C10" s="695"/>
      <c r="D10" s="12" t="e">
        <f t="shared" si="0"/>
        <v>#REF!</v>
      </c>
      <c r="E10" s="12" t="e">
        <f>'MAY 2024'!#REF!</f>
        <v>#REF!</v>
      </c>
      <c r="F10" s="1"/>
    </row>
    <row r="11" spans="1:6" ht="18.75">
      <c r="A11" s="700" t="s">
        <v>91</v>
      </c>
      <c r="B11" s="717"/>
      <c r="C11" s="701"/>
      <c r="D11" s="12">
        <f t="shared" si="0"/>
        <v>0</v>
      </c>
      <c r="E11" s="12">
        <v>0</v>
      </c>
      <c r="F11" s="1"/>
    </row>
    <row r="12" spans="1:6" ht="18.75">
      <c r="A12" s="695" t="s">
        <v>70</v>
      </c>
      <c r="B12" s="695"/>
      <c r="C12" s="695"/>
      <c r="D12" s="12" t="e">
        <f t="shared" si="0"/>
        <v>#REF!</v>
      </c>
      <c r="E12" s="12" t="e">
        <f>'MAY 2024'!#REF!</f>
        <v>#REF!</v>
      </c>
      <c r="F12" s="1"/>
    </row>
    <row r="13" spans="1:6" ht="18.75">
      <c r="A13" s="695" t="s">
        <v>71</v>
      </c>
      <c r="B13" s="695"/>
      <c r="C13" s="695"/>
      <c r="D13" s="12" t="e">
        <f t="shared" si="0"/>
        <v>#REF!</v>
      </c>
      <c r="E13" s="12" t="e">
        <f>'MAY 2024'!#REF!</f>
        <v>#REF!</v>
      </c>
      <c r="F13" s="1"/>
    </row>
    <row r="14" spans="1:6" ht="18.75">
      <c r="A14" s="714" t="s">
        <v>74</v>
      </c>
      <c r="B14" s="714"/>
      <c r="C14" s="714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20"/>
      <c r="B1" s="720"/>
      <c r="C1" s="720"/>
      <c r="D1" s="720"/>
      <c r="E1" s="720"/>
      <c r="F1" s="720"/>
    </row>
    <row r="2" spans="1:6" ht="18.75">
      <c r="A2" s="719"/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255527.52</v>
      </c>
      <c r="E4" s="12">
        <f>SUMMARY!F7</f>
        <v>21293.96</v>
      </c>
      <c r="F4" s="1"/>
    </row>
    <row r="5" spans="1:6" ht="18.75">
      <c r="A5" s="695" t="s">
        <v>65</v>
      </c>
      <c r="B5" s="695"/>
      <c r="C5" s="695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695" t="s">
        <v>66</v>
      </c>
      <c r="B6" s="695"/>
      <c r="C6" s="695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695" t="s">
        <v>63</v>
      </c>
      <c r="B7" s="695"/>
      <c r="C7" s="695"/>
      <c r="D7" s="12">
        <f t="shared" si="0"/>
        <v>0</v>
      </c>
      <c r="E7" s="12">
        <f>SUMMARY!J6</f>
        <v>0</v>
      </c>
      <c r="F7" s="1"/>
    </row>
    <row r="8" spans="1:6" ht="18.75">
      <c r="A8" s="695" t="s">
        <v>67</v>
      </c>
      <c r="B8" s="695"/>
      <c r="C8" s="695"/>
      <c r="D8" s="12">
        <f t="shared" si="0"/>
        <v>127763.76</v>
      </c>
      <c r="E8" s="12">
        <f>SUMMARY!K7</f>
        <v>10646.98</v>
      </c>
      <c r="F8" s="1"/>
    </row>
    <row r="9" spans="1:6" ht="18.75">
      <c r="A9" s="695" t="s">
        <v>68</v>
      </c>
      <c r="B9" s="695"/>
      <c r="C9" s="695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695" t="s">
        <v>69</v>
      </c>
      <c r="B10" s="695"/>
      <c r="C10" s="695"/>
      <c r="D10" s="12">
        <f t="shared" si="0"/>
        <v>255527.52</v>
      </c>
      <c r="E10" s="12">
        <f>SUMMARY!N7</f>
        <v>21293.96</v>
      </c>
      <c r="F10" s="1"/>
    </row>
    <row r="11" spans="1:6" ht="18.75">
      <c r="A11" s="695" t="s">
        <v>70</v>
      </c>
      <c r="B11" s="695"/>
      <c r="C11" s="695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695" t="s">
        <v>71</v>
      </c>
      <c r="B12" s="695"/>
      <c r="C12" s="695"/>
      <c r="D12" s="12">
        <f t="shared" si="0"/>
        <v>120000</v>
      </c>
      <c r="E12" s="12">
        <f>SUMMARY!P7</f>
        <v>10000</v>
      </c>
      <c r="F12" s="1"/>
    </row>
    <row r="13" spans="1:6" ht="18.75">
      <c r="A13" s="714" t="s">
        <v>74</v>
      </c>
      <c r="B13" s="714"/>
      <c r="C13" s="714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20" t="s">
        <v>82</v>
      </c>
      <c r="B1" s="720"/>
      <c r="C1" s="720"/>
      <c r="D1" s="720"/>
      <c r="E1" s="720"/>
      <c r="F1" s="720"/>
    </row>
    <row r="2" spans="1:6" ht="18.75">
      <c r="A2" s="719" t="s">
        <v>83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695" t="s">
        <v>65</v>
      </c>
      <c r="B5" s="695"/>
      <c r="C5" s="695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695" t="s">
        <v>66</v>
      </c>
      <c r="B6" s="695"/>
      <c r="C6" s="695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695" t="s">
        <v>63</v>
      </c>
      <c r="B7" s="695"/>
      <c r="C7" s="695"/>
      <c r="D7" s="12">
        <f t="shared" si="0"/>
        <v>0</v>
      </c>
      <c r="E7" s="12">
        <f>SUMMARY!J6</f>
        <v>0</v>
      </c>
      <c r="F7" s="1"/>
    </row>
    <row r="8" spans="1:6" ht="18.75">
      <c r="A8" s="695" t="s">
        <v>67</v>
      </c>
      <c r="B8" s="695"/>
      <c r="C8" s="695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695" t="s">
        <v>68</v>
      </c>
      <c r="B9" s="695"/>
      <c r="C9" s="695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695" t="s">
        <v>69</v>
      </c>
      <c r="B10" s="695"/>
      <c r="C10" s="695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00" t="s">
        <v>91</v>
      </c>
      <c r="B11" s="717"/>
      <c r="C11" s="701"/>
      <c r="D11" s="12">
        <f t="shared" si="0"/>
        <v>480000</v>
      </c>
      <c r="E11" s="12">
        <v>40000</v>
      </c>
      <c r="F11" s="1"/>
    </row>
    <row r="12" spans="1:6" ht="18.75">
      <c r="A12" s="695" t="s">
        <v>70</v>
      </c>
      <c r="B12" s="695"/>
      <c r="C12" s="695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695" t="s">
        <v>71</v>
      </c>
      <c r="B13" s="695"/>
      <c r="C13" s="695"/>
      <c r="D13" s="12">
        <f t="shared" si="0"/>
        <v>120000</v>
      </c>
      <c r="E13" s="12">
        <f>SUMMARY!P7</f>
        <v>10000</v>
      </c>
      <c r="F13" s="1"/>
    </row>
    <row r="14" spans="1:6" ht="18.75">
      <c r="A14" s="714" t="s">
        <v>74</v>
      </c>
      <c r="B14" s="714"/>
      <c r="C14" s="714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20" t="s">
        <v>86</v>
      </c>
      <c r="B1" s="720"/>
      <c r="C1" s="720"/>
      <c r="D1" s="720"/>
      <c r="E1" s="720"/>
      <c r="F1" s="720"/>
    </row>
    <row r="2" spans="1:6" ht="18.75">
      <c r="A2" s="719" t="s">
        <v>89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176833.68</v>
      </c>
      <c r="E4" s="12">
        <f>SUMMARY!F9</f>
        <v>14736.14</v>
      </c>
      <c r="F4" s="1"/>
    </row>
    <row r="5" spans="1:6" ht="18.75">
      <c r="A5" s="695" t="s">
        <v>65</v>
      </c>
      <c r="B5" s="695"/>
      <c r="C5" s="695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695" t="s">
        <v>66</v>
      </c>
      <c r="B6" s="695"/>
      <c r="C6" s="695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695" t="s">
        <v>63</v>
      </c>
      <c r="B7" s="695"/>
      <c r="C7" s="695"/>
      <c r="D7" s="12">
        <f t="shared" si="0"/>
        <v>0</v>
      </c>
      <c r="E7" s="12">
        <f>SUMMARY!J6</f>
        <v>0</v>
      </c>
      <c r="F7" s="1"/>
    </row>
    <row r="8" spans="1:6" ht="18.75">
      <c r="A8" s="695" t="s">
        <v>67</v>
      </c>
      <c r="B8" s="695"/>
      <c r="C8" s="695"/>
      <c r="D8" s="12">
        <f t="shared" si="0"/>
        <v>88416.84</v>
      </c>
      <c r="E8" s="12">
        <f>SUMMARY!K9</f>
        <v>7368.07</v>
      </c>
      <c r="F8" s="1"/>
    </row>
    <row r="9" spans="1:6" ht="18.75">
      <c r="A9" s="695" t="s">
        <v>68</v>
      </c>
      <c r="B9" s="695"/>
      <c r="C9" s="695"/>
      <c r="D9" s="12">
        <f t="shared" si="0"/>
        <v>618917.88</v>
      </c>
      <c r="E9" s="12">
        <f>SUMMARY!L9</f>
        <v>51576.49</v>
      </c>
      <c r="F9" s="1"/>
    </row>
    <row r="10" spans="1:6" ht="18.75">
      <c r="A10" s="695" t="s">
        <v>69</v>
      </c>
      <c r="B10" s="695"/>
      <c r="C10" s="695"/>
      <c r="D10" s="12">
        <f t="shared" si="0"/>
        <v>176833.68</v>
      </c>
      <c r="E10" s="12">
        <f>SUMMARY!N9</f>
        <v>14736.14</v>
      </c>
      <c r="F10" s="1"/>
    </row>
    <row r="11" spans="1:6" ht="18.75">
      <c r="A11" s="700" t="s">
        <v>96</v>
      </c>
      <c r="B11" s="717"/>
      <c r="C11" s="701"/>
      <c r="D11" s="12">
        <f t="shared" si="0"/>
        <v>480000</v>
      </c>
      <c r="E11" s="12">
        <v>40000</v>
      </c>
      <c r="F11" s="1"/>
    </row>
    <row r="12" spans="1:6" ht="18.75">
      <c r="A12" s="695" t="s">
        <v>70</v>
      </c>
      <c r="B12" s="695"/>
      <c r="C12" s="695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695" t="s">
        <v>71</v>
      </c>
      <c r="B13" s="695"/>
      <c r="C13" s="695"/>
      <c r="D13" s="12">
        <f t="shared" si="0"/>
        <v>120000</v>
      </c>
      <c r="E13" s="12">
        <f>SUMMARY!P7</f>
        <v>10000</v>
      </c>
      <c r="F13" s="1"/>
    </row>
    <row r="14" spans="1:6" ht="18.75">
      <c r="A14" s="714" t="s">
        <v>74</v>
      </c>
      <c r="B14" s="714"/>
      <c r="C14" s="714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20" t="s">
        <v>133</v>
      </c>
      <c r="B1" s="720"/>
      <c r="C1" s="720"/>
      <c r="D1" s="720"/>
      <c r="E1" s="720"/>
      <c r="F1" s="720"/>
    </row>
    <row r="2" spans="1:6" ht="18.75">
      <c r="A2" s="719"/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5479467</v>
      </c>
      <c r="E4" s="12">
        <f>'MAY 2024'!E78</f>
        <v>456622.25</v>
      </c>
      <c r="F4" s="1"/>
    </row>
    <row r="5" spans="1:6" ht="18.75">
      <c r="A5" s="695" t="s">
        <v>65</v>
      </c>
      <c r="B5" s="695"/>
      <c r="C5" s="695"/>
      <c r="D5" s="12" t="e">
        <f t="shared" ref="D5:D12" si="0">E5*12</f>
        <v>#REF!</v>
      </c>
      <c r="E5" s="12" t="e">
        <f>'MAY 2024'!#REF!</f>
        <v>#REF!</v>
      </c>
      <c r="F5" s="1"/>
    </row>
    <row r="6" spans="1:6" ht="18.75">
      <c r="A6" s="695" t="s">
        <v>66</v>
      </c>
      <c r="B6" s="695"/>
      <c r="C6" s="695"/>
      <c r="D6" s="12" t="e">
        <f t="shared" si="0"/>
        <v>#REF!</v>
      </c>
      <c r="E6" s="12" t="e">
        <f>'MAY 2024'!#REF!</f>
        <v>#REF!</v>
      </c>
      <c r="F6" s="1"/>
    </row>
    <row r="7" spans="1:6" ht="18.75">
      <c r="A7" s="695" t="s">
        <v>67</v>
      </c>
      <c r="B7" s="695"/>
      <c r="C7" s="695"/>
      <c r="D7" s="12" t="e">
        <f t="shared" si="0"/>
        <v>#REF!</v>
      </c>
      <c r="E7" s="12" t="e">
        <f>'MAY 2024'!#REF!</f>
        <v>#REF!</v>
      </c>
      <c r="F7" s="1"/>
    </row>
    <row r="8" spans="1:6" ht="18.75">
      <c r="A8" s="695" t="s">
        <v>68</v>
      </c>
      <c r="B8" s="695"/>
      <c r="C8" s="695"/>
      <c r="D8" s="12" t="e">
        <f t="shared" si="0"/>
        <v>#REF!</v>
      </c>
      <c r="E8" s="12" t="e">
        <f>'MAY 2024'!#REF!</f>
        <v>#REF!</v>
      </c>
      <c r="F8" s="1"/>
    </row>
    <row r="9" spans="1:6" ht="18.75">
      <c r="A9" s="695" t="s">
        <v>69</v>
      </c>
      <c r="B9" s="695"/>
      <c r="C9" s="695"/>
      <c r="D9" s="12" t="e">
        <f t="shared" si="0"/>
        <v>#REF!</v>
      </c>
      <c r="E9" s="12" t="e">
        <f>'MAY 2024'!#REF!</f>
        <v>#REF!</v>
      </c>
      <c r="F9" s="1"/>
    </row>
    <row r="10" spans="1:6" ht="18.75">
      <c r="A10" s="695" t="s">
        <v>70</v>
      </c>
      <c r="B10" s="695"/>
      <c r="C10" s="695"/>
      <c r="D10" s="12" t="e">
        <f t="shared" si="0"/>
        <v>#REF!</v>
      </c>
      <c r="E10" s="12" t="e">
        <f>'MAY 2024'!#REF!</f>
        <v>#REF!</v>
      </c>
      <c r="F10" s="1"/>
    </row>
    <row r="11" spans="1:6" ht="18.75">
      <c r="A11" s="695" t="s">
        <v>71</v>
      </c>
      <c r="B11" s="695"/>
      <c r="C11" s="695"/>
      <c r="D11" s="12" t="e">
        <f t="shared" si="0"/>
        <v>#REF!</v>
      </c>
      <c r="E11" s="12" t="e">
        <f>'MAY 2024'!#REF!</f>
        <v>#REF!</v>
      </c>
      <c r="F11" s="1"/>
    </row>
    <row r="12" spans="1:6" ht="18.75">
      <c r="A12" s="714" t="s">
        <v>74</v>
      </c>
      <c r="B12" s="714"/>
      <c r="C12" s="714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21" t="s">
        <v>77</v>
      </c>
      <c r="B3" s="722"/>
      <c r="C3" s="723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21" t="s">
        <v>145</v>
      </c>
      <c r="B4" s="722"/>
      <c r="C4" s="723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24" t="s">
        <v>78</v>
      </c>
      <c r="B5" s="725"/>
      <c r="C5" s="726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21" t="s">
        <v>80</v>
      </c>
      <c r="B6" s="722"/>
      <c r="C6" s="723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21" t="s">
        <v>94</v>
      </c>
      <c r="B7" s="722"/>
      <c r="C7" s="723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21" t="s">
        <v>84</v>
      </c>
      <c r="B8" s="722"/>
      <c r="C8" s="723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21" t="s">
        <v>87</v>
      </c>
      <c r="B9" s="722"/>
      <c r="C9" s="723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21"/>
      <c r="B10" s="722"/>
      <c r="C10" s="723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20" t="s">
        <v>157</v>
      </c>
      <c r="B1" s="720"/>
      <c r="C1" s="720"/>
      <c r="D1" s="720"/>
      <c r="E1" s="720"/>
      <c r="F1" s="720"/>
    </row>
    <row r="2" spans="1:6" ht="18.75">
      <c r="A2" s="719" t="s">
        <v>97</v>
      </c>
      <c r="B2" s="719"/>
      <c r="C2" s="719"/>
      <c r="D2" s="719"/>
      <c r="E2" s="719"/>
      <c r="F2" s="719"/>
    </row>
    <row r="3" spans="1:6" ht="18.75">
      <c r="A3" s="695"/>
      <c r="B3" s="695"/>
      <c r="C3" s="695"/>
      <c r="D3" s="3" t="s">
        <v>72</v>
      </c>
      <c r="E3" s="3" t="s">
        <v>73</v>
      </c>
      <c r="F3" s="11"/>
    </row>
    <row r="4" spans="1:6" ht="18.75">
      <c r="A4" s="695" t="s">
        <v>64</v>
      </c>
      <c r="B4" s="695"/>
      <c r="C4" s="695"/>
      <c r="D4" s="12">
        <f>E4*12</f>
        <v>299709.72000000003</v>
      </c>
      <c r="E4" s="12">
        <f>SUMMARY!F5</f>
        <v>24975.81</v>
      </c>
      <c r="F4" s="1"/>
    </row>
    <row r="5" spans="1:6" ht="18.75">
      <c r="A5" s="695" t="s">
        <v>65</v>
      </c>
      <c r="B5" s="695"/>
      <c r="C5" s="695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695" t="s">
        <v>66</v>
      </c>
      <c r="B6" s="695"/>
      <c r="C6" s="695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695" t="s">
        <v>63</v>
      </c>
      <c r="B7" s="695"/>
      <c r="C7" s="695"/>
      <c r="D7" s="12">
        <f t="shared" si="0"/>
        <v>0</v>
      </c>
      <c r="E7" s="12">
        <f>SUMMARY!J6</f>
        <v>0</v>
      </c>
      <c r="F7" s="1"/>
    </row>
    <row r="8" spans="1:6" ht="18.75">
      <c r="A8" s="695" t="s">
        <v>67</v>
      </c>
      <c r="B8" s="695"/>
      <c r="C8" s="695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695" t="s">
        <v>68</v>
      </c>
      <c r="B9" s="695"/>
      <c r="C9" s="695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695" t="s">
        <v>69</v>
      </c>
      <c r="B10" s="695"/>
      <c r="C10" s="695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00" t="s">
        <v>91</v>
      </c>
      <c r="B11" s="717"/>
      <c r="C11" s="701"/>
      <c r="D11" s="12">
        <f t="shared" si="0"/>
        <v>0</v>
      </c>
      <c r="E11" s="12">
        <v>0</v>
      </c>
      <c r="F11" s="1"/>
    </row>
    <row r="12" spans="1:6" ht="18.75">
      <c r="A12" s="695" t="s">
        <v>70</v>
      </c>
      <c r="B12" s="695"/>
      <c r="C12" s="695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695" t="s">
        <v>71</v>
      </c>
      <c r="B13" s="695"/>
      <c r="C13" s="695"/>
      <c r="D13" s="12">
        <f t="shared" si="0"/>
        <v>240000</v>
      </c>
      <c r="E13" s="12">
        <f>SUMMARY!Q5</f>
        <v>20000</v>
      </c>
      <c r="F13" s="1"/>
    </row>
    <row r="14" spans="1:6" ht="18.75">
      <c r="A14" s="714" t="s">
        <v>74</v>
      </c>
      <c r="B14" s="714"/>
      <c r="C14" s="714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19" t="s">
        <v>155</v>
      </c>
      <c r="B1" s="719"/>
      <c r="C1" s="719"/>
    </row>
    <row r="2" spans="1:3" ht="18.75">
      <c r="A2" s="719" t="s">
        <v>156</v>
      </c>
      <c r="B2" s="719"/>
      <c r="C2" s="719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'MAY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'MAY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27" t="s">
        <v>234</v>
      </c>
      <c r="B1" s="727"/>
      <c r="C1" s="727"/>
      <c r="D1" s="727"/>
    </row>
    <row r="2" spans="1:5" ht="33.75" customHeight="1">
      <c r="A2" s="676" t="s">
        <v>549</v>
      </c>
      <c r="B2" s="676"/>
      <c r="C2" s="676"/>
      <c r="D2" s="676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45</vt:i4>
      </vt:variant>
    </vt:vector>
  </HeadingPairs>
  <TitlesOfParts>
    <vt:vector size="101" baseType="lpstr">
      <vt:lpstr>MAY 2024</vt:lpstr>
      <vt:lpstr>MEMO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'MAY 2024'!Print_Area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'MAY 2024'!Print_Titles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2024-04-26T12:27:10Z</cp:lastPrinted>
  <dcterms:created xsi:type="dcterms:W3CDTF">2008-06-27T10:36:45Z</dcterms:created>
  <dcterms:modified xsi:type="dcterms:W3CDTF">2026-03-29T20:29:09Z</dcterms:modified>
</cp:coreProperties>
</file>