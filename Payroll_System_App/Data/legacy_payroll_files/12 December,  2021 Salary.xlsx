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ACC FOLDER\NILDS PAYSLIP DATA FILE\SALARY 2021\"/>
    </mc:Choice>
  </mc:AlternateContent>
  <xr:revisionPtr revIDLastSave="2" documentId="13_ncr:1_{796C2E77-B19A-47DE-9FC0-C0A07A54259A}" xr6:coauthVersionLast="47" xr6:coauthVersionMax="47" xr10:uidLastSave="{2C9524BC-B045-4A7B-BA2D-D48C50E60154}"/>
  <bookViews>
    <workbookView xWindow="-120" yWindow="-120" windowWidth="29040" windowHeight="15840" tabRatio="599" xr2:uid="{00000000-000D-0000-FFFF-FFFF00000000}"/>
  </bookViews>
  <sheets>
    <sheet name="December, 2021" sheetId="1" r:id="rId1"/>
    <sheet name="MEMO1" sheetId="68" r:id="rId2"/>
    <sheet name="13 month" sheetId="77" r:id="rId3"/>
    <sheet name="Sheet3" sheetId="69" r:id="rId4"/>
    <sheet name="Promotion" sheetId="74" r:id="rId5"/>
    <sheet name="Library" sheetId="75" r:id="rId6"/>
    <sheet name="New staff" sheetId="72" r:id="rId7"/>
    <sheet name="New staff (2)" sheetId="76" r:id="rId8"/>
    <sheet name="Adj Hardship" sheetId="67" r:id="rId9"/>
    <sheet name="Welfare 2" sheetId="66" r:id="rId10"/>
    <sheet name="ADjustment" sheetId="65" r:id="rId11"/>
    <sheet name="Hardship 2" sheetId="64" r:id="rId12"/>
    <sheet name="ADDITIONAL STAFF" sheetId="63" r:id="rId13"/>
    <sheet name="ANNUAL INCREMENT" sheetId="57" r:id="rId14"/>
    <sheet name="ARREARS" sheetId="58" r:id="rId15"/>
    <sheet name="Housing 2021 4 to 10" sheetId="62" r:id="rId16"/>
    <sheet name="Housing 2021" sheetId="60" r:id="rId17"/>
    <sheet name="HARDSHIP" sheetId="55" r:id="rId18"/>
    <sheet name="Welfare" sheetId="56" r:id="rId19"/>
    <sheet name="Sheet2" sheetId="53" r:id="rId20"/>
    <sheet name="MEMO" sheetId="3" r:id="rId21"/>
    <sheet name="17.9" sheetId="4" r:id="rId22"/>
    <sheet name="16.7" sheetId="5" r:id="rId23"/>
    <sheet name="Staff List for DG" sheetId="42" r:id="rId24"/>
    <sheet name="15.7.1" sheetId="6" r:id="rId25"/>
    <sheet name="13.7" sheetId="7" r:id="rId26"/>
    <sheet name="12.7" sheetId="8" r:id="rId27"/>
    <sheet name="10.7" sheetId="9" r:id="rId28"/>
    <sheet name="9.7" sheetId="10" r:id="rId29"/>
    <sheet name="8.7" sheetId="11" r:id="rId30"/>
    <sheet name="SUMMARY" sheetId="12" r:id="rId31"/>
    <sheet name="14.7" sheetId="13" r:id="rId32"/>
    <sheet name="15.7" sheetId="23" r:id="rId33"/>
    <sheet name="Basic Salary" sheetId="61" r:id="rId34"/>
    <sheet name="Noninal roll" sheetId="16" r:id="rId35"/>
  </sheets>
  <externalReferences>
    <externalReference r:id="rId36"/>
    <externalReference r:id="rId37"/>
    <externalReference r:id="rId38"/>
    <externalReference r:id="rId39"/>
    <externalReference r:id="rId40"/>
  </externalReferences>
  <definedNames>
    <definedName name="_xlnm.Print_Area" localSheetId="2">'13 month'!$A$1:$AA$23</definedName>
    <definedName name="_xlnm.Print_Area" localSheetId="12">'ADDITIONAL STAFF'!$A$1:$S$41</definedName>
    <definedName name="_xlnm.Print_Area" localSheetId="8">'Adj Hardship'!$A$1:$AA$179</definedName>
    <definedName name="_xlnm.Print_Area" localSheetId="10">ADjustment!$A$1:$AA$182</definedName>
    <definedName name="_xlnm.Print_Area" localSheetId="13">'ANNUAL INCREMENT'!$A$1:$AA$162</definedName>
    <definedName name="_xlnm.Print_Area" localSheetId="14">ARREARS!$A$1:$AC$65</definedName>
    <definedName name="_xlnm.Print_Area" localSheetId="0">'December, 2021'!$A$1:$Z$191</definedName>
    <definedName name="_xlnm.Print_Area" localSheetId="11">'Hardship 2'!$A$1:$Y$183</definedName>
    <definedName name="_xlnm.Print_Area" localSheetId="16">'Housing 2021'!$A$1:$Y$162</definedName>
    <definedName name="_xlnm.Print_Area" localSheetId="15">'Housing 2021 4 to 10'!$A$1:$Z$158</definedName>
    <definedName name="_xlnm.Print_Area" localSheetId="5">Library!$A$1:$AB$10</definedName>
    <definedName name="_xlnm.Print_Area" localSheetId="20">MEMO!$A$2:$H$59</definedName>
    <definedName name="_xlnm.Print_Area" localSheetId="1">MEMO1!$A$2:$H$52</definedName>
    <definedName name="_xlnm.Print_Area" localSheetId="6">'New staff'!$A$1:$AD$64</definedName>
    <definedName name="_xlnm.Print_Area" localSheetId="7">'New staff (2)'!$A$1:$AD$19</definedName>
    <definedName name="_xlnm.Print_Area" localSheetId="4">Promotion!$A$1:$AI$63</definedName>
    <definedName name="_xlnm.Print_Area" localSheetId="9">'Welfare 2'!$A$1:$Y$183</definedName>
    <definedName name="_xlnm.Print_Titles" localSheetId="4">Promotion!$7:$7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68" l="1"/>
  <c r="X20" i="77" l="1"/>
  <c r="Z20" i="77"/>
  <c r="F10" i="77"/>
  <c r="M10" i="77" s="1"/>
  <c r="N10" i="77"/>
  <c r="Q19" i="77"/>
  <c r="G19" i="77"/>
  <c r="G20" i="77" s="1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L10" i="77" l="1"/>
  <c r="Q20" i="77"/>
  <c r="I10" i="77"/>
  <c r="P10" i="77"/>
  <c r="H10" i="77"/>
  <c r="K10" i="77"/>
  <c r="Y10" i="77"/>
  <c r="Y11" i="77" s="1"/>
  <c r="S10" i="77"/>
  <c r="AA10" i="77" s="1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L14" i="77"/>
  <c r="M14" i="77"/>
  <c r="M15" i="77" s="1"/>
  <c r="O19" i="77"/>
  <c r="O20" i="77" s="1"/>
  <c r="E41" i="68"/>
  <c r="E47" i="68" s="1"/>
  <c r="F20" i="77" l="1"/>
  <c r="U20" i="77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57" i="1"/>
  <c r="U94" i="1"/>
  <c r="T185" i="1"/>
  <c r="T175" i="1"/>
  <c r="U175" i="1"/>
  <c r="U133" i="1"/>
  <c r="U46" i="1"/>
  <c r="I20" i="77" l="1"/>
  <c r="K20" i="77"/>
  <c r="L20" i="77"/>
  <c r="M20" i="77"/>
  <c r="H20" i="77"/>
  <c r="P20" i="77"/>
  <c r="Y20" i="77"/>
  <c r="AA19" i="77"/>
  <c r="S15" i="77"/>
  <c r="AA15" i="77"/>
  <c r="S19" i="77"/>
  <c r="S20" i="77" s="1"/>
  <c r="AA11" i="77"/>
  <c r="S11" i="77"/>
  <c r="H32" i="68"/>
  <c r="AA20" i="77" l="1"/>
  <c r="T156" i="1"/>
  <c r="F187" i="1"/>
  <c r="P187" i="1"/>
  <c r="V157" i="1"/>
  <c r="X157" i="1" s="1"/>
  <c r="N157" i="1"/>
  <c r="E157" i="1"/>
  <c r="J157" i="1" s="1"/>
  <c r="V156" i="1"/>
  <c r="N156" i="1"/>
  <c r="E156" i="1"/>
  <c r="L156" i="1" s="1"/>
  <c r="H33" i="68"/>
  <c r="T38" i="1"/>
  <c r="U105" i="1"/>
  <c r="U114" i="1"/>
  <c r="U111" i="1"/>
  <c r="U138" i="1"/>
  <c r="T177" i="1"/>
  <c r="T124" i="1"/>
  <c r="T116" i="1"/>
  <c r="T115" i="1"/>
  <c r="U32" i="1"/>
  <c r="U31" i="1"/>
  <c r="U16" i="1"/>
  <c r="L157" i="1" l="1"/>
  <c r="K157" i="1"/>
  <c r="X156" i="1"/>
  <c r="G156" i="1"/>
  <c r="O156" i="1"/>
  <c r="H156" i="1"/>
  <c r="J156" i="1"/>
  <c r="G157" i="1"/>
  <c r="O157" i="1"/>
  <c r="K156" i="1"/>
  <c r="H157" i="1"/>
  <c r="R157" i="1" l="1"/>
  <c r="Z157" i="1" s="1"/>
  <c r="R156" i="1"/>
  <c r="Z156" i="1" s="1"/>
  <c r="W174" i="1" l="1"/>
  <c r="U174" i="1"/>
  <c r="T174" i="1"/>
  <c r="Q185" i="1"/>
  <c r="Q186" i="1"/>
  <c r="U186" i="1"/>
  <c r="T186" i="1"/>
  <c r="N186" i="1"/>
  <c r="E186" i="1"/>
  <c r="H186" i="1" s="1"/>
  <c r="J186" i="1" l="1"/>
  <c r="K186" i="1"/>
  <c r="X186" i="1"/>
  <c r="L186" i="1"/>
  <c r="G186" i="1"/>
  <c r="O186" i="1"/>
  <c r="R186" i="1" l="1"/>
  <c r="Z186" i="1" s="1"/>
  <c r="G41" i="68"/>
  <c r="U164" i="1"/>
  <c r="U155" i="1"/>
  <c r="T155" i="1"/>
  <c r="U96" i="1"/>
  <c r="T96" i="1"/>
  <c r="T92" i="1"/>
  <c r="T60" i="1"/>
  <c r="N184" i="1" l="1"/>
  <c r="X185" i="1"/>
  <c r="N185" i="1"/>
  <c r="L185" i="1"/>
  <c r="K185" i="1"/>
  <c r="J185" i="1"/>
  <c r="H185" i="1"/>
  <c r="O185" i="1"/>
  <c r="G185" i="1" l="1"/>
  <c r="R185" i="1" l="1"/>
  <c r="Z185" i="1" s="1"/>
  <c r="W124" i="1"/>
  <c r="W42" i="1"/>
  <c r="X18" i="76"/>
  <c r="AB18" i="76"/>
  <c r="N18" i="76"/>
  <c r="Z16" i="76"/>
  <c r="Z13" i="76"/>
  <c r="Z9" i="76" l="1"/>
  <c r="Z10" i="76" s="1"/>
  <c r="Y17" i="76"/>
  <c r="W17" i="76"/>
  <c r="V17" i="76"/>
  <c r="U17" i="76"/>
  <c r="T17" i="76"/>
  <c r="S17" i="76"/>
  <c r="R17" i="76"/>
  <c r="Q17" i="76"/>
  <c r="P17" i="76"/>
  <c r="O17" i="76"/>
  <c r="M17" i="76"/>
  <c r="L17" i="76"/>
  <c r="K17" i="76"/>
  <c r="J17" i="76"/>
  <c r="I17" i="76"/>
  <c r="H17" i="76"/>
  <c r="F17" i="76"/>
  <c r="Y14" i="76"/>
  <c r="W14" i="76"/>
  <c r="V14" i="76"/>
  <c r="U14" i="76"/>
  <c r="T14" i="76"/>
  <c r="S14" i="76"/>
  <c r="R14" i="76"/>
  <c r="Q14" i="76"/>
  <c r="P14" i="76"/>
  <c r="O14" i="76"/>
  <c r="M14" i="76"/>
  <c r="L14" i="76"/>
  <c r="K14" i="76"/>
  <c r="J14" i="76"/>
  <c r="I14" i="76"/>
  <c r="H14" i="76"/>
  <c r="F14" i="76"/>
  <c r="AC13" i="76"/>
  <c r="AD13" i="76" s="1"/>
  <c r="Y10" i="76"/>
  <c r="W10" i="76"/>
  <c r="V10" i="76"/>
  <c r="U10" i="76"/>
  <c r="T10" i="76"/>
  <c r="S10" i="76"/>
  <c r="R10" i="76"/>
  <c r="Q10" i="76"/>
  <c r="P10" i="76"/>
  <c r="O10" i="76"/>
  <c r="M10" i="76"/>
  <c r="L10" i="76"/>
  <c r="K10" i="76"/>
  <c r="J10" i="76"/>
  <c r="I10" i="76"/>
  <c r="H10" i="76"/>
  <c r="F10" i="76"/>
  <c r="I4" i="76"/>
  <c r="F4" i="76"/>
  <c r="V18" i="76" l="1"/>
  <c r="P18" i="76"/>
  <c r="Q18" i="76"/>
  <c r="W18" i="76"/>
  <c r="R18" i="76"/>
  <c r="Y18" i="76"/>
  <c r="S18" i="76"/>
  <c r="T18" i="76"/>
  <c r="O18" i="76"/>
  <c r="U18" i="76"/>
  <c r="Z17" i="76"/>
  <c r="Z18" i="76" s="1"/>
  <c r="AC14" i="76"/>
  <c r="AA13" i="76"/>
  <c r="AA14" i="76" s="1"/>
  <c r="Z14" i="76"/>
  <c r="AA9" i="76"/>
  <c r="AA10" i="76" s="1"/>
  <c r="AA16" i="76"/>
  <c r="AA17" i="76" s="1"/>
  <c r="AD14" i="76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AA18" i="76" l="1"/>
  <c r="L9" i="75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Q116" i="1" s="1"/>
  <c r="AA6" i="75"/>
  <c r="AB6" i="75"/>
  <c r="Q113" i="1" s="1"/>
  <c r="AA7" i="75"/>
  <c r="AB7" i="75"/>
  <c r="Q114" i="1" s="1"/>
  <c r="AA4" i="75"/>
  <c r="AB4" i="75"/>
  <c r="Q111" i="1" s="1"/>
  <c r="AA5" i="75"/>
  <c r="AB5" i="75"/>
  <c r="Q112" i="1" s="1"/>
  <c r="AA8" i="75"/>
  <c r="AB8" i="75"/>
  <c r="Q115" i="1" s="1"/>
  <c r="S10" i="75"/>
  <c r="T71" i="1"/>
  <c r="U71" i="1"/>
  <c r="U36" i="1"/>
  <c r="U83" i="1"/>
  <c r="U148" i="1"/>
  <c r="U112" i="1"/>
  <c r="U85" i="1"/>
  <c r="U182" i="1"/>
  <c r="U25" i="1"/>
  <c r="U147" i="1"/>
  <c r="U60" i="1"/>
  <c r="U61" i="1" s="1"/>
  <c r="U11" i="1"/>
  <c r="U142" i="1"/>
  <c r="U145" i="1"/>
  <c r="U140" i="1"/>
  <c r="U49" i="1"/>
  <c r="T148" i="1"/>
  <c r="AB10" i="75" l="1"/>
  <c r="AA10" i="75"/>
  <c r="F39" i="1"/>
  <c r="P39" i="1"/>
  <c r="F43" i="1"/>
  <c r="I43" i="1"/>
  <c r="P43" i="1"/>
  <c r="Q43" i="1"/>
  <c r="F56" i="1"/>
  <c r="I56" i="1"/>
  <c r="P56" i="1"/>
  <c r="Q56" i="1"/>
  <c r="I61" i="1"/>
  <c r="P61" i="1"/>
  <c r="Q61" i="1"/>
  <c r="V61" i="1"/>
  <c r="F76" i="1"/>
  <c r="P76" i="1"/>
  <c r="Q76" i="1"/>
  <c r="I86" i="1"/>
  <c r="P86" i="1"/>
  <c r="Q86" i="1"/>
  <c r="P99" i="1"/>
  <c r="Q99" i="1"/>
  <c r="I106" i="1"/>
  <c r="P106" i="1"/>
  <c r="Q106" i="1"/>
  <c r="I117" i="1"/>
  <c r="P117" i="1"/>
  <c r="Q117" i="1"/>
  <c r="P129" i="1"/>
  <c r="AC20" i="74"/>
  <c r="AG20" i="74"/>
  <c r="AH20" i="74"/>
  <c r="W49" i="1"/>
  <c r="N180" i="1"/>
  <c r="N179" i="1"/>
  <c r="N178" i="1"/>
  <c r="N177" i="1"/>
  <c r="N176" i="1"/>
  <c r="E180" i="1"/>
  <c r="E179" i="1"/>
  <c r="E178" i="1"/>
  <c r="E177" i="1"/>
  <c r="E176" i="1"/>
  <c r="N149" i="1"/>
  <c r="N148" i="1"/>
  <c r="N147" i="1"/>
  <c r="E149" i="1"/>
  <c r="E148" i="1"/>
  <c r="E147" i="1"/>
  <c r="E143" i="1"/>
  <c r="E142" i="1"/>
  <c r="E141" i="1"/>
  <c r="E139" i="1"/>
  <c r="E138" i="1"/>
  <c r="E137" i="1"/>
  <c r="E71" i="1"/>
  <c r="M71" i="1"/>
  <c r="AC26" i="74"/>
  <c r="M69" i="1"/>
  <c r="E69" i="1"/>
  <c r="AC19" i="74"/>
  <c r="M52" i="1"/>
  <c r="E52" i="1"/>
  <c r="AC18" i="74"/>
  <c r="M49" i="1"/>
  <c r="E49" i="1"/>
  <c r="E27" i="1"/>
  <c r="M22" i="1"/>
  <c r="E22" i="1"/>
  <c r="AC48" i="74"/>
  <c r="AC47" i="74"/>
  <c r="AC46" i="74"/>
  <c r="AC11" i="74"/>
  <c r="AC10" i="74"/>
  <c r="AC9" i="74"/>
  <c r="E21" i="1"/>
  <c r="E20" i="1"/>
  <c r="AD60" i="72"/>
  <c r="AD61" i="72"/>
  <c r="AC60" i="72"/>
  <c r="AB60" i="72"/>
  <c r="AC59" i="72"/>
  <c r="AB59" i="72"/>
  <c r="AC58" i="72"/>
  <c r="AB58" i="72"/>
  <c r="AC57" i="72"/>
  <c r="AB57" i="72"/>
  <c r="AB56" i="72"/>
  <c r="AC56" i="72"/>
  <c r="AD56" i="72" s="1"/>
  <c r="W31" i="1"/>
  <c r="W30" i="1"/>
  <c r="W38" i="1"/>
  <c r="W37" i="1"/>
  <c r="AC55" i="72"/>
  <c r="AD55" i="72" s="1"/>
  <c r="AB55" i="72"/>
  <c r="AC54" i="72"/>
  <c r="AC53" i="72"/>
  <c r="AD53" i="72" s="1"/>
  <c r="AB54" i="72"/>
  <c r="AB53" i="72"/>
  <c r="AC9" i="72"/>
  <c r="AC22" i="72"/>
  <c r="AC21" i="72"/>
  <c r="AC49" i="72"/>
  <c r="AC10" i="72"/>
  <c r="AB15" i="72"/>
  <c r="AD54" i="72" l="1"/>
  <c r="AD58" i="72"/>
  <c r="AD57" i="72"/>
  <c r="AD59" i="72"/>
  <c r="AC23" i="72"/>
  <c r="V155" i="1"/>
  <c r="X155" i="1" s="1"/>
  <c r="N155" i="1"/>
  <c r="E155" i="1"/>
  <c r="K155" i="1" s="1"/>
  <c r="AC48" i="72"/>
  <c r="AC50" i="72" s="1"/>
  <c r="X136" i="1"/>
  <c r="O136" i="1"/>
  <c r="L136" i="1"/>
  <c r="K136" i="1"/>
  <c r="J136" i="1"/>
  <c r="H136" i="1"/>
  <c r="G136" i="1"/>
  <c r="E128" i="1"/>
  <c r="L128" i="1" s="1"/>
  <c r="W128" i="1"/>
  <c r="X128" i="1" s="1"/>
  <c r="N128" i="1"/>
  <c r="X124" i="1"/>
  <c r="E124" i="1"/>
  <c r="O124" i="1" s="1"/>
  <c r="N124" i="1"/>
  <c r="W36" i="1"/>
  <c r="T36" i="1"/>
  <c r="N36" i="1"/>
  <c r="E36" i="1"/>
  <c r="O36" i="1" s="1"/>
  <c r="T35" i="1"/>
  <c r="X35" i="1" s="1"/>
  <c r="N35" i="1"/>
  <c r="E35" i="1"/>
  <c r="O35" i="1" s="1"/>
  <c r="E116" i="1"/>
  <c r="L116" i="1" s="1"/>
  <c r="E115" i="1"/>
  <c r="L115" i="1" s="1"/>
  <c r="X116" i="1"/>
  <c r="M116" i="1"/>
  <c r="X115" i="1"/>
  <c r="M115" i="1"/>
  <c r="W43" i="1"/>
  <c r="E104" i="1"/>
  <c r="K104" i="1" s="1"/>
  <c r="W104" i="1"/>
  <c r="X104" i="1" s="1"/>
  <c r="AC35" i="72"/>
  <c r="E102" i="1"/>
  <c r="K102" i="1" s="1"/>
  <c r="W102" i="1"/>
  <c r="U102" i="1"/>
  <c r="N102" i="1"/>
  <c r="N42" i="1"/>
  <c r="E42" i="1"/>
  <c r="E38" i="1"/>
  <c r="O38" i="1" s="1"/>
  <c r="V38" i="1"/>
  <c r="N38" i="1"/>
  <c r="AD62" i="72" l="1"/>
  <c r="G102" i="1"/>
  <c r="H102" i="1"/>
  <c r="J102" i="1"/>
  <c r="L124" i="1"/>
  <c r="O42" i="1"/>
  <c r="L36" i="1"/>
  <c r="G155" i="1"/>
  <c r="H36" i="1"/>
  <c r="O155" i="1"/>
  <c r="H155" i="1"/>
  <c r="X36" i="1"/>
  <c r="J155" i="1"/>
  <c r="R136" i="1"/>
  <c r="Z136" i="1" s="1"/>
  <c r="L155" i="1"/>
  <c r="X102" i="1"/>
  <c r="H35" i="1"/>
  <c r="J128" i="1"/>
  <c r="J35" i="1"/>
  <c r="K128" i="1"/>
  <c r="X38" i="1"/>
  <c r="L102" i="1"/>
  <c r="J104" i="1"/>
  <c r="K35" i="1"/>
  <c r="J36" i="1"/>
  <c r="L104" i="1"/>
  <c r="O116" i="1"/>
  <c r="L35" i="1"/>
  <c r="K36" i="1"/>
  <c r="G128" i="1"/>
  <c r="O128" i="1"/>
  <c r="H128" i="1"/>
  <c r="J124" i="1"/>
  <c r="H124" i="1"/>
  <c r="K124" i="1"/>
  <c r="G124" i="1"/>
  <c r="G35" i="1"/>
  <c r="G36" i="1"/>
  <c r="J42" i="1"/>
  <c r="K115" i="1"/>
  <c r="G116" i="1"/>
  <c r="K42" i="1"/>
  <c r="H116" i="1"/>
  <c r="X42" i="1"/>
  <c r="O102" i="1"/>
  <c r="O115" i="1"/>
  <c r="K116" i="1"/>
  <c r="G115" i="1"/>
  <c r="H42" i="1"/>
  <c r="H115" i="1"/>
  <c r="J115" i="1"/>
  <c r="J116" i="1"/>
  <c r="O104" i="1"/>
  <c r="G104" i="1"/>
  <c r="H104" i="1"/>
  <c r="L42" i="1"/>
  <c r="G42" i="1"/>
  <c r="G38" i="1"/>
  <c r="H38" i="1"/>
  <c r="J38" i="1"/>
  <c r="K38" i="1"/>
  <c r="L38" i="1"/>
  <c r="AI47" i="74"/>
  <c r="AI48" i="74"/>
  <c r="AI55" i="74"/>
  <c r="AI56" i="74"/>
  <c r="AI57" i="74"/>
  <c r="AI58" i="74"/>
  <c r="AI59" i="74"/>
  <c r="AI46" i="74"/>
  <c r="AI26" i="74"/>
  <c r="AI19" i="74"/>
  <c r="AI18" i="74"/>
  <c r="AI10" i="74"/>
  <c r="AI11" i="74"/>
  <c r="AI9" i="74"/>
  <c r="AH12" i="74"/>
  <c r="AH13" i="74" s="1"/>
  <c r="AH27" i="74"/>
  <c r="AH28" i="74" s="1"/>
  <c r="AH54" i="74"/>
  <c r="AH53" i="74"/>
  <c r="AI53" i="74" s="1"/>
  <c r="AH52" i="74"/>
  <c r="AH51" i="74"/>
  <c r="AI51" i="74" s="1"/>
  <c r="AH50" i="74"/>
  <c r="AH49" i="74"/>
  <c r="AI49" i="74" s="1"/>
  <c r="AG12" i="74"/>
  <c r="AG13" i="74" s="1"/>
  <c r="AG27" i="74"/>
  <c r="AG28" i="74" s="1"/>
  <c r="AG54" i="74"/>
  <c r="AG53" i="74"/>
  <c r="AG52" i="74"/>
  <c r="AG51" i="74"/>
  <c r="AG50" i="74"/>
  <c r="AG49" i="74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I54" i="74" l="1"/>
  <c r="AI27" i="74"/>
  <c r="AI50" i="74"/>
  <c r="AI52" i="74"/>
  <c r="AI60" i="74" s="1"/>
  <c r="AI20" i="74"/>
  <c r="R102" i="1"/>
  <c r="AD12" i="74"/>
  <c r="AC13" i="74"/>
  <c r="AG60" i="74"/>
  <c r="AG61" i="74" s="1"/>
  <c r="AH60" i="74"/>
  <c r="AH61" i="74" s="1"/>
  <c r="AI12" i="74"/>
  <c r="AI13" i="74" s="1"/>
  <c r="AC60" i="74"/>
  <c r="AC28" i="74"/>
  <c r="AI28" i="74"/>
  <c r="R124" i="1"/>
  <c r="Z124" i="1" s="1"/>
  <c r="R42" i="1"/>
  <c r="R155" i="1"/>
  <c r="Z155" i="1" s="1"/>
  <c r="R128" i="1"/>
  <c r="Z128" i="1" s="1"/>
  <c r="R36" i="1"/>
  <c r="Z36" i="1" s="1"/>
  <c r="R104" i="1"/>
  <c r="Z104" i="1" s="1"/>
  <c r="R35" i="1"/>
  <c r="Z35" i="1" s="1"/>
  <c r="Z102" i="1"/>
  <c r="R116" i="1"/>
  <c r="Z116" i="1" s="1"/>
  <c r="R115" i="1"/>
  <c r="R38" i="1"/>
  <c r="Z38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N35" i="72"/>
  <c r="Z43" i="72"/>
  <c r="N43" i="72"/>
  <c r="AE18" i="74" l="1"/>
  <c r="AI61" i="74"/>
  <c r="AE12" i="74"/>
  <c r="AF12" i="74" s="1"/>
  <c r="Z37" i="72"/>
  <c r="AC61" i="74"/>
  <c r="Z45" i="72"/>
  <c r="Z115" i="1"/>
  <c r="Z42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X61" i="74" l="1"/>
  <c r="V61" i="74"/>
  <c r="U61" i="74"/>
  <c r="AF18" i="74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Y61" i="74" l="1"/>
  <c r="AA56" i="74"/>
  <c r="AD56" i="74"/>
  <c r="AE56" i="74" s="1"/>
  <c r="AF56" i="74" s="1"/>
  <c r="AA49" i="74"/>
  <c r="AD49" i="74"/>
  <c r="AE49" i="74" s="1"/>
  <c r="AF49" i="74" s="1"/>
  <c r="AE10" i="74"/>
  <c r="AF10" i="74"/>
  <c r="AA59" i="74"/>
  <c r="AD59" i="74"/>
  <c r="AE59" i="74" s="1"/>
  <c r="AF59" i="74" s="1"/>
  <c r="AA52" i="74"/>
  <c r="AD52" i="74"/>
  <c r="AE52" i="74" s="1"/>
  <c r="AF52" i="74" s="1"/>
  <c r="AA58" i="74"/>
  <c r="AD58" i="74"/>
  <c r="AE58" i="74" s="1"/>
  <c r="AF58" i="74" s="1"/>
  <c r="AA54" i="74"/>
  <c r="AD54" i="74"/>
  <c r="AE54" i="74" s="1"/>
  <c r="AF54" i="74" s="1"/>
  <c r="AA53" i="74"/>
  <c r="AD53" i="74"/>
  <c r="AE53" i="74" s="1"/>
  <c r="AF53" i="74" s="1"/>
  <c r="AA48" i="74"/>
  <c r="AD48" i="74"/>
  <c r="AE48" i="74" s="1"/>
  <c r="AF48" i="74" s="1"/>
  <c r="AA47" i="74"/>
  <c r="AD47" i="74"/>
  <c r="AE47" i="74" s="1"/>
  <c r="AF47" i="74" s="1"/>
  <c r="AA55" i="74"/>
  <c r="AD55" i="74"/>
  <c r="AE55" i="74" s="1"/>
  <c r="AF55" i="74" s="1"/>
  <c r="AA51" i="74"/>
  <c r="AD51" i="74"/>
  <c r="AE51" i="74" s="1"/>
  <c r="AF51" i="74" s="1"/>
  <c r="AA50" i="74"/>
  <c r="AD50" i="74"/>
  <c r="AE50" i="74" s="1"/>
  <c r="AF50" i="74" s="1"/>
  <c r="AA46" i="74"/>
  <c r="AD46" i="74"/>
  <c r="AA57" i="74"/>
  <c r="AD57" i="74"/>
  <c r="AE57" i="74" s="1"/>
  <c r="AF57" i="74" s="1"/>
  <c r="AK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A60" i="74" l="1"/>
  <c r="AE26" i="74"/>
  <c r="AD28" i="74"/>
  <c r="AE11" i="74"/>
  <c r="AE13" i="74" s="1"/>
  <c r="AE9" i="74"/>
  <c r="AK9" i="74" s="1"/>
  <c r="AD13" i="74"/>
  <c r="AF9" i="74"/>
  <c r="AF27" i="74"/>
  <c r="AK27" i="74"/>
  <c r="AE46" i="74"/>
  <c r="AD60" i="74"/>
  <c r="AA28" i="74"/>
  <c r="AE19" i="74"/>
  <c r="AA13" i="74"/>
  <c r="S61" i="74"/>
  <c r="N43" i="1"/>
  <c r="E43" i="1"/>
  <c r="C23" i="69"/>
  <c r="C24" i="69" s="1"/>
  <c r="C25" i="69" s="1"/>
  <c r="C22" i="69"/>
  <c r="Z13" i="72"/>
  <c r="Z9" i="72"/>
  <c r="Z49" i="72"/>
  <c r="AA49" i="72" s="1"/>
  <c r="Z22" i="72"/>
  <c r="N22" i="72"/>
  <c r="AA22" i="72" s="1"/>
  <c r="Z48" i="72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9" i="69"/>
  <c r="C18" i="69"/>
  <c r="C17" i="69"/>
  <c r="C13" i="69"/>
  <c r="C12" i="69"/>
  <c r="C9" i="69"/>
  <c r="C8" i="69"/>
  <c r="C7" i="69"/>
  <c r="C4" i="69"/>
  <c r="C10" i="69" s="1"/>
  <c r="N31" i="1"/>
  <c r="M25" i="1"/>
  <c r="Q24" i="1"/>
  <c r="M10" i="1"/>
  <c r="C156" i="68"/>
  <c r="G47" i="68"/>
  <c r="F46" i="68"/>
  <c r="F45" i="68"/>
  <c r="F44" i="68"/>
  <c r="F43" i="68"/>
  <c r="F42" i="68"/>
  <c r="F41" i="68"/>
  <c r="F40" i="68"/>
  <c r="F39" i="68"/>
  <c r="F38" i="68"/>
  <c r="F37" i="68"/>
  <c r="F36" i="68"/>
  <c r="H28" i="68"/>
  <c r="C14" i="69" l="1"/>
  <c r="Z50" i="72"/>
  <c r="AF11" i="74"/>
  <c r="AF13" i="74" s="1"/>
  <c r="AA61" i="74"/>
  <c r="AF46" i="74"/>
  <c r="AF60" i="74" s="1"/>
  <c r="AE60" i="74"/>
  <c r="AD61" i="74"/>
  <c r="AF19" i="74"/>
  <c r="AF20" i="74" s="1"/>
  <c r="AE20" i="74"/>
  <c r="AE28" i="74"/>
  <c r="AF26" i="74"/>
  <c r="AF28" i="74" s="1"/>
  <c r="N23" i="72"/>
  <c r="AA9" i="72"/>
  <c r="AA10" i="72" s="1"/>
  <c r="Z10" i="72"/>
  <c r="AA13" i="72"/>
  <c r="AA15" i="72" s="1"/>
  <c r="Z15" i="72"/>
  <c r="K43" i="1"/>
  <c r="J43" i="1"/>
  <c r="AA21" i="72"/>
  <c r="AA23" i="72" s="1"/>
  <c r="AA48" i="72"/>
  <c r="AA50" i="72" s="1"/>
  <c r="L43" i="1"/>
  <c r="G43" i="1"/>
  <c r="O43" i="1"/>
  <c r="H43" i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47" i="68"/>
  <c r="H36" i="3"/>
  <c r="H35" i="3"/>
  <c r="AE61" i="74" l="1"/>
  <c r="AF61" i="74"/>
  <c r="AI63" i="74" s="1"/>
  <c r="R43" i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X53" i="1"/>
  <c r="X54" i="1"/>
  <c r="X149" i="1"/>
  <c r="X150" i="1"/>
  <c r="X110" i="1"/>
  <c r="X59" i="1"/>
  <c r="X52" i="1"/>
  <c r="X29" i="1"/>
  <c r="X9" i="1"/>
  <c r="H27" i="3"/>
  <c r="H28" i="3"/>
  <c r="T61" i="1"/>
  <c r="AA51" i="72" l="1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Y51" i="72" l="1"/>
  <c r="R51" i="72"/>
  <c r="U151" i="1"/>
  <c r="T151" i="1"/>
  <c r="U183" i="1"/>
  <c r="T181" i="1"/>
  <c r="U181" i="1"/>
  <c r="U179" i="1"/>
  <c r="U178" i="1"/>
  <c r="U171" i="1"/>
  <c r="U170" i="1"/>
  <c r="U169" i="1"/>
  <c r="U166" i="1"/>
  <c r="U165" i="1"/>
  <c r="U163" i="1"/>
  <c r="U161" i="1"/>
  <c r="U160" i="1"/>
  <c r="U158" i="1"/>
  <c r="U126" i="1"/>
  <c r="X181" i="1" l="1"/>
  <c r="X151" i="1"/>
  <c r="U55" i="1"/>
  <c r="T55" i="1"/>
  <c r="U47" i="1"/>
  <c r="X47" i="1" s="1"/>
  <c r="T46" i="1"/>
  <c r="U37" i="1"/>
  <c r="U26" i="1"/>
  <c r="T16" i="1"/>
  <c r="H34" i="3" l="1"/>
  <c r="M28" i="1"/>
  <c r="H33" i="3" l="1"/>
  <c r="H32" i="3"/>
  <c r="E184" i="1"/>
  <c r="H30" i="3" l="1"/>
  <c r="H31" i="3"/>
  <c r="E31" i="1"/>
  <c r="H29" i="3"/>
  <c r="H37" i="3" l="1"/>
  <c r="T123" i="1"/>
  <c r="T120" i="1" l="1"/>
  <c r="Q184" i="1" l="1"/>
  <c r="N183" i="1"/>
  <c r="Q183" i="1"/>
  <c r="N182" i="1"/>
  <c r="Q182" i="1"/>
  <c r="N181" i="1"/>
  <c r="Q181" i="1"/>
  <c r="Q180" i="1"/>
  <c r="Q179" i="1"/>
  <c r="Q178" i="1"/>
  <c r="Q177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9" i="1"/>
  <c r="Q159" i="1"/>
  <c r="N158" i="1"/>
  <c r="Q158" i="1"/>
  <c r="Q187" i="1" s="1"/>
  <c r="N154" i="1"/>
  <c r="N153" i="1"/>
  <c r="N152" i="1"/>
  <c r="N151" i="1"/>
  <c r="N150" i="1"/>
  <c r="N146" i="1"/>
  <c r="N143" i="1"/>
  <c r="N145" i="1"/>
  <c r="N144" i="1"/>
  <c r="N142" i="1"/>
  <c r="N141" i="1"/>
  <c r="N134" i="1"/>
  <c r="N133" i="1"/>
  <c r="N132" i="1"/>
  <c r="N127" i="1"/>
  <c r="N126" i="1"/>
  <c r="N125" i="1"/>
  <c r="N123" i="1"/>
  <c r="N18" i="1"/>
  <c r="N122" i="1"/>
  <c r="N121" i="1"/>
  <c r="N120" i="1"/>
  <c r="N105" i="1"/>
  <c r="N103" i="1"/>
  <c r="N60" i="1"/>
  <c r="N61" i="1" s="1"/>
  <c r="N37" i="1"/>
  <c r="N33" i="1"/>
  <c r="N32" i="1"/>
  <c r="N30" i="1"/>
  <c r="N29" i="1"/>
  <c r="N27" i="1"/>
  <c r="N26" i="1"/>
  <c r="N24" i="1"/>
  <c r="N23" i="1"/>
  <c r="N21" i="1"/>
  <c r="N20" i="1"/>
  <c r="N19" i="1"/>
  <c r="N17" i="1"/>
  <c r="N16" i="1"/>
  <c r="N15" i="1"/>
  <c r="N14" i="1"/>
  <c r="N11" i="1"/>
  <c r="N187" i="1" l="1"/>
  <c r="N106" i="1"/>
  <c r="N129" i="1"/>
  <c r="N39" i="1"/>
  <c r="D179" i="67"/>
  <c r="P112" i="67"/>
  <c r="Q112" i="67"/>
  <c r="X112" i="67"/>
  <c r="P178" i="67"/>
  <c r="Q178" i="67"/>
  <c r="X178" i="67"/>
  <c r="Z148" i="67"/>
  <c r="C188" i="1"/>
  <c r="Z23" i="67"/>
  <c r="N188" i="1" l="1"/>
  <c r="T17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98" i="1" l="1"/>
  <c r="U172" i="1" l="1"/>
  <c r="U146" i="1"/>
  <c r="U134" i="1"/>
  <c r="T126" i="1"/>
  <c r="Q28" i="1"/>
  <c r="T64" i="1"/>
  <c r="U51" i="1"/>
  <c r="T48" i="1"/>
  <c r="U20" i="1"/>
  <c r="X20" i="1" s="1"/>
  <c r="N23" i="67" l="1"/>
  <c r="M113" i="1"/>
  <c r="M114" i="1"/>
  <c r="M112" i="1"/>
  <c r="M111" i="1"/>
  <c r="M110" i="1"/>
  <c r="M109" i="1"/>
  <c r="M98" i="1"/>
  <c r="M97" i="1"/>
  <c r="M96" i="1"/>
  <c r="M91" i="1"/>
  <c r="M90" i="1"/>
  <c r="M89" i="1"/>
  <c r="M85" i="1"/>
  <c r="M84" i="1"/>
  <c r="M83" i="1"/>
  <c r="M82" i="1"/>
  <c r="M81" i="1"/>
  <c r="M80" i="1"/>
  <c r="M79" i="1"/>
  <c r="M75" i="1"/>
  <c r="M74" i="1"/>
  <c r="M73" i="1"/>
  <c r="M72" i="1"/>
  <c r="M70" i="1"/>
  <c r="M68" i="1"/>
  <c r="M67" i="1"/>
  <c r="M66" i="1"/>
  <c r="M65" i="1"/>
  <c r="M64" i="1"/>
  <c r="M59" i="1"/>
  <c r="M61" i="1" s="1"/>
  <c r="M55" i="1"/>
  <c r="M53" i="1"/>
  <c r="M51" i="1"/>
  <c r="M50" i="1"/>
  <c r="M48" i="1"/>
  <c r="M47" i="1"/>
  <c r="M46" i="1"/>
  <c r="M13" i="1"/>
  <c r="M12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27" i="67"/>
  <c r="Z102" i="67"/>
  <c r="Z101" i="67"/>
  <c r="AA101" i="67" s="1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Z112" i="67" l="1"/>
  <c r="M56" i="1"/>
  <c r="M86" i="1"/>
  <c r="M76" i="1"/>
  <c r="M99" i="1"/>
  <c r="M117" i="1"/>
  <c r="M39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T129" i="67"/>
  <c r="S129" i="67"/>
  <c r="J129" i="67"/>
  <c r="J178" i="67" s="1"/>
  <c r="F129" i="67"/>
  <c r="U128" i="67"/>
  <c r="T128" i="67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T112" i="67" s="1"/>
  <c r="N107" i="67"/>
  <c r="AA107" i="67" s="1"/>
  <c r="F107" i="67"/>
  <c r="K107" i="67" s="1"/>
  <c r="V106" i="67"/>
  <c r="S106" i="67"/>
  <c r="S112" i="67" s="1"/>
  <c r="N106" i="67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V112" i="67" l="1"/>
  <c r="V178" i="67"/>
  <c r="N112" i="67"/>
  <c r="T178" i="67"/>
  <c r="U112" i="67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AA112" i="67" s="1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O112" i="67" l="1"/>
  <c r="O178" i="67"/>
  <c r="R65" i="67"/>
  <c r="Y65" i="67" s="1"/>
  <c r="W112" i="67"/>
  <c r="Y131" i="67"/>
  <c r="W103" i="67"/>
  <c r="W178" i="67"/>
  <c r="Y10" i="67"/>
  <c r="R29" i="67"/>
  <c r="Y29" i="67" s="1"/>
  <c r="R81" i="67"/>
  <c r="Y81" i="67" s="1"/>
  <c r="R118" i="67"/>
  <c r="Y118" i="67" s="1"/>
  <c r="R34" i="67"/>
  <c r="Y34" i="67" s="1"/>
  <c r="R33" i="67"/>
  <c r="Y33" i="67" s="1"/>
  <c r="Y18" i="67"/>
  <c r="R106" i="67"/>
  <c r="R16" i="67"/>
  <c r="Y16" i="67" s="1"/>
  <c r="I84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T178" i="66"/>
  <c r="S178" i="66"/>
  <c r="N178" i="66"/>
  <c r="I178" i="66"/>
  <c r="F178" i="66"/>
  <c r="M178" i="66" s="1"/>
  <c r="T177" i="66"/>
  <c r="S177" i="66"/>
  <c r="W177" i="66" s="1"/>
  <c r="N177" i="66"/>
  <c r="I177" i="66"/>
  <c r="F177" i="66"/>
  <c r="M177" i="66" s="1"/>
  <c r="T176" i="66"/>
  <c r="S176" i="66"/>
  <c r="W176" i="66" s="1"/>
  <c r="N176" i="66"/>
  <c r="K176" i="66"/>
  <c r="F176" i="66"/>
  <c r="M176" i="66" s="1"/>
  <c r="T175" i="66"/>
  <c r="W175" i="66" s="1"/>
  <c r="S175" i="66"/>
  <c r="N175" i="66"/>
  <c r="F175" i="66"/>
  <c r="O175" i="66" s="1"/>
  <c r="T174" i="66"/>
  <c r="S174" i="66"/>
  <c r="N174" i="66"/>
  <c r="F174" i="66"/>
  <c r="L174" i="66" s="1"/>
  <c r="T173" i="66"/>
  <c r="S173" i="66"/>
  <c r="N173" i="66"/>
  <c r="F173" i="66"/>
  <c r="T172" i="66"/>
  <c r="W172" i="66" s="1"/>
  <c r="S172" i="66"/>
  <c r="N172" i="66"/>
  <c r="F172" i="66"/>
  <c r="M172" i="66" s="1"/>
  <c r="T171" i="66"/>
  <c r="S171" i="66"/>
  <c r="N171" i="66"/>
  <c r="F171" i="66"/>
  <c r="M171" i="66" s="1"/>
  <c r="T170" i="66"/>
  <c r="S170" i="66"/>
  <c r="N170" i="66"/>
  <c r="F170" i="66"/>
  <c r="M170" i="66" s="1"/>
  <c r="T169" i="66"/>
  <c r="S169" i="66"/>
  <c r="N169" i="66"/>
  <c r="M169" i="66"/>
  <c r="H169" i="66"/>
  <c r="F169" i="66"/>
  <c r="O169" i="66" s="1"/>
  <c r="T168" i="66"/>
  <c r="S168" i="66"/>
  <c r="N168" i="66"/>
  <c r="F168" i="66"/>
  <c r="L168" i="66" s="1"/>
  <c r="T167" i="66"/>
  <c r="S167" i="66"/>
  <c r="W167" i="66" s="1"/>
  <c r="N167" i="66"/>
  <c r="F167" i="66"/>
  <c r="T166" i="66"/>
  <c r="S166" i="66"/>
  <c r="W166" i="66" s="1"/>
  <c r="N166" i="66"/>
  <c r="F166" i="66"/>
  <c r="M166" i="66" s="1"/>
  <c r="T165" i="66"/>
  <c r="S165" i="66"/>
  <c r="N165" i="66"/>
  <c r="F165" i="66"/>
  <c r="M165" i="66" s="1"/>
  <c r="T164" i="66"/>
  <c r="S164" i="66"/>
  <c r="N164" i="66"/>
  <c r="H164" i="66"/>
  <c r="F164" i="66"/>
  <c r="M164" i="66" s="1"/>
  <c r="T163" i="66"/>
  <c r="S163" i="66"/>
  <c r="N163" i="66"/>
  <c r="F163" i="66"/>
  <c r="O163" i="66" s="1"/>
  <c r="T162" i="66"/>
  <c r="S162" i="66"/>
  <c r="N162" i="66"/>
  <c r="F162" i="66"/>
  <c r="L162" i="66" s="1"/>
  <c r="T161" i="66"/>
  <c r="S161" i="66"/>
  <c r="W161" i="66" s="1"/>
  <c r="N161" i="66"/>
  <c r="F161" i="66"/>
  <c r="T160" i="66"/>
  <c r="S160" i="66"/>
  <c r="W160" i="66" s="1"/>
  <c r="N160" i="66"/>
  <c r="I160" i="66"/>
  <c r="F160" i="66"/>
  <c r="M161" i="66" s="1"/>
  <c r="T159" i="66"/>
  <c r="S159" i="66"/>
  <c r="W159" i="66" s="1"/>
  <c r="N159" i="66"/>
  <c r="H159" i="66"/>
  <c r="F159" i="66"/>
  <c r="M159" i="66" s="1"/>
  <c r="T158" i="66"/>
  <c r="S158" i="66"/>
  <c r="O158" i="66"/>
  <c r="N158" i="66"/>
  <c r="K158" i="66"/>
  <c r="H158" i="66"/>
  <c r="F158" i="66"/>
  <c r="M158" i="66" s="1"/>
  <c r="T157" i="66"/>
  <c r="S157" i="66"/>
  <c r="N157" i="66"/>
  <c r="F157" i="66"/>
  <c r="O157" i="66" s="1"/>
  <c r="U156" i="66"/>
  <c r="T156" i="66"/>
  <c r="S156" i="66"/>
  <c r="N156" i="66"/>
  <c r="F156" i="66"/>
  <c r="W155" i="66"/>
  <c r="T155" i="66"/>
  <c r="N155" i="66"/>
  <c r="F155" i="66"/>
  <c r="T154" i="66"/>
  <c r="S154" i="66"/>
  <c r="W154" i="66" s="1"/>
  <c r="N154" i="66"/>
  <c r="F154" i="66"/>
  <c r="O154" i="66" s="1"/>
  <c r="T153" i="66"/>
  <c r="S153" i="66"/>
  <c r="W153" i="66" s="1"/>
  <c r="N153" i="66"/>
  <c r="F153" i="66"/>
  <c r="M153" i="66" s="1"/>
  <c r="T152" i="66"/>
  <c r="S152" i="66"/>
  <c r="W152" i="66" s="1"/>
  <c r="N152" i="66"/>
  <c r="K152" i="66"/>
  <c r="F152" i="66"/>
  <c r="M152" i="66" s="1"/>
  <c r="U151" i="66"/>
  <c r="T151" i="66"/>
  <c r="S151" i="66"/>
  <c r="N151" i="66"/>
  <c r="F151" i="66"/>
  <c r="K151" i="66" s="1"/>
  <c r="V150" i="66"/>
  <c r="S150" i="66"/>
  <c r="F150" i="66"/>
  <c r="O150" i="66" s="1"/>
  <c r="U149" i="66"/>
  <c r="W149" i="66" s="1"/>
  <c r="F149" i="66"/>
  <c r="M149" i="66" s="1"/>
  <c r="S148" i="66"/>
  <c r="W148" i="66" s="1"/>
  <c r="F148" i="66"/>
  <c r="O148" i="66" s="1"/>
  <c r="U147" i="66"/>
  <c r="T147" i="66"/>
  <c r="S147" i="66"/>
  <c r="K147" i="66"/>
  <c r="F147" i="66"/>
  <c r="L147" i="66" s="1"/>
  <c r="T146" i="66"/>
  <c r="S146" i="66"/>
  <c r="W146" i="66" s="1"/>
  <c r="N146" i="66"/>
  <c r="F146" i="66"/>
  <c r="L146" i="66" s="1"/>
  <c r="T145" i="66"/>
  <c r="W145" i="66" s="1"/>
  <c r="K145" i="66"/>
  <c r="F145" i="66"/>
  <c r="M145" i="66" s="1"/>
  <c r="W144" i="66"/>
  <c r="F144" i="66"/>
  <c r="O144" i="66" s="1"/>
  <c r="W143" i="66"/>
  <c r="F143" i="66"/>
  <c r="O143" i="66" s="1"/>
  <c r="U142" i="66"/>
  <c r="T142" i="66"/>
  <c r="S142" i="66"/>
  <c r="F142" i="66"/>
  <c r="I142" i="66" s="1"/>
  <c r="S141" i="66"/>
  <c r="W141" i="66" s="1"/>
  <c r="F141" i="66"/>
  <c r="O141" i="66" s="1"/>
  <c r="V140" i="66"/>
  <c r="U140" i="66"/>
  <c r="T140" i="66"/>
  <c r="S140" i="66"/>
  <c r="F140" i="66"/>
  <c r="T139" i="66"/>
  <c r="S139" i="66"/>
  <c r="W139" i="66" s="1"/>
  <c r="F139" i="66"/>
  <c r="W138" i="66"/>
  <c r="T138" i="66"/>
  <c r="F138" i="66"/>
  <c r="I138" i="66" s="1"/>
  <c r="V137" i="66"/>
  <c r="U137" i="66"/>
  <c r="T137" i="66"/>
  <c r="F137" i="66"/>
  <c r="O137" i="66" s="1"/>
  <c r="V136" i="66"/>
  <c r="T136" i="66"/>
  <c r="S136" i="66"/>
  <c r="K136" i="66"/>
  <c r="F136" i="66"/>
  <c r="O136" i="66" s="1"/>
  <c r="T135" i="66"/>
  <c r="W135" i="66" s="1"/>
  <c r="S135" i="66"/>
  <c r="K135" i="66"/>
  <c r="I135" i="66"/>
  <c r="H135" i="66"/>
  <c r="F135" i="66"/>
  <c r="O135" i="66" s="1"/>
  <c r="U134" i="66"/>
  <c r="T134" i="66"/>
  <c r="S134" i="66"/>
  <c r="F134" i="66"/>
  <c r="O134" i="66" s="1"/>
  <c r="U133" i="66"/>
  <c r="T133" i="66"/>
  <c r="F133" i="66"/>
  <c r="O133" i="66" s="1"/>
  <c r="U132" i="66"/>
  <c r="S132" i="66"/>
  <c r="O132" i="66"/>
  <c r="M132" i="66"/>
  <c r="L132" i="66"/>
  <c r="K132" i="66"/>
  <c r="I132" i="66"/>
  <c r="H132" i="66"/>
  <c r="V131" i="66"/>
  <c r="T131" i="66"/>
  <c r="S131" i="66"/>
  <c r="F131" i="66"/>
  <c r="O131" i="66" s="1"/>
  <c r="V130" i="66"/>
  <c r="T130" i="66"/>
  <c r="S130" i="66"/>
  <c r="J130" i="66"/>
  <c r="J179" i="66" s="1"/>
  <c r="F130" i="66"/>
  <c r="M130" i="66" s="1"/>
  <c r="U129" i="66"/>
  <c r="T129" i="66"/>
  <c r="W129" i="66" s="1"/>
  <c r="O129" i="66"/>
  <c r="M129" i="66"/>
  <c r="L129" i="66"/>
  <c r="K129" i="66"/>
  <c r="I129" i="66"/>
  <c r="H129" i="66"/>
  <c r="P126" i="66"/>
  <c r="N126" i="66"/>
  <c r="V125" i="66"/>
  <c r="S125" i="66"/>
  <c r="L125" i="66"/>
  <c r="F125" i="66"/>
  <c r="O125" i="66" s="1"/>
  <c r="S124" i="66"/>
  <c r="W124" i="66" s="1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F122" i="66"/>
  <c r="O122" i="66" s="1"/>
  <c r="V121" i="66"/>
  <c r="T121" i="66"/>
  <c r="S121" i="66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M119" i="66" s="1"/>
  <c r="U118" i="66"/>
  <c r="T118" i="66"/>
  <c r="S118" i="66"/>
  <c r="F118" i="66"/>
  <c r="O118" i="66" s="1"/>
  <c r="V117" i="66"/>
  <c r="T117" i="66"/>
  <c r="S117" i="66"/>
  <c r="Q117" i="66"/>
  <c r="F117" i="66"/>
  <c r="L117" i="66" s="1"/>
  <c r="V116" i="66"/>
  <c r="U116" i="66"/>
  <c r="T116" i="66"/>
  <c r="S116" i="66"/>
  <c r="J116" i="66"/>
  <c r="I116" i="66"/>
  <c r="F116" i="66"/>
  <c r="M116" i="66" s="1"/>
  <c r="Q113" i="66"/>
  <c r="P113" i="66"/>
  <c r="J113" i="66"/>
  <c r="T112" i="66"/>
  <c r="W112" i="66" s="1"/>
  <c r="N112" i="66"/>
  <c r="F112" i="66"/>
  <c r="M112" i="66" s="1"/>
  <c r="V111" i="66"/>
  <c r="S111" i="66"/>
  <c r="O111" i="66"/>
  <c r="N111" i="66"/>
  <c r="K111" i="66"/>
  <c r="I111" i="66"/>
  <c r="H111" i="66"/>
  <c r="F111" i="66"/>
  <c r="M111" i="66" s="1"/>
  <c r="V110" i="66"/>
  <c r="T110" i="66"/>
  <c r="S110" i="66"/>
  <c r="N110" i="66"/>
  <c r="F110" i="66"/>
  <c r="L110" i="66" s="1"/>
  <c r="V109" i="66"/>
  <c r="U109" i="66"/>
  <c r="T109" i="66"/>
  <c r="N109" i="66"/>
  <c r="F109" i="66"/>
  <c r="M109" i="66" s="1"/>
  <c r="U108" i="66"/>
  <c r="T108" i="66"/>
  <c r="N108" i="66"/>
  <c r="F108" i="66"/>
  <c r="M108" i="66" s="1"/>
  <c r="V107" i="66"/>
  <c r="S107" i="66"/>
  <c r="O107" i="66"/>
  <c r="N107" i="66"/>
  <c r="K107" i="66"/>
  <c r="I107" i="66"/>
  <c r="H107" i="66"/>
  <c r="F107" i="66"/>
  <c r="M107" i="66" s="1"/>
  <c r="Q104" i="66"/>
  <c r="P104" i="66"/>
  <c r="J104" i="66"/>
  <c r="U103" i="66"/>
  <c r="S103" i="66"/>
  <c r="F103" i="66"/>
  <c r="O103" i="66" s="1"/>
  <c r="T102" i="66"/>
  <c r="S102" i="66"/>
  <c r="N102" i="66"/>
  <c r="N104" i="66" s="1"/>
  <c r="F102" i="66"/>
  <c r="O102" i="66" s="1"/>
  <c r="V101" i="66"/>
  <c r="U101" i="66"/>
  <c r="F101" i="66"/>
  <c r="K101" i="66" s="1"/>
  <c r="V100" i="66"/>
  <c r="K100" i="66"/>
  <c r="F100" i="66"/>
  <c r="I100" i="66" s="1"/>
  <c r="Q97" i="66"/>
  <c r="P97" i="66"/>
  <c r="V96" i="66"/>
  <c r="S96" i="66"/>
  <c r="N96" i="66"/>
  <c r="F96" i="66"/>
  <c r="O96" i="66" s="1"/>
  <c r="V95" i="66"/>
  <c r="T95" i="66"/>
  <c r="S95" i="66"/>
  <c r="W95" i="66" s="1"/>
  <c r="N95" i="66"/>
  <c r="F95" i="66"/>
  <c r="V94" i="66"/>
  <c r="T94" i="66"/>
  <c r="S94" i="66"/>
  <c r="N94" i="66"/>
  <c r="K94" i="66"/>
  <c r="I94" i="66"/>
  <c r="F94" i="66"/>
  <c r="M94" i="66" s="1"/>
  <c r="V93" i="66"/>
  <c r="S93" i="66"/>
  <c r="N93" i="66"/>
  <c r="K93" i="66"/>
  <c r="F93" i="66"/>
  <c r="O93" i="66" s="1"/>
  <c r="V92" i="66"/>
  <c r="T92" i="66"/>
  <c r="S92" i="66"/>
  <c r="N92" i="66"/>
  <c r="F92" i="66"/>
  <c r="L92" i="66" s="1"/>
  <c r="U91" i="66"/>
  <c r="W91" i="66" s="1"/>
  <c r="S91" i="66"/>
  <c r="N91" i="66"/>
  <c r="F91" i="66"/>
  <c r="V90" i="66"/>
  <c r="T90" i="66"/>
  <c r="S90" i="66"/>
  <c r="N90" i="66"/>
  <c r="F90" i="66"/>
  <c r="M90" i="66" s="1"/>
  <c r="V89" i="66"/>
  <c r="U89" i="66"/>
  <c r="T89" i="66"/>
  <c r="S89" i="66"/>
  <c r="N89" i="66"/>
  <c r="F89" i="66"/>
  <c r="L89" i="66" s="1"/>
  <c r="V88" i="66"/>
  <c r="W88" i="66" s="1"/>
  <c r="N88" i="66"/>
  <c r="F88" i="66"/>
  <c r="L88" i="66" s="1"/>
  <c r="V87" i="66"/>
  <c r="U87" i="66"/>
  <c r="T87" i="66"/>
  <c r="S87" i="66"/>
  <c r="N87" i="66"/>
  <c r="K87" i="66"/>
  <c r="J87" i="66"/>
  <c r="H87" i="66"/>
  <c r="F87" i="66"/>
  <c r="O87" i="66" s="1"/>
  <c r="V86" i="66"/>
  <c r="N86" i="66"/>
  <c r="J86" i="66"/>
  <c r="I86" i="66"/>
  <c r="F86" i="66"/>
  <c r="M86" i="66" s="1"/>
  <c r="V85" i="66"/>
  <c r="W85" i="66" s="1"/>
  <c r="N85" i="66"/>
  <c r="F85" i="66"/>
  <c r="F97" i="66" s="1"/>
  <c r="Q82" i="66"/>
  <c r="P82" i="66"/>
  <c r="J82" i="66"/>
  <c r="W81" i="66"/>
  <c r="V81" i="66"/>
  <c r="S81" i="66"/>
  <c r="N81" i="66"/>
  <c r="F81" i="66"/>
  <c r="V80" i="66"/>
  <c r="S80" i="66"/>
  <c r="F80" i="66"/>
  <c r="O80" i="66" s="1"/>
  <c r="S79" i="66"/>
  <c r="W79" i="66" s="1"/>
  <c r="N79" i="66"/>
  <c r="F79" i="66"/>
  <c r="K79" i="66" s="1"/>
  <c r="V78" i="66"/>
  <c r="U78" i="66"/>
  <c r="U82" i="66" s="1"/>
  <c r="T78" i="66"/>
  <c r="S78" i="66"/>
  <c r="S82" i="66" s="1"/>
  <c r="N78" i="66"/>
  <c r="M78" i="66"/>
  <c r="F78" i="66"/>
  <c r="L78" i="66" s="1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W74" i="66"/>
  <c r="T74" i="66"/>
  <c r="T82" i="66" s="1"/>
  <c r="N74" i="66"/>
  <c r="N82" i="66" s="1"/>
  <c r="F74" i="66"/>
  <c r="L74" i="66" s="1"/>
  <c r="X71" i="66"/>
  <c r="Q71" i="66"/>
  <c r="P71" i="66"/>
  <c r="V70" i="66"/>
  <c r="W70" i="66" s="1"/>
  <c r="N70" i="66"/>
  <c r="F70" i="66"/>
  <c r="V69" i="66"/>
  <c r="S69" i="66"/>
  <c r="N69" i="66"/>
  <c r="F69" i="66"/>
  <c r="M69" i="66" s="1"/>
  <c r="S68" i="66"/>
  <c r="W68" i="66" s="1"/>
  <c r="N68" i="66"/>
  <c r="F68" i="66"/>
  <c r="M68" i="66" s="1"/>
  <c r="T67" i="66"/>
  <c r="S67" i="66"/>
  <c r="N67" i="66"/>
  <c r="H67" i="66"/>
  <c r="F67" i="66"/>
  <c r="M67" i="66" s="1"/>
  <c r="V66" i="66"/>
  <c r="U66" i="66"/>
  <c r="T66" i="66"/>
  <c r="S66" i="66"/>
  <c r="N66" i="66"/>
  <c r="F66" i="66"/>
  <c r="K66" i="66" s="1"/>
  <c r="T65" i="66"/>
  <c r="W65" i="66" s="1"/>
  <c r="S65" i="66"/>
  <c r="N65" i="66"/>
  <c r="F65" i="66"/>
  <c r="M65" i="66" s="1"/>
  <c r="V64" i="66"/>
  <c r="T64" i="66"/>
  <c r="S64" i="66"/>
  <c r="N64" i="66"/>
  <c r="H64" i="66"/>
  <c r="F64" i="66"/>
  <c r="M64" i="66" s="1"/>
  <c r="U63" i="66"/>
  <c r="T63" i="66"/>
  <c r="S63" i="66"/>
  <c r="N63" i="66"/>
  <c r="M63" i="66"/>
  <c r="F63" i="66"/>
  <c r="L63" i="66" s="1"/>
  <c r="V62" i="66"/>
  <c r="W62" i="66" s="1"/>
  <c r="S62" i="66"/>
  <c r="N62" i="66"/>
  <c r="F62" i="66"/>
  <c r="K62" i="66" s="1"/>
  <c r="T61" i="66"/>
  <c r="S61" i="66"/>
  <c r="N61" i="66"/>
  <c r="F61" i="66"/>
  <c r="M61" i="66" s="1"/>
  <c r="V60" i="66"/>
  <c r="T60" i="66"/>
  <c r="S60" i="66"/>
  <c r="O60" i="66"/>
  <c r="M60" i="66"/>
  <c r="L60" i="66"/>
  <c r="K60" i="66"/>
  <c r="I60" i="66"/>
  <c r="H60" i="66"/>
  <c r="V59" i="66"/>
  <c r="S59" i="66"/>
  <c r="N59" i="66"/>
  <c r="J59" i="66"/>
  <c r="J71" i="66" s="1"/>
  <c r="F59" i="66"/>
  <c r="M59" i="66" s="1"/>
  <c r="U56" i="66"/>
  <c r="Q56" i="66"/>
  <c r="P56" i="66"/>
  <c r="N56" i="66"/>
  <c r="J56" i="66"/>
  <c r="V55" i="66"/>
  <c r="V56" i="66" s="1"/>
  <c r="S55" i="66"/>
  <c r="O55" i="66"/>
  <c r="M55" i="66"/>
  <c r="L55" i="66"/>
  <c r="K55" i="66"/>
  <c r="I55" i="66"/>
  <c r="H55" i="66"/>
  <c r="W54" i="66"/>
  <c r="N54" i="66"/>
  <c r="F54" i="66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M49" i="66" s="1"/>
  <c r="W48" i="66"/>
  <c r="F48" i="66"/>
  <c r="W47" i="66"/>
  <c r="M47" i="66"/>
  <c r="F47" i="66"/>
  <c r="L47" i="66" s="1"/>
  <c r="W46" i="66"/>
  <c r="I46" i="66"/>
  <c r="F46" i="66"/>
  <c r="O46" i="66" s="1"/>
  <c r="T45" i="66"/>
  <c r="S45" i="66"/>
  <c r="H45" i="66"/>
  <c r="F45" i="66"/>
  <c r="K45" i="66" s="1"/>
  <c r="U44" i="66"/>
  <c r="F44" i="66"/>
  <c r="O44" i="66" s="1"/>
  <c r="T43" i="66"/>
  <c r="S43" i="66"/>
  <c r="O43" i="66"/>
  <c r="M43" i="66"/>
  <c r="L43" i="66"/>
  <c r="K43" i="66"/>
  <c r="I43" i="66"/>
  <c r="H43" i="66"/>
  <c r="T42" i="66"/>
  <c r="S42" i="66"/>
  <c r="F42" i="66"/>
  <c r="O42" i="66" s="1"/>
  <c r="T41" i="66"/>
  <c r="T51" i="66" s="1"/>
  <c r="L41" i="66"/>
  <c r="F41" i="66"/>
  <c r="K41" i="66" s="1"/>
  <c r="V40" i="66"/>
  <c r="S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J33" i="66"/>
  <c r="V32" i="66"/>
  <c r="U32" i="66"/>
  <c r="T32" i="66"/>
  <c r="S32" i="66"/>
  <c r="L32" i="66"/>
  <c r="F32" i="66"/>
  <c r="I32" i="66" s="1"/>
  <c r="U31" i="66"/>
  <c r="S31" i="66"/>
  <c r="F31" i="66"/>
  <c r="M31" i="66" s="1"/>
  <c r="T30" i="66"/>
  <c r="S30" i="66"/>
  <c r="W30" i="66" s="1"/>
  <c r="N30" i="66"/>
  <c r="L30" i="66"/>
  <c r="F30" i="66"/>
  <c r="M30" i="66" s="1"/>
  <c r="V29" i="66"/>
  <c r="U29" i="66"/>
  <c r="O29" i="66"/>
  <c r="N29" i="66"/>
  <c r="F29" i="66"/>
  <c r="H29" i="66" s="1"/>
  <c r="V28" i="66"/>
  <c r="W28" i="66" s="1"/>
  <c r="S28" i="66"/>
  <c r="F28" i="66"/>
  <c r="O28" i="66" s="1"/>
  <c r="V27" i="66"/>
  <c r="W27" i="66" s="1"/>
  <c r="O27" i="66"/>
  <c r="F27" i="66"/>
  <c r="M27" i="66" s="1"/>
  <c r="W26" i="66"/>
  <c r="S26" i="66"/>
  <c r="N26" i="66"/>
  <c r="F26" i="66"/>
  <c r="U25" i="66"/>
  <c r="W25" i="66" s="1"/>
  <c r="T25" i="66"/>
  <c r="S25" i="66"/>
  <c r="N25" i="66"/>
  <c r="I25" i="66"/>
  <c r="F25" i="66"/>
  <c r="H25" i="66" s="1"/>
  <c r="T24" i="66"/>
  <c r="S24" i="66"/>
  <c r="F24" i="66"/>
  <c r="O24" i="66" s="1"/>
  <c r="V23" i="66"/>
  <c r="W23" i="66" s="1"/>
  <c r="Q23" i="66"/>
  <c r="N23" i="66"/>
  <c r="I23" i="66"/>
  <c r="F23" i="66"/>
  <c r="O23" i="66" s="1"/>
  <c r="V22" i="66"/>
  <c r="W22" i="66" s="1"/>
  <c r="Q22" i="66"/>
  <c r="N22" i="66"/>
  <c r="F22" i="66"/>
  <c r="M22" i="66" s="1"/>
  <c r="W21" i="66"/>
  <c r="V21" i="66"/>
  <c r="Q21" i="66"/>
  <c r="O21" i="66"/>
  <c r="L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F19" i="66"/>
  <c r="O19" i="66" s="1"/>
  <c r="T18" i="66"/>
  <c r="S18" i="66"/>
  <c r="W18" i="66" s="1"/>
  <c r="O18" i="66"/>
  <c r="M18" i="66"/>
  <c r="L18" i="66"/>
  <c r="K18" i="66"/>
  <c r="I18" i="66"/>
  <c r="H18" i="66"/>
  <c r="U17" i="66"/>
  <c r="T17" i="66"/>
  <c r="S17" i="66"/>
  <c r="H17" i="66"/>
  <c r="F17" i="66"/>
  <c r="O17" i="66" s="1"/>
  <c r="U16" i="66"/>
  <c r="T16" i="66"/>
  <c r="N16" i="66"/>
  <c r="K16" i="66"/>
  <c r="I16" i="66"/>
  <c r="H16" i="66"/>
  <c r="F16" i="66"/>
  <c r="O16" i="66" s="1"/>
  <c r="U15" i="66"/>
  <c r="S15" i="66"/>
  <c r="Q15" i="66"/>
  <c r="O15" i="66"/>
  <c r="M15" i="66"/>
  <c r="L15" i="66"/>
  <c r="K15" i="66"/>
  <c r="I15" i="66"/>
  <c r="H15" i="66"/>
  <c r="V14" i="66"/>
  <c r="W14" i="66" s="1"/>
  <c r="I14" i="66"/>
  <c r="F14" i="66"/>
  <c r="O14" i="66" s="1"/>
  <c r="V13" i="66"/>
  <c r="W13" i="66" s="1"/>
  <c r="Q13" i="66"/>
  <c r="Q33" i="66" s="1"/>
  <c r="N13" i="66"/>
  <c r="I13" i="66"/>
  <c r="F13" i="66"/>
  <c r="O13" i="66" s="1"/>
  <c r="V12" i="66"/>
  <c r="U12" i="66"/>
  <c r="W12" i="66" s="1"/>
  <c r="N12" i="66"/>
  <c r="F12" i="66"/>
  <c r="M12" i="66" s="1"/>
  <c r="T11" i="66"/>
  <c r="S11" i="66"/>
  <c r="W11" i="66" s="1"/>
  <c r="F11" i="66"/>
  <c r="M11" i="66" s="1"/>
  <c r="U10" i="66"/>
  <c r="T10" i="66"/>
  <c r="O10" i="66"/>
  <c r="N10" i="66"/>
  <c r="M10" i="66"/>
  <c r="L10" i="66"/>
  <c r="K10" i="66"/>
  <c r="I10" i="66"/>
  <c r="H10" i="66"/>
  <c r="W9" i="66"/>
  <c r="N9" i="66"/>
  <c r="I4" i="66"/>
  <c r="F4" i="66"/>
  <c r="K12" i="66" l="1"/>
  <c r="K13" i="66"/>
  <c r="W15" i="66"/>
  <c r="H19" i="66"/>
  <c r="H28" i="66"/>
  <c r="W29" i="66"/>
  <c r="I31" i="66"/>
  <c r="W31" i="66"/>
  <c r="M41" i="66"/>
  <c r="W42" i="66"/>
  <c r="K46" i="66"/>
  <c r="I59" i="66"/>
  <c r="M62" i="66"/>
  <c r="W64" i="66"/>
  <c r="W67" i="66"/>
  <c r="O69" i="66"/>
  <c r="L79" i="66"/>
  <c r="J97" i="66"/>
  <c r="L93" i="66"/>
  <c r="W94" i="66"/>
  <c r="W101" i="66"/>
  <c r="V113" i="66"/>
  <c r="K118" i="66"/>
  <c r="M125" i="66"/>
  <c r="W130" i="66"/>
  <c r="K133" i="66"/>
  <c r="K134" i="66"/>
  <c r="H138" i="66"/>
  <c r="L143" i="66"/>
  <c r="H148" i="66"/>
  <c r="I149" i="66"/>
  <c r="L151" i="66"/>
  <c r="H153" i="66"/>
  <c r="O153" i="66"/>
  <c r="H154" i="66"/>
  <c r="I157" i="66"/>
  <c r="I158" i="66"/>
  <c r="W158" i="66"/>
  <c r="I159" i="66"/>
  <c r="H163" i="66"/>
  <c r="R163" i="66" s="1"/>
  <c r="I164" i="66"/>
  <c r="W168" i="66"/>
  <c r="I169" i="66"/>
  <c r="W169" i="66"/>
  <c r="M174" i="66"/>
  <c r="K177" i="66"/>
  <c r="O59" i="66"/>
  <c r="N33" i="66"/>
  <c r="L12" i="66"/>
  <c r="M13" i="66"/>
  <c r="M28" i="66"/>
  <c r="K31" i="66"/>
  <c r="P180" i="66"/>
  <c r="V51" i="66"/>
  <c r="M79" i="66"/>
  <c r="W121" i="66"/>
  <c r="M138" i="66"/>
  <c r="I148" i="66"/>
  <c r="K149" i="66"/>
  <c r="M151" i="66"/>
  <c r="I153" i="66"/>
  <c r="K157" i="66"/>
  <c r="I163" i="66"/>
  <c r="H13" i="66"/>
  <c r="H14" i="66"/>
  <c r="M16" i="66"/>
  <c r="K23" i="66"/>
  <c r="L31" i="66"/>
  <c r="K32" i="66"/>
  <c r="W41" i="66"/>
  <c r="R43" i="66"/>
  <c r="H46" i="66"/>
  <c r="W61" i="66"/>
  <c r="K63" i="66"/>
  <c r="K64" i="66"/>
  <c r="L66" i="66"/>
  <c r="K67" i="66"/>
  <c r="H69" i="66"/>
  <c r="O86" i="66"/>
  <c r="T97" i="66"/>
  <c r="I93" i="66"/>
  <c r="W93" i="66"/>
  <c r="K96" i="66"/>
  <c r="V104" i="66"/>
  <c r="K108" i="66"/>
  <c r="W111" i="66"/>
  <c r="M117" i="66"/>
  <c r="W117" i="66"/>
  <c r="K125" i="66"/>
  <c r="W125" i="66"/>
  <c r="W132" i="66"/>
  <c r="W133" i="66"/>
  <c r="N179" i="66"/>
  <c r="I147" i="66"/>
  <c r="L149" i="66"/>
  <c r="W150" i="66"/>
  <c r="K153" i="66"/>
  <c r="L157" i="66"/>
  <c r="O159" i="66"/>
  <c r="H160" i="66"/>
  <c r="W162" i="66"/>
  <c r="K163" i="66"/>
  <c r="O164" i="66"/>
  <c r="K171" i="66"/>
  <c r="W173" i="66"/>
  <c r="W174" i="66"/>
  <c r="H177" i="66"/>
  <c r="O177" i="66"/>
  <c r="H178" i="66"/>
  <c r="W178" i="66"/>
  <c r="O36" i="66"/>
  <c r="O37" i="66" s="1"/>
  <c r="K54" i="66"/>
  <c r="K56" i="66" s="1"/>
  <c r="M54" i="66"/>
  <c r="M56" i="66" s="1"/>
  <c r="F56" i="66"/>
  <c r="L54" i="66"/>
  <c r="L56" i="66" s="1"/>
  <c r="K11" i="66"/>
  <c r="V33" i="66"/>
  <c r="T33" i="66"/>
  <c r="I17" i="66"/>
  <c r="I19" i="66"/>
  <c r="O25" i="66"/>
  <c r="M32" i="66"/>
  <c r="H36" i="66"/>
  <c r="H37" i="66" s="1"/>
  <c r="F37" i="66"/>
  <c r="H44" i="66"/>
  <c r="R9" i="66"/>
  <c r="L11" i="66"/>
  <c r="L13" i="66"/>
  <c r="R13" i="66" s="1"/>
  <c r="K14" i="66"/>
  <c r="R15" i="66"/>
  <c r="L16" i="66"/>
  <c r="R16" i="66" s="1"/>
  <c r="K17" i="66"/>
  <c r="K19" i="66"/>
  <c r="R20" i="66"/>
  <c r="K21" i="66"/>
  <c r="O22" i="66"/>
  <c r="H23" i="66"/>
  <c r="L27" i="66"/>
  <c r="I36" i="66"/>
  <c r="I37" i="66" s="1"/>
  <c r="L40" i="66"/>
  <c r="W40" i="66"/>
  <c r="W45" i="66"/>
  <c r="I47" i="66"/>
  <c r="O48" i="66"/>
  <c r="M48" i="66"/>
  <c r="R10" i="66"/>
  <c r="L14" i="66"/>
  <c r="L17" i="66"/>
  <c r="R18" i="66"/>
  <c r="L19" i="66"/>
  <c r="W24" i="66"/>
  <c r="M40" i="66"/>
  <c r="O45" i="66"/>
  <c r="I45" i="66"/>
  <c r="K47" i="66"/>
  <c r="W43" i="66"/>
  <c r="I49" i="66"/>
  <c r="W50" i="66"/>
  <c r="W55" i="66"/>
  <c r="S56" i="66"/>
  <c r="H59" i="66"/>
  <c r="N71" i="66"/>
  <c r="R60" i="66"/>
  <c r="L62" i="66"/>
  <c r="T71" i="66"/>
  <c r="I64" i="66"/>
  <c r="O64" i="66"/>
  <c r="M66" i="66"/>
  <c r="I67" i="66"/>
  <c r="O67" i="66"/>
  <c r="H68" i="66"/>
  <c r="W69" i="66"/>
  <c r="M74" i="66"/>
  <c r="R76" i="66"/>
  <c r="K78" i="66"/>
  <c r="W80" i="66"/>
  <c r="K85" i="66"/>
  <c r="O85" i="66"/>
  <c r="H86" i="66"/>
  <c r="L86" i="66"/>
  <c r="K90" i="66"/>
  <c r="H94" i="66"/>
  <c r="O94" i="66"/>
  <c r="I96" i="66"/>
  <c r="W100" i="66"/>
  <c r="L101" i="66"/>
  <c r="L102" i="66"/>
  <c r="K103" i="66"/>
  <c r="K104" i="66" s="1"/>
  <c r="F113" i="66"/>
  <c r="L107" i="66"/>
  <c r="I108" i="66"/>
  <c r="T113" i="66"/>
  <c r="I109" i="66"/>
  <c r="W109" i="66"/>
  <c r="L111" i="66"/>
  <c r="K112" i="66"/>
  <c r="H116" i="66"/>
  <c r="I118" i="66"/>
  <c r="I119" i="66"/>
  <c r="L121" i="66"/>
  <c r="K122" i="66"/>
  <c r="K124" i="66"/>
  <c r="K131" i="66"/>
  <c r="I133" i="66"/>
  <c r="I134" i="66"/>
  <c r="I136" i="66"/>
  <c r="K137" i="66"/>
  <c r="I145" i="66"/>
  <c r="M146" i="66"/>
  <c r="M147" i="66"/>
  <c r="L148" i="66"/>
  <c r="I152" i="66"/>
  <c r="O152" i="66"/>
  <c r="O160" i="66"/>
  <c r="M163" i="66"/>
  <c r="L164" i="66"/>
  <c r="R164" i="66" s="1"/>
  <c r="K165" i="66"/>
  <c r="L169" i="66"/>
  <c r="K170" i="66"/>
  <c r="W170" i="66"/>
  <c r="I171" i="66"/>
  <c r="W171" i="66"/>
  <c r="I172" i="66"/>
  <c r="K175" i="66"/>
  <c r="R175" i="66" s="1"/>
  <c r="I176" i="66"/>
  <c r="O176" i="66"/>
  <c r="L85" i="66"/>
  <c r="M101" i="66"/>
  <c r="M102" i="66"/>
  <c r="L103" i="66"/>
  <c r="M121" i="66"/>
  <c r="L122" i="66"/>
  <c r="L124" i="66"/>
  <c r="L131" i="66"/>
  <c r="O166" i="66"/>
  <c r="L170" i="66"/>
  <c r="L175" i="66"/>
  <c r="Y106" i="67"/>
  <c r="R112" i="67"/>
  <c r="O49" i="66"/>
  <c r="R55" i="66"/>
  <c r="W59" i="66"/>
  <c r="W60" i="66"/>
  <c r="L64" i="66"/>
  <c r="L67" i="66"/>
  <c r="O68" i="66"/>
  <c r="F71" i="66"/>
  <c r="K80" i="66"/>
  <c r="H85" i="66"/>
  <c r="M85" i="66"/>
  <c r="M88" i="66"/>
  <c r="H90" i="66"/>
  <c r="O90" i="66"/>
  <c r="L96" i="66"/>
  <c r="W96" i="66"/>
  <c r="F104" i="66"/>
  <c r="L100" i="66"/>
  <c r="I101" i="66"/>
  <c r="I102" i="66"/>
  <c r="H103" i="66"/>
  <c r="N113" i="66"/>
  <c r="O109" i="66"/>
  <c r="H112" i="66"/>
  <c r="O112" i="66"/>
  <c r="J126" i="66"/>
  <c r="Q126" i="66"/>
  <c r="Q180" i="66" s="1"/>
  <c r="L118" i="66"/>
  <c r="O119" i="66"/>
  <c r="I121" i="66"/>
  <c r="H122" i="66"/>
  <c r="M122" i="66"/>
  <c r="H124" i="66"/>
  <c r="M124" i="66"/>
  <c r="H131" i="66"/>
  <c r="M131" i="66"/>
  <c r="L133" i="66"/>
  <c r="L134" i="66"/>
  <c r="L136" i="66"/>
  <c r="H142" i="66"/>
  <c r="W142" i="66"/>
  <c r="L145" i="66"/>
  <c r="K146" i="66"/>
  <c r="L150" i="66"/>
  <c r="L152" i="66"/>
  <c r="W156" i="66"/>
  <c r="W157" i="66"/>
  <c r="M162" i="66"/>
  <c r="H165" i="66"/>
  <c r="O165" i="66"/>
  <c r="H166" i="66"/>
  <c r="H170" i="66"/>
  <c r="O172" i="66"/>
  <c r="H175" i="66"/>
  <c r="M175" i="66"/>
  <c r="L176" i="66"/>
  <c r="H49" i="66"/>
  <c r="K59" i="66"/>
  <c r="V71" i="66"/>
  <c r="S71" i="66"/>
  <c r="R64" i="66"/>
  <c r="R77" i="66"/>
  <c r="I85" i="66"/>
  <c r="N97" i="66"/>
  <c r="K86" i="66"/>
  <c r="M89" i="66"/>
  <c r="I90" i="66"/>
  <c r="W90" i="66"/>
  <c r="M92" i="66"/>
  <c r="W92" i="66"/>
  <c r="H96" i="66"/>
  <c r="M96" i="66"/>
  <c r="H100" i="66"/>
  <c r="R100" i="66" s="1"/>
  <c r="K102" i="66"/>
  <c r="S104" i="66"/>
  <c r="I103" i="66"/>
  <c r="W103" i="66"/>
  <c r="H108" i="66"/>
  <c r="O108" i="66"/>
  <c r="H109" i="66"/>
  <c r="M110" i="66"/>
  <c r="M113" i="66" s="1"/>
  <c r="W110" i="66"/>
  <c r="I112" i="66"/>
  <c r="O116" i="66"/>
  <c r="H118" i="66"/>
  <c r="H119" i="66"/>
  <c r="W120" i="66"/>
  <c r="I122" i="66"/>
  <c r="W123" i="66"/>
  <c r="V179" i="66"/>
  <c r="I131" i="66"/>
  <c r="W131" i="66"/>
  <c r="H133" i="66"/>
  <c r="R133" i="66" s="1"/>
  <c r="M133" i="66"/>
  <c r="H134" i="66"/>
  <c r="M134" i="66"/>
  <c r="L135" i="66"/>
  <c r="H136" i="66"/>
  <c r="I137" i="66"/>
  <c r="W140" i="66"/>
  <c r="M142" i="66"/>
  <c r="H145" i="66"/>
  <c r="K148" i="66"/>
  <c r="M150" i="66"/>
  <c r="H152" i="66"/>
  <c r="M157" i="66"/>
  <c r="L158" i="66"/>
  <c r="K159" i="66"/>
  <c r="L163" i="66"/>
  <c r="W163" i="66"/>
  <c r="K164" i="66"/>
  <c r="W164" i="66"/>
  <c r="I165" i="66"/>
  <c r="W165" i="66"/>
  <c r="I166" i="66"/>
  <c r="M168" i="66"/>
  <c r="K169" i="66"/>
  <c r="R169" i="66" s="1"/>
  <c r="I170" i="66"/>
  <c r="O170" i="66"/>
  <c r="H171" i="66"/>
  <c r="O171" i="66"/>
  <c r="H172" i="66"/>
  <c r="I175" i="66"/>
  <c r="H176" i="66"/>
  <c r="O178" i="66"/>
  <c r="U71" i="66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M71" i="66" s="1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H11" i="66"/>
  <c r="H12" i="66"/>
  <c r="O12" i="66"/>
  <c r="M14" i="66"/>
  <c r="R14" i="66" s="1"/>
  <c r="M17" i="66"/>
  <c r="M19" i="66"/>
  <c r="H21" i="66"/>
  <c r="R21" i="66" s="1"/>
  <c r="K22" i="66"/>
  <c r="H24" i="66"/>
  <c r="M25" i="66"/>
  <c r="L25" i="66"/>
  <c r="K25" i="66"/>
  <c r="L26" i="66"/>
  <c r="K27" i="66"/>
  <c r="I27" i="66"/>
  <c r="H27" i="66"/>
  <c r="M29" i="66"/>
  <c r="O50" i="66"/>
  <c r="W56" i="66"/>
  <c r="L61" i="66"/>
  <c r="K61" i="66"/>
  <c r="I61" i="66"/>
  <c r="O61" i="66"/>
  <c r="H61" i="66"/>
  <c r="L42" i="66"/>
  <c r="K42" i="66"/>
  <c r="I42" i="66"/>
  <c r="H42" i="66"/>
  <c r="F33" i="66"/>
  <c r="I11" i="66"/>
  <c r="S33" i="66"/>
  <c r="I12" i="66"/>
  <c r="I21" i="66"/>
  <c r="L22" i="66"/>
  <c r="M23" i="66"/>
  <c r="L23" i="66"/>
  <c r="I24" i="66"/>
  <c r="M26" i="66"/>
  <c r="L28" i="66"/>
  <c r="K28" i="66"/>
  <c r="I28" i="66"/>
  <c r="K30" i="66"/>
  <c r="I30" i="66"/>
  <c r="O30" i="66"/>
  <c r="H30" i="66"/>
  <c r="M44" i="66"/>
  <c r="L44" i="66"/>
  <c r="K44" i="66"/>
  <c r="I44" i="66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H48" i="66"/>
  <c r="O40" i="66"/>
  <c r="O41" i="66"/>
  <c r="F51" i="66"/>
  <c r="S51" i="66"/>
  <c r="I68" i="66"/>
  <c r="I69" i="66"/>
  <c r="F82" i="66"/>
  <c r="M80" i="66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L45" i="66"/>
  <c r="L46" i="66"/>
  <c r="O47" i="66"/>
  <c r="K49" i="66"/>
  <c r="H54" i="66"/>
  <c r="H56" i="66" s="1"/>
  <c r="O54" i="66"/>
  <c r="O56" i="66" s="1"/>
  <c r="H62" i="66"/>
  <c r="H71" i="66" s="1"/>
  <c r="O62" i="66"/>
  <c r="H66" i="66"/>
  <c r="O66" i="66"/>
  <c r="K68" i="66"/>
  <c r="K71" i="66" s="1"/>
  <c r="K69" i="66"/>
  <c r="H74" i="66"/>
  <c r="O74" i="66"/>
  <c r="V82" i="66"/>
  <c r="V180" i="66" s="1"/>
  <c r="O78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L59" i="66"/>
  <c r="I62" i="66"/>
  <c r="H63" i="66"/>
  <c r="O63" i="66"/>
  <c r="I66" i="66"/>
  <c r="R66" i="66"/>
  <c r="L68" i="66"/>
  <c r="L69" i="66"/>
  <c r="I74" i="66"/>
  <c r="W75" i="66"/>
  <c r="H78" i="66"/>
  <c r="U97" i="66"/>
  <c r="W89" i="66"/>
  <c r="L104" i="66"/>
  <c r="T104" i="66"/>
  <c r="W102" i="66"/>
  <c r="O173" i="66"/>
  <c r="H173" i="66"/>
  <c r="M173" i="66"/>
  <c r="L173" i="66"/>
  <c r="K173" i="66"/>
  <c r="I173" i="66"/>
  <c r="I63" i="66"/>
  <c r="K74" i="66"/>
  <c r="I78" i="66"/>
  <c r="I79" i="66"/>
  <c r="O79" i="66"/>
  <c r="H79" i="66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O167" i="66"/>
  <c r="H167" i="66"/>
  <c r="M167" i="66"/>
  <c r="L167" i="66"/>
  <c r="K167" i="66"/>
  <c r="I167" i="66"/>
  <c r="L87" i="66"/>
  <c r="H88" i="66"/>
  <c r="O88" i="66"/>
  <c r="H89" i="66"/>
  <c r="O89" i="66"/>
  <c r="L90" i="66"/>
  <c r="H92" i="66"/>
  <c r="O92" i="66"/>
  <c r="R92" i="66" s="1"/>
  <c r="M93" i="66"/>
  <c r="L94" i="66"/>
  <c r="R94" i="66" s="1"/>
  <c r="M100" i="66"/>
  <c r="O101" i="66"/>
  <c r="M103" i="66"/>
  <c r="L108" i="66"/>
  <c r="R108" i="66" s="1"/>
  <c r="K109" i="66"/>
  <c r="H110" i="66"/>
  <c r="O110" i="66"/>
  <c r="L112" i="66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M87" i="66"/>
  <c r="M97" i="66" s="1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S179" i="66"/>
  <c r="R85" i="66"/>
  <c r="K88" i="66"/>
  <c r="K89" i="66"/>
  <c r="K92" i="66"/>
  <c r="H93" i="66"/>
  <c r="R93" i="66" s="1"/>
  <c r="K110" i="66"/>
  <c r="K117" i="66"/>
  <c r="M123" i="66"/>
  <c r="I125" i="66"/>
  <c r="H125" i="66"/>
  <c r="S126" i="66"/>
  <c r="U179" i="66"/>
  <c r="K130" i="66"/>
  <c r="H143" i="66"/>
  <c r="M143" i="66"/>
  <c r="K143" i="66"/>
  <c r="I143" i="66"/>
  <c r="O156" i="66"/>
  <c r="H156" i="66"/>
  <c r="M156" i="66"/>
  <c r="L156" i="66"/>
  <c r="K156" i="66"/>
  <c r="I156" i="66"/>
  <c r="I87" i="66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K142" i="66"/>
  <c r="O145" i="66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O162" i="66"/>
  <c r="L165" i="66"/>
  <c r="R165" i="66" s="1"/>
  <c r="K166" i="66"/>
  <c r="H168" i="66"/>
  <c r="O168" i="66"/>
  <c r="L171" i="66"/>
  <c r="R171" i="66" s="1"/>
  <c r="K172" i="66"/>
  <c r="H174" i="66"/>
  <c r="O174" i="66"/>
  <c r="L177" i="66"/>
  <c r="R177" i="66" s="1"/>
  <c r="K178" i="66"/>
  <c r="R178" i="66" s="1"/>
  <c r="L138" i="66"/>
  <c r="L142" i="66"/>
  <c r="I146" i="66"/>
  <c r="H147" i="66"/>
  <c r="H149" i="66"/>
  <c r="R149" i="66" s="1"/>
  <c r="I150" i="66"/>
  <c r="I151" i="66"/>
  <c r="L154" i="66"/>
  <c r="H157" i="66"/>
  <c r="L160" i="66"/>
  <c r="I162" i="66"/>
  <c r="L166" i="66"/>
  <c r="I168" i="66"/>
  <c r="L172" i="66"/>
  <c r="I174" i="66"/>
  <c r="R174" i="66" s="1"/>
  <c r="L178" i="66"/>
  <c r="K150" i="66"/>
  <c r="M154" i="66"/>
  <c r="M160" i="66"/>
  <c r="K162" i="66"/>
  <c r="K168" i="66"/>
  <c r="K174" i="66"/>
  <c r="O138" i="66"/>
  <c r="O142" i="66"/>
  <c r="I154" i="66"/>
  <c r="R154" i="66" l="1"/>
  <c r="K179" i="66"/>
  <c r="R172" i="66"/>
  <c r="R47" i="66"/>
  <c r="O82" i="66"/>
  <c r="M82" i="66"/>
  <c r="R19" i="66"/>
  <c r="N180" i="66"/>
  <c r="R68" i="66"/>
  <c r="R157" i="66"/>
  <c r="R162" i="66"/>
  <c r="R125" i="66"/>
  <c r="R101" i="66"/>
  <c r="R144" i="66"/>
  <c r="R112" i="66"/>
  <c r="R90" i="66"/>
  <c r="K82" i="66"/>
  <c r="W104" i="66"/>
  <c r="R54" i="66"/>
  <c r="R45" i="66"/>
  <c r="R26" i="66"/>
  <c r="R17" i="66"/>
  <c r="R65" i="66"/>
  <c r="I104" i="66"/>
  <c r="O179" i="66"/>
  <c r="R166" i="66"/>
  <c r="R145" i="66"/>
  <c r="O113" i="66"/>
  <c r="R103" i="66"/>
  <c r="R49" i="66"/>
  <c r="W51" i="66"/>
  <c r="R48" i="66"/>
  <c r="R28" i="66"/>
  <c r="R23" i="66"/>
  <c r="R42" i="66"/>
  <c r="R61" i="66"/>
  <c r="R50" i="66"/>
  <c r="R170" i="66"/>
  <c r="R146" i="66"/>
  <c r="M126" i="66"/>
  <c r="H97" i="66"/>
  <c r="R173" i="66"/>
  <c r="R41" i="66"/>
  <c r="H104" i="66"/>
  <c r="I71" i="66"/>
  <c r="R67" i="66"/>
  <c r="R168" i="66"/>
  <c r="R147" i="66"/>
  <c r="R160" i="66"/>
  <c r="M179" i="66"/>
  <c r="L179" i="66"/>
  <c r="K97" i="66"/>
  <c r="I126" i="66"/>
  <c r="R141" i="66"/>
  <c r="O97" i="66"/>
  <c r="L97" i="66"/>
  <c r="R91" i="66"/>
  <c r="L71" i="66"/>
  <c r="R46" i="66"/>
  <c r="H51" i="66"/>
  <c r="R155" i="66"/>
  <c r="R118" i="66"/>
  <c r="R120" i="66"/>
  <c r="R12" i="66"/>
  <c r="O33" i="66"/>
  <c r="R81" i="66"/>
  <c r="R70" i="66"/>
  <c r="M51" i="66"/>
  <c r="R152" i="66"/>
  <c r="R96" i="66"/>
  <c r="R151" i="66"/>
  <c r="H126" i="66"/>
  <c r="R110" i="66"/>
  <c r="R89" i="66"/>
  <c r="R167" i="66"/>
  <c r="I179" i="66"/>
  <c r="O126" i="66"/>
  <c r="R80" i="66"/>
  <c r="R95" i="66"/>
  <c r="R79" i="66"/>
  <c r="R74" i="66"/>
  <c r="R82" i="66" s="1"/>
  <c r="L33" i="66"/>
  <c r="I33" i="66"/>
  <c r="K51" i="66"/>
  <c r="M33" i="66"/>
  <c r="R36" i="66"/>
  <c r="R86" i="66"/>
  <c r="R156" i="66"/>
  <c r="R150" i="66"/>
  <c r="R138" i="66"/>
  <c r="H179" i="66"/>
  <c r="I97" i="66"/>
  <c r="R143" i="66"/>
  <c r="R117" i="66"/>
  <c r="R161" i="66"/>
  <c r="K113" i="66"/>
  <c r="R139" i="66"/>
  <c r="R63" i="66"/>
  <c r="T180" i="66"/>
  <c r="R78" i="66"/>
  <c r="R69" i="66"/>
  <c r="R140" i="66"/>
  <c r="R44" i="66"/>
  <c r="R30" i="66"/>
  <c r="F180" i="66"/>
  <c r="O71" i="66"/>
  <c r="R27" i="66"/>
  <c r="R25" i="66"/>
  <c r="K33" i="66"/>
  <c r="R22" i="66"/>
  <c r="W71" i="66"/>
  <c r="R29" i="66"/>
  <c r="R122" i="66"/>
  <c r="W97" i="66"/>
  <c r="W179" i="66"/>
  <c r="W82" i="66"/>
  <c r="W126" i="66"/>
  <c r="W33" i="66"/>
  <c r="Y179" i="67"/>
  <c r="R179" i="67"/>
  <c r="U180" i="66"/>
  <c r="H33" i="66"/>
  <c r="R37" i="66"/>
  <c r="Y3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H113" i="66"/>
  <c r="I82" i="66"/>
  <c r="I180" i="66" s="1"/>
  <c r="L113" i="66"/>
  <c r="O51" i="66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123" i="66"/>
  <c r="W113" i="66"/>
  <c r="R40" i="66"/>
  <c r="U113" i="1"/>
  <c r="X113" i="1" s="1"/>
  <c r="T163" i="1"/>
  <c r="U139" i="1"/>
  <c r="U132" i="1"/>
  <c r="U69" i="1"/>
  <c r="T69" i="1"/>
  <c r="U95" i="1"/>
  <c r="T74" i="1"/>
  <c r="T37" i="1"/>
  <c r="T34" i="1"/>
  <c r="C163" i="3"/>
  <c r="R97" i="66" l="1"/>
  <c r="O180" i="66"/>
  <c r="M180" i="66"/>
  <c r="K180" i="66"/>
  <c r="L180" i="66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15" i="65"/>
  <c r="Z114" i="65"/>
  <c r="Z124" i="65" s="1"/>
  <c r="Z111" i="65"/>
  <c r="Z99" i="65"/>
  <c r="Z103" i="65" s="1"/>
  <c r="Z96" i="65"/>
  <c r="Z81" i="65"/>
  <c r="Z70" i="65"/>
  <c r="Z56" i="65"/>
  <c r="Z51" i="65"/>
  <c r="Z37" i="65"/>
  <c r="Z36" i="65"/>
  <c r="Z9" i="65"/>
  <c r="Z33" i="65" s="1"/>
  <c r="G180" i="65"/>
  <c r="D180" i="65"/>
  <c r="Q179" i="65"/>
  <c r="P179" i="65"/>
  <c r="T178" i="65"/>
  <c r="S178" i="65"/>
  <c r="W178" i="65" s="1"/>
  <c r="N178" i="65"/>
  <c r="F178" i="65"/>
  <c r="M178" i="65" s="1"/>
  <c r="T177" i="65"/>
  <c r="W177" i="65" s="1"/>
  <c r="S177" i="65"/>
  <c r="N177" i="65"/>
  <c r="F177" i="65"/>
  <c r="M177" i="65" s="1"/>
  <c r="T176" i="65"/>
  <c r="S176" i="65"/>
  <c r="W176" i="65" s="1"/>
  <c r="N176" i="65"/>
  <c r="H176" i="65"/>
  <c r="F176" i="65"/>
  <c r="T175" i="65"/>
  <c r="S175" i="65"/>
  <c r="N175" i="65"/>
  <c r="F175" i="65"/>
  <c r="O175" i="65" s="1"/>
  <c r="T174" i="65"/>
  <c r="S174" i="65"/>
  <c r="N174" i="65"/>
  <c r="M174" i="65"/>
  <c r="F174" i="65"/>
  <c r="L174" i="65" s="1"/>
  <c r="T173" i="65"/>
  <c r="S173" i="65"/>
  <c r="N173" i="65"/>
  <c r="I173" i="65"/>
  <c r="F173" i="65"/>
  <c r="O173" i="65" s="1"/>
  <c r="T172" i="65"/>
  <c r="S172" i="65"/>
  <c r="N172" i="65"/>
  <c r="F172" i="65"/>
  <c r="M172" i="65" s="1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N169" i="65"/>
  <c r="F169" i="65"/>
  <c r="O169" i="65" s="1"/>
  <c r="T168" i="65"/>
  <c r="S168" i="65"/>
  <c r="N168" i="65"/>
  <c r="K168" i="65"/>
  <c r="H168" i="65"/>
  <c r="F168" i="65"/>
  <c r="L168" i="65" s="1"/>
  <c r="T167" i="65"/>
  <c r="S167" i="65"/>
  <c r="N167" i="65"/>
  <c r="F167" i="65"/>
  <c r="O167" i="65" s="1"/>
  <c r="T166" i="65"/>
  <c r="S166" i="65"/>
  <c r="N166" i="65"/>
  <c r="F166" i="65"/>
  <c r="L166" i="65" s="1"/>
  <c r="T165" i="65"/>
  <c r="S165" i="65"/>
  <c r="N165" i="65"/>
  <c r="L165" i="65"/>
  <c r="F165" i="65"/>
  <c r="O165" i="65" s="1"/>
  <c r="T164" i="65"/>
  <c r="S164" i="65"/>
  <c r="W164" i="65" s="1"/>
  <c r="N164" i="65"/>
  <c r="F164" i="65"/>
  <c r="T163" i="65"/>
  <c r="S163" i="65"/>
  <c r="N163" i="65"/>
  <c r="F163" i="65"/>
  <c r="K163" i="65" s="1"/>
  <c r="T162" i="65"/>
  <c r="S162" i="65"/>
  <c r="N162" i="65"/>
  <c r="I162" i="65"/>
  <c r="F162" i="65"/>
  <c r="L162" i="65" s="1"/>
  <c r="T161" i="65"/>
  <c r="S161" i="65"/>
  <c r="W161" i="65" s="1"/>
  <c r="N161" i="65"/>
  <c r="F161" i="65"/>
  <c r="O161" i="65" s="1"/>
  <c r="T160" i="65"/>
  <c r="S160" i="65"/>
  <c r="W160" i="65" s="1"/>
  <c r="N160" i="65"/>
  <c r="L160" i="65"/>
  <c r="F160" i="65"/>
  <c r="M161" i="65" s="1"/>
  <c r="T159" i="65"/>
  <c r="S159" i="65"/>
  <c r="W159" i="65" s="1"/>
  <c r="N159" i="65"/>
  <c r="F159" i="65"/>
  <c r="H159" i="65" s="1"/>
  <c r="T158" i="65"/>
  <c r="S158" i="65"/>
  <c r="W158" i="65" s="1"/>
  <c r="N158" i="65"/>
  <c r="I158" i="65"/>
  <c r="F158" i="65"/>
  <c r="O158" i="65" s="1"/>
  <c r="T157" i="65"/>
  <c r="S157" i="65"/>
  <c r="W157" i="65" s="1"/>
  <c r="N157" i="65"/>
  <c r="F157" i="65"/>
  <c r="O157" i="65" s="1"/>
  <c r="U156" i="65"/>
  <c r="T156" i="65"/>
  <c r="S156" i="65"/>
  <c r="N156" i="65"/>
  <c r="F156" i="65"/>
  <c r="O156" i="65" s="1"/>
  <c r="T155" i="65"/>
  <c r="W155" i="65" s="1"/>
  <c r="N155" i="65"/>
  <c r="K155" i="65"/>
  <c r="F155" i="65"/>
  <c r="O155" i="65" s="1"/>
  <c r="T154" i="65"/>
  <c r="S154" i="65"/>
  <c r="N154" i="65"/>
  <c r="F154" i="65"/>
  <c r="M154" i="65" s="1"/>
  <c r="T153" i="65"/>
  <c r="S153" i="65"/>
  <c r="W153" i="65" s="1"/>
  <c r="N153" i="65"/>
  <c r="M153" i="65"/>
  <c r="F153" i="65"/>
  <c r="H153" i="65" s="1"/>
  <c r="T152" i="65"/>
  <c r="S152" i="65"/>
  <c r="W152" i="65" s="1"/>
  <c r="N152" i="65"/>
  <c r="F152" i="65"/>
  <c r="O152" i="65" s="1"/>
  <c r="U151" i="65"/>
  <c r="T151" i="65"/>
  <c r="S151" i="65"/>
  <c r="N151" i="65"/>
  <c r="M151" i="65"/>
  <c r="H151" i="65"/>
  <c r="F151" i="65"/>
  <c r="L151" i="65" s="1"/>
  <c r="V150" i="65"/>
  <c r="S150" i="65"/>
  <c r="M150" i="65"/>
  <c r="H150" i="65"/>
  <c r="F150" i="65"/>
  <c r="O150" i="65" s="1"/>
  <c r="U149" i="65"/>
  <c r="T149" i="65"/>
  <c r="M149" i="65"/>
  <c r="I149" i="65"/>
  <c r="H149" i="65"/>
  <c r="F149" i="65"/>
  <c r="O149" i="65" s="1"/>
  <c r="S148" i="65"/>
  <c r="W148" i="65" s="1"/>
  <c r="F148" i="65"/>
  <c r="K148" i="65" s="1"/>
  <c r="U147" i="65"/>
  <c r="T147" i="65"/>
  <c r="S147" i="65"/>
  <c r="F147" i="65"/>
  <c r="O147" i="65" s="1"/>
  <c r="T146" i="65"/>
  <c r="S146" i="65"/>
  <c r="I146" i="65"/>
  <c r="F146" i="65"/>
  <c r="O146" i="65" s="1"/>
  <c r="T145" i="65"/>
  <c r="W145" i="65" s="1"/>
  <c r="H145" i="65"/>
  <c r="F145" i="65"/>
  <c r="O145" i="65" s="1"/>
  <c r="T144" i="65"/>
  <c r="W144" i="65" s="1"/>
  <c r="F144" i="65"/>
  <c r="W143" i="65"/>
  <c r="F143" i="65"/>
  <c r="K143" i="65" s="1"/>
  <c r="W142" i="65"/>
  <c r="M142" i="65"/>
  <c r="F142" i="65"/>
  <c r="O142" i="65" s="1"/>
  <c r="U141" i="65"/>
  <c r="T141" i="65"/>
  <c r="S141" i="65"/>
  <c r="I141" i="65"/>
  <c r="F141" i="65"/>
  <c r="M141" i="65" s="1"/>
  <c r="S140" i="65"/>
  <c r="W140" i="65" s="1"/>
  <c r="F140" i="65"/>
  <c r="O140" i="65" s="1"/>
  <c r="V139" i="65"/>
  <c r="U139" i="65"/>
  <c r="T139" i="65"/>
  <c r="S139" i="65"/>
  <c r="F139" i="65"/>
  <c r="O139" i="65" s="1"/>
  <c r="T138" i="65"/>
  <c r="S138" i="65"/>
  <c r="F138" i="65"/>
  <c r="L138" i="65" s="1"/>
  <c r="T137" i="65"/>
  <c r="W137" i="65" s="1"/>
  <c r="F137" i="65"/>
  <c r="M137" i="65" s="1"/>
  <c r="V136" i="65"/>
  <c r="T136" i="65"/>
  <c r="S136" i="65"/>
  <c r="L136" i="65"/>
  <c r="F136" i="65"/>
  <c r="I136" i="65" s="1"/>
  <c r="T135" i="65"/>
  <c r="S135" i="65"/>
  <c r="F135" i="65"/>
  <c r="I135" i="65" s="1"/>
  <c r="U134" i="65"/>
  <c r="T134" i="65"/>
  <c r="S134" i="65"/>
  <c r="F134" i="65"/>
  <c r="K134" i="65" s="1"/>
  <c r="U133" i="65"/>
  <c r="T133" i="65"/>
  <c r="F133" i="65"/>
  <c r="H133" i="65" s="1"/>
  <c r="V132" i="65"/>
  <c r="U132" i="65"/>
  <c r="T132" i="65"/>
  <c r="F132" i="65"/>
  <c r="K132" i="65" s="1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L128" i="65"/>
  <c r="J128" i="65"/>
  <c r="J179" i="65" s="1"/>
  <c r="I128" i="65"/>
  <c r="F128" i="65"/>
  <c r="M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F123" i="65"/>
  <c r="O123" i="65" s="1"/>
  <c r="S122" i="65"/>
  <c r="W122" i="65" s="1"/>
  <c r="L122" i="65"/>
  <c r="H122" i="65"/>
  <c r="F122" i="65"/>
  <c r="K122" i="65" s="1"/>
  <c r="V121" i="65"/>
  <c r="U121" i="65"/>
  <c r="T121" i="65"/>
  <c r="S121" i="65"/>
  <c r="L121" i="65"/>
  <c r="F121" i="65"/>
  <c r="O121" i="65" s="1"/>
  <c r="V120" i="65"/>
  <c r="U120" i="65"/>
  <c r="T120" i="65"/>
  <c r="S120" i="65"/>
  <c r="Q120" i="65"/>
  <c r="F120" i="65"/>
  <c r="O120" i="65" s="1"/>
  <c r="V119" i="65"/>
  <c r="T119" i="65"/>
  <c r="S119" i="65"/>
  <c r="H119" i="65"/>
  <c r="F119" i="65"/>
  <c r="K119" i="65" s="1"/>
  <c r="V118" i="65"/>
  <c r="U118" i="65"/>
  <c r="S118" i="65"/>
  <c r="Q118" i="65"/>
  <c r="J118" i="65"/>
  <c r="F118" i="65"/>
  <c r="M118" i="65" s="1"/>
  <c r="V117" i="65"/>
  <c r="U117" i="65"/>
  <c r="T117" i="65"/>
  <c r="S117" i="65"/>
  <c r="O117" i="65"/>
  <c r="J117" i="65"/>
  <c r="I117" i="65"/>
  <c r="F117" i="65"/>
  <c r="M117" i="65" s="1"/>
  <c r="U116" i="65"/>
  <c r="T116" i="65"/>
  <c r="S116" i="65"/>
  <c r="F116" i="65"/>
  <c r="O116" i="65" s="1"/>
  <c r="V115" i="65"/>
  <c r="T115" i="65"/>
  <c r="S115" i="65"/>
  <c r="Q115" i="65"/>
  <c r="Q124" i="65" s="1"/>
  <c r="F115" i="65"/>
  <c r="O115" i="65" s="1"/>
  <c r="V114" i="65"/>
  <c r="U114" i="65"/>
  <c r="T114" i="65"/>
  <c r="S114" i="65"/>
  <c r="O114" i="65"/>
  <c r="J114" i="65"/>
  <c r="I114" i="65"/>
  <c r="F114" i="65"/>
  <c r="L114" i="65" s="1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F109" i="65"/>
  <c r="K109" i="65" s="1"/>
  <c r="V108" i="65"/>
  <c r="U108" i="65"/>
  <c r="T108" i="65"/>
  <c r="N108" i="65"/>
  <c r="F108" i="65"/>
  <c r="H108" i="65" s="1"/>
  <c r="U107" i="65"/>
  <c r="T107" i="65"/>
  <c r="N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F102" i="65"/>
  <c r="O102" i="65" s="1"/>
  <c r="T101" i="65"/>
  <c r="T103" i="65" s="1"/>
  <c r="S101" i="65"/>
  <c r="N101" i="65"/>
  <c r="N103" i="65" s="1"/>
  <c r="F101" i="65"/>
  <c r="V100" i="65"/>
  <c r="U100" i="65"/>
  <c r="W100" i="65" s="1"/>
  <c r="F100" i="65"/>
  <c r="O100" i="65" s="1"/>
  <c r="W99" i="65"/>
  <c r="V99" i="65"/>
  <c r="F99" i="65"/>
  <c r="K99" i="65" s="1"/>
  <c r="Q96" i="65"/>
  <c r="P96" i="65"/>
  <c r="V95" i="65"/>
  <c r="S95" i="65"/>
  <c r="N95" i="65"/>
  <c r="K95" i="65"/>
  <c r="F95" i="65"/>
  <c r="H95" i="65" s="1"/>
  <c r="V94" i="65"/>
  <c r="T94" i="65"/>
  <c r="S94" i="65"/>
  <c r="N94" i="65"/>
  <c r="F94" i="65"/>
  <c r="V93" i="65"/>
  <c r="T93" i="65"/>
  <c r="S93" i="65"/>
  <c r="O93" i="65"/>
  <c r="N93" i="65"/>
  <c r="K93" i="65"/>
  <c r="I93" i="65"/>
  <c r="H93" i="65"/>
  <c r="F93" i="65"/>
  <c r="M93" i="65" s="1"/>
  <c r="V92" i="65"/>
  <c r="W92" i="65" s="1"/>
  <c r="S92" i="65"/>
  <c r="N92" i="65"/>
  <c r="F92" i="65"/>
  <c r="V91" i="65"/>
  <c r="T91" i="65"/>
  <c r="S91" i="65"/>
  <c r="N91" i="65"/>
  <c r="F91" i="65"/>
  <c r="K91" i="65" s="1"/>
  <c r="U90" i="65"/>
  <c r="S90" i="65"/>
  <c r="N90" i="65"/>
  <c r="K90" i="65"/>
  <c r="F90" i="65"/>
  <c r="L90" i="65" s="1"/>
  <c r="V89" i="65"/>
  <c r="T89" i="65"/>
  <c r="S89" i="65"/>
  <c r="N89" i="65"/>
  <c r="H89" i="65"/>
  <c r="F89" i="65"/>
  <c r="L89" i="65" s="1"/>
  <c r="V88" i="65"/>
  <c r="U88" i="65"/>
  <c r="T88" i="65"/>
  <c r="S88" i="65"/>
  <c r="N88" i="65"/>
  <c r="F88" i="65"/>
  <c r="K88" i="65" s="1"/>
  <c r="W87" i="65"/>
  <c r="V87" i="65"/>
  <c r="N87" i="65"/>
  <c r="F87" i="65"/>
  <c r="K87" i="65" s="1"/>
  <c r="V86" i="65"/>
  <c r="U86" i="65"/>
  <c r="T86" i="65"/>
  <c r="S86" i="65"/>
  <c r="S96" i="65" s="1"/>
  <c r="N86" i="65"/>
  <c r="L86" i="65"/>
  <c r="J86" i="65"/>
  <c r="I86" i="65"/>
  <c r="F86" i="65"/>
  <c r="M86" i="65" s="1"/>
  <c r="V85" i="65"/>
  <c r="W85" i="65" s="1"/>
  <c r="N85" i="65"/>
  <c r="J85" i="65"/>
  <c r="F85" i="65"/>
  <c r="M85" i="65" s="1"/>
  <c r="V84" i="65"/>
  <c r="W84" i="65" s="1"/>
  <c r="N84" i="65"/>
  <c r="N96" i="65" s="1"/>
  <c r="F84" i="65"/>
  <c r="K84" i="65" s="1"/>
  <c r="Q81" i="65"/>
  <c r="P81" i="65"/>
  <c r="J81" i="65"/>
  <c r="V80" i="65"/>
  <c r="W80" i="65" s="1"/>
  <c r="S80" i="65"/>
  <c r="N80" i="65"/>
  <c r="F80" i="65"/>
  <c r="K80" i="65" s="1"/>
  <c r="V79" i="65"/>
  <c r="S79" i="65"/>
  <c r="W79" i="65" s="1"/>
  <c r="F79" i="65"/>
  <c r="K79" i="65" s="1"/>
  <c r="W78" i="65"/>
  <c r="S78" i="65"/>
  <c r="N78" i="65"/>
  <c r="F78" i="65"/>
  <c r="K78" i="65" s="1"/>
  <c r="V77" i="65"/>
  <c r="U77" i="65"/>
  <c r="U81" i="65" s="1"/>
  <c r="T77" i="65"/>
  <c r="S77" i="65"/>
  <c r="N77" i="65"/>
  <c r="M77" i="65"/>
  <c r="F77" i="65"/>
  <c r="L77" i="65" s="1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T73" i="65"/>
  <c r="W73" i="65" s="1"/>
  <c r="N73" i="65"/>
  <c r="F73" i="65"/>
  <c r="F81" i="65" s="1"/>
  <c r="Q70" i="65"/>
  <c r="P70" i="65"/>
  <c r="V69" i="65"/>
  <c r="W69" i="65" s="1"/>
  <c r="N69" i="65"/>
  <c r="F69" i="65"/>
  <c r="V68" i="65"/>
  <c r="S68" i="65"/>
  <c r="N68" i="65"/>
  <c r="H68" i="65"/>
  <c r="F68" i="65"/>
  <c r="L68" i="65" s="1"/>
  <c r="S67" i="65"/>
  <c r="W67" i="65" s="1"/>
  <c r="N67" i="65"/>
  <c r="F67" i="65"/>
  <c r="H67" i="65" s="1"/>
  <c r="T66" i="65"/>
  <c r="S66" i="65"/>
  <c r="N66" i="65"/>
  <c r="F66" i="65"/>
  <c r="O66" i="65" s="1"/>
  <c r="V65" i="65"/>
  <c r="U65" i="65"/>
  <c r="T65" i="65"/>
  <c r="S65" i="65"/>
  <c r="N65" i="65"/>
  <c r="L65" i="65"/>
  <c r="F65" i="65"/>
  <c r="K65" i="65" s="1"/>
  <c r="T64" i="65"/>
  <c r="S64" i="65"/>
  <c r="N64" i="65"/>
  <c r="F64" i="65"/>
  <c r="U63" i="65"/>
  <c r="T63" i="65"/>
  <c r="S63" i="65"/>
  <c r="N63" i="65"/>
  <c r="K63" i="65"/>
  <c r="I63" i="65"/>
  <c r="F63" i="65"/>
  <c r="M63" i="65" s="1"/>
  <c r="V62" i="65"/>
  <c r="S62" i="65"/>
  <c r="N62" i="65"/>
  <c r="F62" i="65"/>
  <c r="M62" i="65" s="1"/>
  <c r="T61" i="65"/>
  <c r="S61" i="65"/>
  <c r="N61" i="65"/>
  <c r="K61" i="65"/>
  <c r="F61" i="65"/>
  <c r="O61" i="65" s="1"/>
  <c r="V60" i="65"/>
  <c r="T60" i="65"/>
  <c r="S60" i="65"/>
  <c r="O60" i="65"/>
  <c r="M60" i="65"/>
  <c r="L60" i="65"/>
  <c r="K60" i="65"/>
  <c r="I60" i="65"/>
  <c r="H60" i="65"/>
  <c r="V59" i="65"/>
  <c r="S59" i="65"/>
  <c r="N59" i="65"/>
  <c r="J59" i="65"/>
  <c r="J70" i="65" s="1"/>
  <c r="F59" i="65"/>
  <c r="F70" i="65" s="1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W54" i="65"/>
  <c r="N54" i="65"/>
  <c r="N56" i="65" s="1"/>
  <c r="F54" i="65"/>
  <c r="M54" i="65" s="1"/>
  <c r="Q51" i="65"/>
  <c r="P51" i="65"/>
  <c r="N51" i="65"/>
  <c r="V50" i="65"/>
  <c r="U50" i="65"/>
  <c r="S50" i="65"/>
  <c r="F50" i="65"/>
  <c r="K50" i="65" s="1"/>
  <c r="U49" i="65"/>
  <c r="T49" i="65"/>
  <c r="S49" i="65"/>
  <c r="J49" i="65"/>
  <c r="J51" i="65" s="1"/>
  <c r="F49" i="65"/>
  <c r="M49" i="65" s="1"/>
  <c r="W48" i="65"/>
  <c r="F48" i="65"/>
  <c r="I48" i="65" s="1"/>
  <c r="W47" i="65"/>
  <c r="F47" i="65"/>
  <c r="L47" i="65" s="1"/>
  <c r="W46" i="65"/>
  <c r="F46" i="65"/>
  <c r="O46" i="65" s="1"/>
  <c r="T45" i="65"/>
  <c r="S45" i="65"/>
  <c r="F45" i="65"/>
  <c r="O45" i="65" s="1"/>
  <c r="U44" i="65"/>
  <c r="H44" i="65"/>
  <c r="F44" i="65"/>
  <c r="O44" i="65" s="1"/>
  <c r="T43" i="65"/>
  <c r="S43" i="65"/>
  <c r="O43" i="65"/>
  <c r="M43" i="65"/>
  <c r="L43" i="65"/>
  <c r="K43" i="65"/>
  <c r="I43" i="65"/>
  <c r="H43" i="65"/>
  <c r="T42" i="65"/>
  <c r="S42" i="65"/>
  <c r="K42" i="65"/>
  <c r="I42" i="65"/>
  <c r="F42" i="65"/>
  <c r="O42" i="65" s="1"/>
  <c r="T41" i="65"/>
  <c r="M41" i="65"/>
  <c r="F41" i="65"/>
  <c r="O41" i="65" s="1"/>
  <c r="V40" i="65"/>
  <c r="S40" i="65"/>
  <c r="W40" i="65" s="1"/>
  <c r="M40" i="65"/>
  <c r="H40" i="65"/>
  <c r="F40" i="65"/>
  <c r="O40" i="65" s="1"/>
  <c r="Q37" i="65"/>
  <c r="P37" i="65"/>
  <c r="N37" i="65"/>
  <c r="V36" i="65"/>
  <c r="V37" i="65" s="1"/>
  <c r="U36" i="65"/>
  <c r="U37" i="65" s="1"/>
  <c r="T36" i="65"/>
  <c r="S36" i="65"/>
  <c r="S37" i="65" s="1"/>
  <c r="O36" i="65"/>
  <c r="O37" i="65" s="1"/>
  <c r="J36" i="65"/>
  <c r="J37" i="65" s="1"/>
  <c r="I36" i="65"/>
  <c r="I37" i="65" s="1"/>
  <c r="F36" i="65"/>
  <c r="M36" i="65" s="1"/>
  <c r="M37" i="65" s="1"/>
  <c r="P33" i="65"/>
  <c r="P180" i="65" s="1"/>
  <c r="J33" i="65"/>
  <c r="V32" i="65"/>
  <c r="U32" i="65"/>
  <c r="S32" i="65"/>
  <c r="W32" i="65" s="1"/>
  <c r="F32" i="65"/>
  <c r="I32" i="65" s="1"/>
  <c r="U31" i="65"/>
  <c r="S31" i="65"/>
  <c r="F31" i="65"/>
  <c r="I31" i="65" s="1"/>
  <c r="T30" i="65"/>
  <c r="S30" i="65"/>
  <c r="N30" i="65"/>
  <c r="F30" i="65"/>
  <c r="K30" i="65" s="1"/>
  <c r="V29" i="65"/>
  <c r="U29" i="65"/>
  <c r="N29" i="65"/>
  <c r="M29" i="65"/>
  <c r="H29" i="65"/>
  <c r="F29" i="65"/>
  <c r="L29" i="65" s="1"/>
  <c r="V28" i="65"/>
  <c r="S28" i="65"/>
  <c r="W28" i="65" s="1"/>
  <c r="M28" i="65"/>
  <c r="H28" i="65"/>
  <c r="F28" i="65"/>
  <c r="O28" i="65" s="1"/>
  <c r="V27" i="65"/>
  <c r="W27" i="65" s="1"/>
  <c r="O27" i="65"/>
  <c r="F27" i="65"/>
  <c r="L27" i="65" s="1"/>
  <c r="S26" i="65"/>
  <c r="W26" i="65" s="1"/>
  <c r="N26" i="65"/>
  <c r="F26" i="65"/>
  <c r="L26" i="65" s="1"/>
  <c r="U25" i="65"/>
  <c r="T25" i="65"/>
  <c r="S25" i="65"/>
  <c r="N25" i="65"/>
  <c r="F25" i="65"/>
  <c r="M25" i="65" s="1"/>
  <c r="T24" i="65"/>
  <c r="S24" i="65"/>
  <c r="F24" i="65"/>
  <c r="M24" i="65" s="1"/>
  <c r="V23" i="65"/>
  <c r="W23" i="65" s="1"/>
  <c r="Q23" i="65"/>
  <c r="F23" i="65"/>
  <c r="O23" i="65" s="1"/>
  <c r="V22" i="65"/>
  <c r="W22" i="65" s="1"/>
  <c r="Q22" i="65"/>
  <c r="N22" i="65"/>
  <c r="L22" i="65"/>
  <c r="K22" i="65"/>
  <c r="F22" i="65"/>
  <c r="M22" i="65" s="1"/>
  <c r="V21" i="65"/>
  <c r="W21" i="65" s="1"/>
  <c r="Q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T19" i="65"/>
  <c r="W19" i="65" s="1"/>
  <c r="F19" i="65"/>
  <c r="O19" i="65" s="1"/>
  <c r="T18" i="65"/>
  <c r="S18" i="65"/>
  <c r="O18" i="65"/>
  <c r="M18" i="65"/>
  <c r="L18" i="65"/>
  <c r="K18" i="65"/>
  <c r="I18" i="65"/>
  <c r="H18" i="65"/>
  <c r="R18" i="65" s="1"/>
  <c r="U17" i="65"/>
  <c r="T17" i="65"/>
  <c r="S17" i="65"/>
  <c r="M17" i="65"/>
  <c r="H17" i="65"/>
  <c r="F17" i="65"/>
  <c r="O17" i="65" s="1"/>
  <c r="U16" i="65"/>
  <c r="T16" i="65"/>
  <c r="N16" i="65"/>
  <c r="F16" i="65"/>
  <c r="M16" i="65" s="1"/>
  <c r="U15" i="65"/>
  <c r="S15" i="65"/>
  <c r="Q15" i="65"/>
  <c r="O15" i="65"/>
  <c r="M15" i="65"/>
  <c r="L15" i="65"/>
  <c r="K15" i="65"/>
  <c r="I15" i="65"/>
  <c r="H15" i="65"/>
  <c r="V14" i="65"/>
  <c r="W14" i="65" s="1"/>
  <c r="K14" i="65"/>
  <c r="I14" i="65"/>
  <c r="H14" i="65"/>
  <c r="F14" i="65"/>
  <c r="O14" i="65" s="1"/>
  <c r="W13" i="65"/>
  <c r="V13" i="65"/>
  <c r="Q13" i="65"/>
  <c r="N13" i="65"/>
  <c r="K13" i="65"/>
  <c r="F13" i="65"/>
  <c r="M13" i="65" s="1"/>
  <c r="V12" i="65"/>
  <c r="U12" i="65"/>
  <c r="N12" i="65"/>
  <c r="F12" i="65"/>
  <c r="M12" i="65" s="1"/>
  <c r="T11" i="65"/>
  <c r="S11" i="65"/>
  <c r="K11" i="65"/>
  <c r="F11" i="65"/>
  <c r="O11" i="65" s="1"/>
  <c r="U10" i="65"/>
  <c r="T10" i="65"/>
  <c r="O10" i="65"/>
  <c r="N10" i="65"/>
  <c r="M10" i="65"/>
  <c r="L10" i="65"/>
  <c r="K10" i="65"/>
  <c r="I10" i="65"/>
  <c r="H10" i="65"/>
  <c r="W9" i="65"/>
  <c r="N9" i="65"/>
  <c r="N33" i="65" s="1"/>
  <c r="I4" i="65"/>
  <c r="F4" i="65"/>
  <c r="T33" i="65" l="1"/>
  <c r="S33" i="65"/>
  <c r="W12" i="65"/>
  <c r="M14" i="65"/>
  <c r="I16" i="65"/>
  <c r="K23" i="65"/>
  <c r="I24" i="65"/>
  <c r="W42" i="65"/>
  <c r="L50" i="65"/>
  <c r="W62" i="65"/>
  <c r="H87" i="65"/>
  <c r="M89" i="65"/>
  <c r="H91" i="65"/>
  <c r="O91" i="65"/>
  <c r="K102" i="65"/>
  <c r="H107" i="65"/>
  <c r="O107" i="65"/>
  <c r="K108" i="65"/>
  <c r="J124" i="65"/>
  <c r="I116" i="65"/>
  <c r="W121" i="65"/>
  <c r="I122" i="65"/>
  <c r="W123" i="65"/>
  <c r="W128" i="65"/>
  <c r="H134" i="65"/>
  <c r="K137" i="65"/>
  <c r="L139" i="65"/>
  <c r="M146" i="65"/>
  <c r="H147" i="65"/>
  <c r="I150" i="65"/>
  <c r="H152" i="65"/>
  <c r="K154" i="65"/>
  <c r="L155" i="65"/>
  <c r="L159" i="65"/>
  <c r="I161" i="65"/>
  <c r="M162" i="65"/>
  <c r="I167" i="65"/>
  <c r="I168" i="65"/>
  <c r="O168" i="65"/>
  <c r="K172" i="65"/>
  <c r="K178" i="65"/>
  <c r="Z179" i="65"/>
  <c r="Q33" i="65"/>
  <c r="Q180" i="65" s="1"/>
  <c r="K16" i="65"/>
  <c r="K24" i="65"/>
  <c r="S70" i="65"/>
  <c r="S81" i="65"/>
  <c r="I91" i="65"/>
  <c r="M102" i="65"/>
  <c r="I107" i="65"/>
  <c r="K116" i="65"/>
  <c r="W116" i="65"/>
  <c r="M134" i="65"/>
  <c r="L137" i="65"/>
  <c r="M139" i="65"/>
  <c r="I147" i="65"/>
  <c r="I152" i="65"/>
  <c r="L154" i="65"/>
  <c r="M159" i="65"/>
  <c r="K161" i="65"/>
  <c r="K167" i="65"/>
  <c r="L178" i="65"/>
  <c r="R15" i="65"/>
  <c r="O24" i="65"/>
  <c r="H41" i="65"/>
  <c r="W45" i="65"/>
  <c r="V70" i="65"/>
  <c r="L61" i="65"/>
  <c r="O63" i="65"/>
  <c r="K68" i="65"/>
  <c r="H77" i="65"/>
  <c r="H78" i="65"/>
  <c r="H84" i="65"/>
  <c r="H85" i="65"/>
  <c r="I90" i="65"/>
  <c r="L91" i="65"/>
  <c r="V103" i="65"/>
  <c r="L107" i="65"/>
  <c r="T111" i="65"/>
  <c r="H109" i="65"/>
  <c r="R109" i="65" s="1"/>
  <c r="W119" i="65"/>
  <c r="K120" i="65"/>
  <c r="W133" i="65"/>
  <c r="H135" i="65"/>
  <c r="K136" i="65"/>
  <c r="O137" i="65"/>
  <c r="W138" i="65"/>
  <c r="H142" i="65"/>
  <c r="M143" i="65"/>
  <c r="H146" i="65"/>
  <c r="M147" i="65"/>
  <c r="W150" i="65"/>
  <c r="L153" i="65"/>
  <c r="I155" i="65"/>
  <c r="H158" i="65"/>
  <c r="K160" i="65"/>
  <c r="H162" i="65"/>
  <c r="H165" i="65"/>
  <c r="W165" i="65"/>
  <c r="L167" i="65"/>
  <c r="M168" i="65"/>
  <c r="W172" i="65"/>
  <c r="H174" i="65"/>
  <c r="W175" i="65"/>
  <c r="L19" i="65"/>
  <c r="M45" i="65"/>
  <c r="M46" i="65"/>
  <c r="L66" i="65"/>
  <c r="K12" i="65"/>
  <c r="R9" i="65"/>
  <c r="Y9" i="65" s="1"/>
  <c r="H11" i="65"/>
  <c r="W11" i="65"/>
  <c r="L12" i="65"/>
  <c r="V33" i="65"/>
  <c r="L14" i="65"/>
  <c r="I17" i="65"/>
  <c r="R17" i="65" s="1"/>
  <c r="H19" i="65"/>
  <c r="R19" i="65" s="1"/>
  <c r="Y19" i="65" s="1"/>
  <c r="M19" i="65"/>
  <c r="K21" i="65"/>
  <c r="I25" i="65"/>
  <c r="I28" i="65"/>
  <c r="I29" i="65"/>
  <c r="K36" i="65"/>
  <c r="K37" i="65" s="1"/>
  <c r="I40" i="65"/>
  <c r="I41" i="65"/>
  <c r="K44" i="65"/>
  <c r="H45" i="65"/>
  <c r="H46" i="65"/>
  <c r="K48" i="65"/>
  <c r="O50" i="65"/>
  <c r="I54" i="65"/>
  <c r="I56" i="65" s="1"/>
  <c r="W59" i="65"/>
  <c r="T70" i="65"/>
  <c r="M65" i="65"/>
  <c r="H66" i="65"/>
  <c r="M66" i="65"/>
  <c r="K17" i="65"/>
  <c r="W18" i="65"/>
  <c r="Y18" i="65" s="1"/>
  <c r="I19" i="65"/>
  <c r="L21" i="65"/>
  <c r="H22" i="65"/>
  <c r="O22" i="65"/>
  <c r="I23" i="65"/>
  <c r="W24" i="65"/>
  <c r="K25" i="65"/>
  <c r="K28" i="65"/>
  <c r="K29" i="65"/>
  <c r="O29" i="65"/>
  <c r="M31" i="65"/>
  <c r="M32" i="65"/>
  <c r="H36" i="65"/>
  <c r="H37" i="65" s="1"/>
  <c r="L36" i="65"/>
  <c r="L37" i="65" s="1"/>
  <c r="K40" i="65"/>
  <c r="K41" i="65"/>
  <c r="W43" i="65"/>
  <c r="L44" i="65"/>
  <c r="I45" i="65"/>
  <c r="I46" i="65"/>
  <c r="L48" i="65"/>
  <c r="H50" i="65"/>
  <c r="K54" i="65"/>
  <c r="K56" i="65" s="1"/>
  <c r="R55" i="65"/>
  <c r="R60" i="65"/>
  <c r="L63" i="65"/>
  <c r="H65" i="65"/>
  <c r="I66" i="65"/>
  <c r="W10" i="65"/>
  <c r="L11" i="65"/>
  <c r="H12" i="65"/>
  <c r="O12" i="65"/>
  <c r="I13" i="65"/>
  <c r="W15" i="65"/>
  <c r="Y15" i="65" s="1"/>
  <c r="L17" i="65"/>
  <c r="K19" i="65"/>
  <c r="R20" i="65"/>
  <c r="L28" i="65"/>
  <c r="W29" i="65"/>
  <c r="W30" i="65"/>
  <c r="W31" i="65"/>
  <c r="L40" i="65"/>
  <c r="L41" i="65"/>
  <c r="R43" i="65"/>
  <c r="Y43" i="65" s="1"/>
  <c r="L45" i="65"/>
  <c r="L46" i="65"/>
  <c r="W61" i="65"/>
  <c r="H63" i="65"/>
  <c r="W64" i="65"/>
  <c r="I65" i="65"/>
  <c r="O65" i="65"/>
  <c r="K66" i="65"/>
  <c r="M69" i="65"/>
  <c r="K69" i="65"/>
  <c r="I69" i="65"/>
  <c r="W66" i="65"/>
  <c r="O68" i="65"/>
  <c r="N81" i="65"/>
  <c r="I77" i="65"/>
  <c r="R77" i="65" s="1"/>
  <c r="I78" i="65"/>
  <c r="O78" i="65"/>
  <c r="H79" i="65"/>
  <c r="H80" i="65"/>
  <c r="T81" i="65"/>
  <c r="O84" i="65"/>
  <c r="J96" i="65"/>
  <c r="I87" i="65"/>
  <c r="R87" i="65" s="1"/>
  <c r="Y87" i="65" s="1"/>
  <c r="O87" i="65"/>
  <c r="H88" i="65"/>
  <c r="W88" i="65"/>
  <c r="I89" i="65"/>
  <c r="R89" i="65" s="1"/>
  <c r="Y89" i="65" s="1"/>
  <c r="M90" i="65"/>
  <c r="M91" i="65"/>
  <c r="L93" i="65"/>
  <c r="W93" i="65"/>
  <c r="O95" i="65"/>
  <c r="O99" i="65"/>
  <c r="K100" i="65"/>
  <c r="L108" i="65"/>
  <c r="W108" i="65"/>
  <c r="I109" i="65"/>
  <c r="O109" i="65"/>
  <c r="K114" i="65"/>
  <c r="H115" i="65"/>
  <c r="M115" i="65"/>
  <c r="K117" i="65"/>
  <c r="H118" i="65"/>
  <c r="L118" i="65"/>
  <c r="I119" i="65"/>
  <c r="L120" i="65"/>
  <c r="I123" i="65"/>
  <c r="L140" i="65"/>
  <c r="M156" i="65"/>
  <c r="W166" i="65"/>
  <c r="K77" i="65"/>
  <c r="O77" i="65"/>
  <c r="L78" i="65"/>
  <c r="I79" i="65"/>
  <c r="I80" i="65"/>
  <c r="O80" i="65"/>
  <c r="L87" i="65"/>
  <c r="I88" i="65"/>
  <c r="O88" i="65"/>
  <c r="K89" i="65"/>
  <c r="O89" i="65"/>
  <c r="W91" i="65"/>
  <c r="R93" i="65"/>
  <c r="Y93" i="65" s="1"/>
  <c r="W94" i="65"/>
  <c r="V96" i="65"/>
  <c r="L100" i="65"/>
  <c r="U103" i="65"/>
  <c r="M107" i="65"/>
  <c r="W107" i="65"/>
  <c r="L109" i="65"/>
  <c r="H114" i="65"/>
  <c r="I115" i="65"/>
  <c r="H117" i="65"/>
  <c r="L117" i="65"/>
  <c r="I118" i="65"/>
  <c r="O118" i="65"/>
  <c r="L119" i="65"/>
  <c r="M122" i="65"/>
  <c r="K123" i="65"/>
  <c r="W130" i="65"/>
  <c r="Y130" i="65" s="1"/>
  <c r="W132" i="65"/>
  <c r="I134" i="65"/>
  <c r="K135" i="65"/>
  <c r="W135" i="65"/>
  <c r="O136" i="65"/>
  <c r="H140" i="65"/>
  <c r="M140" i="65"/>
  <c r="K141" i="65"/>
  <c r="I142" i="65"/>
  <c r="I145" i="65"/>
  <c r="K146" i="65"/>
  <c r="W146" i="65"/>
  <c r="K147" i="65"/>
  <c r="K149" i="65"/>
  <c r="K150" i="65"/>
  <c r="I151" i="65"/>
  <c r="M155" i="65"/>
  <c r="I156" i="65"/>
  <c r="M160" i="65"/>
  <c r="L161" i="65"/>
  <c r="K162" i="65"/>
  <c r="O162" i="65"/>
  <c r="R162" i="65" s="1"/>
  <c r="H163" i="65"/>
  <c r="O163" i="65"/>
  <c r="M166" i="65"/>
  <c r="M167" i="65"/>
  <c r="W168" i="65"/>
  <c r="L172" i="65"/>
  <c r="K173" i="65"/>
  <c r="I174" i="65"/>
  <c r="R74" i="65"/>
  <c r="Y74" i="65" s="1"/>
  <c r="M78" i="65"/>
  <c r="L79" i="65"/>
  <c r="L80" i="65"/>
  <c r="M87" i="65"/>
  <c r="L88" i="65"/>
  <c r="W89" i="65"/>
  <c r="R107" i="65"/>
  <c r="O108" i="65"/>
  <c r="M109" i="65"/>
  <c r="N111" i="65"/>
  <c r="K115" i="65"/>
  <c r="W115" i="65"/>
  <c r="M119" i="65"/>
  <c r="W134" i="65"/>
  <c r="M135" i="65"/>
  <c r="I140" i="65"/>
  <c r="L141" i="65"/>
  <c r="K142" i="65"/>
  <c r="K145" i="65"/>
  <c r="L146" i="65"/>
  <c r="L147" i="65"/>
  <c r="L149" i="65"/>
  <c r="L150" i="65"/>
  <c r="K151" i="65"/>
  <c r="O151" i="65"/>
  <c r="O153" i="65"/>
  <c r="K156" i="65"/>
  <c r="O159" i="65"/>
  <c r="I163" i="65"/>
  <c r="W163" i="65"/>
  <c r="W169" i="65"/>
  <c r="L173" i="65"/>
  <c r="K174" i="65"/>
  <c r="O174" i="65"/>
  <c r="R78" i="65"/>
  <c r="Y78" i="65" s="1"/>
  <c r="M79" i="65"/>
  <c r="M80" i="65"/>
  <c r="M88" i="65"/>
  <c r="M99" i="65"/>
  <c r="L115" i="65"/>
  <c r="K118" i="65"/>
  <c r="M132" i="65"/>
  <c r="O134" i="65"/>
  <c r="O135" i="65"/>
  <c r="W136" i="65"/>
  <c r="K140" i="65"/>
  <c r="L142" i="65"/>
  <c r="R147" i="65"/>
  <c r="W154" i="65"/>
  <c r="L156" i="65"/>
  <c r="W167" i="65"/>
  <c r="R168" i="65"/>
  <c r="M173" i="65"/>
  <c r="W174" i="65"/>
  <c r="W49" i="65"/>
  <c r="U51" i="65"/>
  <c r="W25" i="65"/>
  <c r="W118" i="65"/>
  <c r="W16" i="65"/>
  <c r="W149" i="65"/>
  <c r="W147" i="65"/>
  <c r="Y147" i="65" s="1"/>
  <c r="W17" i="65"/>
  <c r="W44" i="65"/>
  <c r="U124" i="65"/>
  <c r="W36" i="65"/>
  <c r="W37" i="65" s="1"/>
  <c r="W77" i="65"/>
  <c r="W90" i="65"/>
  <c r="U111" i="65"/>
  <c r="W139" i="65"/>
  <c r="U70" i="65"/>
  <c r="W102" i="65"/>
  <c r="W117" i="65"/>
  <c r="W151" i="65"/>
  <c r="Y20" i="65"/>
  <c r="W65" i="65"/>
  <c r="U96" i="65"/>
  <c r="U179" i="65"/>
  <c r="Z180" i="65"/>
  <c r="Z182" i="65" s="1"/>
  <c r="R28" i="65"/>
  <c r="Y28" i="65" s="1"/>
  <c r="R41" i="65"/>
  <c r="T37" i="65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/>
  <c r="Y12" i="65" s="1"/>
  <c r="H13" i="65"/>
  <c r="O13" i="65"/>
  <c r="H16" i="65"/>
  <c r="O16" i="65"/>
  <c r="I21" i="65"/>
  <c r="I22" i="65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M47" i="65"/>
  <c r="H48" i="65"/>
  <c r="M50" i="65"/>
  <c r="R50" i="65" s="1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R86" i="65" s="1"/>
  <c r="K86" i="65"/>
  <c r="O86" i="65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O73" i="65"/>
  <c r="H73" i="65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F33" i="65"/>
  <c r="W41" i="65"/>
  <c r="L42" i="65"/>
  <c r="M44" i="65"/>
  <c r="I47" i="65"/>
  <c r="M48" i="65"/>
  <c r="I49" i="65"/>
  <c r="M56" i="65"/>
  <c r="I62" i="65"/>
  <c r="W63" i="65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K47" i="65"/>
  <c r="K51" i="65" s="1"/>
  <c r="O48" i="65"/>
  <c r="F51" i="65"/>
  <c r="V51" i="65"/>
  <c r="W55" i="65"/>
  <c r="Y55" i="65" s="1"/>
  <c r="L59" i="65"/>
  <c r="W60" i="65"/>
  <c r="K62" i="65"/>
  <c r="M64" i="65"/>
  <c r="L67" i="65"/>
  <c r="L84" i="65"/>
  <c r="F96" i="65"/>
  <c r="I84" i="65"/>
  <c r="R84" i="65" s="1"/>
  <c r="M84" i="65"/>
  <c r="K85" i="65"/>
  <c r="O85" i="65"/>
  <c r="I85" i="65"/>
  <c r="R85" i="65" s="1"/>
  <c r="Y85" i="65" s="1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I61" i="65"/>
  <c r="F103" i="65"/>
  <c r="L106" i="65"/>
  <c r="F111" i="65"/>
  <c r="O106" i="65"/>
  <c r="H106" i="65"/>
  <c r="M106" i="65"/>
  <c r="K106" i="65"/>
  <c r="K111" i="65" s="1"/>
  <c r="I106" i="65"/>
  <c r="O79" i="65"/>
  <c r="H90" i="65"/>
  <c r="O90" i="65"/>
  <c r="M95" i="65"/>
  <c r="I95" i="65"/>
  <c r="W95" i="65"/>
  <c r="H100" i="65"/>
  <c r="I102" i="65"/>
  <c r="W109" i="65"/>
  <c r="K110" i="65"/>
  <c r="L116" i="65"/>
  <c r="H116" i="65"/>
  <c r="H120" i="65"/>
  <c r="K121" i="65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L164" i="65"/>
  <c r="K164" i="65"/>
  <c r="M164" i="65"/>
  <c r="I164" i="65"/>
  <c r="O164" i="65"/>
  <c r="I99" i="65"/>
  <c r="M100" i="65"/>
  <c r="I100" i="65"/>
  <c r="L102" i="65"/>
  <c r="H102" i="65"/>
  <c r="I108" i="65"/>
  <c r="M108" i="65"/>
  <c r="I110" i="65"/>
  <c r="I120" i="65"/>
  <c r="M120" i="65"/>
  <c r="H121" i="65"/>
  <c r="H132" i="65"/>
  <c r="I138" i="65"/>
  <c r="H138" i="65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H164" i="65"/>
  <c r="F124" i="65"/>
  <c r="M114" i="65"/>
  <c r="R114" i="65" s="1"/>
  <c r="O119" i="65"/>
  <c r="R119" i="65" s="1"/>
  <c r="Y119" i="65" s="1"/>
  <c r="O122" i="65"/>
  <c r="O128" i="65"/>
  <c r="H128" i="65"/>
  <c r="F179" i="65"/>
  <c r="W129" i="65"/>
  <c r="H136" i="65"/>
  <c r="I137" i="65"/>
  <c r="K139" i="65"/>
  <c r="L152" i="65"/>
  <c r="K152" i="65"/>
  <c r="L158" i="65"/>
  <c r="R158" i="65" s="1"/>
  <c r="Y158" i="65" s="1"/>
  <c r="K158" i="65"/>
  <c r="K165" i="65"/>
  <c r="I165" i="65"/>
  <c r="I169" i="65"/>
  <c r="I175" i="65"/>
  <c r="S124" i="65"/>
  <c r="K128" i="65"/>
  <c r="W131" i="65"/>
  <c r="L134" i="65"/>
  <c r="L135" i="65"/>
  <c r="M136" i="65"/>
  <c r="M145" i="65"/>
  <c r="L145" i="65"/>
  <c r="M152" i="65"/>
  <c r="I154" i="65"/>
  <c r="O154" i="65"/>
  <c r="H154" i="65"/>
  <c r="M158" i="65"/>
  <c r="I160" i="65"/>
  <c r="O160" i="65"/>
  <c r="H160" i="65"/>
  <c r="M163" i="65"/>
  <c r="L163" i="65"/>
  <c r="R163" i="65" s="1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I139" i="65"/>
  <c r="H139" i="65"/>
  <c r="N179" i="65"/>
  <c r="K153" i="65"/>
  <c r="I153" i="65"/>
  <c r="R153" i="65" s="1"/>
  <c r="Y153" i="65" s="1"/>
  <c r="W156" i="65"/>
  <c r="K159" i="65"/>
  <c r="I159" i="65"/>
  <c r="K166" i="65"/>
  <c r="H169" i="65"/>
  <c r="L171" i="65"/>
  <c r="H175" i="65"/>
  <c r="L177" i="65"/>
  <c r="O141" i="65"/>
  <c r="H172" i="65"/>
  <c r="O172" i="65"/>
  <c r="H178" i="65"/>
  <c r="O178" i="65"/>
  <c r="R127" i="65"/>
  <c r="H141" i="65"/>
  <c r="H155" i="65"/>
  <c r="R155" i="65" s="1"/>
  <c r="Y155" i="65" s="1"/>
  <c r="H156" i="65"/>
  <c r="H161" i="65"/>
  <c r="H167" i="65"/>
  <c r="R167" i="65" s="1"/>
  <c r="Y167" i="65" s="1"/>
  <c r="I172" i="65"/>
  <c r="H173" i="65"/>
  <c r="I178" i="65"/>
  <c r="R108" i="65" l="1"/>
  <c r="Y108" i="65" s="1"/>
  <c r="K124" i="65"/>
  <c r="R170" i="65"/>
  <c r="Y170" i="65" s="1"/>
  <c r="I81" i="65"/>
  <c r="H81" i="65"/>
  <c r="T180" i="65"/>
  <c r="Y168" i="65"/>
  <c r="R161" i="65"/>
  <c r="Y161" i="65" s="1"/>
  <c r="R152" i="65"/>
  <c r="Y152" i="65" s="1"/>
  <c r="R135" i="65"/>
  <c r="Y135" i="65" s="1"/>
  <c r="R122" i="65"/>
  <c r="Y122" i="65" s="1"/>
  <c r="I124" i="65"/>
  <c r="Y109" i="65"/>
  <c r="R79" i="65"/>
  <c r="Y79" i="65" s="1"/>
  <c r="K96" i="65"/>
  <c r="R22" i="65"/>
  <c r="Y22" i="65" s="1"/>
  <c r="R36" i="65"/>
  <c r="Y107" i="65"/>
  <c r="R91" i="65"/>
  <c r="Y91" i="65" s="1"/>
  <c r="R14" i="65"/>
  <c r="Y14" i="65" s="1"/>
  <c r="R32" i="65"/>
  <c r="Y32" i="65" s="1"/>
  <c r="R173" i="65"/>
  <c r="R156" i="65"/>
  <c r="R169" i="65"/>
  <c r="Y169" i="65" s="1"/>
  <c r="R139" i="65"/>
  <c r="R145" i="65"/>
  <c r="Y145" i="65" s="1"/>
  <c r="R134" i="65"/>
  <c r="Y134" i="65" s="1"/>
  <c r="R176" i="65"/>
  <c r="Y176" i="65" s="1"/>
  <c r="R123" i="65"/>
  <c r="Y123" i="65" s="1"/>
  <c r="R61" i="65"/>
  <c r="Y61" i="65" s="1"/>
  <c r="O51" i="65"/>
  <c r="K33" i="65"/>
  <c r="R133" i="65"/>
  <c r="Y133" i="65" s="1"/>
  <c r="S180" i="65"/>
  <c r="H51" i="65"/>
  <c r="K81" i="65"/>
  <c r="R46" i="65"/>
  <c r="Y46" i="65" s="1"/>
  <c r="Y77" i="65"/>
  <c r="R63" i="65"/>
  <c r="Y63" i="65" s="1"/>
  <c r="R29" i="65"/>
  <c r="Y29" i="65"/>
  <c r="Y149" i="65"/>
  <c r="R136" i="65"/>
  <c r="Y136" i="65" s="1"/>
  <c r="H179" i="65"/>
  <c r="R121" i="65"/>
  <c r="Y121" i="65" s="1"/>
  <c r="I111" i="65"/>
  <c r="M179" i="65"/>
  <c r="L70" i="65"/>
  <c r="L33" i="65"/>
  <c r="R67" i="65"/>
  <c r="Y67" i="65" s="1"/>
  <c r="R30" i="65"/>
  <c r="Y30" i="65" s="1"/>
  <c r="R24" i="65"/>
  <c r="Y24" i="65" s="1"/>
  <c r="R150" i="65"/>
  <c r="Y150" i="65" s="1"/>
  <c r="R80" i="65"/>
  <c r="Y80" i="65" s="1"/>
  <c r="R66" i="65"/>
  <c r="Y66" i="65" s="1"/>
  <c r="R178" i="65"/>
  <c r="Y178" i="65" s="1"/>
  <c r="R177" i="65"/>
  <c r="Y177" i="65" s="1"/>
  <c r="R166" i="65"/>
  <c r="Y166" i="65" s="1"/>
  <c r="R175" i="65"/>
  <c r="Y175" i="65" s="1"/>
  <c r="R138" i="65"/>
  <c r="Y138" i="65" s="1"/>
  <c r="R148" i="65"/>
  <c r="Y148" i="65" s="1"/>
  <c r="R110" i="65"/>
  <c r="Y110" i="65" s="1"/>
  <c r="L103" i="65"/>
  <c r="L124" i="65"/>
  <c r="R100" i="65"/>
  <c r="Y100" i="65" s="1"/>
  <c r="K179" i="65"/>
  <c r="R68" i="65"/>
  <c r="Y68" i="65" s="1"/>
  <c r="R47" i="65"/>
  <c r="Y47" i="65" s="1"/>
  <c r="R101" i="65"/>
  <c r="Y101" i="65" s="1"/>
  <c r="O96" i="65"/>
  <c r="N180" i="65"/>
  <c r="R48" i="65"/>
  <c r="Y48" i="65" s="1"/>
  <c r="R23" i="65"/>
  <c r="Y23" i="65" s="1"/>
  <c r="R64" i="65"/>
  <c r="Y64" i="65" s="1"/>
  <c r="R174" i="65"/>
  <c r="Y174" i="65" s="1"/>
  <c r="R140" i="65"/>
  <c r="Y140" i="65" s="1"/>
  <c r="R65" i="65"/>
  <c r="Y65" i="65" s="1"/>
  <c r="R141" i="65"/>
  <c r="R159" i="65"/>
  <c r="Y159" i="65" s="1"/>
  <c r="R137" i="65"/>
  <c r="Y137" i="65" s="1"/>
  <c r="R171" i="65"/>
  <c r="Y171" i="65" s="1"/>
  <c r="R128" i="65"/>
  <c r="Y128" i="65" s="1"/>
  <c r="R144" i="65"/>
  <c r="Y144" i="65" s="1"/>
  <c r="L111" i="65"/>
  <c r="L179" i="65"/>
  <c r="M51" i="65"/>
  <c r="M33" i="65"/>
  <c r="H33" i="65"/>
  <c r="W56" i="65"/>
  <c r="R42" i="65"/>
  <c r="Y42" i="65" s="1"/>
  <c r="R31" i="65"/>
  <c r="Y31" i="65" s="1"/>
  <c r="O33" i="65"/>
  <c r="R11" i="65"/>
  <c r="Y11" i="65" s="1"/>
  <c r="Y41" i="65"/>
  <c r="R142" i="65"/>
  <c r="Y142" i="65" s="1"/>
  <c r="R117" i="65"/>
  <c r="Y117" i="65" s="1"/>
  <c r="R88" i="65"/>
  <c r="Y88" i="65" s="1"/>
  <c r="V180" i="65"/>
  <c r="R172" i="65"/>
  <c r="Y172" i="65" s="1"/>
  <c r="R160" i="65"/>
  <c r="Y160" i="65" s="1"/>
  <c r="R154" i="65"/>
  <c r="Y154" i="65" s="1"/>
  <c r="R165" i="65"/>
  <c r="Y165" i="65" s="1"/>
  <c r="R102" i="65"/>
  <c r="Y102" i="65" s="1"/>
  <c r="I103" i="65"/>
  <c r="O179" i="65"/>
  <c r="R120" i="65"/>
  <c r="Y120" i="65" s="1"/>
  <c r="R95" i="65"/>
  <c r="Y95" i="65" s="1"/>
  <c r="R131" i="65"/>
  <c r="Y131" i="65" s="1"/>
  <c r="R27" i="65"/>
  <c r="Y27" i="65" s="1"/>
  <c r="R129" i="65"/>
  <c r="Y129" i="65" s="1"/>
  <c r="L51" i="65"/>
  <c r="L180" i="65" s="1"/>
  <c r="W103" i="65"/>
  <c r="R151" i="65"/>
  <c r="Y151" i="65" s="1"/>
  <c r="R115" i="65"/>
  <c r="Y115" i="65" s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U180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W179" i="65"/>
  <c r="Y40" i="65"/>
  <c r="W111" i="65"/>
  <c r="R94" i="65"/>
  <c r="Y94" i="65" s="1"/>
  <c r="R92" i="65"/>
  <c r="Y92" i="65" s="1"/>
  <c r="R13" i="65"/>
  <c r="Y13" i="65" s="1"/>
  <c r="O70" i="65"/>
  <c r="U177" i="1"/>
  <c r="U176" i="1"/>
  <c r="U65" i="1"/>
  <c r="U79" i="1"/>
  <c r="M180" i="65" l="1"/>
  <c r="H180" i="65"/>
  <c r="K180" i="65"/>
  <c r="R179" i="65"/>
  <c r="O180" i="65"/>
  <c r="I180" i="65"/>
  <c r="X79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0" i="1"/>
  <c r="U91" i="1"/>
  <c r="U68" i="1"/>
  <c r="T68" i="1"/>
  <c r="T26" i="1"/>
  <c r="X26" i="1" s="1"/>
  <c r="R180" i="65" l="1"/>
  <c r="Y180" i="65"/>
  <c r="U137" i="1" l="1"/>
  <c r="U125" i="1"/>
  <c r="U173" i="1"/>
  <c r="T173" i="1"/>
  <c r="U127" i="1"/>
  <c r="T127" i="1"/>
  <c r="X173" i="1" l="1"/>
  <c r="E54" i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l="1"/>
  <c r="N180" i="64" s="1"/>
  <c r="G180" i="64"/>
  <c r="D180" i="64"/>
  <c r="Q179" i="64"/>
  <c r="P179" i="64"/>
  <c r="X178" i="64"/>
  <c r="X179" i="64" s="1"/>
  <c r="T178" i="64"/>
  <c r="S178" i="64"/>
  <c r="I178" i="64"/>
  <c r="F178" i="64"/>
  <c r="M178" i="64" s="1"/>
  <c r="T177" i="64"/>
  <c r="S177" i="64"/>
  <c r="I177" i="64"/>
  <c r="F177" i="64"/>
  <c r="T176" i="64"/>
  <c r="S176" i="64"/>
  <c r="W176" i="64" s="1"/>
  <c r="F176" i="64"/>
  <c r="M176" i="64" s="1"/>
  <c r="S175" i="64"/>
  <c r="W175" i="64" s="1"/>
  <c r="H175" i="64"/>
  <c r="F175" i="64"/>
  <c r="M175" i="64" s="1"/>
  <c r="T174" i="64"/>
  <c r="S174" i="64"/>
  <c r="F174" i="64"/>
  <c r="T173" i="64"/>
  <c r="S173" i="64"/>
  <c r="F173" i="64"/>
  <c r="M173" i="64" s="1"/>
  <c r="T172" i="64"/>
  <c r="S172" i="64"/>
  <c r="F172" i="64"/>
  <c r="L172" i="64" s="1"/>
  <c r="T171" i="64"/>
  <c r="S171" i="64"/>
  <c r="W171" i="64" s="1"/>
  <c r="O171" i="64"/>
  <c r="K171" i="64"/>
  <c r="I171" i="64"/>
  <c r="H171" i="64"/>
  <c r="F171" i="64"/>
  <c r="L171" i="64" s="1"/>
  <c r="T170" i="64"/>
  <c r="S170" i="64"/>
  <c r="W170" i="64" s="1"/>
  <c r="F170" i="64"/>
  <c r="S169" i="64"/>
  <c r="W169" i="64" s="1"/>
  <c r="F169" i="64"/>
  <c r="W168" i="64"/>
  <c r="T168" i="64"/>
  <c r="S168" i="64"/>
  <c r="F168" i="64"/>
  <c r="L168" i="64" s="1"/>
  <c r="T167" i="64"/>
  <c r="S167" i="64"/>
  <c r="F167" i="64"/>
  <c r="S166" i="64"/>
  <c r="W166" i="64" s="1"/>
  <c r="F166" i="64"/>
  <c r="T165" i="64"/>
  <c r="S165" i="64"/>
  <c r="M165" i="64"/>
  <c r="K165" i="64"/>
  <c r="F165" i="64"/>
  <c r="H165" i="64" s="1"/>
  <c r="T164" i="64"/>
  <c r="S164" i="64"/>
  <c r="W164" i="64" s="1"/>
  <c r="F164" i="64"/>
  <c r="T163" i="64"/>
  <c r="S163" i="64"/>
  <c r="W163" i="64" s="1"/>
  <c r="K163" i="64"/>
  <c r="F163" i="64"/>
  <c r="O163" i="64" s="1"/>
  <c r="T162" i="64"/>
  <c r="S162" i="64"/>
  <c r="F162" i="64"/>
  <c r="L162" i="64" s="1"/>
  <c r="W161" i="64"/>
  <c r="T161" i="64"/>
  <c r="S161" i="64"/>
  <c r="M161" i="64"/>
  <c r="F161" i="64"/>
  <c r="L161" i="64" s="1"/>
  <c r="T160" i="64"/>
  <c r="S160" i="64"/>
  <c r="L160" i="64"/>
  <c r="I160" i="64"/>
  <c r="F160" i="64"/>
  <c r="T159" i="64"/>
  <c r="S159" i="64"/>
  <c r="W159" i="64" s="1"/>
  <c r="K159" i="64"/>
  <c r="F159" i="64"/>
  <c r="O159" i="64" s="1"/>
  <c r="T158" i="64"/>
  <c r="S158" i="64"/>
  <c r="F158" i="64"/>
  <c r="T157" i="64"/>
  <c r="S157" i="64"/>
  <c r="W157" i="64" s="1"/>
  <c r="F157" i="64"/>
  <c r="M157" i="64" s="1"/>
  <c r="U156" i="64"/>
  <c r="T156" i="64"/>
  <c r="S156" i="64"/>
  <c r="L156" i="64"/>
  <c r="F156" i="64"/>
  <c r="K156" i="64" s="1"/>
  <c r="T155" i="64"/>
  <c r="W155" i="64" s="1"/>
  <c r="K155" i="64"/>
  <c r="F155" i="64"/>
  <c r="O155" i="64" s="1"/>
  <c r="T154" i="64"/>
  <c r="S154" i="64"/>
  <c r="F154" i="64"/>
  <c r="L154" i="64" s="1"/>
  <c r="T153" i="64"/>
  <c r="S153" i="64"/>
  <c r="K153" i="64"/>
  <c r="H153" i="64"/>
  <c r="F153" i="64"/>
  <c r="O153" i="64" s="1"/>
  <c r="T152" i="64"/>
  <c r="S152" i="64"/>
  <c r="F152" i="64"/>
  <c r="U151" i="64"/>
  <c r="T151" i="64"/>
  <c r="S151" i="64"/>
  <c r="F151" i="64"/>
  <c r="V150" i="64"/>
  <c r="S150" i="64"/>
  <c r="K150" i="64"/>
  <c r="H150" i="64"/>
  <c r="F150" i="64"/>
  <c r="L150" i="64" s="1"/>
  <c r="U149" i="64"/>
  <c r="T149" i="64"/>
  <c r="L149" i="64"/>
  <c r="F149" i="64"/>
  <c r="S148" i="64"/>
  <c r="W148" i="64" s="1"/>
  <c r="F148" i="64"/>
  <c r="U147" i="64"/>
  <c r="T147" i="64"/>
  <c r="S147" i="64"/>
  <c r="I147" i="64"/>
  <c r="F147" i="64"/>
  <c r="T146" i="64"/>
  <c r="S146" i="64"/>
  <c r="F146" i="64"/>
  <c r="M146" i="64" s="1"/>
  <c r="T145" i="64"/>
  <c r="W145" i="64" s="1"/>
  <c r="F145" i="64"/>
  <c r="M145" i="64" s="1"/>
  <c r="T144" i="64"/>
  <c r="W144" i="64" s="1"/>
  <c r="F144" i="64"/>
  <c r="M144" i="64" s="1"/>
  <c r="W143" i="64"/>
  <c r="F143" i="64"/>
  <c r="L143" i="64" s="1"/>
  <c r="W142" i="64"/>
  <c r="M142" i="64"/>
  <c r="F142" i="64"/>
  <c r="K142" i="64" s="1"/>
  <c r="U141" i="64"/>
  <c r="T141" i="64"/>
  <c r="S141" i="64"/>
  <c r="F141" i="64"/>
  <c r="L141" i="64" s="1"/>
  <c r="T140" i="64"/>
  <c r="S140" i="64"/>
  <c r="F140" i="64"/>
  <c r="V139" i="64"/>
  <c r="U139" i="64"/>
  <c r="T139" i="64"/>
  <c r="S139" i="64"/>
  <c r="M139" i="64"/>
  <c r="K139" i="64"/>
  <c r="H139" i="64"/>
  <c r="F139" i="64"/>
  <c r="O139" i="64" s="1"/>
  <c r="T138" i="64"/>
  <c r="S138" i="64"/>
  <c r="F138" i="64"/>
  <c r="T137" i="64"/>
  <c r="W137" i="64" s="1"/>
  <c r="L137" i="64"/>
  <c r="I137" i="64"/>
  <c r="F137" i="64"/>
  <c r="V136" i="64"/>
  <c r="S136" i="64"/>
  <c r="W136" i="64" s="1"/>
  <c r="O136" i="64"/>
  <c r="F136" i="64"/>
  <c r="M136" i="64" s="1"/>
  <c r="T135" i="64"/>
  <c r="S135" i="64"/>
  <c r="F135" i="64"/>
  <c r="L135" i="64" s="1"/>
  <c r="U134" i="64"/>
  <c r="T134" i="64"/>
  <c r="S134" i="64"/>
  <c r="F134" i="64"/>
  <c r="U133" i="64"/>
  <c r="T133" i="64"/>
  <c r="F133" i="64"/>
  <c r="O133" i="64" s="1"/>
  <c r="V132" i="64"/>
  <c r="U132" i="64"/>
  <c r="T132" i="64"/>
  <c r="K132" i="64"/>
  <c r="F132" i="64"/>
  <c r="L132" i="64" s="1"/>
  <c r="V131" i="64"/>
  <c r="T131" i="64"/>
  <c r="S131" i="64"/>
  <c r="F131" i="64"/>
  <c r="L131" i="64" s="1"/>
  <c r="U130" i="64"/>
  <c r="S130" i="64"/>
  <c r="O130" i="64"/>
  <c r="M130" i="64"/>
  <c r="L130" i="64"/>
  <c r="K130" i="64"/>
  <c r="I130" i="64"/>
  <c r="H130" i="64"/>
  <c r="V129" i="64"/>
  <c r="T129" i="64"/>
  <c r="S129" i="64"/>
  <c r="F129" i="64"/>
  <c r="L129" i="64" s="1"/>
  <c r="V128" i="64"/>
  <c r="S128" i="64"/>
  <c r="J128" i="64"/>
  <c r="J179" i="64" s="1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I123" i="64"/>
  <c r="F123" i="64"/>
  <c r="M123" i="64" s="1"/>
  <c r="S122" i="64"/>
  <c r="W122" i="64" s="1"/>
  <c r="O122" i="64"/>
  <c r="K122" i="64"/>
  <c r="I122" i="64"/>
  <c r="F122" i="64"/>
  <c r="M122" i="64" s="1"/>
  <c r="V121" i="64"/>
  <c r="U121" i="64"/>
  <c r="T121" i="64"/>
  <c r="S121" i="64"/>
  <c r="I121" i="64"/>
  <c r="F121" i="64"/>
  <c r="L121" i="64" s="1"/>
  <c r="V120" i="64"/>
  <c r="U120" i="64"/>
  <c r="T120" i="64"/>
  <c r="S120" i="64"/>
  <c r="Q120" i="64"/>
  <c r="F120" i="64"/>
  <c r="I120" i="64" s="1"/>
  <c r="V119" i="64"/>
  <c r="T119" i="64"/>
  <c r="S119" i="64"/>
  <c r="F119" i="64"/>
  <c r="L119" i="64" s="1"/>
  <c r="V118" i="64"/>
  <c r="U118" i="64"/>
  <c r="S118" i="64"/>
  <c r="Q118" i="64"/>
  <c r="O118" i="64"/>
  <c r="J118" i="64"/>
  <c r="F118" i="64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Q115" i="64"/>
  <c r="Q124" i="64" s="1"/>
  <c r="F115" i="64"/>
  <c r="O115" i="64" s="1"/>
  <c r="V114" i="64"/>
  <c r="U114" i="64"/>
  <c r="T114" i="64"/>
  <c r="S114" i="64"/>
  <c r="J114" i="64"/>
  <c r="J124" i="64" s="1"/>
  <c r="F114" i="64"/>
  <c r="F124" i="64" s="1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M108" i="64" s="1"/>
  <c r="U107" i="64"/>
  <c r="T107" i="64"/>
  <c r="F107" i="64"/>
  <c r="V106" i="64"/>
  <c r="S106" i="64"/>
  <c r="F106" i="64"/>
  <c r="O106" i="64" s="1"/>
  <c r="X103" i="64"/>
  <c r="P103" i="64"/>
  <c r="J103" i="64"/>
  <c r="U102" i="64"/>
  <c r="S102" i="64"/>
  <c r="H102" i="64"/>
  <c r="F102" i="64"/>
  <c r="O102" i="64" s="1"/>
  <c r="T101" i="64"/>
  <c r="T103" i="64" s="1"/>
  <c r="S101" i="64"/>
  <c r="F101" i="64"/>
  <c r="I101" i="64" s="1"/>
  <c r="V100" i="64"/>
  <c r="V103" i="64" s="1"/>
  <c r="U100" i="64"/>
  <c r="K100" i="64"/>
  <c r="H100" i="64"/>
  <c r="F100" i="64"/>
  <c r="F103" i="64" s="1"/>
  <c r="X97" i="64"/>
  <c r="Q97" i="64"/>
  <c r="P97" i="64"/>
  <c r="V96" i="64"/>
  <c r="S96" i="64"/>
  <c r="O96" i="64"/>
  <c r="K96" i="64"/>
  <c r="F96" i="64"/>
  <c r="M96" i="64" s="1"/>
  <c r="W95" i="64"/>
  <c r="V95" i="64"/>
  <c r="T95" i="64"/>
  <c r="S95" i="64"/>
  <c r="O95" i="64"/>
  <c r="M95" i="64"/>
  <c r="F95" i="64"/>
  <c r="H95" i="64" s="1"/>
  <c r="V94" i="64"/>
  <c r="T94" i="64"/>
  <c r="W94" i="64" s="1"/>
  <c r="S94" i="64"/>
  <c r="K94" i="64"/>
  <c r="F94" i="64"/>
  <c r="H94" i="64" s="1"/>
  <c r="V93" i="64"/>
  <c r="S93" i="64"/>
  <c r="K93" i="64"/>
  <c r="I93" i="64"/>
  <c r="F93" i="64"/>
  <c r="M93" i="64" s="1"/>
  <c r="V92" i="64"/>
  <c r="T92" i="64"/>
  <c r="S92" i="64"/>
  <c r="F92" i="64"/>
  <c r="U91" i="64"/>
  <c r="W91" i="64" s="1"/>
  <c r="S91" i="64"/>
  <c r="F91" i="64"/>
  <c r="O91" i="64" s="1"/>
  <c r="V90" i="64"/>
  <c r="T90" i="64"/>
  <c r="S90" i="64"/>
  <c r="W90" i="64" s="1"/>
  <c r="K90" i="64"/>
  <c r="F90" i="64"/>
  <c r="O90" i="64" s="1"/>
  <c r="V89" i="64"/>
  <c r="U89" i="64"/>
  <c r="T89" i="64"/>
  <c r="S89" i="64"/>
  <c r="F89" i="64"/>
  <c r="K89" i="64" s="1"/>
  <c r="V88" i="64"/>
  <c r="W88" i="64" s="1"/>
  <c r="F88" i="64"/>
  <c r="M88" i="64" s="1"/>
  <c r="V87" i="64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F85" i="64"/>
  <c r="O85" i="64" s="1"/>
  <c r="Q82" i="64"/>
  <c r="P82" i="64"/>
  <c r="J82" i="64"/>
  <c r="X81" i="64"/>
  <c r="V81" i="64"/>
  <c r="S81" i="64"/>
  <c r="F81" i="64"/>
  <c r="X80" i="64"/>
  <c r="V80" i="64"/>
  <c r="S80" i="64"/>
  <c r="L80" i="64"/>
  <c r="K80" i="64"/>
  <c r="F80" i="64"/>
  <c r="O80" i="64" s="1"/>
  <c r="X79" i="64"/>
  <c r="W79" i="64"/>
  <c r="S79" i="64"/>
  <c r="K79" i="64"/>
  <c r="F79" i="64"/>
  <c r="M79" i="64" s="1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F74" i="64"/>
  <c r="I74" i="64" s="1"/>
  <c r="Q71" i="64"/>
  <c r="P71" i="64"/>
  <c r="V70" i="64"/>
  <c r="W70" i="64" s="1"/>
  <c r="O70" i="64"/>
  <c r="H70" i="64"/>
  <c r="F70" i="64"/>
  <c r="L70" i="64" s="1"/>
  <c r="V69" i="64"/>
  <c r="W69" i="64" s="1"/>
  <c r="F69" i="64"/>
  <c r="L69" i="64" s="1"/>
  <c r="X68" i="64"/>
  <c r="S68" i="64"/>
  <c r="W68" i="64" s="1"/>
  <c r="K68" i="64"/>
  <c r="H68" i="64"/>
  <c r="F68" i="64"/>
  <c r="O68" i="64" s="1"/>
  <c r="T67" i="64"/>
  <c r="S67" i="64"/>
  <c r="F67" i="64"/>
  <c r="M67" i="64" s="1"/>
  <c r="V66" i="64"/>
  <c r="U66" i="64"/>
  <c r="T66" i="64"/>
  <c r="S66" i="64"/>
  <c r="F66" i="64"/>
  <c r="I66" i="64" s="1"/>
  <c r="T65" i="64"/>
  <c r="S65" i="64"/>
  <c r="W65" i="64" s="1"/>
  <c r="I65" i="64"/>
  <c r="F65" i="64"/>
  <c r="K65" i="64" s="1"/>
  <c r="X64" i="64"/>
  <c r="U64" i="64"/>
  <c r="T64" i="64"/>
  <c r="S64" i="64"/>
  <c r="F64" i="64"/>
  <c r="V63" i="64"/>
  <c r="S63" i="64"/>
  <c r="F63" i="64"/>
  <c r="H63" i="64" s="1"/>
  <c r="T62" i="64"/>
  <c r="S62" i="64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S60" i="64"/>
  <c r="J60" i="64"/>
  <c r="J71" i="64" s="1"/>
  <c r="F60" i="64"/>
  <c r="L60" i="64" s="1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W55" i="64"/>
  <c r="F55" i="64"/>
  <c r="F57" i="64" s="1"/>
  <c r="X52" i="64"/>
  <c r="Q52" i="64"/>
  <c r="P52" i="64"/>
  <c r="V51" i="64"/>
  <c r="U51" i="64"/>
  <c r="S51" i="64"/>
  <c r="F51" i="64"/>
  <c r="M51" i="64" s="1"/>
  <c r="U50" i="64"/>
  <c r="T50" i="64"/>
  <c r="S50" i="64"/>
  <c r="J50" i="64"/>
  <c r="J52" i="64" s="1"/>
  <c r="F50" i="64"/>
  <c r="M50" i="64" s="1"/>
  <c r="W49" i="64"/>
  <c r="F49" i="64"/>
  <c r="O49" i="64" s="1"/>
  <c r="W48" i="64"/>
  <c r="F48" i="64"/>
  <c r="O48" i="64" s="1"/>
  <c r="W47" i="64"/>
  <c r="F47" i="64"/>
  <c r="T46" i="64"/>
  <c r="S46" i="64"/>
  <c r="W46" i="64" s="1"/>
  <c r="M46" i="64"/>
  <c r="F46" i="64"/>
  <c r="H46" i="64" s="1"/>
  <c r="U45" i="64"/>
  <c r="W45" i="64" s="1"/>
  <c r="O45" i="64"/>
  <c r="I45" i="64"/>
  <c r="F45" i="64"/>
  <c r="M45" i="64" s="1"/>
  <c r="T44" i="64"/>
  <c r="S44" i="64"/>
  <c r="O44" i="64"/>
  <c r="M44" i="64"/>
  <c r="L44" i="64"/>
  <c r="K44" i="64"/>
  <c r="I44" i="64"/>
  <c r="H44" i="64"/>
  <c r="T43" i="64"/>
  <c r="S43" i="64"/>
  <c r="K43" i="64"/>
  <c r="F43" i="64"/>
  <c r="O43" i="64" s="1"/>
  <c r="T42" i="64"/>
  <c r="F42" i="64"/>
  <c r="O42" i="64" s="1"/>
  <c r="V41" i="64"/>
  <c r="V52" i="64" s="1"/>
  <c r="S41" i="64"/>
  <c r="L41" i="64"/>
  <c r="F41" i="64"/>
  <c r="K41" i="64" s="1"/>
  <c r="Q38" i="64"/>
  <c r="P38" i="64"/>
  <c r="F38" i="64"/>
  <c r="V37" i="64"/>
  <c r="V38" i="64" s="1"/>
  <c r="U37" i="64"/>
  <c r="U38" i="64" s="1"/>
  <c r="T37" i="64"/>
  <c r="T38" i="64" s="1"/>
  <c r="S37" i="64"/>
  <c r="S38" i="64" s="1"/>
  <c r="J37" i="64"/>
  <c r="J38" i="64" s="1"/>
  <c r="I37" i="64"/>
  <c r="I38" i="64" s="1"/>
  <c r="F37" i="64"/>
  <c r="M37" i="64" s="1"/>
  <c r="M38" i="64" s="1"/>
  <c r="X34" i="64"/>
  <c r="P34" i="64"/>
  <c r="P180" i="64" s="1"/>
  <c r="J34" i="64"/>
  <c r="V33" i="64"/>
  <c r="U33" i="64"/>
  <c r="S33" i="64"/>
  <c r="F33" i="64"/>
  <c r="I33" i="64" s="1"/>
  <c r="U32" i="64"/>
  <c r="S32" i="64"/>
  <c r="F32" i="64"/>
  <c r="I32" i="64" s="1"/>
  <c r="T31" i="64"/>
  <c r="S31" i="64"/>
  <c r="W31" i="64" s="1"/>
  <c r="F31" i="64"/>
  <c r="V30" i="64"/>
  <c r="U30" i="64"/>
  <c r="F30" i="64"/>
  <c r="O30" i="64" s="1"/>
  <c r="V29" i="64"/>
  <c r="S29" i="64"/>
  <c r="F29" i="64"/>
  <c r="O29" i="64" s="1"/>
  <c r="V28" i="64"/>
  <c r="W28" i="64" s="1"/>
  <c r="F28" i="64"/>
  <c r="I28" i="64" s="1"/>
  <c r="S27" i="64"/>
  <c r="W27" i="64" s="1"/>
  <c r="F27" i="64"/>
  <c r="I27" i="64" s="1"/>
  <c r="U26" i="64"/>
  <c r="T26" i="64"/>
  <c r="S26" i="64"/>
  <c r="F26" i="64"/>
  <c r="O26" i="64" s="1"/>
  <c r="T25" i="64"/>
  <c r="W25" i="64" s="1"/>
  <c r="S25" i="64"/>
  <c r="F25" i="64"/>
  <c r="L25" i="64" s="1"/>
  <c r="V24" i="64"/>
  <c r="W24" i="64" s="1"/>
  <c r="Q24" i="64"/>
  <c r="F24" i="64"/>
  <c r="V23" i="64"/>
  <c r="W23" i="64" s="1"/>
  <c r="Q23" i="64"/>
  <c r="F23" i="64"/>
  <c r="O23" i="64" s="1"/>
  <c r="W22" i="64"/>
  <c r="V22" i="64"/>
  <c r="Q22" i="64"/>
  <c r="H22" i="64"/>
  <c r="F22" i="64"/>
  <c r="M22" i="64" s="1"/>
  <c r="U21" i="64"/>
  <c r="W21" i="64" s="1"/>
  <c r="O21" i="64"/>
  <c r="M21" i="64"/>
  <c r="L21" i="64"/>
  <c r="K21" i="64"/>
  <c r="I21" i="64"/>
  <c r="H21" i="64"/>
  <c r="T20" i="64"/>
  <c r="W20" i="64" s="1"/>
  <c r="F20" i="64"/>
  <c r="L20" i="64" s="1"/>
  <c r="U19" i="64"/>
  <c r="T19" i="64"/>
  <c r="S19" i="64"/>
  <c r="Q19" i="64"/>
  <c r="I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F17" i="64"/>
  <c r="M17" i="64" s="1"/>
  <c r="U16" i="64"/>
  <c r="W16" i="64" s="1"/>
  <c r="T16" i="64"/>
  <c r="F16" i="64"/>
  <c r="L16" i="64" s="1"/>
  <c r="U15" i="64"/>
  <c r="S15" i="64"/>
  <c r="Q15" i="64"/>
  <c r="O15" i="64"/>
  <c r="M15" i="64"/>
  <c r="L15" i="64"/>
  <c r="K15" i="64"/>
  <c r="I15" i="64"/>
  <c r="H15" i="64"/>
  <c r="V14" i="64"/>
  <c r="W14" i="64" s="1"/>
  <c r="F14" i="64"/>
  <c r="O14" i="64" s="1"/>
  <c r="V13" i="64"/>
  <c r="W13" i="64" s="1"/>
  <c r="Q13" i="64"/>
  <c r="F13" i="64"/>
  <c r="V12" i="64"/>
  <c r="U12" i="64"/>
  <c r="F12" i="64"/>
  <c r="L12" i="64" s="1"/>
  <c r="T11" i="64"/>
  <c r="S11" i="64"/>
  <c r="F11" i="64"/>
  <c r="O11" i="64" s="1"/>
  <c r="U10" i="64"/>
  <c r="T10" i="64"/>
  <c r="O10" i="64"/>
  <c r="M10" i="64"/>
  <c r="L10" i="64"/>
  <c r="K10" i="64"/>
  <c r="I10" i="64"/>
  <c r="H10" i="64"/>
  <c r="W9" i="64"/>
  <c r="I4" i="64"/>
  <c r="F4" i="64"/>
  <c r="H12" i="64" l="1"/>
  <c r="M23" i="64"/>
  <c r="M25" i="64"/>
  <c r="O28" i="64"/>
  <c r="W30" i="64"/>
  <c r="O50" i="64"/>
  <c r="W67" i="64"/>
  <c r="I68" i="64"/>
  <c r="K69" i="64"/>
  <c r="M70" i="64"/>
  <c r="K88" i="64"/>
  <c r="O176" i="64"/>
  <c r="K12" i="64"/>
  <c r="R44" i="64"/>
  <c r="Y44" i="64" s="1"/>
  <c r="H50" i="64"/>
  <c r="M69" i="64"/>
  <c r="L88" i="64"/>
  <c r="O94" i="64"/>
  <c r="O100" i="64"/>
  <c r="I114" i="64"/>
  <c r="I115" i="64"/>
  <c r="W115" i="64"/>
  <c r="K123" i="64"/>
  <c r="L128" i="64"/>
  <c r="H129" i="64"/>
  <c r="H133" i="64"/>
  <c r="W150" i="64"/>
  <c r="M153" i="64"/>
  <c r="L155" i="64"/>
  <c r="I157" i="64"/>
  <c r="K175" i="64"/>
  <c r="H176" i="64"/>
  <c r="K178" i="64"/>
  <c r="M12" i="64"/>
  <c r="H14" i="64"/>
  <c r="M16" i="64"/>
  <c r="K17" i="64"/>
  <c r="H28" i="64"/>
  <c r="H30" i="64"/>
  <c r="L32" i="64"/>
  <c r="W44" i="64"/>
  <c r="I50" i="64"/>
  <c r="W63" i="64"/>
  <c r="O66" i="64"/>
  <c r="M68" i="64"/>
  <c r="H69" i="64"/>
  <c r="O69" i="64"/>
  <c r="I70" i="64"/>
  <c r="L79" i="64"/>
  <c r="I96" i="64"/>
  <c r="K115" i="64"/>
  <c r="W119" i="64"/>
  <c r="O123" i="64"/>
  <c r="O129" i="64"/>
  <c r="K133" i="64"/>
  <c r="I136" i="64"/>
  <c r="H141" i="64"/>
  <c r="I144" i="64"/>
  <c r="I145" i="64"/>
  <c r="I146" i="64"/>
  <c r="K157" i="64"/>
  <c r="H159" i="64"/>
  <c r="W160" i="64"/>
  <c r="W165" i="64"/>
  <c r="M171" i="64"/>
  <c r="W173" i="64"/>
  <c r="O175" i="64"/>
  <c r="K176" i="64"/>
  <c r="O178" i="64"/>
  <c r="W15" i="64"/>
  <c r="K25" i="64"/>
  <c r="I69" i="64"/>
  <c r="K70" i="64"/>
  <c r="M114" i="64"/>
  <c r="L115" i="64"/>
  <c r="W118" i="64"/>
  <c r="W123" i="64"/>
  <c r="I132" i="64"/>
  <c r="M133" i="64"/>
  <c r="W135" i="64"/>
  <c r="K136" i="64"/>
  <c r="W140" i="64"/>
  <c r="M141" i="64"/>
  <c r="O144" i="64"/>
  <c r="O145" i="64"/>
  <c r="O146" i="64"/>
  <c r="O157" i="64"/>
  <c r="W172" i="64"/>
  <c r="L176" i="64"/>
  <c r="W178" i="64"/>
  <c r="U111" i="64"/>
  <c r="I11" i="64"/>
  <c r="W12" i="64"/>
  <c r="L17" i="64"/>
  <c r="K19" i="64"/>
  <c r="H26" i="64"/>
  <c r="M26" i="64"/>
  <c r="M32" i="64"/>
  <c r="K33" i="64"/>
  <c r="W33" i="64"/>
  <c r="M41" i="64"/>
  <c r="I42" i="64"/>
  <c r="L43" i="64"/>
  <c r="K45" i="64"/>
  <c r="O46" i="64"/>
  <c r="L50" i="64"/>
  <c r="W50" i="64"/>
  <c r="H55" i="64"/>
  <c r="H57" i="64" s="1"/>
  <c r="V71" i="64"/>
  <c r="W62" i="64"/>
  <c r="M65" i="64"/>
  <c r="O65" i="64"/>
  <c r="H65" i="64"/>
  <c r="L65" i="64"/>
  <c r="T34" i="64"/>
  <c r="K11" i="64"/>
  <c r="V34" i="64"/>
  <c r="L19" i="64"/>
  <c r="I26" i="64"/>
  <c r="L33" i="64"/>
  <c r="K37" i="64"/>
  <c r="K38" i="64" s="1"/>
  <c r="K42" i="64"/>
  <c r="M43" i="64"/>
  <c r="L45" i="64"/>
  <c r="I55" i="64"/>
  <c r="R56" i="64"/>
  <c r="K60" i="64"/>
  <c r="X71" i="64"/>
  <c r="W64" i="64"/>
  <c r="R18" i="64"/>
  <c r="H19" i="64"/>
  <c r="O19" i="64"/>
  <c r="W19" i="64"/>
  <c r="K26" i="64"/>
  <c r="W29" i="64"/>
  <c r="K32" i="64"/>
  <c r="W32" i="64"/>
  <c r="M33" i="64"/>
  <c r="H37" i="64"/>
  <c r="O37" i="64"/>
  <c r="O38" i="64" s="1"/>
  <c r="L42" i="64"/>
  <c r="I43" i="64"/>
  <c r="W43" i="64"/>
  <c r="H45" i="64"/>
  <c r="R45" i="64" s="1"/>
  <c r="K55" i="64"/>
  <c r="K57" i="64" s="1"/>
  <c r="R70" i="64"/>
  <c r="R21" i="64"/>
  <c r="L26" i="64"/>
  <c r="R26" i="64" s="1"/>
  <c r="M42" i="64"/>
  <c r="O55" i="64"/>
  <c r="O57" i="64" s="1"/>
  <c r="L67" i="64"/>
  <c r="K67" i="64"/>
  <c r="O74" i="64"/>
  <c r="K85" i="64"/>
  <c r="K101" i="64"/>
  <c r="O108" i="64"/>
  <c r="M129" i="64"/>
  <c r="K131" i="64"/>
  <c r="M168" i="64"/>
  <c r="R171" i="64"/>
  <c r="Y171" i="64" s="1"/>
  <c r="O173" i="64"/>
  <c r="X82" i="64"/>
  <c r="L85" i="64"/>
  <c r="K86" i="64"/>
  <c r="K87" i="64"/>
  <c r="V97" i="64"/>
  <c r="O101" i="64"/>
  <c r="O103" i="64" s="1"/>
  <c r="H106" i="64"/>
  <c r="W114" i="64"/>
  <c r="M131" i="64"/>
  <c r="W133" i="64"/>
  <c r="I141" i="64"/>
  <c r="O141" i="64"/>
  <c r="O142" i="64"/>
  <c r="K144" i="64"/>
  <c r="K145" i="64"/>
  <c r="K146" i="64"/>
  <c r="W146" i="64"/>
  <c r="W154" i="64"/>
  <c r="M156" i="64"/>
  <c r="H161" i="64"/>
  <c r="O161" i="64"/>
  <c r="L163" i="64"/>
  <c r="H168" i="64"/>
  <c r="O168" i="64"/>
  <c r="H173" i="64"/>
  <c r="H74" i="64"/>
  <c r="R75" i="64"/>
  <c r="Y75" i="64" s="1"/>
  <c r="R76" i="64"/>
  <c r="Y76" i="64" s="1"/>
  <c r="M80" i="64"/>
  <c r="H85" i="64"/>
  <c r="M85" i="64"/>
  <c r="H86" i="64"/>
  <c r="L86" i="64"/>
  <c r="H87" i="64"/>
  <c r="O87" i="64"/>
  <c r="L91" i="64"/>
  <c r="L93" i="64"/>
  <c r="L96" i="64"/>
  <c r="W96" i="64"/>
  <c r="H101" i="64"/>
  <c r="H103" i="64" s="1"/>
  <c r="M102" i="64"/>
  <c r="M106" i="64"/>
  <c r="H108" i="64"/>
  <c r="W108" i="64"/>
  <c r="V111" i="64"/>
  <c r="L122" i="64"/>
  <c r="L123" i="64"/>
  <c r="K129" i="64"/>
  <c r="W129" i="64"/>
  <c r="R130" i="64"/>
  <c r="H131" i="64"/>
  <c r="O131" i="64"/>
  <c r="M132" i="64"/>
  <c r="L136" i="64"/>
  <c r="W139" i="64"/>
  <c r="K141" i="64"/>
  <c r="H142" i="64"/>
  <c r="L144" i="64"/>
  <c r="L145" i="64"/>
  <c r="L146" i="64"/>
  <c r="W149" i="64"/>
  <c r="M150" i="64"/>
  <c r="I154" i="64"/>
  <c r="M155" i="64"/>
  <c r="H156" i="64"/>
  <c r="O156" i="64"/>
  <c r="L157" i="64"/>
  <c r="M159" i="64"/>
  <c r="K161" i="64"/>
  <c r="H163" i="64"/>
  <c r="M163" i="64"/>
  <c r="O165" i="64"/>
  <c r="K168" i="64"/>
  <c r="K173" i="64"/>
  <c r="W174" i="64"/>
  <c r="L175" i="64"/>
  <c r="L178" i="64"/>
  <c r="R69" i="64"/>
  <c r="Y69" i="64" s="1"/>
  <c r="R68" i="64"/>
  <c r="Y68" i="64" s="1"/>
  <c r="L68" i="64"/>
  <c r="I80" i="64"/>
  <c r="W80" i="64"/>
  <c r="W81" i="64"/>
  <c r="I85" i="64"/>
  <c r="I86" i="64"/>
  <c r="O86" i="64"/>
  <c r="R86" i="64" s="1"/>
  <c r="Y86" i="64" s="1"/>
  <c r="I87" i="64"/>
  <c r="I90" i="64"/>
  <c r="M91" i="64"/>
  <c r="H93" i="64"/>
  <c r="R93" i="64" s="1"/>
  <c r="O93" i="64"/>
  <c r="H96" i="64"/>
  <c r="W109" i="64"/>
  <c r="M115" i="64"/>
  <c r="W116" i="64"/>
  <c r="H122" i="64"/>
  <c r="H123" i="64"/>
  <c r="H128" i="64"/>
  <c r="I131" i="64"/>
  <c r="W131" i="64"/>
  <c r="H132" i="64"/>
  <c r="O132" i="64"/>
  <c r="H136" i="64"/>
  <c r="H144" i="64"/>
  <c r="H145" i="64"/>
  <c r="H146" i="64"/>
  <c r="R146" i="64" s="1"/>
  <c r="O150" i="64"/>
  <c r="W153" i="64"/>
  <c r="H155" i="64"/>
  <c r="H157" i="64"/>
  <c r="W162" i="64"/>
  <c r="I163" i="64"/>
  <c r="W167" i="64"/>
  <c r="H178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L138" i="64"/>
  <c r="R138" i="64" s="1"/>
  <c r="I138" i="64"/>
  <c r="T52" i="64"/>
  <c r="W42" i="64"/>
  <c r="L14" i="64"/>
  <c r="K14" i="64"/>
  <c r="I14" i="64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W117" i="64"/>
  <c r="R123" i="64"/>
  <c r="Y123" i="64" s="1"/>
  <c r="I134" i="64"/>
  <c r="I158" i="64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 s="1"/>
  <c r="Y32" i="64" s="1"/>
  <c r="H33" i="64"/>
  <c r="L37" i="64"/>
  <c r="L38" i="64" s="1"/>
  <c r="H41" i="64"/>
  <c r="O41" i="64"/>
  <c r="M47" i="64"/>
  <c r="M48" i="64"/>
  <c r="I49" i="64"/>
  <c r="K51" i="64"/>
  <c r="I51" i="64"/>
  <c r="O51" i="64"/>
  <c r="H51" i="64"/>
  <c r="K71" i="64"/>
  <c r="H62" i="64"/>
  <c r="L64" i="64"/>
  <c r="M66" i="64"/>
  <c r="L66" i="64"/>
  <c r="K66" i="64"/>
  <c r="V82" i="64"/>
  <c r="I92" i="64"/>
  <c r="O92" i="64"/>
  <c r="H92" i="64"/>
  <c r="M92" i="64"/>
  <c r="L92" i="64"/>
  <c r="K92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I46" i="64"/>
  <c r="L51" i="64"/>
  <c r="I62" i="64"/>
  <c r="M64" i="64"/>
  <c r="H66" i="64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M151" i="64"/>
  <c r="K151" i="64"/>
  <c r="O151" i="64"/>
  <c r="H151" i="64"/>
  <c r="L151" i="64"/>
  <c r="I151" i="64"/>
  <c r="I152" i="64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R164" i="64" s="1"/>
  <c r="Y164" i="64" s="1"/>
  <c r="M164" i="64"/>
  <c r="L164" i="64"/>
  <c r="I60" i="64"/>
  <c r="O60" i="64"/>
  <c r="O71" i="64" s="1"/>
  <c r="I67" i="64"/>
  <c r="I79" i="64"/>
  <c r="I82" i="64" s="1"/>
  <c r="H80" i="64"/>
  <c r="R80" i="64" s="1"/>
  <c r="Y80" i="64" s="1"/>
  <c r="S97" i="64"/>
  <c r="I88" i="64"/>
  <c r="O88" i="64"/>
  <c r="H88" i="64"/>
  <c r="H90" i="64"/>
  <c r="R90" i="64" s="1"/>
  <c r="Y90" i="64" s="1"/>
  <c r="H91" i="64"/>
  <c r="I94" i="64"/>
  <c r="L95" i="64"/>
  <c r="I100" i="64"/>
  <c r="M101" i="64"/>
  <c r="L101" i="64"/>
  <c r="I102" i="64"/>
  <c r="U103" i="64"/>
  <c r="I106" i="64"/>
  <c r="I108" i="64"/>
  <c r="H114" i="64"/>
  <c r="R114" i="64" s="1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R131" i="64"/>
  <c r="Y131" i="64" s="1"/>
  <c r="L133" i="64"/>
  <c r="L139" i="64"/>
  <c r="L142" i="64"/>
  <c r="I150" i="64"/>
  <c r="R150" i="64" s="1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R176" i="64" s="1"/>
  <c r="Y176" i="64" s="1"/>
  <c r="I128" i="64"/>
  <c r="O128" i="64"/>
  <c r="R132" i="64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I159" i="64"/>
  <c r="R159" i="64" s="1"/>
  <c r="Y159" i="64" s="1"/>
  <c r="I165" i="64"/>
  <c r="I173" i="64"/>
  <c r="W89" i="1"/>
  <c r="E89" i="1"/>
  <c r="K52" i="64" l="1"/>
  <c r="R165" i="64"/>
  <c r="Y165" i="64" s="1"/>
  <c r="O124" i="64"/>
  <c r="R109" i="64"/>
  <c r="Y109" i="64" s="1"/>
  <c r="R19" i="64"/>
  <c r="Y19" i="64" s="1"/>
  <c r="R79" i="64"/>
  <c r="Y79" i="64" s="1"/>
  <c r="M71" i="64"/>
  <c r="R177" i="64"/>
  <c r="R151" i="64"/>
  <c r="R140" i="64"/>
  <c r="Y140" i="64" s="1"/>
  <c r="R33" i="64"/>
  <c r="Y33" i="64" s="1"/>
  <c r="M111" i="64"/>
  <c r="R158" i="64"/>
  <c r="Y158" i="64" s="1"/>
  <c r="R20" i="64"/>
  <c r="Y20" i="64" s="1"/>
  <c r="R14" i="64"/>
  <c r="Y14" i="64" s="1"/>
  <c r="I97" i="64"/>
  <c r="R67" i="64"/>
  <c r="Y67" i="64" s="1"/>
  <c r="R46" i="64"/>
  <c r="Y46" i="64" s="1"/>
  <c r="R116" i="64"/>
  <c r="Y116" i="64" s="1"/>
  <c r="R65" i="64"/>
  <c r="Y65" i="64" s="1"/>
  <c r="W111" i="64"/>
  <c r="Y132" i="64"/>
  <c r="M179" i="64"/>
  <c r="R91" i="64"/>
  <c r="Y91" i="64" s="1"/>
  <c r="R162" i="64"/>
  <c r="Y162" i="64" s="1"/>
  <c r="R89" i="64"/>
  <c r="R169" i="64"/>
  <c r="Y169" i="64" s="1"/>
  <c r="R25" i="64"/>
  <c r="Y25" i="64" s="1"/>
  <c r="R170" i="64"/>
  <c r="Y170" i="64" s="1"/>
  <c r="R64" i="64"/>
  <c r="Y64" i="64" s="1"/>
  <c r="R48" i="64"/>
  <c r="Y48" i="64" s="1"/>
  <c r="L34" i="64"/>
  <c r="V180" i="64"/>
  <c r="W34" i="64"/>
  <c r="R24" i="64"/>
  <c r="Y24" i="64" s="1"/>
  <c r="O82" i="64"/>
  <c r="K34" i="64"/>
  <c r="R95" i="64"/>
  <c r="Y95" i="64" s="1"/>
  <c r="Y177" i="64"/>
  <c r="R51" i="64"/>
  <c r="R166" i="64"/>
  <c r="Y166" i="64" s="1"/>
  <c r="L71" i="64"/>
  <c r="L52" i="64"/>
  <c r="R174" i="64"/>
  <c r="Y174" i="64" s="1"/>
  <c r="R30" i="64"/>
  <c r="Y30" i="64" s="1"/>
  <c r="Y138" i="64"/>
  <c r="R13" i="64"/>
  <c r="Y13" i="64" s="1"/>
  <c r="R31" i="64"/>
  <c r="Y31" i="64" s="1"/>
  <c r="O179" i="64"/>
  <c r="R121" i="64"/>
  <c r="K179" i="64"/>
  <c r="R160" i="64"/>
  <c r="Y160" i="64" s="1"/>
  <c r="R120" i="64"/>
  <c r="L111" i="64"/>
  <c r="R152" i="64"/>
  <c r="Y152" i="64" s="1"/>
  <c r="R66" i="64"/>
  <c r="Y66" i="64" s="1"/>
  <c r="R107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R78" i="64"/>
  <c r="Y26" i="64"/>
  <c r="R173" i="64"/>
  <c r="Y173" i="64" s="1"/>
  <c r="L179" i="64"/>
  <c r="R153" i="64"/>
  <c r="Y153" i="64" s="1"/>
  <c r="I179" i="64"/>
  <c r="R147" i="64"/>
  <c r="Y147" i="64" s="1"/>
  <c r="R108" i="64"/>
  <c r="Y108" i="64" s="1"/>
  <c r="R101" i="64"/>
  <c r="Y101" i="64" s="1"/>
  <c r="R94" i="64"/>
  <c r="Y94" i="64" s="1"/>
  <c r="O97" i="64"/>
  <c r="R92" i="64"/>
  <c r="Y92" i="64" s="1"/>
  <c r="M52" i="64"/>
  <c r="R110" i="64"/>
  <c r="Y110" i="64" s="1"/>
  <c r="O111" i="64"/>
  <c r="R47" i="64"/>
  <c r="Y47" i="64" s="1"/>
  <c r="R63" i="64"/>
  <c r="Y63" i="64" s="1"/>
  <c r="M34" i="64"/>
  <c r="I124" i="64"/>
  <c r="I34" i="64"/>
  <c r="AD35" i="72"/>
  <c r="X89" i="1"/>
  <c r="Y89" i="64"/>
  <c r="Y78" i="64"/>
  <c r="Y156" i="64"/>
  <c r="Y87" i="64"/>
  <c r="W9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T143" i="1"/>
  <c r="X143" i="1" s="1"/>
  <c r="T178" i="1"/>
  <c r="X178" i="1" s="1"/>
  <c r="T183" i="1"/>
  <c r="X183" i="1" s="1"/>
  <c r="T176" i="1"/>
  <c r="X176" i="1" s="1"/>
  <c r="T179" i="1"/>
  <c r="X179" i="1" s="1"/>
  <c r="T164" i="1"/>
  <c r="X164" i="1" s="1"/>
  <c r="T160" i="1"/>
  <c r="X160" i="1" s="1"/>
  <c r="U159" i="1"/>
  <c r="U152" i="1"/>
  <c r="T135" i="1"/>
  <c r="T114" i="1"/>
  <c r="T97" i="1"/>
  <c r="U97" i="1"/>
  <c r="T25" i="1"/>
  <c r="T95" i="1"/>
  <c r="T84" i="1"/>
  <c r="T83" i="1"/>
  <c r="X83" i="1" s="1"/>
  <c r="T73" i="1"/>
  <c r="X73" i="1" s="1"/>
  <c r="T65" i="1"/>
  <c r="U19" i="1"/>
  <c r="T19" i="1"/>
  <c r="S39" i="63"/>
  <c r="S40" i="63" s="1"/>
  <c r="R39" i="63"/>
  <c r="R40" i="63" s="1"/>
  <c r="U184" i="1"/>
  <c r="T184" i="1"/>
  <c r="L184" i="1"/>
  <c r="K180" i="64" l="1"/>
  <c r="L180" i="64"/>
  <c r="I180" i="64"/>
  <c r="H180" i="64"/>
  <c r="X19" i="1"/>
  <c r="X184" i="1"/>
  <c r="H184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4" i="1"/>
  <c r="O184" i="1"/>
  <c r="K184" i="1"/>
  <c r="J184" i="1"/>
  <c r="R180" i="64" l="1"/>
  <c r="Y180" i="64"/>
  <c r="R184" i="1"/>
  <c r="Z184" i="1" l="1"/>
  <c r="R27" i="63"/>
  <c r="X75" i="1"/>
  <c r="X74" i="1"/>
  <c r="S17" i="63"/>
  <c r="R36" i="63" l="1"/>
  <c r="R26" i="63"/>
  <c r="X114" i="1"/>
  <c r="E114" i="1"/>
  <c r="J114" i="1" s="1"/>
  <c r="E98" i="1"/>
  <c r="L98" i="1" s="1"/>
  <c r="E97" i="1"/>
  <c r="L97" i="1" s="1"/>
  <c r="E25" i="1"/>
  <c r="O25" i="1" s="1"/>
  <c r="E95" i="1"/>
  <c r="K95" i="1" s="1"/>
  <c r="W98" i="1"/>
  <c r="X98" i="1" s="1"/>
  <c r="W97" i="1"/>
  <c r="X97" i="1" s="1"/>
  <c r="W95" i="1"/>
  <c r="X95" i="1" s="1"/>
  <c r="W25" i="1"/>
  <c r="X25" i="1" s="1"/>
  <c r="X84" i="1"/>
  <c r="E85" i="1"/>
  <c r="L85" i="1" s="1"/>
  <c r="E84" i="1"/>
  <c r="L84" i="1" s="1"/>
  <c r="T85" i="1"/>
  <c r="E83" i="1"/>
  <c r="H83" i="1" s="1"/>
  <c r="W81" i="1"/>
  <c r="X81" i="1" s="1"/>
  <c r="O81" i="1"/>
  <c r="L81" i="1"/>
  <c r="K81" i="1"/>
  <c r="J81" i="1"/>
  <c r="H81" i="1"/>
  <c r="G81" i="1"/>
  <c r="W80" i="1"/>
  <c r="O80" i="1"/>
  <c r="L80" i="1"/>
  <c r="K80" i="1"/>
  <c r="J80" i="1"/>
  <c r="H80" i="1"/>
  <c r="G80" i="1"/>
  <c r="E75" i="1"/>
  <c r="E74" i="1"/>
  <c r="X80" i="1" l="1"/>
  <c r="X85" i="1"/>
  <c r="G95" i="1"/>
  <c r="O95" i="1"/>
  <c r="L95" i="1"/>
  <c r="K114" i="1"/>
  <c r="L114" i="1"/>
  <c r="G114" i="1"/>
  <c r="O114" i="1"/>
  <c r="K85" i="1"/>
  <c r="H114" i="1"/>
  <c r="K98" i="1"/>
  <c r="H25" i="1"/>
  <c r="J25" i="1"/>
  <c r="L25" i="1"/>
  <c r="H95" i="1"/>
  <c r="G97" i="1"/>
  <c r="O97" i="1"/>
  <c r="K25" i="1"/>
  <c r="J95" i="1"/>
  <c r="H97" i="1"/>
  <c r="G98" i="1"/>
  <c r="O98" i="1"/>
  <c r="J97" i="1"/>
  <c r="K97" i="1"/>
  <c r="J98" i="1"/>
  <c r="H98" i="1"/>
  <c r="G25" i="1"/>
  <c r="J83" i="1"/>
  <c r="K83" i="1"/>
  <c r="R80" i="1"/>
  <c r="Z80" i="1" s="1"/>
  <c r="L83" i="1"/>
  <c r="R81" i="1"/>
  <c r="Z81" i="1" s="1"/>
  <c r="G83" i="1"/>
  <c r="O83" i="1"/>
  <c r="O84" i="1"/>
  <c r="H84" i="1"/>
  <c r="G85" i="1"/>
  <c r="O85" i="1"/>
  <c r="H85" i="1"/>
  <c r="K84" i="1"/>
  <c r="J85" i="1"/>
  <c r="G84" i="1"/>
  <c r="J84" i="1"/>
  <c r="R25" i="1" l="1"/>
  <c r="Z25" i="1" s="1"/>
  <c r="R114" i="1"/>
  <c r="Z114" i="1" s="1"/>
  <c r="R97" i="1"/>
  <c r="Z97" i="1" s="1"/>
  <c r="R98" i="1"/>
  <c r="Z98" i="1" s="1"/>
  <c r="R95" i="1"/>
  <c r="Z95" i="1" s="1"/>
  <c r="R83" i="1"/>
  <c r="Z83" i="1" s="1"/>
  <c r="R85" i="1"/>
  <c r="Z85" i="1" s="1"/>
  <c r="R84" i="1"/>
  <c r="Z84" i="1" s="1"/>
  <c r="E73" i="1"/>
  <c r="O75" i="1"/>
  <c r="K75" i="1"/>
  <c r="G75" i="1"/>
  <c r="L75" i="1"/>
  <c r="L74" i="1"/>
  <c r="H74" i="1"/>
  <c r="G74" i="1"/>
  <c r="O74" i="1"/>
  <c r="V68" i="1"/>
  <c r="X68" i="1" s="1"/>
  <c r="E68" i="1"/>
  <c r="J68" i="1" s="1"/>
  <c r="W65" i="1"/>
  <c r="X65" i="1" s="1"/>
  <c r="O65" i="1"/>
  <c r="L65" i="1"/>
  <c r="K65" i="1"/>
  <c r="J65" i="1"/>
  <c r="H65" i="1"/>
  <c r="G65" i="1"/>
  <c r="W60" i="1"/>
  <c r="W61" i="1" s="1"/>
  <c r="O60" i="1"/>
  <c r="L60" i="1"/>
  <c r="K60" i="1"/>
  <c r="J60" i="1"/>
  <c r="H60" i="1"/>
  <c r="G60" i="1"/>
  <c r="W14" i="1"/>
  <c r="X14" i="1" s="1"/>
  <c r="E14" i="1"/>
  <c r="O14" i="1" s="1"/>
  <c r="L19" i="1"/>
  <c r="K19" i="1"/>
  <c r="J19" i="1"/>
  <c r="O19" i="1"/>
  <c r="E24" i="1"/>
  <c r="J24" i="1" s="1"/>
  <c r="W24" i="1"/>
  <c r="X24" i="1" s="1"/>
  <c r="E37" i="1"/>
  <c r="H37" i="1" s="1"/>
  <c r="V37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0" i="1" l="1"/>
  <c r="X61" i="1" s="1"/>
  <c r="X37" i="1"/>
  <c r="S34" i="63"/>
  <c r="S10" i="63"/>
  <c r="S20" i="63"/>
  <c r="S28" i="63"/>
  <c r="R28" i="63"/>
  <c r="R10" i="63"/>
  <c r="R34" i="63"/>
  <c r="R20" i="63"/>
  <c r="O24" i="1"/>
  <c r="K14" i="1"/>
  <c r="J14" i="1"/>
  <c r="K24" i="1"/>
  <c r="K68" i="1"/>
  <c r="H14" i="1"/>
  <c r="L14" i="1"/>
  <c r="G24" i="1"/>
  <c r="G37" i="1"/>
  <c r="R60" i="1"/>
  <c r="J73" i="1"/>
  <c r="K73" i="1"/>
  <c r="J74" i="1"/>
  <c r="H75" i="1"/>
  <c r="L73" i="1"/>
  <c r="K74" i="1"/>
  <c r="J75" i="1"/>
  <c r="G73" i="1"/>
  <c r="O73" i="1"/>
  <c r="H73" i="1"/>
  <c r="L68" i="1"/>
  <c r="O68" i="1"/>
  <c r="G68" i="1"/>
  <c r="H68" i="1"/>
  <c r="R65" i="1"/>
  <c r="Z65" i="1" s="1"/>
  <c r="G14" i="1"/>
  <c r="H19" i="1"/>
  <c r="G19" i="1"/>
  <c r="L24" i="1"/>
  <c r="H24" i="1"/>
  <c r="J37" i="1"/>
  <c r="L37" i="1"/>
  <c r="K37" i="1"/>
  <c r="O37" i="1"/>
  <c r="AD9" i="72" l="1"/>
  <c r="AD10" i="72" s="1"/>
  <c r="AD22" i="72"/>
  <c r="R14" i="1"/>
  <c r="Z14" i="1" s="1"/>
  <c r="R24" i="1"/>
  <c r="Z24" i="1" s="1"/>
  <c r="R37" i="1"/>
  <c r="Z37" i="1" s="1"/>
  <c r="R19" i="1"/>
  <c r="Z19" i="1" s="1"/>
  <c r="S41" i="63"/>
  <c r="R41" i="63"/>
  <c r="R68" i="1"/>
  <c r="Z68" i="1" s="1"/>
  <c r="R75" i="1"/>
  <c r="Z75" i="1" s="1"/>
  <c r="R74" i="1"/>
  <c r="Z74" i="1" s="1"/>
  <c r="R73" i="1"/>
  <c r="Z73" i="1" s="1"/>
  <c r="Z60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3" i="1"/>
  <c r="V106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40" i="1"/>
  <c r="X140" i="1" s="1"/>
  <c r="W127" i="1"/>
  <c r="W126" i="1"/>
  <c r="W123" i="1"/>
  <c r="W18" i="1"/>
  <c r="W112" i="1"/>
  <c r="W96" i="1"/>
  <c r="W91" i="1"/>
  <c r="W90" i="1"/>
  <c r="W82" i="1"/>
  <c r="W86" i="1" s="1"/>
  <c r="W67" i="1"/>
  <c r="W55" i="1"/>
  <c r="W32" i="1"/>
  <c r="AC16" i="76" l="1"/>
  <c r="AC43" i="72"/>
  <c r="X90" i="1"/>
  <c r="O41" i="63"/>
  <c r="L41" i="63"/>
  <c r="K41" i="63"/>
  <c r="H41" i="63"/>
  <c r="I41" i="63"/>
  <c r="M41" i="63"/>
  <c r="AD16" i="76" l="1"/>
  <c r="AD17" i="76" s="1"/>
  <c r="AC17" i="76"/>
  <c r="AD43" i="72"/>
  <c r="AD48" i="72"/>
  <c r="V15" i="1"/>
  <c r="Z15" i="62" l="1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102" i="62" s="1"/>
  <c r="Z93" i="62"/>
  <c r="Z92" i="62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75" i="62" l="1"/>
  <c r="Z46" i="62"/>
  <c r="Z156" i="62"/>
  <c r="Z157" i="62" s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N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I155" i="62" l="1"/>
  <c r="Y64" i="62"/>
  <c r="Y75" i="62"/>
  <c r="W111" i="62"/>
  <c r="W155" i="62"/>
  <c r="P75" i="62"/>
  <c r="W56" i="62"/>
  <c r="H125" i="62"/>
  <c r="O155" i="62"/>
  <c r="Y156" i="62"/>
  <c r="K125" i="62"/>
  <c r="H155" i="62"/>
  <c r="Y82" i="62"/>
  <c r="W128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O59" i="62" s="1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5" i="1" l="1"/>
  <c r="Y87" i="60"/>
  <c r="Y50" i="60"/>
  <c r="T72" i="1"/>
  <c r="AH50" i="58" l="1"/>
  <c r="AG50" i="58"/>
  <c r="AI50" i="58" l="1"/>
  <c r="AJ50" i="58" s="1"/>
  <c r="AH46" i="58"/>
  <c r="AI46" i="58" s="1"/>
  <c r="AJ46" i="58" s="1"/>
  <c r="AG46" i="58"/>
  <c r="AH45" i="58"/>
  <c r="AG45" i="58"/>
  <c r="AJ44" i="58"/>
  <c r="AI44" i="58"/>
  <c r="AI43" i="58"/>
  <c r="AJ43" i="58" s="1"/>
  <c r="AH44" i="58"/>
  <c r="AG44" i="58"/>
  <c r="AH43" i="58"/>
  <c r="AG43" i="58"/>
  <c r="AH40" i="58"/>
  <c r="AG40" i="58"/>
  <c r="AH35" i="58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G12" i="58"/>
  <c r="AH9" i="58"/>
  <c r="AG9" i="58"/>
  <c r="AH17" i="58"/>
  <c r="AI17" i="58" s="1"/>
  <c r="AG17" i="58"/>
  <c r="AI18" i="58"/>
  <c r="AJ18" i="58" s="1"/>
  <c r="AH18" i="58"/>
  <c r="AG18" i="58"/>
  <c r="AI35" i="58" l="1"/>
  <c r="AI40" i="58"/>
  <c r="AJ40" i="58" s="1"/>
  <c r="AJ24" i="58"/>
  <c r="AJ47" i="58"/>
  <c r="AI12" i="58"/>
  <c r="AI23" i="58"/>
  <c r="AJ23" i="58" s="1"/>
  <c r="AI27" i="58"/>
  <c r="AJ27" i="58" s="1"/>
  <c r="AJ32" i="58" s="1"/>
  <c r="AI29" i="58"/>
  <c r="AI31" i="58"/>
  <c r="AJ31" i="58" s="1"/>
  <c r="AI9" i="58"/>
  <c r="AJ9" i="58" s="1"/>
  <c r="AI45" i="58"/>
  <c r="AJ45" i="58" s="1"/>
  <c r="AI14" i="58"/>
  <c r="AJ14" i="58" s="1"/>
  <c r="AI28" i="58"/>
  <c r="AI30" i="58"/>
  <c r="AJ63" i="58" l="1"/>
  <c r="V163" i="1"/>
  <c r="X163" i="1" s="1"/>
  <c r="V158" i="1"/>
  <c r="V146" i="1"/>
  <c r="X146" i="1" s="1"/>
  <c r="V152" i="1"/>
  <c r="V148" i="1"/>
  <c r="V145" i="1"/>
  <c r="V138" i="1"/>
  <c r="V137" i="1"/>
  <c r="X137" i="1" s="1"/>
  <c r="V141" i="1"/>
  <c r="V135" i="1"/>
  <c r="V127" i="1"/>
  <c r="X127" i="1" s="1"/>
  <c r="V126" i="1"/>
  <c r="X126" i="1" s="1"/>
  <c r="V123" i="1"/>
  <c r="X123" i="1" s="1"/>
  <c r="V18" i="1"/>
  <c r="V122" i="1"/>
  <c r="V120" i="1"/>
  <c r="V111" i="1"/>
  <c r="V110" i="1"/>
  <c r="V28" i="1"/>
  <c r="V12" i="1"/>
  <c r="X12" i="1" s="1"/>
  <c r="V10" i="1"/>
  <c r="V82" i="1"/>
  <c r="V86" i="1" s="1"/>
  <c r="V91" i="1"/>
  <c r="V71" i="1"/>
  <c r="V76" i="1" s="1"/>
  <c r="V93" i="1"/>
  <c r="V55" i="1"/>
  <c r="X55" i="1" s="1"/>
  <c r="V50" i="1"/>
  <c r="V43" i="1"/>
  <c r="V32" i="1"/>
  <c r="X32" i="1" s="1"/>
  <c r="V27" i="1"/>
  <c r="V21" i="1"/>
  <c r="X21" i="1" s="1"/>
  <c r="V99" i="1" l="1"/>
  <c r="V117" i="1"/>
  <c r="V129" i="1"/>
  <c r="X50" i="1"/>
  <c r="V56" i="1"/>
  <c r="X135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E92" i="1"/>
  <c r="E94" i="1"/>
  <c r="E103" i="1"/>
  <c r="E51" i="1" l="1"/>
  <c r="E93" i="1"/>
  <c r="E164" i="1" l="1"/>
  <c r="E163" i="1"/>
  <c r="E162" i="1"/>
  <c r="E161" i="1"/>
  <c r="E160" i="1"/>
  <c r="E159" i="1"/>
  <c r="E158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G157" i="60"/>
  <c r="F157" i="60"/>
  <c r="O157" i="60" s="1"/>
  <c r="T156" i="60"/>
  <c r="S156" i="60"/>
  <c r="N156" i="60"/>
  <c r="F156" i="60"/>
  <c r="I156" i="60" s="1"/>
  <c r="S155" i="60"/>
  <c r="W155" i="60" s="1"/>
  <c r="N155" i="60"/>
  <c r="F155" i="60"/>
  <c r="I155" i="60" s="1"/>
  <c r="T154" i="60"/>
  <c r="S154" i="60"/>
  <c r="N154" i="60"/>
  <c r="F154" i="60"/>
  <c r="L154" i="60" s="1"/>
  <c r="T153" i="60"/>
  <c r="S153" i="60"/>
  <c r="W153" i="60" s="1"/>
  <c r="N153" i="60"/>
  <c r="L153" i="60"/>
  <c r="F153" i="60"/>
  <c r="M153" i="60" s="1"/>
  <c r="T152" i="60"/>
  <c r="S152" i="60"/>
  <c r="W152" i="60" s="1"/>
  <c r="N152" i="60"/>
  <c r="F152" i="60"/>
  <c r="M152" i="60" s="1"/>
  <c r="T151" i="60"/>
  <c r="S151" i="60"/>
  <c r="N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N143" i="60"/>
  <c r="F143" i="60"/>
  <c r="M143" i="60" s="1"/>
  <c r="T142" i="60"/>
  <c r="S142" i="60"/>
  <c r="N142" i="60"/>
  <c r="F142" i="60"/>
  <c r="T141" i="60"/>
  <c r="S141" i="60"/>
  <c r="N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T137" i="60"/>
  <c r="S137" i="60"/>
  <c r="W137" i="60" s="1"/>
  <c r="N137" i="60"/>
  <c r="H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F135" i="60"/>
  <c r="L135" i="60" s="1"/>
  <c r="T134" i="60"/>
  <c r="S134" i="60"/>
  <c r="N134" i="60"/>
  <c r="H134" i="60"/>
  <c r="F134" i="60"/>
  <c r="L134" i="60" s="1"/>
  <c r="T133" i="60"/>
  <c r="S133" i="60"/>
  <c r="W133" i="60" s="1"/>
  <c r="N133" i="60"/>
  <c r="L133" i="60"/>
  <c r="F133" i="60"/>
  <c r="I133" i="60" s="1"/>
  <c r="T132" i="60"/>
  <c r="S132" i="60"/>
  <c r="N132" i="60"/>
  <c r="F132" i="60"/>
  <c r="M132" i="60" s="1"/>
  <c r="U131" i="60"/>
  <c r="T131" i="60"/>
  <c r="S131" i="60"/>
  <c r="N131" i="60"/>
  <c r="F131" i="60"/>
  <c r="L131" i="60" s="1"/>
  <c r="V130" i="60"/>
  <c r="S130" i="60"/>
  <c r="N130" i="60"/>
  <c r="L130" i="60"/>
  <c r="G130" i="60"/>
  <c r="F130" i="60"/>
  <c r="M130" i="60" s="1"/>
  <c r="U129" i="60"/>
  <c r="T129" i="60"/>
  <c r="N129" i="60"/>
  <c r="F129" i="60"/>
  <c r="L129" i="60" s="1"/>
  <c r="S128" i="60"/>
  <c r="W128" i="60" s="1"/>
  <c r="N128" i="60"/>
  <c r="F128" i="60"/>
  <c r="L128" i="60" s="1"/>
  <c r="U127" i="60"/>
  <c r="S127" i="60"/>
  <c r="N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M123" i="60"/>
  <c r="F123" i="60"/>
  <c r="K123" i="60" s="1"/>
  <c r="W122" i="60"/>
  <c r="N122" i="60"/>
  <c r="F122" i="60"/>
  <c r="L122" i="60" s="1"/>
  <c r="U121" i="60"/>
  <c r="T121" i="60"/>
  <c r="S121" i="60"/>
  <c r="N121" i="60"/>
  <c r="F121" i="60"/>
  <c r="L121" i="60" s="1"/>
  <c r="T120" i="60"/>
  <c r="S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L114" i="60" s="1"/>
  <c r="V113" i="60"/>
  <c r="U113" i="60"/>
  <c r="T113" i="60"/>
  <c r="N113" i="60"/>
  <c r="F113" i="60"/>
  <c r="O113" i="60" s="1"/>
  <c r="V112" i="60"/>
  <c r="T112" i="60"/>
  <c r="S112" i="60"/>
  <c r="N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M104" i="60" s="1"/>
  <c r="W103" i="60"/>
  <c r="S103" i="60"/>
  <c r="N103" i="60"/>
  <c r="F103" i="60"/>
  <c r="T102" i="60"/>
  <c r="W102" i="60" s="1"/>
  <c r="S102" i="60"/>
  <c r="N102" i="60"/>
  <c r="F102" i="60"/>
  <c r="L102" i="60" s="1"/>
  <c r="V101" i="60"/>
  <c r="U101" i="60"/>
  <c r="T101" i="60"/>
  <c r="S101" i="60"/>
  <c r="N101" i="60"/>
  <c r="F101" i="60"/>
  <c r="M101" i="60" s="1"/>
  <c r="V100" i="60"/>
  <c r="U100" i="60"/>
  <c r="T100" i="60"/>
  <c r="S100" i="60"/>
  <c r="Q100" i="60"/>
  <c r="N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J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O90" i="60" s="1"/>
  <c r="V89" i="60"/>
  <c r="U89" i="60"/>
  <c r="T89" i="60"/>
  <c r="F89" i="60"/>
  <c r="K89" i="60" s="1"/>
  <c r="U88" i="60"/>
  <c r="T88" i="60"/>
  <c r="F88" i="60"/>
  <c r="L88" i="60" s="1"/>
  <c r="V87" i="60"/>
  <c r="S87" i="60"/>
  <c r="F87" i="60"/>
  <c r="L87" i="60" s="1"/>
  <c r="Q84" i="60"/>
  <c r="P84" i="60"/>
  <c r="J84" i="60"/>
  <c r="U83" i="60"/>
  <c r="S83" i="60"/>
  <c r="W83" i="60" s="1"/>
  <c r="G83" i="60"/>
  <c r="G84" i="60" s="1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F81" i="60"/>
  <c r="M81" i="60" s="1"/>
  <c r="U80" i="60"/>
  <c r="U84" i="60" s="1"/>
  <c r="F80" i="60"/>
  <c r="M80" i="60" s="1"/>
  <c r="Q77" i="60"/>
  <c r="P77" i="60"/>
  <c r="V76" i="60"/>
  <c r="S76" i="60"/>
  <c r="W76" i="60" s="1"/>
  <c r="N76" i="60"/>
  <c r="F76" i="60"/>
  <c r="M76" i="60" s="1"/>
  <c r="U75" i="60"/>
  <c r="S75" i="60"/>
  <c r="N75" i="60"/>
  <c r="F75" i="60"/>
  <c r="T74" i="60"/>
  <c r="S74" i="60"/>
  <c r="N74" i="60"/>
  <c r="F74" i="60"/>
  <c r="M74" i="60" s="1"/>
  <c r="T73" i="60"/>
  <c r="S73" i="60"/>
  <c r="W73" i="60" s="1"/>
  <c r="N73" i="60"/>
  <c r="F73" i="60"/>
  <c r="L73" i="60" s="1"/>
  <c r="V72" i="60"/>
  <c r="T72" i="60"/>
  <c r="S72" i="60"/>
  <c r="N72" i="60"/>
  <c r="F72" i="60"/>
  <c r="M72" i="60" s="1"/>
  <c r="V71" i="60"/>
  <c r="W71" i="60" s="1"/>
  <c r="N71" i="60"/>
  <c r="F71" i="60"/>
  <c r="M71" i="60" s="1"/>
  <c r="V70" i="60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F64" i="60"/>
  <c r="M64" i="60" s="1"/>
  <c r="T63" i="60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F57" i="60"/>
  <c r="I57" i="60" s="1"/>
  <c r="V56" i="60"/>
  <c r="S56" i="60"/>
  <c r="W56" i="60" s="1"/>
  <c r="N56" i="60"/>
  <c r="G56" i="60"/>
  <c r="F56" i="60"/>
  <c r="M56" i="60" s="1"/>
  <c r="V55" i="60"/>
  <c r="U55" i="60"/>
  <c r="T55" i="60"/>
  <c r="S55" i="60"/>
  <c r="N55" i="60"/>
  <c r="F55" i="60"/>
  <c r="K55" i="60" s="1"/>
  <c r="V54" i="60"/>
  <c r="S54" i="60"/>
  <c r="N54" i="60"/>
  <c r="J54" i="60"/>
  <c r="J58" i="60" s="1"/>
  <c r="G54" i="60"/>
  <c r="F54" i="60"/>
  <c r="L54" i="60" s="1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F42" i="60"/>
  <c r="M42" i="60" s="1"/>
  <c r="T41" i="60"/>
  <c r="S41" i="60"/>
  <c r="N41" i="60"/>
  <c r="F41" i="60"/>
  <c r="O41" i="60" s="1"/>
  <c r="U40" i="60"/>
  <c r="W40" i="60" s="1"/>
  <c r="N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V47" i="60" s="1"/>
  <c r="S36" i="60"/>
  <c r="N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J31" i="60"/>
  <c r="J33" i="60" s="1"/>
  <c r="I31" i="60"/>
  <c r="F31" i="60"/>
  <c r="F33" i="60" s="1"/>
  <c r="P28" i="60"/>
  <c r="J28" i="60"/>
  <c r="U27" i="60"/>
  <c r="S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V24" i="60"/>
  <c r="S24" i="60"/>
  <c r="N24" i="60"/>
  <c r="G24" i="60"/>
  <c r="F24" i="60"/>
  <c r="L24" i="60" s="1"/>
  <c r="V23" i="60"/>
  <c r="W23" i="60" s="1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K21" i="60" s="1"/>
  <c r="T20" i="60"/>
  <c r="S20" i="60"/>
  <c r="N20" i="60"/>
  <c r="F20" i="60"/>
  <c r="I20" i="60" s="1"/>
  <c r="V19" i="60"/>
  <c r="W19" i="60" s="1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F16" i="60"/>
  <c r="K16" i="60" s="1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O101" i="60" l="1"/>
  <c r="K102" i="60"/>
  <c r="L113" i="60"/>
  <c r="K114" i="60"/>
  <c r="H152" i="60"/>
  <c r="I16" i="60"/>
  <c r="H36" i="60"/>
  <c r="W54" i="60"/>
  <c r="O81" i="60"/>
  <c r="H83" i="60"/>
  <c r="L97" i="60"/>
  <c r="M102" i="60"/>
  <c r="M114" i="60"/>
  <c r="I129" i="60"/>
  <c r="W134" i="60"/>
  <c r="L141" i="60"/>
  <c r="I148" i="60"/>
  <c r="K152" i="60"/>
  <c r="L16" i="60"/>
  <c r="M20" i="60"/>
  <c r="W24" i="60"/>
  <c r="O27" i="60"/>
  <c r="N33" i="60"/>
  <c r="H41" i="60"/>
  <c r="H97" i="60"/>
  <c r="M100" i="60"/>
  <c r="H101" i="60"/>
  <c r="H102" i="60"/>
  <c r="H113" i="60"/>
  <c r="H114" i="60"/>
  <c r="L118" i="60"/>
  <c r="W156" i="60"/>
  <c r="O13" i="60"/>
  <c r="I41" i="60"/>
  <c r="V77" i="60"/>
  <c r="I97" i="60"/>
  <c r="O97" i="60"/>
  <c r="I102" i="60"/>
  <c r="O102" i="60"/>
  <c r="K113" i="60"/>
  <c r="I114" i="60"/>
  <c r="W132" i="60"/>
  <c r="W143" i="60"/>
  <c r="H154" i="60"/>
  <c r="I15" i="60"/>
  <c r="L21" i="60"/>
  <c r="M31" i="60"/>
  <c r="M33" i="60" s="1"/>
  <c r="L36" i="60"/>
  <c r="L40" i="60"/>
  <c r="L41" i="60"/>
  <c r="W41" i="60"/>
  <c r="L42" i="60"/>
  <c r="H54" i="60"/>
  <c r="K56" i="60"/>
  <c r="I71" i="60"/>
  <c r="M73" i="60"/>
  <c r="M90" i="60"/>
  <c r="J105" i="60"/>
  <c r="W101" i="60"/>
  <c r="M154" i="60"/>
  <c r="L157" i="60"/>
  <c r="M16" i="60"/>
  <c r="M21" i="60"/>
  <c r="M36" i="60"/>
  <c r="M40" i="60"/>
  <c r="M41" i="60"/>
  <c r="K45" i="60"/>
  <c r="O55" i="60"/>
  <c r="H64" i="60"/>
  <c r="K71" i="60"/>
  <c r="O71" i="60"/>
  <c r="K72" i="60"/>
  <c r="H74" i="60"/>
  <c r="O74" i="60"/>
  <c r="I76" i="60"/>
  <c r="K80" i="60"/>
  <c r="L83" i="60"/>
  <c r="K87" i="60"/>
  <c r="H90" i="60"/>
  <c r="K112" i="60"/>
  <c r="M118" i="60"/>
  <c r="W120" i="60"/>
  <c r="I122" i="60"/>
  <c r="H127" i="60"/>
  <c r="W127" i="60"/>
  <c r="H131" i="60"/>
  <c r="H132" i="60"/>
  <c r="O137" i="60"/>
  <c r="O11" i="60"/>
  <c r="O42" i="60"/>
  <c r="L45" i="60"/>
  <c r="L71" i="60"/>
  <c r="I74" i="60"/>
  <c r="T91" i="60"/>
  <c r="I90" i="60"/>
  <c r="I101" i="60"/>
  <c r="H104" i="60"/>
  <c r="O114" i="60"/>
  <c r="H118" i="60"/>
  <c r="H123" i="60"/>
  <c r="O123" i="60"/>
  <c r="K131" i="60"/>
  <c r="K134" i="60"/>
  <c r="K137" i="60"/>
  <c r="H139" i="60"/>
  <c r="W140" i="60"/>
  <c r="H143" i="60"/>
  <c r="I147" i="60"/>
  <c r="I151" i="60"/>
  <c r="W151" i="60"/>
  <c r="I154" i="60"/>
  <c r="I21" i="60"/>
  <c r="L31" i="60"/>
  <c r="L32" i="60"/>
  <c r="K36" i="60"/>
  <c r="I40" i="60"/>
  <c r="K41" i="60"/>
  <c r="H42" i="60"/>
  <c r="H45" i="60"/>
  <c r="L55" i="60"/>
  <c r="W63" i="60"/>
  <c r="L70" i="60"/>
  <c r="H71" i="60"/>
  <c r="H73" i="60"/>
  <c r="L74" i="60"/>
  <c r="W74" i="60"/>
  <c r="W87" i="60"/>
  <c r="K90" i="60"/>
  <c r="W95" i="60"/>
  <c r="K97" i="60"/>
  <c r="L101" i="60"/>
  <c r="O112" i="60"/>
  <c r="K118" i="60"/>
  <c r="W118" i="60"/>
  <c r="O120" i="60"/>
  <c r="O127" i="60"/>
  <c r="I130" i="60"/>
  <c r="M131" i="60"/>
  <c r="O132" i="60"/>
  <c r="M134" i="60"/>
  <c r="H136" i="60"/>
  <c r="M139" i="60"/>
  <c r="K143" i="60"/>
  <c r="L147" i="60"/>
  <c r="M148" i="60"/>
  <c r="L151" i="60"/>
  <c r="O152" i="60"/>
  <c r="I153" i="60"/>
  <c r="K154" i="60"/>
  <c r="I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R154" i="60" s="1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 s="1"/>
  <c r="K130" i="60"/>
  <c r="I131" i="60"/>
  <c r="R131" i="60" s="1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R123" i="60" s="1"/>
  <c r="I127" i="60"/>
  <c r="I132" i="60"/>
  <c r="I137" i="60"/>
  <c r="R137" i="60" s="1"/>
  <c r="H151" i="60"/>
  <c r="H157" i="60"/>
  <c r="W154" i="1"/>
  <c r="W145" i="1"/>
  <c r="W13" i="1"/>
  <c r="T159" i="1"/>
  <c r="X159" i="1" s="1"/>
  <c r="T161" i="1"/>
  <c r="X161" i="1" s="1"/>
  <c r="T165" i="1"/>
  <c r="X165" i="1" s="1"/>
  <c r="T166" i="1"/>
  <c r="X166" i="1" s="1"/>
  <c r="T167" i="1"/>
  <c r="T168" i="1"/>
  <c r="T169" i="1"/>
  <c r="X169" i="1" s="1"/>
  <c r="T170" i="1"/>
  <c r="X170" i="1" s="1"/>
  <c r="T171" i="1"/>
  <c r="X171" i="1" s="1"/>
  <c r="T172" i="1"/>
  <c r="X172" i="1" s="1"/>
  <c r="X174" i="1"/>
  <c r="X177" i="1"/>
  <c r="T182" i="1"/>
  <c r="X182" i="1" s="1"/>
  <c r="X175" i="1"/>
  <c r="U168" i="1"/>
  <c r="T158" i="1"/>
  <c r="X158" i="1" s="1"/>
  <c r="X153" i="1"/>
  <c r="T125" i="1"/>
  <c r="X125" i="1" s="1"/>
  <c r="X96" i="1"/>
  <c r="U70" i="1"/>
  <c r="W77" i="60" l="1"/>
  <c r="R43" i="60"/>
  <c r="R63" i="60"/>
  <c r="R16" i="60"/>
  <c r="R45" i="60"/>
  <c r="R19" i="60"/>
  <c r="R12" i="60"/>
  <c r="R37" i="60"/>
  <c r="R40" i="60"/>
  <c r="R62" i="60"/>
  <c r="S159" i="60"/>
  <c r="R22" i="60"/>
  <c r="R15" i="60"/>
  <c r="R139" i="60"/>
  <c r="K105" i="60"/>
  <c r="R11" i="60"/>
  <c r="R55" i="60"/>
  <c r="R132" i="60"/>
  <c r="R125" i="60"/>
  <c r="R24" i="60"/>
  <c r="L84" i="60"/>
  <c r="R13" i="60"/>
  <c r="M58" i="60"/>
  <c r="R157" i="60"/>
  <c r="R98" i="60"/>
  <c r="R115" i="60"/>
  <c r="K84" i="60"/>
  <c r="R89" i="60"/>
  <c r="R23" i="60"/>
  <c r="O91" i="60"/>
  <c r="R20" i="60"/>
  <c r="R72" i="60"/>
  <c r="R56" i="60"/>
  <c r="R69" i="60"/>
  <c r="X13" i="1"/>
  <c r="X168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3" i="1"/>
  <c r="I18" i="1"/>
  <c r="I39" i="1" s="1"/>
  <c r="I90" i="1"/>
  <c r="E90" i="1"/>
  <c r="I91" i="1"/>
  <c r="O159" i="60" l="1"/>
  <c r="K159" i="60"/>
  <c r="I99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E34" i="1" l="1"/>
  <c r="K34" i="1" s="1"/>
  <c r="T27" i="57"/>
  <c r="S22" i="58"/>
  <c r="T22" i="58" s="1"/>
  <c r="V22" i="58" s="1"/>
  <c r="R22" i="58"/>
  <c r="S60" i="58"/>
  <c r="T60" i="58" s="1"/>
  <c r="V60" i="58" s="1"/>
  <c r="R60" i="58"/>
  <c r="AF59" i="58"/>
  <c r="R59" i="58"/>
  <c r="AE59" i="58"/>
  <c r="AD59" i="58"/>
  <c r="S59" i="58"/>
  <c r="R58" i="58"/>
  <c r="T58" i="58" s="1"/>
  <c r="V58" i="58" s="1"/>
  <c r="R57" i="58"/>
  <c r="T57" i="58" s="1"/>
  <c r="V57" i="58" s="1"/>
  <c r="R56" i="58"/>
  <c r="R55" i="58"/>
  <c r="R54" i="58"/>
  <c r="T54" i="58" s="1"/>
  <c r="V54" i="58" s="1"/>
  <c r="R53" i="58"/>
  <c r="T52" i="58"/>
  <c r="V52" i="58" s="1"/>
  <c r="R52" i="58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83" i="1"/>
  <c r="E182" i="1"/>
  <c r="AF39" i="58" l="1"/>
  <c r="AH39" i="58" s="1"/>
  <c r="T51" i="58"/>
  <c r="V51" i="58" s="1"/>
  <c r="O34" i="1"/>
  <c r="J34" i="1"/>
  <c r="H34" i="1"/>
  <c r="L34" i="1"/>
  <c r="G34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32" i="58" l="1"/>
  <c r="V59" i="58"/>
  <c r="AG59" i="58" s="1"/>
  <c r="V14" i="58"/>
  <c r="V47" i="58"/>
  <c r="V19" i="58"/>
  <c r="R34" i="1"/>
  <c r="V61" i="58"/>
  <c r="V62" i="58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81" i="1" l="1"/>
  <c r="E175" i="1"/>
  <c r="E174" i="1" l="1"/>
  <c r="E173" i="1"/>
  <c r="E172" i="1"/>
  <c r="E171" i="1"/>
  <c r="E170" i="1"/>
  <c r="E169" i="1"/>
  <c r="E168" i="1"/>
  <c r="E167" i="1"/>
  <c r="E166" i="1"/>
  <c r="E165" i="1"/>
  <c r="E154" i="1" l="1"/>
  <c r="E146" i="1"/>
  <c r="E152" i="1"/>
  <c r="E153" i="1"/>
  <c r="E113" i="1"/>
  <c r="E151" i="1"/>
  <c r="E150" i="1"/>
  <c r="E145" i="1"/>
  <c r="E144" i="1"/>
  <c r="E140" i="1"/>
  <c r="E134" i="1"/>
  <c r="E133" i="1"/>
  <c r="E187" i="1" s="1"/>
  <c r="E127" i="1"/>
  <c r="E126" i="1"/>
  <c r="E125" i="1"/>
  <c r="E123" i="1"/>
  <c r="E18" i="1"/>
  <c r="E122" i="1"/>
  <c r="E121" i="1"/>
  <c r="E120" i="1"/>
  <c r="E112" i="1"/>
  <c r="E55" i="1"/>
  <c r="E111" i="1"/>
  <c r="E109" i="1"/>
  <c r="E28" i="1"/>
  <c r="E105" i="1"/>
  <c r="E106" i="1" s="1"/>
  <c r="E12" i="1"/>
  <c r="E96" i="1"/>
  <c r="E66" i="1"/>
  <c r="E82" i="1"/>
  <c r="E72" i="1"/>
  <c r="E91" i="1"/>
  <c r="E67" i="1"/>
  <c r="E64" i="1"/>
  <c r="E53" i="1"/>
  <c r="E129" i="1" l="1"/>
  <c r="E99" i="1"/>
  <c r="E50" i="1"/>
  <c r="E48" i="1"/>
  <c r="E46" i="1"/>
  <c r="E33" i="1"/>
  <c r="E32" i="1"/>
  <c r="E29" i="1"/>
  <c r="E26" i="1"/>
  <c r="E13" i="1"/>
  <c r="E11" i="1" l="1"/>
  <c r="Q158" i="57" l="1"/>
  <c r="P158" i="57"/>
  <c r="V157" i="57"/>
  <c r="U157" i="57"/>
  <c r="Y157" i="57" s="1"/>
  <c r="N157" i="57"/>
  <c r="G157" i="57"/>
  <c r="F157" i="57"/>
  <c r="L157" i="57" s="1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O151" i="57"/>
  <c r="N151" i="57"/>
  <c r="L151" i="57"/>
  <c r="I151" i="57"/>
  <c r="G151" i="57"/>
  <c r="F151" i="57"/>
  <c r="M151" i="57" s="1"/>
  <c r="V150" i="57"/>
  <c r="U150" i="57"/>
  <c r="N150" i="57"/>
  <c r="F150" i="57"/>
  <c r="M150" i="57" s="1"/>
  <c r="V149" i="57"/>
  <c r="U149" i="57"/>
  <c r="N149" i="57"/>
  <c r="F149" i="57"/>
  <c r="H149" i="57" s="1"/>
  <c r="V148" i="57"/>
  <c r="U148" i="57"/>
  <c r="N148" i="57"/>
  <c r="L148" i="57"/>
  <c r="H148" i="57"/>
  <c r="F148" i="57"/>
  <c r="M148" i="57" s="1"/>
  <c r="V147" i="57"/>
  <c r="U147" i="57"/>
  <c r="N147" i="57"/>
  <c r="F147" i="57"/>
  <c r="L147" i="57" s="1"/>
  <c r="U146" i="57"/>
  <c r="Y146" i="57" s="1"/>
  <c r="N146" i="57"/>
  <c r="F146" i="57"/>
  <c r="L146" i="57" s="1"/>
  <c r="V145" i="57"/>
  <c r="U145" i="57"/>
  <c r="N145" i="57"/>
  <c r="F145" i="57"/>
  <c r="L145" i="57" s="1"/>
  <c r="V144" i="57"/>
  <c r="U144" i="57"/>
  <c r="N144" i="57"/>
  <c r="K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N141" i="57"/>
  <c r="F141" i="57"/>
  <c r="K141" i="57" s="1"/>
  <c r="V140" i="57"/>
  <c r="U140" i="57"/>
  <c r="N140" i="57"/>
  <c r="F140" i="57"/>
  <c r="M141" i="57" s="1"/>
  <c r="V139" i="57"/>
  <c r="U139" i="57"/>
  <c r="Y139" i="57" s="1"/>
  <c r="N139" i="57"/>
  <c r="F139" i="57"/>
  <c r="K139" i="57" s="1"/>
  <c r="V138" i="57"/>
  <c r="U138" i="57"/>
  <c r="N138" i="57"/>
  <c r="F138" i="57"/>
  <c r="L138" i="57" s="1"/>
  <c r="V137" i="57"/>
  <c r="U137" i="57"/>
  <c r="N137" i="57"/>
  <c r="F137" i="57"/>
  <c r="M137" i="57" s="1"/>
  <c r="W136" i="57"/>
  <c r="V136" i="57"/>
  <c r="U136" i="57"/>
  <c r="N136" i="57"/>
  <c r="G136" i="57"/>
  <c r="F136" i="57"/>
  <c r="M136" i="57" s="1"/>
  <c r="V135" i="57"/>
  <c r="Y135" i="57" s="1"/>
  <c r="N135" i="57"/>
  <c r="I135" i="57"/>
  <c r="F135" i="57"/>
  <c r="O135" i="57" s="1"/>
  <c r="V134" i="57"/>
  <c r="U134" i="57"/>
  <c r="O134" i="57"/>
  <c r="N134" i="57"/>
  <c r="F134" i="57"/>
  <c r="K134" i="57" s="1"/>
  <c r="V133" i="57"/>
  <c r="U133" i="57"/>
  <c r="N133" i="57"/>
  <c r="M133" i="57"/>
  <c r="F133" i="57"/>
  <c r="I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V118" i="57"/>
  <c r="U118" i="57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F110" i="57"/>
  <c r="H110" i="57" s="1"/>
  <c r="X109" i="57"/>
  <c r="U109" i="57"/>
  <c r="Y109" i="57" s="1"/>
  <c r="N109" i="57"/>
  <c r="J109" i="57"/>
  <c r="J158" i="57" s="1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G105" i="57"/>
  <c r="X104" i="57"/>
  <c r="U104" i="57"/>
  <c r="O104" i="57"/>
  <c r="N104" i="57"/>
  <c r="M104" i="57"/>
  <c r="L104" i="57"/>
  <c r="K104" i="57"/>
  <c r="I104" i="57"/>
  <c r="H104" i="57"/>
  <c r="G104" i="57"/>
  <c r="U103" i="57"/>
  <c r="Y103" i="57" s="1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H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N95" i="57"/>
  <c r="F95" i="57"/>
  <c r="I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N82" i="57"/>
  <c r="N84" i="57" s="1"/>
  <c r="F82" i="57"/>
  <c r="M82" i="57" s="1"/>
  <c r="X81" i="57"/>
  <c r="Y81" i="57" s="1"/>
  <c r="F81" i="57"/>
  <c r="O81" i="57" s="1"/>
  <c r="W80" i="57"/>
  <c r="Y80" i="57" s="1"/>
  <c r="F80" i="57"/>
  <c r="L80" i="57" s="1"/>
  <c r="Q77" i="57"/>
  <c r="P77" i="57"/>
  <c r="J77" i="57"/>
  <c r="U76" i="57"/>
  <c r="Y76" i="57" s="1"/>
  <c r="N76" i="57"/>
  <c r="F76" i="57"/>
  <c r="M76" i="57" s="1"/>
  <c r="W75" i="57"/>
  <c r="U75" i="57"/>
  <c r="N75" i="57"/>
  <c r="F75" i="57"/>
  <c r="L75" i="57" s="1"/>
  <c r="V74" i="57"/>
  <c r="U74" i="57"/>
  <c r="N74" i="57"/>
  <c r="F74" i="57"/>
  <c r="M74" i="57" s="1"/>
  <c r="V73" i="57"/>
  <c r="U73" i="57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O63" i="57"/>
  <c r="N63" i="57"/>
  <c r="F63" i="57"/>
  <c r="M63" i="57" s="1"/>
  <c r="W62" i="57"/>
  <c r="V62" i="57"/>
  <c r="U62" i="57"/>
  <c r="U65" i="57" s="1"/>
  <c r="N62" i="57"/>
  <c r="F62" i="57"/>
  <c r="O62" i="57" s="1"/>
  <c r="V61" i="57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I46" i="57"/>
  <c r="H46" i="57"/>
  <c r="F46" i="57"/>
  <c r="L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M38" i="57" s="1"/>
  <c r="V37" i="57"/>
  <c r="Y37" i="57" s="1"/>
  <c r="N37" i="57"/>
  <c r="F37" i="57"/>
  <c r="I37" i="57" s="1"/>
  <c r="X36" i="57"/>
  <c r="X47" i="57" s="1"/>
  <c r="N36" i="57"/>
  <c r="F36" i="57"/>
  <c r="I36" i="57" s="1"/>
  <c r="Q33" i="57"/>
  <c r="P33" i="57"/>
  <c r="G33" i="57"/>
  <c r="X32" i="57"/>
  <c r="V32" i="57"/>
  <c r="U32" i="57"/>
  <c r="N32" i="57"/>
  <c r="F32" i="57"/>
  <c r="L32" i="57" s="1"/>
  <c r="X31" i="57"/>
  <c r="W31" i="57"/>
  <c r="W33" i="57" s="1"/>
  <c r="V31" i="57"/>
  <c r="V33" i="57" s="1"/>
  <c r="U31" i="57"/>
  <c r="N31" i="57"/>
  <c r="J31" i="57"/>
  <c r="J33" i="57" s="1"/>
  <c r="F31" i="57"/>
  <c r="O31" i="57" s="1"/>
  <c r="P28" i="57"/>
  <c r="J28" i="57"/>
  <c r="W27" i="57"/>
  <c r="Y27" i="57" s="1"/>
  <c r="AA27" i="57" s="1"/>
  <c r="V26" i="57"/>
  <c r="U26" i="57"/>
  <c r="Y26" i="57" s="1"/>
  <c r="N26" i="57"/>
  <c r="F26" i="57"/>
  <c r="M26" i="57" s="1"/>
  <c r="W25" i="57"/>
  <c r="Y25" i="57" s="1"/>
  <c r="N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F13" i="57"/>
  <c r="K13" i="57" s="1"/>
  <c r="W12" i="57"/>
  <c r="V12" i="57"/>
  <c r="U12" i="57"/>
  <c r="N12" i="57"/>
  <c r="F12" i="57"/>
  <c r="M12" i="57" s="1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R9" i="57"/>
  <c r="T9" i="57" s="1"/>
  <c r="N9" i="57"/>
  <c r="I4" i="57"/>
  <c r="F4" i="57"/>
  <c r="M36" i="57" l="1"/>
  <c r="K42" i="57"/>
  <c r="M46" i="57"/>
  <c r="I56" i="57"/>
  <c r="K95" i="57"/>
  <c r="X33" i="57"/>
  <c r="H44" i="57"/>
  <c r="Y75" i="57"/>
  <c r="I80" i="57"/>
  <c r="O94" i="57"/>
  <c r="M95" i="57"/>
  <c r="I109" i="57"/>
  <c r="M146" i="57"/>
  <c r="H147" i="57"/>
  <c r="H133" i="57"/>
  <c r="O133" i="57"/>
  <c r="L134" i="57"/>
  <c r="L139" i="57"/>
  <c r="M25" i="57"/>
  <c r="L31" i="57"/>
  <c r="L33" i="57" s="1"/>
  <c r="Y32" i="57"/>
  <c r="H36" i="57"/>
  <c r="H42" i="57"/>
  <c r="M45" i="57"/>
  <c r="K46" i="57"/>
  <c r="H56" i="57"/>
  <c r="K62" i="57"/>
  <c r="Y63" i="57"/>
  <c r="N77" i="57"/>
  <c r="I90" i="57"/>
  <c r="H95" i="57"/>
  <c r="Y104" i="57"/>
  <c r="R119" i="57"/>
  <c r="Y121" i="57"/>
  <c r="Y126" i="57"/>
  <c r="K133" i="57"/>
  <c r="Y137" i="57"/>
  <c r="Y156" i="57"/>
  <c r="K12" i="57"/>
  <c r="I26" i="57"/>
  <c r="K36" i="57"/>
  <c r="O36" i="57"/>
  <c r="N47" i="57"/>
  <c r="I38" i="57"/>
  <c r="O42" i="57"/>
  <c r="V65" i="57"/>
  <c r="K72" i="57"/>
  <c r="Y73" i="57"/>
  <c r="Y74" i="57"/>
  <c r="V91" i="57"/>
  <c r="O95" i="57"/>
  <c r="K98" i="57"/>
  <c r="R108" i="57"/>
  <c r="T108" i="57" s="1"/>
  <c r="Y110" i="57"/>
  <c r="K113" i="57"/>
  <c r="Y118" i="57"/>
  <c r="R124" i="57"/>
  <c r="K128" i="57"/>
  <c r="H136" i="57"/>
  <c r="I140" i="57"/>
  <c r="O141" i="57"/>
  <c r="M144" i="57"/>
  <c r="I153" i="57"/>
  <c r="L12" i="57"/>
  <c r="Y13" i="57"/>
  <c r="K26" i="57"/>
  <c r="O26" i="57"/>
  <c r="L36" i="57"/>
  <c r="K38" i="57"/>
  <c r="O38" i="57"/>
  <c r="M54" i="57"/>
  <c r="I81" i="57"/>
  <c r="Y82" i="57"/>
  <c r="L95" i="57"/>
  <c r="Q105" i="57"/>
  <c r="O109" i="57"/>
  <c r="Y114" i="57"/>
  <c r="R120" i="57"/>
  <c r="L128" i="57"/>
  <c r="L133" i="57"/>
  <c r="I136" i="57"/>
  <c r="K140" i="57"/>
  <c r="I144" i="57"/>
  <c r="K146" i="57"/>
  <c r="Y147" i="57"/>
  <c r="Y148" i="57"/>
  <c r="O149" i="57"/>
  <c r="K151" i="57"/>
  <c r="Y151" i="57"/>
  <c r="L26" i="57"/>
  <c r="L38" i="57"/>
  <c r="O72" i="57"/>
  <c r="X84" i="57"/>
  <c r="O113" i="57"/>
  <c r="M140" i="57"/>
  <c r="AA9" i="57"/>
  <c r="M11" i="57"/>
  <c r="M13" i="57"/>
  <c r="H26" i="57"/>
  <c r="N33" i="57"/>
  <c r="L37" i="57"/>
  <c r="H38" i="57"/>
  <c r="I54" i="57"/>
  <c r="K56" i="57"/>
  <c r="N65" i="57"/>
  <c r="L62" i="57"/>
  <c r="K71" i="57"/>
  <c r="I72" i="57"/>
  <c r="I76" i="57"/>
  <c r="Y112" i="57"/>
  <c r="H113" i="57"/>
  <c r="R114" i="57"/>
  <c r="T114" i="57" s="1"/>
  <c r="Y119" i="57"/>
  <c r="Y120" i="57"/>
  <c r="AA120" i="57" s="1"/>
  <c r="H128" i="57"/>
  <c r="O129" i="57"/>
  <c r="Y132" i="57"/>
  <c r="Y134" i="57"/>
  <c r="K135" i="57"/>
  <c r="O136" i="57"/>
  <c r="H140" i="57"/>
  <c r="L144" i="57"/>
  <c r="Y144" i="57"/>
  <c r="I147" i="57"/>
  <c r="O148" i="57"/>
  <c r="Y150" i="57"/>
  <c r="H151" i="57"/>
  <c r="H153" i="57"/>
  <c r="Y153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I129" i="57"/>
  <c r="I134" i="57"/>
  <c r="H135" i="57"/>
  <c r="I139" i="57"/>
  <c r="I145" i="57"/>
  <c r="I157" i="57"/>
  <c r="R157" i="57" s="1"/>
  <c r="R149" i="57" l="1"/>
  <c r="R156" i="57"/>
  <c r="R11" i="57"/>
  <c r="R146" i="57"/>
  <c r="R128" i="57"/>
  <c r="R37" i="57"/>
  <c r="T37" i="57" s="1"/>
  <c r="Y91" i="57"/>
  <c r="R14" i="57"/>
  <c r="R131" i="57"/>
  <c r="T131" i="57" s="1"/>
  <c r="M158" i="57"/>
  <c r="R21" i="57"/>
  <c r="AA21" i="57" s="1"/>
  <c r="M105" i="57"/>
  <c r="R132" i="57"/>
  <c r="R24" i="57"/>
  <c r="R16" i="57"/>
  <c r="Y84" i="57"/>
  <c r="R88" i="57"/>
  <c r="T88" i="57" s="1"/>
  <c r="R141" i="57"/>
  <c r="T141" i="57" s="1"/>
  <c r="R135" i="57"/>
  <c r="O105" i="57"/>
  <c r="R22" i="57"/>
  <c r="T22" i="57" s="1"/>
  <c r="R15" i="57"/>
  <c r="M28" i="57"/>
  <c r="AA37" i="57"/>
  <c r="R147" i="57"/>
  <c r="T147" i="57" s="1"/>
  <c r="R13" i="57"/>
  <c r="T25" i="57"/>
  <c r="AA25" i="57"/>
  <c r="AA147" i="57"/>
  <c r="AA13" i="57"/>
  <c r="T13" i="57"/>
  <c r="AA141" i="57"/>
  <c r="AA149" i="57"/>
  <c r="T149" i="57"/>
  <c r="T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1" i="1"/>
  <c r="T28" i="1"/>
  <c r="X28" i="1" s="1"/>
  <c r="X72" i="1"/>
  <c r="T31" i="1"/>
  <c r="AA22" i="57" l="1"/>
  <c r="I159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AA19" i="57"/>
  <c r="AA28" i="57" s="1"/>
  <c r="T19" i="57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R51" i="57"/>
  <c r="AA51" i="57" s="1"/>
  <c r="AA50" i="57"/>
  <c r="U144" i="1"/>
  <c r="U18" i="1"/>
  <c r="U106" i="1"/>
  <c r="T51" i="1"/>
  <c r="X51" i="1" s="1"/>
  <c r="U17" i="1"/>
  <c r="AA77" i="57" l="1"/>
  <c r="T105" i="57"/>
  <c r="T47" i="57"/>
  <c r="AA84" i="57"/>
  <c r="T158" i="57"/>
  <c r="T28" i="57"/>
  <c r="T77" i="57"/>
  <c r="Y58" i="57"/>
  <c r="Y159" i="57" s="1"/>
  <c r="AA105" i="57"/>
  <c r="R159" i="57"/>
  <c r="T159" i="57" l="1"/>
  <c r="AA159" i="57"/>
  <c r="U33" i="1"/>
  <c r="U43" i="1"/>
  <c r="V34" i="1" l="1"/>
  <c r="X34" i="1" l="1"/>
  <c r="Z34" i="1" s="1"/>
  <c r="T134" i="1"/>
  <c r="T152" i="1" l="1"/>
  <c r="X152" i="1" s="1"/>
  <c r="X148" i="1"/>
  <c r="T121" i="1"/>
  <c r="U10" i="1"/>
  <c r="X10" i="1" l="1"/>
  <c r="T67" i="1"/>
  <c r="X67" i="1" s="1"/>
  <c r="U93" i="1"/>
  <c r="U99" i="1" s="1"/>
  <c r="T154" i="1" l="1"/>
  <c r="X154" i="1" s="1"/>
  <c r="T133" i="1" l="1"/>
  <c r="T15" i="1"/>
  <c r="X15" i="1" s="1"/>
  <c r="O154" i="1" l="1"/>
  <c r="L154" i="1"/>
  <c r="K154" i="1"/>
  <c r="J154" i="1"/>
  <c r="H154" i="1"/>
  <c r="G154" i="1"/>
  <c r="R154" i="1" l="1"/>
  <c r="Z154" i="1" s="1"/>
  <c r="Q22" i="1" l="1"/>
  <c r="Q13" i="1"/>
  <c r="U163" i="55"/>
  <c r="V163" i="55" s="1"/>
  <c r="T163" i="55"/>
  <c r="U162" i="55"/>
  <c r="T162" i="55"/>
  <c r="V162" i="55" l="1"/>
  <c r="V164" i="55" s="1"/>
  <c r="T11" i="1"/>
  <c r="X11" i="1" l="1"/>
  <c r="U66" i="1"/>
  <c r="U76" i="1" s="1"/>
  <c r="U48" i="1"/>
  <c r="X48" i="1" l="1"/>
  <c r="U56" i="1"/>
  <c r="U162" i="1"/>
  <c r="X162" i="1" s="1"/>
  <c r="T138" i="1"/>
  <c r="T112" i="1"/>
  <c r="X112" i="1" s="1"/>
  <c r="X138" i="1" l="1"/>
  <c r="T122" i="1" l="1"/>
  <c r="T129" i="1" s="1"/>
  <c r="U122" i="1" l="1"/>
  <c r="X122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95" i="56" l="1"/>
  <c r="S63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1" i="1"/>
  <c r="Q15" i="1"/>
  <c r="T18" i="1"/>
  <c r="V54" i="55"/>
  <c r="T54" i="55"/>
  <c r="V100" i="55"/>
  <c r="U158" i="55"/>
  <c r="Q158" i="55"/>
  <c r="P158" i="55"/>
  <c r="T157" i="55"/>
  <c r="S157" i="55"/>
  <c r="V157" i="55" s="1"/>
  <c r="R157" i="55"/>
  <c r="G157" i="55"/>
  <c r="F157" i="55"/>
  <c r="L157" i="55" s="1"/>
  <c r="T156" i="55"/>
  <c r="S156" i="55"/>
  <c r="V156" i="55" s="1"/>
  <c r="R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F154" i="55"/>
  <c r="O154" i="55" s="1"/>
  <c r="T153" i="55"/>
  <c r="S153" i="55"/>
  <c r="V153" i="55" s="1"/>
  <c r="R153" i="55"/>
  <c r="F153" i="55"/>
  <c r="M153" i="55" s="1"/>
  <c r="V152" i="55"/>
  <c r="T152" i="55"/>
  <c r="S152" i="55"/>
  <c r="R152" i="55"/>
  <c r="F152" i="55"/>
  <c r="L152" i="55" s="1"/>
  <c r="T151" i="55"/>
  <c r="S151" i="55"/>
  <c r="V151" i="55" s="1"/>
  <c r="R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F149" i="55"/>
  <c r="O149" i="55" s="1"/>
  <c r="T148" i="55"/>
  <c r="S148" i="55"/>
  <c r="V148" i="55" s="1"/>
  <c r="R148" i="55"/>
  <c r="F148" i="55"/>
  <c r="M148" i="55" s="1"/>
  <c r="V147" i="55"/>
  <c r="T147" i="55"/>
  <c r="S147" i="55"/>
  <c r="R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F145" i="55"/>
  <c r="O145" i="55" s="1"/>
  <c r="T144" i="55"/>
  <c r="S144" i="55"/>
  <c r="V144" i="55" s="1"/>
  <c r="R144" i="55"/>
  <c r="F144" i="55"/>
  <c r="M144" i="55" s="1"/>
  <c r="V143" i="55"/>
  <c r="T143" i="55"/>
  <c r="S143" i="55"/>
  <c r="R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T140" i="55"/>
  <c r="S140" i="55"/>
  <c r="V140" i="55" s="1"/>
  <c r="R140" i="55"/>
  <c r="F140" i="55"/>
  <c r="M140" i="55" s="1"/>
  <c r="T139" i="55"/>
  <c r="S139" i="55"/>
  <c r="V139" i="55" s="1"/>
  <c r="R139" i="55"/>
  <c r="O139" i="55"/>
  <c r="K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T136" i="55"/>
  <c r="S136" i="55"/>
  <c r="V136" i="55" s="1"/>
  <c r="R136" i="55"/>
  <c r="G136" i="55"/>
  <c r="G158" i="55" s="1"/>
  <c r="F136" i="55"/>
  <c r="M136" i="55" s="1"/>
  <c r="T135" i="55"/>
  <c r="S135" i="55"/>
  <c r="V135" i="55" s="1"/>
  <c r="R135" i="55"/>
  <c r="F135" i="55"/>
  <c r="M135" i="55" s="1"/>
  <c r="T134" i="55"/>
  <c r="S134" i="55"/>
  <c r="V134" i="55" s="1"/>
  <c r="R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T131" i="55"/>
  <c r="S131" i="55"/>
  <c r="V131" i="55" s="1"/>
  <c r="R131" i="55"/>
  <c r="F131" i="55"/>
  <c r="M131" i="55" s="1"/>
  <c r="V130" i="55"/>
  <c r="T130" i="55"/>
  <c r="S130" i="55"/>
  <c r="R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F117" i="55"/>
  <c r="M117" i="55" s="1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O114" i="55"/>
  <c r="K114" i="55"/>
  <c r="I114" i="55"/>
  <c r="F114" i="55"/>
  <c r="M114" i="55" s="1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N158" i="55" s="1"/>
  <c r="R158" i="55" s="1"/>
  <c r="M112" i="55"/>
  <c r="L112" i="55"/>
  <c r="K112" i="55"/>
  <c r="I112" i="55"/>
  <c r="H112" i="55"/>
  <c r="T111" i="55"/>
  <c r="S111" i="55"/>
  <c r="V111" i="55" s="1"/>
  <c r="R111" i="55"/>
  <c r="O111" i="55"/>
  <c r="K111" i="55"/>
  <c r="F111" i="55"/>
  <c r="M111" i="55" s="1"/>
  <c r="T110" i="55"/>
  <c r="S110" i="55"/>
  <c r="V110" i="55" s="1"/>
  <c r="R110" i="55"/>
  <c r="J110" i="55"/>
  <c r="J158" i="55" s="1"/>
  <c r="F110" i="55"/>
  <c r="L110" i="55" s="1"/>
  <c r="V109" i="55"/>
  <c r="T109" i="55"/>
  <c r="S109" i="55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N100" i="55"/>
  <c r="F100" i="55"/>
  <c r="I100" i="55" s="1"/>
  <c r="T99" i="55"/>
  <c r="S99" i="55"/>
  <c r="V99" i="55" s="1"/>
  <c r="R99" i="55"/>
  <c r="F99" i="55"/>
  <c r="L99" i="55" s="1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N96" i="55"/>
  <c r="N106" i="55" s="1"/>
  <c r="J96" i="55"/>
  <c r="J106" i="55" s="1"/>
  <c r="I96" i="55"/>
  <c r="H96" i="55"/>
  <c r="F96" i="55"/>
  <c r="L96" i="55" s="1"/>
  <c r="V95" i="55"/>
  <c r="R95" i="55"/>
  <c r="V94" i="55"/>
  <c r="R94" i="55"/>
  <c r="S93" i="55"/>
  <c r="Q93" i="55"/>
  <c r="P93" i="55"/>
  <c r="N93" i="55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O91" i="55" s="1"/>
  <c r="V90" i="55"/>
  <c r="U90" i="55"/>
  <c r="T90" i="55"/>
  <c r="R90" i="55"/>
  <c r="F90" i="55"/>
  <c r="M90" i="55" s="1"/>
  <c r="V89" i="55"/>
  <c r="U89" i="55"/>
  <c r="T89" i="55"/>
  <c r="R89" i="55"/>
  <c r="F89" i="55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K85" i="55" s="1"/>
  <c r="U84" i="55"/>
  <c r="S84" i="55"/>
  <c r="N84" i="55"/>
  <c r="R84" i="55" s="1"/>
  <c r="F84" i="55"/>
  <c r="L84" i="55" s="1"/>
  <c r="V83" i="55"/>
  <c r="U83" i="55"/>
  <c r="T83" i="55"/>
  <c r="R83" i="55"/>
  <c r="F83" i="55"/>
  <c r="L83" i="55" s="1"/>
  <c r="V82" i="55"/>
  <c r="U82" i="55"/>
  <c r="R82" i="55"/>
  <c r="F82" i="55"/>
  <c r="M82" i="55" s="1"/>
  <c r="V81" i="55"/>
  <c r="U81" i="55"/>
  <c r="T81" i="55"/>
  <c r="R81" i="55"/>
  <c r="F81" i="55"/>
  <c r="L81" i="55" s="1"/>
  <c r="V80" i="55"/>
  <c r="U80" i="55"/>
  <c r="R80" i="55"/>
  <c r="F80" i="55"/>
  <c r="O80" i="55" s="1"/>
  <c r="V79" i="55"/>
  <c r="R79" i="55"/>
  <c r="V78" i="55"/>
  <c r="R78" i="55"/>
  <c r="Q77" i="55"/>
  <c r="P77" i="55"/>
  <c r="N77" i="55"/>
  <c r="R77" i="55" s="1"/>
  <c r="J77" i="55"/>
  <c r="U76" i="55"/>
  <c r="S76" i="55"/>
  <c r="V76" i="55" s="1"/>
  <c r="R76" i="55"/>
  <c r="K76" i="55"/>
  <c r="F76" i="55"/>
  <c r="O76" i="55" s="1"/>
  <c r="V75" i="55"/>
  <c r="U75" i="55"/>
  <c r="S75" i="55"/>
  <c r="T75" i="55" s="1"/>
  <c r="R75" i="55"/>
  <c r="F75" i="55"/>
  <c r="O75" i="55" s="1"/>
  <c r="U74" i="55"/>
  <c r="S74" i="55"/>
  <c r="V74" i="55" s="1"/>
  <c r="R74" i="55"/>
  <c r="K74" i="55"/>
  <c r="I74" i="55"/>
  <c r="F74" i="55"/>
  <c r="O74" i="55" s="1"/>
  <c r="U73" i="55"/>
  <c r="S73" i="55"/>
  <c r="T73" i="55" s="1"/>
  <c r="R73" i="55"/>
  <c r="K73" i="55"/>
  <c r="I73" i="55"/>
  <c r="F73" i="55"/>
  <c r="L73" i="55" s="1"/>
  <c r="V72" i="55"/>
  <c r="U72" i="55"/>
  <c r="S72" i="55"/>
  <c r="T72" i="55" s="1"/>
  <c r="R72" i="55"/>
  <c r="F72" i="55"/>
  <c r="L72" i="55" s="1"/>
  <c r="U71" i="55"/>
  <c r="S71" i="55"/>
  <c r="V71" i="55" s="1"/>
  <c r="R71" i="55"/>
  <c r="K71" i="55"/>
  <c r="F71" i="55"/>
  <c r="L71" i="55" s="1"/>
  <c r="U70" i="55"/>
  <c r="S70" i="55"/>
  <c r="T70" i="55" s="1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F64" i="55"/>
  <c r="M64" i="55" s="1"/>
  <c r="U63" i="55"/>
  <c r="S63" i="55"/>
  <c r="T63" i="55" s="1"/>
  <c r="R63" i="55"/>
  <c r="F63" i="55"/>
  <c r="M63" i="55" s="1"/>
  <c r="U62" i="55"/>
  <c r="S62" i="55"/>
  <c r="T62" i="55" s="1"/>
  <c r="R62" i="55"/>
  <c r="O62" i="55"/>
  <c r="F62" i="55"/>
  <c r="M62" i="55" s="1"/>
  <c r="U61" i="55"/>
  <c r="S61" i="55"/>
  <c r="S65" i="55" s="1"/>
  <c r="R61" i="55"/>
  <c r="F61" i="55"/>
  <c r="V60" i="55"/>
  <c r="R60" i="55"/>
  <c r="V59" i="55"/>
  <c r="R59" i="55"/>
  <c r="Q58" i="55"/>
  <c r="P58" i="55"/>
  <c r="U57" i="55"/>
  <c r="S57" i="55"/>
  <c r="N57" i="55"/>
  <c r="T57" i="55" s="1"/>
  <c r="F57" i="55"/>
  <c r="U56" i="55"/>
  <c r="S56" i="55"/>
  <c r="R56" i="55"/>
  <c r="G56" i="55"/>
  <c r="F56" i="55"/>
  <c r="K56" i="55" s="1"/>
  <c r="U55" i="55"/>
  <c r="S55" i="55"/>
  <c r="V55" i="55" s="1"/>
  <c r="R55" i="55"/>
  <c r="F55" i="55"/>
  <c r="L55" i="55" s="1"/>
  <c r="U54" i="55"/>
  <c r="S54" i="55"/>
  <c r="R54" i="55"/>
  <c r="F54" i="55"/>
  <c r="L54" i="55" s="1"/>
  <c r="U53" i="55"/>
  <c r="S53" i="55"/>
  <c r="S58" i="55" s="1"/>
  <c r="R53" i="55"/>
  <c r="J53" i="55"/>
  <c r="J58" i="55" s="1"/>
  <c r="G53" i="55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N49" i="55"/>
  <c r="R49" i="55" s="1"/>
  <c r="F49" i="55"/>
  <c r="L49" i="55" s="1"/>
  <c r="S48" i="55"/>
  <c r="V48" i="55" s="1"/>
  <c r="R48" i="55"/>
  <c r="F48" i="55"/>
  <c r="L48" i="55" s="1"/>
  <c r="L50" i="55" s="1"/>
  <c r="V47" i="55"/>
  <c r="R47" i="55"/>
  <c r="V46" i="55"/>
  <c r="R46" i="55"/>
  <c r="Q45" i="55"/>
  <c r="P45" i="55"/>
  <c r="N45" i="55"/>
  <c r="U44" i="55"/>
  <c r="S44" i="55"/>
  <c r="R44" i="55"/>
  <c r="F44" i="55"/>
  <c r="K44" i="55" s="1"/>
  <c r="U43" i="55"/>
  <c r="S43" i="55"/>
  <c r="V43" i="55" s="1"/>
  <c r="R43" i="55"/>
  <c r="J43" i="55"/>
  <c r="J45" i="55" s="1"/>
  <c r="F43" i="55"/>
  <c r="K43" i="55" s="1"/>
  <c r="U42" i="55"/>
  <c r="S42" i="55"/>
  <c r="T42" i="55" s="1"/>
  <c r="R42" i="55"/>
  <c r="H42" i="55"/>
  <c r="F42" i="55"/>
  <c r="L42" i="55" s="1"/>
  <c r="U41" i="55"/>
  <c r="S41" i="55"/>
  <c r="V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F40" i="55"/>
  <c r="K40" i="55" s="1"/>
  <c r="U39" i="55"/>
  <c r="S39" i="55"/>
  <c r="V39" i="55" s="1"/>
  <c r="R39" i="55"/>
  <c r="F39" i="55"/>
  <c r="K39" i="55" s="1"/>
  <c r="U38" i="55"/>
  <c r="S38" i="55"/>
  <c r="V38" i="55" s="1"/>
  <c r="R38" i="55"/>
  <c r="O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S36" i="55"/>
  <c r="T36" i="55" s="1"/>
  <c r="R36" i="55"/>
  <c r="F36" i="55"/>
  <c r="O36" i="55" s="1"/>
  <c r="U35" i="55"/>
  <c r="S35" i="55"/>
  <c r="V35" i="55" s="1"/>
  <c r="R35" i="55"/>
  <c r="K35" i="55"/>
  <c r="F35" i="55"/>
  <c r="O35" i="55" s="1"/>
  <c r="U34" i="55"/>
  <c r="U45" i="55" s="1"/>
  <c r="S34" i="55"/>
  <c r="T34" i="55" s="1"/>
  <c r="R34" i="55"/>
  <c r="K34" i="55"/>
  <c r="I34" i="55"/>
  <c r="H34" i="55"/>
  <c r="F34" i="55"/>
  <c r="L34" i="55" s="1"/>
  <c r="V33" i="55"/>
  <c r="R33" i="55"/>
  <c r="V32" i="55"/>
  <c r="R32" i="55"/>
  <c r="Q31" i="55"/>
  <c r="P31" i="55"/>
  <c r="G31" i="55"/>
  <c r="T30" i="55"/>
  <c r="S30" i="55"/>
  <c r="U30" i="55" s="1"/>
  <c r="N30" i="55"/>
  <c r="R30" i="55" s="1"/>
  <c r="F30" i="55"/>
  <c r="L30" i="55" s="1"/>
  <c r="T29" i="55"/>
  <c r="T31" i="55" s="1"/>
  <c r="S29" i="55"/>
  <c r="S31" i="55" s="1"/>
  <c r="N29" i="55"/>
  <c r="R29" i="55" s="1"/>
  <c r="J29" i="55"/>
  <c r="J31" i="55" s="1"/>
  <c r="F29" i="55"/>
  <c r="O29" i="55" s="1"/>
  <c r="V28" i="55"/>
  <c r="V27" i="55"/>
  <c r="P26" i="55"/>
  <c r="J26" i="55"/>
  <c r="U25" i="55"/>
  <c r="S25" i="55"/>
  <c r="V25" i="55" s="1"/>
  <c r="R25" i="55"/>
  <c r="M25" i="55"/>
  <c r="F25" i="55"/>
  <c r="L25" i="55" s="1"/>
  <c r="V24" i="55"/>
  <c r="U24" i="55"/>
  <c r="S24" i="55"/>
  <c r="R24" i="55"/>
  <c r="O24" i="55"/>
  <c r="I24" i="55"/>
  <c r="F24" i="55"/>
  <c r="K24" i="55" s="1"/>
  <c r="S23" i="55"/>
  <c r="U23" i="55" s="1"/>
  <c r="N23" i="55"/>
  <c r="V23" i="55" s="1"/>
  <c r="G23" i="55"/>
  <c r="F23" i="55"/>
  <c r="O23" i="55" s="1"/>
  <c r="S22" i="55"/>
  <c r="U22" i="55" s="1"/>
  <c r="Q22" i="55"/>
  <c r="N22" i="55"/>
  <c r="H22" i="55"/>
  <c r="G22" i="55"/>
  <c r="F22" i="55"/>
  <c r="M22" i="55" s="1"/>
  <c r="S21" i="55"/>
  <c r="U21" i="55" s="1"/>
  <c r="N21" i="55"/>
  <c r="R21" i="55" s="1"/>
  <c r="M21" i="55"/>
  <c r="G21" i="55"/>
  <c r="F21" i="55"/>
  <c r="I21" i="55" s="1"/>
  <c r="U20" i="55"/>
  <c r="S20" i="55"/>
  <c r="N20" i="55"/>
  <c r="R20" i="55" s="1"/>
  <c r="F20" i="55"/>
  <c r="O20" i="55" s="1"/>
  <c r="U19" i="55"/>
  <c r="S19" i="55"/>
  <c r="V19" i="55" s="1"/>
  <c r="R19" i="55"/>
  <c r="F19" i="55"/>
  <c r="O19" i="55" s="1"/>
  <c r="S18" i="55"/>
  <c r="U18" i="55" s="1"/>
  <c r="N18" i="55"/>
  <c r="R18" i="55" s="1"/>
  <c r="F18" i="55"/>
  <c r="L18" i="55" s="1"/>
  <c r="U17" i="55"/>
  <c r="S17" i="55"/>
  <c r="V17" i="55" s="1"/>
  <c r="Q17" i="55"/>
  <c r="R17" i="55" s="1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N15" i="55"/>
  <c r="V15" i="55" s="1"/>
  <c r="K15" i="55"/>
  <c r="F15" i="55"/>
  <c r="L15" i="55" s="1"/>
  <c r="S14" i="55"/>
  <c r="U14" i="55" s="1"/>
  <c r="Q14" i="55"/>
  <c r="N14" i="55"/>
  <c r="F14" i="55"/>
  <c r="M14" i="55" s="1"/>
  <c r="U13" i="55"/>
  <c r="S13" i="55"/>
  <c r="T13" i="55" s="1"/>
  <c r="R13" i="55"/>
  <c r="F13" i="55"/>
  <c r="M13" i="55" s="1"/>
  <c r="S12" i="55"/>
  <c r="V12" i="55" s="1"/>
  <c r="R12" i="55"/>
  <c r="F12" i="55"/>
  <c r="L12" i="55" s="1"/>
  <c r="S11" i="55"/>
  <c r="U11" i="55" s="1"/>
  <c r="N11" i="55"/>
  <c r="R11" i="55" s="1"/>
  <c r="H11" i="55"/>
  <c r="F11" i="55"/>
  <c r="L11" i="55" s="1"/>
  <c r="U10" i="55"/>
  <c r="S10" i="55"/>
  <c r="V10" i="55" s="1"/>
  <c r="R10" i="55"/>
  <c r="F10" i="55"/>
  <c r="K10" i="55" s="1"/>
  <c r="U9" i="55"/>
  <c r="S9" i="55"/>
  <c r="O9" i="55"/>
  <c r="N9" i="55"/>
  <c r="M9" i="55"/>
  <c r="L9" i="55"/>
  <c r="K9" i="55"/>
  <c r="I9" i="55"/>
  <c r="H9" i="55"/>
  <c r="U8" i="55"/>
  <c r="S8" i="55"/>
  <c r="N8" i="55"/>
  <c r="R8" i="55" s="1"/>
  <c r="M8" i="55"/>
  <c r="F8" i="55"/>
  <c r="L8" i="55" s="1"/>
  <c r="U7" i="55"/>
  <c r="S7" i="55"/>
  <c r="S26" i="55" s="1"/>
  <c r="R7" i="55"/>
  <c r="I3" i="55"/>
  <c r="F3" i="55"/>
  <c r="T41" i="55" l="1"/>
  <c r="O130" i="55"/>
  <c r="O140" i="55"/>
  <c r="O147" i="55"/>
  <c r="O151" i="55"/>
  <c r="M11" i="55"/>
  <c r="U12" i="55"/>
  <c r="R15" i="55"/>
  <c r="H18" i="55"/>
  <c r="O34" i="55"/>
  <c r="V34" i="55"/>
  <c r="I42" i="55"/>
  <c r="I43" i="55"/>
  <c r="H55" i="55"/>
  <c r="I64" i="55"/>
  <c r="U93" i="55"/>
  <c r="H91" i="55"/>
  <c r="R96" i="55"/>
  <c r="K99" i="55"/>
  <c r="I117" i="55"/>
  <c r="H130" i="55"/>
  <c r="I134" i="55"/>
  <c r="K149" i="55"/>
  <c r="O10" i="55"/>
  <c r="K12" i="55"/>
  <c r="K18" i="55"/>
  <c r="M19" i="55"/>
  <c r="I22" i="55"/>
  <c r="K25" i="55"/>
  <c r="K42" i="55"/>
  <c r="K55" i="55"/>
  <c r="F65" i="55"/>
  <c r="V70" i="55"/>
  <c r="O73" i="55"/>
  <c r="V73" i="55"/>
  <c r="F93" i="55"/>
  <c r="K91" i="55"/>
  <c r="K100" i="55"/>
  <c r="K117" i="55"/>
  <c r="I130" i="55"/>
  <c r="O131" i="55"/>
  <c r="I140" i="55"/>
  <c r="I147" i="55"/>
  <c r="I148" i="55"/>
  <c r="K153" i="55"/>
  <c r="O11" i="55"/>
  <c r="R14" i="55"/>
  <c r="R22" i="55"/>
  <c r="I35" i="55"/>
  <c r="O42" i="55"/>
  <c r="V42" i="55"/>
  <c r="O43" i="55"/>
  <c r="M55" i="55"/>
  <c r="U58" i="55"/>
  <c r="I62" i="55"/>
  <c r="H73" i="55"/>
  <c r="I76" i="55"/>
  <c r="M91" i="55"/>
  <c r="V93" i="55"/>
  <c r="M96" i="55"/>
  <c r="T158" i="55"/>
  <c r="I111" i="55"/>
  <c r="O117" i="55"/>
  <c r="K130" i="55"/>
  <c r="H139" i="55"/>
  <c r="K140" i="55"/>
  <c r="K144" i="55"/>
  <c r="K147" i="55"/>
  <c r="O148" i="55"/>
  <c r="H151" i="55"/>
  <c r="M17" i="55"/>
  <c r="O56" i="55"/>
  <c r="M72" i="55"/>
  <c r="M75" i="55"/>
  <c r="M80" i="55"/>
  <c r="O85" i="55"/>
  <c r="M119" i="55"/>
  <c r="M143" i="55"/>
  <c r="M152" i="55"/>
  <c r="M157" i="55"/>
  <c r="T7" i="55"/>
  <c r="T26" i="55" s="1"/>
  <c r="H8" i="55"/>
  <c r="V11" i="55"/>
  <c r="M12" i="55"/>
  <c r="V14" i="55"/>
  <c r="M15" i="55"/>
  <c r="H17" i="55"/>
  <c r="O17" i="55"/>
  <c r="M18" i="55"/>
  <c r="I20" i="55"/>
  <c r="L29" i="55"/>
  <c r="H30" i="55"/>
  <c r="O30" i="55"/>
  <c r="O31" i="55" s="1"/>
  <c r="T35" i="55"/>
  <c r="H36" i="55"/>
  <c r="I39" i="55"/>
  <c r="I44" i="55"/>
  <c r="H49" i="55"/>
  <c r="O49" i="55"/>
  <c r="K53" i="55"/>
  <c r="T53" i="55"/>
  <c r="H54" i="55"/>
  <c r="T55" i="55"/>
  <c r="V57" i="55"/>
  <c r="I69" i="55"/>
  <c r="M71" i="55"/>
  <c r="T71" i="55"/>
  <c r="H72" i="55"/>
  <c r="O72" i="55"/>
  <c r="T74" i="55"/>
  <c r="H75" i="55"/>
  <c r="T76" i="55"/>
  <c r="H80" i="55"/>
  <c r="H81" i="55"/>
  <c r="I82" i="55"/>
  <c r="T86" i="55"/>
  <c r="H84" i="55"/>
  <c r="O84" i="55"/>
  <c r="N86" i="55"/>
  <c r="R86" i="55" s="1"/>
  <c r="H89" i="55"/>
  <c r="I90" i="55"/>
  <c r="L100" i="55"/>
  <c r="M110" i="55"/>
  <c r="H119" i="55"/>
  <c r="O119" i="55"/>
  <c r="K134" i="55"/>
  <c r="I135" i="55"/>
  <c r="K137" i="55"/>
  <c r="M139" i="55"/>
  <c r="H143" i="55"/>
  <c r="O143" i="55"/>
  <c r="O144" i="55"/>
  <c r="I151" i="55"/>
  <c r="H152" i="55"/>
  <c r="O152" i="55"/>
  <c r="O153" i="55"/>
  <c r="O157" i="55"/>
  <c r="M43" i="56"/>
  <c r="H19" i="55"/>
  <c r="G26" i="55"/>
  <c r="I23" i="55"/>
  <c r="H29" i="55"/>
  <c r="H31" i="55" s="1"/>
  <c r="M29" i="55"/>
  <c r="K30" i="55"/>
  <c r="F31" i="55"/>
  <c r="M35" i="55"/>
  <c r="K36" i="55"/>
  <c r="O39" i="55"/>
  <c r="O45" i="55" s="1"/>
  <c r="L43" i="55"/>
  <c r="O44" i="55"/>
  <c r="F45" i="55"/>
  <c r="S45" i="55"/>
  <c r="K49" i="55"/>
  <c r="V49" i="55"/>
  <c r="N50" i="55"/>
  <c r="R50" i="55" s="1"/>
  <c r="G58" i="55"/>
  <c r="M53" i="55"/>
  <c r="K54" i="55"/>
  <c r="I56" i="55"/>
  <c r="R57" i="55"/>
  <c r="I61" i="55"/>
  <c r="I63" i="55"/>
  <c r="O69" i="55"/>
  <c r="O77" i="55" s="1"/>
  <c r="H71" i="55"/>
  <c r="O71" i="55"/>
  <c r="I72" i="55"/>
  <c r="M74" i="55"/>
  <c r="I75" i="55"/>
  <c r="M76" i="55"/>
  <c r="I80" i="55"/>
  <c r="U86" i="55"/>
  <c r="K81" i="55"/>
  <c r="O82" i="55"/>
  <c r="K84" i="55"/>
  <c r="I85" i="55"/>
  <c r="K89" i="55"/>
  <c r="O90" i="55"/>
  <c r="T93" i="55"/>
  <c r="O110" i="55"/>
  <c r="R112" i="55"/>
  <c r="I119" i="55"/>
  <c r="I131" i="55"/>
  <c r="M134" i="55"/>
  <c r="K135" i="55"/>
  <c r="I136" i="55"/>
  <c r="I143" i="55"/>
  <c r="L151" i="55"/>
  <c r="I152" i="55"/>
  <c r="H157" i="55"/>
  <c r="I8" i="55"/>
  <c r="O8" i="55"/>
  <c r="V9" i="55"/>
  <c r="I17" i="55"/>
  <c r="V7" i="55"/>
  <c r="K8" i="55"/>
  <c r="V8" i="55"/>
  <c r="I10" i="55"/>
  <c r="K11" i="55"/>
  <c r="H12" i="55"/>
  <c r="Q26" i="55"/>
  <c r="H15" i="55"/>
  <c r="O15" i="55"/>
  <c r="K17" i="55"/>
  <c r="I18" i="55"/>
  <c r="O18" i="55"/>
  <c r="K19" i="55"/>
  <c r="V20" i="55"/>
  <c r="H21" i="55"/>
  <c r="L22" i="55"/>
  <c r="V22" i="55"/>
  <c r="L23" i="55"/>
  <c r="H25" i="55"/>
  <c r="I29" i="55"/>
  <c r="N31" i="55"/>
  <c r="R31" i="55" s="1"/>
  <c r="V29" i="55"/>
  <c r="M30" i="55"/>
  <c r="V30" i="55"/>
  <c r="M34" i="55"/>
  <c r="H35" i="55"/>
  <c r="M36" i="55"/>
  <c r="I38" i="55"/>
  <c r="I40" i="55"/>
  <c r="M42" i="55"/>
  <c r="H43" i="55"/>
  <c r="M43" i="55"/>
  <c r="R45" i="55"/>
  <c r="M49" i="55"/>
  <c r="I53" i="55"/>
  <c r="V53" i="55"/>
  <c r="M54" i="55"/>
  <c r="L56" i="55"/>
  <c r="O61" i="55"/>
  <c r="O63" i="55"/>
  <c r="M77" i="55"/>
  <c r="I71" i="55"/>
  <c r="K72" i="55"/>
  <c r="M73" i="55"/>
  <c r="H74" i="55"/>
  <c r="K75" i="55"/>
  <c r="H76" i="55"/>
  <c r="K80" i="55"/>
  <c r="M81" i="55"/>
  <c r="M84" i="55"/>
  <c r="L85" i="55"/>
  <c r="M89" i="55"/>
  <c r="V96" i="55"/>
  <c r="V106" i="55" s="1"/>
  <c r="H100" i="55"/>
  <c r="O100" i="55"/>
  <c r="S158" i="55"/>
  <c r="V158" i="55" s="1"/>
  <c r="I110" i="55"/>
  <c r="V112" i="55"/>
  <c r="V115" i="55"/>
  <c r="K119" i="55"/>
  <c r="M130" i="55"/>
  <c r="K131" i="55"/>
  <c r="H134" i="55"/>
  <c r="O134" i="55"/>
  <c r="O135" i="55"/>
  <c r="O136" i="55"/>
  <c r="I139" i="55"/>
  <c r="K143" i="55"/>
  <c r="I144" i="55"/>
  <c r="K145" i="55"/>
  <c r="M147" i="55"/>
  <c r="K148" i="55"/>
  <c r="M151" i="55"/>
  <c r="K152" i="55"/>
  <c r="I153" i="55"/>
  <c r="K154" i="55"/>
  <c r="O156" i="55"/>
  <c r="I157" i="55"/>
  <c r="G157" i="56"/>
  <c r="X18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61" i="55"/>
  <c r="M61" i="55"/>
  <c r="M65" i="55" s="1"/>
  <c r="T61" i="55"/>
  <c r="H62" i="55"/>
  <c r="H63" i="55"/>
  <c r="H64" i="55"/>
  <c r="H69" i="55"/>
  <c r="H77" i="55" s="1"/>
  <c r="H82" i="55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M86" i="55" l="1"/>
  <c r="H106" i="55"/>
  <c r="I26" i="55"/>
  <c r="M106" i="55"/>
  <c r="I86" i="55"/>
  <c r="L77" i="55"/>
  <c r="I58" i="55"/>
  <c r="K158" i="55"/>
  <c r="L86" i="55"/>
  <c r="K65" i="55"/>
  <c r="O158" i="55"/>
  <c r="M158" i="55"/>
  <c r="L106" i="55"/>
  <c r="I106" i="55"/>
  <c r="H45" i="55"/>
  <c r="T58" i="55"/>
  <c r="V58" i="55"/>
  <c r="T65" i="55"/>
  <c r="M45" i="55"/>
  <c r="L45" i="55"/>
  <c r="K26" i="55"/>
  <c r="M26" i="55"/>
  <c r="U159" i="55"/>
  <c r="G159" i="55"/>
  <c r="I158" i="55"/>
  <c r="H158" i="55"/>
  <c r="L158" i="55"/>
  <c r="H86" i="55"/>
  <c r="H58" i="55"/>
  <c r="M58" i="55"/>
  <c r="O26" i="55"/>
  <c r="H26" i="55"/>
  <c r="L26" i="55"/>
  <c r="M31" i="55"/>
  <c r="V31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F159" i="55"/>
  <c r="O106" i="55"/>
  <c r="L65" i="55"/>
  <c r="L159" i="55" s="1"/>
  <c r="I50" i="55"/>
  <c r="V26" i="55"/>
  <c r="V159" i="55" s="1"/>
  <c r="H65" i="55"/>
  <c r="H159" i="55" s="1"/>
  <c r="S159" i="55"/>
  <c r="I159" i="55" l="1"/>
  <c r="O159" i="55"/>
  <c r="R159" i="55"/>
  <c r="F52" i="3" l="1"/>
  <c r="F51" i="3"/>
  <c r="F49" i="3"/>
  <c r="F48" i="3"/>
  <c r="F47" i="3"/>
  <c r="F46" i="3"/>
  <c r="F45" i="3"/>
  <c r="F44" i="3"/>
  <c r="F43" i="3"/>
  <c r="F42" i="3"/>
  <c r="U82" i="1"/>
  <c r="U86" i="1" s="1"/>
  <c r="Q123" i="1" l="1"/>
  <c r="O183" i="1" l="1"/>
  <c r="J183" i="1"/>
  <c r="H183" i="1"/>
  <c r="L183" i="1"/>
  <c r="K183" i="1" l="1"/>
  <c r="G183" i="1"/>
  <c r="R183" i="1" l="1"/>
  <c r="W64" i="1"/>
  <c r="I64" i="1"/>
  <c r="I76" i="1" s="1"/>
  <c r="X64" i="1" l="1"/>
  <c r="L64" i="1"/>
  <c r="O64" i="1"/>
  <c r="K64" i="1"/>
  <c r="G64" i="1"/>
  <c r="H64" i="1"/>
  <c r="J64" i="1"/>
  <c r="Q126" i="1"/>
  <c r="Q129" i="1" s="1"/>
  <c r="R64" i="1" l="1"/>
  <c r="Z64" i="1" l="1"/>
  <c r="T82" i="1"/>
  <c r="T86" i="1" s="1"/>
  <c r="X82" i="1" l="1"/>
  <c r="X86" i="1" s="1"/>
  <c r="U120" i="1"/>
  <c r="U129" i="1" s="1"/>
  <c r="E23" i="1" l="1"/>
  <c r="D86" i="53" l="1"/>
  <c r="W109" i="1" l="1"/>
  <c r="L109" i="1"/>
  <c r="E91" i="53"/>
  <c r="F91" i="53" s="1"/>
  <c r="D91" i="53"/>
  <c r="E90" i="53"/>
  <c r="D90" i="53"/>
  <c r="E87" i="53"/>
  <c r="E86" i="53"/>
  <c r="F90" i="53" l="1"/>
  <c r="F92" i="53" s="1"/>
  <c r="G109" i="1"/>
  <c r="O109" i="1"/>
  <c r="H109" i="1"/>
  <c r="K109" i="1"/>
  <c r="J109" i="1"/>
  <c r="D87" i="53"/>
  <c r="F86" i="53"/>
  <c r="F51" i="53"/>
  <c r="X31" i="1"/>
  <c r="O31" i="1"/>
  <c r="X30" i="1"/>
  <c r="E30" i="1"/>
  <c r="O30" i="1" s="1"/>
  <c r="L28" i="1"/>
  <c r="E57" i="53"/>
  <c r="L44" i="53"/>
  <c r="L35" i="53"/>
  <c r="E63" i="53"/>
  <c r="F63" i="53" s="1"/>
  <c r="L34" i="53"/>
  <c r="F34" i="53"/>
  <c r="E34" i="53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G34" i="53" l="1"/>
  <c r="H34" i="53" s="1"/>
  <c r="L54" i="53"/>
  <c r="R109" i="1"/>
  <c r="H28" i="1"/>
  <c r="O28" i="1"/>
  <c r="K30" i="1"/>
  <c r="M29" i="53"/>
  <c r="K54" i="53"/>
  <c r="F87" i="53"/>
  <c r="F88" i="53" s="1"/>
  <c r="J31" i="1"/>
  <c r="K31" i="1"/>
  <c r="G31" i="1"/>
  <c r="L31" i="1"/>
  <c r="H31" i="1"/>
  <c r="J30" i="1"/>
  <c r="G30" i="1"/>
  <c r="L30" i="1"/>
  <c r="H30" i="1"/>
  <c r="J28" i="1"/>
  <c r="K28" i="1"/>
  <c r="G28" i="1"/>
  <c r="G40" i="53"/>
  <c r="H40" i="53" s="1"/>
  <c r="G38" i="53"/>
  <c r="H38" i="53" s="1"/>
  <c r="G39" i="53"/>
  <c r="H39" i="53" s="1"/>
  <c r="L55" i="53" l="1"/>
  <c r="R30" i="1"/>
  <c r="Z30" i="1" s="1"/>
  <c r="R28" i="1"/>
  <c r="Z28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39" i="1" l="1"/>
  <c r="X16" i="1"/>
  <c r="U141" i="1" l="1"/>
  <c r="U167" i="1"/>
  <c r="X167" i="1" s="1"/>
  <c r="U110" i="1"/>
  <c r="U117" i="1" s="1"/>
  <c r="U27" i="1"/>
  <c r="U39" i="1" s="1"/>
  <c r="T27" i="1"/>
  <c r="X27" i="1" l="1"/>
  <c r="Q23" i="1"/>
  <c r="Q39" i="1" s="1"/>
  <c r="T43" i="1" l="1"/>
  <c r="X43" i="1" l="1"/>
  <c r="W134" i="1"/>
  <c r="X134" i="1" s="1"/>
  <c r="W121" i="1"/>
  <c r="X121" i="1" s="1"/>
  <c r="W133" i="1"/>
  <c r="W120" i="1"/>
  <c r="I133" i="1"/>
  <c r="I187" i="1" s="1"/>
  <c r="I120" i="1"/>
  <c r="I129" i="1" s="1"/>
  <c r="H12" i="53"/>
  <c r="W129" i="1" l="1"/>
  <c r="X133" i="1"/>
  <c r="X120" i="1"/>
  <c r="X129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70" i="1" l="1"/>
  <c r="E76" i="1" s="1"/>
  <c r="E47" i="1" l="1"/>
  <c r="E56" i="1" s="1"/>
  <c r="E110" i="1"/>
  <c r="E117" i="1" s="1"/>
  <c r="E79" i="1"/>
  <c r="E86" i="1" s="1"/>
  <c r="E16" i="1"/>
  <c r="E59" i="1"/>
  <c r="E61" i="1" s="1"/>
  <c r="E17" i="1"/>
  <c r="E39" i="1" l="1"/>
  <c r="U180" i="1"/>
  <c r="U187" i="1" s="1"/>
  <c r="T66" i="1" l="1"/>
  <c r="X66" i="1" l="1"/>
  <c r="W46" i="1"/>
  <c r="AC9" i="76" l="1"/>
  <c r="W56" i="1"/>
  <c r="AC13" i="72"/>
  <c r="AC15" i="72" s="1"/>
  <c r="X46" i="1"/>
  <c r="Z183" i="1"/>
  <c r="AC10" i="76" l="1"/>
  <c r="AC18" i="76" s="1"/>
  <c r="AD9" i="76"/>
  <c r="AD10" i="76" s="1"/>
  <c r="AD18" i="76" s="1"/>
  <c r="AD19" i="76" s="1"/>
  <c r="AD13" i="72"/>
  <c r="AD15" i="72" s="1"/>
  <c r="T33" i="1"/>
  <c r="T39" i="1" s="1"/>
  <c r="X33" i="1" l="1"/>
  <c r="X142" i="1"/>
  <c r="G46" i="1"/>
  <c r="H46" i="1"/>
  <c r="J46" i="1"/>
  <c r="K46" i="1"/>
  <c r="L46" i="1"/>
  <c r="O46" i="1"/>
  <c r="R46" i="1" l="1"/>
  <c r="Z46" i="1" l="1"/>
  <c r="W141" i="1"/>
  <c r="W187" i="1" s="1"/>
  <c r="W71" i="1"/>
  <c r="X71" i="1" s="1"/>
  <c r="W69" i="1"/>
  <c r="W93" i="1"/>
  <c r="X69" i="1" l="1"/>
  <c r="W76" i="1"/>
  <c r="X141" i="1"/>
  <c r="W23" i="1"/>
  <c r="X23" i="1" s="1"/>
  <c r="O29" i="1" l="1"/>
  <c r="L29" i="1"/>
  <c r="K29" i="1"/>
  <c r="J29" i="1"/>
  <c r="H29" i="1"/>
  <c r="G29" i="1"/>
  <c r="R29" i="1" l="1"/>
  <c r="Z29" i="1"/>
  <c r="W94" i="1" l="1"/>
  <c r="W22" i="1"/>
  <c r="W39" i="1" s="1"/>
  <c r="W103" i="1"/>
  <c r="W106" i="1" s="1"/>
  <c r="W92" i="1"/>
  <c r="W111" i="1"/>
  <c r="W117" i="1" s="1"/>
  <c r="T105" i="1"/>
  <c r="T106" i="1" s="1"/>
  <c r="T91" i="1"/>
  <c r="AC36" i="72" l="1"/>
  <c r="AC37" i="72" s="1"/>
  <c r="W99" i="1"/>
  <c r="X91" i="1"/>
  <c r="X105" i="1"/>
  <c r="X111" i="1"/>
  <c r="AC44" i="72"/>
  <c r="AC45" i="72" s="1"/>
  <c r="AD36" i="72"/>
  <c r="AD37" i="72" s="1"/>
  <c r="X103" i="1"/>
  <c r="X22" i="1"/>
  <c r="X39" i="1" s="1"/>
  <c r="X92" i="1"/>
  <c r="L178" i="1"/>
  <c r="X106" i="1" l="1"/>
  <c r="AD44" i="72"/>
  <c r="AD45" i="72" s="1"/>
  <c r="T144" i="1"/>
  <c r="X144" i="1" s="1"/>
  <c r="AD49" i="72" l="1"/>
  <c r="AC51" i="72"/>
  <c r="G26" i="1"/>
  <c r="H26" i="1"/>
  <c r="J26" i="1"/>
  <c r="K26" i="1"/>
  <c r="L26" i="1"/>
  <c r="O26" i="1"/>
  <c r="G152" i="1"/>
  <c r="H152" i="1"/>
  <c r="J152" i="1"/>
  <c r="K152" i="1"/>
  <c r="L152" i="1"/>
  <c r="O152" i="1"/>
  <c r="AD50" i="72" l="1"/>
  <c r="AD51" i="72" s="1"/>
  <c r="AD63" i="72" s="1"/>
  <c r="AD64" i="72" s="1"/>
  <c r="R26" i="1"/>
  <c r="Z26" i="1" s="1"/>
  <c r="R152" i="1"/>
  <c r="G33" i="1" l="1"/>
  <c r="H33" i="1"/>
  <c r="J33" i="1"/>
  <c r="K33" i="1"/>
  <c r="L33" i="1"/>
  <c r="O33" i="1"/>
  <c r="R33" i="1" l="1"/>
  <c r="Z33" i="1" s="1"/>
  <c r="G173" i="1"/>
  <c r="H173" i="1"/>
  <c r="J173" i="1"/>
  <c r="K173" i="1"/>
  <c r="L173" i="1"/>
  <c r="O173" i="1"/>
  <c r="G89" i="1"/>
  <c r="H89" i="1"/>
  <c r="J89" i="1"/>
  <c r="K89" i="1"/>
  <c r="L89" i="1"/>
  <c r="O89" i="1"/>
  <c r="R173" i="1" l="1"/>
  <c r="Z173" i="1" s="1"/>
  <c r="R89" i="1"/>
  <c r="Z89" i="1" l="1"/>
  <c r="Z152" i="1"/>
  <c r="O72" i="1"/>
  <c r="L72" i="1"/>
  <c r="K72" i="1"/>
  <c r="J72" i="1"/>
  <c r="H72" i="1"/>
  <c r="G72" i="1"/>
  <c r="G153" i="1"/>
  <c r="H153" i="1"/>
  <c r="J153" i="1"/>
  <c r="K153" i="1"/>
  <c r="L153" i="1"/>
  <c r="O153" i="1"/>
  <c r="G146" i="1"/>
  <c r="H146" i="1"/>
  <c r="J146" i="1"/>
  <c r="K146" i="1"/>
  <c r="L146" i="1"/>
  <c r="O146" i="1"/>
  <c r="R153" i="1" l="1"/>
  <c r="R146" i="1"/>
  <c r="R72" i="1"/>
  <c r="O113" i="1"/>
  <c r="L113" i="1"/>
  <c r="K113" i="1"/>
  <c r="J113" i="1"/>
  <c r="H113" i="1"/>
  <c r="G113" i="1"/>
  <c r="O144" i="1"/>
  <c r="L144" i="1"/>
  <c r="K144" i="1"/>
  <c r="J144" i="1"/>
  <c r="H144" i="1"/>
  <c r="G144" i="1"/>
  <c r="G105" i="1"/>
  <c r="H105" i="1"/>
  <c r="J105" i="1"/>
  <c r="K105" i="1"/>
  <c r="L105" i="1"/>
  <c r="O105" i="1"/>
  <c r="Z153" i="1" l="1"/>
  <c r="R105" i="1"/>
  <c r="Z105" i="1" s="1"/>
  <c r="Z72" i="1"/>
  <c r="R113" i="1"/>
  <c r="Z113" i="1" s="1"/>
  <c r="R144" i="1"/>
  <c r="Z144" i="1" s="1"/>
  <c r="G151" i="1"/>
  <c r="H151" i="1"/>
  <c r="J151" i="1"/>
  <c r="K151" i="1"/>
  <c r="L151" i="1"/>
  <c r="O151" i="1"/>
  <c r="R151" i="1" l="1"/>
  <c r="Z151" i="1" s="1"/>
  <c r="G182" i="1" l="1"/>
  <c r="H182" i="1"/>
  <c r="J182" i="1"/>
  <c r="K182" i="1"/>
  <c r="L182" i="1"/>
  <c r="O182" i="1"/>
  <c r="G181" i="1"/>
  <c r="H181" i="1"/>
  <c r="J181" i="1"/>
  <c r="K181" i="1"/>
  <c r="L181" i="1"/>
  <c r="O181" i="1"/>
  <c r="R181" i="1" l="1"/>
  <c r="R182" i="1"/>
  <c r="Z182" i="1" s="1"/>
  <c r="G172" i="1"/>
  <c r="H172" i="1"/>
  <c r="J172" i="1"/>
  <c r="K172" i="1"/>
  <c r="L172" i="1"/>
  <c r="O172" i="1"/>
  <c r="R172" i="1" l="1"/>
  <c r="G150" i="1"/>
  <c r="H150" i="1"/>
  <c r="J150" i="1"/>
  <c r="K150" i="1"/>
  <c r="L150" i="1"/>
  <c r="O150" i="1"/>
  <c r="R150" i="1" l="1"/>
  <c r="Z150" i="1" s="1"/>
  <c r="G69" i="1"/>
  <c r="H69" i="1"/>
  <c r="J69" i="1"/>
  <c r="K69" i="1"/>
  <c r="L69" i="1"/>
  <c r="O69" i="1"/>
  <c r="R69" i="1" l="1"/>
  <c r="Z69" i="1" l="1"/>
  <c r="O11" i="1"/>
  <c r="L11" i="1"/>
  <c r="K11" i="1"/>
  <c r="J11" i="1"/>
  <c r="H11" i="1"/>
  <c r="G11" i="1"/>
  <c r="O13" i="1"/>
  <c r="L13" i="1"/>
  <c r="K13" i="1"/>
  <c r="J13" i="1"/>
  <c r="H13" i="1"/>
  <c r="G13" i="1"/>
  <c r="R13" i="1" l="1"/>
  <c r="Z13" i="1" s="1"/>
  <c r="R11" i="1"/>
  <c r="Z11" i="1" l="1"/>
  <c r="T139" i="1"/>
  <c r="X139" i="1" l="1"/>
  <c r="Z9" i="1"/>
  <c r="D119" i="42"/>
  <c r="Z172" i="1" l="1"/>
  <c r="T109" i="1" l="1"/>
  <c r="T117" i="1" s="1"/>
  <c r="X109" i="1" l="1"/>
  <c r="X117" i="1" s="1"/>
  <c r="T147" i="1" l="1"/>
  <c r="X147" i="1" s="1"/>
  <c r="T180" i="1" l="1"/>
  <c r="X180" i="1" l="1"/>
  <c r="Z181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R20" i="1"/>
  <c r="Z22" i="1"/>
  <c r="Z20" i="1" l="1"/>
  <c r="O178" i="1"/>
  <c r="K178" i="1"/>
  <c r="J178" i="1"/>
  <c r="H178" i="1"/>
  <c r="G178" i="1"/>
  <c r="R178" i="1" l="1"/>
  <c r="Z178" i="1" s="1"/>
  <c r="V132" i="1"/>
  <c r="V187" i="1" s="1"/>
  <c r="X132" i="1" l="1"/>
  <c r="L179" i="1"/>
  <c r="O177" i="1"/>
  <c r="L177" i="1"/>
  <c r="K177" i="1"/>
  <c r="J177" i="1"/>
  <c r="H177" i="1"/>
  <c r="G177" i="1"/>
  <c r="R177" i="1" l="1"/>
  <c r="Z177" i="1" s="1"/>
  <c r="Z109" i="1"/>
  <c r="T94" i="1" l="1"/>
  <c r="X94" i="1" s="1"/>
  <c r="G180" i="1" l="1"/>
  <c r="H180" i="1"/>
  <c r="J180" i="1"/>
  <c r="K180" i="1"/>
  <c r="L180" i="1"/>
  <c r="O180" i="1"/>
  <c r="G149" i="1"/>
  <c r="H149" i="1"/>
  <c r="J149" i="1"/>
  <c r="K149" i="1"/>
  <c r="L149" i="1"/>
  <c r="O149" i="1"/>
  <c r="R149" i="1" l="1"/>
  <c r="Z149" i="1" s="1"/>
  <c r="R180" i="1"/>
  <c r="Z180" i="1" s="1"/>
  <c r="O17" i="1" l="1"/>
  <c r="L17" i="1"/>
  <c r="K17" i="1"/>
  <c r="J17" i="1"/>
  <c r="H17" i="1"/>
  <c r="G17" i="1"/>
  <c r="R17" i="1" l="1"/>
  <c r="G179" i="1"/>
  <c r="H179" i="1"/>
  <c r="J179" i="1"/>
  <c r="K179" i="1"/>
  <c r="O179" i="1"/>
  <c r="G148" i="1"/>
  <c r="H148" i="1"/>
  <c r="J148" i="1"/>
  <c r="K148" i="1"/>
  <c r="L148" i="1"/>
  <c r="O148" i="1"/>
  <c r="R179" i="1" l="1"/>
  <c r="Z179" i="1" s="1"/>
  <c r="R148" i="1"/>
  <c r="Z148" i="1" s="1"/>
  <c r="G176" i="1" l="1"/>
  <c r="H176" i="1"/>
  <c r="J176" i="1"/>
  <c r="K176" i="1"/>
  <c r="L176" i="1"/>
  <c r="O176" i="1"/>
  <c r="G147" i="1"/>
  <c r="H147" i="1"/>
  <c r="J147" i="1"/>
  <c r="K147" i="1"/>
  <c r="L147" i="1"/>
  <c r="O147" i="1"/>
  <c r="R147" i="1" l="1"/>
  <c r="R176" i="1"/>
  <c r="Z176" i="1" l="1"/>
  <c r="G175" i="1"/>
  <c r="H175" i="1"/>
  <c r="J175" i="1"/>
  <c r="K175" i="1"/>
  <c r="L175" i="1"/>
  <c r="O175" i="1"/>
  <c r="R175" i="1" l="1"/>
  <c r="Z175" i="1" s="1"/>
  <c r="O51" i="1" l="1"/>
  <c r="L51" i="1"/>
  <c r="K51" i="1"/>
  <c r="J51" i="1"/>
  <c r="H51" i="1"/>
  <c r="G51" i="1"/>
  <c r="R51" i="1" l="1"/>
  <c r="Z51" i="1" s="1"/>
  <c r="T70" i="1"/>
  <c r="T76" i="1" s="1"/>
  <c r="T49" i="1"/>
  <c r="T56" i="1" s="1"/>
  <c r="X49" i="1" l="1"/>
  <c r="X56" i="1" s="1"/>
  <c r="X70" i="1"/>
  <c r="X76" i="1" s="1"/>
  <c r="Z17" i="1"/>
  <c r="Z146" i="1"/>
  <c r="G135" i="1" l="1"/>
  <c r="H135" i="1"/>
  <c r="J135" i="1"/>
  <c r="K135" i="1"/>
  <c r="L135" i="1"/>
  <c r="O135" i="1"/>
  <c r="R135" i="1" l="1"/>
  <c r="Z135" i="1" l="1"/>
  <c r="L142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E8" i="4" s="1"/>
  <c r="D8" i="4" s="1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7" i="4"/>
  <c r="D7" i="4" s="1"/>
  <c r="E6" i="4"/>
  <c r="D6" i="4" s="1"/>
  <c r="E4" i="4"/>
  <c r="D4" i="4" s="1"/>
  <c r="O174" i="1"/>
  <c r="L174" i="1"/>
  <c r="K174" i="1"/>
  <c r="J174" i="1"/>
  <c r="H174" i="1"/>
  <c r="G174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58" i="1"/>
  <c r="L158" i="1"/>
  <c r="K158" i="1"/>
  <c r="J158" i="1"/>
  <c r="H158" i="1"/>
  <c r="G158" i="1"/>
  <c r="O143" i="1"/>
  <c r="L143" i="1"/>
  <c r="K143" i="1"/>
  <c r="J143" i="1"/>
  <c r="H143" i="1"/>
  <c r="G143" i="1"/>
  <c r="T145" i="1"/>
  <c r="T187" i="1" s="1"/>
  <c r="O145" i="1"/>
  <c r="L145" i="1"/>
  <c r="K145" i="1"/>
  <c r="J145" i="1"/>
  <c r="H145" i="1"/>
  <c r="G145" i="1"/>
  <c r="O140" i="1"/>
  <c r="L140" i="1"/>
  <c r="K140" i="1"/>
  <c r="J140" i="1"/>
  <c r="H140" i="1"/>
  <c r="G140" i="1"/>
  <c r="O138" i="1"/>
  <c r="L138" i="1"/>
  <c r="K138" i="1"/>
  <c r="J138" i="1"/>
  <c r="H138" i="1"/>
  <c r="G138" i="1"/>
  <c r="O139" i="1"/>
  <c r="L139" i="1"/>
  <c r="K139" i="1"/>
  <c r="J139" i="1"/>
  <c r="H139" i="1"/>
  <c r="G139" i="1"/>
  <c r="O137" i="1"/>
  <c r="L137" i="1"/>
  <c r="K137" i="1"/>
  <c r="J137" i="1"/>
  <c r="H137" i="1"/>
  <c r="G137" i="1"/>
  <c r="O127" i="1"/>
  <c r="L127" i="1"/>
  <c r="K127" i="1"/>
  <c r="J127" i="1"/>
  <c r="H127" i="1"/>
  <c r="G127" i="1"/>
  <c r="O126" i="1"/>
  <c r="L126" i="1"/>
  <c r="K126" i="1"/>
  <c r="J126" i="1"/>
  <c r="H126" i="1"/>
  <c r="G126" i="1"/>
  <c r="O125" i="1"/>
  <c r="L125" i="1"/>
  <c r="E9" i="11" s="1"/>
  <c r="D9" i="11" s="1"/>
  <c r="K125" i="1"/>
  <c r="J125" i="1"/>
  <c r="E7" i="11" s="1"/>
  <c r="D7" i="11" s="1"/>
  <c r="H125" i="1"/>
  <c r="G125" i="1"/>
  <c r="O141" i="1"/>
  <c r="L141" i="1"/>
  <c r="K141" i="1"/>
  <c r="J141" i="1"/>
  <c r="H141" i="1"/>
  <c r="G141" i="1"/>
  <c r="O71" i="1"/>
  <c r="L71" i="1"/>
  <c r="K71" i="1"/>
  <c r="J71" i="1"/>
  <c r="H71" i="1"/>
  <c r="G71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133" i="1"/>
  <c r="L133" i="1"/>
  <c r="K133" i="1"/>
  <c r="J133" i="1"/>
  <c r="H133" i="1"/>
  <c r="G133" i="1"/>
  <c r="O120" i="1"/>
  <c r="L120" i="1"/>
  <c r="K120" i="1"/>
  <c r="J120" i="1"/>
  <c r="H120" i="1"/>
  <c r="G120" i="1"/>
  <c r="O132" i="1"/>
  <c r="L132" i="1"/>
  <c r="K132" i="1"/>
  <c r="J132" i="1"/>
  <c r="H132" i="1"/>
  <c r="G132" i="1"/>
  <c r="O32" i="1"/>
  <c r="L32" i="1"/>
  <c r="K32" i="1"/>
  <c r="J32" i="1"/>
  <c r="H32" i="1"/>
  <c r="G32" i="1"/>
  <c r="O96" i="1"/>
  <c r="L96" i="1"/>
  <c r="K96" i="1"/>
  <c r="J96" i="1"/>
  <c r="H96" i="1"/>
  <c r="G96" i="1"/>
  <c r="O142" i="1"/>
  <c r="K142" i="1"/>
  <c r="J142" i="1"/>
  <c r="H142" i="1"/>
  <c r="G142" i="1"/>
  <c r="O66" i="1"/>
  <c r="L66" i="1"/>
  <c r="K66" i="1"/>
  <c r="J66" i="1"/>
  <c r="H66" i="1"/>
  <c r="G66" i="1"/>
  <c r="O70" i="1"/>
  <c r="L70" i="1"/>
  <c r="K70" i="1"/>
  <c r="J70" i="1"/>
  <c r="H70" i="1"/>
  <c r="G70" i="1"/>
  <c r="O112" i="1"/>
  <c r="L112" i="1"/>
  <c r="K112" i="1"/>
  <c r="J112" i="1"/>
  <c r="H112" i="1"/>
  <c r="G112" i="1"/>
  <c r="O94" i="1"/>
  <c r="L94" i="1"/>
  <c r="K94" i="1"/>
  <c r="J94" i="1"/>
  <c r="H94" i="1"/>
  <c r="G94" i="1"/>
  <c r="O103" i="1"/>
  <c r="O106" i="1" s="1"/>
  <c r="L103" i="1"/>
  <c r="L106" i="1" s="1"/>
  <c r="K103" i="1"/>
  <c r="K106" i="1" s="1"/>
  <c r="J103" i="1"/>
  <c r="J106" i="1" s="1"/>
  <c r="H103" i="1"/>
  <c r="H106" i="1" s="1"/>
  <c r="G103" i="1"/>
  <c r="G106" i="1" s="1"/>
  <c r="T93" i="1"/>
  <c r="T99" i="1" s="1"/>
  <c r="O93" i="1"/>
  <c r="L93" i="1"/>
  <c r="K93" i="1"/>
  <c r="J93" i="1"/>
  <c r="H93" i="1"/>
  <c r="G93" i="1"/>
  <c r="O92" i="1"/>
  <c r="L92" i="1"/>
  <c r="K92" i="1"/>
  <c r="J92" i="1"/>
  <c r="H92" i="1"/>
  <c r="G92" i="1"/>
  <c r="O111" i="1"/>
  <c r="L111" i="1"/>
  <c r="K111" i="1"/>
  <c r="J111" i="1"/>
  <c r="H111" i="1"/>
  <c r="G111" i="1"/>
  <c r="O90" i="1"/>
  <c r="L90" i="1"/>
  <c r="K90" i="1"/>
  <c r="J90" i="1"/>
  <c r="H90" i="1"/>
  <c r="G90" i="1"/>
  <c r="O12" i="1"/>
  <c r="L12" i="1"/>
  <c r="K12" i="1"/>
  <c r="J12" i="1"/>
  <c r="H12" i="1"/>
  <c r="G12" i="1"/>
  <c r="O49" i="1"/>
  <c r="L49" i="1"/>
  <c r="K49" i="1"/>
  <c r="J49" i="1"/>
  <c r="H49" i="1"/>
  <c r="G49" i="1"/>
  <c r="O91" i="1"/>
  <c r="L91" i="1"/>
  <c r="K91" i="1"/>
  <c r="J91" i="1"/>
  <c r="H91" i="1"/>
  <c r="G91" i="1"/>
  <c r="O47" i="1"/>
  <c r="L47" i="1"/>
  <c r="K47" i="1"/>
  <c r="J47" i="1"/>
  <c r="H47" i="1"/>
  <c r="G47" i="1"/>
  <c r="O110" i="1"/>
  <c r="L110" i="1"/>
  <c r="K110" i="1"/>
  <c r="K117" i="1" s="1"/>
  <c r="J110" i="1"/>
  <c r="J117" i="1" s="1"/>
  <c r="H110" i="1"/>
  <c r="G110" i="1"/>
  <c r="O10" i="1"/>
  <c r="L10" i="1"/>
  <c r="K10" i="1"/>
  <c r="J10" i="1"/>
  <c r="H10" i="1"/>
  <c r="G10" i="1"/>
  <c r="E8" i="7"/>
  <c r="D8" i="7" s="1"/>
  <c r="O79" i="1"/>
  <c r="L79" i="1"/>
  <c r="K79" i="1"/>
  <c r="J79" i="1"/>
  <c r="H79" i="1"/>
  <c r="G79" i="1"/>
  <c r="O67" i="1"/>
  <c r="L67" i="1"/>
  <c r="K67" i="1"/>
  <c r="J67" i="1"/>
  <c r="H67" i="1"/>
  <c r="G67" i="1"/>
  <c r="O16" i="1"/>
  <c r="L16" i="1"/>
  <c r="K16" i="1"/>
  <c r="J16" i="1"/>
  <c r="H16" i="1"/>
  <c r="G16" i="1"/>
  <c r="O52" i="1"/>
  <c r="L52" i="1"/>
  <c r="K52" i="1"/>
  <c r="J52" i="1"/>
  <c r="H52" i="1"/>
  <c r="G52" i="1"/>
  <c r="O59" i="1"/>
  <c r="O61" i="1" s="1"/>
  <c r="L59" i="1"/>
  <c r="L61" i="1" s="1"/>
  <c r="K59" i="1"/>
  <c r="K61" i="1" s="1"/>
  <c r="J59" i="1"/>
  <c r="J61" i="1" s="1"/>
  <c r="H59" i="1"/>
  <c r="H61" i="1" s="1"/>
  <c r="G59" i="1"/>
  <c r="G61" i="1" s="1"/>
  <c r="O55" i="1"/>
  <c r="L55" i="1"/>
  <c r="K55" i="1"/>
  <c r="J55" i="1"/>
  <c r="H55" i="1"/>
  <c r="G55" i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7" i="1"/>
  <c r="L27" i="1"/>
  <c r="K27" i="1"/>
  <c r="J27" i="1"/>
  <c r="H27" i="1"/>
  <c r="G27" i="1"/>
  <c r="O82" i="1"/>
  <c r="L82" i="1"/>
  <c r="K82" i="1"/>
  <c r="J82" i="1"/>
  <c r="H82" i="1"/>
  <c r="G82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H117" i="1" l="1"/>
  <c r="L117" i="1"/>
  <c r="L187" i="1"/>
  <c r="H187" i="1"/>
  <c r="J187" i="1"/>
  <c r="R174" i="1"/>
  <c r="Z174" i="1" s="1"/>
  <c r="K187" i="1"/>
  <c r="G187" i="1"/>
  <c r="O187" i="1"/>
  <c r="G56" i="1"/>
  <c r="H56" i="1"/>
  <c r="K86" i="1"/>
  <c r="J99" i="1"/>
  <c r="J86" i="1"/>
  <c r="G76" i="1"/>
  <c r="H86" i="1"/>
  <c r="G117" i="1"/>
  <c r="G99" i="1"/>
  <c r="O76" i="1"/>
  <c r="H99" i="1"/>
  <c r="H76" i="1"/>
  <c r="J56" i="1"/>
  <c r="K99" i="1"/>
  <c r="J76" i="1"/>
  <c r="L86" i="1"/>
  <c r="K56" i="1"/>
  <c r="O86" i="1"/>
  <c r="L56" i="1"/>
  <c r="L99" i="1"/>
  <c r="K76" i="1"/>
  <c r="G86" i="1"/>
  <c r="O117" i="1"/>
  <c r="O56" i="1"/>
  <c r="O99" i="1"/>
  <c r="L76" i="1"/>
  <c r="X93" i="1"/>
  <c r="X99" i="1" s="1"/>
  <c r="X145" i="1"/>
  <c r="X187" i="1" s="1"/>
  <c r="R27" i="1"/>
  <c r="Z27" i="1" s="1"/>
  <c r="R21" i="1"/>
  <c r="R15" i="1"/>
  <c r="R23" i="1"/>
  <c r="R16" i="1"/>
  <c r="R10" i="1"/>
  <c r="R12" i="1"/>
  <c r="R32" i="1"/>
  <c r="Z32" i="1" s="1"/>
  <c r="F188" i="1"/>
  <c r="AE65" i="74" s="1"/>
  <c r="E12" i="7"/>
  <c r="D12" i="7" s="1"/>
  <c r="E9" i="7"/>
  <c r="D9" i="7" s="1"/>
  <c r="E10" i="7"/>
  <c r="D10" i="7" s="1"/>
  <c r="E6" i="7"/>
  <c r="D6" i="7" s="1"/>
  <c r="Z147" i="1"/>
  <c r="E8" i="6"/>
  <c r="D8" i="6" s="1"/>
  <c r="E12" i="6"/>
  <c r="D12" i="6" s="1"/>
  <c r="E9" i="6"/>
  <c r="D9" i="6" s="1"/>
  <c r="E6" i="6"/>
  <c r="D6" i="6" s="1"/>
  <c r="R91" i="1"/>
  <c r="R4" i="12"/>
  <c r="R7" i="12"/>
  <c r="R8" i="12"/>
  <c r="R143" i="1"/>
  <c r="Z143" i="1" s="1"/>
  <c r="R159" i="1"/>
  <c r="Z159" i="1" s="1"/>
  <c r="R94" i="1"/>
  <c r="Z94" i="1" s="1"/>
  <c r="R52" i="1"/>
  <c r="Z52" i="1" s="1"/>
  <c r="R110" i="1"/>
  <c r="R165" i="1"/>
  <c r="Z165" i="1" s="1"/>
  <c r="R167" i="1"/>
  <c r="Z167" i="1" s="1"/>
  <c r="R67" i="1"/>
  <c r="R53" i="1"/>
  <c r="Z53" i="1" s="1"/>
  <c r="R70" i="1"/>
  <c r="Z70" i="1" s="1"/>
  <c r="R120" i="1"/>
  <c r="R142" i="1"/>
  <c r="Z142" i="1" s="1"/>
  <c r="R50" i="1"/>
  <c r="R111" i="1"/>
  <c r="R93" i="1"/>
  <c r="R96" i="1"/>
  <c r="Z96" i="1" s="1"/>
  <c r="R121" i="1"/>
  <c r="Z121" i="1" s="1"/>
  <c r="R122" i="1"/>
  <c r="R71" i="1"/>
  <c r="R126" i="1"/>
  <c r="Z126" i="1" s="1"/>
  <c r="R137" i="1"/>
  <c r="R138" i="1"/>
  <c r="Z138" i="1" s="1"/>
  <c r="R145" i="1"/>
  <c r="R161" i="1"/>
  <c r="Z161" i="1" s="1"/>
  <c r="R162" i="1"/>
  <c r="Z162" i="1" s="1"/>
  <c r="R169" i="1"/>
  <c r="Z169" i="1" s="1"/>
  <c r="R171" i="1"/>
  <c r="Z171" i="1" s="1"/>
  <c r="R82" i="1"/>
  <c r="R54" i="1"/>
  <c r="Z54" i="1" s="1"/>
  <c r="R47" i="1"/>
  <c r="R103" i="1"/>
  <c r="R106" i="1" s="1"/>
  <c r="R112" i="1"/>
  <c r="Z112" i="1" s="1"/>
  <c r="R66" i="1"/>
  <c r="R158" i="1"/>
  <c r="Z158" i="1" s="1"/>
  <c r="R164" i="1"/>
  <c r="R166" i="1"/>
  <c r="Z166" i="1" s="1"/>
  <c r="R141" i="1"/>
  <c r="Z141" i="1" s="1"/>
  <c r="R55" i="1"/>
  <c r="Z55" i="1" s="1"/>
  <c r="R49" i="1"/>
  <c r="R90" i="1"/>
  <c r="R92" i="1"/>
  <c r="Z92" i="1" s="1"/>
  <c r="R133" i="1"/>
  <c r="R134" i="1"/>
  <c r="R125" i="1"/>
  <c r="Z125" i="1" s="1"/>
  <c r="R127" i="1"/>
  <c r="Z127" i="1" s="1"/>
  <c r="R139" i="1"/>
  <c r="Z139" i="1" s="1"/>
  <c r="R140" i="1"/>
  <c r="Z140" i="1" s="1"/>
  <c r="R160" i="1"/>
  <c r="Z160" i="1" s="1"/>
  <c r="R163" i="1"/>
  <c r="R168" i="1"/>
  <c r="R170" i="1"/>
  <c r="Z170" i="1" s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E6" i="13"/>
  <c r="D6" i="13" s="1"/>
  <c r="R48" i="1"/>
  <c r="R79" i="1"/>
  <c r="R132" i="1"/>
  <c r="R59" i="1"/>
  <c r="R61" i="1" s="1"/>
  <c r="C14" i="23"/>
  <c r="E10" i="6"/>
  <c r="D10" i="6" s="1"/>
  <c r="E12" i="11"/>
  <c r="D12" i="11" s="1"/>
  <c r="D4" i="5"/>
  <c r="D5" i="9" l="1"/>
  <c r="R187" i="1"/>
  <c r="Z134" i="1"/>
  <c r="R86" i="1"/>
  <c r="R99" i="1"/>
  <c r="R117" i="1"/>
  <c r="Z71" i="1"/>
  <c r="R76" i="1"/>
  <c r="Z49" i="1"/>
  <c r="R56" i="1"/>
  <c r="Z21" i="1"/>
  <c r="Z137" i="1"/>
  <c r="Z164" i="1"/>
  <c r="Z103" i="1"/>
  <c r="Z106" i="1" s="1"/>
  <c r="Z66" i="1"/>
  <c r="Z47" i="1"/>
  <c r="E14" i="7"/>
  <c r="D14" i="7" s="1"/>
  <c r="Z82" i="1"/>
  <c r="Z67" i="1"/>
  <c r="Z133" i="1"/>
  <c r="Z111" i="1"/>
  <c r="Z90" i="1"/>
  <c r="Z91" i="1"/>
  <c r="Z12" i="1"/>
  <c r="Z110" i="1"/>
  <c r="Z120" i="1"/>
  <c r="Z15" i="1"/>
  <c r="Z145" i="1"/>
  <c r="Z132" i="1"/>
  <c r="Z16" i="1"/>
  <c r="Z163" i="1"/>
  <c r="Z50" i="1"/>
  <c r="Z43" i="1"/>
  <c r="Z168" i="1"/>
  <c r="Z23" i="1"/>
  <c r="Z10" i="1"/>
  <c r="Z122" i="1"/>
  <c r="Z93" i="1"/>
  <c r="E14" i="4"/>
  <c r="D14" i="4" s="1"/>
  <c r="D5" i="7"/>
  <c r="D14" i="5"/>
  <c r="E14" i="5"/>
  <c r="Z48" i="1"/>
  <c r="L18" i="1"/>
  <c r="L39" i="1" s="1"/>
  <c r="E14" i="13"/>
  <c r="D14" i="13" s="1"/>
  <c r="K18" i="1"/>
  <c r="K39" i="1" s="1"/>
  <c r="E13" i="8"/>
  <c r="D13" i="8" s="1"/>
  <c r="G18" i="1"/>
  <c r="G39" i="1" s="1"/>
  <c r="O18" i="1"/>
  <c r="O39" i="1" s="1"/>
  <c r="J18" i="1"/>
  <c r="J39" i="1" s="1"/>
  <c r="H18" i="1"/>
  <c r="H39" i="1" s="1"/>
  <c r="L123" i="1"/>
  <c r="L129" i="1" s="1"/>
  <c r="Z79" i="1"/>
  <c r="Z59" i="1"/>
  <c r="E14" i="6"/>
  <c r="D14" i="6" s="1"/>
  <c r="Z187" i="1" l="1"/>
  <c r="Z86" i="1"/>
  <c r="Z76" i="1"/>
  <c r="Z117" i="1"/>
  <c r="H44" i="68" s="1"/>
  <c r="Z61" i="1"/>
  <c r="H39" i="68" s="1"/>
  <c r="Z56" i="1"/>
  <c r="Z99" i="1"/>
  <c r="H43" i="68"/>
  <c r="H37" i="68"/>
  <c r="H49" i="3"/>
  <c r="R18" i="1"/>
  <c r="R39" i="1" s="1"/>
  <c r="J123" i="1"/>
  <c r="J129" i="1" s="1"/>
  <c r="O123" i="1"/>
  <c r="O129" i="1" s="1"/>
  <c r="K123" i="1"/>
  <c r="K129" i="1" s="1"/>
  <c r="G123" i="1"/>
  <c r="G129" i="1" s="1"/>
  <c r="H123" i="1"/>
  <c r="H129" i="1" s="1"/>
  <c r="H45" i="3" l="1"/>
  <c r="H43" i="3"/>
  <c r="H47" i="3"/>
  <c r="H41" i="68"/>
  <c r="H44" i="3"/>
  <c r="H38" i="68"/>
  <c r="H48" i="3"/>
  <c r="H42" i="68"/>
  <c r="H46" i="3"/>
  <c r="H40" i="68"/>
  <c r="H52" i="3"/>
  <c r="H46" i="68"/>
  <c r="Z18" i="1"/>
  <c r="Z39" i="1" s="1"/>
  <c r="R123" i="1"/>
  <c r="R129" i="1" s="1"/>
  <c r="H42" i="3" l="1"/>
  <c r="Z123" i="1"/>
  <c r="Z129" i="1" s="1"/>
  <c r="H45" i="68" l="1"/>
  <c r="H36" i="68"/>
  <c r="H51" i="3"/>
  <c r="H47" i="68" l="1"/>
  <c r="P188" i="1"/>
  <c r="H188" i="1"/>
  <c r="E188" i="1"/>
  <c r="L188" i="1"/>
  <c r="Q188" i="1"/>
  <c r="W188" i="1"/>
  <c r="G188" i="1"/>
  <c r="K188" i="1"/>
  <c r="Z188" i="1"/>
  <c r="I188" i="1"/>
  <c r="U188" i="1"/>
  <c r="V188" i="1"/>
  <c r="M188" i="1"/>
  <c r="O188" i="1"/>
  <c r="R188" i="1"/>
  <c r="J188" i="1"/>
  <c r="X188" i="1"/>
  <c r="H50" i="3"/>
  <c r="H53" i="3" s="1"/>
  <c r="T188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7" i="68" s="1"/>
  <c r="H29" i="68" s="1"/>
  <c r="H21" i="3"/>
  <c r="H22" i="3" s="1"/>
  <c r="H24" i="3" s="1"/>
</calcChain>
</file>

<file path=xl/sharedStrings.xml><?xml version="1.0" encoding="utf-8"?>
<sst xmlns="http://schemas.openxmlformats.org/spreadsheetml/2006/main" count="6040" uniqueCount="723">
  <si>
    <t xml:space="preserve"> </t>
  </si>
  <si>
    <t>STAFF PAYROLL FOR THE MONTH OF DECEMBER,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</si>
  <si>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</si>
  <si>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</si>
  <si>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</si>
  <si>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</si>
  <si>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</si>
  <si>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</si>
  <si>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</si>
  <si>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</si>
  <si>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</si>
  <si>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</si>
  <si>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</si>
  <si>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</si>
  <si>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</si>
  <si>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NOVEMBER,2021</t>
  </si>
  <si>
    <t>DECEMBER,2021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</si>
  <si>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</si>
  <si>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</si>
  <si>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</si>
  <si>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</si>
  <si>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</si>
  <si>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</si>
  <si>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</si>
  <si>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</si>
  <si>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</si>
  <si>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</si>
  <si>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</si>
  <si>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</si>
  <si>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</si>
  <si>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</si>
  <si>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</si>
  <si>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</si>
  <si>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</si>
  <si>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</si>
  <si>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</si>
  <si>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</si>
  <si>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</si>
  <si>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</si>
  <si>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</si>
  <si>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</si>
  <si>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</si>
  <si>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</si>
  <si>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</si>
  <si>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</si>
  <si>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SA- ADMIN</t>
  </si>
  <si>
    <t>16(9)</t>
  </si>
  <si>
    <t>DR JAKE DABANG DAN AZUMI</t>
  </si>
  <si>
    <t>DEPUTY DIRECTOR  TRAINING</t>
  </si>
  <si>
    <t>16(7)</t>
  </si>
  <si>
    <t>DR ABDULSALAM NASIRU NAEEM</t>
  </si>
  <si>
    <t>SA ACADEMICS</t>
  </si>
  <si>
    <t>RAHEEM USMAN AYIGORO</t>
  </si>
  <si>
    <t>SA-INFRASTRUCTURE</t>
  </si>
  <si>
    <t>16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</si>
  <si>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</si>
  <si>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</si>
  <si>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</si>
  <si>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</si>
  <si>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</si>
  <si>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</si>
  <si>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</si>
  <si>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</si>
  <si>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</si>
  <si>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15(8)</t>
  </si>
  <si>
    <t>AYOBOLU OLAJIDE OLUFUNSHO</t>
  </si>
  <si>
    <t>ASST.DIR., INFORMATION</t>
  </si>
  <si>
    <t>15 (7)</t>
  </si>
  <si>
    <t>HUSSEIN EGYE MUSA</t>
  </si>
  <si>
    <t>CHIEF PROTOCOL OFFICER</t>
  </si>
  <si>
    <t>14(8)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</si>
  <si>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</si>
  <si>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</si>
  <si>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</si>
  <si>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</si>
  <si>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</si>
  <si>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</si>
  <si>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</si>
  <si>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</si>
  <si>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</si>
  <si>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</si>
  <si>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</si>
  <si>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</si>
  <si>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13(7)</t>
  </si>
  <si>
    <t>ADUGBA RICHARD TERSEER</t>
  </si>
  <si>
    <t>INFORMATION OFFICER</t>
  </si>
  <si>
    <t>10(9)</t>
  </si>
  <si>
    <t>CHRISTIAN MADUABUCHI ODO</t>
  </si>
  <si>
    <t>PRINCIPAL ICT OFFICER</t>
  </si>
  <si>
    <t>12(7)</t>
  </si>
  <si>
    <t>HASSANA AHMED IBRAHIM</t>
  </si>
  <si>
    <t>PA- TO DG</t>
  </si>
  <si>
    <t>10(8)</t>
  </si>
  <si>
    <t>VICTOR ASUKWO</t>
  </si>
  <si>
    <t>ICT OFFICER</t>
  </si>
  <si>
    <t>8 (9)</t>
  </si>
  <si>
    <t>SULEIMAN ABUBAKAR SODEEQ</t>
  </si>
  <si>
    <t>ASST. ADMIN. OFFICER</t>
  </si>
  <si>
    <t>8(7)</t>
  </si>
  <si>
    <t>YAKUB OLUWATOYIN USMAN</t>
  </si>
  <si>
    <t>10(7)</t>
  </si>
  <si>
    <t>ANTHONY EDET</t>
  </si>
  <si>
    <t>ASST. MGR  M&amp;E</t>
  </si>
  <si>
    <t>13(8)</t>
  </si>
  <si>
    <t>EGUATU U. ONYEJELEM</t>
  </si>
  <si>
    <t>OFFICER M&amp;E</t>
  </si>
  <si>
    <t>ODEH SUZIE</t>
  </si>
  <si>
    <t>ADMIN. OFFICER, LIASION OFFICE</t>
  </si>
  <si>
    <t>IJEOMA NKOLIKWA</t>
  </si>
  <si>
    <t>ASSISTANT STORES OFFICER</t>
  </si>
  <si>
    <t>8(9)</t>
  </si>
  <si>
    <t>ABDULRAHMAN A SULAIMAN</t>
  </si>
  <si>
    <t>8 (8)</t>
  </si>
  <si>
    <t>TASSNEEM IBRAHIM</t>
  </si>
  <si>
    <t>ASSIST. INFORMATION</t>
  </si>
  <si>
    <t>8(8)</t>
  </si>
  <si>
    <t>JIMOH ADEBAYO ZAKA</t>
  </si>
  <si>
    <t>ASST. OFFICER/COMM</t>
  </si>
  <si>
    <t>INTERNAL AUDIT</t>
  </si>
  <si>
    <t>OSANAIYE DAVID AKINYEMI</t>
  </si>
  <si>
    <t>DIRECTOR INTERNAL AUDIT</t>
  </si>
  <si>
    <t>17(7)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</si>
  <si>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</si>
  <si>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</si>
  <si>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</si>
  <si>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</si>
  <si>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</si>
  <si>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</si>
  <si>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</si>
  <si>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</si>
  <si>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15(7)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</si>
  <si>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</si>
  <si>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</si>
  <si>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</si>
  <si>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</si>
  <si>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</si>
  <si>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</si>
  <si>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</si>
  <si>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</si>
  <si>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13(9)</t>
  </si>
  <si>
    <t>IKPEAZU CHINEDU ANITA</t>
  </si>
  <si>
    <t>DORIS DAKDA AARON</t>
  </si>
  <si>
    <t>RESEARCH FELLOW II</t>
  </si>
  <si>
    <t>LEGAL SERVICES</t>
  </si>
  <si>
    <t>DR SHUIBU DANWANKA</t>
  </si>
  <si>
    <t>DIRECTOR LEGAL SERVICES</t>
  </si>
  <si>
    <t>ABDULSALAM BAKO</t>
  </si>
  <si>
    <t>MANAGER, LEGAL SERVICES</t>
  </si>
  <si>
    <t>DEMOCRACY AND GOVERNANCE</t>
  </si>
  <si>
    <t>DR. ADEWALE ADEREMI</t>
  </si>
  <si>
    <t>DIRECTOR, DEMOCRATIC STUDIES</t>
  </si>
  <si>
    <t>17(8)</t>
  </si>
  <si>
    <t>NDANUSA MOHAMMED MANZUMA</t>
  </si>
  <si>
    <t>EMILY EDOISA IKHIDE</t>
  </si>
  <si>
    <t>13(10)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</si>
  <si>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</si>
  <si>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</si>
  <si>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</si>
  <si>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</si>
  <si>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</si>
  <si>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</si>
  <si>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</si>
  <si>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</si>
  <si>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</si>
  <si>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</si>
  <si>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</si>
  <si>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</si>
  <si>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</si>
  <si>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</si>
  <si>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</si>
  <si>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</si>
  <si>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</si>
  <si>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</si>
  <si>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</si>
  <si>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</si>
  <si>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</si>
  <si>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</si>
  <si>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</si>
  <si>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</si>
  <si>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</si>
  <si>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</si>
  <si>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</si>
  <si>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</si>
  <si>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</si>
  <si>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</si>
  <si>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</si>
  <si>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JUMARE FADILA</t>
  </si>
  <si>
    <t>NGARA CHRISTOPHER OCHANJA</t>
  </si>
  <si>
    <t>14(9)</t>
  </si>
  <si>
    <t>OMOJU OLUWASOLA EMMANUEL</t>
  </si>
  <si>
    <t>RIFKATU NGHARGBU</t>
  </si>
  <si>
    <t>14(7)</t>
  </si>
  <si>
    <t>`12333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</si>
  <si>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</si>
  <si>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</si>
  <si>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</si>
  <si>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</si>
  <si>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</si>
  <si>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</si>
  <si>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</si>
  <si>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</si>
  <si>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</si>
  <si>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</si>
  <si>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</si>
  <si>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</si>
  <si>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</si>
  <si>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</si>
  <si>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</si>
  <si>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</si>
  <si>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</si>
  <si>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</si>
  <si>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</si>
  <si>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</si>
  <si>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</si>
  <si>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</si>
  <si>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</si>
  <si>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</si>
  <si>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</si>
  <si>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</si>
  <si>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</si>
  <si>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</si>
  <si>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</si>
  <si>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</si>
  <si>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</si>
  <si>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</si>
  <si>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</si>
  <si>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</si>
  <si>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</si>
  <si>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</si>
  <si>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</si>
  <si>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</si>
  <si>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</si>
  <si>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</si>
  <si>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</si>
  <si>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</si>
  <si>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</si>
  <si>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</si>
  <si>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</si>
  <si>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</si>
  <si>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</si>
  <si>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</si>
  <si>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</si>
  <si>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</si>
  <si>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</si>
  <si>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</si>
  <si>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</si>
  <si>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</si>
  <si>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</si>
  <si>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</si>
  <si>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</si>
  <si>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USMAN WAZIRI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</si>
  <si>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</si>
  <si>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</si>
  <si>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</si>
  <si>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</si>
  <si>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</si>
  <si>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</si>
  <si>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</si>
  <si>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</si>
  <si>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</si>
  <si>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</si>
  <si>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</si>
  <si>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</si>
  <si>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</si>
  <si>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</si>
  <si>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</si>
  <si>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</si>
  <si>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</si>
  <si>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</si>
  <si>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</si>
  <si>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</si>
  <si>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</si>
  <si>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</si>
  <si>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</si>
  <si>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</si>
  <si>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</si>
  <si>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</si>
  <si>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OLATUNJI OYEDELE YUSUF</t>
  </si>
  <si>
    <t>CHIEF DRIVER</t>
  </si>
  <si>
    <t>7(3)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</si>
  <si>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</si>
  <si>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</si>
  <si>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</si>
  <si>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</si>
  <si>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</si>
  <si>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</si>
  <si>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</si>
  <si>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</si>
  <si>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5(12)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</si>
  <si>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</si>
  <si>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</si>
  <si>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</si>
  <si>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</si>
  <si>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</si>
  <si>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</si>
  <si>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</si>
  <si>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5(9)</t>
  </si>
  <si>
    <t>JOHN GIMAH</t>
  </si>
  <si>
    <t>ABUBAKAR MUSA DANLAMI</t>
  </si>
  <si>
    <t>5(10)</t>
  </si>
  <si>
    <t>OYINLOLA ISMAHEEL TAIWO</t>
  </si>
  <si>
    <t>5(8)</t>
  </si>
  <si>
    <t>IBRAHIM ZAKARI AHMAD</t>
  </si>
  <si>
    <t>DRIVER</t>
  </si>
  <si>
    <t>5 (7)</t>
  </si>
  <si>
    <t>SHEDRACK NASARA M.</t>
  </si>
  <si>
    <t>IBRAHIM ALIYU</t>
  </si>
  <si>
    <t>ABUBAKAR AMINU DOLE</t>
  </si>
  <si>
    <t>DARAMOLA SANJO SAMSON</t>
  </si>
  <si>
    <t>JONATHAN GABRIEL</t>
  </si>
  <si>
    <t>4(9)</t>
  </si>
  <si>
    <t>ZHOKWO PETER</t>
  </si>
  <si>
    <t>JOHN ETIMBUK UDO</t>
  </si>
  <si>
    <t>ABDULLAHI YUSUF</t>
  </si>
  <si>
    <t>5(7)</t>
  </si>
  <si>
    <t>LAWAL TANIMU</t>
  </si>
  <si>
    <t>4(7)</t>
  </si>
  <si>
    <t>SUNDAY ADEYI</t>
  </si>
  <si>
    <t>55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</si>
  <si>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</si>
  <si>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</si>
  <si>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</si>
  <si>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</si>
  <si>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</si>
  <si>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</si>
  <si>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</si>
  <si>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</si>
  <si>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</si>
  <si>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</si>
  <si>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</si>
  <si>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</si>
  <si>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</si>
  <si>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</si>
  <si>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</si>
  <si>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</si>
  <si>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</si>
  <si>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</si>
  <si>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</si>
  <si>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13TH DECEMBER, 2021</t>
  </si>
  <si>
    <t>SUBJECT: PAYROLL FOR THE MONTH OF DECEMBER, 2021</t>
  </si>
  <si>
    <t>Find below the details of NILDS Staff Payroll for the month of December, 2021</t>
  </si>
  <si>
    <t>GROSS SALARY FOR  DECEMBER, 2021</t>
  </si>
  <si>
    <t>COOP SOCIETY DEDUCTIONS</t>
  </si>
  <si>
    <t>COOP LOAN RECOVERY</t>
  </si>
  <si>
    <t>PAYE DEDUCTIONS</t>
  </si>
  <si>
    <t>NHF DEDUCTIONS</t>
  </si>
  <si>
    <t>TOTAL DEDUCTIONS FOR DECEMBER, 2021</t>
  </si>
  <si>
    <t>NET PAY AS PER DECEMBER, 2021 PAYROLL</t>
  </si>
  <si>
    <t>NET PAY AS PER  NOVEMBER, 2021 PAYROLL</t>
  </si>
  <si>
    <t>NET INCREASE/ (DECREASE)  IN PAY FOR  DECEMBER, 2021</t>
  </si>
  <si>
    <t>ANALYSED AS FOLLOWS:</t>
  </si>
  <si>
    <t>Effect of Cooperative adjustment for December 2021</t>
  </si>
  <si>
    <t>Effect of removal of 1st 28 days to Sunday Adeyi and 2 other drivers (Tanimu &amp; Abdullahi) in November, 2021</t>
  </si>
  <si>
    <t>NOVEMBER, 2021</t>
  </si>
  <si>
    <t>DECEMBER, 2021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</si>
  <si>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</si>
  <si>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</si>
  <si>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</si>
  <si>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</si>
  <si>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</si>
  <si>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</si>
  <si>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</si>
  <si>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</si>
  <si>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</si>
  <si>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</si>
  <si>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</si>
  <si>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</si>
  <si>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N38,562,963.95 </t>
    </r>
    <r>
      <rPr>
        <sz val="14"/>
        <rFont val="Times New Roman"/>
        <family val="1"/>
      </rPr>
      <t xml:space="preserve">to Guaranty Trust Bank  being  December 2021 Salary, </t>
    </r>
    <r>
      <rPr>
        <b/>
        <sz val="14"/>
        <rFont val="Times New Roman"/>
        <family val="1"/>
      </rPr>
      <t xml:space="preserve">N11,535,564.01 </t>
    </r>
    <r>
      <rPr>
        <sz val="14"/>
        <rFont val="Times New Roman"/>
        <family val="1"/>
      </rPr>
      <t>being NILDS Coop Society deductions for December, 2021</t>
    </r>
    <r>
      <rPr>
        <b/>
        <sz val="14"/>
        <rFont val="Times New Roman"/>
        <family val="1"/>
      </rPr>
      <t xml:space="preserve"> N1,514,721.30 </t>
    </r>
    <r>
      <rPr>
        <sz val="14"/>
        <rFont val="Times New Roman"/>
        <family val="1"/>
      </rPr>
      <t xml:space="preserve">being PAYE Tax Deductions from Staff Salary for the month  of December, 2021 and </t>
    </r>
    <r>
      <rPr>
        <b/>
        <sz val="14"/>
        <rFont val="Times New Roman"/>
        <family val="1"/>
      </rPr>
      <t xml:space="preserve">N26,068.02 </t>
    </r>
    <r>
      <rPr>
        <sz val="14"/>
        <rFont val="Times New Roman"/>
        <family val="1"/>
      </rPr>
      <t xml:space="preserve"> being NHF deductions from staff for December, 2021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</si>
  <si>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</si>
  <si>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</si>
  <si>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</si>
  <si>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</si>
  <si>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SCHEDULE OF 13TH MONTH SALARY FOR 3 STAFF FOR YEAR, 2021</t>
  </si>
  <si>
    <t>1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</si>
  <si>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</si>
  <si>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</si>
  <si>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</si>
  <si>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</si>
  <si>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</si>
  <si>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</si>
  <si>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</si>
  <si>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</si>
  <si>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</si>
  <si>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</si>
  <si>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</si>
  <si>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</si>
  <si>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</si>
  <si>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</si>
  <si>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</si>
  <si>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</si>
  <si>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</si>
  <si>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</si>
  <si>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</si>
  <si>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</si>
  <si>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OLD GROSS</t>
  </si>
  <si>
    <t>AUGUST,2021</t>
  </si>
  <si>
    <t>SEPTEMBER,2021</t>
  </si>
  <si>
    <t xml:space="preserve">NEW SALARY </t>
  </si>
  <si>
    <t>NEWGROSS</t>
  </si>
  <si>
    <t>GRADE LEVEL</t>
  </si>
  <si>
    <t>DIFFERENCE</t>
  </si>
  <si>
    <t>AREARS FOR AUGUST</t>
  </si>
  <si>
    <t>TOTAL DIFFERENCE</t>
  </si>
  <si>
    <t>OLD PAYE</t>
  </si>
  <si>
    <t>NEW PAYE</t>
  </si>
  <si>
    <t>DIFF</t>
  </si>
  <si>
    <t>AM PROTOCOL</t>
  </si>
  <si>
    <t>14 (8)</t>
  </si>
  <si>
    <t>AM ICT</t>
  </si>
  <si>
    <t>AM TRAINING</t>
  </si>
  <si>
    <t>10(11)</t>
  </si>
  <si>
    <t>ASST. MANAGER , ASSETS &amp; MAINT.</t>
  </si>
  <si>
    <t>PERSONNEL OFFICER</t>
  </si>
  <si>
    <t>10(10)</t>
  </si>
  <si>
    <t>SECRETARY</t>
  </si>
  <si>
    <t>8(10)</t>
  </si>
  <si>
    <t>10 (7)</t>
  </si>
  <si>
    <t>4(10)</t>
  </si>
  <si>
    <t>14</t>
  </si>
  <si>
    <t>Net effect of staff promotiton</t>
  </si>
  <si>
    <t>GROSS SALARY</t>
  </si>
  <si>
    <t>SHIFT DUTY ALLOWANCES (11% of GROSS)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</si>
  <si>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</si>
  <si>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</si>
  <si>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</si>
  <si>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</si>
  <si>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</si>
  <si>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</si>
  <si>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</si>
  <si>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</si>
  <si>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</si>
  <si>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</si>
  <si>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</si>
  <si>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</si>
  <si>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</si>
  <si>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</si>
  <si>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</si>
  <si>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</si>
  <si>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</si>
  <si>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</si>
  <si>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</si>
  <si>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</si>
  <si>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</si>
  <si>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</si>
  <si>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</si>
  <si>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NET DIFFERENCE</t>
  </si>
  <si>
    <t>STAFF PAYROLL FOR THE MONTH OF JULY, 2021</t>
  </si>
  <si>
    <t>NEW RESEARCH/</t>
  </si>
  <si>
    <t>HARDSHIP ALLOWANCE</t>
  </si>
  <si>
    <t>SA ADMINISTRATION</t>
  </si>
  <si>
    <t>MANAGER, INFORMATION</t>
  </si>
  <si>
    <t>NWOSU MATHEW EZE</t>
  </si>
  <si>
    <t>Ag. DIRECTOR INT. AUDIT</t>
  </si>
  <si>
    <t>ONYEAKU CHUKWUKA EDMOND</t>
  </si>
  <si>
    <t>CHIOMA UWAZURUIKE</t>
  </si>
  <si>
    <t>MANAGER, PROGRAMME</t>
  </si>
  <si>
    <t>ONYIMADU C. ONYEBUCHI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</si>
  <si>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</si>
  <si>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</si>
  <si>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</si>
  <si>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</si>
  <si>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</si>
  <si>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</si>
  <si>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</si>
  <si>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</si>
  <si>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</si>
  <si>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</si>
  <si>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</si>
  <si>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</si>
  <si>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BASHIR AUWAL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</si>
  <si>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</si>
  <si>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</si>
  <si>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</si>
  <si>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</si>
  <si>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</si>
  <si>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</si>
  <si>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</si>
  <si>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</si>
  <si>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</si>
  <si>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</si>
  <si>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</si>
  <si>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</si>
  <si>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</si>
  <si>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</si>
  <si>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</si>
  <si>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</si>
  <si>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</si>
  <si>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</si>
  <si>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</si>
  <si>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</si>
  <si>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</si>
  <si>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</si>
  <si>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</si>
  <si>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</si>
  <si>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</si>
  <si>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</si>
  <si>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</si>
  <si>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</si>
  <si>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</si>
  <si>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</si>
  <si>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</si>
  <si>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</si>
  <si>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</si>
  <si>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</si>
  <si>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</si>
  <si>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</si>
  <si>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16(8)</t>
  </si>
  <si>
    <t>10(12)</t>
  </si>
  <si>
    <t>BASHIRU ABBA WALI</t>
  </si>
  <si>
    <t>OFF. INT. AUDIT</t>
  </si>
  <si>
    <t>14(10)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</si>
  <si>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</si>
  <si>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</si>
  <si>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</si>
  <si>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</si>
  <si>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</si>
  <si>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</si>
  <si>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</si>
  <si>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</si>
  <si>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</si>
  <si>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</si>
  <si>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</si>
  <si>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</si>
  <si>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5(13)</t>
  </si>
  <si>
    <t>5(11)</t>
  </si>
  <si>
    <t>4(12)</t>
  </si>
  <si>
    <t>4(8)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</si>
  <si>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</si>
  <si>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</si>
  <si>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</si>
  <si>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</si>
  <si>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</si>
  <si>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</si>
  <si>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</si>
  <si>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</si>
  <si>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</si>
  <si>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</si>
  <si>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</si>
  <si>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</si>
  <si>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</si>
  <si>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</si>
  <si>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</si>
  <si>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</si>
  <si>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</si>
  <si>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</si>
  <si>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</si>
  <si>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</si>
  <si>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</si>
  <si>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16 (8)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</si>
  <si>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</si>
  <si>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</si>
  <si>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</si>
  <si>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</si>
  <si>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</si>
  <si>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</si>
  <si>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</si>
  <si>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</si>
  <si>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</si>
  <si>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</si>
  <si>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</si>
  <si>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</si>
  <si>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</si>
  <si>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</si>
  <si>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</si>
  <si>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</si>
  <si>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</si>
  <si>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</si>
  <si>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</si>
  <si>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</si>
  <si>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</si>
  <si>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</si>
  <si>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</si>
  <si>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</si>
  <si>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</si>
  <si>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</si>
  <si>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</si>
  <si>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</si>
  <si>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</si>
  <si>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</si>
  <si>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</si>
  <si>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</si>
  <si>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</si>
  <si>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</si>
  <si>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</si>
  <si>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</si>
  <si>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</si>
  <si>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</si>
  <si>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</si>
  <si>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</si>
  <si>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</si>
  <si>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</si>
  <si>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</si>
  <si>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</si>
  <si>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</si>
  <si>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</si>
  <si>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</si>
  <si>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</si>
  <si>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</si>
  <si>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</si>
  <si>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</si>
  <si>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</si>
  <si>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</si>
  <si>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</si>
  <si>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AUGUST, 2021 PAYROLL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</si>
  <si>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</si>
  <si>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</si>
  <si>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</si>
  <si>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</si>
  <si>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</si>
  <si>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</si>
  <si>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</si>
  <si>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</si>
  <si>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</si>
  <si>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</si>
  <si>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</si>
  <si>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</si>
  <si>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</si>
  <si>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AUGUST,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</si>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</sst>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43" fontId="2" fillId="0" borderId="6" xfId="1" applyFont="1" applyBorder="1" applyAlignment="1"/>
    <xf numFmtId="0" fontId="34" fillId="0" borderId="0" xfId="0" applyFont="1"/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8" xfId="0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" fontId="6" fillId="0" borderId="7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" fontId="6" fillId="0" borderId="5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1" xfId="0" applyNumberFormat="1" applyFont="1" applyBorder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4"/>
  <sheetViews>
    <sheetView tabSelected="1" view="pageBreakPreview" zoomScaleNormal="100" zoomScaleSheetLayoutView="100" workbookViewId="0">
      <pane xSplit="3" ySplit="9" topLeftCell="D56" activePane="bottomRight" state="frozen"/>
      <selection pane="bottomRight" activeCell="A8" sqref="A1:XFD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5703125" style="1" bestFit="1" customWidth="1"/>
    <col min="2" max="2" width="46.140625" style="1" bestFit="1" customWidth="1"/>
    <col min="3" max="3" width="32.5703125" style="1" customWidth="1"/>
    <col min="4" max="4" width="12.85546875" style="1" bestFit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5" width="19.7109375" style="1" customWidth="1"/>
    <col min="26" max="26" width="21" style="1" customWidth="1"/>
    <col min="27" max="16384" width="9.140625" style="1"/>
  </cols>
  <sheetData>
    <row r="1" spans="1:31" ht="29.25" hidden="1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hidden="1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hidden="1" customHeight="1">
      <c r="B3" s="231" t="s">
        <v>1</v>
      </c>
      <c r="C3" s="231"/>
      <c r="D3" s="231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hidden="1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hidden="1" customHeight="1">
      <c r="B5" s="224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32" t="s">
        <v>3</v>
      </c>
      <c r="U5" s="232"/>
      <c r="V5" s="232"/>
      <c r="W5" s="232"/>
      <c r="X5" s="232"/>
      <c r="Y5" s="56"/>
      <c r="Z5" s="56" t="s">
        <v>4</v>
      </c>
    </row>
    <row r="6" spans="1:31" ht="35.450000000000003" hidden="1" customHeight="1">
      <c r="A6" s="33"/>
      <c r="B6" s="225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83" t="s">
        <v>15</v>
      </c>
      <c r="Z6" s="183" t="s">
        <v>16</v>
      </c>
    </row>
    <row r="7" spans="1:31" ht="48" hidden="1" customHeight="1">
      <c r="A7" s="33"/>
      <c r="B7" s="226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hidden="1" customHeight="1">
      <c r="A8" s="21" t="s">
        <v>35</v>
      </c>
      <c r="B8" s="227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4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7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7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17" t="s">
        <v>44</v>
      </c>
      <c r="C11" s="43" t="s">
        <v>45</v>
      </c>
      <c r="D11" s="78" t="s">
        <v>46</v>
      </c>
      <c r="E11" s="65">
        <f>42653.17</f>
        <v>42653.17</v>
      </c>
      <c r="F11" s="185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27"/>
      <c r="N11" s="27">
        <f>90000</f>
        <v>90000</v>
      </c>
      <c r="O11" s="62">
        <f>E11*10%</f>
        <v>4265.317</v>
      </c>
      <c r="P11" s="62">
        <v>20000</v>
      </c>
      <c r="Q11" s="79"/>
      <c r="R11" s="36">
        <f t="shared" si="1"/>
        <v>541465.02474999998</v>
      </c>
      <c r="S11" s="65"/>
      <c r="T11" s="65">
        <f>100000</f>
        <v>100000</v>
      </c>
      <c r="U11" s="65">
        <f>201736.11</f>
        <v>201736.11</v>
      </c>
      <c r="V11" s="65"/>
      <c r="W11" s="36">
        <v>21618.09</v>
      </c>
      <c r="X11" s="36">
        <f t="shared" si="2"/>
        <v>323354.19999999995</v>
      </c>
      <c r="Y11" s="36">
        <v>218110.82475000003</v>
      </c>
      <c r="Z11" s="36">
        <f t="shared" si="0"/>
        <v>218110.82475000003</v>
      </c>
      <c r="AA11" s="34"/>
    </row>
    <row r="12" spans="1:31" ht="20.100000000000001" customHeight="1">
      <c r="A12" s="3">
        <v>4</v>
      </c>
      <c r="B12" s="81" t="s">
        <v>47</v>
      </c>
      <c r="C12" s="33" t="s">
        <v>48</v>
      </c>
      <c r="D12" s="3" t="s">
        <v>49</v>
      </c>
      <c r="E12" s="62">
        <f>39662.25</f>
        <v>39662.25</v>
      </c>
      <c r="F12" s="62"/>
      <c r="G12" s="62">
        <f>E12*300%</f>
        <v>118986.75</v>
      </c>
      <c r="H12" s="62">
        <f>E12*7.5%</f>
        <v>2974.6687499999998</v>
      </c>
      <c r="I12" s="62">
        <v>40122.19</v>
      </c>
      <c r="J12" s="62">
        <f>E12*50%</f>
        <v>19831.125</v>
      </c>
      <c r="K12" s="62">
        <f>E12*350%</f>
        <v>138817.875</v>
      </c>
      <c r="L12" s="62">
        <f>E12*100%</f>
        <v>39662.25</v>
      </c>
      <c r="M12" s="27">
        <f>180000</f>
        <v>180000</v>
      </c>
      <c r="N12" s="27"/>
      <c r="O12" s="62">
        <f>E12*10%</f>
        <v>3966.2250000000004</v>
      </c>
      <c r="P12" s="62">
        <v>20000</v>
      </c>
      <c r="Q12" s="62">
        <v>150000</v>
      </c>
      <c r="R12" s="36">
        <f t="shared" si="1"/>
        <v>754023.33374999999</v>
      </c>
      <c r="S12" s="36"/>
      <c r="T12" s="36"/>
      <c r="U12" s="36"/>
      <c r="V12" s="36">
        <f>'[2]Jan 2021'!$H$27</f>
        <v>991.55625000000009</v>
      </c>
      <c r="W12" s="62">
        <f>21618.09</f>
        <v>21618.09</v>
      </c>
      <c r="X12" s="36">
        <f t="shared" si="2"/>
        <v>22609.646250000002</v>
      </c>
      <c r="Y12" s="36">
        <v>731413.6875</v>
      </c>
      <c r="Z12" s="36">
        <f t="shared" si="0"/>
        <v>731413.6875</v>
      </c>
      <c r="AA12" s="34"/>
    </row>
    <row r="13" spans="1:31" ht="20.100000000000001" customHeight="1">
      <c r="A13" s="3">
        <v>5</v>
      </c>
      <c r="B13" s="217" t="s">
        <v>50</v>
      </c>
      <c r="C13" s="43" t="s">
        <v>51</v>
      </c>
      <c r="D13" s="78" t="s">
        <v>49</v>
      </c>
      <c r="E13" s="65">
        <f>39662.25</f>
        <v>39662.25</v>
      </c>
      <c r="F13" s="64"/>
      <c r="G13" s="62">
        <f>E13*300%</f>
        <v>118986.75</v>
      </c>
      <c r="H13" s="62">
        <f>E13*7.5%</f>
        <v>2974.6687499999998</v>
      </c>
      <c r="I13" s="62">
        <v>40122.19</v>
      </c>
      <c r="J13" s="62">
        <f>E13*50%</f>
        <v>19831.125</v>
      </c>
      <c r="K13" s="62">
        <f>E13*350%</f>
        <v>138817.875</v>
      </c>
      <c r="L13" s="62">
        <f>E13*100%</f>
        <v>39662.25</v>
      </c>
      <c r="M13" s="27">
        <f>180000</f>
        <v>180000</v>
      </c>
      <c r="N13" s="27"/>
      <c r="O13" s="62">
        <f>E13*10%</f>
        <v>3966.2250000000004</v>
      </c>
      <c r="P13" s="62">
        <v>20000</v>
      </c>
      <c r="Q13" s="65">
        <f>100000</f>
        <v>100000</v>
      </c>
      <c r="R13" s="36">
        <f t="shared" si="1"/>
        <v>704023.33374999999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682405.24375000002</v>
      </c>
      <c r="Z13" s="36">
        <f t="shared" si="0"/>
        <v>682405.24375000002</v>
      </c>
      <c r="AA13" s="34"/>
    </row>
    <row r="14" spans="1:31" ht="20.100000000000001" customHeight="1">
      <c r="A14" s="3">
        <v>6</v>
      </c>
      <c r="B14" s="81" t="s">
        <v>52</v>
      </c>
      <c r="C14" s="61" t="s">
        <v>53</v>
      </c>
      <c r="D14" s="3" t="s">
        <v>54</v>
      </c>
      <c r="E14" s="65">
        <f>39662.25</f>
        <v>39662.25</v>
      </c>
      <c r="F14" s="64"/>
      <c r="G14" s="62">
        <f>E14*300%</f>
        <v>118986.75</v>
      </c>
      <c r="H14" s="62">
        <f>E14*7.5%</f>
        <v>2974.6687499999998</v>
      </c>
      <c r="I14" s="62">
        <v>40122.19</v>
      </c>
      <c r="J14" s="62">
        <f>E14*50%</f>
        <v>19831.125</v>
      </c>
      <c r="K14" s="62">
        <f>E14*350%</f>
        <v>138817.875</v>
      </c>
      <c r="L14" s="62">
        <f>E14*100%</f>
        <v>39662.25</v>
      </c>
      <c r="M14" s="27"/>
      <c r="N14" s="27">
        <f>90000</f>
        <v>90000</v>
      </c>
      <c r="O14" s="62">
        <f>E14*10%</f>
        <v>3966.2250000000004</v>
      </c>
      <c r="P14" s="62">
        <v>20000</v>
      </c>
      <c r="Q14" s="65">
        <v>0</v>
      </c>
      <c r="R14" s="36">
        <f t="shared" si="1"/>
        <v>514023.33374999999</v>
      </c>
      <c r="S14" s="65"/>
      <c r="T14" s="65"/>
      <c r="U14" s="65"/>
      <c r="V14" s="65"/>
      <c r="W14" s="36">
        <f>21618.09</f>
        <v>21618.09</v>
      </c>
      <c r="X14" s="36">
        <f t="shared" si="2"/>
        <v>21618.09</v>
      </c>
      <c r="Y14" s="36">
        <v>492405.24374999997</v>
      </c>
      <c r="Z14" s="36">
        <f t="shared" si="0"/>
        <v>492405.24374999997</v>
      </c>
      <c r="AA14" s="34"/>
    </row>
    <row r="15" spans="1:31" ht="20.100000000000001" customHeight="1">
      <c r="A15" s="3">
        <v>7</v>
      </c>
      <c r="B15" s="217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30" si="3">E15*300%</f>
        <v>100522.5</v>
      </c>
      <c r="H15" s="62">
        <f t="shared" ref="H15:H30" si="4">E15*7.5%</f>
        <v>2513.0625</v>
      </c>
      <c r="I15" s="62">
        <v>40122.19</v>
      </c>
      <c r="J15" s="62">
        <f t="shared" ref="J15:J21" si="5">E15*50%</f>
        <v>16753.75</v>
      </c>
      <c r="K15" s="62">
        <f t="shared" ref="K15:K30" si="6">E15*350%</f>
        <v>117276.25</v>
      </c>
      <c r="L15" s="62">
        <f t="shared" ref="L15:L30" si="7">E15*100%</f>
        <v>33507.5</v>
      </c>
      <c r="M15" s="27"/>
      <c r="N15" s="27">
        <f>80000</f>
        <v>80000</v>
      </c>
      <c r="O15" s="62">
        <f t="shared" ref="O15:O30" si="8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si="2"/>
        <v>16386.02</v>
      </c>
      <c r="Y15" s="36">
        <v>531167.48249999993</v>
      </c>
      <c r="Z15" s="36">
        <f t="shared" ref="Z15:Z30" si="9">R15-X15</f>
        <v>531167.48249999993</v>
      </c>
      <c r="AA15" s="34"/>
    </row>
    <row r="16" spans="1:31" ht="20.100000000000001" customHeight="1">
      <c r="A16" s="3">
        <v>8</v>
      </c>
      <c r="B16" s="159" t="s">
        <v>58</v>
      </c>
      <c r="C16" s="47" t="s">
        <v>59</v>
      </c>
      <c r="D16" s="29" t="s">
        <v>57</v>
      </c>
      <c r="E16" s="26">
        <f>33507.5</f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160416.67</f>
        <v>160416.67000000001</v>
      </c>
      <c r="V16" s="26">
        <f>'[3]DECEMBER 2019'!$H$38</f>
        <v>837.6875</v>
      </c>
      <c r="W16" s="26">
        <v>15548.33</v>
      </c>
      <c r="X16" s="36">
        <f t="shared" si="2"/>
        <v>226802.6875</v>
      </c>
      <c r="Y16" s="26">
        <v>220750.815</v>
      </c>
      <c r="Z16" s="26">
        <f>R16-X16</f>
        <v>220750.815</v>
      </c>
      <c r="AA16" s="34"/>
    </row>
    <row r="17" spans="1:27" ht="20.100000000000001" customHeight="1">
      <c r="A17" s="3">
        <v>9</v>
      </c>
      <c r="B17" s="217" t="s">
        <v>60</v>
      </c>
      <c r="C17" s="33" t="s">
        <v>61</v>
      </c>
      <c r="D17" s="3" t="s">
        <v>57</v>
      </c>
      <c r="E17" s="36">
        <f>33507.5</f>
        <v>33507.5</v>
      </c>
      <c r="F17" s="62"/>
      <c r="G17" s="62">
        <f t="shared" si="3"/>
        <v>100522.5</v>
      </c>
      <c r="H17" s="62">
        <f t="shared" si="4"/>
        <v>2513.0625</v>
      </c>
      <c r="I17" s="62">
        <v>40122.19</v>
      </c>
      <c r="J17" s="62">
        <f t="shared" si="5"/>
        <v>16753.75</v>
      </c>
      <c r="K17" s="62">
        <f t="shared" si="6"/>
        <v>117276.25</v>
      </c>
      <c r="L17" s="62">
        <f t="shared" si="7"/>
        <v>33507.5</v>
      </c>
      <c r="M17" s="27"/>
      <c r="N17" s="27">
        <f>80000</f>
        <v>80000</v>
      </c>
      <c r="O17" s="62">
        <f t="shared" si="8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232149.97499999998</v>
      </c>
      <c r="Z17" s="36">
        <f t="shared" si="9"/>
        <v>232149.97499999998</v>
      </c>
      <c r="AA17" s="34"/>
    </row>
    <row r="18" spans="1:27" ht="20.100000000000001" customHeight="1">
      <c r="A18" s="3">
        <v>10</v>
      </c>
      <c r="B18" s="81" t="s">
        <v>62</v>
      </c>
      <c r="C18" s="61" t="s">
        <v>63</v>
      </c>
      <c r="D18" s="66" t="s">
        <v>64</v>
      </c>
      <c r="E18" s="62">
        <f>32263.2</f>
        <v>32263.200000000001</v>
      </c>
      <c r="F18" s="62"/>
      <c r="G18" s="62">
        <f>E18*300%</f>
        <v>96789.6</v>
      </c>
      <c r="H18" s="62">
        <f>E18*7.5%</f>
        <v>2419.7399999999998</v>
      </c>
      <c r="I18" s="62">
        <f>40122.19</f>
        <v>40122.19</v>
      </c>
      <c r="J18" s="62">
        <f>E18*50%</f>
        <v>16131.6</v>
      </c>
      <c r="K18" s="36">
        <f>E18*350%</f>
        <v>112921.2</v>
      </c>
      <c r="L18" s="62">
        <f>E18*100%</f>
        <v>32263.200000000001</v>
      </c>
      <c r="M18" s="27"/>
      <c r="N18" s="27">
        <f t="shared" ref="N18:N123" si="10">80000</f>
        <v>80000</v>
      </c>
      <c r="O18" s="62">
        <f>E18*10%</f>
        <v>3226.32</v>
      </c>
      <c r="P18" s="62">
        <v>20000</v>
      </c>
      <c r="Q18" s="62">
        <v>0</v>
      </c>
      <c r="R18" s="36">
        <f>SUM(E18:Q18)</f>
        <v>436137.05000000005</v>
      </c>
      <c r="S18" s="36"/>
      <c r="T18" s="36">
        <f>50000</f>
        <v>50000</v>
      </c>
      <c r="U18" s="36">
        <f>90000</f>
        <v>90000</v>
      </c>
      <c r="V18" s="36">
        <f>'[2]Jan 2021'!$H$29</f>
        <v>806.58</v>
      </c>
      <c r="W18" s="62">
        <f>15548.33</f>
        <v>15548.33</v>
      </c>
      <c r="X18" s="36">
        <f>W18+V18+U18+T18+S18</f>
        <v>156354.91</v>
      </c>
      <c r="Y18" s="36">
        <v>279782.14</v>
      </c>
      <c r="Z18" s="36">
        <f>R18-X18</f>
        <v>279782.14</v>
      </c>
      <c r="AA18" s="34"/>
    </row>
    <row r="19" spans="1:27" ht="20.100000000000001" customHeight="1">
      <c r="A19" s="3">
        <v>11</v>
      </c>
      <c r="B19" s="81" t="s">
        <v>65</v>
      </c>
      <c r="C19" s="61" t="s">
        <v>66</v>
      </c>
      <c r="D19" s="11" t="s">
        <v>67</v>
      </c>
      <c r="E19" s="36">
        <v>31018.84</v>
      </c>
      <c r="F19" s="62"/>
      <c r="G19" s="62">
        <f t="shared" ref="G19" si="11">E19*300%</f>
        <v>93056.52</v>
      </c>
      <c r="H19" s="62">
        <f t="shared" ref="H19" si="12">E19*7.5%</f>
        <v>2326.413</v>
      </c>
      <c r="I19" s="62">
        <v>40122.19</v>
      </c>
      <c r="J19" s="62">
        <f t="shared" ref="J19" si="13">E19*50%</f>
        <v>15509.42</v>
      </c>
      <c r="K19" s="62">
        <f t="shared" ref="K19" si="14">E19*350%</f>
        <v>108565.94</v>
      </c>
      <c r="L19" s="62">
        <f t="shared" ref="L19" si="15">E19*100%</f>
        <v>31018.84</v>
      </c>
      <c r="M19" s="27"/>
      <c r="N19" s="27">
        <f>80000</f>
        <v>80000</v>
      </c>
      <c r="O19" s="62">
        <f t="shared" ref="O19" si="16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25000</f>
        <v>25000</v>
      </c>
      <c r="U19" s="36">
        <f>52500</f>
        <v>52500</v>
      </c>
      <c r="V19" s="36"/>
      <c r="W19" s="36">
        <v>15548.33</v>
      </c>
      <c r="X19" s="36">
        <f t="shared" si="2"/>
        <v>93048.33</v>
      </c>
      <c r="Y19" s="36">
        <v>331671.717</v>
      </c>
      <c r="Z19" s="36">
        <f t="shared" ref="Z19" si="17">R19-X19</f>
        <v>331671.717</v>
      </c>
      <c r="AA19" s="34"/>
    </row>
    <row r="20" spans="1:27" ht="20.100000000000001" customHeight="1">
      <c r="A20" s="3">
        <v>12</v>
      </c>
      <c r="B20" s="217" t="s">
        <v>68</v>
      </c>
      <c r="C20" s="43" t="s">
        <v>69</v>
      </c>
      <c r="D20" s="44" t="s">
        <v>70</v>
      </c>
      <c r="E20" s="64">
        <f>25854.1</f>
        <v>25854.1</v>
      </c>
      <c r="F20" s="64"/>
      <c r="G20" s="64">
        <f t="shared" si="3"/>
        <v>77562.299999999988</v>
      </c>
      <c r="H20" s="64">
        <f t="shared" si="4"/>
        <v>1939.0574999999999</v>
      </c>
      <c r="I20" s="64"/>
      <c r="J20" s="64">
        <f t="shared" si="5"/>
        <v>12927.05</v>
      </c>
      <c r="K20" s="64">
        <f t="shared" si="6"/>
        <v>90489.349999999991</v>
      </c>
      <c r="L20" s="64">
        <f t="shared" si="7"/>
        <v>25854.1</v>
      </c>
      <c r="M20" s="27"/>
      <c r="N20" s="27">
        <f t="shared" ref="N20:N24" si="18">70000</f>
        <v>70000</v>
      </c>
      <c r="O20" s="64">
        <f t="shared" si="8"/>
        <v>2585.41</v>
      </c>
      <c r="P20" s="64">
        <v>20000</v>
      </c>
      <c r="Q20" s="64">
        <v>50000</v>
      </c>
      <c r="R20" s="36">
        <f t="shared" si="1"/>
        <v>377211.36749999993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169501.60749999993</v>
      </c>
      <c r="Z20" s="36">
        <f t="shared" si="9"/>
        <v>169501.60749999993</v>
      </c>
      <c r="AA20" s="34"/>
    </row>
    <row r="21" spans="1:27" ht="19.5" customHeight="1">
      <c r="A21" s="3">
        <v>13</v>
      </c>
      <c r="B21" s="217" t="s">
        <v>71</v>
      </c>
      <c r="C21" s="43" t="s">
        <v>72</v>
      </c>
      <c r="D21" s="3" t="s">
        <v>70</v>
      </c>
      <c r="E21" s="64">
        <f>25854.1</f>
        <v>25854.1</v>
      </c>
      <c r="F21" s="62"/>
      <c r="G21" s="62">
        <f t="shared" si="3"/>
        <v>77562.299999999988</v>
      </c>
      <c r="H21" s="62">
        <f t="shared" si="4"/>
        <v>1939.0574999999999</v>
      </c>
      <c r="I21" s="62"/>
      <c r="J21" s="62">
        <f t="shared" si="5"/>
        <v>12927.05</v>
      </c>
      <c r="K21" s="36">
        <f t="shared" si="6"/>
        <v>90489.349999999991</v>
      </c>
      <c r="L21" s="62">
        <f t="shared" si="7"/>
        <v>25854.1</v>
      </c>
      <c r="M21" s="27"/>
      <c r="N21" s="27">
        <f t="shared" si="18"/>
        <v>70000</v>
      </c>
      <c r="O21" s="62">
        <f t="shared" si="8"/>
        <v>2585.41</v>
      </c>
      <c r="P21" s="62">
        <v>20000</v>
      </c>
      <c r="Q21" s="62">
        <v>0</v>
      </c>
      <c r="R21" s="36">
        <f t="shared" si="1"/>
        <v>327211.36749999993</v>
      </c>
      <c r="S21" s="36"/>
      <c r="T21" s="36"/>
      <c r="U21" s="36"/>
      <c r="V21" s="36">
        <f>'[2]Jan 2021'!$H$28</f>
        <v>658.48250000000007</v>
      </c>
      <c r="W21" s="36">
        <v>7709.76</v>
      </c>
      <c r="X21" s="36">
        <f t="shared" si="2"/>
        <v>8368.2425000000003</v>
      </c>
      <c r="Y21" s="36">
        <v>318843.12499999994</v>
      </c>
      <c r="Z21" s="36">
        <f t="shared" si="9"/>
        <v>318843.12499999994</v>
      </c>
      <c r="AA21" s="34"/>
    </row>
    <row r="22" spans="1:27" ht="19.5" customHeight="1">
      <c r="A22" s="3">
        <v>14</v>
      </c>
      <c r="B22" s="217" t="s">
        <v>73</v>
      </c>
      <c r="C22" s="33" t="s">
        <v>74</v>
      </c>
      <c r="D22" s="3" t="s">
        <v>70</v>
      </c>
      <c r="E22" s="64">
        <f>25854.1</f>
        <v>25854.1</v>
      </c>
      <c r="F22" s="62"/>
      <c r="G22" s="62">
        <f>E22*300%</f>
        <v>77562.299999999988</v>
      </c>
      <c r="H22" s="62">
        <f>E22*7.5%</f>
        <v>1939.0574999999999</v>
      </c>
      <c r="I22" s="62"/>
      <c r="J22" s="62">
        <f t="shared" ref="J22:J28" si="19">E22*50%</f>
        <v>12927.05</v>
      </c>
      <c r="K22" s="36">
        <f>E22*350%</f>
        <v>90489.349999999991</v>
      </c>
      <c r="L22" s="62">
        <f>E22*100%</f>
        <v>25854.1</v>
      </c>
      <c r="M22" s="27">
        <f>140000</f>
        <v>140000</v>
      </c>
      <c r="N22" s="27"/>
      <c r="O22" s="62">
        <f>E22*10%</f>
        <v>2585.41</v>
      </c>
      <c r="P22" s="62">
        <v>20000</v>
      </c>
      <c r="Q22" s="62">
        <f>50000+100000</f>
        <v>150000</v>
      </c>
      <c r="R22" s="36">
        <f t="shared" si="1"/>
        <v>547211.36749999993</v>
      </c>
      <c r="S22" s="36"/>
      <c r="T22" s="36"/>
      <c r="U22" s="36"/>
      <c r="V22" s="36"/>
      <c r="W22" s="36">
        <f t="shared" ref="W22:W103" si="20">7709.76</f>
        <v>7709.76</v>
      </c>
      <c r="X22" s="36">
        <f t="shared" si="2"/>
        <v>7709.76</v>
      </c>
      <c r="Y22" s="36">
        <v>539501.60749999993</v>
      </c>
      <c r="Z22" s="36">
        <f>R22-X22</f>
        <v>539501.60749999993</v>
      </c>
      <c r="AA22" s="34"/>
    </row>
    <row r="23" spans="1:27" ht="20.100000000000001" customHeight="1">
      <c r="A23" s="3">
        <v>15</v>
      </c>
      <c r="B23" s="81" t="s">
        <v>75</v>
      </c>
      <c r="C23" s="43" t="s">
        <v>76</v>
      </c>
      <c r="D23" s="66" t="s">
        <v>77</v>
      </c>
      <c r="E23" s="62">
        <f>26339.3</f>
        <v>26339.3</v>
      </c>
      <c r="F23" s="62"/>
      <c r="G23" s="62">
        <f t="shared" si="3"/>
        <v>79017.899999999994</v>
      </c>
      <c r="H23" s="62">
        <f t="shared" si="4"/>
        <v>1975.4474999999998</v>
      </c>
      <c r="I23" s="36">
        <v>0</v>
      </c>
      <c r="J23" s="62">
        <f t="shared" si="19"/>
        <v>13169.65</v>
      </c>
      <c r="K23" s="36">
        <f t="shared" si="6"/>
        <v>92187.55</v>
      </c>
      <c r="L23" s="62">
        <f t="shared" si="7"/>
        <v>26339.3</v>
      </c>
      <c r="M23" s="27"/>
      <c r="N23" s="27">
        <f t="shared" si="18"/>
        <v>70000</v>
      </c>
      <c r="O23" s="62">
        <f t="shared" si="8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9"/>
        <v>318953.31749999995</v>
      </c>
      <c r="AA23" s="34"/>
    </row>
    <row r="24" spans="1:27" ht="20.100000000000001" customHeight="1">
      <c r="A24" s="3">
        <v>16</v>
      </c>
      <c r="B24" s="217" t="s">
        <v>78</v>
      </c>
      <c r="C24" s="33" t="s">
        <v>79</v>
      </c>
      <c r="D24" s="66" t="s">
        <v>80</v>
      </c>
      <c r="E24" s="62">
        <f>23074.99</f>
        <v>23074.99</v>
      </c>
      <c r="F24" s="62"/>
      <c r="G24" s="62">
        <f t="shared" ref="G24" si="21">E24*300%</f>
        <v>69224.97</v>
      </c>
      <c r="H24" s="62">
        <f t="shared" ref="H24" si="22">E24*7.5%</f>
        <v>1730.6242500000001</v>
      </c>
      <c r="I24" s="36">
        <v>0</v>
      </c>
      <c r="J24" s="62">
        <f t="shared" si="19"/>
        <v>11537.495000000001</v>
      </c>
      <c r="K24" s="36">
        <f t="shared" ref="K24" si="23">E24*350%</f>
        <v>80762.465000000011</v>
      </c>
      <c r="L24" s="62">
        <f t="shared" ref="L24" si="24">E24*100%</f>
        <v>23074.99</v>
      </c>
      <c r="M24" s="27"/>
      <c r="N24" s="27">
        <f t="shared" si="18"/>
        <v>70000</v>
      </c>
      <c r="O24" s="62">
        <f t="shared" ref="O24" si="25">E24*10%</f>
        <v>2307.4990000000003</v>
      </c>
      <c r="P24" s="62">
        <v>15000</v>
      </c>
      <c r="Q24" s="62">
        <f>100000+100000</f>
        <v>200000</v>
      </c>
      <c r="R24" s="36">
        <f t="shared" si="1"/>
        <v>496713.03324999998</v>
      </c>
      <c r="S24" s="36"/>
      <c r="T24" s="36"/>
      <c r="U24" s="36"/>
      <c r="V24" s="36"/>
      <c r="W24" s="62">
        <f>7709.76</f>
        <v>7709.76</v>
      </c>
      <c r="X24" s="36">
        <f t="shared" si="2"/>
        <v>7709.76</v>
      </c>
      <c r="Y24" s="36">
        <v>489003.27324999997</v>
      </c>
      <c r="Z24" s="36">
        <f t="shared" ref="Z24" si="26">R24-X24</f>
        <v>489003.27324999997</v>
      </c>
      <c r="AA24" s="34"/>
    </row>
    <row r="25" spans="1:27" ht="20.100000000000001" customHeight="1">
      <c r="A25" s="3">
        <v>17</v>
      </c>
      <c r="B25" s="81" t="s">
        <v>81</v>
      </c>
      <c r="C25" s="61" t="s">
        <v>82</v>
      </c>
      <c r="D25" s="66" t="s">
        <v>83</v>
      </c>
      <c r="E25" s="62">
        <f>23074.99</f>
        <v>23074.99</v>
      </c>
      <c r="F25" s="62"/>
      <c r="G25" s="62">
        <f>E25*300%</f>
        <v>69224.97</v>
      </c>
      <c r="H25" s="62">
        <f>E25*7.5%</f>
        <v>1730.6242500000001</v>
      </c>
      <c r="I25" s="62">
        <v>0</v>
      </c>
      <c r="J25" s="62">
        <f t="shared" si="19"/>
        <v>11537.495000000001</v>
      </c>
      <c r="K25" s="36">
        <f>E25*350%</f>
        <v>80762.465000000011</v>
      </c>
      <c r="L25" s="62">
        <f>E25*100%</f>
        <v>23074.99</v>
      </c>
      <c r="M25" s="27">
        <f>120000</f>
        <v>120000</v>
      </c>
      <c r="N25" s="27"/>
      <c r="O25" s="62">
        <f>E25*10%</f>
        <v>2307.4990000000003</v>
      </c>
      <c r="P25" s="62">
        <v>15000</v>
      </c>
      <c r="Q25" s="62">
        <v>0</v>
      </c>
      <c r="R25" s="36">
        <f t="shared" si="1"/>
        <v>346713.03324999998</v>
      </c>
      <c r="S25" s="36"/>
      <c r="T25" s="36">
        <f>10000</f>
        <v>10000</v>
      </c>
      <c r="U25" s="36">
        <f>98464.26</f>
        <v>98464.26</v>
      </c>
      <c r="V25" s="36"/>
      <c r="W25" s="62">
        <f t="shared" ref="W25:W98" si="27">7709.76</f>
        <v>7709.76</v>
      </c>
      <c r="X25" s="36">
        <f t="shared" si="2"/>
        <v>116174.01999999999</v>
      </c>
      <c r="Y25" s="36">
        <v>230539.01324999999</v>
      </c>
      <c r="Z25" s="36">
        <f>R25-X25</f>
        <v>230539.01324999999</v>
      </c>
      <c r="AA25" s="34"/>
    </row>
    <row r="26" spans="1:27" ht="20.100000000000001" customHeight="1">
      <c r="A26" s="3">
        <v>18</v>
      </c>
      <c r="B26" s="81" t="s">
        <v>84</v>
      </c>
      <c r="C26" s="61" t="s">
        <v>85</v>
      </c>
      <c r="D26" s="66" t="s">
        <v>86</v>
      </c>
      <c r="E26" s="62">
        <f>18281.64</f>
        <v>18281.64</v>
      </c>
      <c r="F26" s="62"/>
      <c r="G26" s="62">
        <f t="shared" si="3"/>
        <v>54844.92</v>
      </c>
      <c r="H26" s="62">
        <f t="shared" si="4"/>
        <v>1371.1229999999998</v>
      </c>
      <c r="I26" s="36"/>
      <c r="J26" s="62">
        <f t="shared" si="19"/>
        <v>9140.82</v>
      </c>
      <c r="K26" s="36">
        <f t="shared" si="6"/>
        <v>63985.74</v>
      </c>
      <c r="L26" s="62">
        <f t="shared" si="7"/>
        <v>18281.64</v>
      </c>
      <c r="M26" s="27"/>
      <c r="N26" s="27">
        <f>60000</f>
        <v>60000</v>
      </c>
      <c r="O26" s="62">
        <f t="shared" si="8"/>
        <v>1828.164</v>
      </c>
      <c r="P26" s="62">
        <v>10000</v>
      </c>
      <c r="Q26" s="62"/>
      <c r="R26" s="36">
        <f t="shared" si="1"/>
        <v>237734.04700000002</v>
      </c>
      <c r="S26" s="36"/>
      <c r="T26" s="36">
        <f>20000</f>
        <v>20000</v>
      </c>
      <c r="U26" s="36">
        <f>111833.33</f>
        <v>111833.33</v>
      </c>
      <c r="V26" s="36"/>
      <c r="W26" s="62">
        <v>3369.51</v>
      </c>
      <c r="X26" s="36">
        <f t="shared" si="2"/>
        <v>135202.84</v>
      </c>
      <c r="Y26" s="36">
        <v>102531.20700000002</v>
      </c>
      <c r="Z26" s="36">
        <f t="shared" si="9"/>
        <v>102531.20700000002</v>
      </c>
      <c r="AA26" s="34"/>
    </row>
    <row r="27" spans="1:27" ht="18.75" customHeight="1">
      <c r="A27" s="3">
        <v>19</v>
      </c>
      <c r="B27" s="81" t="s">
        <v>87</v>
      </c>
      <c r="C27" s="61" t="s">
        <v>88</v>
      </c>
      <c r="D27" s="66" t="s">
        <v>89</v>
      </c>
      <c r="E27" s="62">
        <f>20749</f>
        <v>20749</v>
      </c>
      <c r="F27" s="62"/>
      <c r="G27" s="62">
        <f t="shared" si="3"/>
        <v>62247</v>
      </c>
      <c r="H27" s="62">
        <f t="shared" si="4"/>
        <v>1556.175</v>
      </c>
      <c r="I27" s="36"/>
      <c r="J27" s="62">
        <f t="shared" si="19"/>
        <v>10374.5</v>
      </c>
      <c r="K27" s="36">
        <f t="shared" si="6"/>
        <v>72621.5</v>
      </c>
      <c r="L27" s="62">
        <f t="shared" si="7"/>
        <v>20749</v>
      </c>
      <c r="M27" s="27"/>
      <c r="N27" s="27">
        <f>60000</f>
        <v>60000</v>
      </c>
      <c r="O27" s="62">
        <f t="shared" si="8"/>
        <v>2074.9</v>
      </c>
      <c r="P27" s="62">
        <v>15000</v>
      </c>
      <c r="Q27" s="62"/>
      <c r="R27" s="36">
        <f t="shared" si="1"/>
        <v>265372.07499999995</v>
      </c>
      <c r="S27" s="36"/>
      <c r="T27" s="36">
        <f>20000</f>
        <v>20000</v>
      </c>
      <c r="U27" s="36">
        <f>82500</f>
        <v>82500</v>
      </c>
      <c r="V27" s="36">
        <f>'[2]Jan 2021'!$H$47</f>
        <v>481.92375000000004</v>
      </c>
      <c r="W27" s="62">
        <v>3369.51</v>
      </c>
      <c r="X27" s="36">
        <f t="shared" si="2"/>
        <v>106351.43375</v>
      </c>
      <c r="Y27" s="36">
        <v>159020.64124999996</v>
      </c>
      <c r="Z27" s="36">
        <f t="shared" si="9"/>
        <v>159020.64124999996</v>
      </c>
      <c r="AA27" s="34"/>
    </row>
    <row r="28" spans="1:27" ht="18.75" customHeight="1">
      <c r="A28" s="3">
        <v>20</v>
      </c>
      <c r="B28" s="81" t="s">
        <v>90</v>
      </c>
      <c r="C28" s="33" t="s">
        <v>91</v>
      </c>
      <c r="D28" s="66" t="s">
        <v>92</v>
      </c>
      <c r="E28" s="26">
        <f>17784</f>
        <v>17784</v>
      </c>
      <c r="F28" s="26"/>
      <c r="G28" s="26">
        <f>E28*300%</f>
        <v>53352</v>
      </c>
      <c r="H28" s="26">
        <f>E28*7.5%</f>
        <v>1333.8</v>
      </c>
      <c r="I28" s="26"/>
      <c r="J28" s="26">
        <f t="shared" si="19"/>
        <v>8892</v>
      </c>
      <c r="K28" s="26">
        <f>E28*350%</f>
        <v>62244</v>
      </c>
      <c r="L28" s="26">
        <f>E28*100%</f>
        <v>17784</v>
      </c>
      <c r="M28" s="27">
        <f>100000</f>
        <v>100000</v>
      </c>
      <c r="N28" s="27"/>
      <c r="O28" s="26">
        <f>E28*10%</f>
        <v>1778.4</v>
      </c>
      <c r="P28" s="26">
        <v>10000</v>
      </c>
      <c r="Q28" s="26">
        <f>100000</f>
        <v>100000</v>
      </c>
      <c r="R28" s="36">
        <f t="shared" si="1"/>
        <v>373168.2</v>
      </c>
      <c r="S28" s="36"/>
      <c r="T28" s="26">
        <f>30000</f>
        <v>30000</v>
      </c>
      <c r="U28" s="26"/>
      <c r="V28" s="26">
        <f>'[2]Jan 2021'!$H$55</f>
        <v>444.6</v>
      </c>
      <c r="W28" s="26">
        <v>3369.51</v>
      </c>
      <c r="X28" s="36">
        <f t="shared" si="2"/>
        <v>33814.11</v>
      </c>
      <c r="Y28" s="26">
        <v>339354.09</v>
      </c>
      <c r="Z28" s="26">
        <f>R28-X28</f>
        <v>339354.09</v>
      </c>
      <c r="AA28" s="34"/>
    </row>
    <row r="29" spans="1:27" ht="18.75" customHeight="1">
      <c r="A29" s="3">
        <v>21</v>
      </c>
      <c r="B29" s="81" t="s">
        <v>93</v>
      </c>
      <c r="C29" s="61" t="s">
        <v>94</v>
      </c>
      <c r="D29" s="66" t="s">
        <v>95</v>
      </c>
      <c r="E29" s="67">
        <f>13112.16</f>
        <v>13112.16</v>
      </c>
      <c r="F29" s="62"/>
      <c r="G29" s="62">
        <f t="shared" si="3"/>
        <v>39336.479999999996</v>
      </c>
      <c r="H29" s="62">
        <f t="shared" si="4"/>
        <v>983.41199999999992</v>
      </c>
      <c r="I29" s="62"/>
      <c r="J29" s="62">
        <f t="shared" ref="J29:J30" si="28">E29*50%</f>
        <v>6556.08</v>
      </c>
      <c r="K29" s="36">
        <f t="shared" si="6"/>
        <v>45892.56</v>
      </c>
      <c r="L29" s="62">
        <f t="shared" si="7"/>
        <v>13112.16</v>
      </c>
      <c r="M29" s="27"/>
      <c r="N29" s="27">
        <f>50000</f>
        <v>50000</v>
      </c>
      <c r="O29" s="62">
        <f t="shared" si="8"/>
        <v>1311.2160000000001</v>
      </c>
      <c r="P29" s="62">
        <v>10000</v>
      </c>
      <c r="Q29" s="62"/>
      <c r="R29" s="36">
        <f t="shared" si="1"/>
        <v>180304.068</v>
      </c>
      <c r="S29" s="36"/>
      <c r="T29" s="36"/>
      <c r="U29" s="36"/>
      <c r="V29" s="36"/>
      <c r="W29" s="62">
        <v>1484.37</v>
      </c>
      <c r="X29" s="36">
        <f t="shared" si="2"/>
        <v>1484.37</v>
      </c>
      <c r="Y29" s="36">
        <v>178819.698</v>
      </c>
      <c r="Z29" s="36">
        <f t="shared" si="9"/>
        <v>178819.698</v>
      </c>
      <c r="AA29" s="34"/>
    </row>
    <row r="30" spans="1:27" ht="18.75" customHeight="1">
      <c r="A30" s="3">
        <v>22</v>
      </c>
      <c r="B30" s="81" t="s">
        <v>96</v>
      </c>
      <c r="C30" s="61" t="s">
        <v>97</v>
      </c>
      <c r="D30" s="66" t="s">
        <v>98</v>
      </c>
      <c r="E30" s="26">
        <f>12351.94</f>
        <v>12351.94</v>
      </c>
      <c r="F30" s="26"/>
      <c r="G30" s="26">
        <f t="shared" si="3"/>
        <v>37055.82</v>
      </c>
      <c r="H30" s="26">
        <f t="shared" si="4"/>
        <v>926.39549999999997</v>
      </c>
      <c r="I30" s="26"/>
      <c r="J30" s="26">
        <f t="shared" si="28"/>
        <v>6175.97</v>
      </c>
      <c r="K30" s="26">
        <f t="shared" si="6"/>
        <v>43231.79</v>
      </c>
      <c r="L30" s="26">
        <f t="shared" si="7"/>
        <v>12351.94</v>
      </c>
      <c r="M30" s="27"/>
      <c r="N30" s="27">
        <f>50000</f>
        <v>50000</v>
      </c>
      <c r="O30" s="26">
        <f t="shared" si="8"/>
        <v>1235.1940000000002</v>
      </c>
      <c r="P30" s="26">
        <v>10000</v>
      </c>
      <c r="Q30" s="26"/>
      <c r="R30" s="36">
        <f t="shared" si="1"/>
        <v>173329.04949999999</v>
      </c>
      <c r="S30" s="36"/>
      <c r="T30" s="26"/>
      <c r="U30" s="26"/>
      <c r="V30" s="26"/>
      <c r="W30" s="27">
        <f t="shared" ref="W30:W31" si="29">1484.37</f>
        <v>1484.37</v>
      </c>
      <c r="X30" s="36">
        <f t="shared" si="2"/>
        <v>1484.37</v>
      </c>
      <c r="Y30" s="26">
        <v>171844.6795</v>
      </c>
      <c r="Z30" s="26">
        <f t="shared" si="9"/>
        <v>171844.6795</v>
      </c>
      <c r="AA30" s="34"/>
    </row>
    <row r="31" spans="1:27" ht="18.75" customHeight="1">
      <c r="A31" s="3">
        <v>23</v>
      </c>
      <c r="B31" s="81" t="s">
        <v>99</v>
      </c>
      <c r="C31" s="61" t="s">
        <v>97</v>
      </c>
      <c r="D31" s="66" t="s">
        <v>100</v>
      </c>
      <c r="E31" s="26">
        <f>17286.33</f>
        <v>17286.330000000002</v>
      </c>
      <c r="F31" s="26"/>
      <c r="G31" s="26">
        <f t="shared" ref="G31" si="30">E31*300%</f>
        <v>51858.990000000005</v>
      </c>
      <c r="H31" s="26">
        <f t="shared" ref="H31" si="31">E31*7.5%</f>
        <v>1296.4747500000001</v>
      </c>
      <c r="I31" s="26"/>
      <c r="J31" s="26">
        <f t="shared" ref="J31" si="32">E31*50%</f>
        <v>8643.1650000000009</v>
      </c>
      <c r="K31" s="26">
        <f t="shared" ref="K31" si="33">E31*350%</f>
        <v>60502.155000000006</v>
      </c>
      <c r="L31" s="26">
        <f t="shared" ref="L31" si="34">E31*100%</f>
        <v>17286.330000000002</v>
      </c>
      <c r="M31" s="27"/>
      <c r="N31" s="27">
        <f>60000</f>
        <v>60000</v>
      </c>
      <c r="O31" s="26">
        <f t="shared" ref="O31" si="35">E31*10%</f>
        <v>1728.6330000000003</v>
      </c>
      <c r="P31" s="26">
        <v>10000</v>
      </c>
      <c r="Q31" s="26"/>
      <c r="R31" s="36">
        <f t="shared" si="1"/>
        <v>228602.07775000005</v>
      </c>
      <c r="S31" s="36"/>
      <c r="T31" s="26">
        <f>10000</f>
        <v>10000</v>
      </c>
      <c r="U31" s="26">
        <f>34333.33</f>
        <v>34333.33</v>
      </c>
      <c r="V31" s="26"/>
      <c r="W31" s="27">
        <f t="shared" si="29"/>
        <v>1484.37</v>
      </c>
      <c r="X31" s="36">
        <f t="shared" si="2"/>
        <v>45817.700000000004</v>
      </c>
      <c r="Y31" s="26">
        <v>182784.37775000004</v>
      </c>
      <c r="Z31" s="26">
        <f t="shared" ref="Z31" si="36">R31-X31</f>
        <v>182784.37775000004</v>
      </c>
      <c r="AA31" s="34"/>
    </row>
    <row r="32" spans="1:27" ht="18.75" customHeight="1">
      <c r="A32" s="3">
        <v>24</v>
      </c>
      <c r="B32" s="81" t="s">
        <v>101</v>
      </c>
      <c r="C32" s="33" t="s">
        <v>102</v>
      </c>
      <c r="D32" s="66" t="s">
        <v>103</v>
      </c>
      <c r="E32" s="62">
        <f>23891.12</f>
        <v>23891.119999999999</v>
      </c>
      <c r="F32" s="62"/>
      <c r="G32" s="62">
        <f>E32*300%</f>
        <v>71673.36</v>
      </c>
      <c r="H32" s="62">
        <f>E32*7.5%</f>
        <v>1791.8339999999998</v>
      </c>
      <c r="I32" s="62">
        <v>0</v>
      </c>
      <c r="J32" s="62">
        <f>E32*50%</f>
        <v>11945.56</v>
      </c>
      <c r="K32" s="36">
        <f>E32*350%</f>
        <v>83618.92</v>
      </c>
      <c r="L32" s="62">
        <f>E32*100%</f>
        <v>23891.119999999999</v>
      </c>
      <c r="M32" s="27"/>
      <c r="N32" s="27">
        <f>70000</f>
        <v>70000</v>
      </c>
      <c r="O32" s="62">
        <f>E32*10%</f>
        <v>2389.1120000000001</v>
      </c>
      <c r="P32" s="62">
        <v>15000</v>
      </c>
      <c r="Q32" s="62">
        <v>0</v>
      </c>
      <c r="R32" s="36">
        <f t="shared" si="1"/>
        <v>304201.02600000001</v>
      </c>
      <c r="S32" s="36"/>
      <c r="T32" s="36">
        <v>20000</v>
      </c>
      <c r="U32" s="36">
        <f>68750</f>
        <v>68750</v>
      </c>
      <c r="V32" s="36">
        <f>'[2]Jan 2021'!$H$39</f>
        <v>597.27800000000002</v>
      </c>
      <c r="W32" s="62">
        <f>7709.76</f>
        <v>7709.76</v>
      </c>
      <c r="X32" s="36">
        <f t="shared" si="2"/>
        <v>97057.038</v>
      </c>
      <c r="Y32" s="36">
        <v>207143.98800000001</v>
      </c>
      <c r="Z32" s="36">
        <f>R32-X32</f>
        <v>207143.98800000001</v>
      </c>
      <c r="AA32" s="34"/>
    </row>
    <row r="33" spans="1:27" ht="18.75" customHeight="1">
      <c r="A33" s="3">
        <v>25</v>
      </c>
      <c r="B33" s="81" t="s">
        <v>104</v>
      </c>
      <c r="C33" s="33" t="s">
        <v>105</v>
      </c>
      <c r="D33" s="66" t="s">
        <v>86</v>
      </c>
      <c r="E33" s="62">
        <f>18281.64</f>
        <v>18281.64</v>
      </c>
      <c r="F33" s="62"/>
      <c r="G33" s="62">
        <f>E33*300%</f>
        <v>54844.92</v>
      </c>
      <c r="H33" s="62">
        <f>E33*7.5%</f>
        <v>1371.1229999999998</v>
      </c>
      <c r="I33" s="62"/>
      <c r="J33" s="62">
        <f>E33*50%</f>
        <v>9140.82</v>
      </c>
      <c r="K33" s="36">
        <f>E33*350%</f>
        <v>63985.74</v>
      </c>
      <c r="L33" s="62">
        <f>E33*100%</f>
        <v>18281.64</v>
      </c>
      <c r="M33" s="27"/>
      <c r="N33" s="27">
        <f>60000</f>
        <v>60000</v>
      </c>
      <c r="O33" s="62">
        <f>E33*10%</f>
        <v>1828.164</v>
      </c>
      <c r="P33" s="62">
        <v>10000</v>
      </c>
      <c r="Q33" s="62"/>
      <c r="R33" s="36">
        <f t="shared" si="1"/>
        <v>237734.04700000002</v>
      </c>
      <c r="S33" s="36"/>
      <c r="T33" s="36">
        <f>20000</f>
        <v>20000</v>
      </c>
      <c r="U33" s="36">
        <f>87500+43750</f>
        <v>131250</v>
      </c>
      <c r="V33" s="36"/>
      <c r="W33" s="62">
        <v>3369.51</v>
      </c>
      <c r="X33" s="36">
        <f t="shared" si="2"/>
        <v>154619.51</v>
      </c>
      <c r="Y33" s="36">
        <v>83114.537000000011</v>
      </c>
      <c r="Z33" s="36">
        <f>R33-X33</f>
        <v>83114.537000000011</v>
      </c>
      <c r="AA33" s="34"/>
    </row>
    <row r="34" spans="1:27" ht="18.75" customHeight="1">
      <c r="A34" s="3">
        <v>26</v>
      </c>
      <c r="B34" s="81" t="s">
        <v>106</v>
      </c>
      <c r="C34" s="33" t="s">
        <v>107</v>
      </c>
      <c r="D34" s="66" t="s">
        <v>92</v>
      </c>
      <c r="E34" s="26">
        <f>17784</f>
        <v>17784</v>
      </c>
      <c r="F34" s="26"/>
      <c r="G34" s="26">
        <f>E34*300%</f>
        <v>53352</v>
      </c>
      <c r="H34" s="26">
        <f>E34*7.5%</f>
        <v>1333.8</v>
      </c>
      <c r="I34" s="26"/>
      <c r="J34" s="26">
        <f>E34*50%</f>
        <v>8892</v>
      </c>
      <c r="K34" s="26">
        <f>E34*350%</f>
        <v>62244</v>
      </c>
      <c r="L34" s="26">
        <f>E34*100%</f>
        <v>17784</v>
      </c>
      <c r="M34" s="27"/>
      <c r="N34" s="27">
        <v>60000</v>
      </c>
      <c r="O34" s="26">
        <f>E34*10%</f>
        <v>1778.4</v>
      </c>
      <c r="P34" s="26">
        <v>10000</v>
      </c>
      <c r="Q34" s="26"/>
      <c r="R34" s="36">
        <f t="shared" si="1"/>
        <v>233168.19999999998</v>
      </c>
      <c r="S34" s="36"/>
      <c r="T34" s="36">
        <f>30000</f>
        <v>30000</v>
      </c>
      <c r="U34" s="36"/>
      <c r="V34" s="36">
        <f>0</f>
        <v>0</v>
      </c>
      <c r="W34" s="62">
        <v>3369.51</v>
      </c>
      <c r="X34" s="36">
        <f t="shared" si="2"/>
        <v>33369.51</v>
      </c>
      <c r="Y34" s="36">
        <v>199798.68999999997</v>
      </c>
      <c r="Z34" s="36">
        <f>R34-X34</f>
        <v>199798.68999999997</v>
      </c>
      <c r="AA34" s="34"/>
    </row>
    <row r="35" spans="1:27" ht="18.75" customHeight="1">
      <c r="A35" s="3">
        <v>27</v>
      </c>
      <c r="B35" s="81" t="s">
        <v>108</v>
      </c>
      <c r="C35" s="61" t="s">
        <v>109</v>
      </c>
      <c r="D35" s="66" t="s">
        <v>110</v>
      </c>
      <c r="E35" s="67">
        <f>13112.16</f>
        <v>13112.16</v>
      </c>
      <c r="F35" s="62"/>
      <c r="G35" s="62">
        <f t="shared" ref="G35:G36" si="37">E35*300%</f>
        <v>39336.479999999996</v>
      </c>
      <c r="H35" s="62">
        <f t="shared" ref="H35:H36" si="38">E35*7.5%</f>
        <v>983.41199999999992</v>
      </c>
      <c r="I35" s="62"/>
      <c r="J35" s="62">
        <f t="shared" ref="J35:J36" si="39">E35*50%</f>
        <v>6556.08</v>
      </c>
      <c r="K35" s="36">
        <f t="shared" ref="K35:K36" si="40">E35*350%</f>
        <v>45892.56</v>
      </c>
      <c r="L35" s="62">
        <f t="shared" ref="L35" si="41">E35*100%</f>
        <v>13112.16</v>
      </c>
      <c r="M35" s="27"/>
      <c r="N35" s="27">
        <f>50000</f>
        <v>50000</v>
      </c>
      <c r="O35" s="62">
        <f t="shared" ref="O35" si="42">E35*10%</f>
        <v>1311.2160000000001</v>
      </c>
      <c r="P35" s="62">
        <v>10000</v>
      </c>
      <c r="Q35" s="62"/>
      <c r="R35" s="36">
        <f t="shared" ref="R35:R36" si="43">SUM(E35:Q35)</f>
        <v>180304.068</v>
      </c>
      <c r="S35" s="36"/>
      <c r="T35" s="36">
        <f>10000</f>
        <v>10000</v>
      </c>
      <c r="U35" s="36"/>
      <c r="V35" s="36"/>
      <c r="W35" s="62">
        <v>1484.37</v>
      </c>
      <c r="X35" s="36">
        <f t="shared" si="2"/>
        <v>11484.369999999999</v>
      </c>
      <c r="Y35" s="36">
        <v>168819.698</v>
      </c>
      <c r="Z35" s="36">
        <f t="shared" ref="Z35:Z36" si="44">R35-X35</f>
        <v>168819.698</v>
      </c>
      <c r="AA35" s="34"/>
    </row>
    <row r="36" spans="1:27" ht="18.75" customHeight="1">
      <c r="A36" s="3">
        <v>28</v>
      </c>
      <c r="B36" s="81" t="s">
        <v>111</v>
      </c>
      <c r="C36" s="61" t="s">
        <v>109</v>
      </c>
      <c r="D36" s="66" t="s">
        <v>112</v>
      </c>
      <c r="E36" s="67">
        <f>12732</f>
        <v>12732</v>
      </c>
      <c r="F36" s="62"/>
      <c r="G36" s="62">
        <f t="shared" si="37"/>
        <v>38196</v>
      </c>
      <c r="H36" s="62">
        <f t="shared" si="38"/>
        <v>954.9</v>
      </c>
      <c r="I36" s="62"/>
      <c r="J36" s="62">
        <f t="shared" si="39"/>
        <v>6366</v>
      </c>
      <c r="K36" s="36">
        <f t="shared" si="40"/>
        <v>44562</v>
      </c>
      <c r="L36" s="62">
        <f>E36*100%</f>
        <v>12732</v>
      </c>
      <c r="M36" s="27"/>
      <c r="N36" s="27">
        <f>50000</f>
        <v>50000</v>
      </c>
      <c r="O36" s="62">
        <f>E36*10%</f>
        <v>1273.2</v>
      </c>
      <c r="P36" s="62">
        <v>10000</v>
      </c>
      <c r="R36" s="62">
        <f t="shared" si="43"/>
        <v>176816.1</v>
      </c>
      <c r="S36" s="62"/>
      <c r="T36" s="36">
        <f>20000</f>
        <v>20000</v>
      </c>
      <c r="U36" s="36">
        <f>10000</f>
        <v>10000</v>
      </c>
      <c r="V36" s="36"/>
      <c r="W36" s="62">
        <f>(1484.37)</f>
        <v>1484.37</v>
      </c>
      <c r="X36" s="36">
        <f t="shared" si="2"/>
        <v>31484.37</v>
      </c>
      <c r="Y36" s="36">
        <v>145331.73000000001</v>
      </c>
      <c r="Z36" s="36">
        <f t="shared" si="44"/>
        <v>145331.73000000001</v>
      </c>
      <c r="AA36" s="34"/>
    </row>
    <row r="37" spans="1:27" ht="18.75" customHeight="1">
      <c r="A37" s="3">
        <v>29</v>
      </c>
      <c r="B37" s="159" t="s">
        <v>113</v>
      </c>
      <c r="C37" s="47" t="s">
        <v>114</v>
      </c>
      <c r="D37" s="66" t="s">
        <v>115</v>
      </c>
      <c r="E37" s="26">
        <f>12732</f>
        <v>12732</v>
      </c>
      <c r="F37" s="26"/>
      <c r="G37" s="26">
        <f>E37*300%</f>
        <v>38196</v>
      </c>
      <c r="H37" s="26">
        <f>E37*7.5%</f>
        <v>954.9</v>
      </c>
      <c r="I37" s="26"/>
      <c r="J37" s="26">
        <f>E37*50%</f>
        <v>6366</v>
      </c>
      <c r="K37" s="26">
        <f>E37*350%</f>
        <v>44562</v>
      </c>
      <c r="L37" s="26">
        <f>E37*100%</f>
        <v>12732</v>
      </c>
      <c r="M37" s="27"/>
      <c r="N37" s="27">
        <f>50000</f>
        <v>50000</v>
      </c>
      <c r="O37" s="26">
        <f>E37*10%</f>
        <v>1273.2</v>
      </c>
      <c r="P37" s="26">
        <v>10000</v>
      </c>
      <c r="Q37" s="26"/>
      <c r="R37" s="36">
        <f t="shared" si="1"/>
        <v>176816.09999999998</v>
      </c>
      <c r="S37" s="36"/>
      <c r="T37" s="36">
        <f>50000</f>
        <v>50000</v>
      </c>
      <c r="U37" s="36">
        <f>17166.67</f>
        <v>17166.669999999998</v>
      </c>
      <c r="V37" s="36">
        <f>0</f>
        <v>0</v>
      </c>
      <c r="W37" s="27">
        <f t="shared" ref="W37:W38" si="45">1484.37</f>
        <v>1484.37</v>
      </c>
      <c r="X37" s="36">
        <f t="shared" si="2"/>
        <v>68651.039999999994</v>
      </c>
      <c r="Y37" s="36">
        <v>108165.05999999998</v>
      </c>
      <c r="Z37" s="36">
        <f>R37-X37</f>
        <v>108165.05999999998</v>
      </c>
      <c r="AA37" s="34"/>
    </row>
    <row r="38" spans="1:27" ht="18.75" customHeight="1">
      <c r="A38" s="3">
        <v>30</v>
      </c>
      <c r="B38" s="159" t="s">
        <v>116</v>
      </c>
      <c r="C38" s="47" t="s">
        <v>117</v>
      </c>
      <c r="D38" s="66" t="s">
        <v>98</v>
      </c>
      <c r="E38" s="26">
        <f>12351.94</f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6">Q38+P38+O38+N38+M38+L38+K38+J38+I38+H38+G38+F38+E38</f>
        <v>173329.04949999999</v>
      </c>
      <c r="S38" s="36"/>
      <c r="T38" s="36">
        <f>50000</f>
        <v>50000</v>
      </c>
      <c r="U38" s="36"/>
      <c r="V38" s="36">
        <f>0</f>
        <v>0</v>
      </c>
      <c r="W38" s="27">
        <f t="shared" si="45"/>
        <v>1484.37</v>
      </c>
      <c r="X38" s="36">
        <f t="shared" ref="X38" si="47">W38+V38+U38+T38+S38</f>
        <v>51484.37</v>
      </c>
      <c r="Y38" s="36">
        <v>121844.6795</v>
      </c>
      <c r="Z38" s="36">
        <f>R38-X38</f>
        <v>121844.6795</v>
      </c>
      <c r="AA38" s="34"/>
    </row>
    <row r="39" spans="1:27" ht="18.75" customHeight="1">
      <c r="A39" s="3"/>
      <c r="B39" s="223" t="s">
        <v>34</v>
      </c>
      <c r="C39" s="7">
        <v>30</v>
      </c>
      <c r="D39" s="66"/>
      <c r="E39" s="68">
        <f t="shared" ref="E39:R39" si="48">SUM(E9:E38)</f>
        <v>928174.73999999987</v>
      </c>
      <c r="F39" s="68">
        <f t="shared" si="48"/>
        <v>0</v>
      </c>
      <c r="G39" s="68">
        <f t="shared" si="48"/>
        <v>2624035.4699999997</v>
      </c>
      <c r="H39" s="68">
        <f t="shared" si="48"/>
        <v>105723.07924999997</v>
      </c>
      <c r="I39" s="68">
        <f t="shared" si="48"/>
        <v>561710.66</v>
      </c>
      <c r="J39" s="68">
        <f t="shared" si="48"/>
        <v>456062.93499999994</v>
      </c>
      <c r="K39" s="68">
        <f t="shared" si="48"/>
        <v>2686900.9650000003</v>
      </c>
      <c r="L39" s="68">
        <f t="shared" si="48"/>
        <v>888052.55999999994</v>
      </c>
      <c r="M39" s="158">
        <f t="shared" si="48"/>
        <v>1170000</v>
      </c>
      <c r="N39" s="158">
        <f t="shared" si="48"/>
        <v>1530000</v>
      </c>
      <c r="O39" s="68">
        <f t="shared" si="48"/>
        <v>92817.478999999992</v>
      </c>
      <c r="P39" s="68">
        <f t="shared" si="48"/>
        <v>470000</v>
      </c>
      <c r="Q39" s="68">
        <f t="shared" si="48"/>
        <v>875235</v>
      </c>
      <c r="R39" s="68">
        <f t="shared" si="48"/>
        <v>12388712.888249997</v>
      </c>
      <c r="S39" s="68"/>
      <c r="T39" s="68">
        <f t="shared" ref="T39:Z39" si="49">SUM(T9:T38)</f>
        <v>785000</v>
      </c>
      <c r="U39" s="68">
        <f t="shared" si="49"/>
        <v>1447690.1</v>
      </c>
      <c r="V39" s="68">
        <f t="shared" si="49"/>
        <v>8536.9860000000008</v>
      </c>
      <c r="W39" s="68">
        <f t="shared" si="49"/>
        <v>411374.07000000012</v>
      </c>
      <c r="X39" s="68">
        <f t="shared" si="49"/>
        <v>2652601.1560000004</v>
      </c>
      <c r="Y39" s="68">
        <v>9736111.7322500013</v>
      </c>
      <c r="Z39" s="68">
        <f t="shared" si="49"/>
        <v>9736111.7322500013</v>
      </c>
      <c r="AA39" s="34"/>
    </row>
    <row r="40" spans="1:27" ht="18.75" customHeight="1">
      <c r="A40" s="3"/>
      <c r="B40" s="97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223" t="s">
        <v>118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81" t="s">
        <v>119</v>
      </c>
      <c r="C42" s="33" t="s">
        <v>120</v>
      </c>
      <c r="D42" s="3" t="s">
        <v>121</v>
      </c>
      <c r="E42" s="62">
        <f>76339.3</f>
        <v>76339.3</v>
      </c>
      <c r="F42" s="62"/>
      <c r="G42" s="62">
        <f>E42*300%</f>
        <v>229017.90000000002</v>
      </c>
      <c r="H42" s="62">
        <f>E42*7.5%</f>
        <v>5725.4475000000002</v>
      </c>
      <c r="I42" s="62">
        <v>80244.38</v>
      </c>
      <c r="J42" s="62">
        <f>E42*50%</f>
        <v>38169.65</v>
      </c>
      <c r="K42" s="62">
        <f>E42*350%</f>
        <v>267187.55</v>
      </c>
      <c r="L42" s="62">
        <f t="shared" ref="L42" si="50">E42*100%</f>
        <v>76339.3</v>
      </c>
      <c r="M42" s="27"/>
      <c r="N42" s="27">
        <f>100000</f>
        <v>100000</v>
      </c>
      <c r="O42" s="62">
        <f t="shared" ref="O42" si="51">E42*10%</f>
        <v>7633.93</v>
      </c>
      <c r="P42" s="62">
        <v>20000</v>
      </c>
      <c r="Q42" s="62"/>
      <c r="R42" s="36">
        <f>SUM(E42:Q42)</f>
        <v>900657.45750000014</v>
      </c>
      <c r="S42" s="36"/>
      <c r="T42" s="36"/>
      <c r="U42" s="36"/>
      <c r="V42" s="36"/>
      <c r="W42" s="62">
        <f>(52776.63)</f>
        <v>52776.63</v>
      </c>
      <c r="X42" s="36">
        <f>W42+V42+U42+T42+S42</f>
        <v>52776.63</v>
      </c>
      <c r="Y42" s="36">
        <v>847880.82750000013</v>
      </c>
      <c r="Z42" s="36">
        <f t="shared" ref="Z42" si="52">R42-X42</f>
        <v>847880.82750000013</v>
      </c>
    </row>
    <row r="43" spans="1:27" ht="19.5" customHeight="1">
      <c r="A43" s="3"/>
      <c r="B43" s="33"/>
      <c r="C43" s="7">
        <v>1</v>
      </c>
      <c r="D43" s="3"/>
      <c r="E43" s="68">
        <f t="shared" ref="E43:L43" si="53">SUM(E42:E42)</f>
        <v>76339.3</v>
      </c>
      <c r="F43" s="68">
        <f t="shared" si="53"/>
        <v>0</v>
      </c>
      <c r="G43" s="68">
        <f t="shared" si="53"/>
        <v>229017.90000000002</v>
      </c>
      <c r="H43" s="68">
        <f t="shared" si="53"/>
        <v>5725.4475000000002</v>
      </c>
      <c r="I43" s="68">
        <f t="shared" si="53"/>
        <v>80244.38</v>
      </c>
      <c r="J43" s="68">
        <f t="shared" si="53"/>
        <v>38169.65</v>
      </c>
      <c r="K43" s="68">
        <f t="shared" si="53"/>
        <v>267187.55</v>
      </c>
      <c r="L43" s="68">
        <f t="shared" si="53"/>
        <v>76339.3</v>
      </c>
      <c r="M43" s="158"/>
      <c r="N43" s="158">
        <f>SUM(N42:N42)</f>
        <v>100000</v>
      </c>
      <c r="O43" s="68">
        <f>SUM(O42:O42)</f>
        <v>7633.93</v>
      </c>
      <c r="P43" s="68">
        <f>SUM(P42:P42)</f>
        <v>20000</v>
      </c>
      <c r="Q43" s="68">
        <f>SUM(Q42:Q42)</f>
        <v>0</v>
      </c>
      <c r="R43" s="68">
        <f>SUM(R42:R42)</f>
        <v>900657.45750000014</v>
      </c>
      <c r="S43" s="68"/>
      <c r="T43" s="68">
        <f>SUM(T42:T42)</f>
        <v>0</v>
      </c>
      <c r="U43" s="68">
        <f>SUM(U42:U42)</f>
        <v>0</v>
      </c>
      <c r="V43" s="68">
        <f>SUM(V42:V42)</f>
        <v>0</v>
      </c>
      <c r="W43" s="68">
        <f>SUM(W42:W42)</f>
        <v>52776.63</v>
      </c>
      <c r="X43" s="68">
        <f>SUM(X42:X42)</f>
        <v>52776.63</v>
      </c>
      <c r="Y43" s="68">
        <v>847880.82750000013</v>
      </c>
      <c r="Z43" s="68">
        <f>SUM(Z42:Z42)</f>
        <v>847880.82750000013</v>
      </c>
    </row>
    <row r="44" spans="1:27" ht="20.100000000000001" customHeight="1">
      <c r="A44" s="3"/>
      <c r="B44" s="219"/>
      <c r="C44" s="33"/>
      <c r="D44" s="3"/>
      <c r="E44" s="68"/>
      <c r="F44" s="68"/>
      <c r="G44" s="68"/>
      <c r="H44" s="68"/>
      <c r="I44" s="68"/>
      <c r="J44" s="68"/>
      <c r="K44" s="68"/>
      <c r="L44" s="68"/>
      <c r="M44" s="27"/>
      <c r="N44" s="27"/>
      <c r="O44" s="68"/>
      <c r="P44" s="68"/>
      <c r="Q44" s="68"/>
      <c r="R44" s="68"/>
      <c r="S44" s="68"/>
      <c r="T44" s="68"/>
      <c r="U44" s="68"/>
      <c r="V44" s="68"/>
      <c r="W44" s="68"/>
      <c r="X44" s="36"/>
      <c r="Y44" s="36"/>
      <c r="Z44" s="36"/>
    </row>
    <row r="45" spans="1:27" ht="20.100000000000001" customHeight="1">
      <c r="A45" s="3"/>
      <c r="B45" s="218" t="s">
        <v>122</v>
      </c>
      <c r="C45" s="50"/>
      <c r="D45" s="2"/>
      <c r="E45" s="68"/>
      <c r="F45" s="68"/>
      <c r="G45" s="68"/>
      <c r="H45" s="36"/>
      <c r="I45" s="36"/>
      <c r="J45" s="36"/>
      <c r="K45" s="36"/>
      <c r="L45" s="36"/>
      <c r="M45" s="27"/>
      <c r="N45" s="27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7" ht="20.100000000000001" customHeight="1">
      <c r="A46" s="3">
        <v>1</v>
      </c>
      <c r="B46" s="81" t="s">
        <v>123</v>
      </c>
      <c r="C46" s="33" t="s">
        <v>124</v>
      </c>
      <c r="D46" s="3" t="s">
        <v>43</v>
      </c>
      <c r="E46" s="62">
        <f>81740.02</f>
        <v>81740.02</v>
      </c>
      <c r="F46" s="62"/>
      <c r="G46" s="62">
        <f>E46*300%</f>
        <v>245220.06</v>
      </c>
      <c r="H46" s="62">
        <f>E46*7.5%</f>
        <v>6130.5015000000003</v>
      </c>
      <c r="I46" s="62">
        <v>80244.38</v>
      </c>
      <c r="J46" s="62">
        <f>E46*50%</f>
        <v>40870.01</v>
      </c>
      <c r="K46" s="62">
        <f>E46*350%</f>
        <v>286090.07</v>
      </c>
      <c r="L46" s="62">
        <f t="shared" ref="L46:L55" si="54">E46*100%</f>
        <v>81740.02</v>
      </c>
      <c r="M46" s="27">
        <f>200000</f>
        <v>200000</v>
      </c>
      <c r="N46" s="27"/>
      <c r="O46" s="62">
        <f t="shared" ref="O46:O55" si="55">E46*10%</f>
        <v>8174.0020000000004</v>
      </c>
      <c r="P46" s="62">
        <v>20000</v>
      </c>
      <c r="Q46" s="62"/>
      <c r="R46" s="36">
        <f t="shared" ref="R46:R55" si="56">SUM(E46:Q46)</f>
        <v>1050209.0635000002</v>
      </c>
      <c r="S46" s="36"/>
      <c r="T46" s="36">
        <f>200000</f>
        <v>200000</v>
      </c>
      <c r="U46" s="36">
        <f>52500*2</f>
        <v>105000</v>
      </c>
      <c r="V46" s="36"/>
      <c r="W46" s="62">
        <f>52776.63</f>
        <v>52776.63</v>
      </c>
      <c r="X46" s="36">
        <f>W46+V46+U46+T46+S46</f>
        <v>357776.63</v>
      </c>
      <c r="Y46" s="36">
        <v>744932.43350000016</v>
      </c>
      <c r="Z46" s="36">
        <f t="shared" ref="Z46:Z55" si="57">R46-X46</f>
        <v>692432.43350000016</v>
      </c>
    </row>
    <row r="47" spans="1:27" ht="20.100000000000001" customHeight="1">
      <c r="A47" s="3">
        <v>2</v>
      </c>
      <c r="B47" s="81" t="s">
        <v>125</v>
      </c>
      <c r="C47" s="33" t="s">
        <v>126</v>
      </c>
      <c r="D47" s="3" t="s">
        <v>57</v>
      </c>
      <c r="E47" s="62">
        <f>33507.5</f>
        <v>33507.5</v>
      </c>
      <c r="F47" s="62"/>
      <c r="G47" s="62">
        <f>E47*300%</f>
        <v>100522.5</v>
      </c>
      <c r="H47" s="62">
        <f>E47*7.5%</f>
        <v>2513.0625</v>
      </c>
      <c r="I47" s="62">
        <v>40122.19</v>
      </c>
      <c r="J47" s="62">
        <f>E47*50%</f>
        <v>16753.75</v>
      </c>
      <c r="K47" s="62">
        <f>E47*350%</f>
        <v>117276.25</v>
      </c>
      <c r="L47" s="62">
        <f>E47*100%</f>
        <v>33507.5</v>
      </c>
      <c r="M47" s="27">
        <f>160000</f>
        <v>160000</v>
      </c>
      <c r="N47" s="27"/>
      <c r="O47" s="62">
        <f>E47*10%</f>
        <v>3350.75</v>
      </c>
      <c r="P47" s="62">
        <v>20000</v>
      </c>
      <c r="Q47" s="62">
        <v>0</v>
      </c>
      <c r="R47" s="36">
        <f>SUM(E47:Q47)</f>
        <v>527553.50249999994</v>
      </c>
      <c r="S47" s="36"/>
      <c r="T47" s="36">
        <v>50000</v>
      </c>
      <c r="U47" s="36">
        <f>0</f>
        <v>0</v>
      </c>
      <c r="V47" s="36"/>
      <c r="W47" s="62">
        <v>15548.33</v>
      </c>
      <c r="X47" s="36">
        <f t="shared" ref="X47:X55" si="58">W47+V47+U47+T47+S47</f>
        <v>65548.33</v>
      </c>
      <c r="Y47" s="36">
        <v>462005.17249999993</v>
      </c>
      <c r="Z47" s="36">
        <f>R47-X47</f>
        <v>462005.17249999993</v>
      </c>
    </row>
    <row r="48" spans="1:27" ht="20.100000000000001" customHeight="1">
      <c r="A48" s="3">
        <v>3</v>
      </c>
      <c r="B48" s="81" t="s">
        <v>127</v>
      </c>
      <c r="C48" s="33" t="s">
        <v>128</v>
      </c>
      <c r="D48" s="3" t="s">
        <v>57</v>
      </c>
      <c r="E48" s="62">
        <f>33507.5</f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/>
      <c r="R48" s="36">
        <f>SUM(E48:Q48)</f>
        <v>527553.50249999994</v>
      </c>
      <c r="S48" s="36"/>
      <c r="T48" s="36">
        <f>80000+23000</f>
        <v>103000</v>
      </c>
      <c r="U48" s="36">
        <f>246905.96</f>
        <v>246905.96</v>
      </c>
      <c r="V48" s="36"/>
      <c r="W48" s="62">
        <v>15548.33</v>
      </c>
      <c r="X48" s="36">
        <f t="shared" si="58"/>
        <v>365454.29</v>
      </c>
      <c r="Y48" s="36">
        <v>162099.21249999997</v>
      </c>
      <c r="Z48" s="36">
        <f>R48-X48</f>
        <v>162099.21249999997</v>
      </c>
    </row>
    <row r="49" spans="1:26" ht="20.100000000000001" customHeight="1">
      <c r="A49" s="3">
        <v>4</v>
      </c>
      <c r="B49" s="81" t="s">
        <v>129</v>
      </c>
      <c r="C49" s="33" t="s">
        <v>128</v>
      </c>
      <c r="D49" s="3" t="s">
        <v>130</v>
      </c>
      <c r="E49" s="62">
        <f>31018.84</f>
        <v>31018.84</v>
      </c>
      <c r="F49" s="62"/>
      <c r="G49" s="62">
        <f>E49*300%</f>
        <v>93056.52</v>
      </c>
      <c r="H49" s="62">
        <f>E49*7.5%</f>
        <v>2326.413</v>
      </c>
      <c r="I49" s="62">
        <v>40122.19</v>
      </c>
      <c r="J49" s="62">
        <f>E49*50%</f>
        <v>15509.42</v>
      </c>
      <c r="K49" s="62">
        <f>E49*350%</f>
        <v>108565.94</v>
      </c>
      <c r="L49" s="62">
        <f>E49*100%</f>
        <v>31018.84</v>
      </c>
      <c r="M49" s="27">
        <f>160000</f>
        <v>160000</v>
      </c>
      <c r="N49" s="27"/>
      <c r="O49" s="62">
        <f>E49*10%</f>
        <v>3101.884</v>
      </c>
      <c r="P49" s="62">
        <v>20000</v>
      </c>
      <c r="Q49" s="62"/>
      <c r="R49" s="36">
        <f>SUM(E49:Q49)</f>
        <v>504720.04700000002</v>
      </c>
      <c r="S49" s="36"/>
      <c r="T49" s="36">
        <f>30000</f>
        <v>30000</v>
      </c>
      <c r="U49" s="36">
        <f>176288.88</f>
        <v>176288.88</v>
      </c>
      <c r="V49" s="36"/>
      <c r="W49" s="62">
        <f>15548.33</f>
        <v>15548.33</v>
      </c>
      <c r="X49" s="36">
        <f t="shared" si="58"/>
        <v>221837.21</v>
      </c>
      <c r="Y49" s="36">
        <v>282882.83700000006</v>
      </c>
      <c r="Z49" s="36">
        <f>R49-X49</f>
        <v>282882.83700000006</v>
      </c>
    </row>
    <row r="50" spans="1:26" ht="20.100000000000001" customHeight="1">
      <c r="A50" s="3">
        <v>5</v>
      </c>
      <c r="B50" s="81" t="s">
        <v>131</v>
      </c>
      <c r="C50" s="33" t="s">
        <v>132</v>
      </c>
      <c r="D50" s="3" t="s">
        <v>133</v>
      </c>
      <c r="E50" s="62">
        <f>28489.81</f>
        <v>28489.81</v>
      </c>
      <c r="F50" s="62"/>
      <c r="G50" s="62">
        <f t="shared" ref="G50:G55" si="59">E50*300%</f>
        <v>85469.430000000008</v>
      </c>
      <c r="H50" s="62">
        <f t="shared" ref="H50:H55" si="60">E50*7.5%</f>
        <v>2136.7357499999998</v>
      </c>
      <c r="I50" s="62">
        <v>0</v>
      </c>
      <c r="J50" s="62">
        <f t="shared" ref="J50:J55" si="61">E50*50%</f>
        <v>14244.905000000001</v>
      </c>
      <c r="K50" s="62">
        <f t="shared" ref="K50:K55" si="62">E50*350%</f>
        <v>99714.335000000006</v>
      </c>
      <c r="L50" s="62">
        <f t="shared" si="54"/>
        <v>28489.81</v>
      </c>
      <c r="M50" s="27">
        <f t="shared" ref="M50:M51" si="63">140000</f>
        <v>140000</v>
      </c>
      <c r="N50" s="27"/>
      <c r="O50" s="62">
        <f t="shared" si="55"/>
        <v>2848.9810000000002</v>
      </c>
      <c r="P50" s="62">
        <v>20000</v>
      </c>
      <c r="Q50" s="62">
        <v>0</v>
      </c>
      <c r="R50" s="36">
        <f t="shared" si="56"/>
        <v>421394.00675000006</v>
      </c>
      <c r="S50" s="36"/>
      <c r="T50" s="36"/>
      <c r="U50" s="36"/>
      <c r="V50" s="36">
        <f>'[2]Jan 2021'!$H$24</f>
        <v>712.24525000000006</v>
      </c>
      <c r="W50" s="62">
        <v>7709.76</v>
      </c>
      <c r="X50" s="36">
        <f t="shared" si="58"/>
        <v>8422.0052500000002</v>
      </c>
      <c r="Y50" s="36">
        <v>412972.00150000007</v>
      </c>
      <c r="Z50" s="36">
        <f t="shared" si="57"/>
        <v>412972.00150000007</v>
      </c>
    </row>
    <row r="51" spans="1:26" ht="20.100000000000001" customHeight="1">
      <c r="A51" s="3">
        <v>6</v>
      </c>
      <c r="B51" s="81" t="s">
        <v>134</v>
      </c>
      <c r="C51" s="33" t="s">
        <v>132</v>
      </c>
      <c r="D51" s="3" t="s">
        <v>70</v>
      </c>
      <c r="E51" s="62">
        <f>25854.1</f>
        <v>25854.1</v>
      </c>
      <c r="F51" s="62"/>
      <c r="G51" s="62">
        <f t="shared" si="59"/>
        <v>77562.299999999988</v>
      </c>
      <c r="H51" s="62">
        <f t="shared" si="60"/>
        <v>1939.0574999999999</v>
      </c>
      <c r="I51" s="62"/>
      <c r="J51" s="62">
        <f t="shared" si="61"/>
        <v>12927.05</v>
      </c>
      <c r="K51" s="62">
        <f t="shared" si="62"/>
        <v>90489.349999999991</v>
      </c>
      <c r="L51" s="62">
        <f t="shared" si="54"/>
        <v>25854.1</v>
      </c>
      <c r="M51" s="27">
        <f t="shared" si="63"/>
        <v>140000</v>
      </c>
      <c r="N51" s="27"/>
      <c r="O51" s="62">
        <f t="shared" si="55"/>
        <v>2585.41</v>
      </c>
      <c r="P51" s="62">
        <v>20000</v>
      </c>
      <c r="Q51" s="62"/>
      <c r="R51" s="36">
        <f t="shared" si="56"/>
        <v>397211.36749999999</v>
      </c>
      <c r="S51" s="36"/>
      <c r="T51" s="36">
        <f>15000</f>
        <v>15000</v>
      </c>
      <c r="U51" s="36">
        <f>133333.34</f>
        <v>133333.34</v>
      </c>
      <c r="V51" s="36"/>
      <c r="W51" s="62">
        <v>7709.76</v>
      </c>
      <c r="X51" s="36">
        <f t="shared" si="58"/>
        <v>156043.1</v>
      </c>
      <c r="Y51" s="36">
        <v>241168.26749999999</v>
      </c>
      <c r="Z51" s="36">
        <f t="shared" si="57"/>
        <v>241168.26749999999</v>
      </c>
    </row>
    <row r="52" spans="1:26" ht="20.100000000000001" customHeight="1">
      <c r="A52" s="3">
        <v>7</v>
      </c>
      <c r="B52" s="220" t="s">
        <v>135</v>
      </c>
      <c r="C52" s="33" t="s">
        <v>136</v>
      </c>
      <c r="D52" s="25" t="s">
        <v>70</v>
      </c>
      <c r="E52" s="26">
        <f>25854.1</f>
        <v>25854.1</v>
      </c>
      <c r="F52" s="26"/>
      <c r="G52" s="26">
        <f>E52*300%</f>
        <v>77562.299999999988</v>
      </c>
      <c r="H52" s="26">
        <f>E52*7.5%</f>
        <v>1939.0574999999999</v>
      </c>
      <c r="I52" s="26"/>
      <c r="J52" s="26">
        <f>E52*50%</f>
        <v>12927.05</v>
      </c>
      <c r="K52" s="26">
        <f>E52*350%</f>
        <v>90489.349999999991</v>
      </c>
      <c r="L52" s="26">
        <f>E52*100%</f>
        <v>25854.1</v>
      </c>
      <c r="M52" s="27">
        <f>140000</f>
        <v>140000</v>
      </c>
      <c r="N52" s="27"/>
      <c r="O52" s="26">
        <f>E52*10%</f>
        <v>2585.41</v>
      </c>
      <c r="P52" s="26">
        <v>20000</v>
      </c>
      <c r="Q52" s="26"/>
      <c r="R52" s="36">
        <f>SUM(E52:Q52)</f>
        <v>397211.36749999999</v>
      </c>
      <c r="S52" s="36"/>
      <c r="T52" s="24"/>
      <c r="U52" s="24"/>
      <c r="V52" s="24">
        <v>0</v>
      </c>
      <c r="W52" s="24">
        <v>7709.76</v>
      </c>
      <c r="X52" s="36">
        <f t="shared" si="58"/>
        <v>7709.76</v>
      </c>
      <c r="Y52" s="36">
        <v>389501.60749999998</v>
      </c>
      <c r="Z52" s="36">
        <f>R52-X52</f>
        <v>389501.60749999998</v>
      </c>
    </row>
    <row r="53" spans="1:26" ht="20.100000000000001" customHeight="1">
      <c r="A53" s="3">
        <v>8</v>
      </c>
      <c r="B53" s="81" t="s">
        <v>137</v>
      </c>
      <c r="C53" s="33" t="s">
        <v>138</v>
      </c>
      <c r="D53" s="3" t="s">
        <v>139</v>
      </c>
      <c r="E53" s="62">
        <f>24741.26</f>
        <v>24741.26</v>
      </c>
      <c r="F53" s="62"/>
      <c r="G53" s="62">
        <f t="shared" si="59"/>
        <v>74223.78</v>
      </c>
      <c r="H53" s="62">
        <f t="shared" si="60"/>
        <v>1855.5944999999997</v>
      </c>
      <c r="I53" s="62">
        <v>0</v>
      </c>
      <c r="J53" s="62">
        <f t="shared" si="61"/>
        <v>12370.63</v>
      </c>
      <c r="K53" s="62">
        <f t="shared" si="62"/>
        <v>86594.409999999989</v>
      </c>
      <c r="L53" s="62">
        <f t="shared" si="54"/>
        <v>24741.26</v>
      </c>
      <c r="M53" s="27">
        <f>120000</f>
        <v>120000</v>
      </c>
      <c r="N53" s="27"/>
      <c r="O53" s="62">
        <f t="shared" si="55"/>
        <v>2474.1260000000002</v>
      </c>
      <c r="P53" s="62">
        <v>15000</v>
      </c>
      <c r="Q53" s="62">
        <v>0</v>
      </c>
      <c r="R53" s="36">
        <f t="shared" si="56"/>
        <v>362001.06049999996</v>
      </c>
      <c r="S53" s="36"/>
      <c r="T53" s="36"/>
      <c r="U53" s="36"/>
      <c r="V53" s="36"/>
      <c r="W53" s="62">
        <v>7709.76</v>
      </c>
      <c r="X53" s="36">
        <f t="shared" si="58"/>
        <v>7709.76</v>
      </c>
      <c r="Y53" s="36">
        <v>354291.30049999995</v>
      </c>
      <c r="Z53" s="36">
        <f t="shared" si="57"/>
        <v>354291.30049999995</v>
      </c>
    </row>
    <row r="54" spans="1:26" ht="20.100000000000001" customHeight="1">
      <c r="A54" s="3">
        <v>9</v>
      </c>
      <c r="B54" s="81" t="s">
        <v>140</v>
      </c>
      <c r="C54" s="33" t="s">
        <v>136</v>
      </c>
      <c r="D54" s="3" t="s">
        <v>70</v>
      </c>
      <c r="E54" s="62">
        <f>25854.1</f>
        <v>25854.1</v>
      </c>
      <c r="F54" s="62"/>
      <c r="G54" s="62">
        <f t="shared" si="59"/>
        <v>77562.299999999988</v>
      </c>
      <c r="H54" s="62">
        <f t="shared" si="60"/>
        <v>1939.0574999999999</v>
      </c>
      <c r="I54" s="62">
        <v>0</v>
      </c>
      <c r="J54" s="62">
        <f t="shared" si="61"/>
        <v>12927.05</v>
      </c>
      <c r="K54" s="62">
        <f t="shared" si="62"/>
        <v>90489.349999999991</v>
      </c>
      <c r="L54" s="62">
        <f t="shared" si="54"/>
        <v>25854.1</v>
      </c>
      <c r="M54" s="27">
        <v>140000</v>
      </c>
      <c r="N54" s="27"/>
      <c r="O54" s="62">
        <f t="shared" si="55"/>
        <v>2585.41</v>
      </c>
      <c r="P54" s="62">
        <v>20000</v>
      </c>
      <c r="Q54" s="62">
        <v>0</v>
      </c>
      <c r="R54" s="36">
        <f t="shared" si="56"/>
        <v>397211.36749999999</v>
      </c>
      <c r="S54" s="36"/>
      <c r="T54" s="36"/>
      <c r="U54" s="36"/>
      <c r="V54" s="36"/>
      <c r="W54" s="62">
        <v>7709.76</v>
      </c>
      <c r="X54" s="36">
        <f t="shared" si="58"/>
        <v>7709.76</v>
      </c>
      <c r="Y54" s="36">
        <v>389501.60749999998</v>
      </c>
      <c r="Z54" s="36">
        <f t="shared" si="57"/>
        <v>389501.60749999998</v>
      </c>
    </row>
    <row r="55" spans="1:26" ht="20.100000000000001" customHeight="1">
      <c r="A55" s="3">
        <v>10</v>
      </c>
      <c r="B55" s="159" t="s">
        <v>141</v>
      </c>
      <c r="C55" s="33" t="s">
        <v>142</v>
      </c>
      <c r="D55" s="29" t="s">
        <v>103</v>
      </c>
      <c r="E55" s="26">
        <f>23891.12</f>
        <v>23891.119999999999</v>
      </c>
      <c r="F55" s="62"/>
      <c r="G55" s="26">
        <f t="shared" si="59"/>
        <v>71673.36</v>
      </c>
      <c r="H55" s="26">
        <f t="shared" si="60"/>
        <v>1791.8339999999998</v>
      </c>
      <c r="I55" s="26"/>
      <c r="J55" s="26">
        <f t="shared" si="61"/>
        <v>11945.56</v>
      </c>
      <c r="K55" s="26">
        <f t="shared" si="62"/>
        <v>83618.92</v>
      </c>
      <c r="L55" s="26">
        <f t="shared" si="54"/>
        <v>23891.119999999999</v>
      </c>
      <c r="M55" s="27">
        <f t="shared" ref="M55" si="64">120000</f>
        <v>120000</v>
      </c>
      <c r="N55" s="27"/>
      <c r="O55" s="26">
        <f t="shared" si="55"/>
        <v>2389.1120000000001</v>
      </c>
      <c r="P55" s="26">
        <v>15000</v>
      </c>
      <c r="Q55" s="26"/>
      <c r="R55" s="36">
        <f t="shared" si="56"/>
        <v>354201.02600000001</v>
      </c>
      <c r="S55" s="36"/>
      <c r="T55" s="24">
        <f>50000+10000</f>
        <v>60000</v>
      </c>
      <c r="U55" s="24">
        <f>91666.67</f>
        <v>91666.67</v>
      </c>
      <c r="V55" s="24">
        <f>'[2]Jan 2021'!$H$48</f>
        <v>597.27800000000002</v>
      </c>
      <c r="W55" s="26">
        <f>7709.76</f>
        <v>7709.76</v>
      </c>
      <c r="X55" s="36">
        <f t="shared" si="58"/>
        <v>159973.70799999998</v>
      </c>
      <c r="Y55" s="36">
        <v>194227.31800000003</v>
      </c>
      <c r="Z55" s="36">
        <f t="shared" si="57"/>
        <v>194227.31800000003</v>
      </c>
    </row>
    <row r="56" spans="1:26" ht="20.100000000000001" customHeight="1">
      <c r="A56" s="3"/>
      <c r="B56" s="69" t="s">
        <v>34</v>
      </c>
      <c r="C56" s="30">
        <v>10</v>
      </c>
      <c r="D56" s="30"/>
      <c r="E56" s="99">
        <f t="shared" ref="E56:M56" si="65">SUM(E46:E55)</f>
        <v>334458.34999999998</v>
      </c>
      <c r="F56" s="99">
        <f t="shared" si="65"/>
        <v>0</v>
      </c>
      <c r="G56" s="99">
        <f t="shared" si="65"/>
        <v>1003375.0500000002</v>
      </c>
      <c r="H56" s="99">
        <f t="shared" si="65"/>
        <v>25084.376249999998</v>
      </c>
      <c r="I56" s="99">
        <f t="shared" si="65"/>
        <v>200610.95</v>
      </c>
      <c r="J56" s="99">
        <f t="shared" si="65"/>
        <v>167229.17499999999</v>
      </c>
      <c r="K56" s="99">
        <f t="shared" si="65"/>
        <v>1170604.2249999999</v>
      </c>
      <c r="L56" s="99">
        <f t="shared" si="65"/>
        <v>334458.34999999998</v>
      </c>
      <c r="M56" s="158">
        <f t="shared" si="65"/>
        <v>1480000</v>
      </c>
      <c r="N56" s="158"/>
      <c r="O56" s="99">
        <f>SUM(O46:O55)</f>
        <v>33445.834999999999</v>
      </c>
      <c r="P56" s="99">
        <f>SUM(P46:P55)</f>
        <v>190000</v>
      </c>
      <c r="Q56" s="99">
        <f>SUM(Q46:Q55)</f>
        <v>0</v>
      </c>
      <c r="R56" s="99">
        <f>SUM(R46:R55)</f>
        <v>4939266.3112500003</v>
      </c>
      <c r="S56" s="99"/>
      <c r="T56" s="99">
        <f>SUM(T46:T55)</f>
        <v>458000</v>
      </c>
      <c r="U56" s="99">
        <f>SUM(U46:U55)</f>
        <v>753194.85</v>
      </c>
      <c r="V56" s="99">
        <f>SUM(V46:V55)</f>
        <v>1309.5232500000002</v>
      </c>
      <c r="W56" s="99">
        <f>SUM(W46:W55)</f>
        <v>145680.18</v>
      </c>
      <c r="X56" s="99">
        <f>SUM(X46:X55)</f>
        <v>1358184.5532499999</v>
      </c>
      <c r="Y56" s="99">
        <v>3633581.7579999999</v>
      </c>
      <c r="Z56" s="99">
        <f>SUM(Z46:Z55)</f>
        <v>3581081.7579999999</v>
      </c>
    </row>
    <row r="57" spans="1:26" ht="20.100000000000001" customHeight="1">
      <c r="A57" s="3"/>
      <c r="B57" s="80"/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27"/>
      <c r="N57" s="27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20.100000000000001" customHeight="1">
      <c r="A58" s="3"/>
      <c r="B58" s="69" t="s">
        <v>143</v>
      </c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0.100000000000001" customHeight="1">
      <c r="A59" s="3">
        <v>1</v>
      </c>
      <c r="B59" s="81" t="s">
        <v>144</v>
      </c>
      <c r="C59" s="61" t="s">
        <v>145</v>
      </c>
      <c r="D59" s="66" t="s">
        <v>43</v>
      </c>
      <c r="E59" s="62">
        <f>81740.02</f>
        <v>81740.02</v>
      </c>
      <c r="F59" s="62"/>
      <c r="G59" s="62">
        <f>E59*300%</f>
        <v>245220.06</v>
      </c>
      <c r="H59" s="62">
        <f>E59*7.5%</f>
        <v>6130.5015000000003</v>
      </c>
      <c r="I59" s="62">
        <v>80244.38</v>
      </c>
      <c r="J59" s="62">
        <f>E59*50%</f>
        <v>40870.01</v>
      </c>
      <c r="K59" s="62">
        <f>E59*350%</f>
        <v>286090.07</v>
      </c>
      <c r="L59" s="62">
        <f>E59*100%</f>
        <v>81740.02</v>
      </c>
      <c r="M59" s="27">
        <f>200000</f>
        <v>200000</v>
      </c>
      <c r="N59" s="27"/>
      <c r="O59" s="62">
        <f>E59*10%</f>
        <v>8174.0020000000004</v>
      </c>
      <c r="P59" s="62">
        <v>20000</v>
      </c>
      <c r="Q59" s="62">
        <v>0</v>
      </c>
      <c r="R59" s="36">
        <f>SUM(E59:Q59)</f>
        <v>1050209.0635000002</v>
      </c>
      <c r="S59" s="36"/>
      <c r="T59" s="36"/>
      <c r="U59" s="36"/>
      <c r="V59" s="36">
        <v>0</v>
      </c>
      <c r="W59" s="62">
        <v>52776.63</v>
      </c>
      <c r="X59" s="36">
        <f>W59+V59+U59+T59+S59</f>
        <v>52776.63</v>
      </c>
      <c r="Y59" s="36">
        <v>997432.43350000016</v>
      </c>
      <c r="Z59" s="36">
        <f>R59-X59</f>
        <v>997432.43350000016</v>
      </c>
    </row>
    <row r="60" spans="1:26" ht="20.100000000000001" customHeight="1">
      <c r="A60" s="3">
        <v>2</v>
      </c>
      <c r="B60" s="81" t="s">
        <v>146</v>
      </c>
      <c r="C60" s="61" t="s">
        <v>147</v>
      </c>
      <c r="D60" s="66" t="s">
        <v>67</v>
      </c>
      <c r="E60" s="36">
        <v>31018.84</v>
      </c>
      <c r="F60" s="62"/>
      <c r="G60" s="62">
        <f t="shared" ref="G60" si="66">E60*300%</f>
        <v>93056.52</v>
      </c>
      <c r="H60" s="62">
        <f t="shared" ref="H60" si="67">E60*7.5%</f>
        <v>2326.413</v>
      </c>
      <c r="I60" s="62">
        <v>40122.19</v>
      </c>
      <c r="J60" s="62">
        <f t="shared" ref="J60" si="68">E60*50%</f>
        <v>15509.42</v>
      </c>
      <c r="K60" s="62">
        <f t="shared" ref="K60" si="69">E60*350%</f>
        <v>108565.94</v>
      </c>
      <c r="L60" s="62">
        <f t="shared" ref="L60" si="70">E60*100%</f>
        <v>31018.84</v>
      </c>
      <c r="M60" s="27"/>
      <c r="N60" s="27">
        <f>80000</f>
        <v>80000</v>
      </c>
      <c r="O60" s="62">
        <f t="shared" ref="O60" si="71">E60*10%</f>
        <v>3101.884</v>
      </c>
      <c r="P60" s="62">
        <v>20000</v>
      </c>
      <c r="Q60" s="63">
        <v>0</v>
      </c>
      <c r="R60" s="36">
        <f t="shared" ref="R60" si="72">SUM(E60:Q60)</f>
        <v>424720.04700000002</v>
      </c>
      <c r="S60" s="36"/>
      <c r="T60" s="36">
        <f>50000</f>
        <v>50000</v>
      </c>
      <c r="U60" s="36">
        <f>95000</f>
        <v>95000</v>
      </c>
      <c r="V60" s="36">
        <v>0</v>
      </c>
      <c r="W60" s="62">
        <f>15548.33</f>
        <v>15548.33</v>
      </c>
      <c r="X60" s="36">
        <f>W60+V60+U60+T60+S60</f>
        <v>160548.33000000002</v>
      </c>
      <c r="Y60" s="36">
        <v>264171.717</v>
      </c>
      <c r="Z60" s="36">
        <f>R60-X60</f>
        <v>264171.717</v>
      </c>
    </row>
    <row r="61" spans="1:26" ht="20.100000000000001" customHeight="1">
      <c r="A61" s="3"/>
      <c r="B61" s="69" t="s">
        <v>34</v>
      </c>
      <c r="C61" s="30">
        <v>2</v>
      </c>
      <c r="D61" s="30"/>
      <c r="E61" s="99">
        <f>SUM(E59:E60)</f>
        <v>112758.86</v>
      </c>
      <c r="F61" s="99"/>
      <c r="G61" s="99">
        <f t="shared" ref="G61:R61" si="73">SUM(G59:G60)</f>
        <v>338276.58</v>
      </c>
      <c r="H61" s="99">
        <f t="shared" si="73"/>
        <v>8456.9145000000008</v>
      </c>
      <c r="I61" s="99">
        <f t="shared" si="73"/>
        <v>120366.57</v>
      </c>
      <c r="J61" s="99">
        <f t="shared" si="73"/>
        <v>56379.43</v>
      </c>
      <c r="K61" s="99">
        <f t="shared" si="73"/>
        <v>394656.01</v>
      </c>
      <c r="L61" s="99">
        <f t="shared" si="73"/>
        <v>112758.86</v>
      </c>
      <c r="M61" s="158">
        <f t="shared" si="73"/>
        <v>200000</v>
      </c>
      <c r="N61" s="158">
        <f t="shared" si="73"/>
        <v>80000</v>
      </c>
      <c r="O61" s="99">
        <f t="shared" si="73"/>
        <v>11275.886</v>
      </c>
      <c r="P61" s="99">
        <f t="shared" si="73"/>
        <v>40000</v>
      </c>
      <c r="Q61" s="99">
        <f t="shared" si="73"/>
        <v>0</v>
      </c>
      <c r="R61" s="99">
        <f t="shared" si="73"/>
        <v>1474929.1105000002</v>
      </c>
      <c r="S61" s="99"/>
      <c r="T61" s="99">
        <f>SUM(T59:T60)</f>
        <v>50000</v>
      </c>
      <c r="U61" s="99">
        <f>SUM(U60)</f>
        <v>95000</v>
      </c>
      <c r="V61" s="99">
        <f>SUM(V59:V60)</f>
        <v>0</v>
      </c>
      <c r="W61" s="99">
        <f>SUM(W59:W60)</f>
        <v>68324.959999999992</v>
      </c>
      <c r="X61" s="99">
        <f>SUM(X59:X60)</f>
        <v>213324.96000000002</v>
      </c>
      <c r="Y61" s="99">
        <v>1261604.1505000002</v>
      </c>
      <c r="Z61" s="99">
        <f>SUM(Z59:Z60)</f>
        <v>1261604.1505000002</v>
      </c>
    </row>
    <row r="62" spans="1:26" ht="20.100000000000001" customHeight="1">
      <c r="A62" s="3"/>
      <c r="B62" s="69"/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27"/>
      <c r="N62" s="27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20.100000000000001" customHeight="1">
      <c r="A63" s="3"/>
      <c r="B63" s="69" t="s">
        <v>148</v>
      </c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20.100000000000001" customHeight="1">
      <c r="A64" s="3">
        <v>1</v>
      </c>
      <c r="B64" s="159" t="s">
        <v>149</v>
      </c>
      <c r="C64" s="47" t="s">
        <v>150</v>
      </c>
      <c r="D64" s="29" t="s">
        <v>151</v>
      </c>
      <c r="E64" s="26">
        <f>79039.64</f>
        <v>79039.64</v>
      </c>
      <c r="F64" s="26"/>
      <c r="G64" s="26">
        <f t="shared" ref="G64:G72" si="74">E64*300%</f>
        <v>237118.91999999998</v>
      </c>
      <c r="H64" s="26">
        <f t="shared" ref="H64:H72" si="75">E64*7.5%</f>
        <v>5927.973</v>
      </c>
      <c r="I64" s="26">
        <f>80244.38</f>
        <v>80244.38</v>
      </c>
      <c r="J64" s="26">
        <f t="shared" ref="J64:J72" si="76">E64*50%</f>
        <v>39519.82</v>
      </c>
      <c r="K64" s="26">
        <f t="shared" ref="K64:K72" si="77">E64*350%</f>
        <v>276638.74</v>
      </c>
      <c r="L64" s="26">
        <f t="shared" ref="L64:L72" si="78">E64*100%</f>
        <v>79039.64</v>
      </c>
      <c r="M64" s="27">
        <f>200000</f>
        <v>200000</v>
      </c>
      <c r="N64" s="27"/>
      <c r="O64" s="26">
        <f t="shared" ref="O64:O72" si="79">E64*10%</f>
        <v>7903.9639999999999</v>
      </c>
      <c r="P64" s="26">
        <v>20000</v>
      </c>
      <c r="Q64" s="26">
        <v>0</v>
      </c>
      <c r="R64" s="26">
        <f t="shared" ref="R64:R72" si="80">SUM(E64:Q64)</f>
        <v>1025433.077</v>
      </c>
      <c r="S64" s="26"/>
      <c r="T64" s="26">
        <f>100000+100000</f>
        <v>200000</v>
      </c>
      <c r="U64" s="26"/>
      <c r="V64" s="26"/>
      <c r="W64" s="26">
        <f>52776.63</f>
        <v>52776.63</v>
      </c>
      <c r="X64" s="26">
        <f>W64+V64+U64+T64+S64</f>
        <v>252776.63</v>
      </c>
      <c r="Y64" s="26">
        <v>772656.44700000004</v>
      </c>
      <c r="Z64" s="26">
        <f t="shared" ref="Z64:Z72" si="81">R64-X64</f>
        <v>772656.44700000004</v>
      </c>
    </row>
    <row r="65" spans="1:26" ht="20.100000000000001" customHeight="1">
      <c r="A65" s="3">
        <v>2</v>
      </c>
      <c r="B65" s="159" t="s">
        <v>152</v>
      </c>
      <c r="C65" s="47" t="s">
        <v>59</v>
      </c>
      <c r="D65" s="66" t="s">
        <v>67</v>
      </c>
      <c r="E65" s="36">
        <v>31018.84</v>
      </c>
      <c r="F65" s="62"/>
      <c r="G65" s="62">
        <f t="shared" si="74"/>
        <v>93056.52</v>
      </c>
      <c r="H65" s="62">
        <f t="shared" si="75"/>
        <v>2326.413</v>
      </c>
      <c r="I65" s="62">
        <v>40122.19</v>
      </c>
      <c r="J65" s="62">
        <f t="shared" si="76"/>
        <v>15509.42</v>
      </c>
      <c r="K65" s="62">
        <f t="shared" si="77"/>
        <v>108565.94</v>
      </c>
      <c r="L65" s="62">
        <f t="shared" si="78"/>
        <v>31018.84</v>
      </c>
      <c r="M65" s="27">
        <f>160000</f>
        <v>160000</v>
      </c>
      <c r="N65" s="27"/>
      <c r="O65" s="62">
        <f t="shared" si="79"/>
        <v>3101.884</v>
      </c>
      <c r="P65" s="62">
        <v>20000</v>
      </c>
      <c r="Q65" s="63">
        <v>0</v>
      </c>
      <c r="R65" s="36">
        <f t="shared" si="80"/>
        <v>504720.04700000002</v>
      </c>
      <c r="S65" s="36"/>
      <c r="T65" s="36">
        <f>100000</f>
        <v>100000</v>
      </c>
      <c r="U65" s="36">
        <f>131250</f>
        <v>131250</v>
      </c>
      <c r="V65" s="36">
        <v>0</v>
      </c>
      <c r="W65" s="62">
        <f>15548.33</f>
        <v>15548.33</v>
      </c>
      <c r="X65" s="26">
        <f t="shared" ref="X65:X75" si="82">W65+V65+U65+T65+S65</f>
        <v>246798.33</v>
      </c>
      <c r="Y65" s="36">
        <v>257921.71700000003</v>
      </c>
      <c r="Z65" s="36">
        <f>R65-X65</f>
        <v>257921.71700000003</v>
      </c>
    </row>
    <row r="66" spans="1:26" ht="20.100000000000001" customHeight="1">
      <c r="A66" s="3">
        <v>3</v>
      </c>
      <c r="B66" s="159" t="s">
        <v>153</v>
      </c>
      <c r="C66" s="20" t="s">
        <v>142</v>
      </c>
      <c r="D66" s="29" t="s">
        <v>154</v>
      </c>
      <c r="E66" s="26">
        <f>25523.45</f>
        <v>25523.45</v>
      </c>
      <c r="F66" s="26"/>
      <c r="G66" s="26">
        <f t="shared" si="74"/>
        <v>76570.350000000006</v>
      </c>
      <c r="H66" s="26">
        <f t="shared" si="75"/>
        <v>1914.25875</v>
      </c>
      <c r="I66" s="26"/>
      <c r="J66" s="26">
        <f t="shared" si="76"/>
        <v>12761.725</v>
      </c>
      <c r="K66" s="26">
        <f t="shared" si="77"/>
        <v>89332.074999999997</v>
      </c>
      <c r="L66" s="26">
        <f t="shared" si="78"/>
        <v>25523.45</v>
      </c>
      <c r="M66" s="27">
        <f t="shared" ref="M66:M68" si="83">120000</f>
        <v>120000</v>
      </c>
      <c r="N66" s="27"/>
      <c r="O66" s="26">
        <f t="shared" si="79"/>
        <v>2552.3450000000003</v>
      </c>
      <c r="P66" s="26">
        <v>15000</v>
      </c>
      <c r="Q66" s="26"/>
      <c r="R66" s="36">
        <f t="shared" si="80"/>
        <v>369177.65375</v>
      </c>
      <c r="S66" s="36"/>
      <c r="T66" s="24">
        <f>50000</f>
        <v>50000</v>
      </c>
      <c r="U66" s="24">
        <f>45833.33</f>
        <v>45833.33</v>
      </c>
      <c r="V66" s="24"/>
      <c r="W66" s="26">
        <v>7709.76</v>
      </c>
      <c r="X66" s="26">
        <f t="shared" si="82"/>
        <v>103543.09</v>
      </c>
      <c r="Y66" s="36">
        <v>265634.56374999997</v>
      </c>
      <c r="Z66" s="36">
        <f t="shared" si="81"/>
        <v>265634.56374999997</v>
      </c>
    </row>
    <row r="67" spans="1:26" ht="20.100000000000001" customHeight="1">
      <c r="A67" s="3">
        <v>4</v>
      </c>
      <c r="B67" s="159" t="s">
        <v>155</v>
      </c>
      <c r="C67" s="33" t="s">
        <v>138</v>
      </c>
      <c r="D67" s="29" t="s">
        <v>103</v>
      </c>
      <c r="E67" s="26">
        <f>23891.12</f>
        <v>23891.119999999999</v>
      </c>
      <c r="F67" s="26"/>
      <c r="G67" s="26">
        <f t="shared" si="74"/>
        <v>71673.36</v>
      </c>
      <c r="H67" s="26">
        <f t="shared" si="75"/>
        <v>1791.8339999999998</v>
      </c>
      <c r="I67" s="26"/>
      <c r="J67" s="26">
        <f t="shared" si="76"/>
        <v>11945.56</v>
      </c>
      <c r="K67" s="26">
        <f t="shared" si="77"/>
        <v>83618.92</v>
      </c>
      <c r="L67" s="26">
        <f t="shared" si="78"/>
        <v>23891.119999999999</v>
      </c>
      <c r="M67" s="27">
        <f t="shared" si="83"/>
        <v>120000</v>
      </c>
      <c r="N67" s="27"/>
      <c r="O67" s="26">
        <f t="shared" si="79"/>
        <v>2389.1120000000001</v>
      </c>
      <c r="P67" s="26">
        <v>15000</v>
      </c>
      <c r="Q67" s="26"/>
      <c r="R67" s="26">
        <f t="shared" si="80"/>
        <v>354201.02600000001</v>
      </c>
      <c r="S67" s="26"/>
      <c r="T67" s="26">
        <f>110000</f>
        <v>110000</v>
      </c>
      <c r="U67" s="26"/>
      <c r="V67" s="26"/>
      <c r="W67" s="26">
        <f>7709.76</f>
        <v>7709.76</v>
      </c>
      <c r="X67" s="26">
        <f t="shared" si="82"/>
        <v>117709.75999999999</v>
      </c>
      <c r="Y67" s="26">
        <v>236491.266</v>
      </c>
      <c r="Z67" s="26">
        <f t="shared" si="81"/>
        <v>236491.266</v>
      </c>
    </row>
    <row r="68" spans="1:26" ht="20.100000000000001" customHeight="1">
      <c r="A68" s="3">
        <v>5</v>
      </c>
      <c r="B68" s="159" t="s">
        <v>156</v>
      </c>
      <c r="C68" s="47" t="s">
        <v>138</v>
      </c>
      <c r="D68" s="66" t="s">
        <v>83</v>
      </c>
      <c r="E68" s="62">
        <f>23074.99</f>
        <v>23074.99</v>
      </c>
      <c r="F68" s="62"/>
      <c r="G68" s="62">
        <f t="shared" si="74"/>
        <v>69224.97</v>
      </c>
      <c r="H68" s="62">
        <f t="shared" si="75"/>
        <v>1730.6242500000001</v>
      </c>
      <c r="I68" s="62">
        <v>0</v>
      </c>
      <c r="J68" s="62">
        <f t="shared" si="76"/>
        <v>11537.495000000001</v>
      </c>
      <c r="K68" s="36">
        <f t="shared" si="77"/>
        <v>80762.465000000011</v>
      </c>
      <c r="L68" s="62">
        <f t="shared" si="78"/>
        <v>23074.99</v>
      </c>
      <c r="M68" s="27">
        <f t="shared" si="83"/>
        <v>120000</v>
      </c>
      <c r="N68" s="27"/>
      <c r="O68" s="62">
        <f t="shared" si="79"/>
        <v>2307.4990000000003</v>
      </c>
      <c r="P68" s="62">
        <v>15000</v>
      </c>
      <c r="Q68" s="62">
        <v>0</v>
      </c>
      <c r="R68" s="36">
        <f t="shared" si="80"/>
        <v>346713.03325000004</v>
      </c>
      <c r="S68" s="36"/>
      <c r="T68" s="36">
        <f>20000</f>
        <v>20000</v>
      </c>
      <c r="U68" s="36">
        <f>119444.44</f>
        <v>119444.44</v>
      </c>
      <c r="V68" s="36">
        <f>0</f>
        <v>0</v>
      </c>
      <c r="W68" s="62">
        <v>7709.76</v>
      </c>
      <c r="X68" s="26">
        <f t="shared" si="82"/>
        <v>147154.20000000001</v>
      </c>
      <c r="Y68" s="36">
        <v>199558.83325000003</v>
      </c>
      <c r="Z68" s="36">
        <f t="shared" si="81"/>
        <v>199558.83325000003</v>
      </c>
    </row>
    <row r="69" spans="1:26" ht="20.100000000000001" customHeight="1">
      <c r="A69" s="3">
        <v>6</v>
      </c>
      <c r="B69" s="217" t="s">
        <v>157</v>
      </c>
      <c r="C69" s="47" t="s">
        <v>136</v>
      </c>
      <c r="D69" s="66" t="s">
        <v>70</v>
      </c>
      <c r="E69" s="62">
        <f>25854.1</f>
        <v>25854.1</v>
      </c>
      <c r="F69" s="62"/>
      <c r="G69" s="62">
        <f>E69*300%</f>
        <v>77562.299999999988</v>
      </c>
      <c r="H69" s="62">
        <f>E69*7.5%</f>
        <v>1939.0574999999999</v>
      </c>
      <c r="I69" s="62"/>
      <c r="J69" s="62">
        <f>E69*50%</f>
        <v>12927.05</v>
      </c>
      <c r="K69" s="36">
        <f>E69*350%</f>
        <v>90489.349999999991</v>
      </c>
      <c r="L69" s="62">
        <f>E69*100%</f>
        <v>25854.1</v>
      </c>
      <c r="M69" s="27">
        <f>140000</f>
        <v>140000</v>
      </c>
      <c r="N69" s="27"/>
      <c r="O69" s="62">
        <f>E69*10%</f>
        <v>2585.41</v>
      </c>
      <c r="P69" s="62">
        <v>20000</v>
      </c>
      <c r="Q69" s="62"/>
      <c r="R69" s="36">
        <f>SUM(E69:Q69)</f>
        <v>397211.36749999999</v>
      </c>
      <c r="S69" s="36"/>
      <c r="T69" s="36">
        <f>10000</f>
        <v>10000</v>
      </c>
      <c r="U69" s="36">
        <f>54585.66</f>
        <v>54585.66</v>
      </c>
      <c r="V69" s="36"/>
      <c r="W69" s="36">
        <f>7709.76</f>
        <v>7709.76</v>
      </c>
      <c r="X69" s="26">
        <f t="shared" si="82"/>
        <v>72295.420000000013</v>
      </c>
      <c r="Y69" s="36">
        <v>324915.94750000001</v>
      </c>
      <c r="Z69" s="36">
        <f>R69-X69</f>
        <v>324915.94750000001</v>
      </c>
    </row>
    <row r="70" spans="1:26" ht="20.100000000000001" customHeight="1">
      <c r="A70" s="3">
        <v>7</v>
      </c>
      <c r="B70" s="159" t="s">
        <v>158</v>
      </c>
      <c r="C70" s="20" t="s">
        <v>159</v>
      </c>
      <c r="D70" s="29" t="s">
        <v>160</v>
      </c>
      <c r="E70" s="26">
        <f>19774.62</f>
        <v>19774.62</v>
      </c>
      <c r="F70" s="26"/>
      <c r="G70" s="26">
        <f t="shared" si="74"/>
        <v>59323.86</v>
      </c>
      <c r="H70" s="26">
        <f t="shared" si="75"/>
        <v>1483.0964999999999</v>
      </c>
      <c r="I70" s="26">
        <v>0</v>
      </c>
      <c r="J70" s="26">
        <f t="shared" si="76"/>
        <v>9887.31</v>
      </c>
      <c r="K70" s="26">
        <f t="shared" si="77"/>
        <v>69211.17</v>
      </c>
      <c r="L70" s="26">
        <f t="shared" si="78"/>
        <v>19774.62</v>
      </c>
      <c r="M70" s="27">
        <f>100000</f>
        <v>100000</v>
      </c>
      <c r="N70" s="27"/>
      <c r="O70" s="26">
        <f t="shared" si="79"/>
        <v>1977.462</v>
      </c>
      <c r="P70" s="26">
        <v>10000</v>
      </c>
      <c r="Q70" s="26">
        <v>0</v>
      </c>
      <c r="R70" s="36">
        <f t="shared" si="80"/>
        <v>291432.1385</v>
      </c>
      <c r="S70" s="36"/>
      <c r="T70" s="24">
        <f>10000</f>
        <v>10000</v>
      </c>
      <c r="U70" s="24">
        <f>131771.66</f>
        <v>131771.66</v>
      </c>
      <c r="V70" s="24"/>
      <c r="W70" s="26">
        <v>3369.51</v>
      </c>
      <c r="X70" s="26">
        <f t="shared" si="82"/>
        <v>145141.17000000001</v>
      </c>
      <c r="Y70" s="36">
        <v>146290.96849999999</v>
      </c>
      <c r="Z70" s="36">
        <f t="shared" si="81"/>
        <v>146290.96849999999</v>
      </c>
    </row>
    <row r="71" spans="1:26" ht="20.100000000000001" customHeight="1">
      <c r="A71" s="3">
        <v>8</v>
      </c>
      <c r="B71" s="81" t="s">
        <v>161</v>
      </c>
      <c r="C71" s="47" t="s">
        <v>159</v>
      </c>
      <c r="D71" s="66" t="s">
        <v>89</v>
      </c>
      <c r="E71" s="62">
        <f>20749</f>
        <v>20749</v>
      </c>
      <c r="F71" s="62"/>
      <c r="G71" s="62">
        <f t="shared" si="74"/>
        <v>62247</v>
      </c>
      <c r="H71" s="62">
        <f t="shared" si="75"/>
        <v>1556.175</v>
      </c>
      <c r="I71" s="62">
        <v>0</v>
      </c>
      <c r="J71" s="62">
        <f t="shared" si="76"/>
        <v>10374.5</v>
      </c>
      <c r="K71" s="36">
        <f t="shared" si="77"/>
        <v>72621.5</v>
      </c>
      <c r="L71" s="62">
        <f t="shared" si="78"/>
        <v>20749</v>
      </c>
      <c r="M71" s="27">
        <f>110000</f>
        <v>110000</v>
      </c>
      <c r="N71" s="27"/>
      <c r="O71" s="62">
        <f t="shared" si="79"/>
        <v>2074.9</v>
      </c>
      <c r="P71" s="62">
        <v>15000</v>
      </c>
      <c r="Q71" s="62">
        <v>0</v>
      </c>
      <c r="R71" s="36">
        <f t="shared" si="80"/>
        <v>315372.07500000001</v>
      </c>
      <c r="S71" s="36"/>
      <c r="T71" s="36">
        <f>10000+20000</f>
        <v>30000</v>
      </c>
      <c r="U71" s="36">
        <f>130000</f>
        <v>130000</v>
      </c>
      <c r="V71" s="36">
        <f>'[2]Jan 2021'!$H$43</f>
        <v>481.92375000000004</v>
      </c>
      <c r="W71" s="62">
        <f>3369.51</f>
        <v>3369.51</v>
      </c>
      <c r="X71" s="26">
        <f t="shared" si="82"/>
        <v>163851.43375</v>
      </c>
      <c r="Y71" s="36">
        <v>151520.64125000002</v>
      </c>
      <c r="Z71" s="36">
        <f t="shared" si="81"/>
        <v>151520.64125000002</v>
      </c>
    </row>
    <row r="72" spans="1:26" ht="20.100000000000001" customHeight="1">
      <c r="A72" s="3">
        <v>9</v>
      </c>
      <c r="B72" s="81" t="s">
        <v>162</v>
      </c>
      <c r="C72" s="33" t="s">
        <v>163</v>
      </c>
      <c r="D72" s="3" t="s">
        <v>86</v>
      </c>
      <c r="E72" s="62">
        <f>18281.64</f>
        <v>18281.64</v>
      </c>
      <c r="F72" s="62"/>
      <c r="G72" s="62">
        <f t="shared" si="74"/>
        <v>54844.92</v>
      </c>
      <c r="H72" s="62">
        <f t="shared" si="75"/>
        <v>1371.1229999999998</v>
      </c>
      <c r="I72" s="62"/>
      <c r="J72" s="62">
        <f t="shared" si="76"/>
        <v>9140.82</v>
      </c>
      <c r="K72" s="62">
        <f t="shared" si="77"/>
        <v>63985.74</v>
      </c>
      <c r="L72" s="62">
        <f t="shared" si="78"/>
        <v>18281.64</v>
      </c>
      <c r="M72" s="27">
        <f t="shared" ref="M72:M75" si="84">100000</f>
        <v>100000</v>
      </c>
      <c r="N72" s="27"/>
      <c r="O72" s="62">
        <f t="shared" si="79"/>
        <v>1828.164</v>
      </c>
      <c r="P72" s="62">
        <v>10000</v>
      </c>
      <c r="Q72" s="62"/>
      <c r="R72" s="36">
        <f t="shared" si="80"/>
        <v>277734.04699999996</v>
      </c>
      <c r="S72" s="36"/>
      <c r="T72" s="36">
        <f>70000+20000</f>
        <v>90000</v>
      </c>
      <c r="U72" s="36"/>
      <c r="V72" s="36"/>
      <c r="W72" s="62">
        <v>3369.51</v>
      </c>
      <c r="X72" s="26">
        <f t="shared" si="82"/>
        <v>93369.51</v>
      </c>
      <c r="Y72" s="36">
        <v>152864.53699999995</v>
      </c>
      <c r="Z72" s="36">
        <f t="shared" si="81"/>
        <v>184364.53699999995</v>
      </c>
    </row>
    <row r="73" spans="1:26" ht="20.100000000000001" customHeight="1">
      <c r="A73" s="3">
        <v>10</v>
      </c>
      <c r="B73" s="159" t="s">
        <v>164</v>
      </c>
      <c r="C73" s="47" t="s">
        <v>159</v>
      </c>
      <c r="D73" s="3" t="s">
        <v>100</v>
      </c>
      <c r="E73" s="62">
        <f>17286.33</f>
        <v>17286.330000000002</v>
      </c>
      <c r="F73" s="62"/>
      <c r="G73" s="62">
        <f t="shared" ref="G73:G75" si="85">E73*300%</f>
        <v>51858.990000000005</v>
      </c>
      <c r="H73" s="62">
        <f t="shared" ref="H73:H75" si="86">E73*7.5%</f>
        <v>1296.4747500000001</v>
      </c>
      <c r="I73" s="62"/>
      <c r="J73" s="62">
        <f t="shared" ref="J73:J75" si="87">E73*50%</f>
        <v>8643.1650000000009</v>
      </c>
      <c r="K73" s="62">
        <f t="shared" ref="K73:K75" si="88">E73*350%</f>
        <v>60502.155000000006</v>
      </c>
      <c r="L73" s="62">
        <f t="shared" ref="L73:L75" si="89">E73*100%</f>
        <v>17286.330000000002</v>
      </c>
      <c r="M73" s="27">
        <f t="shared" si="84"/>
        <v>100000</v>
      </c>
      <c r="N73" s="27"/>
      <c r="O73" s="62">
        <f t="shared" ref="O73:O75" si="90">E73*10%</f>
        <v>1728.6330000000003</v>
      </c>
      <c r="P73" s="62">
        <v>10000</v>
      </c>
      <c r="Q73" s="62"/>
      <c r="R73" s="36">
        <f t="shared" ref="R73:R75" si="91">SUM(E73:Q73)</f>
        <v>268602.07775000005</v>
      </c>
      <c r="S73" s="36"/>
      <c r="T73" s="36">
        <f>50000</f>
        <v>50000</v>
      </c>
      <c r="U73" s="36">
        <v>0</v>
      </c>
      <c r="V73" s="36"/>
      <c r="W73" s="62">
        <v>3369.51</v>
      </c>
      <c r="X73" s="26">
        <f t="shared" si="82"/>
        <v>53369.51</v>
      </c>
      <c r="Y73" s="36">
        <v>215232.56775000005</v>
      </c>
      <c r="Z73" s="36">
        <f t="shared" ref="Z73:Z75" si="92">R73-X73</f>
        <v>215232.56775000005</v>
      </c>
    </row>
    <row r="74" spans="1:26" ht="20.100000000000001" customHeight="1">
      <c r="A74" s="3">
        <v>11</v>
      </c>
      <c r="B74" s="159" t="s">
        <v>165</v>
      </c>
      <c r="C74" s="47" t="s">
        <v>166</v>
      </c>
      <c r="D74" s="3" t="s">
        <v>98</v>
      </c>
      <c r="E74" s="62">
        <f>12351.94</f>
        <v>12351.94</v>
      </c>
      <c r="F74" s="62"/>
      <c r="G74" s="62">
        <f t="shared" si="85"/>
        <v>37055.82</v>
      </c>
      <c r="H74" s="62">
        <f t="shared" si="86"/>
        <v>926.39549999999997</v>
      </c>
      <c r="I74" s="62"/>
      <c r="J74" s="62">
        <f t="shared" si="87"/>
        <v>6175.97</v>
      </c>
      <c r="K74" s="62">
        <f t="shared" si="88"/>
        <v>43231.79</v>
      </c>
      <c r="L74" s="62">
        <f t="shared" si="89"/>
        <v>12351.94</v>
      </c>
      <c r="M74" s="27">
        <f t="shared" si="84"/>
        <v>100000</v>
      </c>
      <c r="N74" s="27"/>
      <c r="O74" s="62">
        <f t="shared" si="90"/>
        <v>1235.1940000000002</v>
      </c>
      <c r="P74" s="62">
        <v>10000</v>
      </c>
      <c r="Q74" s="62"/>
      <c r="R74" s="36">
        <f t="shared" si="91"/>
        <v>223329.04949999999</v>
      </c>
      <c r="S74" s="36"/>
      <c r="T74" s="36">
        <f>100000</f>
        <v>100000</v>
      </c>
      <c r="U74" s="36"/>
      <c r="V74" s="36"/>
      <c r="W74" s="62">
        <v>1484.37</v>
      </c>
      <c r="X74" s="26">
        <f t="shared" si="82"/>
        <v>101484.37</v>
      </c>
      <c r="Y74" s="36">
        <v>121844.6795</v>
      </c>
      <c r="Z74" s="36">
        <f t="shared" si="92"/>
        <v>121844.6795</v>
      </c>
    </row>
    <row r="75" spans="1:26" ht="20.100000000000001" customHeight="1">
      <c r="A75" s="3">
        <v>12</v>
      </c>
      <c r="B75" s="217" t="s">
        <v>167</v>
      </c>
      <c r="C75" s="47" t="s">
        <v>166</v>
      </c>
      <c r="D75" s="3" t="s">
        <v>98</v>
      </c>
      <c r="E75" s="62">
        <f>12351.94</f>
        <v>12351.94</v>
      </c>
      <c r="F75" s="62"/>
      <c r="G75" s="62">
        <f t="shared" si="85"/>
        <v>37055.82</v>
      </c>
      <c r="H75" s="62">
        <f t="shared" si="86"/>
        <v>926.39549999999997</v>
      </c>
      <c r="I75" s="62"/>
      <c r="J75" s="62">
        <f t="shared" si="87"/>
        <v>6175.97</v>
      </c>
      <c r="K75" s="62">
        <f t="shared" si="88"/>
        <v>43231.79</v>
      </c>
      <c r="L75" s="62">
        <f t="shared" si="89"/>
        <v>12351.94</v>
      </c>
      <c r="M75" s="27">
        <f t="shared" si="84"/>
        <v>100000</v>
      </c>
      <c r="N75" s="27"/>
      <c r="O75" s="62">
        <f t="shared" si="90"/>
        <v>1235.1940000000002</v>
      </c>
      <c r="P75" s="62">
        <v>10000</v>
      </c>
      <c r="Q75" s="62"/>
      <c r="R75" s="36">
        <f t="shared" si="91"/>
        <v>223329.04949999999</v>
      </c>
      <c r="S75" s="36"/>
      <c r="T75" s="36"/>
      <c r="U75" s="36"/>
      <c r="V75" s="36"/>
      <c r="W75" s="62">
        <v>1484.37</v>
      </c>
      <c r="X75" s="26">
        <f t="shared" si="82"/>
        <v>1484.37</v>
      </c>
      <c r="Y75" s="36">
        <v>221844.6795</v>
      </c>
      <c r="Z75" s="36">
        <f t="shared" si="92"/>
        <v>221844.6795</v>
      </c>
    </row>
    <row r="76" spans="1:26" ht="20.100000000000001" customHeight="1">
      <c r="A76" s="3"/>
      <c r="B76" s="69" t="s">
        <v>34</v>
      </c>
      <c r="C76" s="30">
        <v>12</v>
      </c>
      <c r="D76" s="30"/>
      <c r="E76" s="99">
        <f t="shared" ref="E76:M76" si="93">SUM(E64:E75)</f>
        <v>309197.61</v>
      </c>
      <c r="F76" s="99">
        <f t="shared" si="93"/>
        <v>0</v>
      </c>
      <c r="G76" s="99">
        <f t="shared" si="93"/>
        <v>927592.82999999984</v>
      </c>
      <c r="H76" s="99">
        <f t="shared" si="93"/>
        <v>23189.820749999995</v>
      </c>
      <c r="I76" s="99">
        <f t="shared" si="93"/>
        <v>120366.57</v>
      </c>
      <c r="J76" s="99">
        <f t="shared" si="93"/>
        <v>154598.80499999999</v>
      </c>
      <c r="K76" s="99">
        <f t="shared" si="93"/>
        <v>1082191.635</v>
      </c>
      <c r="L76" s="99">
        <f t="shared" si="93"/>
        <v>309197.61</v>
      </c>
      <c r="M76" s="158">
        <f t="shared" si="93"/>
        <v>1470000</v>
      </c>
      <c r="N76" s="158"/>
      <c r="O76" s="99">
        <f>SUM(O64:O75)</f>
        <v>30919.761000000002</v>
      </c>
      <c r="P76" s="99">
        <f>SUM(P64:P75)</f>
        <v>170000</v>
      </c>
      <c r="Q76" s="99">
        <f>SUM(Q64:Q75)</f>
        <v>0</v>
      </c>
      <c r="R76" s="99">
        <f>SUM(R64:R75)</f>
        <v>4597254.6417499995</v>
      </c>
      <c r="S76" s="99"/>
      <c r="T76" s="99">
        <f t="shared" ref="T76:Z76" si="94">SUM(T64:T75)</f>
        <v>770000</v>
      </c>
      <c r="U76" s="99">
        <f t="shared" si="94"/>
        <v>612885.09000000008</v>
      </c>
      <c r="V76" s="99">
        <f t="shared" si="94"/>
        <v>481.92375000000004</v>
      </c>
      <c r="W76" s="99">
        <f t="shared" si="94"/>
        <v>115610.77999999994</v>
      </c>
      <c r="X76" s="99">
        <f t="shared" si="94"/>
        <v>1498977.7937500002</v>
      </c>
      <c r="Y76" s="99">
        <v>3066776.8480000002</v>
      </c>
      <c r="Z76" s="99">
        <f t="shared" si="94"/>
        <v>3098276.8480000002</v>
      </c>
    </row>
    <row r="77" spans="1:26" ht="20.100000000000001" customHeight="1">
      <c r="A77" s="3"/>
      <c r="B77" s="69"/>
      <c r="C77" s="30"/>
      <c r="D77" s="30"/>
      <c r="E77" s="31"/>
      <c r="F77" s="31"/>
      <c r="G77" s="31"/>
      <c r="H77" s="31"/>
      <c r="I77" s="31"/>
      <c r="J77" s="31"/>
      <c r="K77" s="31"/>
      <c r="L77" s="31"/>
      <c r="M77" s="27"/>
      <c r="N77" s="27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20.100000000000001" customHeight="1">
      <c r="A78" s="3"/>
      <c r="B78" s="69" t="s">
        <v>168</v>
      </c>
      <c r="C78" s="30"/>
      <c r="D78" s="30"/>
      <c r="E78" s="31"/>
      <c r="F78" s="31"/>
      <c r="G78" s="31"/>
      <c r="H78" s="31"/>
      <c r="I78" s="31"/>
      <c r="J78" s="31"/>
      <c r="K78" s="31"/>
      <c r="L78" s="31"/>
      <c r="M78" s="27"/>
      <c r="N78" s="27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20.100000000000001" customHeight="1">
      <c r="A79" s="3">
        <v>1</v>
      </c>
      <c r="B79" s="81" t="s">
        <v>169</v>
      </c>
      <c r="C79" s="33" t="s">
        <v>170</v>
      </c>
      <c r="D79" s="3" t="s">
        <v>43</v>
      </c>
      <c r="E79" s="62">
        <f>81740.02</f>
        <v>81740.02</v>
      </c>
      <c r="F79" s="62"/>
      <c r="G79" s="62">
        <f t="shared" ref="G79:G85" si="95">E79*300%</f>
        <v>245220.06</v>
      </c>
      <c r="H79" s="62">
        <f t="shared" ref="H79:H85" si="96">E79*7.5%</f>
        <v>6130.5015000000003</v>
      </c>
      <c r="I79" s="62">
        <v>80244.38</v>
      </c>
      <c r="J79" s="62">
        <f>E79*50%</f>
        <v>40870.01</v>
      </c>
      <c r="K79" s="62">
        <f t="shared" ref="K79:K85" si="97">E79*350%</f>
        <v>286090.07</v>
      </c>
      <c r="L79" s="62">
        <f>E79*100%</f>
        <v>81740.02</v>
      </c>
      <c r="M79" s="27">
        <f>200000</f>
        <v>200000</v>
      </c>
      <c r="N79" s="27"/>
      <c r="O79" s="62">
        <f>E79*10%</f>
        <v>8174.0020000000004</v>
      </c>
      <c r="P79" s="62">
        <v>20000</v>
      </c>
      <c r="Q79" s="62">
        <v>0</v>
      </c>
      <c r="R79" s="36">
        <f>SUM(E79:Q79)</f>
        <v>1050209.0635000002</v>
      </c>
      <c r="S79" s="36"/>
      <c r="T79" s="36">
        <v>250000</v>
      </c>
      <c r="U79" s="36">
        <f>0</f>
        <v>0</v>
      </c>
      <c r="V79" s="36">
        <v>0</v>
      </c>
      <c r="W79" s="62">
        <v>52776.63</v>
      </c>
      <c r="X79" s="36">
        <f>W79+V79+U79+T79+S79</f>
        <v>302776.63</v>
      </c>
      <c r="Y79" s="36">
        <v>747432.43350000016</v>
      </c>
      <c r="Z79" s="36">
        <f>R79-X79</f>
        <v>747432.43350000016</v>
      </c>
    </row>
    <row r="80" spans="1:26" ht="20.100000000000001" customHeight="1">
      <c r="A80" s="3">
        <v>2</v>
      </c>
      <c r="B80" s="1" t="s">
        <v>171</v>
      </c>
      <c r="C80" s="1" t="s">
        <v>172</v>
      </c>
      <c r="D80" s="66" t="s">
        <v>67</v>
      </c>
      <c r="E80" s="36">
        <v>31018.84</v>
      </c>
      <c r="F80" s="62"/>
      <c r="G80" s="62">
        <f t="shared" si="95"/>
        <v>93056.52</v>
      </c>
      <c r="H80" s="62">
        <f t="shared" si="96"/>
        <v>2326.413</v>
      </c>
      <c r="I80" s="62">
        <v>40122.19</v>
      </c>
      <c r="J80" s="62">
        <f t="shared" ref="J80:J81" si="98">E80*50%</f>
        <v>15509.42</v>
      </c>
      <c r="K80" s="62">
        <f t="shared" si="97"/>
        <v>108565.94</v>
      </c>
      <c r="L80" s="62">
        <f t="shared" ref="L80:L81" si="99">E80*100%</f>
        <v>31018.84</v>
      </c>
      <c r="M80" s="27">
        <f>160000</f>
        <v>160000</v>
      </c>
      <c r="N80" s="27"/>
      <c r="O80" s="62">
        <f t="shared" ref="O80:O81" si="100">E80*10%</f>
        <v>3101.884</v>
      </c>
      <c r="P80" s="62">
        <v>20000</v>
      </c>
      <c r="Q80" s="63">
        <v>0</v>
      </c>
      <c r="R80" s="36">
        <f t="shared" ref="R80:R81" si="101">SUM(E80:Q80)</f>
        <v>504720.04700000002</v>
      </c>
      <c r="S80" s="36"/>
      <c r="T80" s="36"/>
      <c r="U80" s="36"/>
      <c r="V80" s="36">
        <v>0</v>
      </c>
      <c r="W80" s="62">
        <f t="shared" ref="W80:W81" si="102">15548.33</f>
        <v>15548.33</v>
      </c>
      <c r="X80" s="36">
        <f t="shared" ref="X80:X85" si="103">W80+V80+U80+T80+S80</f>
        <v>15548.33</v>
      </c>
      <c r="Y80" s="36">
        <v>489171.717</v>
      </c>
      <c r="Z80" s="36">
        <f t="shared" ref="Z80:Z81" si="104">R80-X80</f>
        <v>489171.717</v>
      </c>
    </row>
    <row r="81" spans="1:26" ht="20.100000000000001" customHeight="1">
      <c r="A81" s="3">
        <v>3</v>
      </c>
      <c r="B81" s="1" t="s">
        <v>173</v>
      </c>
      <c r="C81" s="1" t="s">
        <v>174</v>
      </c>
      <c r="D81" s="66" t="s">
        <v>67</v>
      </c>
      <c r="E81" s="36">
        <v>31018.84</v>
      </c>
      <c r="F81" s="62"/>
      <c r="G81" s="62">
        <f t="shared" si="95"/>
        <v>93056.52</v>
      </c>
      <c r="H81" s="62">
        <f t="shared" si="96"/>
        <v>2326.413</v>
      </c>
      <c r="I81" s="62">
        <v>40122.19</v>
      </c>
      <c r="J81" s="62">
        <f t="shared" si="98"/>
        <v>15509.42</v>
      </c>
      <c r="K81" s="62">
        <f t="shared" si="97"/>
        <v>108565.94</v>
      </c>
      <c r="L81" s="62">
        <f t="shared" si="99"/>
        <v>31018.84</v>
      </c>
      <c r="M81" s="27">
        <f>160000</f>
        <v>160000</v>
      </c>
      <c r="N81" s="27"/>
      <c r="O81" s="62">
        <f t="shared" si="100"/>
        <v>3101.884</v>
      </c>
      <c r="P81" s="62">
        <v>20000</v>
      </c>
      <c r="Q81" s="63">
        <v>0</v>
      </c>
      <c r="R81" s="36">
        <f t="shared" si="101"/>
        <v>504720.04700000002</v>
      </c>
      <c r="S81" s="36"/>
      <c r="T81" s="36"/>
      <c r="U81" s="36"/>
      <c r="V81" s="36">
        <v>0</v>
      </c>
      <c r="W81" s="62">
        <f t="shared" si="102"/>
        <v>15548.33</v>
      </c>
      <c r="X81" s="36">
        <f t="shared" si="103"/>
        <v>15548.33</v>
      </c>
      <c r="Y81" s="36">
        <v>489171.717</v>
      </c>
      <c r="Z81" s="36">
        <f t="shared" si="104"/>
        <v>489171.717</v>
      </c>
    </row>
    <row r="82" spans="1:26" ht="20.100000000000001" customHeight="1">
      <c r="A82" s="3">
        <v>4</v>
      </c>
      <c r="B82" s="81" t="s">
        <v>175</v>
      </c>
      <c r="C82" s="33" t="s">
        <v>142</v>
      </c>
      <c r="D82" s="66" t="s">
        <v>103</v>
      </c>
      <c r="E82" s="62">
        <f>23891.12</f>
        <v>23891.119999999999</v>
      </c>
      <c r="F82" s="62"/>
      <c r="G82" s="62">
        <f t="shared" si="95"/>
        <v>71673.36</v>
      </c>
      <c r="H82" s="62">
        <f t="shared" si="96"/>
        <v>1791.8339999999998</v>
      </c>
      <c r="I82" s="36">
        <v>0</v>
      </c>
      <c r="J82" s="62">
        <f>E82*50%</f>
        <v>11945.56</v>
      </c>
      <c r="K82" s="36">
        <f t="shared" si="97"/>
        <v>83618.92</v>
      </c>
      <c r="L82" s="62">
        <f>E82*100%</f>
        <v>23891.119999999999</v>
      </c>
      <c r="M82" s="27">
        <f>120000</f>
        <v>120000</v>
      </c>
      <c r="N82" s="27"/>
      <c r="O82" s="62">
        <f>E82*10%</f>
        <v>2389.1120000000001</v>
      </c>
      <c r="P82" s="62">
        <v>15000</v>
      </c>
      <c r="Q82" s="62">
        <v>0</v>
      </c>
      <c r="R82" s="36">
        <f>SUM(E82:Q82)</f>
        <v>354201.02600000001</v>
      </c>
      <c r="S82" s="36"/>
      <c r="T82" s="36">
        <f>0</f>
        <v>0</v>
      </c>
      <c r="U82" s="36">
        <f>0</f>
        <v>0</v>
      </c>
      <c r="V82" s="36">
        <f>'[2]Jan 2021'!$H$44</f>
        <v>597.27800000000002</v>
      </c>
      <c r="W82" s="62">
        <f>7709.76</f>
        <v>7709.76</v>
      </c>
      <c r="X82" s="36">
        <f t="shared" si="103"/>
        <v>8307.0380000000005</v>
      </c>
      <c r="Y82" s="36">
        <v>345893.98800000001</v>
      </c>
      <c r="Z82" s="36">
        <f>R82-X82</f>
        <v>345893.98800000001</v>
      </c>
    </row>
    <row r="83" spans="1:26" ht="20.100000000000001" customHeight="1">
      <c r="A83" s="3">
        <v>5</v>
      </c>
      <c r="B83" s="81" t="s">
        <v>176</v>
      </c>
      <c r="C83" s="33" t="s">
        <v>163</v>
      </c>
      <c r="D83" s="3" t="s">
        <v>100</v>
      </c>
      <c r="E83" s="62">
        <f t="shared" ref="E83" si="105">17286.33</f>
        <v>17286.330000000002</v>
      </c>
      <c r="F83" s="62"/>
      <c r="G83" s="62">
        <f t="shared" si="95"/>
        <v>51858.990000000005</v>
      </c>
      <c r="H83" s="62">
        <f t="shared" si="96"/>
        <v>1296.4747500000001</v>
      </c>
      <c r="I83" s="62"/>
      <c r="J83" s="62">
        <f t="shared" ref="J83:J85" si="106">E83*50%</f>
        <v>8643.1650000000009</v>
      </c>
      <c r="K83" s="62">
        <f t="shared" si="97"/>
        <v>60502.155000000006</v>
      </c>
      <c r="L83" s="62">
        <f t="shared" ref="L83:L85" si="107">E83*100%</f>
        <v>17286.330000000002</v>
      </c>
      <c r="M83" s="27">
        <f>100000</f>
        <v>100000</v>
      </c>
      <c r="N83" s="27"/>
      <c r="O83" s="62">
        <f t="shared" ref="O83:O85" si="108">E83*10%</f>
        <v>1728.6330000000003</v>
      </c>
      <c r="P83" s="62">
        <v>10000</v>
      </c>
      <c r="Q83" s="62"/>
      <c r="R83" s="36">
        <f t="shared" ref="R83:R85" si="109">SUM(E83:Q83)</f>
        <v>268602.07775000005</v>
      </c>
      <c r="S83" s="36"/>
      <c r="T83" s="36">
        <f>50000</f>
        <v>50000</v>
      </c>
      <c r="U83" s="36">
        <f>50000</f>
        <v>50000</v>
      </c>
      <c r="V83" s="36"/>
      <c r="W83" s="62">
        <v>3369.51</v>
      </c>
      <c r="X83" s="36">
        <f t="shared" si="103"/>
        <v>103369.51000000001</v>
      </c>
      <c r="Y83" s="36">
        <v>165232.56775000005</v>
      </c>
      <c r="Z83" s="36">
        <f t="shared" ref="Z83:Z85" si="110">R83-X83</f>
        <v>165232.56775000005</v>
      </c>
    </row>
    <row r="84" spans="1:26" ht="20.100000000000001" customHeight="1">
      <c r="A84" s="3">
        <v>6</v>
      </c>
      <c r="B84" s="81" t="s">
        <v>177</v>
      </c>
      <c r="C84" s="33" t="s">
        <v>178</v>
      </c>
      <c r="D84" s="3" t="s">
        <v>115</v>
      </c>
      <c r="E84" s="62">
        <f>12732</f>
        <v>12732</v>
      </c>
      <c r="F84" s="62"/>
      <c r="G84" s="62">
        <f t="shared" si="95"/>
        <v>38196</v>
      </c>
      <c r="H84" s="62">
        <f t="shared" si="96"/>
        <v>954.9</v>
      </c>
      <c r="I84" s="62"/>
      <c r="J84" s="62">
        <f t="shared" si="106"/>
        <v>6366</v>
      </c>
      <c r="K84" s="62">
        <f t="shared" si="97"/>
        <v>44562</v>
      </c>
      <c r="L84" s="62">
        <f t="shared" si="107"/>
        <v>12732</v>
      </c>
      <c r="M84" s="27">
        <f t="shared" ref="M84:M85" si="111">100000</f>
        <v>100000</v>
      </c>
      <c r="N84" s="27"/>
      <c r="O84" s="62">
        <f t="shared" si="108"/>
        <v>1273.2</v>
      </c>
      <c r="P84" s="62">
        <v>10000</v>
      </c>
      <c r="Q84" s="62"/>
      <c r="R84" s="36">
        <f t="shared" si="109"/>
        <v>226816.1</v>
      </c>
      <c r="S84" s="36"/>
      <c r="T84" s="36">
        <f>3000+20000</f>
        <v>23000</v>
      </c>
      <c r="U84" s="36">
        <v>0</v>
      </c>
      <c r="V84" s="36"/>
      <c r="W84" s="62">
        <v>1484.37</v>
      </c>
      <c r="X84" s="36">
        <f t="shared" si="103"/>
        <v>24484.37</v>
      </c>
      <c r="Y84" s="36">
        <v>202331.73</v>
      </c>
      <c r="Z84" s="36">
        <f t="shared" si="110"/>
        <v>202331.73</v>
      </c>
    </row>
    <row r="85" spans="1:26" ht="20.100000000000001" customHeight="1">
      <c r="A85" s="3">
        <v>7</v>
      </c>
      <c r="B85" s="81" t="s">
        <v>179</v>
      </c>
      <c r="C85" s="33" t="s">
        <v>180</v>
      </c>
      <c r="D85" s="3" t="s">
        <v>98</v>
      </c>
      <c r="E85" s="62">
        <f>12351.94</f>
        <v>12351.94</v>
      </c>
      <c r="F85" s="62"/>
      <c r="G85" s="62">
        <f t="shared" si="95"/>
        <v>37055.82</v>
      </c>
      <c r="H85" s="62">
        <f t="shared" si="96"/>
        <v>926.39549999999997</v>
      </c>
      <c r="I85" s="62"/>
      <c r="J85" s="62">
        <f t="shared" si="106"/>
        <v>6175.97</v>
      </c>
      <c r="K85" s="62">
        <f t="shared" si="97"/>
        <v>43231.79</v>
      </c>
      <c r="L85" s="62">
        <f t="shared" si="107"/>
        <v>12351.94</v>
      </c>
      <c r="M85" s="27">
        <f t="shared" si="111"/>
        <v>100000</v>
      </c>
      <c r="N85" s="27"/>
      <c r="O85" s="62">
        <f t="shared" si="108"/>
        <v>1235.1940000000002</v>
      </c>
      <c r="P85" s="62">
        <v>10000</v>
      </c>
      <c r="Q85" s="62"/>
      <c r="R85" s="36">
        <f t="shared" si="109"/>
        <v>223329.04949999999</v>
      </c>
      <c r="S85" s="36"/>
      <c r="T85" s="36">
        <f>0</f>
        <v>0</v>
      </c>
      <c r="U85" s="36">
        <f>26666.67</f>
        <v>26666.67</v>
      </c>
      <c r="V85" s="36"/>
      <c r="W85" s="62">
        <v>1484.37</v>
      </c>
      <c r="X85" s="36">
        <f t="shared" si="103"/>
        <v>28151.039999999997</v>
      </c>
      <c r="Y85" s="36">
        <v>195178.00949999999</v>
      </c>
      <c r="Z85" s="36">
        <f t="shared" si="110"/>
        <v>195178.00949999999</v>
      </c>
    </row>
    <row r="86" spans="1:26" ht="20.100000000000001" customHeight="1">
      <c r="A86" s="3"/>
      <c r="B86" s="69" t="s">
        <v>34</v>
      </c>
      <c r="C86" s="30">
        <v>7</v>
      </c>
      <c r="D86" s="30"/>
      <c r="E86" s="99">
        <f>SUM(E79:E85)</f>
        <v>210039.09000000003</v>
      </c>
      <c r="F86" s="99"/>
      <c r="G86" s="99">
        <f t="shared" ref="G86:M86" si="112">SUM(G79:G85)</f>
        <v>630117.27</v>
      </c>
      <c r="H86" s="99">
        <f t="shared" si="112"/>
        <v>15752.931750000002</v>
      </c>
      <c r="I86" s="99">
        <f t="shared" si="112"/>
        <v>160488.76</v>
      </c>
      <c r="J86" s="99">
        <f t="shared" si="112"/>
        <v>105019.54500000001</v>
      </c>
      <c r="K86" s="99">
        <f t="shared" si="112"/>
        <v>735136.81500000006</v>
      </c>
      <c r="L86" s="99">
        <f t="shared" si="112"/>
        <v>210039.09000000003</v>
      </c>
      <c r="M86" s="158">
        <f t="shared" si="112"/>
        <v>940000</v>
      </c>
      <c r="N86" s="158"/>
      <c r="O86" s="99">
        <f>SUM(O79:O85)</f>
        <v>21003.909000000003</v>
      </c>
      <c r="P86" s="99">
        <f>SUM(P79:P85)</f>
        <v>105000</v>
      </c>
      <c r="Q86" s="99">
        <f>SUM(Q79:Q85)</f>
        <v>0</v>
      </c>
      <c r="R86" s="99">
        <f>SUM(R79:R85)</f>
        <v>3132597.4107500007</v>
      </c>
      <c r="S86" s="99"/>
      <c r="T86" s="99">
        <f>SUM(T79:T85)</f>
        <v>323000</v>
      </c>
      <c r="U86" s="99">
        <f>SUM(U79:U85)</f>
        <v>76666.67</v>
      </c>
      <c r="V86" s="99">
        <f>SUM(V79:V85)</f>
        <v>597.27800000000002</v>
      </c>
      <c r="W86" s="99">
        <f>SUM(W79:W85)</f>
        <v>97921.299999999974</v>
      </c>
      <c r="X86" s="99">
        <f>SUM(X79:X85)</f>
        <v>498185.24800000002</v>
      </c>
      <c r="Y86" s="99">
        <v>2634412.1627500001</v>
      </c>
      <c r="Z86" s="99">
        <f>SUM(Z79:Z85)</f>
        <v>2634412.1627500001</v>
      </c>
    </row>
    <row r="87" spans="1:26" ht="20.100000000000001" customHeight="1">
      <c r="A87" s="3"/>
      <c r="B87" s="222"/>
      <c r="C87" s="7"/>
      <c r="D87" s="7"/>
      <c r="E87" s="39"/>
      <c r="F87" s="39"/>
      <c r="G87" s="39"/>
      <c r="H87" s="39"/>
      <c r="I87" s="39"/>
      <c r="J87" s="39"/>
      <c r="K87" s="39"/>
      <c r="L87" s="39"/>
      <c r="M87" s="27"/>
      <c r="N87" s="27"/>
      <c r="O87" s="39"/>
      <c r="P87" s="39"/>
      <c r="Q87" s="39"/>
      <c r="R87" s="63"/>
      <c r="S87" s="63"/>
      <c r="T87" s="63"/>
      <c r="U87" s="63"/>
      <c r="V87" s="63"/>
      <c r="W87" s="39"/>
      <c r="X87" s="36"/>
      <c r="Y87" s="36"/>
      <c r="Z87" s="36"/>
    </row>
    <row r="88" spans="1:26" ht="20.100000000000001" customHeight="1">
      <c r="A88" s="3"/>
      <c r="B88" s="223" t="s">
        <v>181</v>
      </c>
      <c r="C88" s="70"/>
      <c r="D88" s="7"/>
      <c r="E88" s="39"/>
      <c r="F88" s="39"/>
      <c r="G88" s="39"/>
      <c r="H88" s="39"/>
      <c r="I88" s="39"/>
      <c r="J88" s="39"/>
      <c r="K88" s="39"/>
      <c r="L88" s="39"/>
      <c r="M88" s="27"/>
      <c r="N88" s="27"/>
      <c r="O88" s="39"/>
      <c r="P88" s="39"/>
      <c r="Q88" s="39"/>
      <c r="R88" s="63"/>
      <c r="S88" s="63"/>
      <c r="T88" s="63"/>
      <c r="U88" s="63"/>
      <c r="V88" s="63"/>
      <c r="W88" s="39"/>
      <c r="X88" s="36"/>
      <c r="Y88" s="36"/>
      <c r="Z88" s="36"/>
    </row>
    <row r="89" spans="1:26" ht="20.100000000000001" customHeight="1">
      <c r="A89" s="3">
        <v>1</v>
      </c>
      <c r="B89" s="81" t="s">
        <v>182</v>
      </c>
      <c r="C89" s="33" t="s">
        <v>183</v>
      </c>
      <c r="D89" s="3" t="s">
        <v>49</v>
      </c>
      <c r="E89" s="62">
        <f>39662.25</f>
        <v>39662.25</v>
      </c>
      <c r="F89" s="62"/>
      <c r="G89" s="62">
        <f t="shared" ref="G89" si="113">E89*300%</f>
        <v>118986.75</v>
      </c>
      <c r="H89" s="62">
        <f t="shared" ref="H89" si="114">E89*7.5%</f>
        <v>2974.6687499999998</v>
      </c>
      <c r="I89" s="62">
        <v>40122.19</v>
      </c>
      <c r="J89" s="62">
        <f t="shared" ref="J89" si="115">E89*50%</f>
        <v>19831.125</v>
      </c>
      <c r="K89" s="62">
        <f t="shared" ref="K89" si="116">E89*350%</f>
        <v>138817.875</v>
      </c>
      <c r="L89" s="62">
        <f t="shared" ref="L89:L96" si="117">E89*100%</f>
        <v>39662.25</v>
      </c>
      <c r="M89" s="27">
        <f>180000</f>
        <v>180000</v>
      </c>
      <c r="N89" s="27"/>
      <c r="O89" s="62">
        <f t="shared" ref="O89:O96" si="118">E89*10%</f>
        <v>3966.2250000000004</v>
      </c>
      <c r="P89" s="62">
        <v>20000</v>
      </c>
      <c r="Q89" s="62"/>
      <c r="R89" s="36">
        <f t="shared" ref="R89:R96" si="119">SUM(E89:Q89)</f>
        <v>604023.33374999999</v>
      </c>
      <c r="S89" s="36"/>
      <c r="T89" s="36"/>
      <c r="U89" s="36"/>
      <c r="V89" s="36"/>
      <c r="W89" s="62">
        <f>21618.09</f>
        <v>21618.09</v>
      </c>
      <c r="X89" s="36">
        <f>W89+V89+U89+T89+S89</f>
        <v>21618.09</v>
      </c>
      <c r="Y89" s="36">
        <v>582405.24375000002</v>
      </c>
      <c r="Z89" s="36">
        <f t="shared" ref="Z89:Z96" si="120">R89-X89</f>
        <v>582405.24375000002</v>
      </c>
    </row>
    <row r="90" spans="1:26" ht="20.100000000000001" customHeight="1">
      <c r="A90" s="3">
        <v>2</v>
      </c>
      <c r="B90" s="81" t="s">
        <v>184</v>
      </c>
      <c r="C90" s="33" t="s">
        <v>128</v>
      </c>
      <c r="D90" s="3" t="s">
        <v>64</v>
      </c>
      <c r="E90" s="62">
        <f>32263.2</f>
        <v>32263.200000000001</v>
      </c>
      <c r="F90" s="62"/>
      <c r="G90" s="62">
        <f t="shared" ref="G90:G96" si="121">E90*300%</f>
        <v>96789.6</v>
      </c>
      <c r="H90" s="62">
        <f t="shared" ref="H90:H96" si="122">E90*7.5%</f>
        <v>2419.7399999999998</v>
      </c>
      <c r="I90" s="62">
        <f>40122.19</f>
        <v>40122.19</v>
      </c>
      <c r="J90" s="62">
        <f t="shared" ref="J90:J96" si="123">E90*50%</f>
        <v>16131.6</v>
      </c>
      <c r="K90" s="62">
        <f t="shared" ref="K90:K96" si="124">E90*350%</f>
        <v>112921.2</v>
      </c>
      <c r="L90" s="62">
        <f t="shared" si="117"/>
        <v>32263.200000000001</v>
      </c>
      <c r="M90" s="27">
        <f>160000</f>
        <v>160000</v>
      </c>
      <c r="N90" s="27"/>
      <c r="O90" s="62">
        <f t="shared" si="118"/>
        <v>3226.32</v>
      </c>
      <c r="P90" s="62">
        <v>20000</v>
      </c>
      <c r="Q90" s="62"/>
      <c r="R90" s="36">
        <f t="shared" si="119"/>
        <v>516137.05000000005</v>
      </c>
      <c r="S90" s="36"/>
      <c r="T90" s="36"/>
      <c r="U90" s="36"/>
      <c r="V90" s="36"/>
      <c r="W90" s="62">
        <f>15548.33</f>
        <v>15548.33</v>
      </c>
      <c r="X90" s="36">
        <f t="shared" ref="X90:X98" si="125">W90+V90+U90+T90+S90</f>
        <v>15548.33</v>
      </c>
      <c r="Y90" s="36">
        <v>500588.72000000003</v>
      </c>
      <c r="Z90" s="36">
        <f t="shared" si="120"/>
        <v>500588.72000000003</v>
      </c>
    </row>
    <row r="91" spans="1:26" ht="20.100000000000001" customHeight="1">
      <c r="A91" s="3">
        <v>3</v>
      </c>
      <c r="B91" s="81" t="s">
        <v>185</v>
      </c>
      <c r="C91" s="33" t="s">
        <v>128</v>
      </c>
      <c r="D91" s="3" t="s">
        <v>64</v>
      </c>
      <c r="E91" s="62">
        <f>32263.2</f>
        <v>32263.200000000001</v>
      </c>
      <c r="F91" s="62"/>
      <c r="G91" s="62">
        <f>E91*300%</f>
        <v>96789.6</v>
      </c>
      <c r="H91" s="62">
        <f>E91*7.5%</f>
        <v>2419.7399999999998</v>
      </c>
      <c r="I91" s="62">
        <f>40122.19</f>
        <v>40122.19</v>
      </c>
      <c r="J91" s="62">
        <f>E91*50%</f>
        <v>16131.6</v>
      </c>
      <c r="K91" s="62">
        <f>E91*350%</f>
        <v>112921.2</v>
      </c>
      <c r="L91" s="62">
        <f>E91*100%</f>
        <v>32263.200000000001</v>
      </c>
      <c r="M91" s="27">
        <f>160000</f>
        <v>160000</v>
      </c>
      <c r="N91" s="27"/>
      <c r="O91" s="62">
        <f>E91*10%</f>
        <v>3226.32</v>
      </c>
      <c r="P91" s="62">
        <v>20000</v>
      </c>
      <c r="Q91" s="62"/>
      <c r="R91" s="36">
        <f>SUM(E91:Q91)</f>
        <v>516137.05000000005</v>
      </c>
      <c r="S91" s="36"/>
      <c r="T91" s="36">
        <f>20000</f>
        <v>20000</v>
      </c>
      <c r="U91" s="36">
        <f>68750</f>
        <v>68750</v>
      </c>
      <c r="V91" s="36">
        <f>'[2]Jan 2021'!$H$38</f>
        <v>806.58</v>
      </c>
      <c r="W91" s="62">
        <f>15548.33</f>
        <v>15548.33</v>
      </c>
      <c r="X91" s="36">
        <f t="shared" si="125"/>
        <v>105104.91</v>
      </c>
      <c r="Y91" s="36">
        <v>411032.14</v>
      </c>
      <c r="Z91" s="36">
        <f>R91-X91</f>
        <v>411032.14</v>
      </c>
    </row>
    <row r="92" spans="1:26" ht="20.100000000000001" customHeight="1">
      <c r="A92" s="3">
        <v>4</v>
      </c>
      <c r="B92" s="81" t="s">
        <v>186</v>
      </c>
      <c r="C92" s="33" t="s">
        <v>132</v>
      </c>
      <c r="D92" s="3" t="s">
        <v>70</v>
      </c>
      <c r="E92" s="62">
        <f>25854.1</f>
        <v>25854.1</v>
      </c>
      <c r="F92" s="62"/>
      <c r="G92" s="62">
        <f t="shared" si="121"/>
        <v>77562.299999999988</v>
      </c>
      <c r="H92" s="62">
        <f t="shared" si="122"/>
        <v>1939.0574999999999</v>
      </c>
      <c r="I92" s="62">
        <v>0</v>
      </c>
      <c r="J92" s="62">
        <f t="shared" si="123"/>
        <v>12927.05</v>
      </c>
      <c r="K92" s="62">
        <f t="shared" si="124"/>
        <v>90489.349999999991</v>
      </c>
      <c r="L92" s="62">
        <f t="shared" si="117"/>
        <v>25854.1</v>
      </c>
      <c r="M92" s="27">
        <v>140000</v>
      </c>
      <c r="N92" s="27"/>
      <c r="O92" s="62">
        <f t="shared" si="118"/>
        <v>2585.41</v>
      </c>
      <c r="P92" s="62">
        <v>20000</v>
      </c>
      <c r="Q92" s="62">
        <v>0</v>
      </c>
      <c r="R92" s="36">
        <f t="shared" si="119"/>
        <v>397211.36749999999</v>
      </c>
      <c r="S92" s="36"/>
      <c r="T92" s="36">
        <f>50000</f>
        <v>50000</v>
      </c>
      <c r="U92" s="36"/>
      <c r="V92" s="36"/>
      <c r="W92" s="36">
        <f t="shared" si="20"/>
        <v>7709.76</v>
      </c>
      <c r="X92" s="36">
        <f t="shared" si="125"/>
        <v>57709.760000000002</v>
      </c>
      <c r="Y92" s="36">
        <v>339501.60749999998</v>
      </c>
      <c r="Z92" s="36">
        <f t="shared" si="120"/>
        <v>339501.60749999998</v>
      </c>
    </row>
    <row r="93" spans="1:26" ht="20.100000000000001" customHeight="1">
      <c r="A93" s="3">
        <v>5</v>
      </c>
      <c r="B93" s="217" t="s">
        <v>187</v>
      </c>
      <c r="C93" s="33" t="s">
        <v>136</v>
      </c>
      <c r="D93" s="3" t="s">
        <v>188</v>
      </c>
      <c r="E93" s="62">
        <f>26732.65</f>
        <v>26732.65</v>
      </c>
      <c r="F93" s="62"/>
      <c r="G93" s="62">
        <f>E93*300%</f>
        <v>80197.950000000012</v>
      </c>
      <c r="H93" s="62">
        <f>E93*7.5%</f>
        <v>2004.94875</v>
      </c>
      <c r="I93" s="62"/>
      <c r="J93" s="62">
        <f>E93*50%</f>
        <v>13366.325000000001</v>
      </c>
      <c r="K93" s="36">
        <f>E93*350%</f>
        <v>93564.275000000009</v>
      </c>
      <c r="L93" s="62">
        <f>E93*100%</f>
        <v>26732.65</v>
      </c>
      <c r="M93" s="27">
        <v>140000</v>
      </c>
      <c r="N93" s="27"/>
      <c r="O93" s="62">
        <f>E93*10%</f>
        <v>2673.2650000000003</v>
      </c>
      <c r="P93" s="62">
        <v>20000</v>
      </c>
      <c r="Q93" s="62">
        <v>0</v>
      </c>
      <c r="R93" s="26">
        <f>SUM(E93:Q93)</f>
        <v>405272.06374999997</v>
      </c>
      <c r="S93" s="26"/>
      <c r="T93" s="36">
        <f>20000</f>
        <v>20000</v>
      </c>
      <c r="U93" s="36">
        <f>163103.59</f>
        <v>163103.59</v>
      </c>
      <c r="V93" s="36">
        <f>'[2]Jan 2021'!$H$46</f>
        <v>668.31625000000008</v>
      </c>
      <c r="W93" s="36">
        <f>7709.76</f>
        <v>7709.76</v>
      </c>
      <c r="X93" s="36">
        <f t="shared" si="125"/>
        <v>191481.66625000001</v>
      </c>
      <c r="Y93" s="26">
        <v>213790.39749999996</v>
      </c>
      <c r="Z93" s="26">
        <f>R93-X93</f>
        <v>213790.39749999996</v>
      </c>
    </row>
    <row r="94" spans="1:26" ht="20.100000000000001" customHeight="1">
      <c r="A94" s="3">
        <v>6</v>
      </c>
      <c r="B94" s="159" t="s">
        <v>189</v>
      </c>
      <c r="C94" s="33" t="s">
        <v>132</v>
      </c>
      <c r="D94" s="3" t="s">
        <v>70</v>
      </c>
      <c r="E94" s="26">
        <f>25854.1</f>
        <v>25854.1</v>
      </c>
      <c r="F94" s="62"/>
      <c r="G94" s="26">
        <f t="shared" si="121"/>
        <v>77562.299999999988</v>
      </c>
      <c r="H94" s="26">
        <f t="shared" si="122"/>
        <v>1939.0574999999999</v>
      </c>
      <c r="I94" s="26"/>
      <c r="J94" s="26">
        <f t="shared" si="123"/>
        <v>12927.05</v>
      </c>
      <c r="K94" s="26">
        <f t="shared" si="124"/>
        <v>90489.349999999991</v>
      </c>
      <c r="L94" s="26">
        <f t="shared" si="117"/>
        <v>25854.1</v>
      </c>
      <c r="M94" s="27">
        <v>140000</v>
      </c>
      <c r="N94" s="27"/>
      <c r="O94" s="26">
        <f t="shared" si="118"/>
        <v>2585.41</v>
      </c>
      <c r="P94" s="26">
        <v>20000</v>
      </c>
      <c r="Q94" s="26"/>
      <c r="R94" s="36">
        <f t="shared" si="119"/>
        <v>397211.36749999999</v>
      </c>
      <c r="S94" s="36"/>
      <c r="T94" s="24">
        <f>50000</f>
        <v>50000</v>
      </c>
      <c r="U94" s="42">
        <f>(500000*1.03)/6</f>
        <v>85833.333333333328</v>
      </c>
      <c r="V94" s="24"/>
      <c r="W94" s="36">
        <f t="shared" si="20"/>
        <v>7709.76</v>
      </c>
      <c r="X94" s="36">
        <f t="shared" si="125"/>
        <v>143543.09333333332</v>
      </c>
      <c r="Y94" s="36">
        <v>339501.60749999998</v>
      </c>
      <c r="Z94" s="36">
        <f t="shared" si="120"/>
        <v>253668.27416666667</v>
      </c>
    </row>
    <row r="95" spans="1:26" ht="20.100000000000001" customHeight="1">
      <c r="A95" s="3">
        <v>7</v>
      </c>
      <c r="B95" s="81" t="s">
        <v>190</v>
      </c>
      <c r="C95" s="61" t="s">
        <v>136</v>
      </c>
      <c r="D95" s="66" t="s">
        <v>191</v>
      </c>
      <c r="E95" s="62">
        <f>24975.81</f>
        <v>24975.81</v>
      </c>
      <c r="F95" s="62"/>
      <c r="G95" s="62">
        <f>E95*300%</f>
        <v>74927.430000000008</v>
      </c>
      <c r="H95" s="62">
        <f>E95*7.5%</f>
        <v>1873.1857500000001</v>
      </c>
      <c r="I95" s="62">
        <v>0</v>
      </c>
      <c r="J95" s="62">
        <f>E95*50%</f>
        <v>12487.905000000001</v>
      </c>
      <c r="K95" s="36">
        <f>E95*350%</f>
        <v>87415.335000000006</v>
      </c>
      <c r="L95" s="62">
        <f>E95*100%</f>
        <v>24975.81</v>
      </c>
      <c r="M95" s="27">
        <v>140000</v>
      </c>
      <c r="N95" s="27"/>
      <c r="O95" s="62">
        <f>E95*10%</f>
        <v>2497.5810000000001</v>
      </c>
      <c r="P95" s="62">
        <v>20000</v>
      </c>
      <c r="Q95" s="62" t="s">
        <v>192</v>
      </c>
      <c r="R95" s="36">
        <f>SUM(E95:Q95)</f>
        <v>389153.05674999999</v>
      </c>
      <c r="S95" s="36"/>
      <c r="T95" s="36">
        <f>100000</f>
        <v>100000</v>
      </c>
      <c r="U95" s="36">
        <f>68666.67</f>
        <v>68666.67</v>
      </c>
      <c r="V95" s="36"/>
      <c r="W95" s="62">
        <f t="shared" si="27"/>
        <v>7709.76</v>
      </c>
      <c r="X95" s="36">
        <f t="shared" si="125"/>
        <v>176376.43</v>
      </c>
      <c r="Y95" s="36">
        <v>212776.62675</v>
      </c>
      <c r="Z95" s="36">
        <f>R95-X95</f>
        <v>212776.62675</v>
      </c>
    </row>
    <row r="96" spans="1:26" ht="21.6" customHeight="1">
      <c r="A96" s="3">
        <v>8</v>
      </c>
      <c r="B96" s="81" t="s">
        <v>193</v>
      </c>
      <c r="C96" s="33" t="s">
        <v>142</v>
      </c>
      <c r="D96" s="66" t="s">
        <v>103</v>
      </c>
      <c r="E96" s="62">
        <f>23891.12</f>
        <v>23891.119999999999</v>
      </c>
      <c r="F96" s="62"/>
      <c r="G96" s="62">
        <f t="shared" si="121"/>
        <v>71673.36</v>
      </c>
      <c r="H96" s="62">
        <f t="shared" si="122"/>
        <v>1791.8339999999998</v>
      </c>
      <c r="I96" s="62">
        <v>0</v>
      </c>
      <c r="J96" s="62">
        <f t="shared" si="123"/>
        <v>11945.56</v>
      </c>
      <c r="K96" s="36">
        <f t="shared" si="124"/>
        <v>83618.92</v>
      </c>
      <c r="L96" s="62">
        <f t="shared" si="117"/>
        <v>23891.119999999999</v>
      </c>
      <c r="M96" s="27">
        <f>120000</f>
        <v>120000</v>
      </c>
      <c r="N96" s="27"/>
      <c r="O96" s="62">
        <f t="shared" si="118"/>
        <v>2389.1120000000001</v>
      </c>
      <c r="P96" s="62">
        <v>15000</v>
      </c>
      <c r="Q96" s="62">
        <v>0</v>
      </c>
      <c r="R96" s="36">
        <f t="shared" si="119"/>
        <v>354201.02600000001</v>
      </c>
      <c r="S96" s="36"/>
      <c r="T96" s="36">
        <f>20000</f>
        <v>20000</v>
      </c>
      <c r="U96" s="36">
        <f>68666.67</f>
        <v>68666.67</v>
      </c>
      <c r="V96" s="36"/>
      <c r="W96" s="62">
        <f>7709.76</f>
        <v>7709.76</v>
      </c>
      <c r="X96" s="36">
        <f t="shared" si="125"/>
        <v>96376.43</v>
      </c>
      <c r="Y96" s="36">
        <v>257824.59600000002</v>
      </c>
      <c r="Z96" s="36">
        <f t="shared" si="120"/>
        <v>257824.59600000002</v>
      </c>
    </row>
    <row r="97" spans="1:27" ht="21.6" customHeight="1">
      <c r="A97" s="3">
        <v>9</v>
      </c>
      <c r="B97" s="81" t="s">
        <v>194</v>
      </c>
      <c r="C97" s="61" t="s">
        <v>138</v>
      </c>
      <c r="D97" s="66" t="s">
        <v>83</v>
      </c>
      <c r="E97" s="62">
        <f t="shared" ref="E97:E98" si="126">23074.99</f>
        <v>23074.99</v>
      </c>
      <c r="F97" s="62"/>
      <c r="G97" s="62">
        <f t="shared" ref="G97:G98" si="127">E97*300%</f>
        <v>69224.97</v>
      </c>
      <c r="H97" s="62">
        <f t="shared" ref="H97:H98" si="128">E97*7.5%</f>
        <v>1730.6242500000001</v>
      </c>
      <c r="I97" s="62">
        <v>0</v>
      </c>
      <c r="J97" s="62">
        <f t="shared" ref="J97:J98" si="129">E97*50%</f>
        <v>11537.495000000001</v>
      </c>
      <c r="K97" s="36">
        <f t="shared" ref="K97:K98" si="130">E97*350%</f>
        <v>80762.465000000011</v>
      </c>
      <c r="L97" s="62">
        <f t="shared" ref="L97:L98" si="131">E97*100%</f>
        <v>23074.99</v>
      </c>
      <c r="M97" s="27">
        <f t="shared" ref="M97:M98" si="132">120000</f>
        <v>120000</v>
      </c>
      <c r="N97" s="27"/>
      <c r="O97" s="62">
        <f t="shared" ref="O97:O98" si="133">E97*10%</f>
        <v>2307.4990000000003</v>
      </c>
      <c r="P97" s="62">
        <v>15000</v>
      </c>
      <c r="Q97" s="62">
        <v>0</v>
      </c>
      <c r="R97" s="36">
        <f t="shared" ref="R97:R98" si="134">SUM(E97:Q97)</f>
        <v>346713.03325000004</v>
      </c>
      <c r="S97" s="36"/>
      <c r="T97" s="36">
        <f>25000</f>
        <v>25000</v>
      </c>
      <c r="U97" s="36">
        <f>94262.15</f>
        <v>94262.15</v>
      </c>
      <c r="V97" s="36"/>
      <c r="W97" s="62">
        <f t="shared" si="27"/>
        <v>7709.76</v>
      </c>
      <c r="X97" s="36">
        <f t="shared" si="125"/>
        <v>126971.90999999999</v>
      </c>
      <c r="Y97" s="36">
        <v>219741.12325000006</v>
      </c>
      <c r="Z97" s="36">
        <f t="shared" ref="Z97:Z98" si="135">R97-X97</f>
        <v>219741.12325000006</v>
      </c>
    </row>
    <row r="98" spans="1:27" ht="21.6" customHeight="1">
      <c r="A98" s="3">
        <v>10</v>
      </c>
      <c r="B98" s="81" t="s">
        <v>195</v>
      </c>
      <c r="C98" s="61" t="s">
        <v>138</v>
      </c>
      <c r="D98" s="66" t="s">
        <v>83</v>
      </c>
      <c r="E98" s="62">
        <f t="shared" si="126"/>
        <v>23074.99</v>
      </c>
      <c r="F98" s="62"/>
      <c r="G98" s="62">
        <f t="shared" si="127"/>
        <v>69224.97</v>
      </c>
      <c r="H98" s="62">
        <f t="shared" si="128"/>
        <v>1730.6242500000001</v>
      </c>
      <c r="I98" s="62">
        <v>0</v>
      </c>
      <c r="J98" s="62">
        <f t="shared" si="129"/>
        <v>11537.495000000001</v>
      </c>
      <c r="K98" s="36">
        <f t="shared" si="130"/>
        <v>80762.465000000011</v>
      </c>
      <c r="L98" s="62">
        <f t="shared" si="131"/>
        <v>23074.99</v>
      </c>
      <c r="M98" s="27">
        <f t="shared" si="132"/>
        <v>120000</v>
      </c>
      <c r="N98" s="27"/>
      <c r="O98" s="62">
        <f t="shared" si="133"/>
        <v>2307.4990000000003</v>
      </c>
      <c r="P98" s="62">
        <v>15000</v>
      </c>
      <c r="Q98" s="62">
        <v>0</v>
      </c>
      <c r="R98" s="36">
        <f t="shared" si="134"/>
        <v>346713.03325000004</v>
      </c>
      <c r="S98" s="36"/>
      <c r="T98" s="36">
        <f>100000</f>
        <v>100000</v>
      </c>
      <c r="U98" s="36"/>
      <c r="V98" s="36"/>
      <c r="W98" s="62">
        <f t="shared" si="27"/>
        <v>7709.76</v>
      </c>
      <c r="X98" s="36">
        <f t="shared" si="125"/>
        <v>107709.75999999999</v>
      </c>
      <c r="Y98" s="36">
        <v>239003.27325000003</v>
      </c>
      <c r="Z98" s="36">
        <f t="shared" si="135"/>
        <v>239003.27325000003</v>
      </c>
    </row>
    <row r="99" spans="1:27" ht="20.100000000000001" customHeight="1">
      <c r="A99" s="3"/>
      <c r="B99" s="223" t="s">
        <v>34</v>
      </c>
      <c r="C99" s="7">
        <v>10</v>
      </c>
      <c r="D99" s="7"/>
      <c r="E99" s="102">
        <f>SUM(E89:E98)</f>
        <v>277646.40999999997</v>
      </c>
      <c r="F99" s="102"/>
      <c r="G99" s="102">
        <f t="shared" ref="G99:M99" si="136">SUM(G89:G98)</f>
        <v>832939.23</v>
      </c>
      <c r="H99" s="102">
        <f t="shared" si="136"/>
        <v>20823.480749999999</v>
      </c>
      <c r="I99" s="102">
        <f t="shared" si="136"/>
        <v>120366.57</v>
      </c>
      <c r="J99" s="102">
        <f t="shared" si="136"/>
        <v>138823.20499999999</v>
      </c>
      <c r="K99" s="102">
        <f t="shared" si="136"/>
        <v>971762.43499999994</v>
      </c>
      <c r="L99" s="102">
        <f t="shared" si="136"/>
        <v>277646.40999999997</v>
      </c>
      <c r="M99" s="158">
        <f t="shared" si="136"/>
        <v>1420000</v>
      </c>
      <c r="N99" s="158"/>
      <c r="O99" s="102">
        <f>SUM(O89:O98)</f>
        <v>27764.641000000003</v>
      </c>
      <c r="P99" s="102">
        <f>SUM(P89:P98)</f>
        <v>185000</v>
      </c>
      <c r="Q99" s="102">
        <f>SUM(Q89:Q98)</f>
        <v>0</v>
      </c>
      <c r="R99" s="102">
        <f>SUM(R89:R98)</f>
        <v>4272772.3817500006</v>
      </c>
      <c r="S99" s="102"/>
      <c r="T99" s="102">
        <f>SUM(T89:T98)</f>
        <v>385000</v>
      </c>
      <c r="U99" s="102">
        <f>SUM(U89:U98)</f>
        <v>549282.41333333333</v>
      </c>
      <c r="V99" s="102">
        <f>SUM(V89:V98)</f>
        <v>1474.8962500000002</v>
      </c>
      <c r="W99" s="102">
        <f>SUM(W89:W98)</f>
        <v>106683.06999999998</v>
      </c>
      <c r="X99" s="102">
        <f>SUM(X89:X98)</f>
        <v>1042440.3795833333</v>
      </c>
      <c r="Y99" s="102">
        <v>3316165.3355</v>
      </c>
      <c r="Z99" s="102">
        <f>SUM(Z89:Z98)</f>
        <v>3230332.0021666666</v>
      </c>
    </row>
    <row r="100" spans="1:27" ht="20.100000000000001" customHeight="1">
      <c r="A100" s="3"/>
      <c r="B100" s="97"/>
      <c r="C100" s="7"/>
      <c r="D100" s="7"/>
      <c r="E100" s="39"/>
      <c r="F100" s="39"/>
      <c r="G100" s="39"/>
      <c r="H100" s="39"/>
      <c r="I100" s="39"/>
      <c r="J100" s="39"/>
      <c r="K100" s="39"/>
      <c r="L100" s="39"/>
      <c r="M100" s="27"/>
      <c r="N100" s="27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7" ht="20.100000000000001" customHeight="1">
      <c r="A101" s="3"/>
      <c r="B101" s="223" t="s">
        <v>196</v>
      </c>
      <c r="C101" s="7"/>
      <c r="D101" s="7"/>
      <c r="E101" s="39"/>
      <c r="F101" s="39"/>
      <c r="G101" s="39"/>
      <c r="H101" s="39"/>
      <c r="I101" s="39"/>
      <c r="J101" s="39"/>
      <c r="K101" s="39"/>
      <c r="L101" s="39"/>
      <c r="M101" s="27"/>
      <c r="N101" s="27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7" ht="20.100000000000001" customHeight="1">
      <c r="A102" s="3">
        <v>1</v>
      </c>
      <c r="B102" s="81" t="s">
        <v>197</v>
      </c>
      <c r="C102" s="3" t="s">
        <v>198</v>
      </c>
      <c r="D102" s="66" t="s">
        <v>49</v>
      </c>
      <c r="E102" s="62">
        <f>39662.25</f>
        <v>39662.25</v>
      </c>
      <c r="F102" s="62"/>
      <c r="G102" s="62">
        <f t="shared" ref="G102" si="137">E102*300%</f>
        <v>118986.75</v>
      </c>
      <c r="H102" s="62">
        <f t="shared" ref="H102" si="138">E102*7.5%</f>
        <v>2974.6687499999998</v>
      </c>
      <c r="I102" s="62">
        <v>40122.19</v>
      </c>
      <c r="J102" s="62">
        <f t="shared" ref="J102" si="139">E102*50%</f>
        <v>19831.125</v>
      </c>
      <c r="K102" s="62">
        <f t="shared" ref="K102" si="140">E102*350%</f>
        <v>138817.875</v>
      </c>
      <c r="L102" s="62">
        <f t="shared" ref="L102" si="141">E102*100%</f>
        <v>39662.25</v>
      </c>
      <c r="M102" s="27"/>
      <c r="N102" s="27">
        <f>90000</f>
        <v>90000</v>
      </c>
      <c r="O102" s="62">
        <f t="shared" ref="O102" si="142">E102*10%</f>
        <v>3966.2250000000004</v>
      </c>
      <c r="P102" s="62">
        <v>20000</v>
      </c>
      <c r="Q102" s="62"/>
      <c r="R102" s="36">
        <f>SUM(E102:Q102)</f>
        <v>514023.33374999999</v>
      </c>
      <c r="S102" s="36"/>
      <c r="T102" s="36"/>
      <c r="U102" s="36">
        <f>0</f>
        <v>0</v>
      </c>
      <c r="V102" s="36"/>
      <c r="W102" s="62">
        <f>21618.09</f>
        <v>21618.09</v>
      </c>
      <c r="X102" s="36">
        <f t="shared" ref="X102" si="143">W102+V102+U102+T102+S102</f>
        <v>21618.09</v>
      </c>
      <c r="Y102" s="36">
        <v>492405.24374999997</v>
      </c>
      <c r="Z102" s="36">
        <f t="shared" ref="Z102" si="144">R102-X102</f>
        <v>492405.24374999997</v>
      </c>
    </row>
    <row r="103" spans="1:27" ht="20.100000000000001" customHeight="1">
      <c r="A103" s="3">
        <v>2</v>
      </c>
      <c r="B103" s="159" t="s">
        <v>199</v>
      </c>
      <c r="C103" s="20" t="s">
        <v>200</v>
      </c>
      <c r="D103" s="29" t="s">
        <v>70</v>
      </c>
      <c r="E103" s="26">
        <f>25854.1</f>
        <v>25854.1</v>
      </c>
      <c r="F103" s="62"/>
      <c r="G103" s="26">
        <f>E103*300%</f>
        <v>77562.299999999988</v>
      </c>
      <c r="H103" s="26">
        <f>E103*7.5%</f>
        <v>1939.0574999999999</v>
      </c>
      <c r="I103" s="26"/>
      <c r="J103" s="26">
        <f>E103*50%</f>
        <v>12927.05</v>
      </c>
      <c r="K103" s="26">
        <f>E103*350%</f>
        <v>90489.349999999991</v>
      </c>
      <c r="L103" s="26">
        <f>E103*100%</f>
        <v>25854.1</v>
      </c>
      <c r="M103" s="27"/>
      <c r="N103" s="27">
        <f>70000</f>
        <v>70000</v>
      </c>
      <c r="O103" s="26">
        <f>E103*10%</f>
        <v>2585.41</v>
      </c>
      <c r="P103" s="26">
        <v>20000</v>
      </c>
      <c r="Q103" s="26"/>
      <c r="R103" s="36">
        <f>SUM(E103:Q103)</f>
        <v>327211.36749999999</v>
      </c>
      <c r="S103" s="36"/>
      <c r="T103" s="24"/>
      <c r="U103" s="24"/>
      <c r="V103" s="24">
        <f>646.35</f>
        <v>646.35</v>
      </c>
      <c r="W103" s="36">
        <f t="shared" si="20"/>
        <v>7709.76</v>
      </c>
      <c r="X103" s="36">
        <f>W103+V103+U103+T103+S103</f>
        <v>8356.11</v>
      </c>
      <c r="Y103" s="36">
        <v>318855.25750000001</v>
      </c>
      <c r="Z103" s="36">
        <f>R103-X103</f>
        <v>318855.25750000001</v>
      </c>
      <c r="AA103" s="34"/>
    </row>
    <row r="104" spans="1:27" ht="20.100000000000001" customHeight="1">
      <c r="A104" s="3">
        <v>3</v>
      </c>
      <c r="B104" s="159" t="s">
        <v>201</v>
      </c>
      <c r="C104" s="20" t="s">
        <v>202</v>
      </c>
      <c r="D104" s="66" t="s">
        <v>83</v>
      </c>
      <c r="E104" s="62">
        <f>23074.99</f>
        <v>23074.99</v>
      </c>
      <c r="F104" s="62"/>
      <c r="G104" s="62">
        <f t="shared" ref="G104" si="145">E104*300%</f>
        <v>69224.97</v>
      </c>
      <c r="H104" s="62">
        <f t="shared" ref="H104" si="146">E104*7.5%</f>
        <v>1730.6242500000001</v>
      </c>
      <c r="I104" s="36">
        <v>0</v>
      </c>
      <c r="J104" s="62">
        <f t="shared" ref="J104" si="147">E104*50%</f>
        <v>11537.495000000001</v>
      </c>
      <c r="K104" s="36">
        <f t="shared" ref="K104" si="148">E104*350%</f>
        <v>80762.465000000011</v>
      </c>
      <c r="L104" s="62">
        <f t="shared" ref="L104" si="149">E104*100%</f>
        <v>23074.99</v>
      </c>
      <c r="M104" s="27"/>
      <c r="N104" s="27">
        <v>70000</v>
      </c>
      <c r="O104" s="62">
        <f t="shared" ref="O104" si="150">E104*10%</f>
        <v>2307.4990000000003</v>
      </c>
      <c r="P104" s="62">
        <v>15000</v>
      </c>
      <c r="Q104" s="62">
        <v>0</v>
      </c>
      <c r="R104" s="36">
        <f t="shared" ref="R104" si="151">SUM(E104:Q104)</f>
        <v>296713.03325000004</v>
      </c>
      <c r="S104" s="36"/>
      <c r="T104" s="36"/>
      <c r="U104" s="36"/>
      <c r="V104" s="36"/>
      <c r="W104" s="62">
        <f>7709.76</f>
        <v>7709.76</v>
      </c>
      <c r="X104" s="36">
        <f t="shared" ref="X104" si="152">W104+V104+U104+T104+S104</f>
        <v>7709.76</v>
      </c>
      <c r="Y104" s="36">
        <v>289003.27325000003</v>
      </c>
      <c r="Z104" s="36">
        <f t="shared" ref="Z104" si="153">R104-X104</f>
        <v>289003.27325000003</v>
      </c>
      <c r="AA104" s="34"/>
    </row>
    <row r="105" spans="1:27" ht="20.100000000000001" customHeight="1">
      <c r="A105" s="3">
        <v>4</v>
      </c>
      <c r="B105" s="81" t="s">
        <v>203</v>
      </c>
      <c r="C105" s="33" t="s">
        <v>204</v>
      </c>
      <c r="D105" s="66" t="s">
        <v>86</v>
      </c>
      <c r="E105" s="26">
        <f>18281.64</f>
        <v>18281.64</v>
      </c>
      <c r="F105" s="62"/>
      <c r="G105" s="62">
        <f>E105*300%</f>
        <v>54844.92</v>
      </c>
      <c r="H105" s="62">
        <f>E105*7.5%</f>
        <v>1371.1229999999998</v>
      </c>
      <c r="I105" s="62"/>
      <c r="J105" s="62">
        <f>E105*50%</f>
        <v>9140.82</v>
      </c>
      <c r="K105" s="36">
        <f>E105*350%</f>
        <v>63985.74</v>
      </c>
      <c r="L105" s="26">
        <f>E105*100%</f>
        <v>18281.64</v>
      </c>
      <c r="M105" s="27"/>
      <c r="N105" s="27">
        <f>60000</f>
        <v>60000</v>
      </c>
      <c r="O105" s="62">
        <f>E105*10%</f>
        <v>1828.164</v>
      </c>
      <c r="P105" s="62">
        <v>10000</v>
      </c>
      <c r="Q105" s="62"/>
      <c r="R105" s="36">
        <f>SUM(E105:Q105)</f>
        <v>237734.04699999996</v>
      </c>
      <c r="S105" s="36"/>
      <c r="T105" s="36">
        <f>5000</f>
        <v>5000</v>
      </c>
      <c r="U105" s="36">
        <f>64806.29</f>
        <v>64806.29</v>
      </c>
      <c r="V105" s="36"/>
      <c r="W105" s="62">
        <v>3369.51</v>
      </c>
      <c r="X105" s="36">
        <f>W105+V105+U105+T105+S105</f>
        <v>73175.8</v>
      </c>
      <c r="Y105" s="36">
        <v>164558.24699999997</v>
      </c>
      <c r="Z105" s="36">
        <f>R105-X105</f>
        <v>164558.24699999997</v>
      </c>
      <c r="AA105" s="34"/>
    </row>
    <row r="106" spans="1:27" ht="20.100000000000001" customHeight="1">
      <c r="A106" s="33"/>
      <c r="B106" s="223" t="s">
        <v>34</v>
      </c>
      <c r="C106" s="7">
        <v>4</v>
      </c>
      <c r="D106" s="98"/>
      <c r="E106" s="99">
        <f>SUM(E102:E105)</f>
        <v>106872.98</v>
      </c>
      <c r="F106" s="99"/>
      <c r="G106" s="99">
        <f t="shared" ref="G106:L106" si="154">SUM(G102:G105)</f>
        <v>320618.94</v>
      </c>
      <c r="H106" s="99">
        <f t="shared" si="154"/>
        <v>8015.4734999999991</v>
      </c>
      <c r="I106" s="99">
        <f t="shared" si="154"/>
        <v>40122.19</v>
      </c>
      <c r="J106" s="99">
        <f t="shared" si="154"/>
        <v>53436.49</v>
      </c>
      <c r="K106" s="99">
        <f t="shared" si="154"/>
        <v>374055.43</v>
      </c>
      <c r="L106" s="99">
        <f t="shared" si="154"/>
        <v>106872.98</v>
      </c>
      <c r="M106" s="158"/>
      <c r="N106" s="158">
        <f>SUM(N102:N105)</f>
        <v>290000</v>
      </c>
      <c r="O106" s="99">
        <f>SUM(O102:O105)</f>
        <v>10687.298000000001</v>
      </c>
      <c r="P106" s="99">
        <f>SUM(P102:P105)</f>
        <v>65000</v>
      </c>
      <c r="Q106" s="99">
        <f>SUM(Q102:Q105)</f>
        <v>0</v>
      </c>
      <c r="R106" s="99">
        <f>SUM(R102:R105)</f>
        <v>1375681.7815</v>
      </c>
      <c r="S106" s="99"/>
      <c r="T106" s="99">
        <f t="shared" ref="T106:Z106" si="155">SUM(T102:T105)</f>
        <v>5000</v>
      </c>
      <c r="U106" s="99">
        <f t="shared" si="155"/>
        <v>64806.29</v>
      </c>
      <c r="V106" s="99">
        <f t="shared" si="155"/>
        <v>646.35</v>
      </c>
      <c r="W106" s="99">
        <f t="shared" si="155"/>
        <v>40407.120000000003</v>
      </c>
      <c r="X106" s="99">
        <f t="shared" si="155"/>
        <v>110859.76000000001</v>
      </c>
      <c r="Y106" s="99">
        <v>1264822.0215</v>
      </c>
      <c r="Z106" s="99">
        <f t="shared" si="155"/>
        <v>1264822.0215</v>
      </c>
      <c r="AA106" s="34"/>
    </row>
    <row r="107" spans="1:27" ht="20.100000000000001" customHeight="1">
      <c r="A107" s="33"/>
      <c r="B107" s="97"/>
      <c r="C107" s="7"/>
      <c r="D107" s="98"/>
      <c r="E107" s="31"/>
      <c r="F107" s="31"/>
      <c r="G107" s="31"/>
      <c r="H107" s="31"/>
      <c r="I107" s="31"/>
      <c r="J107" s="31"/>
      <c r="K107" s="31"/>
      <c r="L107" s="31"/>
      <c r="M107" s="27"/>
      <c r="N107" s="27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7" ht="20.100000000000001" customHeight="1">
      <c r="A108" s="33"/>
      <c r="B108" s="223" t="s">
        <v>205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27"/>
      <c r="N108" s="27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7" ht="20.100000000000001" customHeight="1">
      <c r="A109" s="33">
        <v>1</v>
      </c>
      <c r="B109" s="81" t="s">
        <v>206</v>
      </c>
      <c r="C109" s="61" t="s">
        <v>207</v>
      </c>
      <c r="D109" s="66" t="s">
        <v>151</v>
      </c>
      <c r="E109" s="62">
        <f>79039.64</f>
        <v>79039.64</v>
      </c>
      <c r="F109" s="62"/>
      <c r="G109" s="62">
        <f>E109*300%</f>
        <v>237118.91999999998</v>
      </c>
      <c r="H109" s="62">
        <f>E109*7.5%</f>
        <v>5927.973</v>
      </c>
      <c r="I109" s="62">
        <v>80244.38</v>
      </c>
      <c r="J109" s="62">
        <f>E109*50%</f>
        <v>39519.82</v>
      </c>
      <c r="K109" s="62">
        <f>E109*350%</f>
        <v>276638.74</v>
      </c>
      <c r="L109" s="62">
        <f>E109*100%</f>
        <v>79039.64</v>
      </c>
      <c r="M109" s="27">
        <f>200000</f>
        <v>200000</v>
      </c>
      <c r="N109" s="27"/>
      <c r="O109" s="62">
        <f>E109*10%</f>
        <v>7903.9639999999999</v>
      </c>
      <c r="P109" s="62">
        <v>20000</v>
      </c>
      <c r="Q109" s="62">
        <v>0</v>
      </c>
      <c r="R109" s="36">
        <f>SUM(E109:Q109)</f>
        <v>1025433.077</v>
      </c>
      <c r="S109" s="36"/>
      <c r="T109" s="36">
        <f>100000</f>
        <v>100000</v>
      </c>
      <c r="U109" s="36">
        <v>0</v>
      </c>
      <c r="V109" s="36">
        <v>0</v>
      </c>
      <c r="W109" s="62">
        <f>52776.63</f>
        <v>52776.63</v>
      </c>
      <c r="X109" s="36">
        <f>W109+V109+U109+T109+S109</f>
        <v>152776.63</v>
      </c>
      <c r="Y109" s="36">
        <v>872656.44700000004</v>
      </c>
      <c r="Z109" s="36">
        <f>R109-X109</f>
        <v>872656.44700000004</v>
      </c>
    </row>
    <row r="110" spans="1:27" ht="20.100000000000001" customHeight="1">
      <c r="A110" s="33">
        <v>2</v>
      </c>
      <c r="B110" s="106" t="s">
        <v>208</v>
      </c>
      <c r="C110" s="33" t="s">
        <v>209</v>
      </c>
      <c r="D110" s="3" t="s">
        <v>57</v>
      </c>
      <c r="E110" s="62">
        <f>33507.5</f>
        <v>33507.5</v>
      </c>
      <c r="F110" s="62"/>
      <c r="G110" s="62">
        <f>E110*300%</f>
        <v>100522.5</v>
      </c>
      <c r="H110" s="62">
        <f>E110*7.5%</f>
        <v>2513.0625</v>
      </c>
      <c r="I110" s="62">
        <v>40122.19</v>
      </c>
      <c r="J110" s="62">
        <f>E110*50%</f>
        <v>16753.75</v>
      </c>
      <c r="K110" s="62">
        <f>E110*350%</f>
        <v>117276.25</v>
      </c>
      <c r="L110" s="62">
        <f>E110*100%</f>
        <v>33507.5</v>
      </c>
      <c r="M110" s="27">
        <f>160000</f>
        <v>160000</v>
      </c>
      <c r="N110" s="27"/>
      <c r="O110" s="62">
        <f>E110*10%</f>
        <v>3350.75</v>
      </c>
      <c r="P110" s="62">
        <v>20000</v>
      </c>
      <c r="Q110" s="62">
        <v>0</v>
      </c>
      <c r="R110" s="36">
        <f>SUM(E110:Q110)</f>
        <v>527553.50249999994</v>
      </c>
      <c r="S110" s="36"/>
      <c r="T110" s="36">
        <v>40000</v>
      </c>
      <c r="U110" s="36">
        <f>131250</f>
        <v>131250</v>
      </c>
      <c r="V110" s="36">
        <f>'[2]Jan 2021'!$H$33</f>
        <v>837.6875</v>
      </c>
      <c r="W110" s="62">
        <v>15548.33</v>
      </c>
      <c r="X110" s="36">
        <f>15548.33+837.69+131250+40000</f>
        <v>187636.02</v>
      </c>
      <c r="Y110" s="36">
        <v>339917.48249999993</v>
      </c>
      <c r="Z110" s="36">
        <f>R110-X110</f>
        <v>339917.48249999993</v>
      </c>
    </row>
    <row r="111" spans="1:27" ht="20.100000000000001" customHeight="1">
      <c r="A111" s="33">
        <v>3</v>
      </c>
      <c r="B111" s="81" t="s">
        <v>210</v>
      </c>
      <c r="C111" s="33" t="s">
        <v>211</v>
      </c>
      <c r="D111" s="3" t="s">
        <v>77</v>
      </c>
      <c r="E111" s="62">
        <f>26339.3</f>
        <v>26339.3</v>
      </c>
      <c r="F111" s="62"/>
      <c r="G111" s="62">
        <f>E111*300%</f>
        <v>79017.899999999994</v>
      </c>
      <c r="H111" s="62">
        <f>E111*7.5%</f>
        <v>1975.4474999999998</v>
      </c>
      <c r="I111" s="62">
        <v>0</v>
      </c>
      <c r="J111" s="62">
        <f>E111*50%</f>
        <v>13169.65</v>
      </c>
      <c r="K111" s="62">
        <f>E111*350%</f>
        <v>92187.55</v>
      </c>
      <c r="L111" s="62">
        <f>E111*100%</f>
        <v>26339.3</v>
      </c>
      <c r="M111" s="27">
        <f>120000</f>
        <v>120000</v>
      </c>
      <c r="N111" s="27"/>
      <c r="O111" s="62">
        <f>E111*10%</f>
        <v>2633.9300000000003</v>
      </c>
      <c r="P111" s="62">
        <v>15000</v>
      </c>
      <c r="Q111" s="62">
        <f>Library!AB4</f>
        <v>41432.938524999998</v>
      </c>
      <c r="R111" s="36">
        <f>SUM(E111:Q111)</f>
        <v>418096.01602499996</v>
      </c>
      <c r="S111" s="36"/>
      <c r="T111" s="36">
        <v>30000</v>
      </c>
      <c r="U111" s="36">
        <f>107638.89</f>
        <v>107638.89</v>
      </c>
      <c r="V111" s="36">
        <f>'[2]Jan 2021'!$H$36</f>
        <v>658.48250000000007</v>
      </c>
      <c r="W111" s="36">
        <f>7709.76</f>
        <v>7709.76</v>
      </c>
      <c r="X111" s="36">
        <f t="shared" ref="X111:X114" si="156">W111+V111+U111+T111+S111</f>
        <v>146007.13250000001</v>
      </c>
      <c r="Y111" s="36">
        <v>272088.88352499995</v>
      </c>
      <c r="Z111" s="36">
        <f>R111-X111</f>
        <v>272088.88352499995</v>
      </c>
    </row>
    <row r="112" spans="1:27" ht="20.100000000000001" customHeight="1">
      <c r="A112" s="33">
        <v>4</v>
      </c>
      <c r="B112" s="159" t="s">
        <v>212</v>
      </c>
      <c r="C112" s="33" t="s">
        <v>211</v>
      </c>
      <c r="D112" s="29" t="s">
        <v>139</v>
      </c>
      <c r="E112" s="26">
        <f>24741.26</f>
        <v>24741.26</v>
      </c>
      <c r="F112" s="26"/>
      <c r="G112" s="26">
        <f>E112*300%</f>
        <v>74223.78</v>
      </c>
      <c r="H112" s="26">
        <f>E112*7.5%</f>
        <v>1855.5944999999997</v>
      </c>
      <c r="I112" s="26">
        <v>0</v>
      </c>
      <c r="J112" s="26">
        <f>E112*50%</f>
        <v>12370.63</v>
      </c>
      <c r="K112" s="26">
        <f>E112*350%</f>
        <v>86594.409999999989</v>
      </c>
      <c r="L112" s="26">
        <f>E112*100%</f>
        <v>24741.26</v>
      </c>
      <c r="M112" s="27">
        <f>120000</f>
        <v>120000</v>
      </c>
      <c r="N112" s="27"/>
      <c r="O112" s="26">
        <f>E112*10%</f>
        <v>2474.1260000000002</v>
      </c>
      <c r="P112" s="26">
        <v>15000</v>
      </c>
      <c r="Q112" s="26">
        <f>Library!AB5</f>
        <v>39820.116654999998</v>
      </c>
      <c r="R112" s="36">
        <f>SUM(E112:Q112)</f>
        <v>401821.17715499998</v>
      </c>
      <c r="S112" s="36"/>
      <c r="T112" s="24">
        <f>50000</f>
        <v>50000</v>
      </c>
      <c r="U112" s="24">
        <f>68750+45833.33</f>
        <v>114583.33</v>
      </c>
      <c r="V112" s="24"/>
      <c r="W112" s="24">
        <f>7709.76</f>
        <v>7709.76</v>
      </c>
      <c r="X112" s="36">
        <f t="shared" si="156"/>
        <v>172293.09</v>
      </c>
      <c r="Y112" s="36">
        <v>229528.08715499999</v>
      </c>
      <c r="Z112" s="36">
        <f>R112-X112</f>
        <v>229528.08715499999</v>
      </c>
    </row>
    <row r="113" spans="1:26" ht="20.100000000000001" customHeight="1">
      <c r="A113" s="33">
        <v>5</v>
      </c>
      <c r="B113" s="81" t="s">
        <v>213</v>
      </c>
      <c r="C113" s="1" t="s">
        <v>214</v>
      </c>
      <c r="D113" s="66" t="s">
        <v>110</v>
      </c>
      <c r="E113" s="67">
        <f>13112.16</f>
        <v>13112.16</v>
      </c>
      <c r="F113" s="62"/>
      <c r="G113" s="62">
        <f>E113*300%</f>
        <v>39336.479999999996</v>
      </c>
      <c r="H113" s="62">
        <f>E113*7.5%</f>
        <v>983.41199999999992</v>
      </c>
      <c r="I113" s="62"/>
      <c r="J113" s="62">
        <f>E113*50%</f>
        <v>6556.08</v>
      </c>
      <c r="K113" s="36">
        <f>E113*350%</f>
        <v>45892.56</v>
      </c>
      <c r="L113" s="62">
        <f>E113*100%</f>
        <v>13112.16</v>
      </c>
      <c r="M113" s="27">
        <f>100000</f>
        <v>100000</v>
      </c>
      <c r="N113" s="27"/>
      <c r="O113" s="62">
        <f>E113*10%</f>
        <v>1311.2160000000001</v>
      </c>
      <c r="P113" s="62">
        <v>10000</v>
      </c>
      <c r="Q113" s="62">
        <f>Library!AB6</f>
        <v>25333.447479999999</v>
      </c>
      <c r="R113" s="36">
        <f>SUM(E113:Q113)</f>
        <v>255637.51548</v>
      </c>
      <c r="S113" s="36"/>
      <c r="T113" s="36">
        <v>20000</v>
      </c>
      <c r="U113" s="36">
        <f>50000</f>
        <v>50000</v>
      </c>
      <c r="V113" s="36"/>
      <c r="W113" s="62">
        <v>1484.37</v>
      </c>
      <c r="X113" s="36">
        <f>W113+V113+U113+T113+S113</f>
        <v>71484.37</v>
      </c>
      <c r="Y113" s="36">
        <v>184153.14548000001</v>
      </c>
      <c r="Z113" s="36">
        <f>R113-X113</f>
        <v>184153.14548000001</v>
      </c>
    </row>
    <row r="114" spans="1:26" ht="20.100000000000001" customHeight="1">
      <c r="A114" s="33">
        <v>6</v>
      </c>
      <c r="B114" s="159" t="s">
        <v>215</v>
      </c>
      <c r="C114" s="1" t="s">
        <v>214</v>
      </c>
      <c r="D114" s="3" t="s">
        <v>115</v>
      </c>
      <c r="E114" s="62">
        <f>12732</f>
        <v>12732</v>
      </c>
      <c r="F114" s="62"/>
      <c r="G114" s="62">
        <f t="shared" ref="G114" si="157">E114*300%</f>
        <v>38196</v>
      </c>
      <c r="H114" s="62">
        <f t="shared" ref="H114" si="158">E114*7.5%</f>
        <v>954.9</v>
      </c>
      <c r="I114" s="62"/>
      <c r="J114" s="62">
        <f t="shared" ref="J114" si="159">E114*50%</f>
        <v>6366</v>
      </c>
      <c r="K114" s="62">
        <f t="shared" ref="K114" si="160">E114*350%</f>
        <v>44562</v>
      </c>
      <c r="L114" s="62">
        <f t="shared" ref="L114" si="161">E114*100%</f>
        <v>12732</v>
      </c>
      <c r="M114" s="27">
        <f>100000</f>
        <v>100000</v>
      </c>
      <c r="N114" s="27"/>
      <c r="O114" s="62">
        <f t="shared" ref="O114" si="162">E114*10%</f>
        <v>1273.2</v>
      </c>
      <c r="P114" s="62">
        <v>10000</v>
      </c>
      <c r="Q114" s="62">
        <f>Library!AB7</f>
        <v>24949.771000000001</v>
      </c>
      <c r="R114" s="36">
        <f t="shared" ref="R114" si="163">SUM(E114:Q114)</f>
        <v>251765.87100000001</v>
      </c>
      <c r="S114" s="36"/>
      <c r="T114" s="36">
        <f>25000</f>
        <v>25000</v>
      </c>
      <c r="U114" s="36">
        <f>68666.67</f>
        <v>68666.67</v>
      </c>
      <c r="V114" s="36"/>
      <c r="W114" s="62">
        <v>1484.37</v>
      </c>
      <c r="X114" s="36">
        <f t="shared" si="156"/>
        <v>95151.039999999994</v>
      </c>
      <c r="Y114" s="36">
        <v>156614.83100000001</v>
      </c>
      <c r="Z114" s="36">
        <f t="shared" ref="Z114" si="164">R114-X114</f>
        <v>156614.83100000001</v>
      </c>
    </row>
    <row r="115" spans="1:26" ht="20.100000000000001" customHeight="1">
      <c r="A115" s="33">
        <v>7</v>
      </c>
      <c r="B115" s="81" t="s">
        <v>216</v>
      </c>
      <c r="C115" s="1" t="s">
        <v>214</v>
      </c>
      <c r="D115" s="66" t="s">
        <v>98</v>
      </c>
      <c r="E115" s="67">
        <f>12351.94</f>
        <v>12351.94</v>
      </c>
      <c r="F115" s="62"/>
      <c r="G115" s="62">
        <f t="shared" ref="G115:G116" si="165">E115*300%</f>
        <v>37055.82</v>
      </c>
      <c r="H115" s="62">
        <f t="shared" ref="H115:H116" si="166">E115*7.5%</f>
        <v>926.39549999999997</v>
      </c>
      <c r="I115" s="62"/>
      <c r="J115" s="62">
        <f t="shared" ref="J115:J116" si="167">E115*50%</f>
        <v>6175.97</v>
      </c>
      <c r="K115" s="36">
        <f t="shared" ref="K115:K116" si="168">E115*350%</f>
        <v>43231.79</v>
      </c>
      <c r="L115" s="62">
        <f t="shared" ref="L115:L116" si="169">E115*100%</f>
        <v>12351.94</v>
      </c>
      <c r="M115" s="27">
        <f t="shared" ref="M115:M116" si="170">100000</f>
        <v>100000</v>
      </c>
      <c r="N115" s="27"/>
      <c r="O115" s="62">
        <f t="shared" ref="O115:O116" si="171">E115*10%</f>
        <v>1235.1940000000002</v>
      </c>
      <c r="P115" s="62">
        <v>10000</v>
      </c>
      <c r="Q115" s="62">
        <f>Library!AB8</f>
        <v>24566.195445000001</v>
      </c>
      <c r="R115" s="36">
        <f t="shared" ref="R115:R116" si="172">SUM(E115:Q115)</f>
        <v>247895.24494499998</v>
      </c>
      <c r="S115" s="36"/>
      <c r="T115" s="36">
        <f>30000</f>
        <v>30000</v>
      </c>
      <c r="U115" s="36"/>
      <c r="V115" s="36"/>
      <c r="W115" s="62">
        <v>1484.37</v>
      </c>
      <c r="X115" s="36">
        <f t="shared" ref="X115:X116" si="173">W115+V115+U115+T115+S115</f>
        <v>31484.37</v>
      </c>
      <c r="Y115" s="36">
        <v>216410.87494499999</v>
      </c>
      <c r="Z115" s="36">
        <f t="shared" ref="Z115:Z116" si="174">R115-X115</f>
        <v>216410.87494499999</v>
      </c>
    </row>
    <row r="116" spans="1:26" ht="20.100000000000001" customHeight="1">
      <c r="A116" s="33">
        <v>8</v>
      </c>
      <c r="B116" s="81" t="s">
        <v>217</v>
      </c>
      <c r="C116" s="1" t="s">
        <v>214</v>
      </c>
      <c r="D116" s="66" t="s">
        <v>98</v>
      </c>
      <c r="E116" s="67">
        <f>12351.94</f>
        <v>12351.94</v>
      </c>
      <c r="F116" s="62"/>
      <c r="G116" s="62">
        <f t="shared" si="165"/>
        <v>37055.82</v>
      </c>
      <c r="H116" s="62">
        <f t="shared" si="166"/>
        <v>926.39549999999997</v>
      </c>
      <c r="I116" s="62"/>
      <c r="J116" s="62">
        <f t="shared" si="167"/>
        <v>6175.97</v>
      </c>
      <c r="K116" s="36">
        <f t="shared" si="168"/>
        <v>43231.79</v>
      </c>
      <c r="L116" s="62">
        <f t="shared" si="169"/>
        <v>12351.94</v>
      </c>
      <c r="M116" s="27">
        <f t="shared" si="170"/>
        <v>100000</v>
      </c>
      <c r="N116" s="27"/>
      <c r="O116" s="62">
        <f t="shared" si="171"/>
        <v>1235.1940000000002</v>
      </c>
      <c r="P116" s="62">
        <v>10000</v>
      </c>
      <c r="Q116" s="62">
        <f>Library!AB9</f>
        <v>24566.195445000001</v>
      </c>
      <c r="R116" s="36">
        <f t="shared" si="172"/>
        <v>247895.24494499998</v>
      </c>
      <c r="S116" s="36"/>
      <c r="T116" s="36">
        <f>20000</f>
        <v>20000</v>
      </c>
      <c r="U116" s="36"/>
      <c r="V116" s="36"/>
      <c r="W116" s="62">
        <v>1484.37</v>
      </c>
      <c r="X116" s="36">
        <f t="shared" si="173"/>
        <v>21484.37</v>
      </c>
      <c r="Y116" s="36">
        <v>226410.87494499999</v>
      </c>
      <c r="Z116" s="36">
        <f t="shared" si="174"/>
        <v>226410.87494499999</v>
      </c>
    </row>
    <row r="117" spans="1:26" ht="20.100000000000001" customHeight="1">
      <c r="A117" s="33"/>
      <c r="B117" s="223" t="s">
        <v>34</v>
      </c>
      <c r="C117" s="3">
        <v>8</v>
      </c>
      <c r="D117" s="33"/>
      <c r="E117" s="100">
        <f>SUM(E109:E116)</f>
        <v>214175.74000000002</v>
      </c>
      <c r="F117" s="100"/>
      <c r="G117" s="100">
        <f t="shared" ref="G117:M117" si="175">SUM(G109:G116)</f>
        <v>642527.21999999986</v>
      </c>
      <c r="H117" s="100">
        <f t="shared" si="175"/>
        <v>16063.1805</v>
      </c>
      <c r="I117" s="100">
        <f t="shared" si="175"/>
        <v>120366.57</v>
      </c>
      <c r="J117" s="100">
        <f t="shared" si="175"/>
        <v>107087.87000000001</v>
      </c>
      <c r="K117" s="100">
        <f t="shared" si="175"/>
        <v>749615.09000000008</v>
      </c>
      <c r="L117" s="100">
        <f t="shared" si="175"/>
        <v>214175.74000000002</v>
      </c>
      <c r="M117" s="158">
        <f t="shared" si="175"/>
        <v>1000000</v>
      </c>
      <c r="N117" s="158"/>
      <c r="O117" s="100">
        <f>SUM(O109:O116)</f>
        <v>21417.574000000001</v>
      </c>
      <c r="P117" s="100">
        <f>SUM(P109:P116)</f>
        <v>110000</v>
      </c>
      <c r="Q117" s="100">
        <f>SUM(Q109:Q116)</f>
        <v>180668.66454999999</v>
      </c>
      <c r="R117" s="100">
        <f>SUM(R109:R116)</f>
        <v>3376097.6490499997</v>
      </c>
      <c r="S117" s="100"/>
      <c r="T117" s="100">
        <f t="shared" ref="T117:Z117" si="176">SUM(T109:T116)</f>
        <v>315000</v>
      </c>
      <c r="U117" s="100">
        <f t="shared" si="176"/>
        <v>472138.89</v>
      </c>
      <c r="V117" s="100">
        <f t="shared" si="176"/>
        <v>1496.17</v>
      </c>
      <c r="W117" s="100">
        <f t="shared" si="176"/>
        <v>89681.959999999963</v>
      </c>
      <c r="X117" s="100">
        <f t="shared" si="176"/>
        <v>878317.02250000008</v>
      </c>
      <c r="Y117" s="100">
        <v>2497780.6265499997</v>
      </c>
      <c r="Z117" s="100">
        <f t="shared" si="176"/>
        <v>2497780.6265499997</v>
      </c>
    </row>
    <row r="118" spans="1:26" ht="20.100000000000001" customHeight="1">
      <c r="A118" s="33"/>
      <c r="B118" s="97"/>
      <c r="C118" s="3"/>
      <c r="D118" s="33"/>
      <c r="E118" s="13"/>
      <c r="F118" s="21"/>
      <c r="G118" s="13"/>
      <c r="H118" s="13"/>
      <c r="I118" s="13"/>
      <c r="J118" s="13"/>
      <c r="K118" s="13"/>
      <c r="L118" s="13"/>
      <c r="M118" s="27"/>
      <c r="N118" s="27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0.100000000000001" customHeight="1">
      <c r="A119" s="33"/>
      <c r="B119" s="223" t="s">
        <v>218</v>
      </c>
      <c r="C119" s="7"/>
      <c r="D119" s="7"/>
      <c r="E119" s="39"/>
      <c r="F119" s="39"/>
      <c r="G119" s="39"/>
      <c r="H119" s="39"/>
      <c r="I119" s="39"/>
      <c r="J119" s="39"/>
      <c r="K119" s="39"/>
      <c r="L119" s="39"/>
      <c r="M119" s="27"/>
      <c r="N119" s="27"/>
      <c r="O119" s="39"/>
      <c r="P119" s="39"/>
      <c r="Q119" s="39"/>
      <c r="R119" s="63"/>
      <c r="S119" s="63"/>
      <c r="T119" s="63"/>
      <c r="U119" s="63"/>
      <c r="V119" s="63"/>
      <c r="W119" s="39"/>
      <c r="X119" s="36"/>
      <c r="Y119" s="36"/>
      <c r="Z119" s="36"/>
    </row>
    <row r="120" spans="1:26" ht="20.100000000000001" customHeight="1">
      <c r="A120" s="33">
        <v>1</v>
      </c>
      <c r="B120" s="81" t="s">
        <v>219</v>
      </c>
      <c r="C120" s="61" t="s">
        <v>220</v>
      </c>
      <c r="D120" s="66" t="s">
        <v>43</v>
      </c>
      <c r="E120" s="62">
        <f>81740.02</f>
        <v>81740.02</v>
      </c>
      <c r="F120" s="62"/>
      <c r="G120" s="62">
        <f t="shared" ref="G120:G127" si="177">E120*300%</f>
        <v>245220.06</v>
      </c>
      <c r="H120" s="62">
        <f t="shared" ref="H120:H127" si="178">E120*7.5%</f>
        <v>6130.5015000000003</v>
      </c>
      <c r="I120" s="62">
        <f>80244.38</f>
        <v>80244.38</v>
      </c>
      <c r="J120" s="62">
        <f t="shared" ref="J120:J127" si="179">E120*50%</f>
        <v>40870.01</v>
      </c>
      <c r="K120" s="62">
        <f t="shared" ref="K120:K127" si="180">E120*350%</f>
        <v>286090.07</v>
      </c>
      <c r="L120" s="62">
        <f t="shared" ref="L120:L127" si="181">E120*100%</f>
        <v>81740.02</v>
      </c>
      <c r="M120" s="27"/>
      <c r="N120" s="27">
        <f>100000</f>
        <v>100000</v>
      </c>
      <c r="O120" s="62">
        <f t="shared" ref="O120:O127" si="182">E120*10%</f>
        <v>8174.0020000000004</v>
      </c>
      <c r="P120" s="62">
        <v>20000</v>
      </c>
      <c r="Q120" s="62">
        <v>100000</v>
      </c>
      <c r="R120" s="36">
        <f t="shared" ref="R120:R127" si="183">SUM(E120:Q120)</f>
        <v>1050209.0635000002</v>
      </c>
      <c r="S120" s="36"/>
      <c r="T120" s="36">
        <f>300000</f>
        <v>300000</v>
      </c>
      <c r="U120" s="36">
        <f>227777.78</f>
        <v>227777.78</v>
      </c>
      <c r="V120" s="36">
        <f>'[2]Jan 2021'!$H$21</f>
        <v>2043.5005000000001</v>
      </c>
      <c r="W120" s="62">
        <f>52776.63</f>
        <v>52776.63</v>
      </c>
      <c r="X120" s="36">
        <f>W120+V120+U120+T120+S120</f>
        <v>582597.9105</v>
      </c>
      <c r="Y120" s="36">
        <v>467611.15300000017</v>
      </c>
      <c r="Z120" s="36">
        <f t="shared" ref="Z120:Z127" si="184">R120-X120</f>
        <v>467611.15300000017</v>
      </c>
    </row>
    <row r="121" spans="1:26" ht="20.100000000000001" customHeight="1">
      <c r="A121" s="33">
        <v>2</v>
      </c>
      <c r="B121" s="81" t="s">
        <v>221</v>
      </c>
      <c r="C121" s="61" t="s">
        <v>222</v>
      </c>
      <c r="D121" s="66" t="s">
        <v>46</v>
      </c>
      <c r="E121" s="62">
        <f>42653.17</f>
        <v>42653.17</v>
      </c>
      <c r="F121" s="62"/>
      <c r="G121" s="62">
        <f t="shared" si="177"/>
        <v>127959.51</v>
      </c>
      <c r="H121" s="62">
        <f t="shared" si="178"/>
        <v>3198.9877499999998</v>
      </c>
      <c r="I121" s="62">
        <v>40122.19</v>
      </c>
      <c r="J121" s="62">
        <f t="shared" si="179"/>
        <v>21326.584999999999</v>
      </c>
      <c r="K121" s="62">
        <f t="shared" si="180"/>
        <v>149286.095</v>
      </c>
      <c r="L121" s="62">
        <f t="shared" si="181"/>
        <v>42653.17</v>
      </c>
      <c r="M121" s="27"/>
      <c r="N121" s="27">
        <f>90000</f>
        <v>90000</v>
      </c>
      <c r="O121" s="62">
        <f t="shared" si="182"/>
        <v>4265.317</v>
      </c>
      <c r="P121" s="62">
        <v>20000</v>
      </c>
      <c r="Q121" s="62">
        <f>100000</f>
        <v>100000</v>
      </c>
      <c r="R121" s="36">
        <f t="shared" si="183"/>
        <v>641465.02474999998</v>
      </c>
      <c r="S121" s="36"/>
      <c r="T121" s="36">
        <f>100000</f>
        <v>100000</v>
      </c>
      <c r="U121" s="36">
        <f>0</f>
        <v>0</v>
      </c>
      <c r="V121" s="36"/>
      <c r="W121" s="62">
        <f>21618.09</f>
        <v>21618.09</v>
      </c>
      <c r="X121" s="36">
        <f t="shared" ref="X121:X127" si="185">W121+V121+U121+T121+S121</f>
        <v>121618.09</v>
      </c>
      <c r="Y121" s="36">
        <v>519846.93475000001</v>
      </c>
      <c r="Z121" s="36">
        <f t="shared" si="184"/>
        <v>519846.93475000001</v>
      </c>
    </row>
    <row r="122" spans="1:26" ht="20.100000000000001" customHeight="1">
      <c r="A122" s="33">
        <v>3</v>
      </c>
      <c r="B122" s="81" t="s">
        <v>223</v>
      </c>
      <c r="C122" s="61" t="s">
        <v>224</v>
      </c>
      <c r="D122" s="66" t="s">
        <v>57</v>
      </c>
      <c r="E122" s="26">
        <f>33507.5</f>
        <v>33507.5</v>
      </c>
      <c r="F122" s="62"/>
      <c r="G122" s="62">
        <f t="shared" si="177"/>
        <v>100522.5</v>
      </c>
      <c r="H122" s="62">
        <f t="shared" si="178"/>
        <v>2513.0625</v>
      </c>
      <c r="I122" s="62">
        <v>40122.19</v>
      </c>
      <c r="J122" s="62">
        <f t="shared" si="179"/>
        <v>16753.75</v>
      </c>
      <c r="K122" s="36">
        <f t="shared" si="180"/>
        <v>117276.25</v>
      </c>
      <c r="L122" s="62">
        <f t="shared" si="181"/>
        <v>33507.5</v>
      </c>
      <c r="M122" s="27"/>
      <c r="N122" s="27">
        <f>80000</f>
        <v>80000</v>
      </c>
      <c r="O122" s="62">
        <f t="shared" si="182"/>
        <v>3350.75</v>
      </c>
      <c r="P122" s="62">
        <v>20000</v>
      </c>
      <c r="Q122" s="62">
        <v>0</v>
      </c>
      <c r="R122" s="36">
        <f t="shared" si="183"/>
        <v>447553.5025</v>
      </c>
      <c r="S122" s="36"/>
      <c r="T122" s="36">
        <f>70000</f>
        <v>70000</v>
      </c>
      <c r="U122" s="36">
        <f>129166.67</f>
        <v>129166.67</v>
      </c>
      <c r="V122" s="36">
        <f>'[2]Jan 2021'!$H$20</f>
        <v>837.6875</v>
      </c>
      <c r="W122" s="62">
        <v>15548.33</v>
      </c>
      <c r="X122" s="36">
        <f t="shared" si="185"/>
        <v>215552.6875</v>
      </c>
      <c r="Y122" s="36">
        <v>232000.815</v>
      </c>
      <c r="Z122" s="36">
        <f t="shared" si="184"/>
        <v>232000.815</v>
      </c>
    </row>
    <row r="123" spans="1:26" ht="20.100000000000001" customHeight="1">
      <c r="A123" s="33">
        <v>4</v>
      </c>
      <c r="B123" s="217" t="s">
        <v>225</v>
      </c>
      <c r="C123" s="61" t="s">
        <v>224</v>
      </c>
      <c r="D123" s="66" t="s">
        <v>64</v>
      </c>
      <c r="E123" s="62">
        <f>32263.2</f>
        <v>32263.200000000001</v>
      </c>
      <c r="F123" s="62"/>
      <c r="G123" s="62">
        <f>E123*300%</f>
        <v>96789.6</v>
      </c>
      <c r="H123" s="62">
        <f>E123*7.5%</f>
        <v>2419.7399999999998</v>
      </c>
      <c r="I123" s="62">
        <f>40122.19</f>
        <v>40122.19</v>
      </c>
      <c r="J123" s="62">
        <f>E123*50%</f>
        <v>16131.6</v>
      </c>
      <c r="K123" s="36">
        <f>E123*350%</f>
        <v>112921.2</v>
      </c>
      <c r="L123" s="62">
        <f>E123*100%</f>
        <v>32263.200000000001</v>
      </c>
      <c r="M123" s="27"/>
      <c r="N123" s="27">
        <f t="shared" si="10"/>
        <v>80000</v>
      </c>
      <c r="O123" s="62">
        <f>E123*10%</f>
        <v>3226.32</v>
      </c>
      <c r="P123" s="62">
        <v>20000</v>
      </c>
      <c r="Q123" s="62">
        <f>100000</f>
        <v>100000</v>
      </c>
      <c r="R123" s="36">
        <f>SUM(E123:Q123)</f>
        <v>536137.05000000005</v>
      </c>
      <c r="S123" s="36"/>
      <c r="T123" s="36">
        <f>180000</f>
        <v>180000</v>
      </c>
      <c r="U123" s="36"/>
      <c r="V123" s="36">
        <f>'[2]Jan 2021'!$H$22</f>
        <v>806.58</v>
      </c>
      <c r="W123" s="36">
        <f>15548.33</f>
        <v>15548.33</v>
      </c>
      <c r="X123" s="36">
        <f>W123+V123+U123+T123+S123</f>
        <v>196354.91</v>
      </c>
      <c r="Y123" s="36">
        <v>339782.14</v>
      </c>
      <c r="Z123" s="36">
        <f>R123-X123</f>
        <v>339782.14</v>
      </c>
    </row>
    <row r="124" spans="1:26" ht="20.100000000000001" customHeight="1">
      <c r="A124" s="33">
        <v>5</v>
      </c>
      <c r="B124" s="1" t="s">
        <v>226</v>
      </c>
      <c r="C124" s="61" t="s">
        <v>224</v>
      </c>
      <c r="D124" s="66" t="s">
        <v>130</v>
      </c>
      <c r="E124" s="26">
        <f>31018.84</f>
        <v>31018.84</v>
      </c>
      <c r="F124" s="62"/>
      <c r="G124" s="62">
        <f t="shared" ref="G124" si="186">E124*300%</f>
        <v>93056.52</v>
      </c>
      <c r="H124" s="62">
        <f t="shared" ref="H124" si="187">E124*7.5%</f>
        <v>2326.413</v>
      </c>
      <c r="I124" s="62">
        <v>40122.19</v>
      </c>
      <c r="J124" s="62">
        <f t="shared" ref="J124" si="188">E124*50%</f>
        <v>15509.42</v>
      </c>
      <c r="K124" s="36">
        <f t="shared" ref="K124" si="189">E124*350%</f>
        <v>108565.94</v>
      </c>
      <c r="L124" s="62">
        <f t="shared" ref="L124" si="190">E124*100%</f>
        <v>31018.84</v>
      </c>
      <c r="M124" s="27"/>
      <c r="N124" s="27">
        <f>80000</f>
        <v>80000</v>
      </c>
      <c r="O124" s="62">
        <f t="shared" ref="O124" si="191">E124*10%</f>
        <v>3101.884</v>
      </c>
      <c r="P124" s="62">
        <v>20000</v>
      </c>
      <c r="Q124" s="62">
        <v>0</v>
      </c>
      <c r="R124" s="36">
        <f>SUM(E124:Q124)</f>
        <v>424720.04700000002</v>
      </c>
      <c r="S124" s="36"/>
      <c r="T124" s="36">
        <f>100000</f>
        <v>100000</v>
      </c>
      <c r="U124" s="36"/>
      <c r="V124" s="36"/>
      <c r="W124" s="62">
        <f>(15548.33)</f>
        <v>15548.33</v>
      </c>
      <c r="X124" s="36">
        <f t="shared" ref="X124" si="192">W124+V124+U124+T124+S124</f>
        <v>115548.33</v>
      </c>
      <c r="Y124" s="36">
        <v>309171.717</v>
      </c>
      <c r="Z124" s="36">
        <f t="shared" ref="Z124" si="193">R124-X124</f>
        <v>309171.717</v>
      </c>
    </row>
    <row r="125" spans="1:26" ht="20.100000000000001" customHeight="1">
      <c r="A125" s="33">
        <v>6</v>
      </c>
      <c r="B125" s="106" t="s">
        <v>227</v>
      </c>
      <c r="C125" s="61" t="s">
        <v>228</v>
      </c>
      <c r="D125" s="66" t="s">
        <v>139</v>
      </c>
      <c r="E125" s="62">
        <f>24741.26</f>
        <v>24741.26</v>
      </c>
      <c r="F125" s="62"/>
      <c r="G125" s="62">
        <f t="shared" si="177"/>
        <v>74223.78</v>
      </c>
      <c r="H125" s="62">
        <f t="shared" si="178"/>
        <v>1855.5944999999997</v>
      </c>
      <c r="I125" s="62">
        <v>0</v>
      </c>
      <c r="J125" s="62">
        <f t="shared" si="179"/>
        <v>12370.63</v>
      </c>
      <c r="K125" s="36">
        <f t="shared" si="180"/>
        <v>86594.409999999989</v>
      </c>
      <c r="L125" s="62">
        <f t="shared" si="181"/>
        <v>24741.26</v>
      </c>
      <c r="M125" s="27"/>
      <c r="N125" s="27">
        <f>70000</f>
        <v>70000</v>
      </c>
      <c r="O125" s="62">
        <f t="shared" si="182"/>
        <v>2474.1260000000002</v>
      </c>
      <c r="P125" s="62">
        <v>15000</v>
      </c>
      <c r="Q125" s="62">
        <v>0</v>
      </c>
      <c r="R125" s="36">
        <f t="shared" si="183"/>
        <v>312001.06049999996</v>
      </c>
      <c r="S125" s="36"/>
      <c r="T125" s="36">
        <f>30000</f>
        <v>30000</v>
      </c>
      <c r="U125" s="36">
        <f>50000</f>
        <v>50000</v>
      </c>
      <c r="V125" s="36"/>
      <c r="W125" s="62">
        <f>7709.76</f>
        <v>7709.76</v>
      </c>
      <c r="X125" s="36">
        <f t="shared" si="185"/>
        <v>87709.760000000009</v>
      </c>
      <c r="Y125" s="36">
        <v>224291.30049999995</v>
      </c>
      <c r="Z125" s="36">
        <f t="shared" si="184"/>
        <v>224291.30049999995</v>
      </c>
    </row>
    <row r="126" spans="1:26" ht="20.100000000000001" customHeight="1">
      <c r="A126" s="33">
        <v>7</v>
      </c>
      <c r="B126" s="81" t="s">
        <v>229</v>
      </c>
      <c r="C126" s="61" t="s">
        <v>230</v>
      </c>
      <c r="D126" s="66" t="s">
        <v>103</v>
      </c>
      <c r="E126" s="62">
        <f>23891.12</f>
        <v>23891.119999999999</v>
      </c>
      <c r="F126" s="62"/>
      <c r="G126" s="62">
        <f t="shared" si="177"/>
        <v>71673.36</v>
      </c>
      <c r="H126" s="62">
        <f t="shared" si="178"/>
        <v>1791.8339999999998</v>
      </c>
      <c r="I126" s="62"/>
      <c r="J126" s="62">
        <f t="shared" si="179"/>
        <v>11945.56</v>
      </c>
      <c r="K126" s="36">
        <f t="shared" si="180"/>
        <v>83618.92</v>
      </c>
      <c r="L126" s="62">
        <f t="shared" si="181"/>
        <v>23891.119999999999</v>
      </c>
      <c r="M126" s="27"/>
      <c r="N126" s="27">
        <f t="shared" ref="N126:N128" si="194">70000</f>
        <v>70000</v>
      </c>
      <c r="O126" s="62">
        <f t="shared" si="182"/>
        <v>2389.1120000000001</v>
      </c>
      <c r="P126" s="62">
        <v>15000</v>
      </c>
      <c r="Q126" s="62">
        <f>30000</f>
        <v>30000</v>
      </c>
      <c r="R126" s="36">
        <f t="shared" si="183"/>
        <v>334201.02600000001</v>
      </c>
      <c r="S126" s="36"/>
      <c r="T126" s="36">
        <f>50000</f>
        <v>50000</v>
      </c>
      <c r="U126" s="36">
        <f>45833.33</f>
        <v>45833.33</v>
      </c>
      <c r="V126" s="36">
        <f>'[2]Jan 2021'!$H$51</f>
        <v>597.27800000000002</v>
      </c>
      <c r="W126" s="62">
        <f>7709.76</f>
        <v>7709.76</v>
      </c>
      <c r="X126" s="36">
        <f t="shared" si="185"/>
        <v>104140.368</v>
      </c>
      <c r="Y126" s="36">
        <v>230060.658</v>
      </c>
      <c r="Z126" s="36">
        <f t="shared" si="184"/>
        <v>230060.658</v>
      </c>
    </row>
    <row r="127" spans="1:26" ht="20.100000000000001" customHeight="1">
      <c r="A127" s="33">
        <v>8</v>
      </c>
      <c r="B127" s="81" t="s">
        <v>231</v>
      </c>
      <c r="C127" s="61" t="s">
        <v>232</v>
      </c>
      <c r="D127" s="66" t="s">
        <v>103</v>
      </c>
      <c r="E127" s="62">
        <f>23891.12</f>
        <v>23891.119999999999</v>
      </c>
      <c r="F127" s="62"/>
      <c r="G127" s="62">
        <f t="shared" si="177"/>
        <v>71673.36</v>
      </c>
      <c r="H127" s="62">
        <f t="shared" si="178"/>
        <v>1791.8339999999998</v>
      </c>
      <c r="I127" s="62"/>
      <c r="J127" s="62">
        <f t="shared" si="179"/>
        <v>11945.56</v>
      </c>
      <c r="K127" s="36">
        <f t="shared" si="180"/>
        <v>83618.92</v>
      </c>
      <c r="L127" s="62">
        <f t="shared" si="181"/>
        <v>23891.119999999999</v>
      </c>
      <c r="M127" s="27"/>
      <c r="N127" s="27">
        <f t="shared" si="194"/>
        <v>70000</v>
      </c>
      <c r="O127" s="62">
        <f t="shared" si="182"/>
        <v>2389.1120000000001</v>
      </c>
      <c r="P127" s="62">
        <v>15000</v>
      </c>
      <c r="Q127" s="62"/>
      <c r="R127" s="36">
        <f t="shared" si="183"/>
        <v>304201.02600000001</v>
      </c>
      <c r="S127" s="36"/>
      <c r="T127" s="36">
        <f>30000+20000</f>
        <v>50000</v>
      </c>
      <c r="U127" s="36">
        <f>65555.56</f>
        <v>65555.56</v>
      </c>
      <c r="V127" s="36">
        <f>'[2]Jan 2021'!$H$25</f>
        <v>597.27800000000002</v>
      </c>
      <c r="W127" s="62">
        <f>7709.76</f>
        <v>7709.76</v>
      </c>
      <c r="X127" s="36">
        <f t="shared" si="185"/>
        <v>123862.598</v>
      </c>
      <c r="Y127" s="36">
        <v>180338.42800000001</v>
      </c>
      <c r="Z127" s="36">
        <f t="shared" si="184"/>
        <v>180338.42800000001</v>
      </c>
    </row>
    <row r="128" spans="1:26" ht="20.100000000000001" customHeight="1">
      <c r="A128" s="33">
        <v>9</v>
      </c>
      <c r="B128" s="81" t="s">
        <v>233</v>
      </c>
      <c r="C128" s="61" t="s">
        <v>228</v>
      </c>
      <c r="D128" s="66" t="s">
        <v>80</v>
      </c>
      <c r="E128" s="62">
        <f>23074.99</f>
        <v>23074.99</v>
      </c>
      <c r="F128" s="62"/>
      <c r="G128" s="62">
        <f t="shared" ref="G128" si="195">E128*300%</f>
        <v>69224.97</v>
      </c>
      <c r="H128" s="62">
        <f t="shared" ref="H128" si="196">E128*7.5%</f>
        <v>1730.6242500000001</v>
      </c>
      <c r="I128" s="62"/>
      <c r="J128" s="62">
        <f t="shared" ref="J128" si="197">E128*50%</f>
        <v>11537.495000000001</v>
      </c>
      <c r="K128" s="36">
        <f t="shared" ref="K128" si="198">E128*350%</f>
        <v>80762.465000000011</v>
      </c>
      <c r="L128" s="62">
        <f t="shared" ref="L128" si="199">E128*100%</f>
        <v>23074.99</v>
      </c>
      <c r="M128" s="27"/>
      <c r="N128" s="27">
        <f t="shared" si="194"/>
        <v>70000</v>
      </c>
      <c r="O128" s="62">
        <f t="shared" ref="O128" si="200">E128*10%</f>
        <v>2307.4990000000003</v>
      </c>
      <c r="P128" s="62">
        <v>15000</v>
      </c>
      <c r="Q128" s="62"/>
      <c r="R128" s="36">
        <f t="shared" ref="R128" si="201">SUM(E128:Q128)</f>
        <v>296713.03325000004</v>
      </c>
      <c r="S128" s="36"/>
      <c r="T128" s="36"/>
      <c r="U128" s="36"/>
      <c r="V128" s="36"/>
      <c r="W128" s="62">
        <f>7709.76</f>
        <v>7709.76</v>
      </c>
      <c r="X128" s="36">
        <f t="shared" ref="X128" si="202">W128+V128+U128+T128+S128</f>
        <v>7709.76</v>
      </c>
      <c r="Y128" s="36">
        <v>289003.27325000003</v>
      </c>
      <c r="Z128" s="36">
        <f t="shared" ref="Z128" si="203">R128-X128</f>
        <v>289003.27325000003</v>
      </c>
    </row>
    <row r="129" spans="1:26" ht="20.100000000000001" customHeight="1">
      <c r="A129" s="33"/>
      <c r="B129" s="223" t="s">
        <v>34</v>
      </c>
      <c r="C129" s="98" t="s">
        <v>234</v>
      </c>
      <c r="D129" s="66"/>
      <c r="E129" s="39">
        <f>SUM(E120:E128)</f>
        <v>316781.22000000003</v>
      </c>
      <c r="F129" s="39"/>
      <c r="G129" s="39">
        <f t="shared" ref="G129:L129" si="204">SUM(G120:G128)</f>
        <v>950343.66</v>
      </c>
      <c r="H129" s="39">
        <f t="shared" si="204"/>
        <v>23758.591499999999</v>
      </c>
      <c r="I129" s="39">
        <f t="shared" si="204"/>
        <v>240733.14</v>
      </c>
      <c r="J129" s="39">
        <f t="shared" si="204"/>
        <v>158390.61000000002</v>
      </c>
      <c r="K129" s="63">
        <f t="shared" si="204"/>
        <v>1108734.27</v>
      </c>
      <c r="L129" s="39">
        <f t="shared" si="204"/>
        <v>316781.22000000003</v>
      </c>
      <c r="M129" s="158"/>
      <c r="N129" s="158">
        <f>SUM(N120:N128)</f>
        <v>710000</v>
      </c>
      <c r="O129" s="39">
        <f>SUM(O120:O128)</f>
        <v>31678.122000000003</v>
      </c>
      <c r="P129" s="39">
        <f>SUM(P120:P128)</f>
        <v>160000</v>
      </c>
      <c r="Q129" s="39">
        <f>SUM(Q120:Q128)</f>
        <v>330000</v>
      </c>
      <c r="R129" s="63">
        <f>SUM(R120:R128)</f>
        <v>4347200.8335000006</v>
      </c>
      <c r="S129" s="63"/>
      <c r="T129" s="63">
        <f t="shared" ref="T129:Z129" si="205">SUM(T120:T128)</f>
        <v>880000</v>
      </c>
      <c r="U129" s="63">
        <f t="shared" si="205"/>
        <v>518333.34</v>
      </c>
      <c r="V129" s="63">
        <f t="shared" si="205"/>
        <v>4882.3240000000005</v>
      </c>
      <c r="W129" s="39">
        <f t="shared" si="205"/>
        <v>151878.75000000003</v>
      </c>
      <c r="X129" s="63">
        <f t="shared" si="205"/>
        <v>1555094.4140000001</v>
      </c>
      <c r="Y129" s="63">
        <v>2792106.4194999998</v>
      </c>
      <c r="Z129" s="63">
        <f t="shared" si="205"/>
        <v>2792106.4194999998</v>
      </c>
    </row>
    <row r="130" spans="1:26" ht="20.100000000000001" customHeight="1">
      <c r="A130" s="33"/>
      <c r="B130" s="97"/>
      <c r="C130" s="98"/>
      <c r="D130" s="66"/>
      <c r="E130" s="39"/>
      <c r="F130" s="39"/>
      <c r="G130" s="39"/>
      <c r="H130" s="39"/>
      <c r="I130" s="39"/>
      <c r="J130" s="39"/>
      <c r="K130" s="63"/>
      <c r="L130" s="39"/>
      <c r="M130" s="27"/>
      <c r="N130" s="27"/>
      <c r="O130" s="39"/>
      <c r="P130" s="39"/>
      <c r="Q130" s="39"/>
      <c r="R130" s="63"/>
      <c r="S130" s="63"/>
      <c r="T130" s="63"/>
      <c r="U130" s="63"/>
      <c r="V130" s="63"/>
      <c r="W130" s="39"/>
      <c r="X130" s="63"/>
      <c r="Y130" s="63"/>
      <c r="Z130" s="63"/>
    </row>
    <row r="131" spans="1:26" ht="20.100000000000001" customHeight="1">
      <c r="A131" s="33"/>
      <c r="B131" s="223" t="s">
        <v>235</v>
      </c>
      <c r="C131" s="61"/>
      <c r="D131" s="66"/>
      <c r="E131" s="62"/>
      <c r="F131" s="62"/>
      <c r="G131" s="62"/>
      <c r="H131" s="62"/>
      <c r="I131" s="62"/>
      <c r="J131" s="62"/>
      <c r="K131" s="36"/>
      <c r="L131" s="62"/>
      <c r="M131" s="27"/>
      <c r="N131" s="27"/>
      <c r="O131" s="62"/>
      <c r="P131" s="62"/>
      <c r="Q131" s="62"/>
      <c r="R131" s="36"/>
      <c r="S131" s="36"/>
      <c r="T131" s="36"/>
      <c r="U131" s="36"/>
      <c r="V131" s="36"/>
      <c r="W131" s="62"/>
      <c r="X131" s="36"/>
      <c r="Y131" s="36"/>
      <c r="Z131" s="36"/>
    </row>
    <row r="132" spans="1:26" ht="20.100000000000001" customHeight="1">
      <c r="A132" s="33">
        <v>1</v>
      </c>
      <c r="B132" s="81" t="s">
        <v>236</v>
      </c>
      <c r="C132" s="61" t="s">
        <v>237</v>
      </c>
      <c r="D132" s="66" t="s">
        <v>43</v>
      </c>
      <c r="E132" s="62">
        <v>81740.02</v>
      </c>
      <c r="F132" s="62"/>
      <c r="G132" s="62">
        <f>E132*300%</f>
        <v>245220.06</v>
      </c>
      <c r="H132" s="62">
        <f>E132*7.5%</f>
        <v>6130.5015000000003</v>
      </c>
      <c r="I132" s="62">
        <v>80244.38</v>
      </c>
      <c r="J132" s="62">
        <f>E132*50%</f>
        <v>40870.01</v>
      </c>
      <c r="K132" s="62">
        <f>E132*350%</f>
        <v>286090.07</v>
      </c>
      <c r="L132" s="62">
        <f>E132*100%</f>
        <v>81740.02</v>
      </c>
      <c r="M132" s="27"/>
      <c r="N132" s="27">
        <f>100000</f>
        <v>100000</v>
      </c>
      <c r="O132" s="62">
        <f>E132*10%</f>
        <v>8174.0020000000004</v>
      </c>
      <c r="P132" s="62">
        <v>20000</v>
      </c>
      <c r="Q132" s="62">
        <v>0</v>
      </c>
      <c r="R132" s="36">
        <f>SUM(E132:Q132)</f>
        <v>950209.06350000005</v>
      </c>
      <c r="S132" s="36"/>
      <c r="T132" s="36">
        <v>50000</v>
      </c>
      <c r="U132" s="36">
        <f>320000</f>
        <v>320000</v>
      </c>
      <c r="V132" s="36">
        <f>2043.5</f>
        <v>2043.5</v>
      </c>
      <c r="W132" s="62">
        <v>52776.63</v>
      </c>
      <c r="X132" s="36">
        <f>W132+V132+U132+T132+S132</f>
        <v>424820.13</v>
      </c>
      <c r="Y132" s="36">
        <v>525388.93350000004</v>
      </c>
      <c r="Z132" s="36">
        <f t="shared" ref="Z132:Z167" si="206">R132-X132</f>
        <v>525388.93350000004</v>
      </c>
    </row>
    <row r="133" spans="1:26" ht="20.100000000000001" customHeight="1">
      <c r="A133" s="33">
        <v>2</v>
      </c>
      <c r="B133" s="81" t="s">
        <v>238</v>
      </c>
      <c r="C133" s="61" t="s">
        <v>239</v>
      </c>
      <c r="D133" s="66" t="s">
        <v>43</v>
      </c>
      <c r="E133" s="62">
        <f>81740.02</f>
        <v>81740.02</v>
      </c>
      <c r="F133" s="62"/>
      <c r="G133" s="62">
        <f>E133*300%</f>
        <v>245220.06</v>
      </c>
      <c r="H133" s="62">
        <f>E133*7.5%</f>
        <v>6130.5015000000003</v>
      </c>
      <c r="I133" s="62">
        <f>80244.38</f>
        <v>80244.38</v>
      </c>
      <c r="J133" s="62">
        <f>E133*50%</f>
        <v>40870.01</v>
      </c>
      <c r="K133" s="62">
        <f>E133*350%</f>
        <v>286090.07</v>
      </c>
      <c r="L133" s="62">
        <f>E133*100%</f>
        <v>81740.02</v>
      </c>
      <c r="M133" s="27"/>
      <c r="N133" s="27">
        <f>100000</f>
        <v>100000</v>
      </c>
      <c r="O133" s="62">
        <f>E133*10%</f>
        <v>8174.0020000000004</v>
      </c>
      <c r="P133" s="62">
        <v>20000</v>
      </c>
      <c r="Q133" s="62">
        <v>0</v>
      </c>
      <c r="R133" s="36">
        <f>SUM(E133:Q133)</f>
        <v>950209.06350000005</v>
      </c>
      <c r="S133" s="36"/>
      <c r="T133" s="36">
        <f>100000</f>
        <v>100000</v>
      </c>
      <c r="U133" s="36">
        <f>208526.24</f>
        <v>208526.24</v>
      </c>
      <c r="V133" s="36"/>
      <c r="W133" s="62">
        <f>52776.63</f>
        <v>52776.63</v>
      </c>
      <c r="X133" s="36">
        <f t="shared" ref="X133:X184" si="207">W133+V133+U133+T133+S133</f>
        <v>361302.87</v>
      </c>
      <c r="Y133" s="36">
        <v>637710.21350000007</v>
      </c>
      <c r="Z133" s="36">
        <f t="shared" si="206"/>
        <v>588906.19350000005</v>
      </c>
    </row>
    <row r="134" spans="1:26" ht="20.100000000000001" customHeight="1">
      <c r="A134" s="33">
        <v>3</v>
      </c>
      <c r="B134" s="106" t="s">
        <v>240</v>
      </c>
      <c r="C134" s="61" t="s">
        <v>241</v>
      </c>
      <c r="D134" s="66" t="s">
        <v>46</v>
      </c>
      <c r="E134" s="62">
        <f>42653.17</f>
        <v>42653.17</v>
      </c>
      <c r="F134" s="62"/>
      <c r="G134" s="62">
        <f t="shared" ref="G134:G182" si="208">E134*300%</f>
        <v>127959.51</v>
      </c>
      <c r="H134" s="62">
        <f t="shared" ref="H134:H182" si="209">E134*7.5%</f>
        <v>3198.9877499999998</v>
      </c>
      <c r="I134" s="62">
        <v>40122.19</v>
      </c>
      <c r="J134" s="62">
        <f t="shared" ref="J134:J182" si="210">E134*50%</f>
        <v>21326.584999999999</v>
      </c>
      <c r="K134" s="62">
        <f t="shared" ref="K134:K182" si="211">E134*350%</f>
        <v>149286.095</v>
      </c>
      <c r="L134" s="62">
        <f t="shared" ref="L134:L152" si="212">E134*100%</f>
        <v>42653.17</v>
      </c>
      <c r="M134" s="27"/>
      <c r="N134" s="27">
        <f>90000</f>
        <v>90000</v>
      </c>
      <c r="O134" s="62">
        <f t="shared" ref="O134:O152" si="213">E134*10%</f>
        <v>4265.317</v>
      </c>
      <c r="P134" s="62">
        <v>20000</v>
      </c>
      <c r="Q134" s="62">
        <v>0</v>
      </c>
      <c r="R134" s="36">
        <f t="shared" ref="R134:R154" si="214">SUM(E134:Q134)</f>
        <v>541465.02474999998</v>
      </c>
      <c r="S134" s="36"/>
      <c r="T134" s="36">
        <f>25000</f>
        <v>25000</v>
      </c>
      <c r="U134" s="36">
        <f>200000</f>
        <v>200000</v>
      </c>
      <c r="V134" s="36"/>
      <c r="W134" s="62">
        <f>21618.09</f>
        <v>21618.09</v>
      </c>
      <c r="X134" s="36">
        <f t="shared" si="207"/>
        <v>246618.09</v>
      </c>
      <c r="Y134" s="36">
        <v>294846.93475000001</v>
      </c>
      <c r="Z134" s="36">
        <f t="shared" si="206"/>
        <v>294846.93475000001</v>
      </c>
    </row>
    <row r="135" spans="1:26" ht="20.100000000000001" customHeight="1">
      <c r="A135" s="33">
        <v>4</v>
      </c>
      <c r="B135" s="220" t="s">
        <v>242</v>
      </c>
      <c r="C135" s="20" t="s">
        <v>243</v>
      </c>
      <c r="D135" s="25" t="s">
        <v>57</v>
      </c>
      <c r="E135" s="62">
        <v>33507.5</v>
      </c>
      <c r="F135" s="26"/>
      <c r="G135" s="26">
        <f t="shared" si="208"/>
        <v>100522.5</v>
      </c>
      <c r="H135" s="26">
        <f t="shared" si="209"/>
        <v>2513.0625</v>
      </c>
      <c r="I135" s="26">
        <v>40122.19</v>
      </c>
      <c r="J135" s="26">
        <f t="shared" si="210"/>
        <v>16753.75</v>
      </c>
      <c r="K135" s="26">
        <f t="shared" si="211"/>
        <v>117276.25</v>
      </c>
      <c r="L135" s="26">
        <f t="shared" si="212"/>
        <v>33507.5</v>
      </c>
      <c r="M135" s="27"/>
      <c r="N135" s="27">
        <v>80000</v>
      </c>
      <c r="O135" s="26">
        <f t="shared" si="213"/>
        <v>3350.75</v>
      </c>
      <c r="P135" s="26">
        <v>20000</v>
      </c>
      <c r="Q135" s="26">
        <v>50000</v>
      </c>
      <c r="R135" s="36">
        <f t="shared" si="214"/>
        <v>497553.5025</v>
      </c>
      <c r="S135" s="36"/>
      <c r="T135" s="24">
        <f>37500</f>
        <v>37500</v>
      </c>
      <c r="U135" s="24"/>
      <c r="V135" s="24">
        <f>'[2]Jan 2021'!$H$52</f>
        <v>837.6875</v>
      </c>
      <c r="W135" s="24">
        <v>15548.33</v>
      </c>
      <c r="X135" s="36">
        <f t="shared" si="207"/>
        <v>53886.017500000002</v>
      </c>
      <c r="Y135" s="36">
        <v>443667.48499999999</v>
      </c>
      <c r="Z135" s="36">
        <f t="shared" si="206"/>
        <v>443667.48499999999</v>
      </c>
    </row>
    <row r="136" spans="1:26" ht="20.100000000000001" customHeight="1">
      <c r="A136" s="33">
        <v>5</v>
      </c>
      <c r="B136" s="220" t="s">
        <v>244</v>
      </c>
      <c r="C136" s="20" t="s">
        <v>245</v>
      </c>
      <c r="D136" s="25" t="s">
        <v>57</v>
      </c>
      <c r="E136" s="62">
        <v>33507.5</v>
      </c>
      <c r="F136" s="26"/>
      <c r="G136" s="26">
        <f t="shared" ref="G136" si="215">E136*300%</f>
        <v>100522.5</v>
      </c>
      <c r="H136" s="26">
        <f t="shared" ref="H136" si="216">E136*7.5%</f>
        <v>2513.0625</v>
      </c>
      <c r="I136" s="26">
        <v>40122.19</v>
      </c>
      <c r="J136" s="26">
        <f t="shared" ref="J136" si="217">E136*50%</f>
        <v>16753.75</v>
      </c>
      <c r="K136" s="26">
        <f t="shared" ref="K136" si="218">E136*350%</f>
        <v>117276.25</v>
      </c>
      <c r="L136" s="26">
        <f t="shared" ref="L136" si="219">E136*100%</f>
        <v>33507.5</v>
      </c>
      <c r="M136" s="27"/>
      <c r="N136" s="27">
        <v>80000</v>
      </c>
      <c r="O136" s="26">
        <f t="shared" ref="O136" si="220">E136*10%</f>
        <v>3350.75</v>
      </c>
      <c r="P136" s="26">
        <v>20000</v>
      </c>
      <c r="Q136" s="26"/>
      <c r="R136" s="36">
        <f t="shared" ref="R136" si="221">SUM(E136:Q136)</f>
        <v>447553.5025</v>
      </c>
      <c r="S136" s="36"/>
      <c r="T136" s="24"/>
      <c r="U136" s="24"/>
      <c r="V136" s="24"/>
      <c r="W136" s="24">
        <v>15548.33</v>
      </c>
      <c r="X136" s="36">
        <f t="shared" ref="X136" si="222">W136+V136+U136+T136+S136</f>
        <v>15548.33</v>
      </c>
      <c r="Y136" s="36">
        <v>432005.17249999999</v>
      </c>
      <c r="Z136" s="36">
        <f t="shared" ref="Z136" si="223">R136-X136</f>
        <v>432005.17249999999</v>
      </c>
    </row>
    <row r="137" spans="1:26" ht="20.100000000000001" customHeight="1">
      <c r="A137" s="33">
        <v>6</v>
      </c>
      <c r="B137" s="81" t="s">
        <v>246</v>
      </c>
      <c r="C137" s="61" t="s">
        <v>247</v>
      </c>
      <c r="D137" s="66" t="s">
        <v>70</v>
      </c>
      <c r="E137" s="62">
        <f>25854.1</f>
        <v>25854.1</v>
      </c>
      <c r="F137" s="62"/>
      <c r="G137" s="62">
        <f t="shared" si="208"/>
        <v>77562.299999999988</v>
      </c>
      <c r="H137" s="62">
        <f t="shared" si="209"/>
        <v>1939.0574999999999</v>
      </c>
      <c r="I137" s="62">
        <v>0</v>
      </c>
      <c r="J137" s="62">
        <f t="shared" si="210"/>
        <v>12927.05</v>
      </c>
      <c r="K137" s="36">
        <f t="shared" si="211"/>
        <v>90489.349999999991</v>
      </c>
      <c r="L137" s="62">
        <f t="shared" si="212"/>
        <v>25854.1</v>
      </c>
      <c r="M137" s="27"/>
      <c r="N137" s="27">
        <v>70000</v>
      </c>
      <c r="O137" s="62">
        <f t="shared" si="213"/>
        <v>2585.41</v>
      </c>
      <c r="P137" s="26">
        <v>20000</v>
      </c>
      <c r="Q137" s="62"/>
      <c r="R137" s="36">
        <f t="shared" si="214"/>
        <v>327211.36749999999</v>
      </c>
      <c r="S137" s="36"/>
      <c r="T137" s="36">
        <v>30000</v>
      </c>
      <c r="U137" s="36">
        <f>52500</f>
        <v>52500</v>
      </c>
      <c r="V137" s="36">
        <f>'[2]Jan 2021'!$H$49</f>
        <v>638.08625000000006</v>
      </c>
      <c r="W137" s="62">
        <v>7709.76</v>
      </c>
      <c r="X137" s="36">
        <f t="shared" si="207"/>
        <v>90847.846250000002</v>
      </c>
      <c r="Y137" s="36">
        <v>236363.52124999999</v>
      </c>
      <c r="Z137" s="36">
        <f t="shared" si="206"/>
        <v>236363.52124999999</v>
      </c>
    </row>
    <row r="138" spans="1:26" ht="20.100000000000001" customHeight="1">
      <c r="A138" s="33">
        <v>7</v>
      </c>
      <c r="B138" s="81" t="s">
        <v>248</v>
      </c>
      <c r="C138" s="33" t="s">
        <v>249</v>
      </c>
      <c r="D138" s="66" t="s">
        <v>70</v>
      </c>
      <c r="E138" s="62">
        <f>25854.1</f>
        <v>25854.1</v>
      </c>
      <c r="F138" s="62"/>
      <c r="G138" s="62">
        <f t="shared" si="208"/>
        <v>77562.299999999988</v>
      </c>
      <c r="H138" s="62">
        <f t="shared" si="209"/>
        <v>1939.0574999999999</v>
      </c>
      <c r="I138" s="62">
        <v>0</v>
      </c>
      <c r="J138" s="62">
        <f t="shared" si="210"/>
        <v>12927.05</v>
      </c>
      <c r="K138" s="36">
        <f t="shared" si="211"/>
        <v>90489.349999999991</v>
      </c>
      <c r="L138" s="62">
        <f t="shared" si="212"/>
        <v>25854.1</v>
      </c>
      <c r="M138" s="27"/>
      <c r="N138" s="27">
        <v>70000</v>
      </c>
      <c r="O138" s="62">
        <f t="shared" si="213"/>
        <v>2585.41</v>
      </c>
      <c r="P138" s="26">
        <v>20000</v>
      </c>
      <c r="Q138" s="62">
        <v>0</v>
      </c>
      <c r="R138" s="36">
        <f t="shared" si="214"/>
        <v>327211.36749999999</v>
      </c>
      <c r="S138" s="36"/>
      <c r="T138" s="36">
        <f>0</f>
        <v>0</v>
      </c>
      <c r="U138" s="36">
        <f>133333.33</f>
        <v>133333.32999999999</v>
      </c>
      <c r="V138" s="36">
        <f>'[2]Jan 2021'!$H$53</f>
        <v>638.08625000000006</v>
      </c>
      <c r="W138" s="62">
        <v>7709.76</v>
      </c>
      <c r="X138" s="36">
        <f t="shared" si="207"/>
        <v>141681.17624999999</v>
      </c>
      <c r="Y138" s="36">
        <v>185530.19125</v>
      </c>
      <c r="Z138" s="36">
        <f t="shared" si="206"/>
        <v>185530.19125</v>
      </c>
    </row>
    <row r="139" spans="1:26" ht="20.100000000000001" customHeight="1">
      <c r="A139" s="33">
        <v>8</v>
      </c>
      <c r="B139" s="81" t="s">
        <v>250</v>
      </c>
      <c r="C139" s="33" t="s">
        <v>249</v>
      </c>
      <c r="D139" s="66" t="s">
        <v>70</v>
      </c>
      <c r="E139" s="62">
        <f>25854.1</f>
        <v>25854.1</v>
      </c>
      <c r="F139" s="62"/>
      <c r="G139" s="62">
        <f>E139*300%</f>
        <v>77562.299999999988</v>
      </c>
      <c r="H139" s="62">
        <f>E139*7.5%</f>
        <v>1939.0574999999999</v>
      </c>
      <c r="I139" s="62">
        <v>0</v>
      </c>
      <c r="J139" s="62">
        <f>E139*50%</f>
        <v>12927.05</v>
      </c>
      <c r="K139" s="36">
        <f>E139*350%</f>
        <v>90489.349999999991</v>
      </c>
      <c r="L139" s="62">
        <f>E139*100%</f>
        <v>25854.1</v>
      </c>
      <c r="M139" s="27"/>
      <c r="N139" s="27">
        <v>70000</v>
      </c>
      <c r="O139" s="62">
        <f>E139*10%</f>
        <v>2585.41</v>
      </c>
      <c r="P139" s="26">
        <v>20000</v>
      </c>
      <c r="Q139" s="62">
        <v>0</v>
      </c>
      <c r="R139" s="36">
        <f>SUM(E139:Q139)</f>
        <v>327211.36749999999</v>
      </c>
      <c r="S139" s="36"/>
      <c r="T139" s="36">
        <f>3000</f>
        <v>3000</v>
      </c>
      <c r="U139" s="36">
        <f>50000</f>
        <v>50000</v>
      </c>
      <c r="V139" s="36"/>
      <c r="W139" s="62">
        <v>7709.76</v>
      </c>
      <c r="X139" s="36">
        <f t="shared" si="207"/>
        <v>60709.760000000002</v>
      </c>
      <c r="Y139" s="36">
        <v>266501.60749999998</v>
      </c>
      <c r="Z139" s="36">
        <f>R139-X139</f>
        <v>266501.60749999998</v>
      </c>
    </row>
    <row r="140" spans="1:26" ht="20.100000000000001" customHeight="1">
      <c r="A140" s="33">
        <v>9</v>
      </c>
      <c r="B140" s="81" t="s">
        <v>251</v>
      </c>
      <c r="C140" s="33" t="s">
        <v>252</v>
      </c>
      <c r="D140" s="66" t="s">
        <v>103</v>
      </c>
      <c r="E140" s="62">
        <f>23891.12</f>
        <v>23891.119999999999</v>
      </c>
      <c r="F140" s="62"/>
      <c r="G140" s="62">
        <f t="shared" si="208"/>
        <v>71673.36</v>
      </c>
      <c r="H140" s="62">
        <f t="shared" si="209"/>
        <v>1791.8339999999998</v>
      </c>
      <c r="I140" s="36">
        <v>0</v>
      </c>
      <c r="J140" s="62">
        <f t="shared" si="210"/>
        <v>11945.56</v>
      </c>
      <c r="K140" s="36">
        <f t="shared" si="211"/>
        <v>83618.92</v>
      </c>
      <c r="L140" s="62">
        <f t="shared" si="212"/>
        <v>23891.119999999999</v>
      </c>
      <c r="M140" s="27"/>
      <c r="N140" s="27">
        <v>70000</v>
      </c>
      <c r="O140" s="62">
        <f t="shared" si="213"/>
        <v>2389.1120000000001</v>
      </c>
      <c r="P140" s="62">
        <v>15000</v>
      </c>
      <c r="Q140" s="62">
        <v>0</v>
      </c>
      <c r="R140" s="36">
        <f t="shared" si="214"/>
        <v>304201.02600000001</v>
      </c>
      <c r="S140" s="36"/>
      <c r="T140" s="36">
        <f>10000</f>
        <v>10000</v>
      </c>
      <c r="U140" s="36">
        <f>90000</f>
        <v>90000</v>
      </c>
      <c r="V140" s="36"/>
      <c r="W140" s="62">
        <f>7709.76</f>
        <v>7709.76</v>
      </c>
      <c r="X140" s="36">
        <f t="shared" si="207"/>
        <v>107709.75999999999</v>
      </c>
      <c r="Y140" s="36">
        <v>196491.266</v>
      </c>
      <c r="Z140" s="36">
        <f t="shared" si="206"/>
        <v>196491.266</v>
      </c>
    </row>
    <row r="141" spans="1:26" ht="20.100000000000001" customHeight="1">
      <c r="A141" s="33">
        <v>10</v>
      </c>
      <c r="B141" s="81" t="s">
        <v>253</v>
      </c>
      <c r="C141" s="61" t="s">
        <v>254</v>
      </c>
      <c r="D141" s="66" t="s">
        <v>89</v>
      </c>
      <c r="E141" s="62">
        <f>20749</f>
        <v>20749</v>
      </c>
      <c r="F141" s="62"/>
      <c r="G141" s="62">
        <f>E141*300%</f>
        <v>62247</v>
      </c>
      <c r="H141" s="62">
        <f>E141*7.5%</f>
        <v>1556.175</v>
      </c>
      <c r="I141" s="62">
        <v>0</v>
      </c>
      <c r="J141" s="62">
        <f>E141*50%</f>
        <v>10374.5</v>
      </c>
      <c r="K141" s="36">
        <f>E141*350%</f>
        <v>72621.5</v>
      </c>
      <c r="L141" s="62">
        <f>E141*100%</f>
        <v>20749</v>
      </c>
      <c r="M141" s="27"/>
      <c r="N141" s="27">
        <f>60000</f>
        <v>60000</v>
      </c>
      <c r="O141" s="62">
        <f>E141*10%</f>
        <v>2074.9</v>
      </c>
      <c r="P141" s="62">
        <v>15000</v>
      </c>
      <c r="Q141" s="62">
        <v>0</v>
      </c>
      <c r="R141" s="36">
        <f>SUM(E141:Q141)</f>
        <v>265372.07499999995</v>
      </c>
      <c r="S141" s="36"/>
      <c r="T141" s="36">
        <v>10000</v>
      </c>
      <c r="U141" s="36">
        <f>0</f>
        <v>0</v>
      </c>
      <c r="V141" s="36">
        <f>'[2]Jan 2021'!$H$41</f>
        <v>481.92375000000004</v>
      </c>
      <c r="W141" s="62">
        <f>3369.51</f>
        <v>3369.51</v>
      </c>
      <c r="X141" s="36">
        <f t="shared" si="207"/>
        <v>13851.43375</v>
      </c>
      <c r="Y141" s="36">
        <v>251520.64124999996</v>
      </c>
      <c r="Z141" s="36">
        <f>R141-X141</f>
        <v>251520.64124999996</v>
      </c>
    </row>
    <row r="142" spans="1:26" ht="20.100000000000001" customHeight="1">
      <c r="A142" s="33">
        <v>11</v>
      </c>
      <c r="B142" s="81" t="s">
        <v>255</v>
      </c>
      <c r="C142" s="61" t="s">
        <v>254</v>
      </c>
      <c r="D142" s="66" t="s">
        <v>89</v>
      </c>
      <c r="E142" s="62">
        <f>20749</f>
        <v>20749</v>
      </c>
      <c r="F142" s="62"/>
      <c r="G142" s="62">
        <f>E142*300%</f>
        <v>62247</v>
      </c>
      <c r="H142" s="62">
        <f>E142*7.5%</f>
        <v>1556.175</v>
      </c>
      <c r="I142" s="62">
        <v>0</v>
      </c>
      <c r="J142" s="62">
        <f>E142*50%</f>
        <v>10374.5</v>
      </c>
      <c r="K142" s="36">
        <f>E142*350%</f>
        <v>72621.5</v>
      </c>
      <c r="L142" s="26">
        <f t="shared" si="212"/>
        <v>20749</v>
      </c>
      <c r="M142" s="27"/>
      <c r="N142" s="27">
        <f>60000</f>
        <v>60000</v>
      </c>
      <c r="O142" s="62">
        <f t="shared" si="213"/>
        <v>2074.9</v>
      </c>
      <c r="P142" s="62">
        <v>15000</v>
      </c>
      <c r="Q142" s="62">
        <v>0</v>
      </c>
      <c r="R142" s="36">
        <f t="shared" si="214"/>
        <v>265372.07499999995</v>
      </c>
      <c r="S142" s="36"/>
      <c r="T142" s="36"/>
      <c r="U142" s="36">
        <f>100000</f>
        <v>100000</v>
      </c>
      <c r="V142" s="36"/>
      <c r="W142" s="62">
        <v>3369.51</v>
      </c>
      <c r="X142" s="36">
        <f t="shared" si="207"/>
        <v>103369.51</v>
      </c>
      <c r="Y142" s="36">
        <v>162002.56499999994</v>
      </c>
      <c r="Z142" s="36">
        <f t="shared" si="206"/>
        <v>162002.56499999994</v>
      </c>
    </row>
    <row r="143" spans="1:26" ht="20.100000000000001" customHeight="1">
      <c r="A143" s="33">
        <v>12</v>
      </c>
      <c r="B143" s="81" t="s">
        <v>256</v>
      </c>
      <c r="C143" s="33" t="s">
        <v>252</v>
      </c>
      <c r="D143" s="66" t="s">
        <v>89</v>
      </c>
      <c r="E143" s="62">
        <f>20749</f>
        <v>20749</v>
      </c>
      <c r="F143" s="62"/>
      <c r="G143" s="62">
        <f>E143*300%</f>
        <v>62247</v>
      </c>
      <c r="H143" s="62">
        <f>E143*7.5%</f>
        <v>1556.175</v>
      </c>
      <c r="I143" s="36"/>
      <c r="J143" s="62">
        <f>E143*50%</f>
        <v>10374.5</v>
      </c>
      <c r="K143" s="36">
        <f>E143*350%</f>
        <v>72621.5</v>
      </c>
      <c r="L143" s="62">
        <f>E143*100%</f>
        <v>20749</v>
      </c>
      <c r="M143" s="27"/>
      <c r="N143" s="27">
        <f>60000</f>
        <v>60000</v>
      </c>
      <c r="O143" s="62">
        <f>E143*10%</f>
        <v>2074.9</v>
      </c>
      <c r="P143" s="62">
        <v>15000</v>
      </c>
      <c r="Q143" s="62"/>
      <c r="R143" s="36">
        <f>SUM(E143:Q143)</f>
        <v>265372.07499999995</v>
      </c>
      <c r="S143" s="36"/>
      <c r="T143" s="36">
        <f>20000+10000</f>
        <v>30000</v>
      </c>
      <c r="U143" s="36"/>
      <c r="V143" s="36"/>
      <c r="W143" s="62">
        <v>3369.51</v>
      </c>
      <c r="X143" s="36">
        <f>W143+V143+U143+T143+S143</f>
        <v>33369.51</v>
      </c>
      <c r="Y143" s="36">
        <v>232002.56499999994</v>
      </c>
      <c r="Z143" s="36">
        <f>R143-X143</f>
        <v>232002.56499999994</v>
      </c>
    </row>
    <row r="144" spans="1:26" ht="20.100000000000001" customHeight="1">
      <c r="A144" s="33">
        <v>13</v>
      </c>
      <c r="B144" s="81" t="s">
        <v>257</v>
      </c>
      <c r="C144" s="33" t="s">
        <v>258</v>
      </c>
      <c r="D144" s="66" t="s">
        <v>86</v>
      </c>
      <c r="E144" s="26">
        <f>18281.64</f>
        <v>18281.64</v>
      </c>
      <c r="F144" s="62"/>
      <c r="G144" s="62">
        <f>E144*300%</f>
        <v>54844.92</v>
      </c>
      <c r="H144" s="62">
        <f>E144*7.5%</f>
        <v>1371.1229999999998</v>
      </c>
      <c r="I144" s="62"/>
      <c r="J144" s="62">
        <f>E144*50%</f>
        <v>9140.82</v>
      </c>
      <c r="K144" s="36">
        <f>E144*350%</f>
        <v>63985.74</v>
      </c>
      <c r="L144" s="26">
        <f t="shared" si="212"/>
        <v>18281.64</v>
      </c>
      <c r="M144" s="27"/>
      <c r="N144" s="27">
        <f>60000</f>
        <v>60000</v>
      </c>
      <c r="O144" s="62">
        <f t="shared" si="213"/>
        <v>1828.164</v>
      </c>
      <c r="P144" s="62">
        <v>10000</v>
      </c>
      <c r="Q144" s="62"/>
      <c r="R144" s="36">
        <f t="shared" si="214"/>
        <v>237734.04699999996</v>
      </c>
      <c r="S144" s="36"/>
      <c r="T144" s="36">
        <f>50000</f>
        <v>50000</v>
      </c>
      <c r="U144" s="36">
        <f>93721.55</f>
        <v>93721.55</v>
      </c>
      <c r="V144" s="36"/>
      <c r="W144" s="62">
        <v>3369.51</v>
      </c>
      <c r="X144" s="36">
        <f t="shared" si="207"/>
        <v>147091.06</v>
      </c>
      <c r="Y144" s="36">
        <v>90642.986999999965</v>
      </c>
      <c r="Z144" s="36">
        <f t="shared" si="206"/>
        <v>90642.986999999965</v>
      </c>
    </row>
    <row r="145" spans="1:26" ht="20.100000000000001" customHeight="1">
      <c r="A145" s="33">
        <v>14</v>
      </c>
      <c r="B145" s="81" t="s">
        <v>259</v>
      </c>
      <c r="C145" s="61" t="s">
        <v>260</v>
      </c>
      <c r="D145" s="66" t="s">
        <v>92</v>
      </c>
      <c r="E145" s="67">
        <f>17784</f>
        <v>17784</v>
      </c>
      <c r="F145" s="62"/>
      <c r="G145" s="62">
        <f t="shared" si="208"/>
        <v>53352</v>
      </c>
      <c r="H145" s="62">
        <f t="shared" si="209"/>
        <v>1333.8</v>
      </c>
      <c r="I145" s="62"/>
      <c r="J145" s="62">
        <f t="shared" si="210"/>
        <v>8892</v>
      </c>
      <c r="K145" s="36">
        <f t="shared" si="211"/>
        <v>62244</v>
      </c>
      <c r="L145" s="62">
        <f t="shared" si="212"/>
        <v>17784</v>
      </c>
      <c r="M145" s="27"/>
      <c r="N145" s="27">
        <f>60000</f>
        <v>60000</v>
      </c>
      <c r="O145" s="62">
        <f t="shared" si="213"/>
        <v>1778.4</v>
      </c>
      <c r="P145" s="62">
        <v>10000</v>
      </c>
      <c r="Q145" s="62"/>
      <c r="R145" s="36">
        <f t="shared" si="214"/>
        <v>233168.19999999998</v>
      </c>
      <c r="S145" s="36"/>
      <c r="T145" s="36">
        <f>10000</f>
        <v>10000</v>
      </c>
      <c r="U145" s="36">
        <f>50000</f>
        <v>50000</v>
      </c>
      <c r="V145" s="36">
        <f>'[2]Jan 2021'!$H$45</f>
        <v>444.6</v>
      </c>
      <c r="W145" s="62">
        <f>3369.51</f>
        <v>3369.51</v>
      </c>
      <c r="X145" s="36">
        <f t="shared" si="207"/>
        <v>63814.11</v>
      </c>
      <c r="Y145" s="36">
        <v>169354.08999999997</v>
      </c>
      <c r="Z145" s="36">
        <f t="shared" si="206"/>
        <v>169354.08999999997</v>
      </c>
    </row>
    <row r="146" spans="1:26" ht="20.100000000000001" customHeight="1">
      <c r="A146" s="33">
        <v>15</v>
      </c>
      <c r="B146" s="81" t="s">
        <v>261</v>
      </c>
      <c r="C146" s="61" t="s">
        <v>262</v>
      </c>
      <c r="D146" s="66" t="s">
        <v>86</v>
      </c>
      <c r="E146" s="26">
        <f>18281.64</f>
        <v>18281.64</v>
      </c>
      <c r="F146" s="62"/>
      <c r="G146" s="62">
        <f>E146*300%</f>
        <v>54844.92</v>
      </c>
      <c r="H146" s="62">
        <f>E146*7.5%</f>
        <v>1371.1229999999998</v>
      </c>
      <c r="I146" s="36"/>
      <c r="J146" s="62">
        <f>E146*50%</f>
        <v>9140.82</v>
      </c>
      <c r="K146" s="36">
        <f>E146*350%</f>
        <v>63985.74</v>
      </c>
      <c r="L146" s="62">
        <f>E146*100%</f>
        <v>18281.64</v>
      </c>
      <c r="M146" s="27"/>
      <c r="N146" s="27">
        <f>60000</f>
        <v>60000</v>
      </c>
      <c r="O146" s="62">
        <f>E146*10%</f>
        <v>1828.164</v>
      </c>
      <c r="P146" s="62">
        <v>10000</v>
      </c>
      <c r="Q146" s="62"/>
      <c r="R146" s="36">
        <f>SUM(E146:Q146)</f>
        <v>237734.04699999996</v>
      </c>
      <c r="S146" s="36"/>
      <c r="T146" s="36">
        <v>20000</v>
      </c>
      <c r="U146" s="36">
        <f>68750</f>
        <v>68750</v>
      </c>
      <c r="V146" s="36">
        <f>'[2]Jan 2021'!$H$31</f>
        <v>457.041</v>
      </c>
      <c r="W146" s="62">
        <v>3369.51</v>
      </c>
      <c r="X146" s="36">
        <f t="shared" si="207"/>
        <v>92576.551000000007</v>
      </c>
      <c r="Y146" s="36">
        <v>145157.49599999996</v>
      </c>
      <c r="Z146" s="36">
        <f>R146-X146</f>
        <v>145157.49599999996</v>
      </c>
    </row>
    <row r="147" spans="1:26" ht="20.100000000000001" customHeight="1">
      <c r="A147" s="33">
        <v>16</v>
      </c>
      <c r="B147" s="81" t="s">
        <v>263</v>
      </c>
      <c r="C147" s="33" t="s">
        <v>258</v>
      </c>
      <c r="D147" s="66" t="s">
        <v>100</v>
      </c>
      <c r="E147" s="67">
        <f>17286.33</f>
        <v>17286.330000000002</v>
      </c>
      <c r="F147" s="62"/>
      <c r="G147" s="62">
        <f t="shared" si="208"/>
        <v>51858.990000000005</v>
      </c>
      <c r="H147" s="62">
        <f t="shared" si="209"/>
        <v>1296.4747500000001</v>
      </c>
      <c r="I147" s="62"/>
      <c r="J147" s="62">
        <f t="shared" si="210"/>
        <v>8643.1650000000009</v>
      </c>
      <c r="K147" s="36">
        <f t="shared" si="211"/>
        <v>60502.155000000006</v>
      </c>
      <c r="L147" s="62">
        <f t="shared" si="212"/>
        <v>17286.330000000002</v>
      </c>
      <c r="M147" s="27"/>
      <c r="N147" s="27">
        <f>60000</f>
        <v>60000</v>
      </c>
      <c r="O147" s="62">
        <f t="shared" si="213"/>
        <v>1728.6330000000003</v>
      </c>
      <c r="P147" s="62">
        <v>10000</v>
      </c>
      <c r="Q147" s="62"/>
      <c r="R147" s="36">
        <f t="shared" si="214"/>
        <v>228602.07775000003</v>
      </c>
      <c r="S147" s="36"/>
      <c r="T147" s="36">
        <f>10000</f>
        <v>10000</v>
      </c>
      <c r="U147" s="36">
        <f>22916.67</f>
        <v>22916.67</v>
      </c>
      <c r="V147" s="36"/>
      <c r="W147" s="62">
        <v>1484.37</v>
      </c>
      <c r="X147" s="36">
        <f t="shared" si="207"/>
        <v>34401.039999999994</v>
      </c>
      <c r="Y147" s="36">
        <v>194201.03775000002</v>
      </c>
      <c r="Z147" s="36">
        <f t="shared" si="206"/>
        <v>194201.03775000002</v>
      </c>
    </row>
    <row r="148" spans="1:26" ht="20.100000000000001" customHeight="1">
      <c r="A148" s="33">
        <v>17</v>
      </c>
      <c r="B148" s="81" t="s">
        <v>264</v>
      </c>
      <c r="C148" s="33" t="s">
        <v>258</v>
      </c>
      <c r="D148" s="66" t="s">
        <v>100</v>
      </c>
      <c r="E148" s="67">
        <f t="shared" ref="E148:E149" si="224">17286.33</f>
        <v>17286.330000000002</v>
      </c>
      <c r="F148" s="62"/>
      <c r="G148" s="62">
        <f t="shared" si="208"/>
        <v>51858.990000000005</v>
      </c>
      <c r="H148" s="62">
        <f t="shared" si="209"/>
        <v>1296.4747500000001</v>
      </c>
      <c r="I148" s="62"/>
      <c r="J148" s="62">
        <f t="shared" si="210"/>
        <v>8643.1650000000009</v>
      </c>
      <c r="K148" s="36">
        <f t="shared" si="211"/>
        <v>60502.155000000006</v>
      </c>
      <c r="L148" s="62">
        <f t="shared" si="212"/>
        <v>17286.330000000002</v>
      </c>
      <c r="M148" s="27"/>
      <c r="N148" s="27">
        <f>60000</f>
        <v>60000</v>
      </c>
      <c r="O148" s="62">
        <f t="shared" si="213"/>
        <v>1728.6330000000003</v>
      </c>
      <c r="P148" s="62">
        <v>10000</v>
      </c>
      <c r="Q148" s="62"/>
      <c r="R148" s="36">
        <f t="shared" si="214"/>
        <v>228602.07775000003</v>
      </c>
      <c r="S148" s="36"/>
      <c r="T148" s="36">
        <f>10000</f>
        <v>10000</v>
      </c>
      <c r="U148" s="36">
        <f>58083.33</f>
        <v>58083.33</v>
      </c>
      <c r="V148" s="36">
        <f>'[2]Jan 2021'!$H$37</f>
        <v>337.30525</v>
      </c>
      <c r="W148" s="62">
        <v>1484.37</v>
      </c>
      <c r="X148" s="36">
        <f t="shared" si="207"/>
        <v>69905.005250000002</v>
      </c>
      <c r="Y148" s="36">
        <v>158697.07250000001</v>
      </c>
      <c r="Z148" s="36">
        <f t="shared" si="206"/>
        <v>158697.07250000001</v>
      </c>
    </row>
    <row r="149" spans="1:26" ht="20.100000000000001" customHeight="1">
      <c r="A149" s="33">
        <v>18</v>
      </c>
      <c r="B149" s="81" t="s">
        <v>265</v>
      </c>
      <c r="C149" s="33" t="s">
        <v>258</v>
      </c>
      <c r="D149" s="66" t="s">
        <v>100</v>
      </c>
      <c r="E149" s="67">
        <f t="shared" si="224"/>
        <v>17286.330000000002</v>
      </c>
      <c r="F149" s="62"/>
      <c r="G149" s="62">
        <f t="shared" si="208"/>
        <v>51858.990000000005</v>
      </c>
      <c r="H149" s="62">
        <f t="shared" si="209"/>
        <v>1296.4747500000001</v>
      </c>
      <c r="I149" s="62"/>
      <c r="J149" s="62">
        <f t="shared" si="210"/>
        <v>8643.1650000000009</v>
      </c>
      <c r="K149" s="36">
        <f t="shared" si="211"/>
        <v>60502.155000000006</v>
      </c>
      <c r="L149" s="62">
        <f t="shared" si="212"/>
        <v>17286.330000000002</v>
      </c>
      <c r="M149" s="27"/>
      <c r="N149" s="27">
        <f>60000</f>
        <v>60000</v>
      </c>
      <c r="O149" s="62">
        <f t="shared" si="213"/>
        <v>1728.6330000000003</v>
      </c>
      <c r="P149" s="62">
        <v>10000</v>
      </c>
      <c r="Q149" s="62"/>
      <c r="R149" s="36">
        <f t="shared" si="214"/>
        <v>228602.07775000003</v>
      </c>
      <c r="S149" s="36"/>
      <c r="T149" s="36"/>
      <c r="U149" s="36"/>
      <c r="V149" s="36"/>
      <c r="W149" s="62">
        <v>1484.37</v>
      </c>
      <c r="X149" s="36">
        <f t="shared" si="207"/>
        <v>1484.37</v>
      </c>
      <c r="Y149" s="36">
        <v>227117.70775000003</v>
      </c>
      <c r="Z149" s="36">
        <f t="shared" si="206"/>
        <v>227117.70775000003</v>
      </c>
    </row>
    <row r="150" spans="1:26" ht="20.100000000000001" customHeight="1">
      <c r="A150" s="33">
        <v>19</v>
      </c>
      <c r="B150" s="81" t="s">
        <v>266</v>
      </c>
      <c r="C150" s="61" t="s">
        <v>262</v>
      </c>
      <c r="D150" s="66" t="s">
        <v>110</v>
      </c>
      <c r="E150" s="67">
        <f>13112.16</f>
        <v>13112.16</v>
      </c>
      <c r="F150" s="62"/>
      <c r="G150" s="62">
        <f t="shared" si="208"/>
        <v>39336.479999999996</v>
      </c>
      <c r="H150" s="62">
        <f t="shared" si="209"/>
        <v>983.41199999999992</v>
      </c>
      <c r="I150" s="62"/>
      <c r="J150" s="62">
        <f t="shared" si="210"/>
        <v>6556.08</v>
      </c>
      <c r="K150" s="36">
        <f t="shared" si="211"/>
        <v>45892.56</v>
      </c>
      <c r="L150" s="62">
        <f t="shared" si="212"/>
        <v>13112.16</v>
      </c>
      <c r="M150" s="27"/>
      <c r="N150" s="27">
        <f>50000</f>
        <v>50000</v>
      </c>
      <c r="O150" s="62">
        <f t="shared" si="213"/>
        <v>1311.2160000000001</v>
      </c>
      <c r="P150" s="62">
        <v>10000</v>
      </c>
      <c r="Q150" s="62"/>
      <c r="R150" s="36">
        <f t="shared" si="214"/>
        <v>180304.068</v>
      </c>
      <c r="S150" s="36"/>
      <c r="T150" s="36"/>
      <c r="U150" s="36"/>
      <c r="V150" s="36"/>
      <c r="W150" s="62">
        <v>1484.37</v>
      </c>
      <c r="X150" s="36">
        <f t="shared" si="207"/>
        <v>1484.37</v>
      </c>
      <c r="Y150" s="36">
        <v>178819.698</v>
      </c>
      <c r="Z150" s="36">
        <f t="shared" si="206"/>
        <v>178819.698</v>
      </c>
    </row>
    <row r="151" spans="1:26" ht="20.100000000000001" customHeight="1">
      <c r="A151" s="33">
        <v>20</v>
      </c>
      <c r="B151" s="81" t="s">
        <v>267</v>
      </c>
      <c r="C151" s="61" t="s">
        <v>268</v>
      </c>
      <c r="D151" s="66" t="s">
        <v>110</v>
      </c>
      <c r="E151" s="67">
        <f>13112.16</f>
        <v>13112.16</v>
      </c>
      <c r="F151" s="62"/>
      <c r="G151" s="62">
        <f t="shared" si="208"/>
        <v>39336.479999999996</v>
      </c>
      <c r="H151" s="62">
        <f t="shared" si="209"/>
        <v>983.41199999999992</v>
      </c>
      <c r="I151" s="62"/>
      <c r="J151" s="62">
        <f t="shared" si="210"/>
        <v>6556.08</v>
      </c>
      <c r="K151" s="36">
        <f t="shared" si="211"/>
        <v>45892.56</v>
      </c>
      <c r="L151" s="62">
        <f t="shared" si="212"/>
        <v>13112.16</v>
      </c>
      <c r="M151" s="27"/>
      <c r="N151" s="27">
        <f>50000</f>
        <v>50000</v>
      </c>
      <c r="O151" s="62">
        <f t="shared" si="213"/>
        <v>1311.2160000000001</v>
      </c>
      <c r="P151" s="62">
        <v>10000</v>
      </c>
      <c r="Q151" s="62"/>
      <c r="R151" s="36">
        <f t="shared" si="214"/>
        <v>180304.068</v>
      </c>
      <c r="S151" s="36"/>
      <c r="T151" s="36">
        <f>30000+5000</f>
        <v>35000</v>
      </c>
      <c r="U151" s="36">
        <f>70000</f>
        <v>70000</v>
      </c>
      <c r="V151" s="36"/>
      <c r="W151" s="62">
        <v>1484.37</v>
      </c>
      <c r="X151" s="36">
        <f t="shared" si="207"/>
        <v>106484.37</v>
      </c>
      <c r="Y151" s="36">
        <v>73819.698000000004</v>
      </c>
      <c r="Z151" s="36">
        <f t="shared" si="206"/>
        <v>73819.698000000004</v>
      </c>
    </row>
    <row r="152" spans="1:26" ht="20.100000000000001" customHeight="1">
      <c r="A152" s="33">
        <v>21</v>
      </c>
      <c r="B152" s="81" t="s">
        <v>269</v>
      </c>
      <c r="C152" s="61" t="s">
        <v>262</v>
      </c>
      <c r="D152" s="66" t="s">
        <v>110</v>
      </c>
      <c r="E152" s="67">
        <f>13112.16</f>
        <v>13112.16</v>
      </c>
      <c r="F152" s="62"/>
      <c r="G152" s="62">
        <f t="shared" si="208"/>
        <v>39336.479999999996</v>
      </c>
      <c r="H152" s="62">
        <f t="shared" si="209"/>
        <v>983.41199999999992</v>
      </c>
      <c r="I152" s="62"/>
      <c r="J152" s="62">
        <f t="shared" si="210"/>
        <v>6556.08</v>
      </c>
      <c r="K152" s="36">
        <f t="shared" si="211"/>
        <v>45892.56</v>
      </c>
      <c r="L152" s="62">
        <f t="shared" si="212"/>
        <v>13112.16</v>
      </c>
      <c r="M152" s="27"/>
      <c r="N152" s="27">
        <f>50000</f>
        <v>50000</v>
      </c>
      <c r="O152" s="62">
        <f t="shared" si="213"/>
        <v>1311.2160000000001</v>
      </c>
      <c r="P152" s="62">
        <v>10000</v>
      </c>
      <c r="Q152" s="62"/>
      <c r="R152" s="36">
        <f t="shared" si="214"/>
        <v>180304.068</v>
      </c>
      <c r="S152" s="36"/>
      <c r="T152" s="36">
        <f>10000</f>
        <v>10000</v>
      </c>
      <c r="U152" s="36">
        <f>34485.28</f>
        <v>34485.279999999999</v>
      </c>
      <c r="V152" s="36">
        <f>'[2]Jan 2021'!$H$56</f>
        <v>327.80400000000003</v>
      </c>
      <c r="W152" s="62">
        <v>1484.37</v>
      </c>
      <c r="X152" s="36">
        <f t="shared" si="207"/>
        <v>46297.453999999998</v>
      </c>
      <c r="Y152" s="36">
        <v>134006.614</v>
      </c>
      <c r="Z152" s="36">
        <f t="shared" si="206"/>
        <v>134006.614</v>
      </c>
    </row>
    <row r="153" spans="1:26" ht="20.100000000000001" customHeight="1">
      <c r="A153" s="33">
        <v>22</v>
      </c>
      <c r="B153" s="81" t="s">
        <v>270</v>
      </c>
      <c r="C153" s="61" t="s">
        <v>271</v>
      </c>
      <c r="D153" s="66" t="s">
        <v>110</v>
      </c>
      <c r="E153" s="67">
        <f>13112.16</f>
        <v>13112.16</v>
      </c>
      <c r="F153" s="62"/>
      <c r="G153" s="62">
        <f>E153*300%</f>
        <v>39336.479999999996</v>
      </c>
      <c r="H153" s="62">
        <f>E153*7.5%</f>
        <v>983.41199999999992</v>
      </c>
      <c r="I153" s="62"/>
      <c r="J153" s="62">
        <f>E153*50%</f>
        <v>6556.08</v>
      </c>
      <c r="K153" s="36">
        <f>E153*350%</f>
        <v>45892.56</v>
      </c>
      <c r="L153" s="62">
        <f>E153*100%</f>
        <v>13112.16</v>
      </c>
      <c r="M153" s="27"/>
      <c r="N153" s="27">
        <f>50000</f>
        <v>50000</v>
      </c>
      <c r="O153" s="62">
        <f>E153*10%</f>
        <v>1311.2160000000001</v>
      </c>
      <c r="P153" s="62">
        <v>10000</v>
      </c>
      <c r="Q153" s="62"/>
      <c r="R153" s="36">
        <f>SUM(E153:Q153)</f>
        <v>180304.068</v>
      </c>
      <c r="S153" s="36"/>
      <c r="T153" s="36"/>
      <c r="U153" s="36"/>
      <c r="V153" s="36"/>
      <c r="W153" s="62">
        <v>1484.37</v>
      </c>
      <c r="X153" s="36">
        <f t="shared" si="207"/>
        <v>1484.37</v>
      </c>
      <c r="Y153" s="36">
        <v>178819.698</v>
      </c>
      <c r="Z153" s="36">
        <f>R153-X153</f>
        <v>178819.698</v>
      </c>
    </row>
    <row r="154" spans="1:26" ht="20.100000000000001" customHeight="1">
      <c r="A154" s="33">
        <v>23</v>
      </c>
      <c r="B154" s="81" t="s">
        <v>272</v>
      </c>
      <c r="C154" s="61" t="s">
        <v>273</v>
      </c>
      <c r="D154" s="66" t="s">
        <v>112</v>
      </c>
      <c r="E154" s="67">
        <f>17784</f>
        <v>17784</v>
      </c>
      <c r="F154" s="62"/>
      <c r="G154" s="62">
        <f t="shared" si="208"/>
        <v>53352</v>
      </c>
      <c r="H154" s="62">
        <f t="shared" si="209"/>
        <v>1333.8</v>
      </c>
      <c r="I154" s="62"/>
      <c r="J154" s="62">
        <f t="shared" si="210"/>
        <v>8892</v>
      </c>
      <c r="K154" s="36">
        <f t="shared" si="211"/>
        <v>62244</v>
      </c>
      <c r="L154" s="62">
        <f>E154*100%</f>
        <v>17784</v>
      </c>
      <c r="M154" s="27"/>
      <c r="N154" s="27">
        <f>50000</f>
        <v>50000</v>
      </c>
      <c r="O154" s="62">
        <f>E154*10%</f>
        <v>1778.4</v>
      </c>
      <c r="P154" s="62">
        <v>10000</v>
      </c>
      <c r="R154" s="62">
        <f t="shared" si="214"/>
        <v>223168.19999999998</v>
      </c>
      <c r="S154" s="62"/>
      <c r="T154" s="36">
        <f>30000</f>
        <v>30000</v>
      </c>
      <c r="U154" s="36"/>
      <c r="V154" s="36"/>
      <c r="W154" s="62">
        <f>3369.51</f>
        <v>3369.51</v>
      </c>
      <c r="X154" s="36">
        <f t="shared" si="207"/>
        <v>33369.51</v>
      </c>
      <c r="Y154" s="36">
        <v>189798.68999999997</v>
      </c>
      <c r="Z154" s="36">
        <f t="shared" si="206"/>
        <v>189798.68999999997</v>
      </c>
    </row>
    <row r="155" spans="1:26" ht="20.100000000000001" customHeight="1">
      <c r="A155" s="33">
        <v>24</v>
      </c>
      <c r="B155" s="81" t="s">
        <v>274</v>
      </c>
      <c r="C155" s="61" t="s">
        <v>262</v>
      </c>
      <c r="D155" s="66" t="s">
        <v>98</v>
      </c>
      <c r="E155" s="26">
        <f>12351.94</f>
        <v>12351.94</v>
      </c>
      <c r="F155" s="26"/>
      <c r="G155" s="26">
        <f>E155*300%</f>
        <v>37055.82</v>
      </c>
      <c r="H155" s="26">
        <f>E155*7.5%</f>
        <v>926.39549999999997</v>
      </c>
      <c r="I155" s="26"/>
      <c r="J155" s="26">
        <f>E155*50%</f>
        <v>6175.97</v>
      </c>
      <c r="K155" s="26">
        <f>E155*350%</f>
        <v>43231.79</v>
      </c>
      <c r="L155" s="26">
        <f>E155*100%</f>
        <v>12351.94</v>
      </c>
      <c r="M155" s="27"/>
      <c r="N155" s="27">
        <f>50000</f>
        <v>50000</v>
      </c>
      <c r="O155" s="26">
        <f>E155*10%</f>
        <v>1235.1940000000002</v>
      </c>
      <c r="P155" s="26">
        <v>10000</v>
      </c>
      <c r="Q155" s="26"/>
      <c r="R155" s="36">
        <f t="shared" ref="R155" si="225">Q155+P155+O155+N155+M155+L155+K155+J155+I155+H155+G155+F155+E155</f>
        <v>173329.04949999999</v>
      </c>
      <c r="S155" s="36"/>
      <c r="T155" s="36">
        <f>50000</f>
        <v>50000</v>
      </c>
      <c r="U155" s="36">
        <f>50000</f>
        <v>50000</v>
      </c>
      <c r="V155" s="36">
        <f>0</f>
        <v>0</v>
      </c>
      <c r="W155" s="62">
        <v>1484.37</v>
      </c>
      <c r="X155" s="36">
        <f t="shared" si="207"/>
        <v>101484.37</v>
      </c>
      <c r="Y155" s="36">
        <v>71844.679499999998</v>
      </c>
      <c r="Z155" s="36">
        <f>R155-X155</f>
        <v>71844.679499999998</v>
      </c>
    </row>
    <row r="156" spans="1:26" ht="20.100000000000001" customHeight="1">
      <c r="A156" s="33">
        <v>25</v>
      </c>
      <c r="B156" s="81" t="s">
        <v>275</v>
      </c>
      <c r="C156" s="61" t="s">
        <v>273</v>
      </c>
      <c r="D156" s="66" t="s">
        <v>98</v>
      </c>
      <c r="E156" s="26">
        <f t="shared" ref="E156:E157" si="226">12351.94</f>
        <v>12351.94</v>
      </c>
      <c r="F156" s="26"/>
      <c r="G156" s="26">
        <f t="shared" ref="G156:G157" si="227">E156*300%</f>
        <v>37055.82</v>
      </c>
      <c r="H156" s="26">
        <f t="shared" ref="H156:H157" si="228">E156*7.5%</f>
        <v>926.39549999999997</v>
      </c>
      <c r="I156" s="26"/>
      <c r="J156" s="26">
        <f t="shared" ref="J156:J157" si="229">E156*50%</f>
        <v>6175.97</v>
      </c>
      <c r="K156" s="26">
        <f t="shared" ref="K156:K157" si="230">E156*350%</f>
        <v>43231.79</v>
      </c>
      <c r="L156" s="26">
        <f t="shared" ref="L156:L157" si="231">E156*100%</f>
        <v>12351.94</v>
      </c>
      <c r="M156" s="27"/>
      <c r="N156" s="27">
        <f>50000</f>
        <v>50000</v>
      </c>
      <c r="O156" s="26">
        <f t="shared" ref="O156:O157" si="232">E156*10%</f>
        <v>1235.1940000000002</v>
      </c>
      <c r="P156" s="26">
        <v>10000</v>
      </c>
      <c r="Q156" s="26"/>
      <c r="R156" s="36">
        <f t="shared" ref="R156:R157" si="233">Q156+P156+O156+N156+M156+L156+K156+J156+I156+H156+G156+F156+E156</f>
        <v>173329.04949999999</v>
      </c>
      <c r="S156" s="36"/>
      <c r="T156" s="36">
        <f>50000</f>
        <v>50000</v>
      </c>
      <c r="U156" s="36"/>
      <c r="V156" s="36">
        <f>0</f>
        <v>0</v>
      </c>
      <c r="W156" s="62">
        <v>1484.37</v>
      </c>
      <c r="X156" s="36">
        <f t="shared" ref="X156:X157" si="234">W156+V156+U156+T156+S156</f>
        <v>51484.37</v>
      </c>
      <c r="Y156" s="36">
        <v>121844.6795</v>
      </c>
      <c r="Z156" s="36">
        <f t="shared" ref="Z156:Z157" si="235">R156-X156</f>
        <v>121844.6795</v>
      </c>
    </row>
    <row r="157" spans="1:26" ht="20.100000000000001" customHeight="1">
      <c r="A157" s="33">
        <v>26</v>
      </c>
      <c r="B157" s="81" t="s">
        <v>276</v>
      </c>
      <c r="C157" s="61" t="s">
        <v>262</v>
      </c>
      <c r="D157" s="66" t="s">
        <v>98</v>
      </c>
      <c r="E157" s="26">
        <f t="shared" si="226"/>
        <v>12351.94</v>
      </c>
      <c r="F157" s="26"/>
      <c r="G157" s="26">
        <f t="shared" si="227"/>
        <v>37055.82</v>
      </c>
      <c r="H157" s="26">
        <f t="shared" si="228"/>
        <v>926.39549999999997</v>
      </c>
      <c r="I157" s="26"/>
      <c r="J157" s="26">
        <f t="shared" si="229"/>
        <v>6175.97</v>
      </c>
      <c r="K157" s="26">
        <f t="shared" si="230"/>
        <v>43231.79</v>
      </c>
      <c r="L157" s="26">
        <f t="shared" si="231"/>
        <v>12351.94</v>
      </c>
      <c r="M157" s="27"/>
      <c r="N157" s="27">
        <f>50000</f>
        <v>50000</v>
      </c>
      <c r="O157" s="26">
        <f t="shared" si="232"/>
        <v>1235.1940000000002</v>
      </c>
      <c r="P157" s="26">
        <v>10000</v>
      </c>
      <c r="Q157" s="26"/>
      <c r="R157" s="36">
        <f t="shared" si="233"/>
        <v>173329.04949999999</v>
      </c>
      <c r="S157" s="36"/>
      <c r="T157" s="36">
        <f>20000+2000</f>
        <v>22000</v>
      </c>
      <c r="U157" s="36"/>
      <c r="V157" s="36">
        <f>0</f>
        <v>0</v>
      </c>
      <c r="W157" s="62">
        <v>1484.37</v>
      </c>
      <c r="X157" s="36">
        <f t="shared" si="234"/>
        <v>23484.37</v>
      </c>
      <c r="Y157" s="36">
        <v>171844.6795</v>
      </c>
      <c r="Z157" s="36">
        <f t="shared" si="235"/>
        <v>149844.6795</v>
      </c>
    </row>
    <row r="158" spans="1:26" ht="20.100000000000001" customHeight="1">
      <c r="A158" s="33">
        <v>27</v>
      </c>
      <c r="B158" s="81" t="s">
        <v>277</v>
      </c>
      <c r="C158" s="61" t="s">
        <v>278</v>
      </c>
      <c r="D158" s="82" t="s">
        <v>279</v>
      </c>
      <c r="E158" s="83">
        <f t="shared" ref="E158:E164" si="236">8730.79</f>
        <v>8730.7900000000009</v>
      </c>
      <c r="F158" s="27"/>
      <c r="G158" s="62">
        <f t="shared" si="208"/>
        <v>26192.370000000003</v>
      </c>
      <c r="H158" s="62">
        <f t="shared" si="209"/>
        <v>654.80925000000002</v>
      </c>
      <c r="I158" s="67">
        <v>0</v>
      </c>
      <c r="J158" s="62">
        <f t="shared" si="210"/>
        <v>4365.3950000000004</v>
      </c>
      <c r="K158" s="36">
        <f t="shared" si="211"/>
        <v>30557.765000000003</v>
      </c>
      <c r="L158" s="62">
        <f t="shared" ref="L158:L167" si="237">E158*100%</f>
        <v>8730.7900000000009</v>
      </c>
      <c r="M158" s="27"/>
      <c r="N158" s="27">
        <f>30000</f>
        <v>30000</v>
      </c>
      <c r="O158" s="62">
        <f t="shared" ref="O158:O182" si="238">E158*10%</f>
        <v>873.07900000000018</v>
      </c>
      <c r="P158" s="67">
        <v>5000</v>
      </c>
      <c r="Q158" s="62">
        <f>4000</f>
        <v>4000</v>
      </c>
      <c r="R158" s="36">
        <f t="shared" ref="R158:R182" si="239">SUM(E158:Q158)</f>
        <v>119104.99825</v>
      </c>
      <c r="S158" s="36"/>
      <c r="T158" s="36">
        <f>20000+3000</f>
        <v>23000</v>
      </c>
      <c r="U158" s="36">
        <f>24750</f>
        <v>24750</v>
      </c>
      <c r="V158" s="36">
        <f>'[2]Jan 2021'!$H$40</f>
        <v>218.26975000000004</v>
      </c>
      <c r="W158" s="36">
        <v>236.04</v>
      </c>
      <c r="X158" s="36">
        <f t="shared" si="207"/>
        <v>48204.30975</v>
      </c>
      <c r="Y158" s="36">
        <v>70900.688500000004</v>
      </c>
      <c r="Z158" s="36">
        <f t="shared" si="206"/>
        <v>70900.688500000004</v>
      </c>
    </row>
    <row r="159" spans="1:26" ht="20.100000000000001" customHeight="1">
      <c r="A159" s="33">
        <v>28</v>
      </c>
      <c r="B159" s="81" t="s">
        <v>280</v>
      </c>
      <c r="C159" s="61" t="s">
        <v>278</v>
      </c>
      <c r="D159" s="82" t="s">
        <v>279</v>
      </c>
      <c r="E159" s="83">
        <f t="shared" si="236"/>
        <v>8730.7900000000009</v>
      </c>
      <c r="F159" s="27"/>
      <c r="G159" s="62">
        <f t="shared" si="208"/>
        <v>26192.370000000003</v>
      </c>
      <c r="H159" s="62">
        <f t="shared" si="209"/>
        <v>654.80925000000002</v>
      </c>
      <c r="I159" s="67">
        <v>0</v>
      </c>
      <c r="J159" s="62">
        <f t="shared" si="210"/>
        <v>4365.3950000000004</v>
      </c>
      <c r="K159" s="36">
        <f t="shared" si="211"/>
        <v>30557.765000000003</v>
      </c>
      <c r="L159" s="62">
        <f t="shared" si="237"/>
        <v>8730.7900000000009</v>
      </c>
      <c r="M159" s="27"/>
      <c r="N159" s="27">
        <f>30000</f>
        <v>30000</v>
      </c>
      <c r="O159" s="62">
        <f t="shared" si="238"/>
        <v>873.07900000000018</v>
      </c>
      <c r="P159" s="67">
        <v>5000</v>
      </c>
      <c r="Q159" s="62">
        <f>7000</f>
        <v>7000</v>
      </c>
      <c r="R159" s="36">
        <f t="shared" si="239"/>
        <v>122104.99825</v>
      </c>
      <c r="S159" s="36"/>
      <c r="T159" s="36">
        <f>5000+3000</f>
        <v>8000</v>
      </c>
      <c r="U159" s="36">
        <f>14524.11</f>
        <v>14524.11</v>
      </c>
      <c r="V159" s="36"/>
      <c r="W159" s="36">
        <v>236.04</v>
      </c>
      <c r="X159" s="36">
        <f t="shared" si="207"/>
        <v>22760.15</v>
      </c>
      <c r="Y159" s="36">
        <v>99344.84825000001</v>
      </c>
      <c r="Z159" s="36">
        <f t="shared" si="206"/>
        <v>99344.84825000001</v>
      </c>
    </row>
    <row r="160" spans="1:26" ht="20.100000000000001" customHeight="1">
      <c r="A160" s="33">
        <v>29</v>
      </c>
      <c r="B160" s="81" t="s">
        <v>281</v>
      </c>
      <c r="C160" s="61" t="s">
        <v>278</v>
      </c>
      <c r="D160" s="82" t="s">
        <v>279</v>
      </c>
      <c r="E160" s="83">
        <f t="shared" si="236"/>
        <v>8730.7900000000009</v>
      </c>
      <c r="F160" s="27"/>
      <c r="G160" s="62">
        <f t="shared" si="208"/>
        <v>26192.370000000003</v>
      </c>
      <c r="H160" s="62">
        <f t="shared" si="209"/>
        <v>654.80925000000002</v>
      </c>
      <c r="I160" s="62">
        <v>0</v>
      </c>
      <c r="J160" s="62">
        <f t="shared" si="210"/>
        <v>4365.3950000000004</v>
      </c>
      <c r="K160" s="36">
        <f t="shared" si="211"/>
        <v>30557.765000000003</v>
      </c>
      <c r="L160" s="62">
        <f t="shared" si="237"/>
        <v>8730.7900000000009</v>
      </c>
      <c r="M160" s="27"/>
      <c r="N160" s="27">
        <f>30000</f>
        <v>30000</v>
      </c>
      <c r="O160" s="62">
        <f t="shared" si="238"/>
        <v>873.07900000000018</v>
      </c>
      <c r="P160" s="62">
        <v>5000</v>
      </c>
      <c r="Q160" s="62">
        <f>4000</f>
        <v>4000</v>
      </c>
      <c r="R160" s="36">
        <f t="shared" si="239"/>
        <v>119104.99825</v>
      </c>
      <c r="S160" s="36"/>
      <c r="T160" s="36">
        <f>10000+3000</f>
        <v>13000</v>
      </c>
      <c r="U160" s="36">
        <f>25000</f>
        <v>25000</v>
      </c>
      <c r="V160" s="36"/>
      <c r="W160" s="36">
        <v>236.04</v>
      </c>
      <c r="X160" s="36">
        <f t="shared" si="207"/>
        <v>38236.04</v>
      </c>
      <c r="Y160" s="36">
        <v>80868.958249999996</v>
      </c>
      <c r="Z160" s="36">
        <f t="shared" si="206"/>
        <v>80868.958249999996</v>
      </c>
    </row>
    <row r="161" spans="1:26" ht="20.100000000000001" customHeight="1">
      <c r="A161" s="33">
        <v>30</v>
      </c>
      <c r="B161" s="81" t="s">
        <v>282</v>
      </c>
      <c r="C161" s="61" t="s">
        <v>278</v>
      </c>
      <c r="D161" s="82" t="s">
        <v>279</v>
      </c>
      <c r="E161" s="83">
        <f t="shared" si="236"/>
        <v>8730.7900000000009</v>
      </c>
      <c r="F161" s="27"/>
      <c r="G161" s="62">
        <f t="shared" si="208"/>
        <v>26192.370000000003</v>
      </c>
      <c r="H161" s="62">
        <f t="shared" si="209"/>
        <v>654.80925000000002</v>
      </c>
      <c r="I161" s="62">
        <v>0</v>
      </c>
      <c r="J161" s="62">
        <f t="shared" si="210"/>
        <v>4365.3950000000004</v>
      </c>
      <c r="K161" s="36">
        <f t="shared" si="211"/>
        <v>30557.765000000003</v>
      </c>
      <c r="L161" s="62">
        <f t="shared" si="237"/>
        <v>8730.7900000000009</v>
      </c>
      <c r="M161" s="27"/>
      <c r="N161" s="27">
        <f>30000</f>
        <v>30000</v>
      </c>
      <c r="O161" s="62">
        <f t="shared" si="238"/>
        <v>873.07900000000018</v>
      </c>
      <c r="P161" s="62">
        <v>5000</v>
      </c>
      <c r="Q161" s="62">
        <f>4000</f>
        <v>4000</v>
      </c>
      <c r="R161" s="36">
        <f t="shared" si="239"/>
        <v>119104.99825</v>
      </c>
      <c r="S161" s="36"/>
      <c r="T161" s="36">
        <f>5000+3000</f>
        <v>8000</v>
      </c>
      <c r="U161" s="36">
        <f>15972.22</f>
        <v>15972.22</v>
      </c>
      <c r="V161" s="36"/>
      <c r="W161" s="36">
        <v>236.04</v>
      </c>
      <c r="X161" s="36">
        <f t="shared" si="207"/>
        <v>24208.260000000002</v>
      </c>
      <c r="Y161" s="36">
        <v>94896.738249999995</v>
      </c>
      <c r="Z161" s="36">
        <f t="shared" si="206"/>
        <v>94896.738249999995</v>
      </c>
    </row>
    <row r="162" spans="1:26" ht="20.100000000000001" customHeight="1">
      <c r="A162" s="33">
        <v>31</v>
      </c>
      <c r="B162" s="81" t="s">
        <v>283</v>
      </c>
      <c r="C162" s="61" t="s">
        <v>278</v>
      </c>
      <c r="D162" s="82" t="s">
        <v>279</v>
      </c>
      <c r="E162" s="83">
        <f t="shared" si="236"/>
        <v>8730.7900000000009</v>
      </c>
      <c r="F162" s="27"/>
      <c r="G162" s="62">
        <f t="shared" si="208"/>
        <v>26192.370000000003</v>
      </c>
      <c r="H162" s="62">
        <f t="shared" si="209"/>
        <v>654.80925000000002</v>
      </c>
      <c r="I162" s="62">
        <v>0</v>
      </c>
      <c r="J162" s="62">
        <f t="shared" si="210"/>
        <v>4365.3950000000004</v>
      </c>
      <c r="K162" s="36">
        <f t="shared" si="211"/>
        <v>30557.765000000003</v>
      </c>
      <c r="L162" s="62">
        <f t="shared" si="237"/>
        <v>8730.7900000000009</v>
      </c>
      <c r="M162" s="27"/>
      <c r="N162" s="27">
        <f>30000</f>
        <v>30000</v>
      </c>
      <c r="O162" s="62">
        <f t="shared" si="238"/>
        <v>873.07900000000018</v>
      </c>
      <c r="P162" s="62">
        <v>5000</v>
      </c>
      <c r="Q162" s="62">
        <f>4000</f>
        <v>4000</v>
      </c>
      <c r="R162" s="36">
        <f t="shared" si="239"/>
        <v>119104.99825</v>
      </c>
      <c r="S162" s="36"/>
      <c r="T162" s="36">
        <v>5000</v>
      </c>
      <c r="U162" s="36">
        <f>0</f>
        <v>0</v>
      </c>
      <c r="V162" s="36"/>
      <c r="W162" s="36">
        <v>236.04</v>
      </c>
      <c r="X162" s="36">
        <f t="shared" si="207"/>
        <v>5236.04</v>
      </c>
      <c r="Y162" s="36">
        <v>113868.95825000001</v>
      </c>
      <c r="Z162" s="36">
        <f t="shared" si="206"/>
        <v>113868.95825000001</v>
      </c>
    </row>
    <row r="163" spans="1:26" ht="20.100000000000001" customHeight="1">
      <c r="A163" s="33">
        <v>32</v>
      </c>
      <c r="B163" s="81" t="s">
        <v>284</v>
      </c>
      <c r="C163" s="61" t="s">
        <v>278</v>
      </c>
      <c r="D163" s="82" t="s">
        <v>279</v>
      </c>
      <c r="E163" s="83">
        <f t="shared" si="236"/>
        <v>8730.7900000000009</v>
      </c>
      <c r="F163" s="27"/>
      <c r="G163" s="62">
        <f t="shared" si="208"/>
        <v>26192.370000000003</v>
      </c>
      <c r="H163" s="62">
        <f t="shared" si="209"/>
        <v>654.80925000000002</v>
      </c>
      <c r="I163" s="62">
        <v>0</v>
      </c>
      <c r="J163" s="62">
        <f t="shared" si="210"/>
        <v>4365.3950000000004</v>
      </c>
      <c r="K163" s="36">
        <f t="shared" si="211"/>
        <v>30557.765000000003</v>
      </c>
      <c r="L163" s="62">
        <f t="shared" si="237"/>
        <v>8730.7900000000009</v>
      </c>
      <c r="M163" s="27"/>
      <c r="N163" s="27">
        <f>30000</f>
        <v>30000</v>
      </c>
      <c r="O163" s="62">
        <f t="shared" si="238"/>
        <v>873.07900000000018</v>
      </c>
      <c r="P163" s="62">
        <v>5000</v>
      </c>
      <c r="Q163" s="62">
        <f>4000</f>
        <v>4000</v>
      </c>
      <c r="R163" s="36">
        <f t="shared" si="239"/>
        <v>119104.99825</v>
      </c>
      <c r="S163" s="36"/>
      <c r="T163" s="36">
        <f>5000+3000</f>
        <v>8000</v>
      </c>
      <c r="U163" s="36">
        <f>25704.84</f>
        <v>25704.84</v>
      </c>
      <c r="V163" s="36">
        <f>'[2]Jan 2021'!$H$54</f>
        <v>218.26975000000004</v>
      </c>
      <c r="W163" s="36">
        <v>236.04</v>
      </c>
      <c r="X163" s="36">
        <f t="shared" si="207"/>
        <v>34159.149749999997</v>
      </c>
      <c r="Y163" s="36">
        <v>84945.848500000007</v>
      </c>
      <c r="Z163" s="36">
        <f t="shared" si="206"/>
        <v>84945.848500000007</v>
      </c>
    </row>
    <row r="164" spans="1:26" ht="20.100000000000001" customHeight="1">
      <c r="A164" s="33">
        <v>33</v>
      </c>
      <c r="B164" s="81" t="s">
        <v>285</v>
      </c>
      <c r="C164" s="61" t="s">
        <v>278</v>
      </c>
      <c r="D164" s="82" t="s">
        <v>279</v>
      </c>
      <c r="E164" s="83">
        <f t="shared" si="236"/>
        <v>8730.7900000000009</v>
      </c>
      <c r="F164" s="27"/>
      <c r="G164" s="62">
        <f t="shared" si="208"/>
        <v>26192.370000000003</v>
      </c>
      <c r="H164" s="62">
        <f t="shared" si="209"/>
        <v>654.80925000000002</v>
      </c>
      <c r="I164" s="62">
        <v>0</v>
      </c>
      <c r="J164" s="62">
        <f t="shared" si="210"/>
        <v>4365.3950000000004</v>
      </c>
      <c r="K164" s="36">
        <f t="shared" si="211"/>
        <v>30557.765000000003</v>
      </c>
      <c r="L164" s="62">
        <f t="shared" si="237"/>
        <v>8730.7900000000009</v>
      </c>
      <c r="M164" s="27"/>
      <c r="N164" s="27">
        <f>30000</f>
        <v>30000</v>
      </c>
      <c r="O164" s="62">
        <f t="shared" si="238"/>
        <v>873.07900000000018</v>
      </c>
      <c r="P164" s="62">
        <v>5000</v>
      </c>
      <c r="Q164" s="62">
        <f>4000</f>
        <v>4000</v>
      </c>
      <c r="R164" s="36">
        <f t="shared" si="239"/>
        <v>119104.99825</v>
      </c>
      <c r="S164" s="36"/>
      <c r="T164" s="36">
        <f>10000+3000</f>
        <v>13000</v>
      </c>
      <c r="U164" s="36">
        <f>15112.49</f>
        <v>15112.49</v>
      </c>
      <c r="V164" s="36"/>
      <c r="W164" s="36">
        <v>236.04</v>
      </c>
      <c r="X164" s="36">
        <f t="shared" si="207"/>
        <v>28348.53</v>
      </c>
      <c r="Y164" s="36">
        <v>90756.468250000005</v>
      </c>
      <c r="Z164" s="36">
        <f t="shared" si="206"/>
        <v>90756.468250000005</v>
      </c>
    </row>
    <row r="165" spans="1:26" ht="20.100000000000001" customHeight="1">
      <c r="A165" s="33">
        <v>34</v>
      </c>
      <c r="B165" s="81" t="s">
        <v>286</v>
      </c>
      <c r="C165" s="61" t="s">
        <v>287</v>
      </c>
      <c r="D165" s="66" t="s">
        <v>288</v>
      </c>
      <c r="E165" s="62">
        <f t="shared" ref="E165:E171" si="240">5598.92</f>
        <v>5598.92</v>
      </c>
      <c r="F165" s="27"/>
      <c r="G165" s="62">
        <f t="shared" si="208"/>
        <v>16796.760000000002</v>
      </c>
      <c r="H165" s="62">
        <f t="shared" si="209"/>
        <v>419.91899999999998</v>
      </c>
      <c r="I165" s="62">
        <v>0</v>
      </c>
      <c r="J165" s="62">
        <f t="shared" si="210"/>
        <v>2799.46</v>
      </c>
      <c r="K165" s="36">
        <f t="shared" si="211"/>
        <v>19596.22</v>
      </c>
      <c r="L165" s="62">
        <f t="shared" si="237"/>
        <v>5598.92</v>
      </c>
      <c r="M165" s="27"/>
      <c r="N165" s="27">
        <f>20000</f>
        <v>20000</v>
      </c>
      <c r="O165" s="62">
        <f t="shared" si="238"/>
        <v>559.89200000000005</v>
      </c>
      <c r="P165" s="62">
        <v>5000</v>
      </c>
      <c r="Q165" s="62">
        <f>7000</f>
        <v>7000</v>
      </c>
      <c r="R165" s="36">
        <f t="shared" si="239"/>
        <v>83370.091</v>
      </c>
      <c r="S165" s="36"/>
      <c r="T165" s="36">
        <f>5000+3000</f>
        <v>8000</v>
      </c>
      <c r="U165" s="36">
        <f>26430.62</f>
        <v>26430.62</v>
      </c>
      <c r="V165" s="36"/>
      <c r="W165" s="36">
        <v>236.04</v>
      </c>
      <c r="X165" s="36">
        <f t="shared" si="207"/>
        <v>34666.660000000003</v>
      </c>
      <c r="Y165" s="36">
        <v>48703.430999999997</v>
      </c>
      <c r="Z165" s="36">
        <f t="shared" si="206"/>
        <v>48703.430999999997</v>
      </c>
    </row>
    <row r="166" spans="1:26" ht="20.100000000000001" customHeight="1">
      <c r="A166" s="33">
        <v>35</v>
      </c>
      <c r="B166" s="81" t="s">
        <v>289</v>
      </c>
      <c r="C166" s="61" t="s">
        <v>287</v>
      </c>
      <c r="D166" s="66" t="s">
        <v>288</v>
      </c>
      <c r="E166" s="62">
        <f t="shared" si="240"/>
        <v>5598.92</v>
      </c>
      <c r="F166" s="27"/>
      <c r="G166" s="62">
        <f t="shared" si="208"/>
        <v>16796.760000000002</v>
      </c>
      <c r="H166" s="62">
        <f t="shared" si="209"/>
        <v>419.91899999999998</v>
      </c>
      <c r="I166" s="62">
        <v>0</v>
      </c>
      <c r="J166" s="62">
        <f t="shared" si="210"/>
        <v>2799.46</v>
      </c>
      <c r="K166" s="36">
        <f t="shared" si="211"/>
        <v>19596.22</v>
      </c>
      <c r="L166" s="62">
        <f t="shared" si="237"/>
        <v>5598.92</v>
      </c>
      <c r="M166" s="27"/>
      <c r="N166" s="27">
        <f>20000</f>
        <v>20000</v>
      </c>
      <c r="O166" s="62">
        <f t="shared" si="238"/>
        <v>559.89200000000005</v>
      </c>
      <c r="P166" s="62">
        <v>5000</v>
      </c>
      <c r="Q166" s="62">
        <f>4000</f>
        <v>4000</v>
      </c>
      <c r="R166" s="36">
        <f t="shared" si="239"/>
        <v>80370.091</v>
      </c>
      <c r="S166" s="36"/>
      <c r="T166" s="36">
        <f>3000+3000</f>
        <v>6000</v>
      </c>
      <c r="U166" s="36">
        <f>16250</f>
        <v>16250</v>
      </c>
      <c r="V166" s="36"/>
      <c r="W166" s="36">
        <v>236.04</v>
      </c>
      <c r="X166" s="36">
        <f t="shared" si="207"/>
        <v>22486.04</v>
      </c>
      <c r="Y166" s="36">
        <v>57884.050999999999</v>
      </c>
      <c r="Z166" s="36">
        <f t="shared" si="206"/>
        <v>57884.050999999999</v>
      </c>
    </row>
    <row r="167" spans="1:26" ht="20.100000000000001" customHeight="1">
      <c r="A167" s="33">
        <v>36</v>
      </c>
      <c r="B167" s="81" t="s">
        <v>290</v>
      </c>
      <c r="C167" s="61" t="s">
        <v>287</v>
      </c>
      <c r="D167" s="66" t="s">
        <v>288</v>
      </c>
      <c r="E167" s="62">
        <f t="shared" si="240"/>
        <v>5598.92</v>
      </c>
      <c r="F167" s="27"/>
      <c r="G167" s="62">
        <f t="shared" si="208"/>
        <v>16796.760000000002</v>
      </c>
      <c r="H167" s="62">
        <f t="shared" si="209"/>
        <v>419.91899999999998</v>
      </c>
      <c r="I167" s="62">
        <v>0</v>
      </c>
      <c r="J167" s="62">
        <f t="shared" si="210"/>
        <v>2799.46</v>
      </c>
      <c r="K167" s="36">
        <f t="shared" si="211"/>
        <v>19596.22</v>
      </c>
      <c r="L167" s="62">
        <f t="shared" si="237"/>
        <v>5598.92</v>
      </c>
      <c r="M167" s="27"/>
      <c r="N167" s="27">
        <f>20000</f>
        <v>20000</v>
      </c>
      <c r="O167" s="62">
        <f t="shared" si="238"/>
        <v>559.89200000000005</v>
      </c>
      <c r="P167" s="62">
        <v>5000</v>
      </c>
      <c r="Q167" s="62">
        <f>4000</f>
        <v>4000</v>
      </c>
      <c r="R167" s="36">
        <f t="shared" si="239"/>
        <v>80370.091</v>
      </c>
      <c r="S167" s="36"/>
      <c r="T167" s="36">
        <f>3000+3000</f>
        <v>6000</v>
      </c>
      <c r="U167" s="36">
        <f>16729.17</f>
        <v>16729.169999999998</v>
      </c>
      <c r="V167" s="36"/>
      <c r="W167" s="36">
        <v>236.04</v>
      </c>
      <c r="X167" s="36">
        <f t="shared" si="207"/>
        <v>22965.21</v>
      </c>
      <c r="Y167" s="36">
        <v>57404.881000000001</v>
      </c>
      <c r="Z167" s="36">
        <f t="shared" si="206"/>
        <v>57404.881000000001</v>
      </c>
    </row>
    <row r="168" spans="1:26" ht="20.100000000000001" customHeight="1">
      <c r="A168" s="33">
        <v>37</v>
      </c>
      <c r="B168" s="33" t="s">
        <v>291</v>
      </c>
      <c r="C168" s="61" t="s">
        <v>287</v>
      </c>
      <c r="D168" s="66" t="s">
        <v>288</v>
      </c>
      <c r="E168" s="62">
        <f t="shared" si="240"/>
        <v>5598.92</v>
      </c>
      <c r="F168" s="27"/>
      <c r="G168" s="62">
        <f t="shared" si="208"/>
        <v>16796.760000000002</v>
      </c>
      <c r="H168" s="62">
        <f t="shared" si="209"/>
        <v>419.91899999999998</v>
      </c>
      <c r="I168" s="62">
        <v>0</v>
      </c>
      <c r="J168" s="62">
        <f t="shared" si="210"/>
        <v>2799.46</v>
      </c>
      <c r="K168" s="36">
        <f t="shared" si="211"/>
        <v>19596.22</v>
      </c>
      <c r="L168" s="62">
        <f>E167*100%</f>
        <v>5598.92</v>
      </c>
      <c r="M168" s="27"/>
      <c r="N168" s="27">
        <f>20000</f>
        <v>20000</v>
      </c>
      <c r="O168" s="62">
        <f t="shared" si="238"/>
        <v>559.89200000000005</v>
      </c>
      <c r="P168" s="62">
        <v>5000</v>
      </c>
      <c r="Q168" s="62">
        <f>7000</f>
        <v>7000</v>
      </c>
      <c r="R168" s="36">
        <f t="shared" si="239"/>
        <v>83370.091</v>
      </c>
      <c r="S168" s="36"/>
      <c r="T168" s="36">
        <f>5000+3000</f>
        <v>8000</v>
      </c>
      <c r="U168" s="36">
        <f>26000</f>
        <v>26000</v>
      </c>
      <c r="V168" s="36"/>
      <c r="W168" s="36">
        <v>236.04</v>
      </c>
      <c r="X168" s="36">
        <f t="shared" si="207"/>
        <v>34236.04</v>
      </c>
      <c r="Y168" s="36">
        <v>49134.050999999999</v>
      </c>
      <c r="Z168" s="36">
        <f t="shared" ref="Z168:Z183" si="241">R168-X168</f>
        <v>49134.050999999999</v>
      </c>
    </row>
    <row r="169" spans="1:26" ht="20.100000000000001" customHeight="1">
      <c r="A169" s="33">
        <v>38</v>
      </c>
      <c r="B169" s="81" t="s">
        <v>292</v>
      </c>
      <c r="C169" s="61" t="s">
        <v>287</v>
      </c>
      <c r="D169" s="66" t="s">
        <v>288</v>
      </c>
      <c r="E169" s="62">
        <f t="shared" si="240"/>
        <v>5598.92</v>
      </c>
      <c r="F169" s="27"/>
      <c r="G169" s="62">
        <f t="shared" si="208"/>
        <v>16796.760000000002</v>
      </c>
      <c r="H169" s="62">
        <f t="shared" si="209"/>
        <v>419.91899999999998</v>
      </c>
      <c r="I169" s="62"/>
      <c r="J169" s="62">
        <f t="shared" si="210"/>
        <v>2799.46</v>
      </c>
      <c r="K169" s="36">
        <f t="shared" si="211"/>
        <v>19596.22</v>
      </c>
      <c r="L169" s="62">
        <f t="shared" ref="L169:L182" si="242">E169*100%</f>
        <v>5598.92</v>
      </c>
      <c r="M169" s="27"/>
      <c r="N169" s="27">
        <f>20000</f>
        <v>20000</v>
      </c>
      <c r="O169" s="62">
        <f t="shared" si="238"/>
        <v>559.89200000000005</v>
      </c>
      <c r="P169" s="62">
        <v>5000</v>
      </c>
      <c r="Q169" s="62">
        <f>4000</f>
        <v>4000</v>
      </c>
      <c r="R169" s="36">
        <f t="shared" si="239"/>
        <v>80370.091</v>
      </c>
      <c r="S169" s="36"/>
      <c r="T169" s="36">
        <f>10000+3000</f>
        <v>13000</v>
      </c>
      <c r="U169" s="36">
        <f>13750</f>
        <v>13750</v>
      </c>
      <c r="V169" s="36"/>
      <c r="W169" s="36">
        <v>236.04</v>
      </c>
      <c r="X169" s="36">
        <f t="shared" si="207"/>
        <v>26986.04</v>
      </c>
      <c r="Y169" s="36">
        <v>53384.050999999999</v>
      </c>
      <c r="Z169" s="36">
        <f t="shared" si="241"/>
        <v>53384.050999999999</v>
      </c>
    </row>
    <row r="170" spans="1:26" ht="20.100000000000001" customHeight="1">
      <c r="A170" s="33">
        <v>39</v>
      </c>
      <c r="B170" s="61" t="s">
        <v>293</v>
      </c>
      <c r="C170" s="61" t="s">
        <v>287</v>
      </c>
      <c r="D170" s="66" t="s">
        <v>288</v>
      </c>
      <c r="E170" s="62">
        <f t="shared" si="240"/>
        <v>5598.92</v>
      </c>
      <c r="F170" s="27"/>
      <c r="G170" s="62">
        <f t="shared" si="208"/>
        <v>16796.760000000002</v>
      </c>
      <c r="H170" s="62">
        <f t="shared" si="209"/>
        <v>419.91899999999998</v>
      </c>
      <c r="I170" s="62"/>
      <c r="J170" s="62">
        <f t="shared" si="210"/>
        <v>2799.46</v>
      </c>
      <c r="K170" s="36">
        <f t="shared" si="211"/>
        <v>19596.22</v>
      </c>
      <c r="L170" s="62">
        <f t="shared" si="242"/>
        <v>5598.92</v>
      </c>
      <c r="M170" s="27"/>
      <c r="N170" s="27">
        <f>20000</f>
        <v>20000</v>
      </c>
      <c r="O170" s="62">
        <f t="shared" si="238"/>
        <v>559.89200000000005</v>
      </c>
      <c r="P170" s="62">
        <v>5000</v>
      </c>
      <c r="Q170" s="62">
        <f>4000</f>
        <v>4000</v>
      </c>
      <c r="R170" s="36">
        <f t="shared" si="239"/>
        <v>80370.091</v>
      </c>
      <c r="S170" s="36"/>
      <c r="T170" s="36">
        <f>3000+3000</f>
        <v>6000</v>
      </c>
      <c r="U170" s="36">
        <f>11458.34</f>
        <v>11458.34</v>
      </c>
      <c r="V170" s="36"/>
      <c r="W170" s="36">
        <v>236.04</v>
      </c>
      <c r="X170" s="36">
        <f t="shared" si="207"/>
        <v>17694.38</v>
      </c>
      <c r="Y170" s="36">
        <v>62675.710999999996</v>
      </c>
      <c r="Z170" s="36">
        <f t="shared" si="241"/>
        <v>62675.710999999996</v>
      </c>
    </row>
    <row r="171" spans="1:26" ht="20.100000000000001" customHeight="1">
      <c r="A171" s="33">
        <v>40</v>
      </c>
      <c r="B171" s="61" t="s">
        <v>294</v>
      </c>
      <c r="C171" s="61" t="s">
        <v>287</v>
      </c>
      <c r="D171" s="66" t="s">
        <v>288</v>
      </c>
      <c r="E171" s="62">
        <f t="shared" si="240"/>
        <v>5598.92</v>
      </c>
      <c r="F171" s="27"/>
      <c r="G171" s="62">
        <f t="shared" si="208"/>
        <v>16796.760000000002</v>
      </c>
      <c r="H171" s="62">
        <f t="shared" si="209"/>
        <v>419.91899999999998</v>
      </c>
      <c r="I171" s="62"/>
      <c r="J171" s="62">
        <f t="shared" si="210"/>
        <v>2799.46</v>
      </c>
      <c r="K171" s="36">
        <f t="shared" si="211"/>
        <v>19596.22</v>
      </c>
      <c r="L171" s="62">
        <f t="shared" si="242"/>
        <v>5598.92</v>
      </c>
      <c r="M171" s="27"/>
      <c r="N171" s="27">
        <f>20000</f>
        <v>20000</v>
      </c>
      <c r="O171" s="62">
        <f t="shared" si="238"/>
        <v>559.89200000000005</v>
      </c>
      <c r="P171" s="62">
        <v>5000</v>
      </c>
      <c r="Q171" s="62">
        <f>7000</f>
        <v>7000</v>
      </c>
      <c r="R171" s="36">
        <f t="shared" si="239"/>
        <v>83370.091</v>
      </c>
      <c r="S171" s="36"/>
      <c r="T171" s="36">
        <f>10000+3000</f>
        <v>13000</v>
      </c>
      <c r="U171" s="36">
        <f>22361.11</f>
        <v>22361.11</v>
      </c>
      <c r="V171" s="36"/>
      <c r="W171" s="36">
        <v>236.04</v>
      </c>
      <c r="X171" s="36">
        <f t="shared" si="207"/>
        <v>35597.15</v>
      </c>
      <c r="Y171" s="36">
        <v>47772.940999999999</v>
      </c>
      <c r="Z171" s="36">
        <f t="shared" si="241"/>
        <v>47772.940999999999</v>
      </c>
    </row>
    <row r="172" spans="1:26" ht="20.100000000000001" customHeight="1">
      <c r="A172" s="33">
        <v>41</v>
      </c>
      <c r="B172" s="81" t="s">
        <v>295</v>
      </c>
      <c r="C172" s="61" t="s">
        <v>287</v>
      </c>
      <c r="D172" s="66" t="s">
        <v>296</v>
      </c>
      <c r="E172" s="62">
        <f>5086.76</f>
        <v>5086.76</v>
      </c>
      <c r="F172" s="27"/>
      <c r="G172" s="62">
        <f t="shared" si="208"/>
        <v>15260.28</v>
      </c>
      <c r="H172" s="62">
        <f t="shared" si="209"/>
        <v>381.50700000000001</v>
      </c>
      <c r="I172" s="62"/>
      <c r="J172" s="62">
        <f t="shared" si="210"/>
        <v>2543.38</v>
      </c>
      <c r="K172" s="36">
        <f t="shared" si="211"/>
        <v>17803.66</v>
      </c>
      <c r="L172" s="62">
        <f t="shared" si="242"/>
        <v>5086.76</v>
      </c>
      <c r="M172" s="27"/>
      <c r="N172" s="27">
        <f>20000</f>
        <v>20000</v>
      </c>
      <c r="O172" s="62">
        <f t="shared" si="238"/>
        <v>508.67600000000004</v>
      </c>
      <c r="P172" s="62">
        <v>5000</v>
      </c>
      <c r="Q172" s="62">
        <f>7000</f>
        <v>7000</v>
      </c>
      <c r="R172" s="36">
        <f t="shared" si="239"/>
        <v>78671.023000000016</v>
      </c>
      <c r="S172" s="36"/>
      <c r="T172" s="36">
        <f>10000+3000</f>
        <v>13000</v>
      </c>
      <c r="U172" s="36">
        <f>15625</f>
        <v>15625</v>
      </c>
      <c r="V172" s="36"/>
      <c r="W172" s="36">
        <v>236.04</v>
      </c>
      <c r="X172" s="36">
        <f t="shared" si="207"/>
        <v>28861.040000000001</v>
      </c>
      <c r="Y172" s="36">
        <v>49809.983000000015</v>
      </c>
      <c r="Z172" s="36">
        <f t="shared" si="241"/>
        <v>49809.983000000015</v>
      </c>
    </row>
    <row r="173" spans="1:26" ht="20.100000000000001" customHeight="1">
      <c r="A173" s="33">
        <v>42</v>
      </c>
      <c r="B173" s="81" t="s">
        <v>297</v>
      </c>
      <c r="C173" s="61" t="s">
        <v>287</v>
      </c>
      <c r="D173" s="66" t="s">
        <v>296</v>
      </c>
      <c r="E173" s="62">
        <f>5086.76</f>
        <v>5086.76</v>
      </c>
      <c r="F173" s="27"/>
      <c r="G173" s="62">
        <f t="shared" si="208"/>
        <v>15260.28</v>
      </c>
      <c r="H173" s="62">
        <f t="shared" si="209"/>
        <v>381.50700000000001</v>
      </c>
      <c r="I173" s="62"/>
      <c r="J173" s="62">
        <f t="shared" si="210"/>
        <v>2543.38</v>
      </c>
      <c r="K173" s="36">
        <f t="shared" si="211"/>
        <v>17803.66</v>
      </c>
      <c r="L173" s="62">
        <f t="shared" si="242"/>
        <v>5086.76</v>
      </c>
      <c r="M173" s="27"/>
      <c r="N173" s="27">
        <f>20000</f>
        <v>20000</v>
      </c>
      <c r="O173" s="62">
        <f t="shared" si="238"/>
        <v>508.67600000000004</v>
      </c>
      <c r="P173" s="62">
        <v>5000</v>
      </c>
      <c r="Q173" s="62">
        <f>7000</f>
        <v>7000</v>
      </c>
      <c r="R173" s="36">
        <f t="shared" si="239"/>
        <v>78671.023000000016</v>
      </c>
      <c r="S173" s="36"/>
      <c r="T173" s="36">
        <f>10000+3000</f>
        <v>13000</v>
      </c>
      <c r="U173" s="36">
        <f>18333.33</f>
        <v>18333.330000000002</v>
      </c>
      <c r="V173" s="36"/>
      <c r="W173" s="36">
        <v>236.04</v>
      </c>
      <c r="X173" s="36">
        <f t="shared" si="207"/>
        <v>31569.370000000003</v>
      </c>
      <c r="Y173" s="36">
        <v>47101.653000000013</v>
      </c>
      <c r="Z173" s="36">
        <f t="shared" si="241"/>
        <v>47101.653000000013</v>
      </c>
    </row>
    <row r="174" spans="1:26" ht="20.100000000000001" customHeight="1">
      <c r="A174" s="33">
        <v>43</v>
      </c>
      <c r="B174" s="61" t="s">
        <v>298</v>
      </c>
      <c r="C174" s="61" t="s">
        <v>287</v>
      </c>
      <c r="D174" s="66" t="s">
        <v>299</v>
      </c>
      <c r="E174" s="62">
        <f>5257.44</f>
        <v>5257.44</v>
      </c>
      <c r="F174" s="27"/>
      <c r="G174" s="62">
        <f t="shared" si="208"/>
        <v>15772.32</v>
      </c>
      <c r="H174" s="62">
        <f t="shared" si="209"/>
        <v>394.30799999999994</v>
      </c>
      <c r="I174" s="62"/>
      <c r="J174" s="62">
        <f t="shared" si="210"/>
        <v>2628.72</v>
      </c>
      <c r="K174" s="36">
        <f t="shared" si="211"/>
        <v>18401.039999999997</v>
      </c>
      <c r="L174" s="62">
        <f t="shared" si="242"/>
        <v>5257.44</v>
      </c>
      <c r="M174" s="27"/>
      <c r="N174" s="27">
        <f>20000</f>
        <v>20000</v>
      </c>
      <c r="O174" s="62">
        <f t="shared" si="238"/>
        <v>525.74400000000003</v>
      </c>
      <c r="P174" s="62">
        <v>5000</v>
      </c>
      <c r="Q174" s="62">
        <f>7000</f>
        <v>7000</v>
      </c>
      <c r="R174" s="36">
        <f t="shared" si="239"/>
        <v>80237.012000000002</v>
      </c>
      <c r="S174" s="36"/>
      <c r="T174" s="36">
        <f>3000+3000</f>
        <v>6000</v>
      </c>
      <c r="U174" s="36">
        <f>44000</f>
        <v>44000</v>
      </c>
      <c r="V174" s="36"/>
      <c r="W174" s="36">
        <f>236.04</f>
        <v>236.04</v>
      </c>
      <c r="X174" s="36">
        <f t="shared" si="207"/>
        <v>50236.04</v>
      </c>
      <c r="Y174" s="36">
        <v>30000.972000000002</v>
      </c>
      <c r="Z174" s="36">
        <f t="shared" si="241"/>
        <v>30000.972000000002</v>
      </c>
    </row>
    <row r="175" spans="1:26" ht="20.100000000000001" customHeight="1">
      <c r="A175" s="33">
        <v>44</v>
      </c>
      <c r="B175" s="81" t="s">
        <v>300</v>
      </c>
      <c r="C175" s="61" t="s">
        <v>287</v>
      </c>
      <c r="D175" s="66" t="s">
        <v>301</v>
      </c>
      <c r="E175" s="62">
        <f>4915.97</f>
        <v>4915.97</v>
      </c>
      <c r="F175" s="27"/>
      <c r="G175" s="62">
        <f t="shared" si="208"/>
        <v>14747.91</v>
      </c>
      <c r="H175" s="62">
        <f t="shared" si="209"/>
        <v>368.69774999999998</v>
      </c>
      <c r="I175" s="62"/>
      <c r="J175" s="62">
        <f t="shared" si="210"/>
        <v>2457.9850000000001</v>
      </c>
      <c r="K175" s="36">
        <f t="shared" si="211"/>
        <v>17205.895</v>
      </c>
      <c r="L175" s="62">
        <f t="shared" si="242"/>
        <v>4915.97</v>
      </c>
      <c r="M175" s="27"/>
      <c r="N175" s="27">
        <f>20000</f>
        <v>20000</v>
      </c>
      <c r="O175" s="62">
        <f t="shared" si="238"/>
        <v>491.59700000000004</v>
      </c>
      <c r="P175" s="62">
        <v>5000</v>
      </c>
      <c r="Q175" s="62">
        <f>7000</f>
        <v>7000</v>
      </c>
      <c r="R175" s="36">
        <f t="shared" si="239"/>
        <v>77104.024750000011</v>
      </c>
      <c r="S175" s="36"/>
      <c r="T175" s="36">
        <f>15000</f>
        <v>15000</v>
      </c>
      <c r="U175" s="36">
        <f>20000</f>
        <v>20000</v>
      </c>
      <c r="V175" s="36"/>
      <c r="W175" s="36">
        <v>236.04</v>
      </c>
      <c r="X175" s="36">
        <f t="shared" si="207"/>
        <v>35236.04</v>
      </c>
      <c r="Y175" s="36">
        <v>32201.284750000013</v>
      </c>
      <c r="Z175" s="36">
        <f t="shared" si="241"/>
        <v>41867.984750000011</v>
      </c>
    </row>
    <row r="176" spans="1:26" ht="20.100000000000001" customHeight="1">
      <c r="A176" s="33">
        <v>45</v>
      </c>
      <c r="B176" s="81" t="s">
        <v>302</v>
      </c>
      <c r="C176" s="61" t="s">
        <v>303</v>
      </c>
      <c r="D176" s="66" t="s">
        <v>304</v>
      </c>
      <c r="E176" s="62">
        <f>4745.29</f>
        <v>4745.29</v>
      </c>
      <c r="F176" s="27"/>
      <c r="G176" s="62">
        <f t="shared" si="208"/>
        <v>14235.869999999999</v>
      </c>
      <c r="H176" s="62">
        <f t="shared" si="209"/>
        <v>355.89675</v>
      </c>
      <c r="I176" s="62"/>
      <c r="J176" s="62">
        <f t="shared" si="210"/>
        <v>2372.645</v>
      </c>
      <c r="K176" s="36">
        <f t="shared" si="211"/>
        <v>16608.514999999999</v>
      </c>
      <c r="L176" s="62">
        <f t="shared" si="242"/>
        <v>4745.29</v>
      </c>
      <c r="M176" s="27"/>
      <c r="N176" s="27">
        <f>20000</f>
        <v>20000</v>
      </c>
      <c r="O176" s="62">
        <f t="shared" si="238"/>
        <v>474.529</v>
      </c>
      <c r="P176" s="62">
        <v>5000</v>
      </c>
      <c r="Q176" s="62">
        <f>7000</f>
        <v>7000</v>
      </c>
      <c r="R176" s="36">
        <f t="shared" si="239"/>
        <v>75538.03575000001</v>
      </c>
      <c r="S176" s="36"/>
      <c r="T176" s="36">
        <f>5000+3000</f>
        <v>8000</v>
      </c>
      <c r="U176" s="36">
        <f>15000</f>
        <v>15000</v>
      </c>
      <c r="V176" s="36"/>
      <c r="W176" s="36">
        <v>236.04</v>
      </c>
      <c r="X176" s="36">
        <f t="shared" si="207"/>
        <v>23236.04</v>
      </c>
      <c r="Y176" s="36">
        <v>52301.995750000009</v>
      </c>
      <c r="Z176" s="36">
        <f t="shared" si="241"/>
        <v>52301.995750000009</v>
      </c>
    </row>
    <row r="177" spans="1:26" ht="20.100000000000001" customHeight="1">
      <c r="A177" s="33">
        <v>46</v>
      </c>
      <c r="B177" s="81" t="s">
        <v>305</v>
      </c>
      <c r="C177" s="61" t="s">
        <v>303</v>
      </c>
      <c r="D177" s="66" t="s">
        <v>304</v>
      </c>
      <c r="E177" s="62">
        <f>4745.29</f>
        <v>4745.29</v>
      </c>
      <c r="F177" s="27"/>
      <c r="G177" s="62">
        <f t="shared" si="208"/>
        <v>14235.869999999999</v>
      </c>
      <c r="H177" s="62">
        <f t="shared" si="209"/>
        <v>355.89675</v>
      </c>
      <c r="I177" s="62"/>
      <c r="J177" s="62">
        <f t="shared" si="210"/>
        <v>2372.645</v>
      </c>
      <c r="K177" s="36">
        <f t="shared" si="211"/>
        <v>16608.514999999999</v>
      </c>
      <c r="L177" s="62">
        <f t="shared" si="242"/>
        <v>4745.29</v>
      </c>
      <c r="M177" s="27"/>
      <c r="N177" s="27">
        <f>20000</f>
        <v>20000</v>
      </c>
      <c r="O177" s="62">
        <f t="shared" si="238"/>
        <v>474.529</v>
      </c>
      <c r="P177" s="62">
        <v>5000</v>
      </c>
      <c r="Q177" s="62">
        <f>4000</f>
        <v>4000</v>
      </c>
      <c r="R177" s="36">
        <f t="shared" si="239"/>
        <v>72538.03575000001</v>
      </c>
      <c r="S177" s="36"/>
      <c r="T177" s="36">
        <f>15000+3000+5000</f>
        <v>23000</v>
      </c>
      <c r="U177" s="36">
        <f>25555.56</f>
        <v>25555.56</v>
      </c>
      <c r="V177" s="36"/>
      <c r="W177" s="36">
        <v>236.04</v>
      </c>
      <c r="X177" s="36">
        <f t="shared" si="207"/>
        <v>48791.600000000006</v>
      </c>
      <c r="Y177" s="36">
        <v>23746.435750000004</v>
      </c>
      <c r="Z177" s="36">
        <f t="shared" si="241"/>
        <v>23746.435750000004</v>
      </c>
    </row>
    <row r="178" spans="1:26" ht="20.100000000000001" customHeight="1">
      <c r="A178" s="33">
        <v>47</v>
      </c>
      <c r="B178" s="81" t="s">
        <v>306</v>
      </c>
      <c r="C178" s="61" t="s">
        <v>303</v>
      </c>
      <c r="D178" s="66" t="s">
        <v>304</v>
      </c>
      <c r="E178" s="62">
        <f>4745.29</f>
        <v>4745.29</v>
      </c>
      <c r="F178" s="27"/>
      <c r="G178" s="62">
        <f t="shared" si="208"/>
        <v>14235.869999999999</v>
      </c>
      <c r="H178" s="62">
        <f t="shared" si="209"/>
        <v>355.89675</v>
      </c>
      <c r="I178" s="62"/>
      <c r="J178" s="62">
        <f t="shared" si="210"/>
        <v>2372.645</v>
      </c>
      <c r="K178" s="36">
        <f t="shared" si="211"/>
        <v>16608.514999999999</v>
      </c>
      <c r="L178" s="62">
        <f t="shared" si="242"/>
        <v>4745.29</v>
      </c>
      <c r="M178" s="27"/>
      <c r="N178" s="27">
        <f>20000</f>
        <v>20000</v>
      </c>
      <c r="O178" s="62">
        <f t="shared" si="238"/>
        <v>474.529</v>
      </c>
      <c r="P178" s="62">
        <v>5000</v>
      </c>
      <c r="Q178" s="62">
        <f>7000</f>
        <v>7000</v>
      </c>
      <c r="R178" s="36">
        <f t="shared" si="239"/>
        <v>75538.03575000001</v>
      </c>
      <c r="S178" s="36"/>
      <c r="T178" s="36">
        <f>5000+3000</f>
        <v>8000</v>
      </c>
      <c r="U178" s="36">
        <f>30087.22</f>
        <v>30087.22</v>
      </c>
      <c r="V178" s="36"/>
      <c r="W178" s="36">
        <v>236.04</v>
      </c>
      <c r="X178" s="36">
        <f t="shared" si="207"/>
        <v>38323.26</v>
      </c>
      <c r="Y178" s="36">
        <v>37214.775750000008</v>
      </c>
      <c r="Z178" s="36">
        <f t="shared" si="241"/>
        <v>37214.775750000008</v>
      </c>
    </row>
    <row r="179" spans="1:26" ht="20.100000000000001" customHeight="1">
      <c r="A179" s="33">
        <v>48</v>
      </c>
      <c r="B179" s="81" t="s">
        <v>307</v>
      </c>
      <c r="C179" s="61" t="s">
        <v>303</v>
      </c>
      <c r="D179" s="66" t="s">
        <v>304</v>
      </c>
      <c r="E179" s="62">
        <f>4745.29</f>
        <v>4745.29</v>
      </c>
      <c r="F179" s="27"/>
      <c r="G179" s="62">
        <f t="shared" si="208"/>
        <v>14235.869999999999</v>
      </c>
      <c r="H179" s="62">
        <f t="shared" si="209"/>
        <v>355.89675</v>
      </c>
      <c r="I179" s="62"/>
      <c r="J179" s="62">
        <f t="shared" si="210"/>
        <v>2372.645</v>
      </c>
      <c r="K179" s="36">
        <f t="shared" si="211"/>
        <v>16608.514999999999</v>
      </c>
      <c r="L179" s="62">
        <f t="shared" si="242"/>
        <v>4745.29</v>
      </c>
      <c r="M179" s="27"/>
      <c r="N179" s="27">
        <f>20000</f>
        <v>20000</v>
      </c>
      <c r="O179" s="62">
        <f t="shared" si="238"/>
        <v>474.529</v>
      </c>
      <c r="P179" s="62">
        <v>5000</v>
      </c>
      <c r="Q179" s="62">
        <f>4000</f>
        <v>4000</v>
      </c>
      <c r="R179" s="36">
        <f t="shared" si="239"/>
        <v>72538.03575000001</v>
      </c>
      <c r="S179" s="36"/>
      <c r="T179" s="36">
        <f>10000+3000</f>
        <v>13000</v>
      </c>
      <c r="U179" s="36">
        <f>8416.67</f>
        <v>8416.67</v>
      </c>
      <c r="V179" s="36"/>
      <c r="W179" s="36">
        <v>236.04</v>
      </c>
      <c r="X179" s="36">
        <f t="shared" si="207"/>
        <v>21652.71</v>
      </c>
      <c r="Y179" s="36">
        <v>50885.325750000011</v>
      </c>
      <c r="Z179" s="36">
        <f t="shared" si="241"/>
        <v>50885.325750000011</v>
      </c>
    </row>
    <row r="180" spans="1:26" ht="20.100000000000001" customHeight="1">
      <c r="A180" s="33">
        <v>49</v>
      </c>
      <c r="B180" s="81" t="s">
        <v>308</v>
      </c>
      <c r="C180" s="61" t="s">
        <v>303</v>
      </c>
      <c r="D180" s="66" t="s">
        <v>304</v>
      </c>
      <c r="E180" s="62">
        <f>4745.29</f>
        <v>4745.29</v>
      </c>
      <c r="F180" s="27"/>
      <c r="G180" s="62">
        <f t="shared" si="208"/>
        <v>14235.869999999999</v>
      </c>
      <c r="H180" s="62">
        <f t="shared" si="209"/>
        <v>355.89675</v>
      </c>
      <c r="I180" s="62"/>
      <c r="J180" s="62">
        <f t="shared" si="210"/>
        <v>2372.645</v>
      </c>
      <c r="K180" s="36">
        <f t="shared" si="211"/>
        <v>16608.514999999999</v>
      </c>
      <c r="L180" s="62">
        <f t="shared" si="242"/>
        <v>4745.29</v>
      </c>
      <c r="M180" s="27"/>
      <c r="N180" s="27">
        <f>20000</f>
        <v>20000</v>
      </c>
      <c r="O180" s="62">
        <f t="shared" si="238"/>
        <v>474.529</v>
      </c>
      <c r="P180" s="62">
        <v>5000</v>
      </c>
      <c r="Q180" s="62">
        <f>7000</f>
        <v>7000</v>
      </c>
      <c r="R180" s="36">
        <f t="shared" si="239"/>
        <v>75538.03575000001</v>
      </c>
      <c r="S180" s="36"/>
      <c r="T180" s="36">
        <f>5000</f>
        <v>5000</v>
      </c>
      <c r="U180" s="36">
        <f>3550.56</f>
        <v>3550.56</v>
      </c>
      <c r="V180" s="36"/>
      <c r="W180" s="36">
        <v>236.04</v>
      </c>
      <c r="X180" s="36">
        <f t="shared" si="207"/>
        <v>8786.6</v>
      </c>
      <c r="Y180" s="36">
        <v>66751.435750000004</v>
      </c>
      <c r="Z180" s="36">
        <f t="shared" si="241"/>
        <v>66751.435750000004</v>
      </c>
    </row>
    <row r="181" spans="1:26" ht="20.100000000000001" customHeight="1">
      <c r="A181" s="33">
        <v>50</v>
      </c>
      <c r="B181" s="221" t="s">
        <v>309</v>
      </c>
      <c r="C181" s="61" t="s">
        <v>303</v>
      </c>
      <c r="D181" s="66" t="s">
        <v>310</v>
      </c>
      <c r="E181" s="62">
        <f>4395.43</f>
        <v>4395.43</v>
      </c>
      <c r="F181" s="27"/>
      <c r="G181" s="62">
        <f t="shared" si="208"/>
        <v>13186.29</v>
      </c>
      <c r="H181" s="62">
        <f t="shared" si="209"/>
        <v>329.65725000000003</v>
      </c>
      <c r="I181" s="62"/>
      <c r="J181" s="62">
        <f t="shared" si="210"/>
        <v>2197.7150000000001</v>
      </c>
      <c r="K181" s="36">
        <f t="shared" si="211"/>
        <v>15384.005000000001</v>
      </c>
      <c r="L181" s="62">
        <f t="shared" si="242"/>
        <v>4395.43</v>
      </c>
      <c r="M181" s="27"/>
      <c r="N181" s="27">
        <f>15000</f>
        <v>15000</v>
      </c>
      <c r="O181" s="62">
        <f t="shared" si="238"/>
        <v>439.54300000000006</v>
      </c>
      <c r="P181" s="62">
        <v>5000</v>
      </c>
      <c r="Q181" s="62">
        <f>7000</f>
        <v>7000</v>
      </c>
      <c r="R181" s="36">
        <f t="shared" si="239"/>
        <v>67328.070250000004</v>
      </c>
      <c r="S181" s="36"/>
      <c r="T181" s="36">
        <f>5000+3000</f>
        <v>8000</v>
      </c>
      <c r="U181" s="36">
        <f>10000</f>
        <v>10000</v>
      </c>
      <c r="V181" s="36"/>
      <c r="W181" s="36">
        <v>236.04</v>
      </c>
      <c r="X181" s="36">
        <f t="shared" si="207"/>
        <v>18236.04</v>
      </c>
      <c r="Y181" s="36">
        <v>49092.030250000003</v>
      </c>
      <c r="Z181" s="36">
        <f t="shared" si="241"/>
        <v>49092.030250000003</v>
      </c>
    </row>
    <row r="182" spans="1:26" ht="20.100000000000001" customHeight="1">
      <c r="A182" s="33">
        <v>51</v>
      </c>
      <c r="B182" s="95" t="s">
        <v>311</v>
      </c>
      <c r="C182" s="61" t="s">
        <v>303</v>
      </c>
      <c r="D182" s="66" t="s">
        <v>310</v>
      </c>
      <c r="E182" s="62">
        <f>4395.43</f>
        <v>4395.43</v>
      </c>
      <c r="F182" s="27"/>
      <c r="G182" s="62">
        <f t="shared" si="208"/>
        <v>13186.29</v>
      </c>
      <c r="H182" s="62">
        <f t="shared" si="209"/>
        <v>329.65725000000003</v>
      </c>
      <c r="I182" s="62"/>
      <c r="J182" s="62">
        <f t="shared" si="210"/>
        <v>2197.7150000000001</v>
      </c>
      <c r="K182" s="36">
        <f t="shared" si="211"/>
        <v>15384.005000000001</v>
      </c>
      <c r="L182" s="62">
        <f t="shared" si="242"/>
        <v>4395.43</v>
      </c>
      <c r="M182" s="27"/>
      <c r="N182" s="27">
        <f>15000</f>
        <v>15000</v>
      </c>
      <c r="O182" s="62">
        <f t="shared" si="238"/>
        <v>439.54300000000006</v>
      </c>
      <c r="P182" s="62">
        <v>5000</v>
      </c>
      <c r="Q182" s="62">
        <f>7000</f>
        <v>7000</v>
      </c>
      <c r="R182" s="36">
        <f t="shared" si="239"/>
        <v>67328.070250000004</v>
      </c>
      <c r="S182" s="36"/>
      <c r="T182" s="36">
        <f>5000+3000</f>
        <v>8000</v>
      </c>
      <c r="U182" s="36">
        <f>26222.06</f>
        <v>26222.06</v>
      </c>
      <c r="V182" s="36"/>
      <c r="W182" s="36">
        <v>236.04</v>
      </c>
      <c r="X182" s="36">
        <f t="shared" si="207"/>
        <v>34458.100000000006</v>
      </c>
      <c r="Y182" s="36">
        <v>32869.970249999998</v>
      </c>
      <c r="Z182" s="36">
        <f t="shared" si="241"/>
        <v>32869.970249999998</v>
      </c>
    </row>
    <row r="183" spans="1:26" ht="20.100000000000001" customHeight="1">
      <c r="A183" s="33">
        <v>52</v>
      </c>
      <c r="B183" s="95" t="s">
        <v>312</v>
      </c>
      <c r="C183" s="61" t="s">
        <v>303</v>
      </c>
      <c r="D183" s="66" t="s">
        <v>310</v>
      </c>
      <c r="E183" s="62">
        <f>4395.43</f>
        <v>4395.43</v>
      </c>
      <c r="F183" s="27"/>
      <c r="G183" s="62">
        <f t="shared" ref="G183" si="243">E183*300%</f>
        <v>13186.29</v>
      </c>
      <c r="H183" s="62">
        <f t="shared" ref="H183" si="244">E183*7.5%</f>
        <v>329.65725000000003</v>
      </c>
      <c r="I183" s="62"/>
      <c r="J183" s="62">
        <f t="shared" ref="J183" si="245">E183*50%</f>
        <v>2197.7150000000001</v>
      </c>
      <c r="K183" s="36">
        <f t="shared" ref="K183" si="246">E183*350%</f>
        <v>15384.005000000001</v>
      </c>
      <c r="L183" s="62">
        <f t="shared" ref="L183" si="247">E183*100%</f>
        <v>4395.43</v>
      </c>
      <c r="M183" s="27"/>
      <c r="N183" s="27">
        <f>15000</f>
        <v>15000</v>
      </c>
      <c r="O183" s="62">
        <f t="shared" ref="O183" si="248">E183*10%</f>
        <v>439.54300000000006</v>
      </c>
      <c r="P183" s="62">
        <v>5000</v>
      </c>
      <c r="Q183" s="62">
        <f>4000</f>
        <v>4000</v>
      </c>
      <c r="R183" s="36">
        <f t="shared" ref="R183" si="249">SUM(E183:Q183)</f>
        <v>64328.070250000004</v>
      </c>
      <c r="S183" s="36"/>
      <c r="T183" s="36">
        <f>20000+3000</f>
        <v>23000</v>
      </c>
      <c r="U183" s="36">
        <f>22916.67</f>
        <v>22916.67</v>
      </c>
      <c r="V183" s="36"/>
      <c r="W183" s="36">
        <v>236.04</v>
      </c>
      <c r="X183" s="36">
        <f t="shared" si="207"/>
        <v>46152.71</v>
      </c>
      <c r="Y183" s="36">
        <v>18175.360250000005</v>
      </c>
      <c r="Z183" s="36">
        <f t="shared" si="241"/>
        <v>18175.360250000005</v>
      </c>
    </row>
    <row r="184" spans="1:26" ht="20.100000000000001" customHeight="1">
      <c r="A184" s="33">
        <v>53</v>
      </c>
      <c r="B184" s="95" t="s">
        <v>313</v>
      </c>
      <c r="C184" s="61" t="s">
        <v>303</v>
      </c>
      <c r="D184" s="66" t="s">
        <v>314</v>
      </c>
      <c r="E184" s="62">
        <f>4745.29</f>
        <v>4745.29</v>
      </c>
      <c r="F184" s="27"/>
      <c r="G184" s="62">
        <f t="shared" ref="G184" si="250">E184*300%</f>
        <v>14235.869999999999</v>
      </c>
      <c r="H184" s="62">
        <f t="shared" ref="H184" si="251">E184*7.5%</f>
        <v>355.89675</v>
      </c>
      <c r="I184" s="62"/>
      <c r="J184" s="62">
        <f t="shared" ref="J184" si="252">E184*50%</f>
        <v>2372.645</v>
      </c>
      <c r="K184" s="36">
        <f t="shared" ref="K184" si="253">E184*350%</f>
        <v>16608.514999999999</v>
      </c>
      <c r="L184" s="62">
        <f t="shared" ref="L184" si="254">E184*100%</f>
        <v>4745.29</v>
      </c>
      <c r="M184" s="27"/>
      <c r="N184" s="27">
        <f>20000</f>
        <v>20000</v>
      </c>
      <c r="O184" s="62">
        <f t="shared" ref="O184" si="255">E184*10%</f>
        <v>474.529</v>
      </c>
      <c r="P184" s="62">
        <v>5000</v>
      </c>
      <c r="Q184" s="62">
        <f>4000</f>
        <v>4000</v>
      </c>
      <c r="R184" s="36">
        <f t="shared" ref="R184" si="256">SUM(E184:Q184)</f>
        <v>72538.03575000001</v>
      </c>
      <c r="S184" s="36"/>
      <c r="T184" s="36">
        <f>0</f>
        <v>0</v>
      </c>
      <c r="U184" s="36">
        <f>0</f>
        <v>0</v>
      </c>
      <c r="V184" s="36"/>
      <c r="W184" s="36">
        <v>236.04</v>
      </c>
      <c r="X184" s="36">
        <f t="shared" si="207"/>
        <v>236.04</v>
      </c>
      <c r="Y184" s="36">
        <v>352301.99575</v>
      </c>
      <c r="Z184" s="36">
        <f>R184-X184</f>
        <v>72301.995750000016</v>
      </c>
    </row>
    <row r="185" spans="1:26" ht="20.100000000000001" customHeight="1">
      <c r="A185" s="33">
        <v>54</v>
      </c>
      <c r="B185" s="95" t="s">
        <v>315</v>
      </c>
      <c r="C185" s="61" t="s">
        <v>303</v>
      </c>
      <c r="D185" s="66" t="s">
        <v>316</v>
      </c>
      <c r="E185" s="164">
        <v>4101.58</v>
      </c>
      <c r="F185" s="27"/>
      <c r="G185" s="62">
        <f t="shared" ref="G185:G186" si="257">E185*300%</f>
        <v>12304.74</v>
      </c>
      <c r="H185" s="62">
        <f t="shared" ref="H185:H186" si="258">E185*7.5%</f>
        <v>307.61849999999998</v>
      </c>
      <c r="I185" s="62"/>
      <c r="J185" s="62">
        <f t="shared" ref="J185:J186" si="259">E185*50%</f>
        <v>2050.79</v>
      </c>
      <c r="K185" s="36">
        <f t="shared" ref="K185:K186" si="260">E185*350%</f>
        <v>14355.529999999999</v>
      </c>
      <c r="L185" s="62">
        <f t="shared" ref="L185:L186" si="261">E185*100%</f>
        <v>4101.58</v>
      </c>
      <c r="M185" s="27"/>
      <c r="N185" s="27">
        <f>15000</f>
        <v>15000</v>
      </c>
      <c r="O185" s="62">
        <f t="shared" ref="O185:O186" si="262">E185*10%</f>
        <v>410.15800000000002</v>
      </c>
      <c r="P185" s="62">
        <v>5000</v>
      </c>
      <c r="Q185" s="62">
        <f>7000</f>
        <v>7000</v>
      </c>
      <c r="R185" s="36">
        <f>SUM(E185:Q185)</f>
        <v>64631.996500000001</v>
      </c>
      <c r="S185" s="36"/>
      <c r="T185" s="36">
        <f>5000</f>
        <v>5000</v>
      </c>
      <c r="U185" s="36"/>
      <c r="V185" s="36"/>
      <c r="W185" s="36">
        <v>236.04</v>
      </c>
      <c r="X185" s="36">
        <f t="shared" ref="X185:X186" si="263">W185+V185+U185+T185+S185</f>
        <v>5236.04</v>
      </c>
      <c r="Y185" s="36">
        <v>337395.95650000003</v>
      </c>
      <c r="Z185" s="36">
        <f>R185-X185</f>
        <v>59395.9565</v>
      </c>
    </row>
    <row r="186" spans="1:26" ht="20.100000000000001" customHeight="1">
      <c r="A186" s="33">
        <v>55</v>
      </c>
      <c r="B186" s="95" t="s">
        <v>317</v>
      </c>
      <c r="C186" s="61" t="s">
        <v>303</v>
      </c>
      <c r="D186" s="66" t="s">
        <v>314</v>
      </c>
      <c r="E186" s="62">
        <f>4745.29</f>
        <v>4745.29</v>
      </c>
      <c r="F186" s="27"/>
      <c r="G186" s="62">
        <f t="shared" si="257"/>
        <v>14235.869999999999</v>
      </c>
      <c r="H186" s="62">
        <f t="shared" si="258"/>
        <v>355.89675</v>
      </c>
      <c r="I186" s="62"/>
      <c r="J186" s="62">
        <f t="shared" si="259"/>
        <v>2372.645</v>
      </c>
      <c r="K186" s="36">
        <f t="shared" si="260"/>
        <v>16608.514999999999</v>
      </c>
      <c r="L186" s="62">
        <f t="shared" si="261"/>
        <v>4745.29</v>
      </c>
      <c r="M186" s="27"/>
      <c r="N186" s="27">
        <f>20000</f>
        <v>20000</v>
      </c>
      <c r="O186" s="62">
        <f t="shared" si="262"/>
        <v>474.529</v>
      </c>
      <c r="P186" s="62">
        <v>5000</v>
      </c>
      <c r="Q186" s="62">
        <f>7000</f>
        <v>7000</v>
      </c>
      <c r="R186" s="36">
        <f t="shared" ref="R186" si="264">SUM(E186:Q186)</f>
        <v>75538.03575000001</v>
      </c>
      <c r="S186" s="36"/>
      <c r="T186" s="36">
        <f>0</f>
        <v>0</v>
      </c>
      <c r="U186" s="36">
        <f>0</f>
        <v>0</v>
      </c>
      <c r="V186" s="36"/>
      <c r="W186" s="36">
        <v>236.04</v>
      </c>
      <c r="X186" s="36">
        <f t="shared" si="263"/>
        <v>236.04</v>
      </c>
      <c r="Y186" s="36">
        <v>355301.99575</v>
      </c>
      <c r="Z186" s="36">
        <f>R186-X186</f>
        <v>75301.995750000016</v>
      </c>
    </row>
    <row r="187" spans="1:26" ht="20.100000000000001" customHeight="1">
      <c r="A187" s="33"/>
      <c r="B187" s="48" t="s">
        <v>34</v>
      </c>
      <c r="C187" s="49" t="s">
        <v>318</v>
      </c>
      <c r="D187" s="37"/>
      <c r="E187" s="102">
        <f t="shared" ref="E187:L187" si="265">SUM(E132:E186)</f>
        <v>821503.16000000073</v>
      </c>
      <c r="F187" s="102">
        <f t="shared" si="265"/>
        <v>0</v>
      </c>
      <c r="G187" s="102">
        <f t="shared" si="265"/>
        <v>2464509.48</v>
      </c>
      <c r="H187" s="102">
        <f t="shared" si="265"/>
        <v>61612.736999999965</v>
      </c>
      <c r="I187" s="102">
        <f t="shared" si="265"/>
        <v>280855.33</v>
      </c>
      <c r="J187" s="102">
        <f t="shared" si="265"/>
        <v>410751.58000000037</v>
      </c>
      <c r="K187" s="102">
        <f t="shared" si="265"/>
        <v>2875261.0600000038</v>
      </c>
      <c r="L187" s="102">
        <f t="shared" si="265"/>
        <v>821503.16000000073</v>
      </c>
      <c r="M187" s="158"/>
      <c r="N187" s="158">
        <f>SUM(N132:N186)</f>
        <v>2300000</v>
      </c>
      <c r="O187" s="102">
        <f>SUM(O132:O186)</f>
        <v>82150.31600000005</v>
      </c>
      <c r="P187" s="102">
        <f>SUM(P132:P186)</f>
        <v>505000</v>
      </c>
      <c r="Q187" s="102">
        <f>SUM(Q132:Q186)</f>
        <v>211000</v>
      </c>
      <c r="R187" s="102">
        <f>SUM(R132:R186)</f>
        <v>10834146.823000003</v>
      </c>
      <c r="S187" s="102"/>
      <c r="T187" s="102">
        <f t="shared" ref="T187:Z187" si="266">SUM(T132:T186)</f>
        <v>878500</v>
      </c>
      <c r="U187" s="102">
        <f t="shared" si="266"/>
        <v>2096066.3700000003</v>
      </c>
      <c r="V187" s="102">
        <f t="shared" si="266"/>
        <v>6642.5735000000022</v>
      </c>
      <c r="W187" s="102">
        <f t="shared" si="266"/>
        <v>234382.48000000027</v>
      </c>
      <c r="X187" s="102">
        <f t="shared" si="266"/>
        <v>3215591.4235000005</v>
      </c>
      <c r="Y187" s="102">
        <v>8517692.7194999997</v>
      </c>
      <c r="Z187" s="102">
        <f t="shared" si="266"/>
        <v>7618555.3994999994</v>
      </c>
    </row>
    <row r="188" spans="1:26" ht="20.100000000000001" customHeight="1">
      <c r="A188" s="33"/>
      <c r="B188" s="228" t="s">
        <v>319</v>
      </c>
      <c r="C188" s="76">
        <f>C39+C43+C56+C61+C76+C86+C99+C106+C117+C129+C187</f>
        <v>148</v>
      </c>
      <c r="D188" s="40"/>
      <c r="E188" s="41">
        <f t="shared" ref="E188:R188" si="267">E39+E43+E56+E61+E76+E86+E99+E106+E117+E129+E187</f>
        <v>3707947.4600000009</v>
      </c>
      <c r="F188" s="41">
        <f t="shared" si="267"/>
        <v>0</v>
      </c>
      <c r="G188" s="41">
        <f t="shared" si="267"/>
        <v>10963353.630000001</v>
      </c>
      <c r="H188" s="41">
        <f t="shared" si="267"/>
        <v>314206.03324999986</v>
      </c>
      <c r="I188" s="41">
        <f t="shared" si="267"/>
        <v>2046231.6900000004</v>
      </c>
      <c r="J188" s="41">
        <f t="shared" si="267"/>
        <v>1845949.2950000006</v>
      </c>
      <c r="K188" s="41">
        <f t="shared" si="267"/>
        <v>12416105.485000003</v>
      </c>
      <c r="L188" s="41">
        <f t="shared" si="267"/>
        <v>3667825.2800000012</v>
      </c>
      <c r="M188" s="41">
        <f t="shared" si="267"/>
        <v>7680000</v>
      </c>
      <c r="N188" s="41">
        <f t="shared" si="267"/>
        <v>5010000</v>
      </c>
      <c r="O188" s="41">
        <f t="shared" si="267"/>
        <v>370794.75100000005</v>
      </c>
      <c r="P188" s="41">
        <f t="shared" si="267"/>
        <v>2020000</v>
      </c>
      <c r="Q188" s="41">
        <f t="shared" si="267"/>
        <v>1596903.6645499999</v>
      </c>
      <c r="R188" s="41">
        <f t="shared" si="267"/>
        <v>51639317.288800001</v>
      </c>
      <c r="S188" s="41"/>
      <c r="T188" s="41">
        <f>T39+T43+T56+T61+T76+T86+T99+T106+T117+T129+T187</f>
        <v>4849500</v>
      </c>
      <c r="U188" s="41">
        <f>U39+U43+U56+U61+U76+U86+U99+U106+U117+U129+U187</f>
        <v>6686064.0133333337</v>
      </c>
      <c r="V188" s="41">
        <f>V39+V43+V56+V61+V76+V86+V99+V106+V117+V129+V187</f>
        <v>26068.024750000004</v>
      </c>
      <c r="W188" s="41">
        <f>W39+W43+W56+W61+W76+W86+W99+W106+W117+W129+W187</f>
        <v>1514721.3</v>
      </c>
      <c r="X188" s="41">
        <f>X39+X43+X56+X61+X76+X86+X99+X106+X117+X129+X187</f>
        <v>13076353.340583336</v>
      </c>
      <c r="Y188" s="41">
        <v>39568934.601550005</v>
      </c>
      <c r="Z188" s="41">
        <f>Z39+Z43+Z56+Z61+Z76+Z86+Z99+Z106+Z117+Z129+Z187</f>
        <v>38562963.948216669</v>
      </c>
    </row>
    <row r="189" spans="1:26" ht="20.100000000000001" customHeight="1">
      <c r="A189" s="33"/>
      <c r="B189" s="229"/>
      <c r="C189" s="46"/>
      <c r="D189" s="71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0.100000000000001" customHeight="1">
      <c r="A190" s="33"/>
      <c r="B190" s="229"/>
      <c r="C190" s="230" t="s">
        <v>320</v>
      </c>
      <c r="D190" s="230"/>
      <c r="E190" s="230"/>
      <c r="F190" s="230"/>
      <c r="G190" s="230"/>
      <c r="H190" s="230"/>
      <c r="I190" s="230"/>
      <c r="J190" s="233" t="s">
        <v>321</v>
      </c>
      <c r="K190" s="233"/>
      <c r="L190" s="233"/>
      <c r="M190" s="40"/>
      <c r="N190" s="40"/>
      <c r="O190" s="233" t="s">
        <v>322</v>
      </c>
      <c r="P190" s="233"/>
      <c r="Q190" s="233"/>
      <c r="R190" s="233"/>
      <c r="S190" s="40"/>
      <c r="T190" s="40"/>
      <c r="U190" s="40"/>
      <c r="V190" s="40"/>
      <c r="W190" s="72"/>
      <c r="X190" s="72"/>
      <c r="Y190" s="72"/>
      <c r="Z190" s="72"/>
    </row>
    <row r="191" spans="1:26" ht="20.100000000000001" customHeight="1">
      <c r="A191" s="33"/>
      <c r="B191" s="229"/>
      <c r="C191" s="230"/>
      <c r="D191" s="230"/>
      <c r="E191" s="230"/>
      <c r="F191" s="230"/>
      <c r="G191" s="230"/>
      <c r="H191" s="230"/>
      <c r="I191" s="230"/>
      <c r="J191" s="233"/>
      <c r="K191" s="233"/>
      <c r="L191" s="233"/>
      <c r="M191" s="40"/>
      <c r="N191" s="40"/>
      <c r="O191" s="233"/>
      <c r="P191" s="233"/>
      <c r="Q191" s="233"/>
      <c r="R191" s="233"/>
      <c r="S191" s="40"/>
      <c r="T191" s="40"/>
      <c r="U191" s="40"/>
      <c r="V191" s="40"/>
      <c r="W191" s="72"/>
      <c r="X191" s="72"/>
      <c r="Y191" s="72"/>
      <c r="Z191" s="72"/>
    </row>
    <row r="192" spans="1:26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2:26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2:26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</sheetData>
  <mergeCells count="8">
    <mergeCell ref="D190:I191"/>
    <mergeCell ref="C190:C191"/>
    <mergeCell ref="B3:D3"/>
    <mergeCell ref="T5:X5"/>
    <mergeCell ref="P190:R191"/>
    <mergeCell ref="O190:O191"/>
    <mergeCell ref="K190:L191"/>
    <mergeCell ref="J190:J191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6"/>
  <sheetViews>
    <sheetView zoomScale="91" zoomScaleNormal="91" workbookViewId="0">
      <selection activeCell="G22" sqref="G22:G23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35" t="s">
        <v>323</v>
      </c>
      <c r="B2" s="235"/>
      <c r="C2" s="235"/>
      <c r="D2" s="235"/>
      <c r="E2" s="235"/>
      <c r="F2" s="235"/>
      <c r="G2" s="235"/>
      <c r="H2" s="235"/>
    </row>
    <row r="3" spans="1:8" ht="18" customHeight="1">
      <c r="A3" s="118"/>
      <c r="B3" s="241" t="s">
        <v>324</v>
      </c>
      <c r="C3" s="241"/>
      <c r="D3" s="241"/>
      <c r="E3" s="241"/>
      <c r="F3" s="241"/>
      <c r="G3" s="241"/>
      <c r="H3" s="241"/>
    </row>
    <row r="4" spans="1:8" ht="15.6" hidden="1" customHeight="1">
      <c r="A4" s="236" t="s">
        <v>324</v>
      </c>
      <c r="B4" s="236"/>
      <c r="C4" s="236"/>
      <c r="D4" s="236"/>
      <c r="E4" s="236"/>
      <c r="F4" s="236"/>
      <c r="G4" s="236"/>
      <c r="H4" s="236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325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37" t="s">
        <v>326</v>
      </c>
      <c r="B7" s="237"/>
      <c r="C7" s="237"/>
      <c r="D7" s="237"/>
      <c r="E7" s="237"/>
      <c r="F7" s="237"/>
      <c r="G7" s="119"/>
      <c r="H7" s="119"/>
    </row>
    <row r="8" spans="1:8" ht="24.75" hidden="1" customHeight="1">
      <c r="A8" s="237" t="s">
        <v>327</v>
      </c>
      <c r="B8" s="237"/>
      <c r="C8" s="237"/>
      <c r="D8" s="237"/>
      <c r="E8" s="237"/>
      <c r="F8" s="237"/>
      <c r="G8" s="119"/>
      <c r="H8" s="119"/>
    </row>
    <row r="9" spans="1:8" ht="24" hidden="1" customHeight="1">
      <c r="A9" s="237" t="s">
        <v>328</v>
      </c>
      <c r="B9" s="237"/>
      <c r="C9" s="237"/>
      <c r="D9" s="237"/>
      <c r="E9" s="237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38" t="s">
        <v>329</v>
      </c>
      <c r="B11" s="238"/>
      <c r="C11" s="238"/>
      <c r="D11" s="238"/>
      <c r="E11" s="238"/>
      <c r="F11" s="238"/>
      <c r="G11" s="119"/>
      <c r="H11" s="119"/>
    </row>
    <row r="12" spans="1:8" ht="18.75" hidden="1" customHeight="1">
      <c r="A12" s="237" t="s">
        <v>330</v>
      </c>
      <c r="B12" s="237"/>
      <c r="C12" s="237"/>
      <c r="D12" s="237"/>
      <c r="E12" s="237"/>
      <c r="F12" s="237"/>
      <c r="G12" s="237"/>
      <c r="H12" s="237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331</v>
      </c>
      <c r="B14" s="1"/>
      <c r="C14" s="1" t="s">
        <v>332</v>
      </c>
      <c r="D14" s="1"/>
      <c r="E14" s="1"/>
      <c r="F14" s="207"/>
      <c r="G14" s="207"/>
      <c r="H14" s="119"/>
    </row>
    <row r="15" spans="1:8" ht="26.25" customHeight="1">
      <c r="A15" s="1" t="s">
        <v>333</v>
      </c>
      <c r="B15" s="207"/>
      <c r="C15" s="1" t="s">
        <v>334</v>
      </c>
      <c r="D15" s="1"/>
      <c r="E15" s="1"/>
      <c r="F15" s="1"/>
      <c r="G15" s="1"/>
      <c r="H15" s="119"/>
    </row>
    <row r="16" spans="1:8" ht="27" customHeight="1">
      <c r="A16" s="1" t="s">
        <v>335</v>
      </c>
      <c r="B16" s="1"/>
      <c r="C16" s="1" t="s">
        <v>336</v>
      </c>
      <c r="D16" s="1"/>
      <c r="E16" s="1"/>
      <c r="F16" s="1"/>
      <c r="G16" s="1"/>
      <c r="H16" s="119"/>
    </row>
    <row r="17" spans="1:10" ht="25.5" customHeight="1">
      <c r="A17" s="1" t="s">
        <v>337</v>
      </c>
      <c r="B17" s="1"/>
      <c r="C17" s="1" t="s">
        <v>338</v>
      </c>
      <c r="D17" s="1"/>
      <c r="E17" s="207"/>
      <c r="F17" s="207"/>
      <c r="G17" s="207"/>
      <c r="H17" s="119"/>
    </row>
    <row r="18" spans="1:10" ht="25.5" customHeight="1">
      <c r="A18" s="165" t="s">
        <v>339</v>
      </c>
      <c r="B18" s="165"/>
      <c r="C18" s="216"/>
      <c r="D18" s="216"/>
      <c r="E18" s="216"/>
      <c r="F18" s="216"/>
      <c r="G18" s="207"/>
      <c r="H18" s="119"/>
    </row>
    <row r="19" spans="1:10" ht="25.5" customHeight="1">
      <c r="A19" s="1" t="s">
        <v>340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39" t="s">
        <v>341</v>
      </c>
      <c r="B20" s="239"/>
      <c r="C20" s="239"/>
      <c r="D20" s="239"/>
      <c r="E20" s="239"/>
      <c r="F20" s="239"/>
      <c r="G20" s="239"/>
      <c r="H20" s="192">
        <f>'December, 2021'!R188</f>
        <v>51639317.288800001</v>
      </c>
      <c r="J20" s="94"/>
    </row>
    <row r="21" spans="1:10" ht="15" customHeight="1">
      <c r="A21" s="240" t="s">
        <v>3</v>
      </c>
      <c r="B21" s="240"/>
      <c r="C21" s="240"/>
      <c r="D21" s="240"/>
      <c r="E21" s="240"/>
      <c r="F21" s="240"/>
      <c r="G21" s="208"/>
      <c r="H21" s="1"/>
    </row>
    <row r="22" spans="1:10" ht="18.75" customHeight="1">
      <c r="A22" s="234" t="s">
        <v>342</v>
      </c>
      <c r="B22" s="234"/>
      <c r="C22" s="234"/>
      <c r="D22" s="234"/>
      <c r="E22" s="234"/>
      <c r="F22" s="234"/>
      <c r="G22" s="34">
        <f>'December, 2021'!T188</f>
        <v>4849500</v>
      </c>
      <c r="H22" s="1"/>
      <c r="J22" s="94"/>
    </row>
    <row r="23" spans="1:10" ht="19.5" customHeight="1">
      <c r="A23" s="234" t="s">
        <v>343</v>
      </c>
      <c r="B23" s="234"/>
      <c r="C23" s="234"/>
      <c r="D23" s="234"/>
      <c r="E23" s="234"/>
      <c r="F23" s="234"/>
      <c r="G23" s="34">
        <f>'December, 2021'!U188</f>
        <v>6686064.0133333337</v>
      </c>
      <c r="H23" s="1"/>
    </row>
    <row r="24" spans="1:10" ht="20.25" customHeight="1">
      <c r="A24" s="234" t="s">
        <v>344</v>
      </c>
      <c r="B24" s="234"/>
      <c r="C24" s="234"/>
      <c r="D24" s="234"/>
      <c r="E24" s="234"/>
      <c r="F24" s="234"/>
      <c r="G24" s="34">
        <f>'December, 2021'!W188</f>
        <v>1514721.3</v>
      </c>
      <c r="H24" s="1"/>
    </row>
    <row r="25" spans="1:10" ht="18" customHeight="1">
      <c r="A25" s="242" t="s">
        <v>345</v>
      </c>
      <c r="B25" s="242"/>
      <c r="C25" s="242"/>
      <c r="D25" s="242"/>
      <c r="E25" s="242"/>
      <c r="F25" s="242"/>
      <c r="G25" s="209">
        <f>'December, 2021'!V188</f>
        <v>26068.024750000004</v>
      </c>
      <c r="H25" s="1"/>
    </row>
    <row r="26" spans="1:10" ht="19.5" customHeight="1">
      <c r="A26" s="234" t="s">
        <v>346</v>
      </c>
      <c r="B26" s="234"/>
      <c r="C26" s="234"/>
      <c r="D26" s="234"/>
      <c r="E26" s="234"/>
      <c r="F26" s="234"/>
      <c r="G26" s="34"/>
      <c r="H26" s="210">
        <f>G22+G23+G24+G25</f>
        <v>13076353.338083334</v>
      </c>
      <c r="I26" s="32"/>
    </row>
    <row r="27" spans="1:10" ht="20.25" customHeight="1">
      <c r="A27" s="234" t="s">
        <v>347</v>
      </c>
      <c r="B27" s="234"/>
      <c r="C27" s="234"/>
      <c r="D27" s="234"/>
      <c r="E27" s="234"/>
      <c r="F27" s="234"/>
      <c r="G27" s="165"/>
      <c r="H27" s="51">
        <f>H20-H26</f>
        <v>38562963.950716667</v>
      </c>
      <c r="I27" s="35"/>
    </row>
    <row r="28" spans="1:10" ht="21" customHeight="1">
      <c r="A28" s="234" t="s">
        <v>348</v>
      </c>
      <c r="B28" s="234"/>
      <c r="C28" s="234"/>
      <c r="D28" s="234"/>
      <c r="E28" s="234"/>
      <c r="F28" s="234"/>
      <c r="G28" s="165"/>
      <c r="H28" s="214">
        <f>'December, 2021'!Y188</f>
        <v>39568934.601550005</v>
      </c>
    </row>
    <row r="29" spans="1:10" ht="21" customHeight="1">
      <c r="A29" s="234" t="s">
        <v>349</v>
      </c>
      <c r="B29" s="234"/>
      <c r="C29" s="234"/>
      <c r="D29" s="234"/>
      <c r="E29" s="234"/>
      <c r="F29" s="234"/>
      <c r="G29" s="165"/>
      <c r="H29" s="215">
        <f>H27-H28-1.08</f>
        <v>-1005971.7308333385</v>
      </c>
    </row>
    <row r="30" spans="1:10" ht="18.75" customHeight="1">
      <c r="A30" s="239" t="s">
        <v>350</v>
      </c>
      <c r="B30" s="239"/>
      <c r="C30" s="239"/>
      <c r="D30" s="239"/>
      <c r="E30" s="239"/>
      <c r="F30" s="239"/>
      <c r="G30" s="239"/>
      <c r="H30" s="1"/>
    </row>
    <row r="31" spans="1:10" ht="21.75" customHeight="1">
      <c r="A31" s="199" t="s">
        <v>351</v>
      </c>
      <c r="B31" s="199"/>
      <c r="C31" s="199"/>
      <c r="D31" s="199"/>
      <c r="E31" s="199"/>
      <c r="F31" s="199"/>
      <c r="G31" s="199"/>
      <c r="H31" s="211">
        <f>143971.73+22000</f>
        <v>165971.73000000001</v>
      </c>
      <c r="J31" s="32"/>
    </row>
    <row r="32" spans="1:10" ht="21.75" customHeight="1">
      <c r="A32" s="199" t="s">
        <v>352</v>
      </c>
      <c r="B32" s="199"/>
      <c r="C32" s="199"/>
      <c r="D32" s="199"/>
      <c r="E32" s="199"/>
      <c r="F32" s="199"/>
      <c r="G32" s="199"/>
      <c r="H32" s="211">
        <f>280000*3</f>
        <v>840000</v>
      </c>
      <c r="J32" s="32"/>
    </row>
    <row r="33" spans="1:14" ht="21" customHeight="1">
      <c r="A33" s="234"/>
      <c r="B33" s="234"/>
      <c r="C33" s="234"/>
      <c r="D33" s="234"/>
      <c r="E33" s="234"/>
      <c r="F33" s="234"/>
      <c r="G33" s="234"/>
      <c r="H33" s="212">
        <f>SUM(H31:H32)</f>
        <v>1005971.73</v>
      </c>
      <c r="I33" s="32"/>
      <c r="J33" s="93"/>
      <c r="K33" s="94"/>
    </row>
    <row r="34" spans="1:14" ht="23.25" customHeight="1">
      <c r="A34" s="1"/>
      <c r="B34" s="1"/>
      <c r="C34" s="1"/>
      <c r="D34" s="1"/>
      <c r="E34" s="243" t="s">
        <v>353</v>
      </c>
      <c r="F34" s="244"/>
      <c r="G34" s="243" t="s">
        <v>354</v>
      </c>
      <c r="H34" s="244"/>
      <c r="I34" s="32"/>
      <c r="J34" s="32"/>
    </row>
    <row r="35" spans="1:14" ht="18.600000000000001" customHeight="1">
      <c r="A35" s="1"/>
      <c r="B35" s="1"/>
      <c r="C35" s="1"/>
      <c r="D35" s="1"/>
      <c r="E35" s="7" t="s">
        <v>355</v>
      </c>
      <c r="F35" s="60" t="s">
        <v>37</v>
      </c>
      <c r="G35" s="7" t="s">
        <v>355</v>
      </c>
      <c r="H35" s="60" t="s">
        <v>37</v>
      </c>
      <c r="I35" s="32"/>
      <c r="J35" s="32"/>
    </row>
    <row r="36" spans="1:14" ht="28.5" customHeight="1">
      <c r="A36" s="11">
        <v>1</v>
      </c>
      <c r="B36" s="245" t="s">
        <v>356</v>
      </c>
      <c r="C36" s="234"/>
      <c r="D36" s="234"/>
      <c r="E36" s="3">
        <v>30</v>
      </c>
      <c r="F36" s="12">
        <f>'December, 2021'!Y39</f>
        <v>9736111.7322500013</v>
      </c>
      <c r="G36" s="3">
        <v>30</v>
      </c>
      <c r="H36" s="12">
        <f>'December, 2021'!Z39</f>
        <v>9736111.7322500013</v>
      </c>
      <c r="I36" s="32"/>
      <c r="J36" s="32"/>
    </row>
    <row r="37" spans="1:14" ht="21.75" customHeight="1">
      <c r="A37" s="11">
        <v>2</v>
      </c>
      <c r="B37" s="96" t="s">
        <v>357</v>
      </c>
      <c r="C37" s="199"/>
      <c r="D37" s="199"/>
      <c r="E37" s="3">
        <v>2</v>
      </c>
      <c r="F37" s="12">
        <f>'December, 2021'!Y43</f>
        <v>847880.82750000013</v>
      </c>
      <c r="G37" s="3">
        <v>1</v>
      </c>
      <c r="H37" s="12">
        <f>'December, 2021'!Z43</f>
        <v>847880.82750000013</v>
      </c>
      <c r="I37" s="32"/>
      <c r="J37" s="32"/>
    </row>
    <row r="38" spans="1:14" ht="24.75" customHeight="1">
      <c r="A38" s="11">
        <v>3</v>
      </c>
      <c r="B38" s="234" t="s">
        <v>358</v>
      </c>
      <c r="C38" s="234"/>
      <c r="D38" s="234"/>
      <c r="E38" s="3">
        <v>10</v>
      </c>
      <c r="F38" s="12">
        <f>'December, 2021'!Y56</f>
        <v>3633581.7579999999</v>
      </c>
      <c r="G38" s="3">
        <v>10</v>
      </c>
      <c r="H38" s="12">
        <f>'December, 2021'!Z56</f>
        <v>3581081.7579999999</v>
      </c>
      <c r="I38" s="32"/>
      <c r="J38" s="32"/>
    </row>
    <row r="39" spans="1:14" ht="23.25" customHeight="1">
      <c r="A39" s="11">
        <v>4</v>
      </c>
      <c r="B39" s="234" t="s">
        <v>359</v>
      </c>
      <c r="C39" s="234"/>
      <c r="D39" s="246"/>
      <c r="E39" s="3">
        <v>2</v>
      </c>
      <c r="F39" s="12">
        <f>'December, 2021'!Y61</f>
        <v>1261604.1505000002</v>
      </c>
      <c r="G39" s="3">
        <v>2</v>
      </c>
      <c r="H39" s="12">
        <f>'December, 2021'!Z61</f>
        <v>1261604.1505000002</v>
      </c>
      <c r="I39" s="32"/>
      <c r="J39" s="32"/>
    </row>
    <row r="40" spans="1:14" ht="24" customHeight="1">
      <c r="A40" s="11">
        <v>5</v>
      </c>
      <c r="B40" s="234" t="s">
        <v>360</v>
      </c>
      <c r="C40" s="234"/>
      <c r="D40" s="246"/>
      <c r="E40" s="3">
        <v>12</v>
      </c>
      <c r="F40" s="12">
        <f>'December, 2021'!Y76</f>
        <v>3066776.8480000002</v>
      </c>
      <c r="G40" s="3">
        <v>12</v>
      </c>
      <c r="H40" s="12">
        <f>'December, 2021'!Z76</f>
        <v>3098276.8480000002</v>
      </c>
      <c r="I40" s="32"/>
      <c r="J40" s="32"/>
    </row>
    <row r="41" spans="1:14" ht="21" customHeight="1">
      <c r="A41" s="11">
        <v>6</v>
      </c>
      <c r="B41" s="234" t="s">
        <v>361</v>
      </c>
      <c r="C41" s="234"/>
      <c r="D41" s="246"/>
      <c r="E41" s="3">
        <f>7</f>
        <v>7</v>
      </c>
      <c r="F41" s="12">
        <f>'December, 2021'!Y86</f>
        <v>2634412.1627500001</v>
      </c>
      <c r="G41" s="3">
        <f>7</f>
        <v>7</v>
      </c>
      <c r="H41" s="12">
        <f>'December, 2021'!Z86</f>
        <v>2634412.1627500001</v>
      </c>
      <c r="I41" s="32"/>
      <c r="J41" s="32"/>
    </row>
    <row r="42" spans="1:14" ht="23.25" customHeight="1">
      <c r="A42" s="11">
        <v>7</v>
      </c>
      <c r="B42" s="199" t="s">
        <v>362</v>
      </c>
      <c r="C42" s="199"/>
      <c r="D42" s="199"/>
      <c r="E42" s="3">
        <v>10</v>
      </c>
      <c r="F42" s="12">
        <f>'December, 2021'!Y99</f>
        <v>3316165.3355</v>
      </c>
      <c r="G42" s="3">
        <v>10</v>
      </c>
      <c r="H42" s="12">
        <f>'December, 2021'!Z99</f>
        <v>3230332.0021666666</v>
      </c>
      <c r="I42" s="32"/>
      <c r="J42" s="32"/>
    </row>
    <row r="43" spans="1:14" ht="25.5" customHeight="1">
      <c r="A43" s="11">
        <v>8</v>
      </c>
      <c r="B43" s="199" t="s">
        <v>363</v>
      </c>
      <c r="C43" s="199"/>
      <c r="D43" s="199"/>
      <c r="E43" s="3">
        <v>4</v>
      </c>
      <c r="F43" s="12">
        <f>'December, 2021'!Y106</f>
        <v>1264822.0215</v>
      </c>
      <c r="G43" s="3">
        <v>4</v>
      </c>
      <c r="H43" s="12">
        <f>'December, 2021'!Z106</f>
        <v>1264822.0215</v>
      </c>
      <c r="I43" s="32"/>
      <c r="J43" s="32"/>
    </row>
    <row r="44" spans="1:14" ht="21.75" customHeight="1">
      <c r="A44" s="11">
        <v>9</v>
      </c>
      <c r="B44" s="199" t="s">
        <v>364</v>
      </c>
      <c r="C44" s="199"/>
      <c r="D44" s="199"/>
      <c r="E44" s="3">
        <v>8</v>
      </c>
      <c r="F44" s="12">
        <f>'December, 2021'!Y117</f>
        <v>2497780.6265499997</v>
      </c>
      <c r="G44" s="3">
        <v>8</v>
      </c>
      <c r="H44" s="12">
        <f>'December, 2021'!Z117</f>
        <v>2497780.6265499997</v>
      </c>
      <c r="I44" s="32"/>
      <c r="J44" s="32"/>
    </row>
    <row r="45" spans="1:14" ht="24.75" customHeight="1">
      <c r="A45" s="11">
        <v>10</v>
      </c>
      <c r="B45" s="199" t="s">
        <v>365</v>
      </c>
      <c r="C45" s="199"/>
      <c r="D45" s="199"/>
      <c r="E45" s="3">
        <v>9</v>
      </c>
      <c r="F45" s="12">
        <f>'December, 2021'!Y129</f>
        <v>2792106.4194999998</v>
      </c>
      <c r="G45" s="3">
        <v>9</v>
      </c>
      <c r="H45" s="12">
        <f>'December, 2021'!Z129</f>
        <v>2792106.4194999998</v>
      </c>
      <c r="I45" s="32"/>
      <c r="J45" s="32"/>
    </row>
    <row r="46" spans="1:14" ht="24.75" customHeight="1">
      <c r="A46" s="11">
        <v>11</v>
      </c>
      <c r="B46" s="234" t="s">
        <v>366</v>
      </c>
      <c r="C46" s="234"/>
      <c r="D46" s="234"/>
      <c r="E46" s="3">
        <v>55</v>
      </c>
      <c r="F46" s="12">
        <f>'December, 2021'!Y187</f>
        <v>8517692.7194999997</v>
      </c>
      <c r="G46" s="3">
        <v>55</v>
      </c>
      <c r="H46" s="12">
        <f>'December, 2021'!Z187</f>
        <v>7618555.3994999994</v>
      </c>
      <c r="I46" s="32"/>
      <c r="J46" s="32"/>
    </row>
    <row r="47" spans="1:14" ht="24" customHeight="1">
      <c r="A47" s="1"/>
      <c r="B47" s="1"/>
      <c r="C47" s="1"/>
      <c r="D47" s="1"/>
      <c r="E47" s="7">
        <f>SUM(E36:E46)</f>
        <v>149</v>
      </c>
      <c r="F47" s="13">
        <f>SUM(F36:F46)</f>
        <v>39568934.601550005</v>
      </c>
      <c r="G47" s="7">
        <f>SUM(G36:G46)</f>
        <v>148</v>
      </c>
      <c r="H47" s="13">
        <f>SUM(H36:H46)</f>
        <v>38562963.948216669</v>
      </c>
      <c r="I47" s="32"/>
      <c r="J47" s="32"/>
    </row>
    <row r="48" spans="1:14" ht="78.75" customHeight="1">
      <c r="A48" s="242" t="s">
        <v>367</v>
      </c>
      <c r="B48" s="242"/>
      <c r="C48" s="242"/>
      <c r="D48" s="242"/>
      <c r="E48" s="242"/>
      <c r="F48" s="242"/>
      <c r="G48" s="242"/>
      <c r="H48" s="242"/>
      <c r="I48" s="1"/>
      <c r="J48" s="34"/>
      <c r="K48" s="34"/>
      <c r="L48" s="1"/>
      <c r="M48" s="1"/>
      <c r="N48" s="1"/>
    </row>
    <row r="49" spans="1:14" ht="18" customHeight="1">
      <c r="A49" s="213"/>
      <c r="B49" s="213"/>
      <c r="C49" s="213"/>
      <c r="D49" s="213"/>
      <c r="E49" s="213"/>
      <c r="F49" s="213"/>
      <c r="G49" s="213"/>
      <c r="H49" s="213"/>
      <c r="I49" s="1"/>
      <c r="J49" s="1"/>
      <c r="K49" s="1"/>
      <c r="L49" s="1"/>
      <c r="M49" s="1"/>
      <c r="N49" s="1"/>
    </row>
    <row r="50" spans="1:14" ht="16.5" customHeight="1">
      <c r="A50" s="213"/>
      <c r="B50" s="213"/>
      <c r="C50" s="213"/>
      <c r="D50" s="213"/>
      <c r="E50" s="213"/>
      <c r="F50" s="213"/>
      <c r="G50" s="213"/>
      <c r="H50" s="213"/>
      <c r="I50" s="1"/>
      <c r="J50" s="1"/>
      <c r="K50" s="1"/>
      <c r="L50" s="1"/>
      <c r="M50" s="1"/>
      <c r="N50" s="1"/>
    </row>
    <row r="51" spans="1:14" ht="29.25" customHeight="1">
      <c r="A51" s="239" t="s">
        <v>368</v>
      </c>
      <c r="B51" s="239"/>
      <c r="C51" s="239"/>
      <c r="D51" s="239"/>
      <c r="E51" s="239"/>
      <c r="F51" s="1"/>
      <c r="G51" s="1"/>
      <c r="H51" s="1"/>
    </row>
    <row r="52" spans="1:14" ht="23.25" customHeight="1">
      <c r="A52" s="234" t="s">
        <v>369</v>
      </c>
      <c r="B52" s="234"/>
      <c r="C52" s="234"/>
      <c r="D52" s="234"/>
      <c r="E52" s="234"/>
      <c r="F52" s="1"/>
      <c r="G52" s="1"/>
      <c r="H52" s="1"/>
    </row>
    <row r="53" spans="1:14">
      <c r="A53" s="9"/>
      <c r="B53" s="9"/>
      <c r="C53" s="9"/>
      <c r="D53" s="9" t="s">
        <v>370</v>
      </c>
      <c r="E53" s="9"/>
      <c r="F53" s="9"/>
      <c r="G53" s="9"/>
      <c r="H53" s="9"/>
    </row>
    <row r="58" spans="1:14">
      <c r="C58" t="s">
        <v>371</v>
      </c>
    </row>
    <row r="156" spans="3:3">
      <c r="C156">
        <f>10000</f>
        <v>10000</v>
      </c>
    </row>
  </sheetData>
  <mergeCells count="31">
    <mergeCell ref="A52:E52"/>
    <mergeCell ref="B39:D39"/>
    <mergeCell ref="B40:D40"/>
    <mergeCell ref="B41:D41"/>
    <mergeCell ref="B46:D46"/>
    <mergeCell ref="A48:H48"/>
    <mergeCell ref="A51:E51"/>
    <mergeCell ref="B38:D38"/>
    <mergeCell ref="A25:F25"/>
    <mergeCell ref="A26:F26"/>
    <mergeCell ref="A27:F27"/>
    <mergeCell ref="A28:F28"/>
    <mergeCell ref="A29:F29"/>
    <mergeCell ref="A30:G30"/>
    <mergeCell ref="A33:G33"/>
    <mergeCell ref="E34:F34"/>
    <mergeCell ref="G34:H34"/>
    <mergeCell ref="B36:D36"/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00000000000001" customHeight="1">
      <c r="B3" s="231" t="s">
        <v>372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2" t="s">
        <v>3</v>
      </c>
      <c r="V5" s="232"/>
      <c r="W5" s="232"/>
      <c r="X5" s="232"/>
      <c r="Y5" s="232"/>
      <c r="Z5" s="56"/>
      <c r="AA5" s="56"/>
    </row>
    <row r="6" spans="1:32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83" t="s">
        <v>15</v>
      </c>
      <c r="AA6" s="183" t="s">
        <v>37</v>
      </c>
    </row>
    <row r="7" spans="1:32" ht="48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00000000000001" customHeight="1">
      <c r="A9" s="3"/>
      <c r="B9" s="257" t="s">
        <v>122</v>
      </c>
      <c r="C9" s="258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259" t="s">
        <v>127</v>
      </c>
      <c r="C10" s="260"/>
      <c r="D10" s="33" t="s">
        <v>128</v>
      </c>
      <c r="E10" s="3" t="s">
        <v>57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255" t="s">
        <v>34</v>
      </c>
      <c r="C11" s="256"/>
      <c r="D11" s="30">
        <v>1</v>
      </c>
      <c r="E11" s="30"/>
      <c r="F11" s="99">
        <f t="shared" ref="F11:N11" si="1">SUM(F10:F10)</f>
        <v>33507.5</v>
      </c>
      <c r="G11" s="99">
        <f t="shared" si="1"/>
        <v>0</v>
      </c>
      <c r="H11" s="99">
        <f t="shared" si="1"/>
        <v>100522.5</v>
      </c>
      <c r="I11" s="99">
        <f t="shared" si="1"/>
        <v>2513.0625</v>
      </c>
      <c r="J11" s="99">
        <f t="shared" si="1"/>
        <v>40122.19</v>
      </c>
      <c r="K11" s="99">
        <f t="shared" si="1"/>
        <v>16753.75</v>
      </c>
      <c r="L11" s="99">
        <f t="shared" si="1"/>
        <v>117276.25</v>
      </c>
      <c r="M11" s="99">
        <f t="shared" si="1"/>
        <v>33507.5</v>
      </c>
      <c r="N11" s="158">
        <f t="shared" si="1"/>
        <v>160000</v>
      </c>
      <c r="O11" s="158"/>
      <c r="P11" s="99">
        <f>SUM(P10:P10)</f>
        <v>3350.75</v>
      </c>
      <c r="Q11" s="99">
        <f>SUM(Q10:Q10)</f>
        <v>20000</v>
      </c>
      <c r="R11" s="99">
        <f>SUM(R10:R10)</f>
        <v>0</v>
      </c>
      <c r="S11" s="99">
        <f>SUM(S10:S10)</f>
        <v>527553.50249999994</v>
      </c>
      <c r="T11" s="99"/>
      <c r="U11" s="99"/>
      <c r="V11" s="99"/>
      <c r="W11" s="99">
        <f>SUM(W10:W10)</f>
        <v>0</v>
      </c>
      <c r="X11" s="99"/>
      <c r="Y11" s="99">
        <f>SUM(Y10:Y10)</f>
        <v>0</v>
      </c>
      <c r="Z11" s="99">
        <v>3633581.7579999999</v>
      </c>
      <c r="AA11" s="99">
        <f>SUM(AA10:AA10)</f>
        <v>527553.50249999994</v>
      </c>
      <c r="AB11" s="34"/>
    </row>
    <row r="12" spans="1:32" ht="20.100000000000001" customHeight="1">
      <c r="A12" s="33"/>
      <c r="B12" s="97"/>
      <c r="C12" s="97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250" t="s">
        <v>218</v>
      </c>
      <c r="C13" s="250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00000000000001" customHeight="1">
      <c r="A14" s="33">
        <v>2</v>
      </c>
      <c r="B14" s="251" t="s">
        <v>225</v>
      </c>
      <c r="C14" s="251"/>
      <c r="D14" s="61" t="s">
        <v>224</v>
      </c>
      <c r="E14" s="66" t="s">
        <v>64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250" t="s">
        <v>34</v>
      </c>
      <c r="C15" s="250"/>
      <c r="D15" s="98" t="s">
        <v>373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58"/>
      <c r="O15" s="158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00000000000001" customHeight="1">
      <c r="A16" s="33"/>
      <c r="B16" s="97"/>
      <c r="C16" s="97"/>
      <c r="D16" s="98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00000000000001" customHeight="1">
      <c r="A17" s="33"/>
      <c r="B17" s="250" t="s">
        <v>235</v>
      </c>
      <c r="C17" s="250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00000000000001" customHeight="1">
      <c r="A18" s="33">
        <v>3</v>
      </c>
      <c r="B18" s="249" t="s">
        <v>248</v>
      </c>
      <c r="C18" s="249"/>
      <c r="D18" s="33" t="s">
        <v>249</v>
      </c>
      <c r="E18" s="66" t="s">
        <v>70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48" t="s">
        <v>34</v>
      </c>
      <c r="D19" s="49" t="s">
        <v>373</v>
      </c>
      <c r="E19" s="37"/>
      <c r="F19" s="102">
        <f t="shared" ref="F19:M19" si="13">SUM(F18:F18)</f>
        <v>25854.1</v>
      </c>
      <c r="G19" s="102">
        <f t="shared" si="13"/>
        <v>0</v>
      </c>
      <c r="H19" s="102">
        <f t="shared" si="13"/>
        <v>77562.299999999988</v>
      </c>
      <c r="I19" s="102">
        <f t="shared" si="13"/>
        <v>1939.0574999999999</v>
      </c>
      <c r="J19" s="102">
        <f t="shared" si="13"/>
        <v>0</v>
      </c>
      <c r="K19" s="102">
        <f t="shared" si="13"/>
        <v>12927.05</v>
      </c>
      <c r="L19" s="102">
        <f t="shared" si="13"/>
        <v>90489.349999999991</v>
      </c>
      <c r="M19" s="102">
        <f t="shared" si="13"/>
        <v>25854.1</v>
      </c>
      <c r="N19" s="158"/>
      <c r="O19" s="158">
        <f>SUM(O18:O18)</f>
        <v>70000</v>
      </c>
      <c r="P19" s="102">
        <f>SUM(P18:P18)</f>
        <v>2585.41</v>
      </c>
      <c r="Q19" s="102">
        <f>SUM(Q18:Q18)</f>
        <v>20000</v>
      </c>
      <c r="R19" s="102">
        <f>SUM(R18:R18)</f>
        <v>0</v>
      </c>
      <c r="S19" s="102">
        <f>SUM(S18:S18)</f>
        <v>327211.36749999999</v>
      </c>
      <c r="T19" s="102"/>
      <c r="U19" s="102">
        <f>SUM(U18:U18)</f>
        <v>0</v>
      </c>
      <c r="V19" s="102">
        <f>SUM(V18:V18)</f>
        <v>0</v>
      </c>
      <c r="W19" s="102"/>
      <c r="X19" s="102"/>
      <c r="Y19" s="102">
        <f>SUM(Y18:Y18)</f>
        <v>0</v>
      </c>
      <c r="Z19" s="102">
        <v>8517692.7194999997</v>
      </c>
      <c r="AA19" s="102">
        <f>SUM(AA18:AA18)</f>
        <v>327211.36749999999</v>
      </c>
      <c r="AB19" s="34"/>
    </row>
    <row r="20" spans="1:28" ht="20.100000000000001" customHeight="1">
      <c r="A20" s="33"/>
      <c r="B20" s="247" t="s">
        <v>319</v>
      </c>
      <c r="C20" s="247"/>
      <c r="D20" s="76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00000000000001" customHeight="1">
      <c r="A21" s="33"/>
      <c r="B21" s="248"/>
      <c r="C21" s="248"/>
      <c r="D21" s="46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8" ht="20.100000000000001" customHeight="1">
      <c r="A22" s="33"/>
      <c r="B22" s="248"/>
      <c r="C22" s="248"/>
      <c r="D22" s="230"/>
      <c r="E22" s="230"/>
      <c r="F22" s="230"/>
      <c r="G22" s="230"/>
      <c r="H22" s="230"/>
      <c r="I22" s="230"/>
      <c r="J22" s="230"/>
      <c r="K22" s="233" t="s">
        <v>321</v>
      </c>
      <c r="L22" s="233"/>
      <c r="M22" s="233"/>
      <c r="N22" s="40"/>
      <c r="O22" s="40"/>
      <c r="P22" s="233" t="s">
        <v>322</v>
      </c>
      <c r="Q22" s="233"/>
      <c r="R22" s="233"/>
      <c r="S22" s="233"/>
      <c r="T22" s="40"/>
      <c r="U22" s="40"/>
      <c r="V22" s="40"/>
      <c r="W22" s="40"/>
      <c r="X22" s="72"/>
      <c r="Y22" s="72"/>
      <c r="Z22" s="72"/>
      <c r="AA22" s="72"/>
    </row>
    <row r="23" spans="1:28" ht="20.100000000000001" customHeight="1">
      <c r="A23" s="33"/>
      <c r="B23" s="248"/>
      <c r="C23" s="248"/>
      <c r="D23" s="230"/>
      <c r="E23" s="230"/>
      <c r="F23" s="230"/>
      <c r="G23" s="230"/>
      <c r="H23" s="230"/>
      <c r="I23" s="230"/>
      <c r="J23" s="230"/>
      <c r="K23" s="233"/>
      <c r="L23" s="233"/>
      <c r="M23" s="233"/>
      <c r="N23" s="40"/>
      <c r="O23" s="40"/>
      <c r="P23" s="233"/>
      <c r="Q23" s="233"/>
      <c r="R23" s="233"/>
      <c r="S23" s="233"/>
      <c r="T23" s="40"/>
      <c r="U23" s="40"/>
      <c r="V23" s="40"/>
      <c r="W23" s="40"/>
      <c r="X23" s="72"/>
      <c r="Y23" s="72"/>
      <c r="Z23" s="72"/>
      <c r="AA23" s="72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U5:Y5"/>
    <mergeCell ref="B6:C6"/>
    <mergeCell ref="B7:C7"/>
    <mergeCell ref="B8:C8"/>
    <mergeCell ref="B11:C11"/>
    <mergeCell ref="B9:C9"/>
    <mergeCell ref="B10:C10"/>
    <mergeCell ref="B3:E3"/>
    <mergeCell ref="B5:C5"/>
    <mergeCell ref="B18:C18"/>
    <mergeCell ref="B15:C15"/>
    <mergeCell ref="B17:C17"/>
    <mergeCell ref="B14:C14"/>
    <mergeCell ref="B13:C13"/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374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375</v>
      </c>
      <c r="C4" s="187">
        <f>100000</f>
        <v>100000</v>
      </c>
      <c r="D4" s="4"/>
    </row>
    <row r="5" spans="1:4" ht="15.75">
      <c r="A5" s="4">
        <v>2</v>
      </c>
      <c r="B5" s="4" t="s">
        <v>376</v>
      </c>
      <c r="C5" s="187">
        <v>50000</v>
      </c>
      <c r="D5" s="4"/>
    </row>
    <row r="6" spans="1:4" ht="15.75">
      <c r="A6" s="4">
        <v>3</v>
      </c>
      <c r="B6" s="4" t="s">
        <v>377</v>
      </c>
      <c r="C6" s="187">
        <v>100000</v>
      </c>
      <c r="D6" s="4"/>
    </row>
    <row r="7" spans="1:4" ht="15.75">
      <c r="A7" s="4">
        <v>4</v>
      </c>
      <c r="B7" s="4" t="s">
        <v>378</v>
      </c>
      <c r="C7" s="187">
        <f>50000</f>
        <v>50000</v>
      </c>
      <c r="D7" s="4"/>
    </row>
    <row r="8" spans="1:4" ht="15.75">
      <c r="A8" s="4">
        <v>5</v>
      </c>
      <c r="B8" s="4" t="s">
        <v>379</v>
      </c>
      <c r="C8" s="187">
        <f>140000</f>
        <v>140000</v>
      </c>
      <c r="D8" s="4"/>
    </row>
    <row r="9" spans="1:4" ht="15.75">
      <c r="A9" s="4">
        <v>6</v>
      </c>
      <c r="B9" s="4" t="s">
        <v>380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381</v>
      </c>
      <c r="C11" s="93"/>
    </row>
    <row r="12" spans="1:4" ht="15.75">
      <c r="A12" s="4">
        <v>1</v>
      </c>
      <c r="B12" s="4" t="s">
        <v>380</v>
      </c>
      <c r="C12" s="93">
        <f>45283</f>
        <v>45283</v>
      </c>
    </row>
    <row r="13" spans="1:4" ht="15.75">
      <c r="A13" s="4">
        <v>2</v>
      </c>
      <c r="B13" s="4" t="s">
        <v>382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383</v>
      </c>
    </row>
    <row r="17" spans="2:3" ht="15.75">
      <c r="B17" s="4" t="s">
        <v>384</v>
      </c>
      <c r="C17" s="93">
        <f>33074.51</f>
        <v>33074.51</v>
      </c>
    </row>
    <row r="18" spans="2:3" ht="15.75">
      <c r="B18" s="4" t="s">
        <v>385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386</v>
      </c>
    </row>
    <row r="22" spans="2:3" ht="15.75">
      <c r="B22" s="4" t="s">
        <v>387</v>
      </c>
      <c r="C22">
        <f>925433.08</f>
        <v>925433.08</v>
      </c>
    </row>
    <row r="23" spans="2:3" ht="15.75">
      <c r="B23" s="4" t="s">
        <v>388</v>
      </c>
      <c r="C23" s="93">
        <f>451465+90000</f>
        <v>541465</v>
      </c>
    </row>
    <row r="24" spans="2:3" ht="15.75">
      <c r="B24" s="4" t="s">
        <v>389</v>
      </c>
      <c r="C24" s="94">
        <f>C22-C23</f>
        <v>383968.07999999996</v>
      </c>
    </row>
    <row r="25" spans="2:3" ht="15.75">
      <c r="B25" s="4" t="s">
        <v>390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7"/>
  <sheetViews>
    <sheetView zoomScaleNormal="100" zoomScaleSheetLayoutView="100" workbookViewId="0">
      <pane xSplit="4" ySplit="8" topLeftCell="E51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31" t="s">
        <v>391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31" t="s">
        <v>392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2" t="s">
        <v>3</v>
      </c>
      <c r="V5" s="232"/>
      <c r="W5" s="232"/>
      <c r="X5" s="232"/>
      <c r="Y5" s="232"/>
      <c r="Z5" s="56"/>
      <c r="AA5" s="56" t="s">
        <v>4</v>
      </c>
    </row>
    <row r="6" spans="1:37" ht="35.450000000000003" customHeight="1">
      <c r="A6" s="33"/>
      <c r="B6" s="252"/>
      <c r="C6" s="252"/>
      <c r="D6" s="58" t="s">
        <v>5</v>
      </c>
      <c r="E6" s="191" t="s">
        <v>393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394</v>
      </c>
      <c r="T6" s="2"/>
      <c r="U6" s="2"/>
      <c r="V6" s="2"/>
      <c r="W6" s="2"/>
      <c r="X6" s="7"/>
      <c r="Y6" s="7"/>
      <c r="Z6" s="7" t="s">
        <v>395</v>
      </c>
      <c r="AA6" s="183" t="s">
        <v>396</v>
      </c>
      <c r="AB6" s="191" t="s">
        <v>397</v>
      </c>
      <c r="AC6" s="2" t="s">
        <v>398</v>
      </c>
    </row>
    <row r="7" spans="1:37" ht="55.9" customHeight="1">
      <c r="A7" s="33"/>
      <c r="B7" s="253"/>
      <c r="C7" s="253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399</v>
      </c>
      <c r="AC7" s="2" t="s">
        <v>18</v>
      </c>
      <c r="AD7" s="196" t="s">
        <v>400</v>
      </c>
      <c r="AE7" s="196" t="s">
        <v>401</v>
      </c>
      <c r="AF7" s="196" t="s">
        <v>402</v>
      </c>
      <c r="AG7" s="57" t="s">
        <v>403</v>
      </c>
      <c r="AH7" s="57" t="s">
        <v>404</v>
      </c>
      <c r="AI7" s="57" t="s">
        <v>405</v>
      </c>
    </row>
    <row r="8" spans="1:37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67" t="s">
        <v>68</v>
      </c>
      <c r="C9" s="268"/>
      <c r="D9" s="43" t="s">
        <v>406</v>
      </c>
      <c r="E9" s="44" t="s">
        <v>154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407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67" t="s">
        <v>71</v>
      </c>
      <c r="C10" s="268"/>
      <c r="D10" s="33" t="s">
        <v>408</v>
      </c>
      <c r="E10" s="3" t="s">
        <v>77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407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67" t="s">
        <v>73</v>
      </c>
      <c r="C11" s="268"/>
      <c r="D11" s="33" t="s">
        <v>409</v>
      </c>
      <c r="E11" s="3" t="s">
        <v>154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407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59" t="s">
        <v>87</v>
      </c>
      <c r="C12" s="260"/>
      <c r="D12" s="61" t="s">
        <v>94</v>
      </c>
      <c r="E12" s="66" t="s">
        <v>410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89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50" t="s">
        <v>34</v>
      </c>
      <c r="C13" s="250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50" t="s">
        <v>118</v>
      </c>
      <c r="C15" s="250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57" t="s">
        <v>122</v>
      </c>
      <c r="C17" s="258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59" t="s">
        <v>129</v>
      </c>
      <c r="C18" s="260"/>
      <c r="D18" s="33" t="s">
        <v>132</v>
      </c>
      <c r="E18" s="3" t="s">
        <v>133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130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65" t="s">
        <v>135</v>
      </c>
      <c r="C19" s="266"/>
      <c r="D19" s="33" t="s">
        <v>138</v>
      </c>
      <c r="E19" s="25" t="s">
        <v>77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70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55" t="s">
        <v>34</v>
      </c>
      <c r="C20" s="256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55" t="s">
        <v>143</v>
      </c>
      <c r="C22" s="256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55" t="s">
        <v>34</v>
      </c>
      <c r="C23" s="256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55"/>
      <c r="C24" s="256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55" t="s">
        <v>148</v>
      </c>
      <c r="C25" s="256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67" t="s">
        <v>157</v>
      </c>
      <c r="C26" s="268"/>
      <c r="D26" s="47" t="s">
        <v>138</v>
      </c>
      <c r="E26" s="66" t="s">
        <v>77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70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49" t="s">
        <v>161</v>
      </c>
      <c r="C27" s="249"/>
      <c r="D27" s="47" t="s">
        <v>159</v>
      </c>
      <c r="E27" s="66" t="s">
        <v>410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89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55" t="s">
        <v>34</v>
      </c>
      <c r="C28" s="256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55" t="s">
        <v>168</v>
      </c>
      <c r="C30" s="256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55" t="s">
        <v>34</v>
      </c>
      <c r="C31" s="256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61"/>
      <c r="C32" s="262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63" t="s">
        <v>181</v>
      </c>
      <c r="C33" s="264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50" t="s">
        <v>34</v>
      </c>
      <c r="C34" s="250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50" t="s">
        <v>196</v>
      </c>
      <c r="C36" s="250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50" t="s">
        <v>34</v>
      </c>
      <c r="C37" s="250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50" t="s">
        <v>205</v>
      </c>
      <c r="C39" s="250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50" t="s">
        <v>34</v>
      </c>
      <c r="C40" s="250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50" t="s">
        <v>218</v>
      </c>
      <c r="C42" s="250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50" t="s">
        <v>34</v>
      </c>
      <c r="C43" s="250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50" t="s">
        <v>235</v>
      </c>
      <c r="C45" s="250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49" t="s">
        <v>246</v>
      </c>
      <c r="C46" s="249"/>
      <c r="D46" s="61" t="s">
        <v>411</v>
      </c>
      <c r="E46" s="66" t="s">
        <v>154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407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49" t="s">
        <v>248</v>
      </c>
      <c r="C47" s="249"/>
      <c r="D47" s="33" t="s">
        <v>252</v>
      </c>
      <c r="E47" s="66" t="s">
        <v>154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407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49" t="s">
        <v>250</v>
      </c>
      <c r="C48" s="249"/>
      <c r="D48" s="33" t="s">
        <v>252</v>
      </c>
      <c r="E48" s="66" t="s">
        <v>154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407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59" t="s">
        <v>253</v>
      </c>
      <c r="C49" s="260"/>
      <c r="D49" s="61" t="s">
        <v>412</v>
      </c>
      <c r="E49" s="66" t="s">
        <v>410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89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49" t="s">
        <v>255</v>
      </c>
      <c r="C50" s="249"/>
      <c r="D50" s="33" t="s">
        <v>412</v>
      </c>
      <c r="E50" s="66" t="s">
        <v>413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89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59" t="s">
        <v>256</v>
      </c>
      <c r="C51" s="260"/>
      <c r="D51" s="61" t="s">
        <v>414</v>
      </c>
      <c r="E51" s="66" t="s">
        <v>410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89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59" t="s">
        <v>263</v>
      </c>
      <c r="C52" s="260"/>
      <c r="D52" s="61" t="s">
        <v>262</v>
      </c>
      <c r="E52" s="66" t="s">
        <v>415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416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59" t="s">
        <v>264</v>
      </c>
      <c r="C53" s="260"/>
      <c r="D53" s="61" t="s">
        <v>262</v>
      </c>
      <c r="E53" s="66" t="s">
        <v>415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416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59" t="s">
        <v>265</v>
      </c>
      <c r="C54" s="260"/>
      <c r="D54" s="61" t="s">
        <v>262</v>
      </c>
      <c r="E54" s="66" t="s">
        <v>415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416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59" t="s">
        <v>302</v>
      </c>
      <c r="C55" s="260"/>
      <c r="D55" s="61" t="s">
        <v>303</v>
      </c>
      <c r="E55" s="66" t="s">
        <v>417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304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59" t="s">
        <v>305</v>
      </c>
      <c r="C56" s="260"/>
      <c r="D56" s="61" t="s">
        <v>303</v>
      </c>
      <c r="E56" s="66" t="s">
        <v>417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304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59" t="s">
        <v>306</v>
      </c>
      <c r="C57" s="260"/>
      <c r="D57" s="61" t="s">
        <v>303</v>
      </c>
      <c r="E57" s="66" t="s">
        <v>417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304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59" t="s">
        <v>307</v>
      </c>
      <c r="C58" s="260"/>
      <c r="D58" s="61" t="s">
        <v>303</v>
      </c>
      <c r="E58" s="66" t="s">
        <v>417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304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59" t="s">
        <v>308</v>
      </c>
      <c r="C59" s="260"/>
      <c r="D59" s="61" t="s">
        <v>303</v>
      </c>
      <c r="E59" s="66" t="s">
        <v>417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304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418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47" t="s">
        <v>319</v>
      </c>
      <c r="C61" s="247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48"/>
      <c r="C62" s="248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33" t="s">
        <v>419</v>
      </c>
      <c r="C63" s="233"/>
      <c r="D63" s="230"/>
      <c r="E63" s="230"/>
      <c r="F63" s="230"/>
      <c r="G63" s="230"/>
      <c r="H63" s="230"/>
      <c r="I63" s="230"/>
      <c r="J63" s="230"/>
      <c r="K63" s="233" t="s">
        <v>321</v>
      </c>
      <c r="L63" s="233"/>
      <c r="M63" s="233"/>
      <c r="N63" s="40"/>
      <c r="O63" s="40"/>
      <c r="P63" s="233" t="s">
        <v>322</v>
      </c>
      <c r="Q63" s="233"/>
      <c r="R63" s="233"/>
      <c r="S63" s="233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48"/>
      <c r="C64" s="248"/>
      <c r="D64" s="230"/>
      <c r="E64" s="230"/>
      <c r="F64" s="230"/>
      <c r="G64" s="230"/>
      <c r="H64" s="230"/>
      <c r="I64" s="230"/>
      <c r="J64" s="230"/>
      <c r="K64" s="233"/>
      <c r="L64" s="233"/>
      <c r="M64" s="233"/>
      <c r="N64" s="40"/>
      <c r="O64" s="40"/>
      <c r="P64" s="233"/>
      <c r="Q64" s="233"/>
      <c r="R64" s="233"/>
      <c r="S64" s="233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'December, 2021'!F188-Promotion!AE61</f>
        <v>-332008.71468548395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B8:C8"/>
    <mergeCell ref="B3:E3"/>
    <mergeCell ref="B5:C5"/>
    <mergeCell ref="U5:Y5"/>
    <mergeCell ref="B6:C6"/>
    <mergeCell ref="B7:C7"/>
    <mergeCell ref="B18:C18"/>
    <mergeCell ref="B9:C9"/>
    <mergeCell ref="B10:C10"/>
    <mergeCell ref="B11:C11"/>
    <mergeCell ref="B17:C17"/>
    <mergeCell ref="B13:C13"/>
    <mergeCell ref="B15:C15"/>
    <mergeCell ref="B12:C12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31:C31"/>
    <mergeCell ref="B32:C32"/>
    <mergeCell ref="B33:C33"/>
    <mergeCell ref="B36:C36"/>
    <mergeCell ref="B37:C37"/>
    <mergeCell ref="B39:C39"/>
    <mergeCell ref="B34:C34"/>
    <mergeCell ref="B40:C40"/>
    <mergeCell ref="B42:C42"/>
    <mergeCell ref="B46:C46"/>
    <mergeCell ref="B47:C47"/>
    <mergeCell ref="B48:C48"/>
    <mergeCell ref="B43:C43"/>
    <mergeCell ref="B45:C45"/>
    <mergeCell ref="B52:C52"/>
    <mergeCell ref="B53:C53"/>
    <mergeCell ref="B54:C54"/>
    <mergeCell ref="B49:C49"/>
    <mergeCell ref="B50:C50"/>
    <mergeCell ref="B51:C51"/>
    <mergeCell ref="B57:C57"/>
    <mergeCell ref="B58:C58"/>
    <mergeCell ref="B59:C59"/>
    <mergeCell ref="B55:C55"/>
    <mergeCell ref="B56:C56"/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53"/>
      <c r="C2" s="253"/>
      <c r="D2" s="58" t="s">
        <v>5</v>
      </c>
      <c r="E2" s="58" t="s">
        <v>399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420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73" t="s">
        <v>421</v>
      </c>
    </row>
    <row r="3" spans="1:31" ht="20.100000000000001" customHeight="1">
      <c r="A3" s="33"/>
      <c r="B3" s="250" t="s">
        <v>205</v>
      </c>
      <c r="C3" s="250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59" t="s">
        <v>210</v>
      </c>
      <c r="C4" s="260"/>
      <c r="D4" s="33" t="s">
        <v>211</v>
      </c>
      <c r="E4" s="3" t="s">
        <v>77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'[2]Jan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84">
        <f>S4*0.11</f>
        <v>41432.938524999998</v>
      </c>
    </row>
    <row r="5" spans="1:31" ht="20.100000000000001" customHeight="1">
      <c r="A5" s="33">
        <v>2</v>
      </c>
      <c r="B5" s="269" t="s">
        <v>212</v>
      </c>
      <c r="C5" s="270"/>
      <c r="D5" s="33" t="s">
        <v>211</v>
      </c>
      <c r="E5" s="29" t="s">
        <v>139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84">
        <f t="shared" ref="AB5:AB9" si="1">S5*0.11</f>
        <v>39820.116654999998</v>
      </c>
    </row>
    <row r="6" spans="1:31" ht="20.100000000000001" customHeight="1">
      <c r="A6" s="33">
        <v>3</v>
      </c>
      <c r="B6" s="259" t="s">
        <v>213</v>
      </c>
      <c r="C6" s="260"/>
      <c r="D6" s="1" t="s">
        <v>214</v>
      </c>
      <c r="E6" s="66" t="s">
        <v>110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84">
        <f t="shared" si="1"/>
        <v>25333.447479999999</v>
      </c>
    </row>
    <row r="7" spans="1:31" ht="20.100000000000001" customHeight="1">
      <c r="A7" s="33">
        <v>4</v>
      </c>
      <c r="B7" s="159" t="s">
        <v>215</v>
      </c>
      <c r="C7" s="160"/>
      <c r="D7" s="1" t="s">
        <v>214</v>
      </c>
      <c r="E7" s="3" t="s">
        <v>115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84">
        <f t="shared" si="1"/>
        <v>24949.771000000001</v>
      </c>
    </row>
    <row r="8" spans="1:31" ht="20.100000000000001" customHeight="1">
      <c r="A8" s="33">
        <v>5</v>
      </c>
      <c r="B8" s="81" t="s">
        <v>216</v>
      </c>
      <c r="C8" s="103"/>
      <c r="D8" s="1" t="s">
        <v>214</v>
      </c>
      <c r="E8" s="66" t="s">
        <v>98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84">
        <f t="shared" si="1"/>
        <v>24566.195445000001</v>
      </c>
    </row>
    <row r="9" spans="1:31" ht="20.100000000000001" customHeight="1">
      <c r="A9" s="33">
        <v>6</v>
      </c>
      <c r="B9" s="81" t="s">
        <v>217</v>
      </c>
      <c r="C9" s="103"/>
      <c r="D9" s="1" t="s">
        <v>214</v>
      </c>
      <c r="E9" s="66" t="s">
        <v>98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84">
        <f t="shared" si="1"/>
        <v>24566.195445000001</v>
      </c>
    </row>
    <row r="10" spans="1:31" ht="20.100000000000001" customHeight="1">
      <c r="A10" s="33"/>
      <c r="B10" s="250" t="s">
        <v>34</v>
      </c>
      <c r="C10" s="250"/>
      <c r="D10" s="3">
        <v>6</v>
      </c>
      <c r="E10" s="33"/>
      <c r="F10" s="100">
        <f>SUM(F4:F9)</f>
        <v>101628.6</v>
      </c>
      <c r="G10" s="100"/>
      <c r="H10" s="100">
        <f t="shared" ref="H10:N10" si="11">SUM(H4:H9)</f>
        <v>304885.8</v>
      </c>
      <c r="I10" s="100">
        <f t="shared" si="11"/>
        <v>7622.1449999999986</v>
      </c>
      <c r="J10" s="100">
        <f t="shared" si="11"/>
        <v>0</v>
      </c>
      <c r="K10" s="100">
        <f t="shared" si="11"/>
        <v>50814.3</v>
      </c>
      <c r="L10" s="100">
        <f t="shared" si="11"/>
        <v>355700.1</v>
      </c>
      <c r="M10" s="100">
        <f t="shared" si="11"/>
        <v>101628.6</v>
      </c>
      <c r="N10" s="158">
        <f t="shared" si="11"/>
        <v>640000</v>
      </c>
      <c r="O10" s="158"/>
      <c r="P10" s="100">
        <f>SUM(P4:P9)</f>
        <v>10162.86</v>
      </c>
      <c r="Q10" s="100">
        <f>SUM(Q4:Q9)</f>
        <v>70000</v>
      </c>
      <c r="R10" s="100">
        <f>SUM(R4:R9)</f>
        <v>0</v>
      </c>
      <c r="S10" s="100">
        <f>SUM(S4:S9)</f>
        <v>1642442.4049999998</v>
      </c>
      <c r="T10" s="100"/>
      <c r="U10" s="100">
        <f t="shared" ref="U10:AB10" si="12">SUM(U4:U9)</f>
        <v>125000</v>
      </c>
      <c r="V10" s="100">
        <f t="shared" si="12"/>
        <v>208333.33000000002</v>
      </c>
      <c r="W10" s="100">
        <f t="shared" si="12"/>
        <v>658.48250000000007</v>
      </c>
      <c r="X10" s="100">
        <f t="shared" si="12"/>
        <v>21356.999999999996</v>
      </c>
      <c r="Y10" s="100">
        <f t="shared" si="12"/>
        <v>355348.8125</v>
      </c>
      <c r="Z10" s="100">
        <f t="shared" si="12"/>
        <v>889486.74349999987</v>
      </c>
      <c r="AA10" s="100">
        <f t="shared" si="12"/>
        <v>1287093.5925</v>
      </c>
      <c r="AB10" s="202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9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4"/>
  <sheetViews>
    <sheetView view="pageBreakPreview" zoomScaleNormal="100" zoomScaleSheetLayoutView="100" workbookViewId="0">
      <pane xSplit="4" ySplit="8" topLeftCell="E48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391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422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423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424</v>
      </c>
      <c r="Y6" s="7" t="s">
        <v>425</v>
      </c>
      <c r="Z6" s="183" t="s">
        <v>426</v>
      </c>
      <c r="AA6" s="33"/>
      <c r="AB6" s="33"/>
      <c r="AC6" s="33"/>
      <c r="AD6" s="33"/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400</v>
      </c>
      <c r="AB7" s="33" t="s">
        <v>427</v>
      </c>
      <c r="AC7" s="33" t="s">
        <v>428</v>
      </c>
      <c r="AD7" s="33" t="s">
        <v>400</v>
      </c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116</v>
      </c>
      <c r="C9" s="61"/>
      <c r="D9" s="61" t="s">
        <v>429</v>
      </c>
      <c r="E9" s="66" t="s">
        <v>98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50" t="s">
        <v>34</v>
      </c>
      <c r="C10" s="250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50" t="s">
        <v>118</v>
      </c>
      <c r="C12" s="250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09" t="s">
        <v>119</v>
      </c>
      <c r="C13" s="309"/>
      <c r="D13" s="61" t="s">
        <v>120</v>
      </c>
      <c r="E13" s="66" t="s">
        <v>430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('December, 2021'!W46)*18/30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431</v>
      </c>
      <c r="C14" s="186"/>
      <c r="D14" s="61" t="s">
        <v>432</v>
      </c>
      <c r="E14" s="66" t="s">
        <v>433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274"/>
      <c r="C16" s="274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273" t="s">
        <v>122</v>
      </c>
      <c r="C17" s="273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75" t="s">
        <v>34</v>
      </c>
      <c r="C18" s="275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75" t="s">
        <v>143</v>
      </c>
      <c r="C20" s="275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49" t="s">
        <v>434</v>
      </c>
      <c r="C21" s="249"/>
      <c r="D21" s="61" t="s">
        <v>214</v>
      </c>
      <c r="E21" s="66" t="s">
        <v>435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49" t="s">
        <v>217</v>
      </c>
      <c r="C22" s="249"/>
      <c r="D22" s="61" t="s">
        <v>214</v>
      </c>
      <c r="E22" s="66" t="s">
        <v>435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75" t="s">
        <v>34</v>
      </c>
      <c r="C23" s="275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75"/>
      <c r="C24" s="275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75" t="s">
        <v>436</v>
      </c>
      <c r="C25" s="275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75" t="s">
        <v>34</v>
      </c>
      <c r="C26" s="275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75" t="s">
        <v>168</v>
      </c>
      <c r="C28" s="275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75" t="s">
        <v>34</v>
      </c>
      <c r="C29" s="275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276"/>
      <c r="C30" s="276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50" t="s">
        <v>437</v>
      </c>
      <c r="C31" s="250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50" t="s">
        <v>34</v>
      </c>
      <c r="C32" s="250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50" t="s">
        <v>196</v>
      </c>
      <c r="C34" s="250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71" t="s">
        <v>197</v>
      </c>
      <c r="C35" s="271"/>
      <c r="D35" s="20" t="s">
        <v>198</v>
      </c>
      <c r="E35" s="29" t="s">
        <v>54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49" t="s">
        <v>201</v>
      </c>
      <c r="C36" s="249"/>
      <c r="D36" s="33" t="s">
        <v>202</v>
      </c>
      <c r="E36" s="66" t="s">
        <v>80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>
        <f>'December, 2021'!W92</f>
        <v>7709.76</v>
      </c>
      <c r="AD36" s="184">
        <f>AC36-AB36</f>
        <v>7709.76</v>
      </c>
    </row>
    <row r="37" spans="1:30" ht="20.100000000000001" customHeight="1">
      <c r="A37" s="33"/>
      <c r="B37" s="250" t="s">
        <v>34</v>
      </c>
      <c r="C37" s="250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>
        <f>SUM(AC35:AC36)</f>
        <v>29327.85</v>
      </c>
      <c r="AD37" s="202">
        <f>SUM(AD35:AD36)</f>
        <v>29327.85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50" t="s">
        <v>205</v>
      </c>
      <c r="C39" s="250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50" t="s">
        <v>34</v>
      </c>
      <c r="C40" s="250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50" t="s">
        <v>218</v>
      </c>
      <c r="C42" s="250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49" t="s">
        <v>226</v>
      </c>
      <c r="C43" s="249"/>
      <c r="D43" s="61" t="s">
        <v>438</v>
      </c>
      <c r="E43" s="66" t="s">
        <v>67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('December, 2021'!W90)*18/30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233</v>
      </c>
      <c r="C44" s="186"/>
      <c r="D44" s="61" t="s">
        <v>439</v>
      </c>
      <c r="E44" s="66" t="s">
        <v>80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>
        <f>AC36</f>
        <v>7709.76</v>
      </c>
      <c r="AD44" s="184">
        <f>AC44-AB44</f>
        <v>7709.76</v>
      </c>
    </row>
    <row r="45" spans="1:30" ht="20.100000000000001" customHeight="1">
      <c r="A45" s="33"/>
      <c r="B45" s="250" t="s">
        <v>34</v>
      </c>
      <c r="C45" s="250"/>
      <c r="D45" s="98" t="s">
        <v>440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>
        <f>SUM(AC43:AC44)</f>
        <v>17038.758000000002</v>
      </c>
      <c r="AD45" s="202">
        <f>SUM(AD43:AD44)</f>
        <v>17038.758000000002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50" t="s">
        <v>235</v>
      </c>
      <c r="C47" s="250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441</v>
      </c>
      <c r="C48" s="61"/>
      <c r="D48" s="61" t="s">
        <v>442</v>
      </c>
      <c r="E48" s="66" t="s">
        <v>443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'December, 2021'!W135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274</v>
      </c>
      <c r="C49" s="61"/>
      <c r="D49" s="61" t="s">
        <v>262</v>
      </c>
      <c r="E49" s="66" t="s">
        <v>98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440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47" t="s">
        <v>319</v>
      </c>
      <c r="C51" s="247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>
        <f>AC50+AC45+AC37+AC23+AC15+AC10</f>
        <v>121136.48599999999</v>
      </c>
      <c r="AD51" s="203">
        <f>AD50+AD45+AD37+AD23+AD15+AD10</f>
        <v>68359.856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96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99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71" t="s">
        <v>113</v>
      </c>
      <c r="D55" s="271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215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177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179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71" t="s">
        <v>165</v>
      </c>
      <c r="D59" s="271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51" t="s">
        <v>167</v>
      </c>
      <c r="D60" s="251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49" t="s">
        <v>309</v>
      </c>
      <c r="D61" s="249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272" t="s">
        <v>319</v>
      </c>
      <c r="E63" s="272"/>
      <c r="AD63" s="110">
        <f>AD51+AD62</f>
        <v>70589.335999999996</v>
      </c>
      <c r="AE63" s="109"/>
    </row>
    <row r="64" spans="1:31" ht="20.100000000000001" customHeight="1">
      <c r="C64" s="1" t="s">
        <v>444</v>
      </c>
      <c r="AD64" s="193">
        <f>-AA51+AD63</f>
        <v>-2918747.9639999997</v>
      </c>
    </row>
  </sheetData>
  <mergeCells count="40"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  <mergeCell ref="B25:C25"/>
    <mergeCell ref="B22:C22"/>
    <mergeCell ref="B29:C29"/>
    <mergeCell ref="B30:C30"/>
    <mergeCell ref="B31:C31"/>
    <mergeCell ref="B26:C26"/>
    <mergeCell ref="B28:C28"/>
    <mergeCell ref="B18:C18"/>
    <mergeCell ref="B20:C20"/>
    <mergeCell ref="B21:C21"/>
    <mergeCell ref="B23:C23"/>
    <mergeCell ref="B24:C24"/>
    <mergeCell ref="B17:C17"/>
    <mergeCell ref="B10:C10"/>
    <mergeCell ref="B12:C12"/>
    <mergeCell ref="B13:C13"/>
    <mergeCell ref="B16:C16"/>
    <mergeCell ref="B8:C8"/>
    <mergeCell ref="B3:E3"/>
    <mergeCell ref="B5:C5"/>
    <mergeCell ref="S5:W5"/>
    <mergeCell ref="B6:C6"/>
    <mergeCell ref="B7:C7"/>
    <mergeCell ref="C55:D55"/>
    <mergeCell ref="C59:D59"/>
    <mergeCell ref="C60:D60"/>
    <mergeCell ref="C61:D61"/>
    <mergeCell ref="D63:E63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9"/>
  <sheetViews>
    <sheetView view="pageBreakPreview" zoomScaleNormal="100" zoomScaleSheetLayoutView="100" workbookViewId="0">
      <pane xSplit="4" ySplit="7" topLeftCell="E8" activePane="bottomRight" state="frozen"/>
      <selection pane="bottomRight" activeCell="AD20" sqref="AD2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8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391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422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423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424</v>
      </c>
      <c r="Y6" s="7" t="s">
        <v>425</v>
      </c>
      <c r="Z6" s="183" t="s">
        <v>426</v>
      </c>
      <c r="AA6" s="33"/>
      <c r="AB6" s="33"/>
      <c r="AC6" s="33"/>
      <c r="AD6" s="33"/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400</v>
      </c>
      <c r="AB7" s="33" t="s">
        <v>427</v>
      </c>
      <c r="AC7" s="33" t="s">
        <v>428</v>
      </c>
      <c r="AD7" s="33" t="s">
        <v>400</v>
      </c>
    </row>
    <row r="8" spans="1:30" ht="18.75" customHeight="1">
      <c r="A8" s="3"/>
      <c r="B8" s="250" t="s">
        <v>118</v>
      </c>
      <c r="C8" s="250"/>
      <c r="D8" s="33"/>
      <c r="E8" s="66"/>
      <c r="F8" s="62"/>
      <c r="G8" s="62"/>
      <c r="H8" s="62"/>
      <c r="I8" s="62"/>
      <c r="J8" s="62"/>
      <c r="K8" s="62"/>
      <c r="L8" s="36"/>
      <c r="M8" s="62"/>
      <c r="N8" s="62"/>
      <c r="O8" s="62"/>
      <c r="P8" s="62"/>
      <c r="Q8" s="62"/>
      <c r="R8" s="36"/>
      <c r="S8" s="36"/>
      <c r="T8" s="36"/>
      <c r="U8" s="36"/>
      <c r="V8" s="62"/>
      <c r="W8" s="36"/>
      <c r="X8" s="36"/>
      <c r="Y8" s="36"/>
      <c r="Z8" s="27"/>
      <c r="AA8" s="27"/>
      <c r="AB8" s="33"/>
      <c r="AC8" s="33"/>
      <c r="AD8" s="33"/>
    </row>
    <row r="9" spans="1:30" ht="18.75" customHeight="1">
      <c r="A9" s="3">
        <v>1</v>
      </c>
      <c r="B9" s="309" t="s">
        <v>119</v>
      </c>
      <c r="C9" s="309"/>
      <c r="D9" s="61" t="s">
        <v>120</v>
      </c>
      <c r="E9" s="66" t="s">
        <v>430</v>
      </c>
      <c r="F9" s="62"/>
      <c r="G9" s="62"/>
      <c r="H9" s="62"/>
      <c r="I9" s="62"/>
      <c r="J9" s="62"/>
      <c r="K9" s="62"/>
      <c r="L9" s="62"/>
      <c r="M9" s="62"/>
      <c r="N9" s="62">
        <v>540394.19999999995</v>
      </c>
      <c r="O9" s="62"/>
      <c r="P9" s="62"/>
      <c r="Q9" s="62"/>
      <c r="R9" s="36"/>
      <c r="S9" s="62"/>
      <c r="T9" s="62"/>
      <c r="U9" s="62"/>
      <c r="V9" s="62"/>
      <c r="W9" s="36"/>
      <c r="X9" s="36"/>
      <c r="Y9" s="36"/>
      <c r="Z9" s="27">
        <f>(800657+100000)</f>
        <v>900657</v>
      </c>
      <c r="AA9" s="27">
        <f>Z9-N9</f>
        <v>360262.80000000005</v>
      </c>
      <c r="AB9" s="33">
        <v>31665.977999999999</v>
      </c>
      <c r="AC9" s="27">
        <f>('December, 2021'!W46)</f>
        <v>52776.63</v>
      </c>
      <c r="AD9" s="184">
        <f>AC9-AB9</f>
        <v>21110.651999999998</v>
      </c>
    </row>
    <row r="10" spans="1:30" ht="19.5" customHeight="1">
      <c r="A10" s="3"/>
      <c r="B10" s="33"/>
      <c r="C10" s="21" t="s">
        <v>34</v>
      </c>
      <c r="D10" s="7">
        <v>1</v>
      </c>
      <c r="E10" s="3"/>
      <c r="F10" s="68">
        <f>SUM(F9:F9)</f>
        <v>0</v>
      </c>
      <c r="G10" s="68"/>
      <c r="H10" s="68">
        <f t="shared" ref="H10:M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540394.19999999995</v>
      </c>
      <c r="O10" s="68">
        <f t="shared" ref="O10:W10" si="1">SUM(O9:O9)</f>
        <v>0</v>
      </c>
      <c r="P10" s="68">
        <f t="shared" si="1"/>
        <v>0</v>
      </c>
      <c r="Q10" s="68">
        <f t="shared" si="1"/>
        <v>0</v>
      </c>
      <c r="R10" s="68">
        <f t="shared" si="1"/>
        <v>0</v>
      </c>
      <c r="S10" s="68">
        <f t="shared" si="1"/>
        <v>0</v>
      </c>
      <c r="T10" s="68">
        <f t="shared" si="1"/>
        <v>0</v>
      </c>
      <c r="U10" s="68">
        <f t="shared" si="1"/>
        <v>0</v>
      </c>
      <c r="V10" s="68">
        <f t="shared" si="1"/>
        <v>0</v>
      </c>
      <c r="W10" s="68">
        <f t="shared" si="1"/>
        <v>0</v>
      </c>
      <c r="X10" s="68">
        <v>383180.45600000006</v>
      </c>
      <c r="Y10" s="68">
        <f>SUM(Y9:Y9)</f>
        <v>0</v>
      </c>
      <c r="Z10" s="158">
        <f>SUM(Z9:Z9)</f>
        <v>900657</v>
      </c>
      <c r="AA10" s="158">
        <f>SUM(AA9:AA9)</f>
        <v>360262.80000000005</v>
      </c>
      <c r="AB10" s="33">
        <v>53284.067999999999</v>
      </c>
      <c r="AC10" s="158">
        <f>SUM(AC9:AC9)</f>
        <v>52776.63</v>
      </c>
      <c r="AD10" s="158">
        <f>SUM(AD9:AD9)</f>
        <v>21110.651999999998</v>
      </c>
    </row>
    <row r="11" spans="1:30" ht="20.100000000000001" customHeight="1">
      <c r="A11" s="3"/>
      <c r="B11" s="274"/>
      <c r="C11" s="274"/>
      <c r="D11" s="33"/>
      <c r="E11" s="3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36"/>
      <c r="X11" s="36"/>
      <c r="Y11" s="36"/>
      <c r="Z11" s="27"/>
      <c r="AA11" s="27"/>
      <c r="AB11" s="33"/>
      <c r="AC11" s="33"/>
      <c r="AD11" s="33"/>
    </row>
    <row r="12" spans="1:30" ht="20.100000000000001" customHeight="1">
      <c r="A12" s="3"/>
      <c r="B12" s="250" t="s">
        <v>196</v>
      </c>
      <c r="C12" s="250"/>
      <c r="D12" s="7"/>
      <c r="E12" s="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27"/>
      <c r="AA12" s="27"/>
      <c r="AB12" s="33"/>
      <c r="AC12" s="33"/>
      <c r="AD12" s="33"/>
    </row>
    <row r="13" spans="1:30" ht="20.100000000000001" customHeight="1">
      <c r="A13" s="3">
        <v>1</v>
      </c>
      <c r="B13" s="271" t="s">
        <v>197</v>
      </c>
      <c r="C13" s="271"/>
      <c r="D13" s="20" t="s">
        <v>198</v>
      </c>
      <c r="E13" s="29" t="s">
        <v>54</v>
      </c>
      <c r="F13" s="26"/>
      <c r="G13" s="62"/>
      <c r="H13" s="26"/>
      <c r="I13" s="26"/>
      <c r="J13" s="26"/>
      <c r="K13" s="26"/>
      <c r="L13" s="26"/>
      <c r="M13" s="26"/>
      <c r="N13" s="26">
        <v>359816.1</v>
      </c>
      <c r="O13" s="26"/>
      <c r="P13" s="26"/>
      <c r="Q13" s="26"/>
      <c r="R13" s="36"/>
      <c r="S13" s="24"/>
      <c r="T13" s="24"/>
      <c r="U13" s="24"/>
      <c r="V13" s="36"/>
      <c r="W13" s="36"/>
      <c r="X13" s="36"/>
      <c r="Y13" s="36"/>
      <c r="Z13" s="27">
        <f>(424023+90000)</f>
        <v>514023</v>
      </c>
      <c r="AA13" s="27">
        <f>Z13-N13</f>
        <v>154206.90000000002</v>
      </c>
      <c r="AB13" s="27">
        <v>21618.09</v>
      </c>
      <c r="AC13" s="27">
        <f>21618.09</f>
        <v>21618.09</v>
      </c>
      <c r="AD13" s="184">
        <f>AC13-AB13</f>
        <v>0</v>
      </c>
    </row>
    <row r="14" spans="1:30" ht="20.100000000000001" customHeight="1">
      <c r="A14" s="33"/>
      <c r="B14" s="250" t="s">
        <v>34</v>
      </c>
      <c r="C14" s="250"/>
      <c r="D14" s="7">
        <v>2</v>
      </c>
      <c r="E14" s="98"/>
      <c r="F14" s="99">
        <f>SUM(F13:F13)</f>
        <v>0</v>
      </c>
      <c r="G14" s="99"/>
      <c r="H14" s="99">
        <f t="shared" ref="H14:M14" si="2">SUM(H13:H13)</f>
        <v>0</v>
      </c>
      <c r="I14" s="99">
        <f t="shared" si="2"/>
        <v>0</v>
      </c>
      <c r="J14" s="99">
        <f t="shared" si="2"/>
        <v>0</v>
      </c>
      <c r="K14" s="99">
        <f t="shared" si="2"/>
        <v>0</v>
      </c>
      <c r="L14" s="99">
        <f t="shared" si="2"/>
        <v>0</v>
      </c>
      <c r="M14" s="99">
        <f t="shared" si="2"/>
        <v>0</v>
      </c>
      <c r="N14" s="99">
        <v>359816.1</v>
      </c>
      <c r="O14" s="99">
        <f t="shared" ref="O14:W14" si="3">SUM(O13:O13)</f>
        <v>0</v>
      </c>
      <c r="P14" s="99">
        <f t="shared" si="3"/>
        <v>0</v>
      </c>
      <c r="Q14" s="99">
        <f t="shared" si="3"/>
        <v>0</v>
      </c>
      <c r="R14" s="99">
        <f t="shared" si="3"/>
        <v>0</v>
      </c>
      <c r="S14" s="99">
        <f t="shared" si="3"/>
        <v>0</v>
      </c>
      <c r="T14" s="99">
        <f t="shared" si="3"/>
        <v>0</v>
      </c>
      <c r="U14" s="99">
        <f t="shared" si="3"/>
        <v>0</v>
      </c>
      <c r="V14" s="99">
        <f t="shared" si="3"/>
        <v>0</v>
      </c>
      <c r="W14" s="99">
        <f t="shared" si="3"/>
        <v>0</v>
      </c>
      <c r="X14" s="99">
        <v>1259979.1282500001</v>
      </c>
      <c r="Y14" s="99">
        <f>SUM(Y13:Y13)</f>
        <v>0</v>
      </c>
      <c r="Z14" s="158">
        <f>SUM(Z13:Z13)</f>
        <v>514023</v>
      </c>
      <c r="AA14" s="158">
        <f>SUM(AA13:AA13)</f>
        <v>154206.90000000002</v>
      </c>
      <c r="AB14" s="28">
        <v>21618.09</v>
      </c>
      <c r="AC14" s="158">
        <f>SUM(AC13:AC13)</f>
        <v>21618.09</v>
      </c>
      <c r="AD14" s="202">
        <f>SUM(AD13:AD13)</f>
        <v>0</v>
      </c>
    </row>
    <row r="15" spans="1:30" ht="20.100000000000001" customHeight="1">
      <c r="A15" s="33"/>
      <c r="B15" s="250" t="s">
        <v>218</v>
      </c>
      <c r="C15" s="250"/>
      <c r="D15" s="7"/>
      <c r="E15" s="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3"/>
      <c r="S15" s="63"/>
      <c r="T15" s="63"/>
      <c r="U15" s="63"/>
      <c r="V15" s="3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3">
        <v>1</v>
      </c>
      <c r="B16" s="249" t="s">
        <v>226</v>
      </c>
      <c r="C16" s="249"/>
      <c r="D16" s="61" t="s">
        <v>438</v>
      </c>
      <c r="E16" s="66" t="s">
        <v>67</v>
      </c>
      <c r="F16" s="62"/>
      <c r="G16" s="62"/>
      <c r="H16" s="62"/>
      <c r="I16" s="62"/>
      <c r="J16" s="62"/>
      <c r="K16" s="62"/>
      <c r="L16" s="62"/>
      <c r="M16" s="62"/>
      <c r="N16" s="62">
        <v>254832</v>
      </c>
      <c r="O16" s="62"/>
      <c r="P16" s="62"/>
      <c r="Q16" s="62"/>
      <c r="R16" s="36"/>
      <c r="S16" s="36"/>
      <c r="T16" s="36"/>
      <c r="U16" s="36"/>
      <c r="V16" s="62"/>
      <c r="W16" s="36"/>
      <c r="X16" s="36"/>
      <c r="Y16" s="36"/>
      <c r="Z16" s="27">
        <f>(344720+80000)</f>
        <v>424720</v>
      </c>
      <c r="AA16" s="27">
        <f>Z16-N16</f>
        <v>169888</v>
      </c>
      <c r="AB16" s="33">
        <v>9328.9979999999996</v>
      </c>
      <c r="AC16" s="27">
        <f>('December, 2021'!W90)</f>
        <v>15548.33</v>
      </c>
      <c r="AD16" s="184">
        <f>AC16-AB16</f>
        <v>6219.3320000000003</v>
      </c>
    </row>
    <row r="17" spans="1:30" ht="20.100000000000001" customHeight="1">
      <c r="A17" s="33"/>
      <c r="B17" s="250" t="s">
        <v>34</v>
      </c>
      <c r="C17" s="250"/>
      <c r="D17" s="98" t="s">
        <v>440</v>
      </c>
      <c r="E17" s="66"/>
      <c r="F17" s="39">
        <f>SUM(F16:F16)</f>
        <v>0</v>
      </c>
      <c r="G17" s="39"/>
      <c r="H17" s="39">
        <f t="shared" ref="H17:M17" si="4">SUM(H16:H16)</f>
        <v>0</v>
      </c>
      <c r="I17" s="39">
        <f t="shared" si="4"/>
        <v>0</v>
      </c>
      <c r="J17" s="39">
        <f t="shared" si="4"/>
        <v>0</v>
      </c>
      <c r="K17" s="39">
        <f t="shared" si="4"/>
        <v>0</v>
      </c>
      <c r="L17" s="63">
        <f t="shared" si="4"/>
        <v>0</v>
      </c>
      <c r="M17" s="39">
        <f t="shared" si="4"/>
        <v>0</v>
      </c>
      <c r="N17" s="102">
        <v>254832</v>
      </c>
      <c r="O17" s="39">
        <f t="shared" ref="O17:W17" si="5">SUM(O16:O16)</f>
        <v>0</v>
      </c>
      <c r="P17" s="39">
        <f t="shared" si="5"/>
        <v>0</v>
      </c>
      <c r="Q17" s="39">
        <f t="shared" si="5"/>
        <v>0</v>
      </c>
      <c r="R17" s="63">
        <f t="shared" si="5"/>
        <v>0</v>
      </c>
      <c r="S17" s="63">
        <f t="shared" si="5"/>
        <v>0</v>
      </c>
      <c r="T17" s="63">
        <f t="shared" si="5"/>
        <v>0</v>
      </c>
      <c r="U17" s="63">
        <f t="shared" si="5"/>
        <v>0</v>
      </c>
      <c r="V17" s="39">
        <f t="shared" si="5"/>
        <v>0</v>
      </c>
      <c r="W17" s="63">
        <f t="shared" si="5"/>
        <v>0</v>
      </c>
      <c r="X17" s="63">
        <v>2217864.99725</v>
      </c>
      <c r="Y17" s="63">
        <f>SUM(Y16:Y16)</f>
        <v>0</v>
      </c>
      <c r="Z17" s="158">
        <f>SUM(Z16:Z16)</f>
        <v>424720</v>
      </c>
      <c r="AA17" s="158">
        <f>SUM(AA16:AA16)</f>
        <v>169888</v>
      </c>
      <c r="AB17" s="33">
        <v>9328.9979999999996</v>
      </c>
      <c r="AC17" s="158">
        <f>SUM(AC16:AC16)</f>
        <v>15548.33</v>
      </c>
      <c r="AD17" s="202">
        <f>SUM(AD16:AD16)</f>
        <v>6219.3320000000003</v>
      </c>
    </row>
    <row r="18" spans="1:30" ht="20.100000000000001" customHeight="1">
      <c r="B18" s="247" t="s">
        <v>319</v>
      </c>
      <c r="C18" s="247"/>
      <c r="N18" s="110">
        <f>N10+N14+N17</f>
        <v>1155042.2999999998</v>
      </c>
      <c r="O18" s="110">
        <f t="shared" ref="O18:AD18" si="6">O10+O14+O17</f>
        <v>0</v>
      </c>
      <c r="P18" s="110">
        <f t="shared" si="6"/>
        <v>0</v>
      </c>
      <c r="Q18" s="110">
        <f t="shared" si="6"/>
        <v>0</v>
      </c>
      <c r="R18" s="110">
        <f t="shared" si="6"/>
        <v>0</v>
      </c>
      <c r="S18" s="110">
        <f t="shared" si="6"/>
        <v>0</v>
      </c>
      <c r="T18" s="110">
        <f t="shared" si="6"/>
        <v>0</v>
      </c>
      <c r="U18" s="110">
        <f t="shared" si="6"/>
        <v>0</v>
      </c>
      <c r="V18" s="110">
        <f t="shared" si="6"/>
        <v>0</v>
      </c>
      <c r="W18" s="110">
        <f t="shared" si="6"/>
        <v>0</v>
      </c>
      <c r="X18" s="110">
        <f t="shared" si="6"/>
        <v>3861024.5815000003</v>
      </c>
      <c r="Y18" s="110">
        <f t="shared" si="6"/>
        <v>0</v>
      </c>
      <c r="Z18" s="110">
        <f t="shared" si="6"/>
        <v>1839400</v>
      </c>
      <c r="AA18" s="110">
        <f t="shared" si="6"/>
        <v>684357.70000000007</v>
      </c>
      <c r="AB18" s="110">
        <f t="shared" si="6"/>
        <v>84231.155999999988</v>
      </c>
      <c r="AC18" s="110">
        <f t="shared" si="6"/>
        <v>89943.05</v>
      </c>
      <c r="AD18" s="110">
        <f t="shared" si="6"/>
        <v>27329.983999999997</v>
      </c>
    </row>
    <row r="19" spans="1:30" ht="20.100000000000001" customHeight="1">
      <c r="B19" s="1" t="s">
        <v>445</v>
      </c>
      <c r="AD19" s="109">
        <f>-AA18+AD18</f>
        <v>-657027.71600000001</v>
      </c>
    </row>
  </sheetData>
  <mergeCells count="15">
    <mergeCell ref="S5:W5"/>
    <mergeCell ref="B6:C6"/>
    <mergeCell ref="B7:C7"/>
    <mergeCell ref="B8:C8"/>
    <mergeCell ref="B9:C9"/>
    <mergeCell ref="B11:C11"/>
    <mergeCell ref="B3:E3"/>
    <mergeCell ref="B5:C5"/>
    <mergeCell ref="B15:C15"/>
    <mergeCell ref="B16:C16"/>
    <mergeCell ref="B17:C17"/>
    <mergeCell ref="B18:C18"/>
    <mergeCell ref="B12:C12"/>
    <mergeCell ref="B13:C13"/>
    <mergeCell ref="B14:C14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446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424</v>
      </c>
      <c r="Y6" s="7" t="s">
        <v>425</v>
      </c>
      <c r="Z6" s="183" t="s">
        <v>447</v>
      </c>
      <c r="AA6" s="33"/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448</v>
      </c>
      <c r="AA7" s="21" t="s">
        <v>400</v>
      </c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49" t="s">
        <v>38</v>
      </c>
      <c r="C9" s="249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49" t="s">
        <v>41</v>
      </c>
      <c r="C10" s="249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51" t="s">
        <v>44</v>
      </c>
      <c r="C11" s="251"/>
      <c r="D11" s="33" t="s">
        <v>449</v>
      </c>
      <c r="E11" s="3" t="s">
        <v>46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49" t="s">
        <v>47</v>
      </c>
      <c r="C12" s="249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51" t="s">
        <v>50</v>
      </c>
      <c r="C13" s="251"/>
      <c r="D13" s="33" t="s">
        <v>51</v>
      </c>
      <c r="E13" s="3" t="s">
        <v>49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49" t="s">
        <v>52</v>
      </c>
      <c r="C14" s="249"/>
      <c r="D14" s="61" t="s">
        <v>53</v>
      </c>
      <c r="E14" s="3" t="s">
        <v>54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51" t="s">
        <v>55</v>
      </c>
      <c r="C15" s="251"/>
      <c r="D15" s="33" t="s">
        <v>56</v>
      </c>
      <c r="E15" s="38" t="s">
        <v>57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71" t="s">
        <v>58</v>
      </c>
      <c r="C16" s="271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51" t="s">
        <v>60</v>
      </c>
      <c r="C17" s="251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65</v>
      </c>
      <c r="C18" s="61"/>
      <c r="D18" s="61" t="s">
        <v>450</v>
      </c>
      <c r="E18" s="3" t="s">
        <v>67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51" t="s">
        <v>68</v>
      </c>
      <c r="C19" s="251"/>
      <c r="D19" s="33" t="s">
        <v>406</v>
      </c>
      <c r="E19" s="38" t="s">
        <v>154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51" t="s">
        <v>71</v>
      </c>
      <c r="C20" s="251"/>
      <c r="D20" s="33" t="s">
        <v>408</v>
      </c>
      <c r="E20" s="3" t="s">
        <v>77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51" t="s">
        <v>73</v>
      </c>
      <c r="C21" s="251"/>
      <c r="D21" s="33" t="s">
        <v>409</v>
      </c>
      <c r="E21" s="3" t="s">
        <v>154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49" t="s">
        <v>75</v>
      </c>
      <c r="C22" s="249"/>
      <c r="D22" s="61" t="s">
        <v>408</v>
      </c>
      <c r="E22" s="66" t="s">
        <v>77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51" t="s">
        <v>78</v>
      </c>
      <c r="C23" s="251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49" t="s">
        <v>81</v>
      </c>
      <c r="C24" s="249"/>
      <c r="D24" s="61" t="s">
        <v>138</v>
      </c>
      <c r="E24" s="66" t="s">
        <v>83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49" t="s">
        <v>84</v>
      </c>
      <c r="C25" s="249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49" t="s">
        <v>87</v>
      </c>
      <c r="C26" s="249"/>
      <c r="D26" s="61" t="s">
        <v>94</v>
      </c>
      <c r="E26" s="66" t="s">
        <v>410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90</v>
      </c>
      <c r="C27" s="61"/>
      <c r="D27" s="33" t="s">
        <v>204</v>
      </c>
      <c r="E27" s="66" t="s">
        <v>92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93</v>
      </c>
      <c r="C28" s="61"/>
      <c r="D28" s="61" t="s">
        <v>94</v>
      </c>
      <c r="E28" s="66" t="s">
        <v>95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96</v>
      </c>
      <c r="C29" s="61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99</v>
      </c>
      <c r="C30" s="61"/>
      <c r="D30" s="61" t="s">
        <v>97</v>
      </c>
      <c r="E30" s="66" t="s">
        <v>98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49" t="s">
        <v>101</v>
      </c>
      <c r="C31" s="249"/>
      <c r="D31" s="33" t="s">
        <v>102</v>
      </c>
      <c r="E31" s="66" t="s">
        <v>103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49" t="s">
        <v>104</v>
      </c>
      <c r="C32" s="249"/>
      <c r="D32" s="33" t="s">
        <v>105</v>
      </c>
      <c r="E32" s="66" t="s">
        <v>86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106</v>
      </c>
      <c r="C33" s="61"/>
      <c r="D33" s="33" t="s">
        <v>107</v>
      </c>
      <c r="E33" s="66" t="s">
        <v>92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71" t="s">
        <v>113</v>
      </c>
      <c r="C34" s="271"/>
      <c r="D34" s="47" t="s">
        <v>114</v>
      </c>
      <c r="E34" s="66" t="s">
        <v>115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50" t="s">
        <v>34</v>
      </c>
      <c r="C35" s="250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50" t="s">
        <v>118</v>
      </c>
      <c r="C37" s="250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09" t="s">
        <v>451</v>
      </c>
      <c r="C38" s="309"/>
      <c r="D38" s="61" t="s">
        <v>452</v>
      </c>
      <c r="E38" s="66" t="s">
        <v>151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274"/>
      <c r="C40" s="274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273" t="s">
        <v>122</v>
      </c>
      <c r="C41" s="273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49" t="s">
        <v>123</v>
      </c>
      <c r="C42" s="249"/>
      <c r="D42" s="33" t="s">
        <v>124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49" t="s">
        <v>125</v>
      </c>
      <c r="C43" s="249"/>
      <c r="D43" s="33" t="s">
        <v>126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49" t="s">
        <v>127</v>
      </c>
      <c r="C44" s="249"/>
      <c r="D44" s="33" t="s">
        <v>128</v>
      </c>
      <c r="E44" s="3" t="s">
        <v>57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49" t="s">
        <v>129</v>
      </c>
      <c r="C45" s="249"/>
      <c r="D45" s="33" t="s">
        <v>132</v>
      </c>
      <c r="E45" s="3" t="s">
        <v>133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49" t="s">
        <v>131</v>
      </c>
      <c r="C46" s="249"/>
      <c r="D46" s="33" t="s">
        <v>132</v>
      </c>
      <c r="E46" s="3" t="s">
        <v>133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49" t="s">
        <v>134</v>
      </c>
      <c r="C47" s="249"/>
      <c r="D47" s="33" t="s">
        <v>132</v>
      </c>
      <c r="E47" s="3" t="s">
        <v>70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277" t="s">
        <v>135</v>
      </c>
      <c r="C48" s="277"/>
      <c r="D48" s="33" t="s">
        <v>138</v>
      </c>
      <c r="E48" s="25" t="s">
        <v>77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49" t="s">
        <v>137</v>
      </c>
      <c r="C49" s="249"/>
      <c r="D49" s="33" t="s">
        <v>138</v>
      </c>
      <c r="E49" s="3" t="s">
        <v>139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49" t="s">
        <v>140</v>
      </c>
      <c r="C50" s="249"/>
      <c r="D50" s="33" t="s">
        <v>142</v>
      </c>
      <c r="E50" s="3" t="s">
        <v>70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49" t="s">
        <v>453</v>
      </c>
      <c r="C51" s="249"/>
      <c r="D51" s="33" t="s">
        <v>142</v>
      </c>
      <c r="E51" s="3" t="s">
        <v>154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71" t="s">
        <v>141</v>
      </c>
      <c r="C52" s="271"/>
      <c r="D52" s="33" t="s">
        <v>142</v>
      </c>
      <c r="E52" s="29" t="s">
        <v>103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75" t="s">
        <v>34</v>
      </c>
      <c r="C53" s="275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75" t="s">
        <v>143</v>
      </c>
      <c r="C55" s="275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49" t="s">
        <v>144</v>
      </c>
      <c r="C56" s="249"/>
      <c r="D56" s="61" t="s">
        <v>145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146</v>
      </c>
      <c r="C57" s="61"/>
      <c r="D57" s="61" t="s">
        <v>147</v>
      </c>
      <c r="E57" s="66" t="s">
        <v>67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75" t="s">
        <v>34</v>
      </c>
      <c r="C58" s="275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75"/>
      <c r="C59" s="275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75" t="s">
        <v>436</v>
      </c>
      <c r="C60" s="275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71" t="s">
        <v>149</v>
      </c>
      <c r="C61" s="271"/>
      <c r="D61" s="47" t="s">
        <v>150</v>
      </c>
      <c r="E61" s="29" t="s">
        <v>151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152</v>
      </c>
      <c r="C62" s="182"/>
      <c r="D62" s="47" t="s">
        <v>59</v>
      </c>
      <c r="E62" s="66" t="s">
        <v>67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71" t="s">
        <v>153</v>
      </c>
      <c r="C63" s="271"/>
      <c r="D63" s="20" t="s">
        <v>142</v>
      </c>
      <c r="E63" s="29" t="s">
        <v>154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71" t="s">
        <v>155</v>
      </c>
      <c r="C64" s="271"/>
      <c r="D64" s="33" t="s">
        <v>138</v>
      </c>
      <c r="E64" s="29" t="s">
        <v>103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156</v>
      </c>
      <c r="C65" s="182"/>
      <c r="D65" s="47" t="s">
        <v>138</v>
      </c>
      <c r="E65" s="66" t="s">
        <v>83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51" t="s">
        <v>157</v>
      </c>
      <c r="C66" s="251"/>
      <c r="D66" s="47" t="s">
        <v>138</v>
      </c>
      <c r="E66" s="66" t="s">
        <v>154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71" t="s">
        <v>158</v>
      </c>
      <c r="C67" s="271"/>
      <c r="D67" s="20" t="s">
        <v>159</v>
      </c>
      <c r="E67" s="29" t="s">
        <v>160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49" t="s">
        <v>161</v>
      </c>
      <c r="C68" s="249"/>
      <c r="D68" s="61" t="s">
        <v>159</v>
      </c>
      <c r="E68" s="66" t="s">
        <v>410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49" t="s">
        <v>162</v>
      </c>
      <c r="C69" s="249"/>
      <c r="D69" s="33" t="s">
        <v>163</v>
      </c>
      <c r="E69" s="3" t="s">
        <v>86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71" t="s">
        <v>164</v>
      </c>
      <c r="C70" s="271"/>
      <c r="D70" s="47" t="s">
        <v>159</v>
      </c>
      <c r="E70" s="3" t="s">
        <v>100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71" t="s">
        <v>165</v>
      </c>
      <c r="C71" s="271"/>
      <c r="D71" s="47" t="s">
        <v>166</v>
      </c>
      <c r="E71" s="3" t="s">
        <v>98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51" t="s">
        <v>167</v>
      </c>
      <c r="C72" s="251"/>
      <c r="D72" s="47" t="s">
        <v>166</v>
      </c>
      <c r="E72" s="3" t="s">
        <v>98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75" t="s">
        <v>34</v>
      </c>
      <c r="C73" s="275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75" t="s">
        <v>168</v>
      </c>
      <c r="C75" s="275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49" t="s">
        <v>169</v>
      </c>
      <c r="C76" s="249"/>
      <c r="D76" s="33" t="s">
        <v>170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171</v>
      </c>
      <c r="C77" s="33"/>
      <c r="D77" s="33" t="s">
        <v>172</v>
      </c>
      <c r="E77" s="66" t="s">
        <v>67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173</v>
      </c>
      <c r="C78" s="33"/>
      <c r="D78" s="33" t="s">
        <v>174</v>
      </c>
      <c r="E78" s="66" t="s">
        <v>67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454</v>
      </c>
      <c r="C79" s="33"/>
      <c r="D79" s="33" t="s">
        <v>455</v>
      </c>
      <c r="E79" s="66" t="s">
        <v>67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49" t="s">
        <v>175</v>
      </c>
      <c r="C80" s="249"/>
      <c r="D80" s="33" t="s">
        <v>142</v>
      </c>
      <c r="E80" s="66" t="s">
        <v>103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49" t="s">
        <v>176</v>
      </c>
      <c r="C81" s="249"/>
      <c r="D81" s="33" t="s">
        <v>163</v>
      </c>
      <c r="E81" s="3" t="s">
        <v>100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177</v>
      </c>
      <c r="C82" s="61"/>
      <c r="D82" s="33" t="s">
        <v>178</v>
      </c>
      <c r="E82" s="3" t="s">
        <v>115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179</v>
      </c>
      <c r="C83" s="61"/>
      <c r="D83" s="33" t="s">
        <v>180</v>
      </c>
      <c r="E83" s="3" t="s">
        <v>98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75" t="s">
        <v>34</v>
      </c>
      <c r="C84" s="275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276"/>
      <c r="C85" s="276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50" t="s">
        <v>437</v>
      </c>
      <c r="C86" s="250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49" t="s">
        <v>182</v>
      </c>
      <c r="C87" s="249"/>
      <c r="D87" s="33" t="s">
        <v>183</v>
      </c>
      <c r="E87" s="3" t="s">
        <v>49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49" t="s">
        <v>184</v>
      </c>
      <c r="C88" s="249"/>
      <c r="D88" s="33" t="s">
        <v>128</v>
      </c>
      <c r="E88" s="3" t="s">
        <v>64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49" t="s">
        <v>185</v>
      </c>
      <c r="C89" s="249"/>
      <c r="D89" s="33" t="s">
        <v>128</v>
      </c>
      <c r="E89" s="3" t="s">
        <v>64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49" t="s">
        <v>186</v>
      </c>
      <c r="C90" s="249"/>
      <c r="D90" s="33" t="s">
        <v>132</v>
      </c>
      <c r="E90" s="3" t="s">
        <v>70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51" t="s">
        <v>187</v>
      </c>
      <c r="C91" s="251"/>
      <c r="D91" s="33" t="s">
        <v>136</v>
      </c>
      <c r="E91" s="3" t="s">
        <v>188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71" t="s">
        <v>189</v>
      </c>
      <c r="C92" s="271"/>
      <c r="D92" s="33" t="s">
        <v>132</v>
      </c>
      <c r="E92" s="3" t="s">
        <v>70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71" t="s">
        <v>456</v>
      </c>
      <c r="C93" s="271"/>
      <c r="D93" s="33" t="s">
        <v>132</v>
      </c>
      <c r="E93" s="3" t="s">
        <v>70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49" t="s">
        <v>190</v>
      </c>
      <c r="C94" s="249"/>
      <c r="D94" s="61" t="s">
        <v>136</v>
      </c>
      <c r="E94" s="66" t="s">
        <v>191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49" t="s">
        <v>193</v>
      </c>
      <c r="C95" s="249"/>
      <c r="D95" s="33" t="s">
        <v>142</v>
      </c>
      <c r="E95" s="66" t="s">
        <v>103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49" t="s">
        <v>194</v>
      </c>
      <c r="C96" s="249"/>
      <c r="D96" s="61" t="s">
        <v>138</v>
      </c>
      <c r="E96" s="66" t="s">
        <v>83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49" t="s">
        <v>195</v>
      </c>
      <c r="C97" s="249"/>
      <c r="D97" s="61" t="s">
        <v>138</v>
      </c>
      <c r="E97" s="66" t="s">
        <v>83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50" t="s">
        <v>34</v>
      </c>
      <c r="C98" s="250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50" t="s">
        <v>196</v>
      </c>
      <c r="C100" s="250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71" t="s">
        <v>199</v>
      </c>
      <c r="C101" s="271"/>
      <c r="D101" s="20" t="s">
        <v>457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49" t="s">
        <v>203</v>
      </c>
      <c r="C102" s="249"/>
      <c r="D102" s="33" t="s">
        <v>204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50" t="s">
        <v>34</v>
      </c>
      <c r="C103" s="250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0" t="s">
        <v>205</v>
      </c>
      <c r="C105" s="250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49" t="s">
        <v>206</v>
      </c>
      <c r="C106" s="249"/>
      <c r="D106" s="61" t="s">
        <v>207</v>
      </c>
      <c r="E106" s="66" t="s">
        <v>151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09" t="s">
        <v>208</v>
      </c>
      <c r="C107" s="309"/>
      <c r="D107" s="33" t="s">
        <v>209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49" t="s">
        <v>210</v>
      </c>
      <c r="C108" s="249"/>
      <c r="D108" s="33" t="s">
        <v>211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71" t="s">
        <v>212</v>
      </c>
      <c r="C109" s="271"/>
      <c r="D109" s="33" t="s">
        <v>211</v>
      </c>
      <c r="E109" s="29" t="s">
        <v>139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215</v>
      </c>
      <c r="C110" s="182"/>
      <c r="D110" s="33" t="s">
        <v>214</v>
      </c>
      <c r="E110" s="3" t="s">
        <v>115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49" t="s">
        <v>213</v>
      </c>
      <c r="C111" s="249"/>
      <c r="D111" s="33" t="s">
        <v>214</v>
      </c>
      <c r="E111" s="66" t="s">
        <v>110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50" t="s">
        <v>34</v>
      </c>
      <c r="C112" s="250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50" t="s">
        <v>218</v>
      </c>
      <c r="C114" s="250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49" t="s">
        <v>219</v>
      </c>
      <c r="C115" s="249"/>
      <c r="D115" s="61" t="s">
        <v>220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49" t="s">
        <v>221</v>
      </c>
      <c r="C116" s="249"/>
      <c r="D116" s="61" t="s">
        <v>222</v>
      </c>
      <c r="E116" s="66" t="s">
        <v>46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49" t="s">
        <v>223</v>
      </c>
      <c r="C117" s="249"/>
      <c r="D117" s="61" t="s">
        <v>458</v>
      </c>
      <c r="E117" s="66" t="s">
        <v>57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49" t="s">
        <v>62</v>
      </c>
      <c r="C118" s="249"/>
      <c r="D118" s="61" t="s">
        <v>459</v>
      </c>
      <c r="E118" s="66" t="s">
        <v>64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51" t="s">
        <v>225</v>
      </c>
      <c r="C119" s="251"/>
      <c r="D119" s="33" t="s">
        <v>460</v>
      </c>
      <c r="E119" s="66" t="s">
        <v>64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09" t="s">
        <v>227</v>
      </c>
      <c r="C120" s="309"/>
      <c r="D120" s="61" t="s">
        <v>461</v>
      </c>
      <c r="E120" s="66" t="s">
        <v>139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49" t="s">
        <v>229</v>
      </c>
      <c r="C121" s="249"/>
      <c r="D121" s="61" t="s">
        <v>462</v>
      </c>
      <c r="E121" s="66" t="s">
        <v>103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49" t="s">
        <v>231</v>
      </c>
      <c r="C122" s="249"/>
      <c r="D122" s="61" t="s">
        <v>462</v>
      </c>
      <c r="E122" s="66" t="s">
        <v>103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49" t="s">
        <v>108</v>
      </c>
      <c r="C123" s="249"/>
      <c r="D123" s="61" t="s">
        <v>109</v>
      </c>
      <c r="E123" s="66" t="s">
        <v>110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111</v>
      </c>
      <c r="C124" s="61"/>
      <c r="D124" s="61" t="s">
        <v>109</v>
      </c>
      <c r="E124" s="66" t="s">
        <v>112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50" t="s">
        <v>34</v>
      </c>
      <c r="C125" s="250"/>
      <c r="D125" s="98" t="s">
        <v>463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50" t="s">
        <v>235</v>
      </c>
      <c r="C127" s="250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49" t="s">
        <v>236</v>
      </c>
      <c r="C128" s="249"/>
      <c r="D128" s="61" t="s">
        <v>464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49" t="s">
        <v>238</v>
      </c>
      <c r="C129" s="249"/>
      <c r="D129" s="61" t="s">
        <v>465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09" t="s">
        <v>240</v>
      </c>
      <c r="C130" s="309"/>
      <c r="D130" s="61" t="s">
        <v>466</v>
      </c>
      <c r="E130" s="66" t="s">
        <v>46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277" t="s">
        <v>242</v>
      </c>
      <c r="C131" s="277"/>
      <c r="D131" s="20" t="s">
        <v>467</v>
      </c>
      <c r="E131" s="25" t="s">
        <v>57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49" t="s">
        <v>246</v>
      </c>
      <c r="C132" s="249"/>
      <c r="D132" s="61" t="s">
        <v>411</v>
      </c>
      <c r="E132" s="66" t="s">
        <v>154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49" t="s">
        <v>248</v>
      </c>
      <c r="C133" s="249"/>
      <c r="D133" s="33" t="s">
        <v>252</v>
      </c>
      <c r="E133" s="66" t="s">
        <v>154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49" t="s">
        <v>250</v>
      </c>
      <c r="C134" s="249"/>
      <c r="D134" s="33" t="s">
        <v>252</v>
      </c>
      <c r="E134" s="66" t="s">
        <v>154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49" t="s">
        <v>251</v>
      </c>
      <c r="C135" s="249"/>
      <c r="D135" s="33" t="s">
        <v>252</v>
      </c>
      <c r="E135" s="66" t="s">
        <v>103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49" t="s">
        <v>253</v>
      </c>
      <c r="C136" s="249"/>
      <c r="D136" s="61" t="s">
        <v>412</v>
      </c>
      <c r="E136" s="66" t="s">
        <v>410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49" t="s">
        <v>255</v>
      </c>
      <c r="C137" s="249"/>
      <c r="D137" s="33" t="s">
        <v>412</v>
      </c>
      <c r="E137" s="66" t="s">
        <v>413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49" t="s">
        <v>257</v>
      </c>
      <c r="C138" s="249"/>
      <c r="D138" s="33" t="s">
        <v>258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49" t="s">
        <v>259</v>
      </c>
      <c r="C139" s="249"/>
      <c r="D139" s="61" t="s">
        <v>260</v>
      </c>
      <c r="E139" s="66" t="s">
        <v>92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49" t="s">
        <v>256</v>
      </c>
      <c r="C140" s="249"/>
      <c r="D140" s="61" t="s">
        <v>414</v>
      </c>
      <c r="E140" s="66" t="s">
        <v>410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49" t="s">
        <v>261</v>
      </c>
      <c r="C141" s="249"/>
      <c r="D141" s="61" t="s">
        <v>262</v>
      </c>
      <c r="E141" s="66" t="s">
        <v>86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49" t="s">
        <v>263</v>
      </c>
      <c r="C142" s="249"/>
      <c r="D142" s="61" t="s">
        <v>262</v>
      </c>
      <c r="E142" s="66" t="s">
        <v>415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49" t="s">
        <v>264</v>
      </c>
      <c r="C143" s="249"/>
      <c r="D143" s="61" t="s">
        <v>262</v>
      </c>
      <c r="E143" s="66" t="s">
        <v>415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49" t="s">
        <v>265</v>
      </c>
      <c r="C144" s="249"/>
      <c r="D144" s="61" t="s">
        <v>262</v>
      </c>
      <c r="E144" s="66" t="s">
        <v>415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49" t="s">
        <v>266</v>
      </c>
      <c r="C145" s="249"/>
      <c r="D145" s="61" t="s">
        <v>262</v>
      </c>
      <c r="E145" s="66" t="s">
        <v>110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49" t="s">
        <v>267</v>
      </c>
      <c r="C146" s="249"/>
      <c r="D146" s="61" t="s">
        <v>268</v>
      </c>
      <c r="E146" s="66" t="s">
        <v>110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49" t="s">
        <v>269</v>
      </c>
      <c r="C147" s="249"/>
      <c r="D147" s="61" t="s">
        <v>262</v>
      </c>
      <c r="E147" s="66" t="s">
        <v>110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49" t="s">
        <v>270</v>
      </c>
      <c r="C148" s="249"/>
      <c r="D148" s="61" t="s">
        <v>468</v>
      </c>
      <c r="E148" s="66" t="s">
        <v>110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272</v>
      </c>
      <c r="C149" s="61"/>
      <c r="D149" s="61" t="s">
        <v>273</v>
      </c>
      <c r="E149" s="66" t="s">
        <v>112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49" t="s">
        <v>277</v>
      </c>
      <c r="C150" s="249"/>
      <c r="D150" s="61" t="s">
        <v>278</v>
      </c>
      <c r="E150" s="82" t="s">
        <v>279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49" t="s">
        <v>280</v>
      </c>
      <c r="C151" s="249"/>
      <c r="D151" s="61" t="s">
        <v>278</v>
      </c>
      <c r="E151" s="82" t="s">
        <v>279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49" t="s">
        <v>281</v>
      </c>
      <c r="C152" s="249"/>
      <c r="D152" s="61" t="s">
        <v>278</v>
      </c>
      <c r="E152" s="82" t="s">
        <v>279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49" t="s">
        <v>282</v>
      </c>
      <c r="C153" s="249"/>
      <c r="D153" s="61" t="s">
        <v>278</v>
      </c>
      <c r="E153" s="82" t="s">
        <v>279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49" t="s">
        <v>283</v>
      </c>
      <c r="C154" s="249"/>
      <c r="D154" s="61" t="s">
        <v>278</v>
      </c>
      <c r="E154" s="82" t="s">
        <v>279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49" t="s">
        <v>284</v>
      </c>
      <c r="C155" s="249"/>
      <c r="D155" s="61" t="s">
        <v>278</v>
      </c>
      <c r="E155" s="82" t="s">
        <v>279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49" t="s">
        <v>285</v>
      </c>
      <c r="C156" s="249"/>
      <c r="D156" s="61" t="s">
        <v>278</v>
      </c>
      <c r="E156" s="82" t="s">
        <v>279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49" t="s">
        <v>286</v>
      </c>
      <c r="C157" s="249"/>
      <c r="D157" s="61" t="s">
        <v>287</v>
      </c>
      <c r="E157" s="66" t="s">
        <v>288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49" t="s">
        <v>289</v>
      </c>
      <c r="C158" s="249"/>
      <c r="D158" s="61" t="s">
        <v>287</v>
      </c>
      <c r="E158" s="66" t="s">
        <v>288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49" t="s">
        <v>290</v>
      </c>
      <c r="C159" s="249"/>
      <c r="D159" s="61" t="s">
        <v>287</v>
      </c>
      <c r="E159" s="66" t="s">
        <v>288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291</v>
      </c>
      <c r="C160" s="33"/>
      <c r="D160" s="61" t="s">
        <v>287</v>
      </c>
      <c r="E160" s="66" t="s">
        <v>288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49" t="s">
        <v>292</v>
      </c>
      <c r="C161" s="249"/>
      <c r="D161" s="61" t="s">
        <v>287</v>
      </c>
      <c r="E161" s="66" t="s">
        <v>288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293</v>
      </c>
      <c r="C162" s="33"/>
      <c r="D162" s="61" t="s">
        <v>287</v>
      </c>
      <c r="E162" s="66" t="s">
        <v>288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294</v>
      </c>
      <c r="C163" s="33"/>
      <c r="D163" s="61" t="s">
        <v>287</v>
      </c>
      <c r="E163" s="66" t="s">
        <v>288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49" t="s">
        <v>295</v>
      </c>
      <c r="C164" s="249"/>
      <c r="D164" s="61" t="s">
        <v>287</v>
      </c>
      <c r="E164" s="66" t="s">
        <v>296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49" t="s">
        <v>297</v>
      </c>
      <c r="C165" s="249"/>
      <c r="D165" s="61" t="s">
        <v>287</v>
      </c>
      <c r="E165" s="66" t="s">
        <v>296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298</v>
      </c>
      <c r="C166" s="33"/>
      <c r="D166" s="61" t="s">
        <v>287</v>
      </c>
      <c r="E166" s="66" t="s">
        <v>299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49" t="s">
        <v>300</v>
      </c>
      <c r="C167" s="249"/>
      <c r="D167" s="61" t="s">
        <v>287</v>
      </c>
      <c r="E167" s="66" t="s">
        <v>301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49" t="s">
        <v>302</v>
      </c>
      <c r="C168" s="249"/>
      <c r="D168" s="61" t="s">
        <v>303</v>
      </c>
      <c r="E168" s="66" t="s">
        <v>417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49" t="s">
        <v>305</v>
      </c>
      <c r="C169" s="249"/>
      <c r="D169" s="61" t="s">
        <v>303</v>
      </c>
      <c r="E169" s="66" t="s">
        <v>417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49" t="s">
        <v>306</v>
      </c>
      <c r="C170" s="249"/>
      <c r="D170" s="61" t="s">
        <v>303</v>
      </c>
      <c r="E170" s="66" t="s">
        <v>417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49" t="s">
        <v>307</v>
      </c>
      <c r="C171" s="249"/>
      <c r="D171" s="61" t="s">
        <v>303</v>
      </c>
      <c r="E171" s="66" t="s">
        <v>417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49" t="s">
        <v>469</v>
      </c>
      <c r="C172" s="249"/>
      <c r="D172" s="61" t="s">
        <v>303</v>
      </c>
      <c r="E172" s="66" t="s">
        <v>417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49" t="s">
        <v>308</v>
      </c>
      <c r="C173" s="249"/>
      <c r="D173" s="61" t="s">
        <v>303</v>
      </c>
      <c r="E173" s="66" t="s">
        <v>417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49" t="s">
        <v>309</v>
      </c>
      <c r="C174" s="249"/>
      <c r="D174" s="61" t="s">
        <v>303</v>
      </c>
      <c r="E174" s="66" t="s">
        <v>310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49" t="s">
        <v>311</v>
      </c>
      <c r="C175" s="249"/>
      <c r="D175" s="61" t="s">
        <v>303</v>
      </c>
      <c r="E175" s="66" t="s">
        <v>310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312</v>
      </c>
      <c r="C176" s="61"/>
      <c r="D176" s="61" t="s">
        <v>303</v>
      </c>
      <c r="E176" s="66" t="s">
        <v>310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313</v>
      </c>
      <c r="C177" s="61"/>
      <c r="D177" s="61" t="s">
        <v>303</v>
      </c>
      <c r="E177" s="66" t="s">
        <v>316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470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47" t="s">
        <v>319</v>
      </c>
      <c r="C179" s="247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15:C15"/>
    <mergeCell ref="B16:C16"/>
    <mergeCell ref="B17:C17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471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472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424</v>
      </c>
      <c r="Y6" s="7" t="s">
        <v>425</v>
      </c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59" t="s">
        <v>41</v>
      </c>
      <c r="C10" s="260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67" t="s">
        <v>44</v>
      </c>
      <c r="C11" s="268"/>
      <c r="D11" s="43" t="s">
        <v>449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59" t="s">
        <v>47</v>
      </c>
      <c r="C12" s="260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67" t="s">
        <v>50</v>
      </c>
      <c r="C13" s="26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59" t="s">
        <v>52</v>
      </c>
      <c r="C14" s="260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67" t="s">
        <v>55</v>
      </c>
      <c r="C15" s="26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69" t="s">
        <v>58</v>
      </c>
      <c r="C16" s="270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67" t="s">
        <v>60</v>
      </c>
      <c r="C17" s="26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450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67" t="s">
        <v>68</v>
      </c>
      <c r="C19" s="268"/>
      <c r="D19" s="43" t="s">
        <v>406</v>
      </c>
      <c r="E19" s="44" t="s">
        <v>154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67" t="s">
        <v>71</v>
      </c>
      <c r="C20" s="268"/>
      <c r="D20" s="33" t="s">
        <v>408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67" t="s">
        <v>73</v>
      </c>
      <c r="C21" s="268"/>
      <c r="D21" s="33" t="s">
        <v>409</v>
      </c>
      <c r="E21" s="3" t="s">
        <v>154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59" t="s">
        <v>75</v>
      </c>
      <c r="C22" s="260"/>
      <c r="D22" s="61" t="s">
        <v>408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67" t="s">
        <v>78</v>
      </c>
      <c r="C23" s="26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59" t="s">
        <v>84</v>
      </c>
      <c r="C24" s="260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59" t="s">
        <v>87</v>
      </c>
      <c r="C25" s="260"/>
      <c r="D25" s="61" t="s">
        <v>94</v>
      </c>
      <c r="E25" s="66" t="s">
        <v>410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49" t="s">
        <v>101</v>
      </c>
      <c r="C29" s="249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59" t="s">
        <v>104</v>
      </c>
      <c r="C30" s="260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69" t="s">
        <v>473</v>
      </c>
      <c r="C32" s="270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50" t="s">
        <v>34</v>
      </c>
      <c r="C33" s="250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50" t="s">
        <v>118</v>
      </c>
      <c r="C35" s="250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10" t="s">
        <v>451</v>
      </c>
      <c r="C36" s="311"/>
      <c r="D36" s="61" t="s">
        <v>452</v>
      </c>
      <c r="E36" s="66" t="s">
        <v>151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82"/>
      <c r="C38" s="283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57" t="s">
        <v>122</v>
      </c>
      <c r="C39" s="258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59" t="s">
        <v>123</v>
      </c>
      <c r="C40" s="260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59" t="s">
        <v>125</v>
      </c>
      <c r="C41" s="260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59" t="s">
        <v>127</v>
      </c>
      <c r="C42" s="260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59" t="s">
        <v>129</v>
      </c>
      <c r="C43" s="260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59" t="s">
        <v>131</v>
      </c>
      <c r="C44" s="260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59" t="s">
        <v>134</v>
      </c>
      <c r="C45" s="260"/>
      <c r="D45" s="33" t="s">
        <v>132</v>
      </c>
      <c r="E45" s="3" t="s">
        <v>70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65" t="s">
        <v>135</v>
      </c>
      <c r="C46" s="266"/>
      <c r="D46" s="33" t="s">
        <v>138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59" t="s">
        <v>137</v>
      </c>
      <c r="C47" s="260"/>
      <c r="D47" s="33" t="s">
        <v>138</v>
      </c>
      <c r="E47" s="3" t="s">
        <v>139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59" t="s">
        <v>140</v>
      </c>
      <c r="C48" s="260"/>
      <c r="D48" s="33" t="s">
        <v>142</v>
      </c>
      <c r="E48" s="3" t="s">
        <v>70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59" t="s">
        <v>453</v>
      </c>
      <c r="C49" s="260"/>
      <c r="D49" s="33" t="s">
        <v>142</v>
      </c>
      <c r="E49" s="3" t="s">
        <v>154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69" t="s">
        <v>141</v>
      </c>
      <c r="C50" s="270"/>
      <c r="D50" s="33" t="s">
        <v>142</v>
      </c>
      <c r="E50" s="29" t="s">
        <v>103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55" t="s">
        <v>34</v>
      </c>
      <c r="C51" s="256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5" t="s">
        <v>143</v>
      </c>
      <c r="C53" s="25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59" t="s">
        <v>144</v>
      </c>
      <c r="C54" s="260"/>
      <c r="D54" s="61" t="s">
        <v>145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146</v>
      </c>
      <c r="C55" s="103"/>
      <c r="D55" s="61" t="s">
        <v>147</v>
      </c>
      <c r="E55" s="66" t="s">
        <v>67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55" t="s">
        <v>34</v>
      </c>
      <c r="C56" s="256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55"/>
      <c r="C57" s="256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55" t="s">
        <v>436</v>
      </c>
      <c r="C58" s="25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69" t="s">
        <v>149</v>
      </c>
      <c r="C59" s="270"/>
      <c r="D59" s="47" t="s">
        <v>150</v>
      </c>
      <c r="E59" s="29" t="s">
        <v>151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152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69" t="s">
        <v>153</v>
      </c>
      <c r="C61" s="270"/>
      <c r="D61" s="20" t="s">
        <v>142</v>
      </c>
      <c r="E61" s="29" t="s">
        <v>154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69" t="s">
        <v>155</v>
      </c>
      <c r="C62" s="270"/>
      <c r="D62" s="33" t="s">
        <v>138</v>
      </c>
      <c r="E62" s="29" t="s">
        <v>103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156</v>
      </c>
      <c r="C63" s="160"/>
      <c r="D63" s="47" t="s">
        <v>138</v>
      </c>
      <c r="E63" s="66" t="s">
        <v>83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67" t="s">
        <v>157</v>
      </c>
      <c r="C64" s="268"/>
      <c r="D64" s="47" t="s">
        <v>138</v>
      </c>
      <c r="E64" s="66" t="s">
        <v>154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69" t="s">
        <v>158</v>
      </c>
      <c r="C65" s="270"/>
      <c r="D65" s="20" t="s">
        <v>159</v>
      </c>
      <c r="E65" s="29" t="s">
        <v>160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49" t="s">
        <v>161</v>
      </c>
      <c r="C66" s="249"/>
      <c r="D66" s="61" t="s">
        <v>412</v>
      </c>
      <c r="E66" s="66" t="s">
        <v>410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59" t="s">
        <v>162</v>
      </c>
      <c r="C67" s="260"/>
      <c r="D67" s="33" t="s">
        <v>163</v>
      </c>
      <c r="E67" s="3" t="s">
        <v>86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69" t="s">
        <v>164</v>
      </c>
      <c r="C68" s="270"/>
      <c r="D68" s="47" t="s">
        <v>159</v>
      </c>
      <c r="E68" s="3" t="s">
        <v>100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69" t="s">
        <v>165</v>
      </c>
      <c r="C69" s="270"/>
      <c r="D69" s="47" t="s">
        <v>166</v>
      </c>
      <c r="E69" s="3" t="s">
        <v>98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67" t="s">
        <v>167</v>
      </c>
      <c r="C70" s="268"/>
      <c r="D70" s="47" t="s">
        <v>166</v>
      </c>
      <c r="E70" s="3" t="s">
        <v>98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55" t="s">
        <v>34</v>
      </c>
      <c r="C71" s="256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5" t="s">
        <v>474</v>
      </c>
      <c r="C73" s="256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59" t="s">
        <v>169</v>
      </c>
      <c r="C74" s="260"/>
      <c r="D74" s="33" t="s">
        <v>170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171</v>
      </c>
      <c r="C75" s="33"/>
      <c r="D75" s="33" t="s">
        <v>475</v>
      </c>
      <c r="E75" s="66" t="s">
        <v>67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173</v>
      </c>
      <c r="C76" s="33"/>
      <c r="D76" s="33" t="s">
        <v>174</v>
      </c>
      <c r="E76" s="66" t="s">
        <v>67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454</v>
      </c>
      <c r="C77" s="33"/>
      <c r="D77" s="33" t="s">
        <v>455</v>
      </c>
      <c r="E77" s="66" t="s">
        <v>67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49" t="s">
        <v>175</v>
      </c>
      <c r="C78" s="249"/>
      <c r="D78" s="33" t="s">
        <v>142</v>
      </c>
      <c r="E78" s="66" t="s">
        <v>103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49" t="s">
        <v>176</v>
      </c>
      <c r="C79" s="249"/>
      <c r="D79" s="33" t="s">
        <v>163</v>
      </c>
      <c r="E79" s="3" t="s">
        <v>100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177</v>
      </c>
      <c r="C80" s="61"/>
      <c r="D80" s="33" t="s">
        <v>476</v>
      </c>
      <c r="E80" s="3" t="s">
        <v>115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179</v>
      </c>
      <c r="C81" s="61"/>
      <c r="D81" s="33" t="s">
        <v>180</v>
      </c>
      <c r="E81" s="3" t="s">
        <v>98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55" t="s">
        <v>34</v>
      </c>
      <c r="C82" s="256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61"/>
      <c r="C83" s="262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63" t="s">
        <v>437</v>
      </c>
      <c r="C84" s="264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59" t="s">
        <v>182</v>
      </c>
      <c r="C85" s="260"/>
      <c r="D85" s="33" t="s">
        <v>183</v>
      </c>
      <c r="E85" s="3" t="s">
        <v>49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59" t="s">
        <v>184</v>
      </c>
      <c r="C86" s="260"/>
      <c r="D86" s="33" t="s">
        <v>128</v>
      </c>
      <c r="E86" s="3" t="s">
        <v>64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59" t="s">
        <v>185</v>
      </c>
      <c r="C87" s="260"/>
      <c r="D87" s="33" t="s">
        <v>128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59" t="s">
        <v>186</v>
      </c>
      <c r="C88" s="260"/>
      <c r="D88" s="33" t="s">
        <v>132</v>
      </c>
      <c r="E88" s="3" t="s">
        <v>70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67" t="s">
        <v>187</v>
      </c>
      <c r="C89" s="268"/>
      <c r="D89" s="33" t="s">
        <v>136</v>
      </c>
      <c r="E89" s="3" t="s">
        <v>188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69" t="s">
        <v>189</v>
      </c>
      <c r="C90" s="270"/>
      <c r="D90" s="33" t="s">
        <v>132</v>
      </c>
      <c r="E90" s="3" t="s">
        <v>70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69" t="s">
        <v>456</v>
      </c>
      <c r="C91" s="270"/>
      <c r="D91" s="33" t="s">
        <v>132</v>
      </c>
      <c r="E91" s="3" t="s">
        <v>70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59" t="s">
        <v>190</v>
      </c>
      <c r="C92" s="260"/>
      <c r="D92" s="61" t="s">
        <v>136</v>
      </c>
      <c r="E92" s="66" t="s">
        <v>191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49" t="s">
        <v>193</v>
      </c>
      <c r="C93" s="249"/>
      <c r="D93" s="33" t="s">
        <v>142</v>
      </c>
      <c r="E93" s="66" t="s">
        <v>103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59" t="s">
        <v>81</v>
      </c>
      <c r="C94" s="260"/>
      <c r="D94" s="61" t="s">
        <v>138</v>
      </c>
      <c r="E94" s="66" t="s">
        <v>83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59" t="s">
        <v>194</v>
      </c>
      <c r="C95" s="260"/>
      <c r="D95" s="61" t="s">
        <v>138</v>
      </c>
      <c r="E95" s="66" t="s">
        <v>83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59" t="s">
        <v>195</v>
      </c>
      <c r="C96" s="260"/>
      <c r="D96" s="61" t="s">
        <v>138</v>
      </c>
      <c r="E96" s="66" t="s">
        <v>83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50" t="s">
        <v>34</v>
      </c>
      <c r="C97" s="250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0" t="s">
        <v>196</v>
      </c>
      <c r="C99" s="250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477</v>
      </c>
      <c r="C100" s="103"/>
      <c r="D100" s="3" t="s">
        <v>198</v>
      </c>
      <c r="E100" s="3" t="s">
        <v>54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69" t="s">
        <v>199</v>
      </c>
      <c r="C101" s="270"/>
      <c r="D101" s="20" t="s">
        <v>457</v>
      </c>
      <c r="E101" s="29" t="s">
        <v>70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59" t="s">
        <v>203</v>
      </c>
      <c r="C102" s="260"/>
      <c r="D102" s="33" t="s">
        <v>204</v>
      </c>
      <c r="E102" s="66" t="s">
        <v>86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90</v>
      </c>
      <c r="C103" s="103"/>
      <c r="D103" s="33" t="s">
        <v>204</v>
      </c>
      <c r="E103" s="66" t="s">
        <v>92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50" t="s">
        <v>34</v>
      </c>
      <c r="C104" s="250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50" t="s">
        <v>205</v>
      </c>
      <c r="C106" s="250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59" t="s">
        <v>206</v>
      </c>
      <c r="C107" s="260"/>
      <c r="D107" s="61" t="s">
        <v>207</v>
      </c>
      <c r="E107" s="66" t="s">
        <v>151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10" t="s">
        <v>208</v>
      </c>
      <c r="C108" s="311"/>
      <c r="D108" s="33" t="s">
        <v>209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59" t="s">
        <v>210</v>
      </c>
      <c r="C109" s="260"/>
      <c r="D109" s="33" t="s">
        <v>211</v>
      </c>
      <c r="E109" s="3" t="s">
        <v>77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69" t="s">
        <v>212</v>
      </c>
      <c r="C110" s="270"/>
      <c r="D110" s="33" t="s">
        <v>211</v>
      </c>
      <c r="E110" s="29" t="s">
        <v>139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215</v>
      </c>
      <c r="C111" s="160"/>
      <c r="D111" s="1" t="s">
        <v>214</v>
      </c>
      <c r="E111" s="3" t="s">
        <v>115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59" t="s">
        <v>213</v>
      </c>
      <c r="C112" s="260"/>
      <c r="D112" s="61" t="s">
        <v>478</v>
      </c>
      <c r="E112" s="66" t="s">
        <v>110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50" t="s">
        <v>34</v>
      </c>
      <c r="C113" s="250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50" t="s">
        <v>218</v>
      </c>
      <c r="C115" s="250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49" t="s">
        <v>219</v>
      </c>
      <c r="C116" s="249"/>
      <c r="D116" s="61" t="s">
        <v>220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49" t="s">
        <v>221</v>
      </c>
      <c r="C117" s="249"/>
      <c r="D117" s="61" t="s">
        <v>222</v>
      </c>
      <c r="E117" s="66" t="s">
        <v>46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49" t="s">
        <v>223</v>
      </c>
      <c r="C118" s="249"/>
      <c r="D118" s="61" t="s">
        <v>458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49" t="s">
        <v>62</v>
      </c>
      <c r="C119" s="249"/>
      <c r="D119" s="61" t="s">
        <v>459</v>
      </c>
      <c r="E119" s="66" t="s">
        <v>64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51" t="s">
        <v>225</v>
      </c>
      <c r="C120" s="251"/>
      <c r="D120" s="33" t="s">
        <v>460</v>
      </c>
      <c r="E120" s="66" t="s">
        <v>64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09" t="s">
        <v>227</v>
      </c>
      <c r="C121" s="309"/>
      <c r="D121" s="61" t="s">
        <v>461</v>
      </c>
      <c r="E121" s="66" t="s">
        <v>139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49" t="s">
        <v>229</v>
      </c>
      <c r="C122" s="249"/>
      <c r="D122" s="61" t="s">
        <v>462</v>
      </c>
      <c r="E122" s="66" t="s">
        <v>103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49" t="s">
        <v>231</v>
      </c>
      <c r="C123" s="249"/>
      <c r="D123" s="61" t="s">
        <v>462</v>
      </c>
      <c r="E123" s="66" t="s">
        <v>103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59" t="s">
        <v>108</v>
      </c>
      <c r="C124" s="260"/>
      <c r="D124" s="61" t="s">
        <v>109</v>
      </c>
      <c r="E124" s="66" t="s">
        <v>110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111</v>
      </c>
      <c r="C125" s="103"/>
      <c r="D125" s="61" t="s">
        <v>109</v>
      </c>
      <c r="E125" s="66" t="s">
        <v>112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50" t="s">
        <v>34</v>
      </c>
      <c r="C126" s="250"/>
      <c r="D126" s="98" t="s">
        <v>463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50" t="s">
        <v>235</v>
      </c>
      <c r="C128" s="250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49" t="s">
        <v>236</v>
      </c>
      <c r="C129" s="249"/>
      <c r="D129" s="61" t="s">
        <v>464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49" t="s">
        <v>238</v>
      </c>
      <c r="C130" s="249"/>
      <c r="D130" s="61" t="s">
        <v>465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09" t="s">
        <v>240</v>
      </c>
      <c r="C131" s="309"/>
      <c r="D131" s="61" t="s">
        <v>466</v>
      </c>
      <c r="E131" s="66" t="s">
        <v>46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65" t="s">
        <v>242</v>
      </c>
      <c r="C132" s="266"/>
      <c r="D132" s="20" t="s">
        <v>467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49" t="s">
        <v>246</v>
      </c>
      <c r="C133" s="249"/>
      <c r="D133" s="61" t="s">
        <v>411</v>
      </c>
      <c r="E133" s="66" t="s">
        <v>154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49" t="s">
        <v>248</v>
      </c>
      <c r="C134" s="249"/>
      <c r="D134" s="33" t="s">
        <v>252</v>
      </c>
      <c r="E134" s="66" t="s">
        <v>154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49" t="s">
        <v>250</v>
      </c>
      <c r="C135" s="249"/>
      <c r="D135" s="33" t="s">
        <v>252</v>
      </c>
      <c r="E135" s="66" t="s">
        <v>154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49" t="s">
        <v>251</v>
      </c>
      <c r="C136" s="249"/>
      <c r="D136" s="33" t="s">
        <v>252</v>
      </c>
      <c r="E136" s="66" t="s">
        <v>103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59" t="s">
        <v>253</v>
      </c>
      <c r="C137" s="260"/>
      <c r="D137" s="61" t="s">
        <v>412</v>
      </c>
      <c r="E137" s="66" t="s">
        <v>410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49" t="s">
        <v>255</v>
      </c>
      <c r="C138" s="249"/>
      <c r="D138" s="33" t="s">
        <v>412</v>
      </c>
      <c r="E138" s="66" t="s">
        <v>413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59" t="s">
        <v>257</v>
      </c>
      <c r="C139" s="260"/>
      <c r="D139" s="33" t="s">
        <v>258</v>
      </c>
      <c r="E139" s="66" t="s">
        <v>86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59" t="s">
        <v>259</v>
      </c>
      <c r="C140" s="260"/>
      <c r="D140" s="61" t="s">
        <v>260</v>
      </c>
      <c r="E140" s="66" t="s">
        <v>92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59" t="s">
        <v>263</v>
      </c>
      <c r="C141" s="260"/>
      <c r="D141" s="61" t="s">
        <v>262</v>
      </c>
      <c r="E141" s="66" t="s">
        <v>415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59" t="s">
        <v>264</v>
      </c>
      <c r="C142" s="260"/>
      <c r="D142" s="61" t="s">
        <v>262</v>
      </c>
      <c r="E142" s="66" t="s">
        <v>415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59" t="s">
        <v>265</v>
      </c>
      <c r="C143" s="260"/>
      <c r="D143" s="61" t="s">
        <v>262</v>
      </c>
      <c r="E143" s="66" t="s">
        <v>415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59" t="s">
        <v>266</v>
      </c>
      <c r="C144" s="260"/>
      <c r="D144" s="61" t="s">
        <v>262</v>
      </c>
      <c r="E144" s="66" t="s">
        <v>110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59" t="s">
        <v>267</v>
      </c>
      <c r="C145" s="260"/>
      <c r="D145" s="61" t="s">
        <v>268</v>
      </c>
      <c r="E145" s="66" t="s">
        <v>110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59" t="s">
        <v>270</v>
      </c>
      <c r="C146" s="260"/>
      <c r="D146" s="61" t="s">
        <v>478</v>
      </c>
      <c r="E146" s="66" t="s">
        <v>110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59" t="s">
        <v>269</v>
      </c>
      <c r="C147" s="260"/>
      <c r="D147" s="61" t="s">
        <v>262</v>
      </c>
      <c r="E147" s="66" t="s">
        <v>110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59" t="s">
        <v>256</v>
      </c>
      <c r="C148" s="260"/>
      <c r="D148" s="61" t="s">
        <v>414</v>
      </c>
      <c r="E148" s="66" t="s">
        <v>410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59" t="s">
        <v>261</v>
      </c>
      <c r="C149" s="260"/>
      <c r="D149" s="61" t="s">
        <v>262</v>
      </c>
      <c r="E149" s="66" t="s">
        <v>86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272</v>
      </c>
      <c r="C150" s="103"/>
      <c r="D150" s="61" t="s">
        <v>273</v>
      </c>
      <c r="E150" s="66" t="s">
        <v>112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49" t="s">
        <v>277</v>
      </c>
      <c r="C151" s="249"/>
      <c r="D151" s="61" t="s">
        <v>278</v>
      </c>
      <c r="E151" s="82" t="s">
        <v>279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49" t="s">
        <v>280</v>
      </c>
      <c r="C152" s="249"/>
      <c r="D152" s="61" t="s">
        <v>278</v>
      </c>
      <c r="E152" s="82" t="s">
        <v>279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49" t="s">
        <v>281</v>
      </c>
      <c r="C153" s="249"/>
      <c r="D153" s="61" t="s">
        <v>278</v>
      </c>
      <c r="E153" s="82" t="s">
        <v>279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49" t="s">
        <v>282</v>
      </c>
      <c r="C154" s="249"/>
      <c r="D154" s="61" t="s">
        <v>278</v>
      </c>
      <c r="E154" s="82" t="s">
        <v>279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49" t="s">
        <v>283</v>
      </c>
      <c r="C155" s="249"/>
      <c r="D155" s="61" t="s">
        <v>278</v>
      </c>
      <c r="E155" s="82" t="s">
        <v>279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49" t="s">
        <v>284</v>
      </c>
      <c r="C156" s="249"/>
      <c r="D156" s="61" t="s">
        <v>278</v>
      </c>
      <c r="E156" s="82" t="s">
        <v>279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49" t="s">
        <v>285</v>
      </c>
      <c r="C157" s="249"/>
      <c r="D157" s="61" t="s">
        <v>278</v>
      </c>
      <c r="E157" s="82" t="s">
        <v>279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49" t="s">
        <v>286</v>
      </c>
      <c r="C158" s="249"/>
      <c r="D158" s="61" t="s">
        <v>287</v>
      </c>
      <c r="E158" s="66" t="s">
        <v>288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49" t="s">
        <v>289</v>
      </c>
      <c r="C159" s="249"/>
      <c r="D159" s="61" t="s">
        <v>287</v>
      </c>
      <c r="E159" s="66" t="s">
        <v>288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49" t="s">
        <v>290</v>
      </c>
      <c r="C160" s="249"/>
      <c r="D160" s="61" t="s">
        <v>287</v>
      </c>
      <c r="E160" s="66" t="s">
        <v>288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291</v>
      </c>
      <c r="C161" s="33"/>
      <c r="D161" s="61" t="s">
        <v>287</v>
      </c>
      <c r="E161" s="66" t="s">
        <v>288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59" t="s">
        <v>292</v>
      </c>
      <c r="C162" s="260"/>
      <c r="D162" s="61" t="s">
        <v>287</v>
      </c>
      <c r="E162" s="66" t="s">
        <v>288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293</v>
      </c>
      <c r="C163" s="33"/>
      <c r="D163" s="61" t="s">
        <v>287</v>
      </c>
      <c r="E163" s="66" t="s">
        <v>288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294</v>
      </c>
      <c r="C164" s="33"/>
      <c r="D164" s="61" t="s">
        <v>287</v>
      </c>
      <c r="E164" s="66" t="s">
        <v>288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59" t="s">
        <v>295</v>
      </c>
      <c r="C165" s="260"/>
      <c r="D165" s="61" t="s">
        <v>287</v>
      </c>
      <c r="E165" s="66" t="s">
        <v>296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59" t="s">
        <v>297</v>
      </c>
      <c r="C166" s="260"/>
      <c r="D166" s="61" t="s">
        <v>287</v>
      </c>
      <c r="E166" s="66" t="s">
        <v>296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298</v>
      </c>
      <c r="C167" s="33"/>
      <c r="D167" s="61" t="s">
        <v>287</v>
      </c>
      <c r="E167" s="66" t="s">
        <v>299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59" t="s">
        <v>300</v>
      </c>
      <c r="C168" s="260"/>
      <c r="D168" s="61" t="s">
        <v>287</v>
      </c>
      <c r="E168" s="66" t="s">
        <v>301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59" t="s">
        <v>302</v>
      </c>
      <c r="C169" s="260"/>
      <c r="D169" s="61" t="s">
        <v>303</v>
      </c>
      <c r="E169" s="66" t="s">
        <v>417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59" t="s">
        <v>305</v>
      </c>
      <c r="C170" s="260"/>
      <c r="D170" s="61" t="s">
        <v>303</v>
      </c>
      <c r="E170" s="66" t="s">
        <v>417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59" t="s">
        <v>306</v>
      </c>
      <c r="C171" s="260"/>
      <c r="D171" s="61" t="s">
        <v>303</v>
      </c>
      <c r="E171" s="66" t="s">
        <v>417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59" t="s">
        <v>307</v>
      </c>
      <c r="C172" s="260"/>
      <c r="D172" s="61" t="s">
        <v>303</v>
      </c>
      <c r="E172" s="66" t="s">
        <v>417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59" t="s">
        <v>469</v>
      </c>
      <c r="C173" s="260"/>
      <c r="D173" s="61" t="s">
        <v>303</v>
      </c>
      <c r="E173" s="66" t="s">
        <v>417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59" t="s">
        <v>308</v>
      </c>
      <c r="C174" s="260"/>
      <c r="D174" s="61" t="s">
        <v>303</v>
      </c>
      <c r="E174" s="66" t="s">
        <v>417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78" t="s">
        <v>309</v>
      </c>
      <c r="C175" s="279"/>
      <c r="D175" s="61" t="s">
        <v>303</v>
      </c>
      <c r="E175" s="66" t="s">
        <v>310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80" t="s">
        <v>311</v>
      </c>
      <c r="C176" s="281"/>
      <c r="D176" s="61" t="s">
        <v>303</v>
      </c>
      <c r="E176" s="66" t="s">
        <v>310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312</v>
      </c>
      <c r="C177" s="96"/>
      <c r="D177" s="61" t="s">
        <v>303</v>
      </c>
      <c r="E177" s="66" t="s">
        <v>310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313</v>
      </c>
      <c r="C178" s="96"/>
      <c r="D178" s="61" t="s">
        <v>303</v>
      </c>
      <c r="E178" s="66" t="s">
        <v>316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470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47" t="s">
        <v>319</v>
      </c>
      <c r="C180" s="247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48"/>
      <c r="C181" s="248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48"/>
      <c r="C182" s="248"/>
      <c r="D182" s="230" t="s">
        <v>320</v>
      </c>
      <c r="E182" s="230"/>
      <c r="F182" s="230"/>
      <c r="G182" s="230"/>
      <c r="H182" s="230"/>
      <c r="I182" s="230"/>
      <c r="J182" s="230"/>
      <c r="K182" s="233" t="s">
        <v>321</v>
      </c>
      <c r="L182" s="233"/>
      <c r="M182" s="233"/>
      <c r="N182" s="40"/>
      <c r="O182" s="233" t="s">
        <v>322</v>
      </c>
      <c r="P182" s="233"/>
      <c r="Q182" s="233"/>
      <c r="R182" s="233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48"/>
      <c r="C183" s="248"/>
      <c r="D183" s="230"/>
      <c r="E183" s="230"/>
      <c r="F183" s="230"/>
      <c r="G183" s="230"/>
      <c r="H183" s="230"/>
      <c r="I183" s="230"/>
      <c r="J183" s="230"/>
      <c r="K183" s="233"/>
      <c r="L183" s="233"/>
      <c r="M183" s="233"/>
      <c r="N183" s="40"/>
      <c r="O183" s="233"/>
      <c r="P183" s="233"/>
      <c r="Q183" s="233"/>
      <c r="R183" s="233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479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480</v>
      </c>
      <c r="Y6" s="7" t="s">
        <v>481</v>
      </c>
      <c r="Z6" s="179" t="s">
        <v>482</v>
      </c>
      <c r="AA6" s="179" t="s">
        <v>400</v>
      </c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483</v>
      </c>
      <c r="AA7" s="179"/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59" t="s">
        <v>41</v>
      </c>
      <c r="C10" s="260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67" t="s">
        <v>44</v>
      </c>
      <c r="C11" s="268"/>
      <c r="D11" s="43" t="s">
        <v>449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59" t="s">
        <v>47</v>
      </c>
      <c r="C12" s="260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67" t="s">
        <v>50</v>
      </c>
      <c r="C13" s="26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59" t="s">
        <v>52</v>
      </c>
      <c r="C14" s="260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67" t="s">
        <v>55</v>
      </c>
      <c r="C15" s="26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69" t="s">
        <v>58</v>
      </c>
      <c r="C16" s="270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67" t="s">
        <v>60</v>
      </c>
      <c r="C17" s="26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65</v>
      </c>
      <c r="C18" s="103"/>
      <c r="D18" s="61" t="s">
        <v>450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67" t="s">
        <v>68</v>
      </c>
      <c r="C19" s="268"/>
      <c r="D19" s="43" t="s">
        <v>406</v>
      </c>
      <c r="E19" s="44" t="s">
        <v>154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67" t="s">
        <v>71</v>
      </c>
      <c r="C20" s="268"/>
      <c r="D20" s="33" t="s">
        <v>408</v>
      </c>
      <c r="E20" s="3" t="s">
        <v>77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67" t="s">
        <v>73</v>
      </c>
      <c r="C21" s="268"/>
      <c r="D21" s="33" t="s">
        <v>409</v>
      </c>
      <c r="E21" s="3" t="s">
        <v>154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59" t="s">
        <v>75</v>
      </c>
      <c r="C22" s="260"/>
      <c r="D22" s="61" t="s">
        <v>408</v>
      </c>
      <c r="E22" s="66" t="s">
        <v>77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67" t="s">
        <v>78</v>
      </c>
      <c r="C23" s="268"/>
      <c r="D23" s="33" t="s">
        <v>79</v>
      </c>
      <c r="E23" s="66" t="s">
        <v>80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59" t="s">
        <v>84</v>
      </c>
      <c r="C24" s="260"/>
      <c r="D24" s="61" t="s">
        <v>85</v>
      </c>
      <c r="E24" s="66" t="s">
        <v>86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59" t="s">
        <v>87</v>
      </c>
      <c r="C25" s="260"/>
      <c r="D25" s="61" t="s">
        <v>94</v>
      </c>
      <c r="E25" s="66" t="s">
        <v>410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93</v>
      </c>
      <c r="C26" s="103"/>
      <c r="D26" s="61" t="s">
        <v>94</v>
      </c>
      <c r="E26" s="66" t="s">
        <v>95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96</v>
      </c>
      <c r="C27" s="103"/>
      <c r="D27" s="61" t="s">
        <v>97</v>
      </c>
      <c r="E27" s="66" t="s">
        <v>98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99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49" t="s">
        <v>101</v>
      </c>
      <c r="C29" s="249"/>
      <c r="D29" s="33" t="s">
        <v>102</v>
      </c>
      <c r="E29" s="66" t="s">
        <v>103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59" t="s">
        <v>104</v>
      </c>
      <c r="C30" s="260"/>
      <c r="D30" s="33" t="s">
        <v>105</v>
      </c>
      <c r="E30" s="66" t="s">
        <v>86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106</v>
      </c>
      <c r="C31" s="103"/>
      <c r="D31" s="33" t="s">
        <v>107</v>
      </c>
      <c r="E31" s="66" t="s">
        <v>92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69" t="s">
        <v>473</v>
      </c>
      <c r="C32" s="270"/>
      <c r="D32" s="47" t="s">
        <v>114</v>
      </c>
      <c r="E32" s="66" t="s">
        <v>115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50" t="s">
        <v>34</v>
      </c>
      <c r="C33" s="250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50" t="s">
        <v>118</v>
      </c>
      <c r="C35" s="250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10" t="s">
        <v>451</v>
      </c>
      <c r="C36" s="311"/>
      <c r="D36" s="61" t="s">
        <v>452</v>
      </c>
      <c r="E36" s="66" t="s">
        <v>151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82"/>
      <c r="C38" s="283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57" t="s">
        <v>122</v>
      </c>
      <c r="C39" s="258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59" t="s">
        <v>123</v>
      </c>
      <c r="C40" s="260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59" t="s">
        <v>125</v>
      </c>
      <c r="C41" s="260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59" t="s">
        <v>127</v>
      </c>
      <c r="C42" s="260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59" t="s">
        <v>129</v>
      </c>
      <c r="C43" s="260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59" t="s">
        <v>131</v>
      </c>
      <c r="C44" s="260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59" t="s">
        <v>134</v>
      </c>
      <c r="C45" s="260"/>
      <c r="D45" s="33" t="s">
        <v>132</v>
      </c>
      <c r="E45" s="3" t="s">
        <v>70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65" t="s">
        <v>135</v>
      </c>
      <c r="C46" s="266"/>
      <c r="D46" s="20" t="s">
        <v>484</v>
      </c>
      <c r="E46" s="25" t="s">
        <v>77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59" t="s">
        <v>137</v>
      </c>
      <c r="C47" s="260"/>
      <c r="D47" s="33" t="s">
        <v>138</v>
      </c>
      <c r="E47" s="3" t="s">
        <v>139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59" t="s">
        <v>140</v>
      </c>
      <c r="C48" s="260"/>
      <c r="D48" s="33" t="s">
        <v>142</v>
      </c>
      <c r="E48" s="3" t="s">
        <v>70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59" t="s">
        <v>453</v>
      </c>
      <c r="C49" s="260"/>
      <c r="D49" s="33" t="s">
        <v>142</v>
      </c>
      <c r="E49" s="3" t="s">
        <v>154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69" t="s">
        <v>141</v>
      </c>
      <c r="C50" s="270"/>
      <c r="D50" s="33" t="s">
        <v>142</v>
      </c>
      <c r="E50" s="29" t="s">
        <v>103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55" t="s">
        <v>34</v>
      </c>
      <c r="C51" s="256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55" t="s">
        <v>143</v>
      </c>
      <c r="C53" s="25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59" t="s">
        <v>144</v>
      </c>
      <c r="C54" s="260"/>
      <c r="D54" s="61" t="s">
        <v>145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146</v>
      </c>
      <c r="C55" s="103"/>
      <c r="D55" s="61" t="s">
        <v>147</v>
      </c>
      <c r="E55" s="66" t="s">
        <v>67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55" t="s">
        <v>34</v>
      </c>
      <c r="C56" s="256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55"/>
      <c r="C57" s="256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55" t="s">
        <v>436</v>
      </c>
      <c r="C58" s="25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69" t="s">
        <v>149</v>
      </c>
      <c r="C59" s="270"/>
      <c r="D59" s="47" t="s">
        <v>150</v>
      </c>
      <c r="E59" s="29" t="s">
        <v>151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152</v>
      </c>
      <c r="C60" s="160"/>
      <c r="D60" s="47" t="s">
        <v>59</v>
      </c>
      <c r="E60" s="66" t="s">
        <v>67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69" t="s">
        <v>153</v>
      </c>
      <c r="C61" s="270"/>
      <c r="D61" s="20" t="s">
        <v>142</v>
      </c>
      <c r="E61" s="29" t="s">
        <v>154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69" t="s">
        <v>155</v>
      </c>
      <c r="C62" s="270"/>
      <c r="D62" s="33" t="s">
        <v>138</v>
      </c>
      <c r="E62" s="29" t="s">
        <v>103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156</v>
      </c>
      <c r="C63" s="160"/>
      <c r="D63" s="47" t="s">
        <v>138</v>
      </c>
      <c r="E63" s="66" t="s">
        <v>83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69" t="s">
        <v>158</v>
      </c>
      <c r="C64" s="270"/>
      <c r="D64" s="20" t="s">
        <v>159</v>
      </c>
      <c r="E64" s="29" t="s">
        <v>160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49" t="s">
        <v>161</v>
      </c>
      <c r="C65" s="249"/>
      <c r="D65" s="61" t="s">
        <v>412</v>
      </c>
      <c r="E65" s="66" t="s">
        <v>410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59" t="s">
        <v>162</v>
      </c>
      <c r="C66" s="260"/>
      <c r="D66" s="33" t="s">
        <v>163</v>
      </c>
      <c r="E66" s="3" t="s">
        <v>86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69" t="s">
        <v>164</v>
      </c>
      <c r="C67" s="270"/>
      <c r="D67" s="47" t="s">
        <v>159</v>
      </c>
      <c r="E67" s="3" t="s">
        <v>100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69" t="s">
        <v>165</v>
      </c>
      <c r="C68" s="270"/>
      <c r="D68" s="47" t="s">
        <v>166</v>
      </c>
      <c r="E68" s="3" t="s">
        <v>98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67" t="s">
        <v>167</v>
      </c>
      <c r="C69" s="268"/>
      <c r="D69" s="47" t="s">
        <v>166</v>
      </c>
      <c r="E69" s="3" t="s">
        <v>98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55" t="s">
        <v>34</v>
      </c>
      <c r="C70" s="256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55" t="s">
        <v>474</v>
      </c>
      <c r="C72" s="256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59" t="s">
        <v>169</v>
      </c>
      <c r="C73" s="260"/>
      <c r="D73" s="33" t="s">
        <v>170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171</v>
      </c>
      <c r="D74" s="1" t="s">
        <v>475</v>
      </c>
      <c r="E74" s="66" t="s">
        <v>67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173</v>
      </c>
      <c r="D75" s="1" t="s">
        <v>174</v>
      </c>
      <c r="E75" s="66" t="s">
        <v>67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454</v>
      </c>
      <c r="D76" s="1" t="s">
        <v>455</v>
      </c>
      <c r="E76" s="66" t="s">
        <v>67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59" t="s">
        <v>175</v>
      </c>
      <c r="C77" s="260"/>
      <c r="D77" s="33" t="s">
        <v>142</v>
      </c>
      <c r="E77" s="66" t="s">
        <v>103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59" t="s">
        <v>176</v>
      </c>
      <c r="C78" s="260"/>
      <c r="D78" s="33" t="s">
        <v>163</v>
      </c>
      <c r="E78" s="3" t="s">
        <v>100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177</v>
      </c>
      <c r="C79" s="103"/>
      <c r="D79" s="33" t="s">
        <v>178</v>
      </c>
      <c r="E79" s="3" t="s">
        <v>115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179</v>
      </c>
      <c r="C80" s="103"/>
      <c r="D80" s="33" t="s">
        <v>180</v>
      </c>
      <c r="E80" s="3" t="s">
        <v>98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55" t="s">
        <v>34</v>
      </c>
      <c r="C81" s="256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61"/>
      <c r="C82" s="262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63" t="s">
        <v>437</v>
      </c>
      <c r="C83" s="264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59" t="s">
        <v>182</v>
      </c>
      <c r="C84" s="260"/>
      <c r="D84" s="33" t="s">
        <v>183</v>
      </c>
      <c r="E84" s="3" t="s">
        <v>49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59" t="s">
        <v>184</v>
      </c>
      <c r="C85" s="260"/>
      <c r="D85" s="33" t="s">
        <v>128</v>
      </c>
      <c r="E85" s="3" t="s">
        <v>64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59" t="s">
        <v>185</v>
      </c>
      <c r="C86" s="260"/>
      <c r="D86" s="33" t="s">
        <v>128</v>
      </c>
      <c r="E86" s="3" t="s">
        <v>64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59" t="s">
        <v>186</v>
      </c>
      <c r="C87" s="260"/>
      <c r="D87" s="33" t="s">
        <v>132</v>
      </c>
      <c r="E87" s="3" t="s">
        <v>70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67" t="s">
        <v>187</v>
      </c>
      <c r="C88" s="268"/>
      <c r="D88" s="33" t="s">
        <v>136</v>
      </c>
      <c r="E88" s="3" t="s">
        <v>188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69" t="s">
        <v>189</v>
      </c>
      <c r="C89" s="270"/>
      <c r="D89" s="33" t="s">
        <v>132</v>
      </c>
      <c r="E89" s="3" t="s">
        <v>70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69" t="s">
        <v>456</v>
      </c>
      <c r="C90" s="270"/>
      <c r="D90" s="33" t="s">
        <v>132</v>
      </c>
      <c r="E90" s="3" t="s">
        <v>70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59" t="s">
        <v>190</v>
      </c>
      <c r="C91" s="260"/>
      <c r="D91" s="61" t="s">
        <v>136</v>
      </c>
      <c r="E91" s="66" t="s">
        <v>191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49" t="s">
        <v>193</v>
      </c>
      <c r="C92" s="249"/>
      <c r="D92" s="33" t="s">
        <v>142</v>
      </c>
      <c r="E92" s="66" t="s">
        <v>103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59" t="s">
        <v>81</v>
      </c>
      <c r="C93" s="260"/>
      <c r="D93" s="61" t="s">
        <v>138</v>
      </c>
      <c r="E93" s="66" t="s">
        <v>83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59" t="s">
        <v>194</v>
      </c>
      <c r="C94" s="260"/>
      <c r="D94" s="61" t="s">
        <v>138</v>
      </c>
      <c r="E94" s="66" t="s">
        <v>83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59" t="s">
        <v>195</v>
      </c>
      <c r="C95" s="260"/>
      <c r="D95" s="61" t="s">
        <v>138</v>
      </c>
      <c r="E95" s="66" t="s">
        <v>83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50" t="s">
        <v>34</v>
      </c>
      <c r="C96" s="250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50" t="s">
        <v>196</v>
      </c>
      <c r="C98" s="250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477</v>
      </c>
      <c r="C99" s="103"/>
      <c r="D99" s="3" t="s">
        <v>198</v>
      </c>
      <c r="E99" s="3" t="s">
        <v>54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69" t="s">
        <v>199</v>
      </c>
      <c r="C100" s="270"/>
      <c r="D100" s="20" t="s">
        <v>457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59" t="s">
        <v>203</v>
      </c>
      <c r="C101" s="260"/>
      <c r="D101" s="33" t="s">
        <v>204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90</v>
      </c>
      <c r="C102" s="103"/>
      <c r="D102" s="33" t="s">
        <v>204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50" t="s">
        <v>34</v>
      </c>
      <c r="C103" s="250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50" t="s">
        <v>205</v>
      </c>
      <c r="C105" s="250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59" t="s">
        <v>206</v>
      </c>
      <c r="C106" s="260"/>
      <c r="D106" s="61" t="s">
        <v>207</v>
      </c>
      <c r="E106" s="66" t="s">
        <v>151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10" t="s">
        <v>208</v>
      </c>
      <c r="C107" s="311"/>
      <c r="D107" s="33" t="s">
        <v>209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59" t="s">
        <v>210</v>
      </c>
      <c r="C108" s="260"/>
      <c r="D108" s="33" t="s">
        <v>211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69" t="s">
        <v>212</v>
      </c>
      <c r="C109" s="270"/>
      <c r="D109" s="33" t="s">
        <v>211</v>
      </c>
      <c r="E109" s="29" t="s">
        <v>139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215</v>
      </c>
      <c r="C110" s="160"/>
      <c r="D110" s="1" t="s">
        <v>214</v>
      </c>
      <c r="E110" s="3" t="s">
        <v>115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50" t="s">
        <v>34</v>
      </c>
      <c r="C111" s="250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50" t="s">
        <v>218</v>
      </c>
      <c r="C113" s="250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49" t="s">
        <v>219</v>
      </c>
      <c r="C114" s="249"/>
      <c r="D114" s="61" t="s">
        <v>220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49" t="s">
        <v>221</v>
      </c>
      <c r="C115" s="249"/>
      <c r="D115" s="61" t="s">
        <v>222</v>
      </c>
      <c r="E115" s="66" t="s">
        <v>46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49" t="s">
        <v>223</v>
      </c>
      <c r="C116" s="249"/>
      <c r="D116" s="61" t="s">
        <v>458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49" t="s">
        <v>62</v>
      </c>
      <c r="C117" s="249"/>
      <c r="D117" s="61" t="s">
        <v>459</v>
      </c>
      <c r="E117" s="66" t="s">
        <v>64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51" t="s">
        <v>225</v>
      </c>
      <c r="C118" s="251"/>
      <c r="D118" s="33" t="s">
        <v>460</v>
      </c>
      <c r="E118" s="66" t="s">
        <v>64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09" t="s">
        <v>227</v>
      </c>
      <c r="C119" s="309"/>
      <c r="D119" s="61" t="s">
        <v>461</v>
      </c>
      <c r="E119" s="66" t="s">
        <v>139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49" t="s">
        <v>229</v>
      </c>
      <c r="C120" s="249"/>
      <c r="D120" s="61" t="s">
        <v>462</v>
      </c>
      <c r="E120" s="66" t="s">
        <v>103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49" t="s">
        <v>231</v>
      </c>
      <c r="C121" s="249"/>
      <c r="D121" s="61" t="s">
        <v>462</v>
      </c>
      <c r="E121" s="66" t="s">
        <v>103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59" t="s">
        <v>108</v>
      </c>
      <c r="C122" s="260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50" t="s">
        <v>34</v>
      </c>
      <c r="C124" s="250"/>
      <c r="D124" s="98" t="s">
        <v>463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50" t="s">
        <v>235</v>
      </c>
      <c r="C126" s="250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49" t="s">
        <v>236</v>
      </c>
      <c r="C127" s="249"/>
      <c r="D127" s="61" t="s">
        <v>464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49" t="s">
        <v>238</v>
      </c>
      <c r="C128" s="249"/>
      <c r="D128" s="61" t="s">
        <v>465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09" t="s">
        <v>240</v>
      </c>
      <c r="C129" s="309"/>
      <c r="D129" s="61" t="s">
        <v>466</v>
      </c>
      <c r="E129" s="66" t="s">
        <v>46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65" t="s">
        <v>242</v>
      </c>
      <c r="C130" s="266"/>
      <c r="D130" s="20" t="s">
        <v>467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67" t="s">
        <v>157</v>
      </c>
      <c r="C131" s="268"/>
      <c r="D131" s="33" t="s">
        <v>485</v>
      </c>
      <c r="E131" s="66" t="s">
        <v>154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59" t="s">
        <v>253</v>
      </c>
      <c r="C132" s="260"/>
      <c r="D132" s="61" t="s">
        <v>412</v>
      </c>
      <c r="E132" s="66" t="s">
        <v>410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49" t="s">
        <v>246</v>
      </c>
      <c r="C133" s="249"/>
      <c r="D133" s="61" t="s">
        <v>411</v>
      </c>
      <c r="E133" s="66" t="s">
        <v>154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49" t="s">
        <v>248</v>
      </c>
      <c r="C134" s="249"/>
      <c r="D134" s="33" t="s">
        <v>252</v>
      </c>
      <c r="E134" s="66" t="s">
        <v>154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49" t="s">
        <v>250</v>
      </c>
      <c r="C135" s="249"/>
      <c r="D135" s="33" t="s">
        <v>252</v>
      </c>
      <c r="E135" s="66" t="s">
        <v>154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49" t="s">
        <v>251</v>
      </c>
      <c r="C136" s="249"/>
      <c r="D136" s="33" t="s">
        <v>252</v>
      </c>
      <c r="E136" s="66" t="s">
        <v>103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49" t="s">
        <v>255</v>
      </c>
      <c r="C137" s="249"/>
      <c r="D137" s="33" t="s">
        <v>412</v>
      </c>
      <c r="E137" s="66" t="s">
        <v>413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59" t="s">
        <v>257</v>
      </c>
      <c r="C138" s="260"/>
      <c r="D138" s="33" t="s">
        <v>258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59" t="s">
        <v>259</v>
      </c>
      <c r="C139" s="260"/>
      <c r="D139" s="61" t="s">
        <v>260</v>
      </c>
      <c r="E139" s="66" t="s">
        <v>92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59" t="s">
        <v>263</v>
      </c>
      <c r="C140" s="260"/>
      <c r="D140" s="61" t="s">
        <v>262</v>
      </c>
      <c r="E140" s="66" t="s">
        <v>415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59" t="s">
        <v>264</v>
      </c>
      <c r="C141" s="260"/>
      <c r="D141" s="61" t="s">
        <v>262</v>
      </c>
      <c r="E141" s="66" t="s">
        <v>415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59" t="s">
        <v>265</v>
      </c>
      <c r="C142" s="260"/>
      <c r="D142" s="61" t="s">
        <v>262</v>
      </c>
      <c r="E142" s="66" t="s">
        <v>415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59" t="s">
        <v>266</v>
      </c>
      <c r="C143" s="260"/>
      <c r="D143" s="61" t="s">
        <v>262</v>
      </c>
      <c r="E143" s="66" t="s">
        <v>110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59" t="s">
        <v>267</v>
      </c>
      <c r="C144" s="260"/>
      <c r="D144" s="61" t="s">
        <v>268</v>
      </c>
      <c r="E144" s="66" t="s">
        <v>110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59" t="s">
        <v>213</v>
      </c>
      <c r="C145" s="260"/>
      <c r="D145" s="61" t="s">
        <v>478</v>
      </c>
      <c r="E145" s="66" t="s">
        <v>110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59" t="s">
        <v>270</v>
      </c>
      <c r="C146" s="260"/>
      <c r="D146" s="61" t="s">
        <v>478</v>
      </c>
      <c r="E146" s="66" t="s">
        <v>110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59" t="s">
        <v>269</v>
      </c>
      <c r="C147" s="260"/>
      <c r="D147" s="61" t="s">
        <v>262</v>
      </c>
      <c r="E147" s="66" t="s">
        <v>110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59" t="s">
        <v>256</v>
      </c>
      <c r="C148" s="260"/>
      <c r="D148" s="61" t="s">
        <v>414</v>
      </c>
      <c r="E148" s="66" t="s">
        <v>410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59" t="s">
        <v>261</v>
      </c>
      <c r="C149" s="260"/>
      <c r="D149" s="61" t="s">
        <v>262</v>
      </c>
      <c r="E149" s="66" t="s">
        <v>86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272</v>
      </c>
      <c r="C150" s="103"/>
      <c r="D150" s="61" t="s">
        <v>273</v>
      </c>
      <c r="E150" s="66" t="s">
        <v>112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49" t="s">
        <v>277</v>
      </c>
      <c r="C151" s="249"/>
      <c r="D151" s="61" t="s">
        <v>278</v>
      </c>
      <c r="E151" s="82" t="s">
        <v>279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49" t="s">
        <v>280</v>
      </c>
      <c r="C152" s="249"/>
      <c r="D152" s="61" t="s">
        <v>278</v>
      </c>
      <c r="E152" s="82" t="s">
        <v>279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49" t="s">
        <v>281</v>
      </c>
      <c r="C153" s="249"/>
      <c r="D153" s="61" t="s">
        <v>278</v>
      </c>
      <c r="E153" s="82" t="s">
        <v>279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49" t="s">
        <v>282</v>
      </c>
      <c r="C154" s="249"/>
      <c r="D154" s="61" t="s">
        <v>278</v>
      </c>
      <c r="E154" s="82" t="s">
        <v>279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49" t="s">
        <v>283</v>
      </c>
      <c r="C155" s="249"/>
      <c r="D155" s="61" t="s">
        <v>278</v>
      </c>
      <c r="E155" s="82" t="s">
        <v>279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49" t="s">
        <v>284</v>
      </c>
      <c r="C156" s="249"/>
      <c r="D156" s="61" t="s">
        <v>278</v>
      </c>
      <c r="E156" s="82" t="s">
        <v>279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49" t="s">
        <v>285</v>
      </c>
      <c r="C157" s="249"/>
      <c r="D157" s="61" t="s">
        <v>278</v>
      </c>
      <c r="E157" s="82" t="s">
        <v>279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49" t="s">
        <v>286</v>
      </c>
      <c r="C158" s="249"/>
      <c r="D158" s="61" t="s">
        <v>287</v>
      </c>
      <c r="E158" s="66" t="s">
        <v>288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49" t="s">
        <v>289</v>
      </c>
      <c r="C159" s="249"/>
      <c r="D159" s="61" t="s">
        <v>287</v>
      </c>
      <c r="E159" s="66" t="s">
        <v>288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49" t="s">
        <v>290</v>
      </c>
      <c r="C160" s="249"/>
      <c r="D160" s="61" t="s">
        <v>287</v>
      </c>
      <c r="E160" s="66" t="s">
        <v>288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291</v>
      </c>
      <c r="C161" s="33"/>
      <c r="D161" s="61" t="s">
        <v>287</v>
      </c>
      <c r="E161" s="66" t="s">
        <v>288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59" t="s">
        <v>292</v>
      </c>
      <c r="C162" s="260"/>
      <c r="D162" s="61" t="s">
        <v>287</v>
      </c>
      <c r="E162" s="66" t="s">
        <v>288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293</v>
      </c>
      <c r="C163" s="33"/>
      <c r="D163" s="61" t="s">
        <v>287</v>
      </c>
      <c r="E163" s="66" t="s">
        <v>288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294</v>
      </c>
      <c r="C164" s="33"/>
      <c r="D164" s="61" t="s">
        <v>287</v>
      </c>
      <c r="E164" s="66" t="s">
        <v>288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59" t="s">
        <v>295</v>
      </c>
      <c r="C165" s="260"/>
      <c r="D165" s="61" t="s">
        <v>287</v>
      </c>
      <c r="E165" s="66" t="s">
        <v>296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59" t="s">
        <v>297</v>
      </c>
      <c r="C166" s="260"/>
      <c r="D166" s="61" t="s">
        <v>287</v>
      </c>
      <c r="E166" s="66" t="s">
        <v>296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298</v>
      </c>
      <c r="C167" s="33"/>
      <c r="D167" s="61" t="s">
        <v>287</v>
      </c>
      <c r="E167" s="66" t="s">
        <v>299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59" t="s">
        <v>300</v>
      </c>
      <c r="C168" s="260"/>
      <c r="D168" s="61" t="s">
        <v>287</v>
      </c>
      <c r="E168" s="66" t="s">
        <v>301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59" t="s">
        <v>302</v>
      </c>
      <c r="C169" s="260"/>
      <c r="D169" s="61" t="s">
        <v>303</v>
      </c>
      <c r="E169" s="66" t="s">
        <v>417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59" t="s">
        <v>305</v>
      </c>
      <c r="C170" s="260"/>
      <c r="D170" s="61" t="s">
        <v>303</v>
      </c>
      <c r="E170" s="66" t="s">
        <v>417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59" t="s">
        <v>306</v>
      </c>
      <c r="C171" s="260"/>
      <c r="D171" s="61" t="s">
        <v>303</v>
      </c>
      <c r="E171" s="66" t="s">
        <v>417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59" t="s">
        <v>307</v>
      </c>
      <c r="C172" s="260"/>
      <c r="D172" s="61" t="s">
        <v>303</v>
      </c>
      <c r="E172" s="66" t="s">
        <v>417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59" t="s">
        <v>469</v>
      </c>
      <c r="C173" s="260"/>
      <c r="D173" s="61" t="s">
        <v>303</v>
      </c>
      <c r="E173" s="66" t="s">
        <v>417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59" t="s">
        <v>308</v>
      </c>
      <c r="C174" s="260"/>
      <c r="D174" s="61" t="s">
        <v>303</v>
      </c>
      <c r="E174" s="66" t="s">
        <v>417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78" t="s">
        <v>309</v>
      </c>
      <c r="C175" s="279"/>
      <c r="D175" s="61" t="s">
        <v>303</v>
      </c>
      <c r="E175" s="66" t="s">
        <v>310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80" t="s">
        <v>311</v>
      </c>
      <c r="C176" s="281"/>
      <c r="D176" s="61" t="s">
        <v>303</v>
      </c>
      <c r="E176" s="66" t="s">
        <v>310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312</v>
      </c>
      <c r="C177" s="96"/>
      <c r="D177" s="61" t="s">
        <v>303</v>
      </c>
      <c r="E177" s="66" t="s">
        <v>310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313</v>
      </c>
      <c r="C178" s="96"/>
      <c r="D178" s="61" t="s">
        <v>303</v>
      </c>
      <c r="E178" s="66" t="s">
        <v>316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486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47" t="s">
        <v>487</v>
      </c>
      <c r="C180" s="247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48" t="s">
        <v>488</v>
      </c>
      <c r="C181" s="248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47" t="s">
        <v>319</v>
      </c>
      <c r="C182" s="247"/>
      <c r="D182" s="181">
        <v>183</v>
      </c>
      <c r="E182" s="230"/>
      <c r="F182" s="230"/>
      <c r="G182" s="230"/>
      <c r="H182" s="230"/>
      <c r="I182" s="230"/>
      <c r="J182" s="230"/>
      <c r="K182" s="233" t="s">
        <v>321</v>
      </c>
      <c r="L182" s="233"/>
      <c r="M182" s="233"/>
      <c r="N182" s="40"/>
      <c r="O182" s="233" t="s">
        <v>322</v>
      </c>
      <c r="P182" s="233"/>
      <c r="Q182" s="233"/>
      <c r="R182" s="233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48"/>
      <c r="C183" s="248"/>
      <c r="D183" s="181"/>
      <c r="E183" s="230"/>
      <c r="F183" s="230"/>
      <c r="G183" s="230"/>
      <c r="H183" s="230"/>
      <c r="I183" s="230"/>
      <c r="J183" s="230"/>
      <c r="K183" s="233"/>
      <c r="L183" s="233"/>
      <c r="M183" s="233"/>
      <c r="N183" s="40"/>
      <c r="O183" s="233"/>
      <c r="P183" s="233"/>
      <c r="Q183" s="233"/>
      <c r="R183" s="233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489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490</v>
      </c>
      <c r="Y6" s="7" t="s">
        <v>491</v>
      </c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59" t="s">
        <v>41</v>
      </c>
      <c r="C10" s="260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67" t="s">
        <v>44</v>
      </c>
      <c r="C11" s="268"/>
      <c r="D11" s="43" t="s">
        <v>449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59" t="s">
        <v>47</v>
      </c>
      <c r="C12" s="260"/>
      <c r="D12" s="33" t="s">
        <v>48</v>
      </c>
      <c r="E12" s="3" t="s">
        <v>49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67" t="s">
        <v>50</v>
      </c>
      <c r="C13" s="268"/>
      <c r="D13" s="43" t="s">
        <v>51</v>
      </c>
      <c r="E13" s="78" t="s">
        <v>49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59" t="s">
        <v>52</v>
      </c>
      <c r="C14" s="260"/>
      <c r="D14" s="61" t="s">
        <v>53</v>
      </c>
      <c r="E14" s="3" t="s">
        <v>54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67" t="s">
        <v>55</v>
      </c>
      <c r="C15" s="268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69" t="s">
        <v>58</v>
      </c>
      <c r="C16" s="270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67" t="s">
        <v>60</v>
      </c>
      <c r="C17" s="26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65</v>
      </c>
      <c r="C18" s="103"/>
      <c r="D18" s="61" t="s">
        <v>450</v>
      </c>
      <c r="E18" s="11" t="s">
        <v>67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67" t="s">
        <v>492</v>
      </c>
      <c r="C19" s="268"/>
      <c r="D19" s="43" t="s">
        <v>493</v>
      </c>
      <c r="E19" s="44" t="s">
        <v>154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67" t="s">
        <v>68</v>
      </c>
      <c r="C20" s="268"/>
      <c r="D20" s="43" t="s">
        <v>406</v>
      </c>
      <c r="E20" s="44" t="s">
        <v>154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67" t="s">
        <v>71</v>
      </c>
      <c r="C21" s="268"/>
      <c r="D21" s="33" t="s">
        <v>408</v>
      </c>
      <c r="E21" s="3" t="s">
        <v>77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67" t="s">
        <v>73</v>
      </c>
      <c r="C22" s="268"/>
      <c r="D22" s="33" t="s">
        <v>409</v>
      </c>
      <c r="E22" s="3" t="s">
        <v>154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59" t="s">
        <v>75</v>
      </c>
      <c r="C23" s="260"/>
      <c r="D23" s="61" t="s">
        <v>408</v>
      </c>
      <c r="E23" s="66" t="s">
        <v>77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67" t="s">
        <v>78</v>
      </c>
      <c r="C24" s="268"/>
      <c r="D24" s="33" t="s">
        <v>79</v>
      </c>
      <c r="E24" s="66" t="s">
        <v>80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59" t="s">
        <v>84</v>
      </c>
      <c r="C25" s="260"/>
      <c r="D25" s="61" t="s">
        <v>85</v>
      </c>
      <c r="E25" s="66" t="s">
        <v>86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59" t="s">
        <v>87</v>
      </c>
      <c r="C26" s="260"/>
      <c r="D26" s="61" t="s">
        <v>94</v>
      </c>
      <c r="E26" s="66" t="s">
        <v>410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93</v>
      </c>
      <c r="C27" s="103"/>
      <c r="D27" s="61" t="s">
        <v>94</v>
      </c>
      <c r="E27" s="66" t="s">
        <v>95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96</v>
      </c>
      <c r="C28" s="103"/>
      <c r="D28" s="61" t="s">
        <v>97</v>
      </c>
      <c r="E28" s="66" t="s">
        <v>98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99</v>
      </c>
      <c r="C29" s="103"/>
      <c r="D29" s="61" t="s">
        <v>97</v>
      </c>
      <c r="E29" s="66" t="s">
        <v>98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49" t="s">
        <v>101</v>
      </c>
      <c r="C30" s="249"/>
      <c r="D30" s="33" t="s">
        <v>102</v>
      </c>
      <c r="E30" s="66" t="s">
        <v>103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59" t="s">
        <v>104</v>
      </c>
      <c r="C31" s="260"/>
      <c r="D31" s="33" t="s">
        <v>105</v>
      </c>
      <c r="E31" s="66" t="s">
        <v>86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106</v>
      </c>
      <c r="C32" s="103"/>
      <c r="D32" s="33" t="s">
        <v>107</v>
      </c>
      <c r="E32" s="66" t="s">
        <v>92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69" t="s">
        <v>473</v>
      </c>
      <c r="C33" s="270"/>
      <c r="D33" s="47" t="s">
        <v>114</v>
      </c>
      <c r="E33" s="66" t="s">
        <v>115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50" t="s">
        <v>34</v>
      </c>
      <c r="C34" s="250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50" t="s">
        <v>118</v>
      </c>
      <c r="C36" s="250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10" t="s">
        <v>451</v>
      </c>
      <c r="C37" s="311"/>
      <c r="D37" s="61" t="s">
        <v>452</v>
      </c>
      <c r="E37" s="66" t="s">
        <v>151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82"/>
      <c r="C39" s="283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57" t="s">
        <v>122</v>
      </c>
      <c r="C40" s="258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59" t="s">
        <v>123</v>
      </c>
      <c r="C41" s="260"/>
      <c r="D41" s="33" t="s">
        <v>124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59" t="s">
        <v>125</v>
      </c>
      <c r="C42" s="260"/>
      <c r="D42" s="33" t="s">
        <v>126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59" t="s">
        <v>127</v>
      </c>
      <c r="C43" s="260"/>
      <c r="D43" s="33" t="s">
        <v>128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59" t="s">
        <v>129</v>
      </c>
      <c r="C44" s="260"/>
      <c r="D44" s="33" t="s">
        <v>132</v>
      </c>
      <c r="E44" s="3" t="s">
        <v>133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59" t="s">
        <v>131</v>
      </c>
      <c r="C45" s="260"/>
      <c r="D45" s="33" t="s">
        <v>132</v>
      </c>
      <c r="E45" s="3" t="s">
        <v>133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59" t="s">
        <v>134</v>
      </c>
      <c r="C46" s="260"/>
      <c r="D46" s="33" t="s">
        <v>132</v>
      </c>
      <c r="E46" s="3" t="s">
        <v>70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65" t="s">
        <v>135</v>
      </c>
      <c r="C47" s="266"/>
      <c r="D47" s="20" t="s">
        <v>484</v>
      </c>
      <c r="E47" s="25" t="s">
        <v>77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59" t="s">
        <v>137</v>
      </c>
      <c r="C48" s="260"/>
      <c r="D48" s="33" t="s">
        <v>138</v>
      </c>
      <c r="E48" s="3" t="s">
        <v>139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59" t="s">
        <v>140</v>
      </c>
      <c r="C49" s="260"/>
      <c r="D49" s="33" t="s">
        <v>142</v>
      </c>
      <c r="E49" s="3" t="s">
        <v>154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59" t="s">
        <v>453</v>
      </c>
      <c r="C50" s="260"/>
      <c r="D50" s="33" t="s">
        <v>142</v>
      </c>
      <c r="E50" s="3" t="s">
        <v>154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69" t="s">
        <v>141</v>
      </c>
      <c r="C51" s="270"/>
      <c r="D51" s="33" t="s">
        <v>142</v>
      </c>
      <c r="E51" s="29" t="s">
        <v>103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55" t="s">
        <v>34</v>
      </c>
      <c r="C52" s="256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55" t="s">
        <v>143</v>
      </c>
      <c r="C54" s="256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59" t="s">
        <v>144</v>
      </c>
      <c r="C55" s="260"/>
      <c r="D55" s="61" t="s">
        <v>145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146</v>
      </c>
      <c r="C56" s="103"/>
      <c r="D56" s="61" t="s">
        <v>147</v>
      </c>
      <c r="E56" s="66" t="s">
        <v>67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55" t="s">
        <v>34</v>
      </c>
      <c r="C57" s="256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55"/>
      <c r="C58" s="25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55" t="s">
        <v>436</v>
      </c>
      <c r="C59" s="256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69" t="s">
        <v>149</v>
      </c>
      <c r="C60" s="270"/>
      <c r="D60" s="47" t="s">
        <v>150</v>
      </c>
      <c r="E60" s="29" t="s">
        <v>151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152</v>
      </c>
      <c r="C61" s="160"/>
      <c r="D61" s="47" t="s">
        <v>59</v>
      </c>
      <c r="E61" s="66" t="s">
        <v>67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69" t="s">
        <v>153</v>
      </c>
      <c r="C62" s="270"/>
      <c r="D62" s="20" t="s">
        <v>142</v>
      </c>
      <c r="E62" s="29" t="s">
        <v>154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69" t="s">
        <v>155</v>
      </c>
      <c r="C63" s="270"/>
      <c r="D63" s="33" t="s">
        <v>138</v>
      </c>
      <c r="E63" s="29" t="s">
        <v>103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156</v>
      </c>
      <c r="C64" s="160"/>
      <c r="D64" s="47" t="s">
        <v>138</v>
      </c>
      <c r="E64" s="66" t="s">
        <v>83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69" t="s">
        <v>158</v>
      </c>
      <c r="C65" s="270"/>
      <c r="D65" s="20" t="s">
        <v>159</v>
      </c>
      <c r="E65" s="29" t="s">
        <v>160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49" t="s">
        <v>161</v>
      </c>
      <c r="C66" s="249"/>
      <c r="D66" s="61" t="s">
        <v>412</v>
      </c>
      <c r="E66" s="66" t="s">
        <v>410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59" t="s">
        <v>162</v>
      </c>
      <c r="C67" s="260"/>
      <c r="D67" s="33" t="s">
        <v>163</v>
      </c>
      <c r="E67" s="3" t="s">
        <v>86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69" t="s">
        <v>164</v>
      </c>
      <c r="C68" s="270"/>
      <c r="D68" s="47" t="s">
        <v>159</v>
      </c>
      <c r="E68" s="3" t="s">
        <v>100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69" t="s">
        <v>165</v>
      </c>
      <c r="C69" s="270"/>
      <c r="D69" s="47" t="s">
        <v>166</v>
      </c>
      <c r="E69" s="3" t="s">
        <v>98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67" t="s">
        <v>167</v>
      </c>
      <c r="C70" s="268"/>
      <c r="D70" s="47" t="s">
        <v>166</v>
      </c>
      <c r="E70" s="3" t="s">
        <v>98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55" t="s">
        <v>34</v>
      </c>
      <c r="C71" s="256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55" t="s">
        <v>474</v>
      </c>
      <c r="C73" s="256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59" t="s">
        <v>169</v>
      </c>
      <c r="C74" s="260"/>
      <c r="D74" s="33" t="s">
        <v>170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171</v>
      </c>
      <c r="D75" s="1" t="s">
        <v>475</v>
      </c>
      <c r="E75" s="66" t="s">
        <v>67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173</v>
      </c>
      <c r="D76" s="1" t="s">
        <v>174</v>
      </c>
      <c r="E76" s="66" t="s">
        <v>67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454</v>
      </c>
      <c r="D77" s="1" t="s">
        <v>455</v>
      </c>
      <c r="E77" s="66" t="s">
        <v>67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59" t="s">
        <v>175</v>
      </c>
      <c r="C78" s="260"/>
      <c r="D78" s="33" t="s">
        <v>142</v>
      </c>
      <c r="E78" s="66" t="s">
        <v>103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59" t="s">
        <v>176</v>
      </c>
      <c r="C79" s="260"/>
      <c r="D79" s="33" t="s">
        <v>163</v>
      </c>
      <c r="E79" s="3" t="s">
        <v>100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177</v>
      </c>
      <c r="C80" s="103"/>
      <c r="D80" s="33" t="s">
        <v>178</v>
      </c>
      <c r="E80" s="3" t="s">
        <v>115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179</v>
      </c>
      <c r="C81" s="103"/>
      <c r="D81" s="33" t="s">
        <v>180</v>
      </c>
      <c r="E81" s="3" t="s">
        <v>98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55" t="s">
        <v>34</v>
      </c>
      <c r="C82" s="256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61"/>
      <c r="C83" s="262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63" t="s">
        <v>437</v>
      </c>
      <c r="C84" s="264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59" t="s">
        <v>182</v>
      </c>
      <c r="C85" s="260"/>
      <c r="D85" s="33" t="s">
        <v>183</v>
      </c>
      <c r="E85" s="3" t="s">
        <v>49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59" t="s">
        <v>184</v>
      </c>
      <c r="C86" s="260"/>
      <c r="D86" s="33" t="s">
        <v>128</v>
      </c>
      <c r="E86" s="3" t="s">
        <v>64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59" t="s">
        <v>185</v>
      </c>
      <c r="C87" s="260"/>
      <c r="D87" s="33" t="s">
        <v>128</v>
      </c>
      <c r="E87" s="3" t="s">
        <v>64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59" t="s">
        <v>186</v>
      </c>
      <c r="C88" s="260"/>
      <c r="D88" s="33" t="s">
        <v>132</v>
      </c>
      <c r="E88" s="3" t="s">
        <v>70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67" t="s">
        <v>187</v>
      </c>
      <c r="C89" s="268"/>
      <c r="D89" s="33" t="s">
        <v>136</v>
      </c>
      <c r="E89" s="3" t="s">
        <v>188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69" t="s">
        <v>189</v>
      </c>
      <c r="C90" s="270"/>
      <c r="D90" s="33" t="s">
        <v>132</v>
      </c>
      <c r="E90" s="3" t="s">
        <v>70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69" t="s">
        <v>456</v>
      </c>
      <c r="C91" s="270"/>
      <c r="D91" s="33" t="s">
        <v>132</v>
      </c>
      <c r="E91" s="3" t="s">
        <v>70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59" t="s">
        <v>190</v>
      </c>
      <c r="C92" s="260"/>
      <c r="D92" s="61" t="s">
        <v>136</v>
      </c>
      <c r="E92" s="66" t="s">
        <v>191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49" t="s">
        <v>193</v>
      </c>
      <c r="C93" s="249"/>
      <c r="D93" s="33" t="s">
        <v>142</v>
      </c>
      <c r="E93" s="66" t="s">
        <v>103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59" t="s">
        <v>81</v>
      </c>
      <c r="C94" s="260"/>
      <c r="D94" s="61" t="s">
        <v>138</v>
      </c>
      <c r="E94" s="66" t="s">
        <v>83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59" t="s">
        <v>194</v>
      </c>
      <c r="C95" s="260"/>
      <c r="D95" s="61" t="s">
        <v>138</v>
      </c>
      <c r="E95" s="66" t="s">
        <v>83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59" t="s">
        <v>195</v>
      </c>
      <c r="C96" s="260"/>
      <c r="D96" s="61" t="s">
        <v>138</v>
      </c>
      <c r="E96" s="66" t="s">
        <v>83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50" t="s">
        <v>34</v>
      </c>
      <c r="C97" s="250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50" t="s">
        <v>196</v>
      </c>
      <c r="C99" s="250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69" t="s">
        <v>199</v>
      </c>
      <c r="C100" s="270"/>
      <c r="D100" s="20" t="s">
        <v>457</v>
      </c>
      <c r="E100" s="29" t="s">
        <v>70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59" t="s">
        <v>203</v>
      </c>
      <c r="C101" s="260"/>
      <c r="D101" s="33" t="s">
        <v>204</v>
      </c>
      <c r="E101" s="66" t="s">
        <v>86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90</v>
      </c>
      <c r="C102" s="103"/>
      <c r="D102" s="33" t="s">
        <v>204</v>
      </c>
      <c r="E102" s="66" t="s">
        <v>92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50" t="s">
        <v>34</v>
      </c>
      <c r="C103" s="250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50" t="s">
        <v>205</v>
      </c>
      <c r="C105" s="250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59" t="s">
        <v>206</v>
      </c>
      <c r="C106" s="260"/>
      <c r="D106" s="61" t="s">
        <v>207</v>
      </c>
      <c r="E106" s="66" t="s">
        <v>151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10" t="s">
        <v>208</v>
      </c>
      <c r="C107" s="311"/>
      <c r="D107" s="33" t="s">
        <v>209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59" t="s">
        <v>210</v>
      </c>
      <c r="C108" s="260"/>
      <c r="D108" s="33" t="s">
        <v>211</v>
      </c>
      <c r="E108" s="3" t="s">
        <v>77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69" t="s">
        <v>212</v>
      </c>
      <c r="C109" s="270"/>
      <c r="D109" s="33" t="s">
        <v>211</v>
      </c>
      <c r="E109" s="29" t="s">
        <v>139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215</v>
      </c>
      <c r="C110" s="160"/>
      <c r="D110" s="1" t="s">
        <v>214</v>
      </c>
      <c r="E110" s="3" t="s">
        <v>115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50" t="s">
        <v>34</v>
      </c>
      <c r="C111" s="250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50" t="s">
        <v>218</v>
      </c>
      <c r="C113" s="250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49" t="s">
        <v>219</v>
      </c>
      <c r="C114" s="249"/>
      <c r="D114" s="61" t="s">
        <v>220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49" t="s">
        <v>221</v>
      </c>
      <c r="C115" s="249"/>
      <c r="D115" s="61" t="s">
        <v>222</v>
      </c>
      <c r="E115" s="66" t="s">
        <v>46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49" t="s">
        <v>223</v>
      </c>
      <c r="C116" s="249"/>
      <c r="D116" s="61" t="s">
        <v>458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49" t="s">
        <v>62</v>
      </c>
      <c r="C117" s="249"/>
      <c r="D117" s="61" t="s">
        <v>459</v>
      </c>
      <c r="E117" s="66" t="s">
        <v>64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51" t="s">
        <v>225</v>
      </c>
      <c r="C118" s="251"/>
      <c r="D118" s="33" t="s">
        <v>460</v>
      </c>
      <c r="E118" s="66" t="s">
        <v>64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09" t="s">
        <v>227</v>
      </c>
      <c r="C119" s="309"/>
      <c r="D119" s="61" t="s">
        <v>461</v>
      </c>
      <c r="E119" s="66" t="s">
        <v>139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49" t="s">
        <v>229</v>
      </c>
      <c r="C120" s="249"/>
      <c r="D120" s="61" t="s">
        <v>462</v>
      </c>
      <c r="E120" s="66" t="s">
        <v>103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49" t="s">
        <v>231</v>
      </c>
      <c r="C121" s="249"/>
      <c r="D121" s="61" t="s">
        <v>462</v>
      </c>
      <c r="E121" s="66" t="s">
        <v>103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59" t="s">
        <v>108</v>
      </c>
      <c r="C122" s="260"/>
      <c r="D122" s="61" t="s">
        <v>109</v>
      </c>
      <c r="E122" s="66" t="s">
        <v>110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111</v>
      </c>
      <c r="C123" s="103"/>
      <c r="D123" s="61" t="s">
        <v>109</v>
      </c>
      <c r="E123" s="66" t="s">
        <v>112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50" t="s">
        <v>34</v>
      </c>
      <c r="C124" s="250"/>
      <c r="D124" s="98" t="s">
        <v>463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50" t="s">
        <v>235</v>
      </c>
      <c r="C126" s="250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49" t="s">
        <v>236</v>
      </c>
      <c r="C127" s="249"/>
      <c r="D127" s="61" t="s">
        <v>464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49" t="s">
        <v>238</v>
      </c>
      <c r="C128" s="249"/>
      <c r="D128" s="61" t="s">
        <v>465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09" t="s">
        <v>240</v>
      </c>
      <c r="C129" s="309"/>
      <c r="D129" s="61" t="s">
        <v>466</v>
      </c>
      <c r="E129" s="66" t="s">
        <v>46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65" t="s">
        <v>242</v>
      </c>
      <c r="C130" s="266"/>
      <c r="D130" s="20" t="s">
        <v>467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67" t="s">
        <v>157</v>
      </c>
      <c r="C131" s="268"/>
      <c r="D131" s="33" t="s">
        <v>485</v>
      </c>
      <c r="E131" s="66" t="s">
        <v>154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59" t="s">
        <v>253</v>
      </c>
      <c r="C132" s="260"/>
      <c r="D132" s="61" t="s">
        <v>412</v>
      </c>
      <c r="E132" s="66" t="s">
        <v>410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49" t="s">
        <v>246</v>
      </c>
      <c r="C133" s="249"/>
      <c r="D133" s="61" t="s">
        <v>411</v>
      </c>
      <c r="E133" s="66" t="s">
        <v>154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49" t="s">
        <v>248</v>
      </c>
      <c r="C134" s="249"/>
      <c r="D134" s="33" t="s">
        <v>252</v>
      </c>
      <c r="E134" s="66" t="s">
        <v>154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49" t="s">
        <v>250</v>
      </c>
      <c r="C135" s="249"/>
      <c r="D135" s="33" t="s">
        <v>252</v>
      </c>
      <c r="E135" s="66" t="s">
        <v>154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49" t="s">
        <v>251</v>
      </c>
      <c r="C136" s="249"/>
      <c r="D136" s="33" t="s">
        <v>252</v>
      </c>
      <c r="E136" s="66" t="s">
        <v>103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49" t="s">
        <v>255</v>
      </c>
      <c r="C137" s="249"/>
      <c r="D137" s="33" t="s">
        <v>412</v>
      </c>
      <c r="E137" s="66" t="s">
        <v>413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59" t="s">
        <v>257</v>
      </c>
      <c r="C138" s="260"/>
      <c r="D138" s="33" t="s">
        <v>258</v>
      </c>
      <c r="E138" s="66" t="s">
        <v>86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59" t="s">
        <v>259</v>
      </c>
      <c r="C139" s="260"/>
      <c r="D139" s="61" t="s">
        <v>260</v>
      </c>
      <c r="E139" s="66" t="s">
        <v>92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59" t="s">
        <v>263</v>
      </c>
      <c r="C140" s="260"/>
      <c r="D140" s="61" t="s">
        <v>262</v>
      </c>
      <c r="E140" s="66" t="s">
        <v>415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59" t="s">
        <v>264</v>
      </c>
      <c r="C141" s="260"/>
      <c r="D141" s="61" t="s">
        <v>262</v>
      </c>
      <c r="E141" s="66" t="s">
        <v>415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59" t="s">
        <v>265</v>
      </c>
      <c r="C142" s="260"/>
      <c r="D142" s="61" t="s">
        <v>262</v>
      </c>
      <c r="E142" s="66" t="s">
        <v>415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59" t="s">
        <v>266</v>
      </c>
      <c r="C143" s="260"/>
      <c r="D143" s="61" t="s">
        <v>262</v>
      </c>
      <c r="E143" s="66" t="s">
        <v>110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59" t="s">
        <v>267</v>
      </c>
      <c r="C144" s="260"/>
      <c r="D144" s="61" t="s">
        <v>268</v>
      </c>
      <c r="E144" s="66" t="s">
        <v>110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59" t="s">
        <v>213</v>
      </c>
      <c r="C145" s="260"/>
      <c r="D145" s="61" t="s">
        <v>478</v>
      </c>
      <c r="E145" s="66" t="s">
        <v>110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59" t="s">
        <v>270</v>
      </c>
      <c r="C146" s="260"/>
      <c r="D146" s="61" t="s">
        <v>478</v>
      </c>
      <c r="E146" s="66" t="s">
        <v>110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59" t="s">
        <v>269</v>
      </c>
      <c r="C147" s="260"/>
      <c r="D147" s="61" t="s">
        <v>262</v>
      </c>
      <c r="E147" s="66" t="s">
        <v>110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59" t="s">
        <v>256</v>
      </c>
      <c r="C148" s="260"/>
      <c r="D148" s="61" t="s">
        <v>414</v>
      </c>
      <c r="E148" s="66" t="s">
        <v>410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59" t="s">
        <v>261</v>
      </c>
      <c r="C149" s="260"/>
      <c r="D149" s="61" t="s">
        <v>262</v>
      </c>
      <c r="E149" s="66" t="s">
        <v>86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272</v>
      </c>
      <c r="C150" s="103"/>
      <c r="D150" s="61" t="s">
        <v>273</v>
      </c>
      <c r="E150" s="66" t="s">
        <v>112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49" t="s">
        <v>277</v>
      </c>
      <c r="C151" s="249"/>
      <c r="D151" s="61" t="s">
        <v>278</v>
      </c>
      <c r="E151" s="82" t="s">
        <v>279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49" t="s">
        <v>280</v>
      </c>
      <c r="C152" s="249"/>
      <c r="D152" s="61" t="s">
        <v>278</v>
      </c>
      <c r="E152" s="82" t="s">
        <v>279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49" t="s">
        <v>281</v>
      </c>
      <c r="C153" s="249"/>
      <c r="D153" s="61" t="s">
        <v>278</v>
      </c>
      <c r="E153" s="82" t="s">
        <v>279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49" t="s">
        <v>282</v>
      </c>
      <c r="C154" s="249"/>
      <c r="D154" s="61" t="s">
        <v>278</v>
      </c>
      <c r="E154" s="82" t="s">
        <v>279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49" t="s">
        <v>283</v>
      </c>
      <c r="C155" s="249"/>
      <c r="D155" s="61" t="s">
        <v>278</v>
      </c>
      <c r="E155" s="82" t="s">
        <v>279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49" t="s">
        <v>284</v>
      </c>
      <c r="C156" s="249"/>
      <c r="D156" s="61" t="s">
        <v>278</v>
      </c>
      <c r="E156" s="82" t="s">
        <v>279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49" t="s">
        <v>285</v>
      </c>
      <c r="C157" s="249"/>
      <c r="D157" s="61" t="s">
        <v>278</v>
      </c>
      <c r="E157" s="82" t="s">
        <v>279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49" t="s">
        <v>286</v>
      </c>
      <c r="C158" s="249"/>
      <c r="D158" s="61" t="s">
        <v>287</v>
      </c>
      <c r="E158" s="66" t="s">
        <v>288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49" t="s">
        <v>289</v>
      </c>
      <c r="C159" s="249"/>
      <c r="D159" s="61" t="s">
        <v>287</v>
      </c>
      <c r="E159" s="66" t="s">
        <v>288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49" t="s">
        <v>290</v>
      </c>
      <c r="C160" s="249"/>
      <c r="D160" s="61" t="s">
        <v>287</v>
      </c>
      <c r="E160" s="66" t="s">
        <v>288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291</v>
      </c>
      <c r="C161" s="33"/>
      <c r="D161" s="61" t="s">
        <v>287</v>
      </c>
      <c r="E161" s="66" t="s">
        <v>288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59" t="s">
        <v>292</v>
      </c>
      <c r="C162" s="260"/>
      <c r="D162" s="61" t="s">
        <v>287</v>
      </c>
      <c r="E162" s="66" t="s">
        <v>288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293</v>
      </c>
      <c r="C163" s="33"/>
      <c r="D163" s="61" t="s">
        <v>287</v>
      </c>
      <c r="E163" s="66" t="s">
        <v>288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294</v>
      </c>
      <c r="C164" s="33"/>
      <c r="D164" s="61" t="s">
        <v>287</v>
      </c>
      <c r="E164" s="66" t="s">
        <v>288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59" t="s">
        <v>295</v>
      </c>
      <c r="C165" s="260"/>
      <c r="D165" s="61" t="s">
        <v>287</v>
      </c>
      <c r="E165" s="66" t="s">
        <v>296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59" t="s">
        <v>297</v>
      </c>
      <c r="C166" s="260"/>
      <c r="D166" s="61" t="s">
        <v>287</v>
      </c>
      <c r="E166" s="66" t="s">
        <v>296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298</v>
      </c>
      <c r="C167" s="33"/>
      <c r="D167" s="61" t="s">
        <v>287</v>
      </c>
      <c r="E167" s="66" t="s">
        <v>299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59" t="s">
        <v>300</v>
      </c>
      <c r="C168" s="260"/>
      <c r="D168" s="61" t="s">
        <v>287</v>
      </c>
      <c r="E168" s="66" t="s">
        <v>301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59" t="s">
        <v>302</v>
      </c>
      <c r="C169" s="260"/>
      <c r="D169" s="61" t="s">
        <v>303</v>
      </c>
      <c r="E169" s="66" t="s">
        <v>417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59" t="s">
        <v>305</v>
      </c>
      <c r="C170" s="260"/>
      <c r="D170" s="61" t="s">
        <v>303</v>
      </c>
      <c r="E170" s="66" t="s">
        <v>417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59" t="s">
        <v>306</v>
      </c>
      <c r="C171" s="260"/>
      <c r="D171" s="61" t="s">
        <v>303</v>
      </c>
      <c r="E171" s="66" t="s">
        <v>417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59" t="s">
        <v>307</v>
      </c>
      <c r="C172" s="260"/>
      <c r="D172" s="61" t="s">
        <v>303</v>
      </c>
      <c r="E172" s="66" t="s">
        <v>417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59" t="s">
        <v>469</v>
      </c>
      <c r="C173" s="260"/>
      <c r="D173" s="61" t="s">
        <v>303</v>
      </c>
      <c r="E173" s="66" t="s">
        <v>417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59" t="s">
        <v>308</v>
      </c>
      <c r="C174" s="260"/>
      <c r="D174" s="61" t="s">
        <v>303</v>
      </c>
      <c r="E174" s="66" t="s">
        <v>417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78" t="s">
        <v>309</v>
      </c>
      <c r="C175" s="279"/>
      <c r="D175" s="61" t="s">
        <v>303</v>
      </c>
      <c r="E175" s="66" t="s">
        <v>310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80" t="s">
        <v>311</v>
      </c>
      <c r="C176" s="281"/>
      <c r="D176" s="61" t="s">
        <v>303</v>
      </c>
      <c r="E176" s="66" t="s">
        <v>310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312</v>
      </c>
      <c r="C177" s="96"/>
      <c r="D177" s="61" t="s">
        <v>303</v>
      </c>
      <c r="E177" s="66" t="s">
        <v>310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313</v>
      </c>
      <c r="C178" s="96"/>
      <c r="D178" s="61" t="s">
        <v>303</v>
      </c>
      <c r="E178" s="66" t="s">
        <v>316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486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47" t="s">
        <v>319</v>
      </c>
      <c r="C180" s="247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48"/>
      <c r="C181" s="248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48"/>
      <c r="C182" s="248"/>
      <c r="D182" s="230" t="s">
        <v>320</v>
      </c>
      <c r="E182" s="230"/>
      <c r="F182" s="230"/>
      <c r="G182" s="230"/>
      <c r="H182" s="230"/>
      <c r="I182" s="230"/>
      <c r="J182" s="230"/>
      <c r="K182" s="233" t="s">
        <v>321</v>
      </c>
      <c r="L182" s="233"/>
      <c r="M182" s="233"/>
      <c r="N182" s="40"/>
      <c r="O182" s="233" t="s">
        <v>322</v>
      </c>
      <c r="P182" s="233"/>
      <c r="Q182" s="233"/>
      <c r="R182" s="233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48"/>
      <c r="C183" s="248"/>
      <c r="D183" s="230"/>
      <c r="E183" s="230"/>
      <c r="F183" s="230"/>
      <c r="G183" s="230"/>
      <c r="H183" s="230"/>
      <c r="I183" s="230"/>
      <c r="J183" s="230"/>
      <c r="K183" s="233"/>
      <c r="L183" s="233"/>
      <c r="M183" s="233"/>
      <c r="N183" s="40"/>
      <c r="O183" s="233"/>
      <c r="P183" s="233"/>
      <c r="Q183" s="233"/>
      <c r="R183" s="233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31" t="s">
        <v>489</v>
      </c>
      <c r="C1" s="231"/>
      <c r="D1" s="231"/>
      <c r="E1" s="231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31" t="s">
        <v>2</v>
      </c>
      <c r="C3" s="231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52"/>
      <c r="C4" s="252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494</v>
      </c>
      <c r="S4" s="173" t="s">
        <v>495</v>
      </c>
    </row>
    <row r="5" spans="1:19" ht="20.100000000000001" customHeight="1">
      <c r="A5" s="21" t="s">
        <v>35</v>
      </c>
      <c r="B5" s="254" t="s">
        <v>36</v>
      </c>
      <c r="C5" s="254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59" t="s">
        <v>52</v>
      </c>
      <c r="C6" s="260"/>
      <c r="D6" s="61" t="s">
        <v>53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65</v>
      </c>
      <c r="C7" s="103"/>
      <c r="D7" s="61" t="s">
        <v>450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67" t="s">
        <v>78</v>
      </c>
      <c r="C8" s="268"/>
      <c r="D8" s="33" t="s">
        <v>79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69" t="s">
        <v>473</v>
      </c>
      <c r="C9" s="270"/>
      <c r="D9" s="47" t="s">
        <v>114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50" t="s">
        <v>34</v>
      </c>
      <c r="C10" s="250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55" t="s">
        <v>143</v>
      </c>
      <c r="C11" s="256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59" t="s">
        <v>146</v>
      </c>
      <c r="C12" s="260"/>
      <c r="D12" s="61" t="s">
        <v>496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55" t="s">
        <v>34</v>
      </c>
      <c r="C13" s="256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55" t="s">
        <v>436</v>
      </c>
      <c r="C14" s="256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152</v>
      </c>
      <c r="C15" s="160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156</v>
      </c>
      <c r="C16" s="160"/>
      <c r="D16" s="47" t="s">
        <v>138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69" t="s">
        <v>164</v>
      </c>
      <c r="C17" s="270"/>
      <c r="D17" s="47" t="s">
        <v>159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69" t="s">
        <v>165</v>
      </c>
      <c r="C18" s="270"/>
      <c r="D18" s="47" t="s">
        <v>166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67" t="s">
        <v>167</v>
      </c>
      <c r="C19" s="268"/>
      <c r="D19" s="47" t="s">
        <v>166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55" t="s">
        <v>34</v>
      </c>
      <c r="C20" s="256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55" t="s">
        <v>474</v>
      </c>
      <c r="C21" s="256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171</v>
      </c>
      <c r="D22" s="1" t="s">
        <v>475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173</v>
      </c>
      <c r="D23" s="1" t="s">
        <v>174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454</v>
      </c>
      <c r="D24" s="1" t="s">
        <v>455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59" t="s">
        <v>176</v>
      </c>
      <c r="C25" s="260"/>
      <c r="D25" s="33" t="s">
        <v>163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177</v>
      </c>
      <c r="C26" s="103"/>
      <c r="D26" s="33" t="s">
        <v>178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179</v>
      </c>
      <c r="C27" s="103"/>
      <c r="D27" s="33" t="s">
        <v>180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55" t="s">
        <v>34</v>
      </c>
      <c r="C28" s="256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63" t="s">
        <v>437</v>
      </c>
      <c r="C29" s="264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59" t="s">
        <v>81</v>
      </c>
      <c r="C30" s="260"/>
      <c r="D30" s="61" t="s">
        <v>138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59" t="s">
        <v>190</v>
      </c>
      <c r="C31" s="260"/>
      <c r="D31" s="61" t="s">
        <v>136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59" t="s">
        <v>194</v>
      </c>
      <c r="C32" s="260"/>
      <c r="D32" s="61" t="s">
        <v>138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59" t="s">
        <v>195</v>
      </c>
      <c r="C33" s="260"/>
      <c r="D33" s="61" t="s">
        <v>138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50" t="s">
        <v>34</v>
      </c>
      <c r="C34" s="250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205</v>
      </c>
      <c r="C35" s="165"/>
      <c r="S35" s="33"/>
    </row>
    <row r="36" spans="1:19" ht="20.100000000000001" customHeight="1">
      <c r="A36" s="33">
        <v>1</v>
      </c>
      <c r="B36" s="1" t="s">
        <v>497</v>
      </c>
      <c r="D36" s="1" t="s">
        <v>214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50" t="s">
        <v>34</v>
      </c>
      <c r="C37" s="250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498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313</v>
      </c>
      <c r="D39" s="1" t="s">
        <v>303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50" t="s">
        <v>34</v>
      </c>
      <c r="C40" s="250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284" t="s">
        <v>319</v>
      </c>
      <c r="C41" s="284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320</v>
      </c>
      <c r="E43" s="171"/>
      <c r="F43" s="171"/>
      <c r="G43" s="171"/>
      <c r="H43" s="171"/>
      <c r="I43" s="171"/>
      <c r="J43" s="171"/>
      <c r="K43" s="172" t="s">
        <v>321</v>
      </c>
      <c r="L43" s="172"/>
      <c r="M43" s="172"/>
      <c r="N43" s="172"/>
      <c r="O43" s="172" t="s">
        <v>322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31" t="s">
        <v>499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2" t="s">
        <v>3</v>
      </c>
      <c r="V5" s="232"/>
      <c r="W5" s="232"/>
      <c r="X5" s="232"/>
      <c r="Y5" s="232"/>
      <c r="Z5" s="56"/>
      <c r="AA5" s="56" t="s">
        <v>4</v>
      </c>
    </row>
    <row r="6" spans="1:33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500</v>
      </c>
      <c r="S6" s="59" t="s">
        <v>501</v>
      </c>
      <c r="T6" s="59" t="s">
        <v>502</v>
      </c>
      <c r="U6" s="2"/>
      <c r="V6" s="2"/>
      <c r="W6" s="2"/>
      <c r="X6" s="7"/>
      <c r="Y6" s="7"/>
      <c r="Z6" s="7" t="s">
        <v>503</v>
      </c>
      <c r="AA6" s="7" t="s">
        <v>504</v>
      </c>
    </row>
    <row r="7" spans="1:33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67" t="s">
        <v>55</v>
      </c>
      <c r="C10" s="268"/>
      <c r="D10" s="33" t="s">
        <v>505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69" t="s">
        <v>58</v>
      </c>
      <c r="C11" s="270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67" t="s">
        <v>60</v>
      </c>
      <c r="C12" s="26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67" t="s">
        <v>44</v>
      </c>
      <c r="C13" s="268"/>
      <c r="D13" s="43" t="s">
        <v>449</v>
      </c>
      <c r="E13" s="78" t="s">
        <v>506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67" t="s">
        <v>50</v>
      </c>
      <c r="C14" s="268"/>
      <c r="D14" s="43" t="s">
        <v>51</v>
      </c>
      <c r="E14" s="78" t="s">
        <v>64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67" t="s">
        <v>492</v>
      </c>
      <c r="C15" s="268"/>
      <c r="D15" s="43" t="s">
        <v>493</v>
      </c>
      <c r="E15" s="44" t="s">
        <v>139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67" t="s">
        <v>68</v>
      </c>
      <c r="C16" s="268"/>
      <c r="D16" s="43" t="s">
        <v>406</v>
      </c>
      <c r="E16" s="44" t="s">
        <v>139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67" t="s">
        <v>71</v>
      </c>
      <c r="C17" s="268"/>
      <c r="D17" s="33" t="s">
        <v>408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67" t="s">
        <v>73</v>
      </c>
      <c r="C18" s="268"/>
      <c r="D18" s="33" t="s">
        <v>409</v>
      </c>
      <c r="E18" s="3" t="s">
        <v>139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59" t="s">
        <v>75</v>
      </c>
      <c r="C19" s="260"/>
      <c r="D19" s="61" t="s">
        <v>408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59" t="s">
        <v>84</v>
      </c>
      <c r="C20" s="260"/>
      <c r="D20" s="61" t="s">
        <v>85</v>
      </c>
      <c r="E20" s="66" t="s">
        <v>92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59" t="s">
        <v>87</v>
      </c>
      <c r="C21" s="260"/>
      <c r="D21" s="61" t="s">
        <v>94</v>
      </c>
      <c r="E21" s="66" t="s">
        <v>413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93</v>
      </c>
      <c r="C22" s="103"/>
      <c r="D22" s="61" t="s">
        <v>94</v>
      </c>
      <c r="E22" s="66" t="s">
        <v>112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96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99</v>
      </c>
      <c r="C24" s="103"/>
      <c r="D24" s="61"/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49" t="s">
        <v>101</v>
      </c>
      <c r="C25" s="249"/>
      <c r="D25" s="33" t="s">
        <v>105</v>
      </c>
      <c r="E25" s="66" t="s">
        <v>507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59" t="s">
        <v>104</v>
      </c>
      <c r="C26" s="260"/>
      <c r="D26" s="33" t="s">
        <v>105</v>
      </c>
      <c r="E26" s="66" t="s">
        <v>92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106</v>
      </c>
      <c r="C27" s="103"/>
      <c r="D27" s="33" t="s">
        <v>107</v>
      </c>
      <c r="E27" s="66" t="s">
        <v>100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50" t="s">
        <v>34</v>
      </c>
      <c r="C28" s="250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50" t="s">
        <v>118</v>
      </c>
      <c r="C30" s="250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10" t="s">
        <v>451</v>
      </c>
      <c r="C31" s="311"/>
      <c r="D31" s="61" t="s">
        <v>452</v>
      </c>
      <c r="E31" s="66" t="s">
        <v>121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10" t="s">
        <v>508</v>
      </c>
      <c r="C32" s="311"/>
      <c r="D32" s="61" t="s">
        <v>509</v>
      </c>
      <c r="E32" s="66" t="s">
        <v>413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82"/>
      <c r="C34" s="283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57" t="s">
        <v>122</v>
      </c>
      <c r="C35" s="258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59" t="s">
        <v>123</v>
      </c>
      <c r="C36" s="260"/>
      <c r="D36" s="33" t="s">
        <v>124</v>
      </c>
      <c r="E36" s="3" t="s">
        <v>151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59" t="s">
        <v>125</v>
      </c>
      <c r="C37" s="260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59" t="s">
        <v>127</v>
      </c>
      <c r="C38" s="260"/>
      <c r="D38" s="33" t="s">
        <v>128</v>
      </c>
      <c r="E38" s="3" t="s">
        <v>64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59" t="s">
        <v>129</v>
      </c>
      <c r="C39" s="260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59" t="s">
        <v>131</v>
      </c>
      <c r="C40" s="260"/>
      <c r="D40" s="33" t="s">
        <v>132</v>
      </c>
      <c r="E40" s="3" t="s">
        <v>510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59" t="s">
        <v>134</v>
      </c>
      <c r="C41" s="260"/>
      <c r="D41" s="33" t="s">
        <v>142</v>
      </c>
      <c r="E41" s="3" t="s">
        <v>139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65" t="s">
        <v>135</v>
      </c>
      <c r="C42" s="266"/>
      <c r="D42" s="20" t="s">
        <v>484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59" t="s">
        <v>137</v>
      </c>
      <c r="C43" s="260"/>
      <c r="D43" s="33" t="s">
        <v>138</v>
      </c>
      <c r="E43" s="3" t="s">
        <v>103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59" t="s">
        <v>140</v>
      </c>
      <c r="C44" s="260"/>
      <c r="D44" s="33" t="s">
        <v>142</v>
      </c>
      <c r="E44" s="3" t="s">
        <v>139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59" t="s">
        <v>453</v>
      </c>
      <c r="C45" s="260"/>
      <c r="D45" s="33" t="s">
        <v>142</v>
      </c>
      <c r="E45" s="3" t="s">
        <v>139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69" t="s">
        <v>141</v>
      </c>
      <c r="C46" s="270"/>
      <c r="D46" s="20" t="s">
        <v>159</v>
      </c>
      <c r="E46" s="29" t="s">
        <v>86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55" t="s">
        <v>34</v>
      </c>
      <c r="C47" s="256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55" t="s">
        <v>143</v>
      </c>
      <c r="C49" s="25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59" t="s">
        <v>144</v>
      </c>
      <c r="C50" s="260"/>
      <c r="D50" s="61" t="s">
        <v>145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55" t="s">
        <v>34</v>
      </c>
      <c r="C51" s="256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55"/>
      <c r="C52" s="25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55" t="s">
        <v>436</v>
      </c>
      <c r="C53" s="25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69" t="s">
        <v>149</v>
      </c>
      <c r="C54" s="270"/>
      <c r="D54" s="47" t="s">
        <v>150</v>
      </c>
      <c r="E54" s="29" t="s">
        <v>121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67" t="s">
        <v>187</v>
      </c>
      <c r="C55" s="268"/>
      <c r="D55" s="33" t="s">
        <v>138</v>
      </c>
      <c r="E55" s="3" t="s">
        <v>154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69" t="s">
        <v>155</v>
      </c>
      <c r="C56" s="270"/>
      <c r="D56" s="47" t="s">
        <v>159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49" t="s">
        <v>161</v>
      </c>
      <c r="C57" s="249"/>
      <c r="D57" s="61" t="s">
        <v>412</v>
      </c>
      <c r="E57" s="66" t="s">
        <v>413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55" t="s">
        <v>34</v>
      </c>
      <c r="C58" s="256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55" t="s">
        <v>474</v>
      </c>
      <c r="C60" s="25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59" t="s">
        <v>169</v>
      </c>
      <c r="C61" s="260"/>
      <c r="D61" s="33" t="s">
        <v>170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59" t="s">
        <v>185</v>
      </c>
      <c r="C62" s="260"/>
      <c r="D62" s="33" t="s">
        <v>132</v>
      </c>
      <c r="E62" s="3" t="s">
        <v>188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59" t="s">
        <v>162</v>
      </c>
      <c r="C63" s="260"/>
      <c r="D63" s="33" t="s">
        <v>163</v>
      </c>
      <c r="E63" s="3" t="s">
        <v>92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59" t="s">
        <v>175</v>
      </c>
      <c r="C64" s="260"/>
      <c r="D64" s="61" t="s">
        <v>163</v>
      </c>
      <c r="E64" s="66" t="s">
        <v>413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55" t="s">
        <v>34</v>
      </c>
      <c r="C65" s="256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61"/>
      <c r="C66" s="26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63" t="s">
        <v>437</v>
      </c>
      <c r="C67" s="26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59" t="s">
        <v>41</v>
      </c>
      <c r="C68" s="260"/>
      <c r="D68" s="61" t="s">
        <v>511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59" t="s">
        <v>182</v>
      </c>
      <c r="C69" s="260"/>
      <c r="D69" s="33" t="s">
        <v>172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59" t="s">
        <v>184</v>
      </c>
      <c r="C70" s="260"/>
      <c r="D70" s="33" t="s">
        <v>132</v>
      </c>
      <c r="E70" s="3" t="s">
        <v>133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59" t="s">
        <v>186</v>
      </c>
      <c r="C71" s="260"/>
      <c r="D71" s="33" t="s">
        <v>142</v>
      </c>
      <c r="E71" s="3" t="s">
        <v>154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69" t="s">
        <v>189</v>
      </c>
      <c r="C72" s="270"/>
      <c r="D72" s="20" t="s">
        <v>142</v>
      </c>
      <c r="E72" s="29" t="s">
        <v>139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69" t="s">
        <v>158</v>
      </c>
      <c r="C73" s="270"/>
      <c r="D73" s="20" t="s">
        <v>159</v>
      </c>
      <c r="E73" s="29" t="s">
        <v>507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69" t="s">
        <v>153</v>
      </c>
      <c r="C74" s="270"/>
      <c r="D74" s="20" t="s">
        <v>142</v>
      </c>
      <c r="E74" s="29" t="s">
        <v>139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69" t="s">
        <v>456</v>
      </c>
      <c r="C75" s="270"/>
      <c r="D75" s="20" t="s">
        <v>512</v>
      </c>
      <c r="E75" s="29" t="s">
        <v>139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49" t="s">
        <v>193</v>
      </c>
      <c r="C76" s="249"/>
      <c r="D76" s="33" t="s">
        <v>159</v>
      </c>
      <c r="E76" s="66" t="s">
        <v>86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50" t="s">
        <v>34</v>
      </c>
      <c r="C77" s="250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50" t="s">
        <v>196</v>
      </c>
      <c r="C79" s="250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59" t="s">
        <v>47</v>
      </c>
      <c r="C80" s="260"/>
      <c r="D80" s="33" t="s">
        <v>513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69" t="s">
        <v>199</v>
      </c>
      <c r="C81" s="270"/>
      <c r="D81" s="20" t="s">
        <v>457</v>
      </c>
      <c r="E81" s="29" t="s">
        <v>139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59" t="s">
        <v>203</v>
      </c>
      <c r="C82" s="260"/>
      <c r="D82" s="33" t="s">
        <v>514</v>
      </c>
      <c r="E82" s="66" t="s">
        <v>92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90</v>
      </c>
      <c r="C83" s="103"/>
      <c r="D83" s="33"/>
      <c r="E83" s="66" t="s">
        <v>100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50" t="s">
        <v>34</v>
      </c>
      <c r="C84" s="250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50" t="s">
        <v>205</v>
      </c>
      <c r="C86" s="250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59" t="s">
        <v>206</v>
      </c>
      <c r="C87" s="260"/>
      <c r="D87" s="61" t="s">
        <v>207</v>
      </c>
      <c r="E87" s="66" t="s">
        <v>121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10" t="s">
        <v>208</v>
      </c>
      <c r="C88" s="311"/>
      <c r="D88" s="33" t="s">
        <v>209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59" t="s">
        <v>210</v>
      </c>
      <c r="C89" s="260"/>
      <c r="D89" s="33" t="s">
        <v>515</v>
      </c>
      <c r="E89" s="3" t="s">
        <v>154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69" t="s">
        <v>212</v>
      </c>
      <c r="C90" s="270"/>
      <c r="D90" s="20" t="s">
        <v>516</v>
      </c>
      <c r="E90" s="29" t="s">
        <v>517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50" t="s">
        <v>34</v>
      </c>
      <c r="C91" s="250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50" t="s">
        <v>218</v>
      </c>
      <c r="C93" s="250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49" t="s">
        <v>219</v>
      </c>
      <c r="C94" s="249"/>
      <c r="D94" s="61" t="s">
        <v>220</v>
      </c>
      <c r="E94" s="66" t="s">
        <v>151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49" t="s">
        <v>221</v>
      </c>
      <c r="C95" s="249"/>
      <c r="D95" s="61" t="s">
        <v>222</v>
      </c>
      <c r="E95" s="66" t="s">
        <v>506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49" t="s">
        <v>223</v>
      </c>
      <c r="C96" s="249"/>
      <c r="D96" s="61" t="s">
        <v>458</v>
      </c>
      <c r="E96" s="66" t="s">
        <v>64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49" t="s">
        <v>62</v>
      </c>
      <c r="C97" s="249"/>
      <c r="D97" s="61" t="s">
        <v>518</v>
      </c>
      <c r="E97" s="66" t="s">
        <v>154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51" t="s">
        <v>225</v>
      </c>
      <c r="C98" s="251"/>
      <c r="D98" s="33" t="s">
        <v>519</v>
      </c>
      <c r="E98" s="66" t="s">
        <v>154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09" t="s">
        <v>227</v>
      </c>
      <c r="C99" s="309"/>
      <c r="D99" s="61" t="s">
        <v>461</v>
      </c>
      <c r="E99" s="66" t="s">
        <v>103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49" t="s">
        <v>229</v>
      </c>
      <c r="C100" s="249"/>
      <c r="D100" s="61" t="s">
        <v>520</v>
      </c>
      <c r="E100" s="66" t="s">
        <v>413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49" t="s">
        <v>231</v>
      </c>
      <c r="C101" s="249"/>
      <c r="D101" s="61" t="s">
        <v>520</v>
      </c>
      <c r="E101" s="66" t="s">
        <v>413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49" t="s">
        <v>250</v>
      </c>
      <c r="C102" s="249"/>
      <c r="D102" s="33" t="s">
        <v>252</v>
      </c>
      <c r="E102" s="66" t="s">
        <v>139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59" t="s">
        <v>108</v>
      </c>
      <c r="C103" s="260"/>
      <c r="D103" s="61" t="s">
        <v>109</v>
      </c>
      <c r="E103" s="66" t="s">
        <v>115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435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50" t="s">
        <v>34</v>
      </c>
      <c r="C105" s="250"/>
      <c r="D105" s="98" t="s">
        <v>521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50" t="s">
        <v>235</v>
      </c>
      <c r="C107" s="250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49" t="s">
        <v>236</v>
      </c>
      <c r="C108" s="249"/>
      <c r="D108" s="61" t="s">
        <v>464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49" t="s">
        <v>238</v>
      </c>
      <c r="C109" s="249"/>
      <c r="D109" s="61" t="s">
        <v>465</v>
      </c>
      <c r="E109" s="66" t="s">
        <v>151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09" t="s">
        <v>240</v>
      </c>
      <c r="C110" s="309"/>
      <c r="D110" s="61" t="s">
        <v>466</v>
      </c>
      <c r="E110" s="66" t="s">
        <v>506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65" t="s">
        <v>242</v>
      </c>
      <c r="C111" s="266"/>
      <c r="D111" s="20" t="s">
        <v>467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67" t="s">
        <v>157</v>
      </c>
      <c r="C112" s="268"/>
      <c r="D112" s="33" t="s">
        <v>485</v>
      </c>
      <c r="E112" s="66" t="s">
        <v>139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59" t="s">
        <v>253</v>
      </c>
      <c r="C113" s="260"/>
      <c r="D113" s="61" t="s">
        <v>412</v>
      </c>
      <c r="E113" s="66" t="s">
        <v>413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49" t="s">
        <v>246</v>
      </c>
      <c r="C114" s="249"/>
      <c r="D114" s="61" t="s">
        <v>411</v>
      </c>
      <c r="E114" s="66" t="s">
        <v>139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49" t="s">
        <v>248</v>
      </c>
      <c r="C115" s="249"/>
      <c r="D115" s="33" t="s">
        <v>252</v>
      </c>
      <c r="E115" s="66" t="s">
        <v>139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49" t="s">
        <v>251</v>
      </c>
      <c r="C116" s="249"/>
      <c r="D116" s="33" t="s">
        <v>258</v>
      </c>
      <c r="E116" s="66" t="s">
        <v>413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49" t="s">
        <v>255</v>
      </c>
      <c r="C117" s="249"/>
      <c r="D117" s="33" t="s">
        <v>412</v>
      </c>
      <c r="E117" s="66" t="s">
        <v>86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59" t="s">
        <v>257</v>
      </c>
      <c r="C118" s="260"/>
      <c r="D118" s="33" t="s">
        <v>258</v>
      </c>
      <c r="E118" s="66" t="s">
        <v>92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59" t="s">
        <v>259</v>
      </c>
      <c r="C119" s="260"/>
      <c r="D119" s="61" t="s">
        <v>522</v>
      </c>
      <c r="E119" s="66" t="s">
        <v>415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59" t="s">
        <v>263</v>
      </c>
      <c r="C120" s="260"/>
      <c r="D120" s="61" t="s">
        <v>262</v>
      </c>
      <c r="E120" s="66" t="s">
        <v>110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59" t="s">
        <v>264</v>
      </c>
      <c r="C121" s="260"/>
      <c r="D121" s="61" t="s">
        <v>262</v>
      </c>
      <c r="E121" s="66" t="s">
        <v>110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59" t="s">
        <v>265</v>
      </c>
      <c r="C122" s="260"/>
      <c r="D122" s="61" t="s">
        <v>262</v>
      </c>
      <c r="E122" s="66" t="s">
        <v>110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59" t="s">
        <v>266</v>
      </c>
      <c r="C123" s="260"/>
      <c r="D123" s="61" t="s">
        <v>262</v>
      </c>
      <c r="E123" s="66" t="s">
        <v>115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59" t="s">
        <v>267</v>
      </c>
      <c r="C124" s="260"/>
      <c r="D124" s="61" t="s">
        <v>268</v>
      </c>
      <c r="E124" s="66" t="s">
        <v>115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59" t="s">
        <v>213</v>
      </c>
      <c r="C125" s="260"/>
      <c r="D125" s="61" t="s">
        <v>478</v>
      </c>
      <c r="E125" s="66" t="s">
        <v>115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59" t="s">
        <v>270</v>
      </c>
      <c r="C126" s="260"/>
      <c r="D126" s="61" t="s">
        <v>478</v>
      </c>
      <c r="E126" s="66" t="s">
        <v>115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59" t="s">
        <v>269</v>
      </c>
      <c r="C127" s="260"/>
      <c r="D127" s="61" t="s">
        <v>262</v>
      </c>
      <c r="E127" s="66" t="s">
        <v>115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59" t="s">
        <v>256</v>
      </c>
      <c r="C128" s="260"/>
      <c r="D128" s="61" t="s">
        <v>414</v>
      </c>
      <c r="E128" s="66" t="s">
        <v>413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59" t="s">
        <v>261</v>
      </c>
      <c r="C129" s="260"/>
      <c r="D129" s="61" t="s">
        <v>262</v>
      </c>
      <c r="E129" s="66" t="s">
        <v>92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272</v>
      </c>
      <c r="C130" s="103"/>
      <c r="D130" s="61" t="s">
        <v>273</v>
      </c>
      <c r="E130" s="66" t="s">
        <v>435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49" t="s">
        <v>277</v>
      </c>
      <c r="C131" s="249"/>
      <c r="D131" s="61" t="s">
        <v>287</v>
      </c>
      <c r="E131" s="66" t="s">
        <v>523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49" t="s">
        <v>280</v>
      </c>
      <c r="C132" s="249"/>
      <c r="D132" s="61" t="s">
        <v>287</v>
      </c>
      <c r="E132" s="66" t="s">
        <v>523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49" t="s">
        <v>281</v>
      </c>
      <c r="C133" s="249"/>
      <c r="D133" s="61" t="s">
        <v>287</v>
      </c>
      <c r="E133" s="66" t="s">
        <v>523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49" t="s">
        <v>282</v>
      </c>
      <c r="C134" s="249"/>
      <c r="D134" s="61" t="s">
        <v>287</v>
      </c>
      <c r="E134" s="66" t="s">
        <v>523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49" t="s">
        <v>283</v>
      </c>
      <c r="C135" s="249"/>
      <c r="D135" s="61" t="s">
        <v>287</v>
      </c>
      <c r="E135" s="66" t="s">
        <v>523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49" t="s">
        <v>284</v>
      </c>
      <c r="C136" s="249"/>
      <c r="D136" s="61" t="s">
        <v>287</v>
      </c>
      <c r="E136" s="66" t="s">
        <v>523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49" t="s">
        <v>285</v>
      </c>
      <c r="C137" s="249"/>
      <c r="D137" s="61" t="s">
        <v>287</v>
      </c>
      <c r="E137" s="66" t="s">
        <v>523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49" t="s">
        <v>286</v>
      </c>
      <c r="C138" s="249"/>
      <c r="D138" s="61" t="s">
        <v>303</v>
      </c>
      <c r="E138" s="66" t="s">
        <v>524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49" t="s">
        <v>289</v>
      </c>
      <c r="C139" s="249"/>
      <c r="D139" s="61" t="s">
        <v>303</v>
      </c>
      <c r="E139" s="66" t="s">
        <v>524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49" t="s">
        <v>290</v>
      </c>
      <c r="C140" s="249"/>
      <c r="D140" s="61" t="s">
        <v>303</v>
      </c>
      <c r="E140" s="66" t="s">
        <v>524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291</v>
      </c>
      <c r="C141" s="33"/>
      <c r="D141" s="61" t="s">
        <v>303</v>
      </c>
      <c r="E141" s="66" t="s">
        <v>524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59" t="s">
        <v>292</v>
      </c>
      <c r="C142" s="260"/>
      <c r="D142" s="61" t="s">
        <v>303</v>
      </c>
      <c r="E142" s="66" t="s">
        <v>524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293</v>
      </c>
      <c r="C143" s="33"/>
      <c r="D143" s="61" t="s">
        <v>303</v>
      </c>
      <c r="E143" s="66" t="s">
        <v>524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294</v>
      </c>
      <c r="C144" s="33"/>
      <c r="D144" s="61" t="s">
        <v>303</v>
      </c>
      <c r="E144" s="66" t="s">
        <v>524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59" t="s">
        <v>295</v>
      </c>
      <c r="C145" s="260"/>
      <c r="D145" s="61" t="s">
        <v>303</v>
      </c>
      <c r="E145" s="66" t="s">
        <v>301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59" t="s">
        <v>297</v>
      </c>
      <c r="C146" s="260"/>
      <c r="D146" s="61" t="s">
        <v>303</v>
      </c>
      <c r="E146" s="66" t="s">
        <v>301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298</v>
      </c>
      <c r="C147" s="33"/>
      <c r="D147" s="61" t="s">
        <v>303</v>
      </c>
      <c r="E147" s="66" t="s">
        <v>525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59" t="s">
        <v>300</v>
      </c>
      <c r="C148" s="260"/>
      <c r="D148" s="61" t="s">
        <v>303</v>
      </c>
      <c r="E148" s="66" t="s">
        <v>310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59" t="s">
        <v>302</v>
      </c>
      <c r="C149" s="260"/>
      <c r="D149" s="61" t="s">
        <v>303</v>
      </c>
      <c r="E149" s="66" t="s">
        <v>310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59" t="s">
        <v>305</v>
      </c>
      <c r="C150" s="260"/>
      <c r="D150" s="61" t="s">
        <v>303</v>
      </c>
      <c r="E150" s="66" t="s">
        <v>310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59" t="s">
        <v>306</v>
      </c>
      <c r="C151" s="260"/>
      <c r="D151" s="61" t="s">
        <v>303</v>
      </c>
      <c r="E151" s="66" t="s">
        <v>310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59" t="s">
        <v>307</v>
      </c>
      <c r="C152" s="260"/>
      <c r="D152" s="61" t="s">
        <v>303</v>
      </c>
      <c r="E152" s="66" t="s">
        <v>310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59" t="s">
        <v>469</v>
      </c>
      <c r="C153" s="260"/>
      <c r="D153" s="61" t="s">
        <v>303</v>
      </c>
      <c r="E153" s="66" t="s">
        <v>310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59" t="s">
        <v>308</v>
      </c>
      <c r="C154" s="260"/>
      <c r="D154" s="61" t="s">
        <v>303</v>
      </c>
      <c r="E154" s="66" t="s">
        <v>310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78" t="s">
        <v>309</v>
      </c>
      <c r="C155" s="279"/>
      <c r="D155" s="61" t="s">
        <v>303</v>
      </c>
      <c r="E155" s="66" t="s">
        <v>526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80" t="s">
        <v>311</v>
      </c>
      <c r="C156" s="281"/>
      <c r="D156" s="61" t="s">
        <v>303</v>
      </c>
      <c r="E156" s="66" t="s">
        <v>526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312</v>
      </c>
      <c r="C157" s="96"/>
      <c r="D157" s="61" t="s">
        <v>303</v>
      </c>
      <c r="E157" s="66" t="s">
        <v>526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470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47" t="s">
        <v>319</v>
      </c>
      <c r="C159" s="247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48"/>
      <c r="C160" s="248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48"/>
      <c r="C161" s="248"/>
      <c r="D161" s="230" t="s">
        <v>320</v>
      </c>
      <c r="E161" s="230"/>
      <c r="F161" s="230"/>
      <c r="G161" s="230"/>
      <c r="H161" s="230"/>
      <c r="I161" s="230"/>
      <c r="J161" s="230"/>
      <c r="K161" s="233" t="s">
        <v>321</v>
      </c>
      <c r="L161" s="233"/>
      <c r="M161" s="233"/>
      <c r="N161" s="40"/>
      <c r="O161" s="233" t="s">
        <v>322</v>
      </c>
      <c r="P161" s="233"/>
      <c r="Q161" s="233"/>
      <c r="R161" s="233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48"/>
      <c r="C162" s="248"/>
      <c r="D162" s="230"/>
      <c r="E162" s="230"/>
      <c r="F162" s="230"/>
      <c r="G162" s="230"/>
      <c r="H162" s="230"/>
      <c r="I162" s="230"/>
      <c r="J162" s="230"/>
      <c r="K162" s="233"/>
      <c r="L162" s="233"/>
      <c r="M162" s="233"/>
      <c r="N162" s="40"/>
      <c r="O162" s="233"/>
      <c r="P162" s="233"/>
      <c r="Q162" s="233"/>
      <c r="R162" s="233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31" t="s">
        <v>499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32" t="s">
        <v>3</v>
      </c>
      <c r="X5" s="232"/>
      <c r="Y5" s="232"/>
      <c r="Z5" s="232"/>
      <c r="AA5" s="232"/>
      <c r="AB5" s="56"/>
      <c r="AC5" s="56" t="s">
        <v>4</v>
      </c>
    </row>
    <row r="6" spans="1:36" ht="54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527</v>
      </c>
      <c r="S6" s="59" t="s">
        <v>528</v>
      </c>
      <c r="T6" s="59" t="s">
        <v>529</v>
      </c>
      <c r="U6" s="59" t="s">
        <v>530</v>
      </c>
      <c r="V6" s="59" t="s">
        <v>531</v>
      </c>
      <c r="W6" s="2"/>
      <c r="X6" s="2"/>
      <c r="Y6" s="2"/>
      <c r="Z6" s="7"/>
      <c r="AA6" s="7"/>
      <c r="AB6" s="7" t="s">
        <v>503</v>
      </c>
      <c r="AC6" s="7" t="s">
        <v>504</v>
      </c>
    </row>
    <row r="7" spans="1:36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49" t="s">
        <v>101</v>
      </c>
      <c r="C9" s="249"/>
      <c r="D9" s="33" t="s">
        <v>105</v>
      </c>
      <c r="E9" s="66" t="s">
        <v>507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50" t="s">
        <v>34</v>
      </c>
      <c r="C10" s="250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57" t="s">
        <v>122</v>
      </c>
      <c r="C11" s="258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59" t="s">
        <v>134</v>
      </c>
      <c r="C12" s="260"/>
      <c r="D12" s="33" t="s">
        <v>142</v>
      </c>
      <c r="E12" s="3" t="s">
        <v>139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69" t="s">
        <v>141</v>
      </c>
      <c r="C13" s="270"/>
      <c r="D13" s="20" t="s">
        <v>159</v>
      </c>
      <c r="E13" s="29" t="s">
        <v>86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55" t="s">
        <v>34</v>
      </c>
      <c r="C14" s="256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55" t="s">
        <v>436</v>
      </c>
      <c r="C16" s="256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67" t="s">
        <v>187</v>
      </c>
      <c r="C17" s="268"/>
      <c r="D17" s="33" t="s">
        <v>138</v>
      </c>
      <c r="E17" s="3" t="s">
        <v>154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69" t="s">
        <v>155</v>
      </c>
      <c r="C18" s="270"/>
      <c r="D18" s="47" t="s">
        <v>159</v>
      </c>
      <c r="E18" s="29" t="s">
        <v>86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55" t="s">
        <v>34</v>
      </c>
      <c r="C19" s="256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55" t="s">
        <v>474</v>
      </c>
      <c r="C21" s="256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59" t="s">
        <v>185</v>
      </c>
      <c r="C22" s="260"/>
      <c r="D22" s="33" t="s">
        <v>132</v>
      </c>
      <c r="E22" s="3" t="s">
        <v>188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59" t="s">
        <v>175</v>
      </c>
      <c r="C23" s="260"/>
      <c r="D23" s="61" t="s">
        <v>163</v>
      </c>
      <c r="E23" s="66" t="s">
        <v>413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55" t="s">
        <v>34</v>
      </c>
      <c r="C24" s="256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61"/>
      <c r="C25" s="262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63" t="s">
        <v>437</v>
      </c>
      <c r="C26" s="264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59" t="s">
        <v>184</v>
      </c>
      <c r="C27" s="260"/>
      <c r="D27" s="33" t="s">
        <v>132</v>
      </c>
      <c r="E27" s="3" t="s">
        <v>133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59" t="s">
        <v>186</v>
      </c>
      <c r="C28" s="260"/>
      <c r="D28" s="33" t="s">
        <v>142</v>
      </c>
      <c r="E28" s="3" t="s">
        <v>154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69" t="s">
        <v>189</v>
      </c>
      <c r="C29" s="270"/>
      <c r="D29" s="20" t="s">
        <v>142</v>
      </c>
      <c r="E29" s="29" t="s">
        <v>139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69" t="s">
        <v>456</v>
      </c>
      <c r="C30" s="270"/>
      <c r="D30" s="20" t="s">
        <v>512</v>
      </c>
      <c r="E30" s="29" t="s">
        <v>139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49" t="s">
        <v>193</v>
      </c>
      <c r="C31" s="249"/>
      <c r="D31" s="33" t="s">
        <v>159</v>
      </c>
      <c r="E31" s="66" t="s">
        <v>86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50" t="s">
        <v>34</v>
      </c>
      <c r="C32" s="250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50" t="s">
        <v>196</v>
      </c>
      <c r="C34" s="250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69" t="s">
        <v>199</v>
      </c>
      <c r="C35" s="270"/>
      <c r="D35" s="20" t="s">
        <v>457</v>
      </c>
      <c r="E35" s="29" t="s">
        <v>139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50" t="s">
        <v>34</v>
      </c>
      <c r="C36" s="250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50" t="s">
        <v>205</v>
      </c>
      <c r="C38" s="250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69" t="s">
        <v>212</v>
      </c>
      <c r="C39" s="270"/>
      <c r="D39" s="20" t="s">
        <v>516</v>
      </c>
      <c r="E39" s="29" t="s">
        <v>517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50" t="s">
        <v>34</v>
      </c>
      <c r="C40" s="250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50" t="s">
        <v>218</v>
      </c>
      <c r="C42" s="250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49" t="s">
        <v>62</v>
      </c>
      <c r="C43" s="249"/>
      <c r="D43" s="61" t="s">
        <v>518</v>
      </c>
      <c r="E43" s="66" t="s">
        <v>154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51" t="s">
        <v>225</v>
      </c>
      <c r="C44" s="251"/>
      <c r="D44" s="33" t="s">
        <v>519</v>
      </c>
      <c r="E44" s="66" t="s">
        <v>154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49" t="s">
        <v>229</v>
      </c>
      <c r="C45" s="249"/>
      <c r="D45" s="61" t="s">
        <v>520</v>
      </c>
      <c r="E45" s="66" t="s">
        <v>413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49" t="s">
        <v>231</v>
      </c>
      <c r="C46" s="249"/>
      <c r="D46" s="61" t="s">
        <v>520</v>
      </c>
      <c r="E46" s="66" t="s">
        <v>413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50" t="s">
        <v>34</v>
      </c>
      <c r="C47" s="250"/>
      <c r="D47" s="98" t="s">
        <v>521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50" t="s">
        <v>235</v>
      </c>
      <c r="C49" s="250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49" t="s">
        <v>251</v>
      </c>
      <c r="C50" s="249"/>
      <c r="D50" s="33" t="s">
        <v>258</v>
      </c>
      <c r="E50" s="66" t="s">
        <v>413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59" t="s">
        <v>259</v>
      </c>
      <c r="C51" s="260"/>
      <c r="D51" s="61" t="s">
        <v>522</v>
      </c>
      <c r="E51" s="66" t="s">
        <v>415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49" t="s">
        <v>277</v>
      </c>
      <c r="C52" s="249"/>
      <c r="D52" s="61" t="s">
        <v>287</v>
      </c>
      <c r="E52" s="66" t="s">
        <v>523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49" t="s">
        <v>280</v>
      </c>
      <c r="C53" s="249"/>
      <c r="D53" s="61" t="s">
        <v>287</v>
      </c>
      <c r="E53" s="66" t="s">
        <v>523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49" t="s">
        <v>281</v>
      </c>
      <c r="C54" s="249"/>
      <c r="D54" s="61" t="s">
        <v>287</v>
      </c>
      <c r="E54" s="66" t="s">
        <v>523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49" t="s">
        <v>282</v>
      </c>
      <c r="C55" s="249"/>
      <c r="D55" s="61" t="s">
        <v>287</v>
      </c>
      <c r="E55" s="66" t="s">
        <v>523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49" t="s">
        <v>283</v>
      </c>
      <c r="C56" s="249"/>
      <c r="D56" s="61" t="s">
        <v>287</v>
      </c>
      <c r="E56" s="66" t="s">
        <v>523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49" t="s">
        <v>284</v>
      </c>
      <c r="C57" s="249"/>
      <c r="D57" s="61" t="s">
        <v>287</v>
      </c>
      <c r="E57" s="66" t="s">
        <v>523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49" t="s">
        <v>285</v>
      </c>
      <c r="C58" s="249"/>
      <c r="D58" s="61" t="s">
        <v>287</v>
      </c>
      <c r="E58" s="66" t="s">
        <v>523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298</v>
      </c>
      <c r="C59" s="33"/>
      <c r="D59" s="61" t="s">
        <v>303</v>
      </c>
      <c r="E59" s="66" t="s">
        <v>525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59" t="s">
        <v>300</v>
      </c>
      <c r="C60" s="260"/>
      <c r="D60" s="61" t="s">
        <v>303</v>
      </c>
      <c r="E60" s="66" t="s">
        <v>310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470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47" t="s">
        <v>319</v>
      </c>
      <c r="C62" s="247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48"/>
      <c r="C63" s="248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48"/>
      <c r="C64" s="248"/>
      <c r="D64" s="230" t="s">
        <v>320</v>
      </c>
      <c r="E64" s="230"/>
      <c r="F64" s="230"/>
      <c r="G64" s="230"/>
      <c r="H64" s="230"/>
      <c r="I64" s="230"/>
      <c r="J64" s="230"/>
      <c r="K64" s="233" t="s">
        <v>321</v>
      </c>
      <c r="L64" s="233"/>
      <c r="M64" s="233"/>
      <c r="N64" s="40"/>
      <c r="O64" s="233" t="s">
        <v>322</v>
      </c>
      <c r="P64" s="233"/>
      <c r="Q64" s="233"/>
      <c r="R64" s="233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48"/>
      <c r="C65" s="248"/>
      <c r="D65" s="230"/>
      <c r="E65" s="230"/>
      <c r="F65" s="230"/>
      <c r="G65" s="230"/>
      <c r="H65" s="230"/>
      <c r="I65" s="230"/>
      <c r="J65" s="230"/>
      <c r="K65" s="233"/>
      <c r="L65" s="233"/>
      <c r="M65" s="233"/>
      <c r="N65" s="40"/>
      <c r="O65" s="233"/>
      <c r="P65" s="233"/>
      <c r="Q65" s="233"/>
      <c r="R65" s="233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W5:AA5"/>
    <mergeCell ref="B6:C6"/>
    <mergeCell ref="B7:C7"/>
    <mergeCell ref="B8:C8"/>
    <mergeCell ref="B12:C12"/>
    <mergeCell ref="B11:C11"/>
    <mergeCell ref="B9:C9"/>
    <mergeCell ref="B10:C10"/>
    <mergeCell ref="B3:E3"/>
    <mergeCell ref="B5:C5"/>
    <mergeCell ref="B16:C16"/>
    <mergeCell ref="B17:C17"/>
    <mergeCell ref="B18:C18"/>
    <mergeCell ref="B13:C13"/>
    <mergeCell ref="B14:C14"/>
    <mergeCell ref="B24:C24"/>
    <mergeCell ref="B25:C25"/>
    <mergeCell ref="B26:C26"/>
    <mergeCell ref="B27:C27"/>
    <mergeCell ref="B19:C19"/>
    <mergeCell ref="B21:C21"/>
    <mergeCell ref="B22:C22"/>
    <mergeCell ref="B23:C23"/>
    <mergeCell ref="B32:C32"/>
    <mergeCell ref="B34:C34"/>
    <mergeCell ref="B35:C35"/>
    <mergeCell ref="B36:C36"/>
    <mergeCell ref="B28:C28"/>
    <mergeCell ref="B29:C29"/>
    <mergeCell ref="B30:C30"/>
    <mergeCell ref="B31:C31"/>
    <mergeCell ref="B42:C42"/>
    <mergeCell ref="B43:C43"/>
    <mergeCell ref="B44:C44"/>
    <mergeCell ref="B38:C38"/>
    <mergeCell ref="B39:C39"/>
    <mergeCell ref="B40:C40"/>
    <mergeCell ref="B52:C52"/>
    <mergeCell ref="B51:C51"/>
    <mergeCell ref="B50:C50"/>
    <mergeCell ref="B49:C49"/>
    <mergeCell ref="B45:C45"/>
    <mergeCell ref="B46:C46"/>
    <mergeCell ref="B47:C47"/>
    <mergeCell ref="B60:C60"/>
    <mergeCell ref="B53:C53"/>
    <mergeCell ref="B54:C54"/>
    <mergeCell ref="B55:C55"/>
    <mergeCell ref="B56:C56"/>
    <mergeCell ref="B57:C57"/>
    <mergeCell ref="B58:C58"/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532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533</v>
      </c>
      <c r="Z5" s="2" t="s">
        <v>533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504</v>
      </c>
      <c r="Y6" s="145"/>
      <c r="Z6" s="7" t="s">
        <v>534</v>
      </c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59" t="s">
        <v>41</v>
      </c>
      <c r="C10" s="260"/>
      <c r="D10" s="61" t="s">
        <v>535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67" t="s">
        <v>55</v>
      </c>
      <c r="C11" s="268"/>
      <c r="D11" s="33" t="s">
        <v>505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69" t="s">
        <v>58</v>
      </c>
      <c r="C12" s="270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67" t="s">
        <v>60</v>
      </c>
      <c r="C13" s="268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67" t="s">
        <v>44</v>
      </c>
      <c r="C14" s="268"/>
      <c r="D14" s="43" t="s">
        <v>449</v>
      </c>
      <c r="E14" s="78" t="s">
        <v>46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67" t="s">
        <v>50</v>
      </c>
      <c r="C15" s="268"/>
      <c r="D15" s="43" t="s">
        <v>51</v>
      </c>
      <c r="E15" s="78" t="s">
        <v>49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67" t="s">
        <v>68</v>
      </c>
      <c r="C16" s="268"/>
      <c r="D16" s="43" t="s">
        <v>406</v>
      </c>
      <c r="E16" s="44" t="s">
        <v>154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67" t="s">
        <v>71</v>
      </c>
      <c r="C17" s="268"/>
      <c r="D17" s="33" t="s">
        <v>408</v>
      </c>
      <c r="E17" s="3" t="s">
        <v>77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67" t="s">
        <v>73</v>
      </c>
      <c r="C18" s="268"/>
      <c r="D18" s="33" t="s">
        <v>409</v>
      </c>
      <c r="E18" s="3" t="s">
        <v>154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59" t="s">
        <v>75</v>
      </c>
      <c r="C19" s="260"/>
      <c r="D19" s="61" t="s">
        <v>408</v>
      </c>
      <c r="E19" s="66" t="s">
        <v>77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59" t="s">
        <v>84</v>
      </c>
      <c r="C20" s="260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59" t="s">
        <v>87</v>
      </c>
      <c r="C21" s="260"/>
      <c r="D21" s="61" t="s">
        <v>94</v>
      </c>
      <c r="E21" s="66" t="s">
        <v>410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96</v>
      </c>
      <c r="C23" s="103"/>
      <c r="D23" s="61" t="s">
        <v>273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99</v>
      </c>
      <c r="C24" s="103"/>
      <c r="D24" s="61" t="s">
        <v>273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49" t="s">
        <v>101</v>
      </c>
      <c r="C25" s="249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59" t="s">
        <v>104</v>
      </c>
      <c r="C26" s="260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50" t="s">
        <v>34</v>
      </c>
      <c r="C28" s="250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50" t="s">
        <v>118</v>
      </c>
      <c r="C30" s="250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10" t="s">
        <v>451</v>
      </c>
      <c r="C31" s="311"/>
      <c r="D31" s="61" t="s">
        <v>452</v>
      </c>
      <c r="E31" s="66" t="s">
        <v>151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82"/>
      <c r="C33" s="283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57" t="s">
        <v>122</v>
      </c>
      <c r="C34" s="258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59" t="s">
        <v>123</v>
      </c>
      <c r="C35" s="260"/>
      <c r="D35" s="33" t="s">
        <v>124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59" t="s">
        <v>125</v>
      </c>
      <c r="C36" s="260"/>
      <c r="D36" s="33" t="s">
        <v>126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59" t="s">
        <v>127</v>
      </c>
      <c r="C37" s="260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59" t="s">
        <v>129</v>
      </c>
      <c r="C38" s="260"/>
      <c r="D38" s="33" t="s">
        <v>132</v>
      </c>
      <c r="E38" s="3" t="s">
        <v>133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59" t="s">
        <v>131</v>
      </c>
      <c r="C39" s="260"/>
      <c r="D39" s="33" t="s">
        <v>132</v>
      </c>
      <c r="E39" s="3" t="s">
        <v>133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59" t="s">
        <v>134</v>
      </c>
      <c r="C40" s="260"/>
      <c r="D40" s="33" t="s">
        <v>132</v>
      </c>
      <c r="E40" s="3" t="s">
        <v>188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65" t="s">
        <v>135</v>
      </c>
      <c r="C41" s="266"/>
      <c r="D41" s="20" t="s">
        <v>484</v>
      </c>
      <c r="E41" s="25" t="s">
        <v>77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59" t="s">
        <v>137</v>
      </c>
      <c r="C42" s="260"/>
      <c r="D42" s="33" t="s">
        <v>138</v>
      </c>
      <c r="E42" s="3" t="s">
        <v>139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59" t="s">
        <v>140</v>
      </c>
      <c r="C43" s="260"/>
      <c r="D43" s="33" t="s">
        <v>142</v>
      </c>
      <c r="E43" s="3" t="s">
        <v>154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59" t="s">
        <v>453</v>
      </c>
      <c r="C44" s="260"/>
      <c r="D44" s="33" t="s">
        <v>142</v>
      </c>
      <c r="E44" s="3" t="s">
        <v>154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69" t="s">
        <v>141</v>
      </c>
      <c r="C45" s="270"/>
      <c r="D45" s="33" t="s">
        <v>142</v>
      </c>
      <c r="E45" s="29" t="s">
        <v>103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55" t="s">
        <v>34</v>
      </c>
      <c r="C46" s="256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55" t="s">
        <v>143</v>
      </c>
      <c r="C48" s="256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59" t="s">
        <v>144</v>
      </c>
      <c r="C49" s="260"/>
      <c r="D49" s="61" t="s">
        <v>145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55" t="s">
        <v>34</v>
      </c>
      <c r="C50" s="256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55"/>
      <c r="C51" s="256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55" t="s">
        <v>436</v>
      </c>
      <c r="C52" s="25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69" t="s">
        <v>149</v>
      </c>
      <c r="C53" s="270"/>
      <c r="D53" s="47" t="s">
        <v>150</v>
      </c>
      <c r="E53" s="29" t="s">
        <v>151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67" t="s">
        <v>187</v>
      </c>
      <c r="C54" s="268"/>
      <c r="D54" s="33" t="s">
        <v>136</v>
      </c>
      <c r="E54" s="3" t="s">
        <v>188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69" t="s">
        <v>155</v>
      </c>
      <c r="C55" s="270"/>
      <c r="D55" s="33" t="s">
        <v>138</v>
      </c>
      <c r="E55" s="29" t="s">
        <v>103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69" t="s">
        <v>158</v>
      </c>
      <c r="C56" s="270"/>
      <c r="D56" s="20" t="s">
        <v>159</v>
      </c>
      <c r="E56" s="29" t="s">
        <v>160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49" t="s">
        <v>161</v>
      </c>
      <c r="C57" s="249"/>
      <c r="D57" s="61" t="s">
        <v>412</v>
      </c>
      <c r="E57" s="66" t="s">
        <v>410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59" t="s">
        <v>162</v>
      </c>
      <c r="C58" s="260"/>
      <c r="D58" s="33" t="s">
        <v>163</v>
      </c>
      <c r="E58" s="3" t="s">
        <v>86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55" t="s">
        <v>34</v>
      </c>
      <c r="C59" s="256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55" t="s">
        <v>474</v>
      </c>
      <c r="C61" s="256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59" t="s">
        <v>169</v>
      </c>
      <c r="C62" s="260"/>
      <c r="D62" s="33" t="s">
        <v>170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59" t="s">
        <v>175</v>
      </c>
      <c r="C63" s="260"/>
      <c r="D63" s="33" t="s">
        <v>142</v>
      </c>
      <c r="E63" s="66" t="s">
        <v>103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55" t="s">
        <v>34</v>
      </c>
      <c r="C64" s="256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61"/>
      <c r="C65" s="262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63" t="s">
        <v>437</v>
      </c>
      <c r="C66" s="264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59" t="s">
        <v>182</v>
      </c>
      <c r="C67" s="260"/>
      <c r="D67" s="33" t="s">
        <v>172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59" t="s">
        <v>184</v>
      </c>
      <c r="C68" s="260"/>
      <c r="D68" s="33" t="s">
        <v>128</v>
      </c>
      <c r="E68" s="3" t="s">
        <v>64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59" t="s">
        <v>185</v>
      </c>
      <c r="C69" s="260"/>
      <c r="D69" s="33" t="s">
        <v>128</v>
      </c>
      <c r="E69" s="3" t="s">
        <v>64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59" t="s">
        <v>186</v>
      </c>
      <c r="C70" s="260"/>
      <c r="D70" s="33" t="s">
        <v>132</v>
      </c>
      <c r="E70" s="3" t="s">
        <v>188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69" t="s">
        <v>189</v>
      </c>
      <c r="C71" s="270"/>
      <c r="D71" s="33" t="s">
        <v>132</v>
      </c>
      <c r="E71" s="3" t="s">
        <v>188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69" t="s">
        <v>153</v>
      </c>
      <c r="C72" s="270"/>
      <c r="D72" s="20" t="s">
        <v>142</v>
      </c>
      <c r="E72" s="29" t="s">
        <v>154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69" t="s">
        <v>456</v>
      </c>
      <c r="C73" s="270"/>
      <c r="D73" s="33" t="s">
        <v>132</v>
      </c>
      <c r="E73" s="3" t="s">
        <v>188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49" t="s">
        <v>193</v>
      </c>
      <c r="C74" s="249"/>
      <c r="D74" s="33" t="s">
        <v>142</v>
      </c>
      <c r="E74" s="66" t="s">
        <v>103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50" t="s">
        <v>34</v>
      </c>
      <c r="C75" s="250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50" t="s">
        <v>196</v>
      </c>
      <c r="C77" s="250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59" t="s">
        <v>47</v>
      </c>
      <c r="C78" s="260"/>
      <c r="D78" s="33" t="s">
        <v>48</v>
      </c>
      <c r="E78" s="3" t="s">
        <v>49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69" t="s">
        <v>199</v>
      </c>
      <c r="C79" s="270"/>
      <c r="D79" s="20" t="s">
        <v>457</v>
      </c>
      <c r="E79" s="29" t="s">
        <v>191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59" t="s">
        <v>203</v>
      </c>
      <c r="C80" s="260"/>
      <c r="D80" s="33" t="s">
        <v>536</v>
      </c>
      <c r="E80" s="66" t="s">
        <v>86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90</v>
      </c>
      <c r="C81" s="103"/>
      <c r="D81" s="33" t="s">
        <v>536</v>
      </c>
      <c r="E81" s="66" t="s">
        <v>92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50" t="s">
        <v>34</v>
      </c>
      <c r="C82" s="250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50" t="s">
        <v>205</v>
      </c>
      <c r="C84" s="250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59" t="s">
        <v>206</v>
      </c>
      <c r="C85" s="260"/>
      <c r="D85" s="61" t="s">
        <v>207</v>
      </c>
      <c r="E85" s="66" t="s">
        <v>151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10" t="s">
        <v>208</v>
      </c>
      <c r="C86" s="311"/>
      <c r="D86" s="33" t="s">
        <v>209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59" t="s">
        <v>210</v>
      </c>
      <c r="C87" s="260"/>
      <c r="D87" s="33" t="s">
        <v>515</v>
      </c>
      <c r="E87" s="3" t="s">
        <v>77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69" t="s">
        <v>212</v>
      </c>
      <c r="C88" s="270"/>
      <c r="D88" s="20" t="s">
        <v>516</v>
      </c>
      <c r="E88" s="29" t="s">
        <v>139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50" t="s">
        <v>34</v>
      </c>
      <c r="C89" s="250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50" t="s">
        <v>218</v>
      </c>
      <c r="C91" s="250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49" t="s">
        <v>219</v>
      </c>
      <c r="C92" s="249"/>
      <c r="D92" s="61" t="s">
        <v>220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49" t="s">
        <v>221</v>
      </c>
      <c r="C93" s="249"/>
      <c r="D93" s="61" t="s">
        <v>222</v>
      </c>
      <c r="E93" s="66" t="s">
        <v>46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49" t="s">
        <v>223</v>
      </c>
      <c r="C94" s="249"/>
      <c r="D94" s="61" t="s">
        <v>458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49" t="s">
        <v>62</v>
      </c>
      <c r="C95" s="249"/>
      <c r="D95" s="61" t="s">
        <v>459</v>
      </c>
      <c r="E95" s="66" t="s">
        <v>64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51" t="s">
        <v>225</v>
      </c>
      <c r="C96" s="251"/>
      <c r="D96" s="33" t="s">
        <v>460</v>
      </c>
      <c r="E96" s="66" t="s">
        <v>64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09" t="s">
        <v>227</v>
      </c>
      <c r="C97" s="309"/>
      <c r="D97" s="61" t="s">
        <v>461</v>
      </c>
      <c r="E97" s="66" t="s">
        <v>139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49" t="s">
        <v>229</v>
      </c>
      <c r="C98" s="249"/>
      <c r="D98" s="61" t="s">
        <v>462</v>
      </c>
      <c r="E98" s="66" t="s">
        <v>103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49" t="s">
        <v>231</v>
      </c>
      <c r="C99" s="249"/>
      <c r="D99" s="61" t="s">
        <v>462</v>
      </c>
      <c r="E99" s="66" t="s">
        <v>103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59" t="s">
        <v>108</v>
      </c>
      <c r="C100" s="260"/>
      <c r="D100" s="61" t="s">
        <v>109</v>
      </c>
      <c r="E100" s="66" t="s">
        <v>110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111</v>
      </c>
      <c r="C101" s="103"/>
      <c r="D101" s="61" t="s">
        <v>109</v>
      </c>
      <c r="E101" s="66" t="s">
        <v>112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50" t="s">
        <v>34</v>
      </c>
      <c r="C102" s="250"/>
      <c r="D102" s="98" t="s">
        <v>463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50" t="s">
        <v>235</v>
      </c>
      <c r="C104" s="250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49" t="s">
        <v>236</v>
      </c>
      <c r="C105" s="249"/>
      <c r="D105" s="61" t="s">
        <v>464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49" t="s">
        <v>238</v>
      </c>
      <c r="C106" s="249"/>
      <c r="D106" s="61" t="s">
        <v>465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09" t="s">
        <v>240</v>
      </c>
      <c r="C107" s="309"/>
      <c r="D107" s="61" t="s">
        <v>466</v>
      </c>
      <c r="E107" s="66" t="s">
        <v>46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65" t="s">
        <v>242</v>
      </c>
      <c r="C108" s="266"/>
      <c r="D108" s="20" t="s">
        <v>467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67" t="s">
        <v>157</v>
      </c>
      <c r="C109" s="268"/>
      <c r="D109" s="33" t="s">
        <v>485</v>
      </c>
      <c r="E109" s="66" t="s">
        <v>154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59" t="s">
        <v>253</v>
      </c>
      <c r="C110" s="260"/>
      <c r="D110" s="61" t="s">
        <v>412</v>
      </c>
      <c r="E110" s="66" t="s">
        <v>410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49" t="s">
        <v>250</v>
      </c>
      <c r="C111" s="249"/>
      <c r="D111" s="33" t="s">
        <v>252</v>
      </c>
      <c r="E111" s="66" t="s">
        <v>154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49" t="s">
        <v>246</v>
      </c>
      <c r="C112" s="249"/>
      <c r="D112" s="61" t="s">
        <v>411</v>
      </c>
      <c r="E112" s="66" t="s">
        <v>154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49" t="s">
        <v>248</v>
      </c>
      <c r="C113" s="249"/>
      <c r="D113" s="33" t="s">
        <v>252</v>
      </c>
      <c r="E113" s="66" t="s">
        <v>154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49" t="s">
        <v>251</v>
      </c>
      <c r="C114" s="249"/>
      <c r="D114" s="33" t="s">
        <v>252</v>
      </c>
      <c r="E114" s="66" t="s">
        <v>103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49" t="s">
        <v>255</v>
      </c>
      <c r="C115" s="249"/>
      <c r="D115" s="33" t="s">
        <v>412</v>
      </c>
      <c r="E115" s="66" t="s">
        <v>413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59" t="s">
        <v>257</v>
      </c>
      <c r="C116" s="260"/>
      <c r="D116" s="33" t="s">
        <v>258</v>
      </c>
      <c r="E116" s="66" t="s">
        <v>86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59" t="s">
        <v>259</v>
      </c>
      <c r="C117" s="260"/>
      <c r="D117" s="61" t="s">
        <v>260</v>
      </c>
      <c r="E117" s="66" t="s">
        <v>92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59" t="s">
        <v>263</v>
      </c>
      <c r="C118" s="260"/>
      <c r="D118" s="61" t="s">
        <v>262</v>
      </c>
      <c r="E118" s="66" t="s">
        <v>415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59" t="s">
        <v>264</v>
      </c>
      <c r="C119" s="260"/>
      <c r="D119" s="61" t="s">
        <v>262</v>
      </c>
      <c r="E119" s="66" t="s">
        <v>415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59" t="s">
        <v>265</v>
      </c>
      <c r="C120" s="260"/>
      <c r="D120" s="61" t="s">
        <v>262</v>
      </c>
      <c r="E120" s="66" t="s">
        <v>415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59" t="s">
        <v>266</v>
      </c>
      <c r="C121" s="260"/>
      <c r="D121" s="61" t="s">
        <v>262</v>
      </c>
      <c r="E121" s="66" t="s">
        <v>110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59" t="s">
        <v>267</v>
      </c>
      <c r="C122" s="260"/>
      <c r="D122" s="61" t="s">
        <v>268</v>
      </c>
      <c r="E122" s="66" t="s">
        <v>110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59" t="s">
        <v>213</v>
      </c>
      <c r="C123" s="260"/>
      <c r="D123" s="61" t="s">
        <v>478</v>
      </c>
      <c r="E123" s="66" t="s">
        <v>110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59" t="s">
        <v>270</v>
      </c>
      <c r="C124" s="260"/>
      <c r="D124" s="61" t="s">
        <v>478</v>
      </c>
      <c r="E124" s="66" t="s">
        <v>110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59" t="s">
        <v>269</v>
      </c>
      <c r="C125" s="260"/>
      <c r="D125" s="61" t="s">
        <v>262</v>
      </c>
      <c r="E125" s="66" t="s">
        <v>110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59" t="s">
        <v>256</v>
      </c>
      <c r="C126" s="260"/>
      <c r="D126" s="61" t="s">
        <v>414</v>
      </c>
      <c r="E126" s="66" t="s">
        <v>410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59" t="s">
        <v>261</v>
      </c>
      <c r="C127" s="260"/>
      <c r="D127" s="61" t="s">
        <v>262</v>
      </c>
      <c r="E127" s="66" t="s">
        <v>86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272</v>
      </c>
      <c r="C128" s="103"/>
      <c r="D128" s="61" t="s">
        <v>273</v>
      </c>
      <c r="E128" s="66" t="s">
        <v>112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49" t="s">
        <v>277</v>
      </c>
      <c r="C129" s="249"/>
      <c r="D129" s="61" t="s">
        <v>278</v>
      </c>
      <c r="E129" s="113" t="s">
        <v>537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49" t="s">
        <v>280</v>
      </c>
      <c r="C130" s="249"/>
      <c r="D130" s="61" t="s">
        <v>278</v>
      </c>
      <c r="E130" s="113" t="s">
        <v>537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49" t="s">
        <v>281</v>
      </c>
      <c r="C131" s="249"/>
      <c r="D131" s="61" t="s">
        <v>278</v>
      </c>
      <c r="E131" s="113" t="s">
        <v>537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49" t="s">
        <v>282</v>
      </c>
      <c r="C132" s="249"/>
      <c r="D132" s="61" t="s">
        <v>278</v>
      </c>
      <c r="E132" s="113" t="s">
        <v>537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49" t="s">
        <v>283</v>
      </c>
      <c r="C133" s="249"/>
      <c r="D133" s="61" t="s">
        <v>278</v>
      </c>
      <c r="E133" s="113" t="s">
        <v>537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49" t="s">
        <v>284</v>
      </c>
      <c r="C134" s="249"/>
      <c r="D134" s="61" t="s">
        <v>278</v>
      </c>
      <c r="E134" s="113" t="s">
        <v>537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49" t="s">
        <v>285</v>
      </c>
      <c r="C135" s="249"/>
      <c r="D135" s="61" t="s">
        <v>278</v>
      </c>
      <c r="E135" s="113" t="s">
        <v>537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49" t="s">
        <v>286</v>
      </c>
      <c r="C136" s="249"/>
      <c r="D136" s="61" t="s">
        <v>287</v>
      </c>
      <c r="E136" s="66" t="s">
        <v>288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49" t="s">
        <v>289</v>
      </c>
      <c r="C137" s="249"/>
      <c r="D137" s="61" t="s">
        <v>287</v>
      </c>
      <c r="E137" s="66" t="s">
        <v>288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49" t="s">
        <v>290</v>
      </c>
      <c r="C138" s="249"/>
      <c r="D138" s="61" t="s">
        <v>287</v>
      </c>
      <c r="E138" s="66" t="s">
        <v>288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291</v>
      </c>
      <c r="C139" s="33"/>
      <c r="D139" s="61" t="s">
        <v>287</v>
      </c>
      <c r="E139" s="66" t="s">
        <v>288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59" t="s">
        <v>292</v>
      </c>
      <c r="C140" s="260"/>
      <c r="D140" s="61" t="s">
        <v>287</v>
      </c>
      <c r="E140" s="66" t="s">
        <v>288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293</v>
      </c>
      <c r="C141" s="33"/>
      <c r="D141" s="61" t="s">
        <v>287</v>
      </c>
      <c r="E141" s="66" t="s">
        <v>288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294</v>
      </c>
      <c r="C142" s="33"/>
      <c r="D142" s="61" t="s">
        <v>287</v>
      </c>
      <c r="E142" s="66" t="s">
        <v>288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59" t="s">
        <v>295</v>
      </c>
      <c r="C143" s="260"/>
      <c r="D143" s="61" t="s">
        <v>287</v>
      </c>
      <c r="E143" s="66" t="s">
        <v>296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59" t="s">
        <v>297</v>
      </c>
      <c r="C144" s="260"/>
      <c r="D144" s="61" t="s">
        <v>287</v>
      </c>
      <c r="E144" s="66" t="s">
        <v>296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298</v>
      </c>
      <c r="C145" s="33"/>
      <c r="D145" s="61" t="s">
        <v>287</v>
      </c>
      <c r="E145" s="66" t="s">
        <v>299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59" t="s">
        <v>300</v>
      </c>
      <c r="C146" s="260"/>
      <c r="D146" s="61" t="s">
        <v>287</v>
      </c>
      <c r="E146" s="66" t="s">
        <v>301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59" t="s">
        <v>302</v>
      </c>
      <c r="C147" s="260"/>
      <c r="D147" s="61" t="s">
        <v>303</v>
      </c>
      <c r="E147" s="66" t="s">
        <v>417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59" t="s">
        <v>305</v>
      </c>
      <c r="C148" s="260"/>
      <c r="D148" s="61" t="s">
        <v>303</v>
      </c>
      <c r="E148" s="66" t="s">
        <v>417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59" t="s">
        <v>306</v>
      </c>
      <c r="C149" s="260"/>
      <c r="D149" s="61" t="s">
        <v>303</v>
      </c>
      <c r="E149" s="66" t="s">
        <v>417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59" t="s">
        <v>307</v>
      </c>
      <c r="C150" s="260"/>
      <c r="D150" s="61" t="s">
        <v>303</v>
      </c>
      <c r="E150" s="66" t="s">
        <v>417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59" t="s">
        <v>469</v>
      </c>
      <c r="C151" s="260"/>
      <c r="D151" s="61" t="s">
        <v>303</v>
      </c>
      <c r="E151" s="66" t="s">
        <v>417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59" t="s">
        <v>308</v>
      </c>
      <c r="C152" s="260"/>
      <c r="D152" s="61" t="s">
        <v>303</v>
      </c>
      <c r="E152" s="66" t="s">
        <v>417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49" t="s">
        <v>309</v>
      </c>
      <c r="C153" s="249"/>
      <c r="D153" s="61" t="s">
        <v>303</v>
      </c>
      <c r="E153" s="66" t="s">
        <v>310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49" t="s">
        <v>311</v>
      </c>
      <c r="C154" s="249"/>
      <c r="D154" s="61" t="s">
        <v>303</v>
      </c>
      <c r="E154" s="66" t="s">
        <v>310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312</v>
      </c>
      <c r="C155" s="61"/>
      <c r="D155" s="61" t="s">
        <v>303</v>
      </c>
      <c r="E155" s="66" t="s">
        <v>310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538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47" t="s">
        <v>319</v>
      </c>
      <c r="C157" s="247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48"/>
      <c r="C158" s="248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3:E3"/>
    <mergeCell ref="B5:C5"/>
    <mergeCell ref="S5:W5"/>
    <mergeCell ref="B6:C6"/>
    <mergeCell ref="B7:C7"/>
    <mergeCell ref="B8:C8"/>
    <mergeCell ref="B16:C16"/>
    <mergeCell ref="B17:C17"/>
    <mergeCell ref="B18:C18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31" t="s">
        <v>539</v>
      </c>
      <c r="C3" s="231"/>
      <c r="D3" s="231"/>
      <c r="E3" s="23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31" t="s">
        <v>2</v>
      </c>
      <c r="C5" s="23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2" t="s">
        <v>3</v>
      </c>
      <c r="T5" s="232"/>
      <c r="U5" s="232"/>
      <c r="V5" s="232"/>
      <c r="W5" s="232"/>
      <c r="X5" s="56"/>
      <c r="Y5" s="56" t="s">
        <v>4</v>
      </c>
    </row>
    <row r="6" spans="1:30" ht="35.450000000000003" customHeight="1">
      <c r="A6" s="33"/>
      <c r="B6" s="252"/>
      <c r="C6" s="25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504</v>
      </c>
      <c r="Y6" s="7" t="s">
        <v>490</v>
      </c>
    </row>
    <row r="7" spans="1:30" ht="55.9" customHeight="1">
      <c r="A7" s="33"/>
      <c r="B7" s="253"/>
      <c r="C7" s="25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54" t="s">
        <v>36</v>
      </c>
      <c r="C8" s="25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9" t="s">
        <v>38</v>
      </c>
      <c r="C9" s="26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67" t="s">
        <v>55</v>
      </c>
      <c r="C10" s="268"/>
      <c r="D10" s="33" t="s">
        <v>505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69" t="s">
        <v>58</v>
      </c>
      <c r="C11" s="270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67" t="s">
        <v>60</v>
      </c>
      <c r="C12" s="26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67" t="s">
        <v>44</v>
      </c>
      <c r="C13" s="268"/>
      <c r="D13" s="43" t="s">
        <v>449</v>
      </c>
      <c r="E13" s="78" t="s">
        <v>46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67" t="s">
        <v>50</v>
      </c>
      <c r="C14" s="268"/>
      <c r="D14" s="43" t="s">
        <v>51</v>
      </c>
      <c r="E14" s="78" t="s">
        <v>49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67" t="s">
        <v>492</v>
      </c>
      <c r="C15" s="268"/>
      <c r="D15" s="43" t="s">
        <v>493</v>
      </c>
      <c r="E15" s="44" t="s">
        <v>154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67" t="s">
        <v>68</v>
      </c>
      <c r="C16" s="268"/>
      <c r="D16" s="43" t="s">
        <v>406</v>
      </c>
      <c r="E16" s="44" t="s">
        <v>154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67" t="s">
        <v>71</v>
      </c>
      <c r="C17" s="268"/>
      <c r="D17" s="33" t="s">
        <v>408</v>
      </c>
      <c r="E17" s="3" t="s">
        <v>77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67" t="s">
        <v>73</v>
      </c>
      <c r="C18" s="268"/>
      <c r="D18" s="33" t="s">
        <v>409</v>
      </c>
      <c r="E18" s="3" t="s">
        <v>154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59" t="s">
        <v>75</v>
      </c>
      <c r="C19" s="260"/>
      <c r="D19" s="61" t="s">
        <v>408</v>
      </c>
      <c r="E19" s="66" t="s">
        <v>77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59" t="s">
        <v>84</v>
      </c>
      <c r="C20" s="260"/>
      <c r="D20" s="61" t="s">
        <v>85</v>
      </c>
      <c r="E20" s="66" t="s">
        <v>86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59" t="s">
        <v>87</v>
      </c>
      <c r="C21" s="260"/>
      <c r="D21" s="61" t="s">
        <v>94</v>
      </c>
      <c r="E21" s="66" t="s">
        <v>410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93</v>
      </c>
      <c r="C22" s="103"/>
      <c r="D22" s="61" t="s">
        <v>94</v>
      </c>
      <c r="E22" s="66" t="s">
        <v>95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96</v>
      </c>
      <c r="C23" s="103"/>
      <c r="D23" s="61" t="s">
        <v>273</v>
      </c>
      <c r="E23" s="66" t="s">
        <v>98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99</v>
      </c>
      <c r="C24" s="103"/>
      <c r="D24" s="61" t="s">
        <v>273</v>
      </c>
      <c r="E24" s="66" t="s">
        <v>98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49" t="s">
        <v>101</v>
      </c>
      <c r="C25" s="249"/>
      <c r="D25" s="33" t="s">
        <v>102</v>
      </c>
      <c r="E25" s="66" t="s">
        <v>103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59" t="s">
        <v>104</v>
      </c>
      <c r="C26" s="260"/>
      <c r="D26" s="33" t="s">
        <v>105</v>
      </c>
      <c r="E26" s="66" t="s">
        <v>86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106</v>
      </c>
      <c r="C27" s="103"/>
      <c r="D27" s="33" t="s">
        <v>107</v>
      </c>
      <c r="E27" s="66" t="s">
        <v>92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50" t="s">
        <v>34</v>
      </c>
      <c r="C28" s="250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50" t="s">
        <v>118</v>
      </c>
      <c r="C30" s="250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10" t="s">
        <v>451</v>
      </c>
      <c r="C31" s="311"/>
      <c r="D31" s="61" t="s">
        <v>452</v>
      </c>
      <c r="E31" s="66" t="s">
        <v>151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10" t="s">
        <v>508</v>
      </c>
      <c r="C32" s="311"/>
      <c r="D32" s="61" t="s">
        <v>509</v>
      </c>
      <c r="E32" s="66" t="s">
        <v>413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82"/>
      <c r="C34" s="283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57" t="s">
        <v>122</v>
      </c>
      <c r="C35" s="258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59" t="s">
        <v>123</v>
      </c>
      <c r="C36" s="260"/>
      <c r="D36" s="33" t="s">
        <v>124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59" t="s">
        <v>125</v>
      </c>
      <c r="C37" s="260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59" t="s">
        <v>127</v>
      </c>
      <c r="C38" s="260"/>
      <c r="D38" s="33" t="s">
        <v>128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59" t="s">
        <v>129</v>
      </c>
      <c r="C39" s="260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59" t="s">
        <v>131</v>
      </c>
      <c r="C40" s="260"/>
      <c r="D40" s="33" t="s">
        <v>132</v>
      </c>
      <c r="E40" s="3" t="s">
        <v>133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59" t="s">
        <v>134</v>
      </c>
      <c r="C41" s="260"/>
      <c r="D41" s="33" t="s">
        <v>132</v>
      </c>
      <c r="E41" s="3" t="s">
        <v>188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65" t="s">
        <v>135</v>
      </c>
      <c r="C42" s="266"/>
      <c r="D42" s="20" t="s">
        <v>484</v>
      </c>
      <c r="E42" s="25" t="s">
        <v>77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59" t="s">
        <v>137</v>
      </c>
      <c r="C43" s="260"/>
      <c r="D43" s="33" t="s">
        <v>138</v>
      </c>
      <c r="E43" s="3" t="s">
        <v>139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59" t="s">
        <v>140</v>
      </c>
      <c r="C44" s="260"/>
      <c r="D44" s="33" t="s">
        <v>142</v>
      </c>
      <c r="E44" s="3" t="s">
        <v>154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59" t="s">
        <v>453</v>
      </c>
      <c r="C45" s="260"/>
      <c r="D45" s="33" t="s">
        <v>142</v>
      </c>
      <c r="E45" s="3" t="s">
        <v>154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69" t="s">
        <v>141</v>
      </c>
      <c r="C46" s="270"/>
      <c r="D46" s="33" t="s">
        <v>142</v>
      </c>
      <c r="E46" s="29" t="s">
        <v>103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55" t="s">
        <v>34</v>
      </c>
      <c r="C47" s="256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55" t="s">
        <v>143</v>
      </c>
      <c r="C49" s="25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59" t="s">
        <v>144</v>
      </c>
      <c r="C50" s="260"/>
      <c r="D50" s="61" t="s">
        <v>145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55" t="s">
        <v>34</v>
      </c>
      <c r="C51" s="256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55"/>
      <c r="C52" s="25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55" t="s">
        <v>436</v>
      </c>
      <c r="C53" s="256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9" t="s">
        <v>149</v>
      </c>
      <c r="C54" s="270"/>
      <c r="D54" s="47" t="s">
        <v>150</v>
      </c>
      <c r="E54" s="29" t="s">
        <v>151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67" t="s">
        <v>187</v>
      </c>
      <c r="C55" s="268"/>
      <c r="D55" s="33" t="s">
        <v>136</v>
      </c>
      <c r="E55" s="3" t="s">
        <v>188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69" t="s">
        <v>155</v>
      </c>
      <c r="C56" s="270"/>
      <c r="D56" s="33" t="s">
        <v>138</v>
      </c>
      <c r="E56" s="29" t="s">
        <v>103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49" t="s">
        <v>161</v>
      </c>
      <c r="C57" s="249"/>
      <c r="D57" s="61" t="s">
        <v>412</v>
      </c>
      <c r="E57" s="66" t="s">
        <v>410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55" t="s">
        <v>34</v>
      </c>
      <c r="C58" s="256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55" t="s">
        <v>474</v>
      </c>
      <c r="C60" s="25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59" t="s">
        <v>169</v>
      </c>
      <c r="C61" s="260"/>
      <c r="D61" s="33" t="s">
        <v>170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59" t="s">
        <v>185</v>
      </c>
      <c r="C62" s="260"/>
      <c r="D62" s="33" t="s">
        <v>128</v>
      </c>
      <c r="E62" s="3" t="s">
        <v>64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59" t="s">
        <v>162</v>
      </c>
      <c r="C63" s="260"/>
      <c r="D63" s="33" t="s">
        <v>163</v>
      </c>
      <c r="E63" s="3" t="s">
        <v>86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59" t="s">
        <v>175</v>
      </c>
      <c r="C64" s="260"/>
      <c r="D64" s="33" t="s">
        <v>142</v>
      </c>
      <c r="E64" s="66" t="s">
        <v>103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55" t="s">
        <v>34</v>
      </c>
      <c r="C65" s="256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61"/>
      <c r="C66" s="26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63" t="s">
        <v>437</v>
      </c>
      <c r="C67" s="26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59" t="s">
        <v>41</v>
      </c>
      <c r="C68" s="260"/>
      <c r="D68" s="61" t="s">
        <v>511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59" t="s">
        <v>182</v>
      </c>
      <c r="C69" s="260"/>
      <c r="D69" s="33" t="s">
        <v>172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59" t="s">
        <v>184</v>
      </c>
      <c r="C70" s="260"/>
      <c r="D70" s="33" t="s">
        <v>128</v>
      </c>
      <c r="E70" s="3" t="s">
        <v>64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59" t="s">
        <v>186</v>
      </c>
      <c r="C71" s="260"/>
      <c r="D71" s="33" t="s">
        <v>132</v>
      </c>
      <c r="E71" s="3" t="s">
        <v>188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69" t="s">
        <v>189</v>
      </c>
      <c r="C72" s="270"/>
      <c r="D72" s="33" t="s">
        <v>132</v>
      </c>
      <c r="E72" s="3" t="s">
        <v>188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69" t="s">
        <v>158</v>
      </c>
      <c r="C73" s="270"/>
      <c r="D73" s="20" t="s">
        <v>159</v>
      </c>
      <c r="E73" s="29" t="s">
        <v>160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69" t="s">
        <v>153</v>
      </c>
      <c r="C74" s="270"/>
      <c r="D74" s="20" t="s">
        <v>142</v>
      </c>
      <c r="E74" s="29" t="s">
        <v>154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69" t="s">
        <v>456</v>
      </c>
      <c r="C75" s="270"/>
      <c r="D75" s="33" t="s">
        <v>132</v>
      </c>
      <c r="E75" s="3" t="s">
        <v>188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49" t="s">
        <v>193</v>
      </c>
      <c r="C76" s="249"/>
      <c r="D76" s="33" t="s">
        <v>142</v>
      </c>
      <c r="E76" s="66" t="s">
        <v>103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50" t="s">
        <v>34</v>
      </c>
      <c r="C77" s="250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50" t="s">
        <v>196</v>
      </c>
      <c r="C79" s="250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59" t="s">
        <v>47</v>
      </c>
      <c r="C80" s="260"/>
      <c r="D80" s="33" t="s">
        <v>48</v>
      </c>
      <c r="E80" s="3" t="s">
        <v>49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69" t="s">
        <v>199</v>
      </c>
      <c r="C81" s="270"/>
      <c r="D81" s="20" t="s">
        <v>457</v>
      </c>
      <c r="E81" s="29" t="s">
        <v>191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59" t="s">
        <v>203</v>
      </c>
      <c r="C82" s="260"/>
      <c r="D82" s="33" t="s">
        <v>514</v>
      </c>
      <c r="E82" s="66" t="s">
        <v>86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90</v>
      </c>
      <c r="C83" s="103"/>
      <c r="D83" s="33"/>
      <c r="E83" s="66" t="s">
        <v>92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50" t="s">
        <v>34</v>
      </c>
      <c r="C84" s="250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50" t="s">
        <v>205</v>
      </c>
      <c r="C86" s="250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59" t="s">
        <v>206</v>
      </c>
      <c r="C87" s="260"/>
      <c r="D87" s="61" t="s">
        <v>207</v>
      </c>
      <c r="E87" s="66" t="s">
        <v>151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10" t="s">
        <v>208</v>
      </c>
      <c r="C88" s="311"/>
      <c r="D88" s="33" t="s">
        <v>209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59" t="s">
        <v>210</v>
      </c>
      <c r="C89" s="260"/>
      <c r="D89" s="33" t="s">
        <v>515</v>
      </c>
      <c r="E89" s="3" t="s">
        <v>77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69" t="s">
        <v>212</v>
      </c>
      <c r="C90" s="270"/>
      <c r="D90" s="20" t="s">
        <v>516</v>
      </c>
      <c r="E90" s="29" t="s">
        <v>139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50" t="s">
        <v>34</v>
      </c>
      <c r="C91" s="250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50" t="s">
        <v>218</v>
      </c>
      <c r="C93" s="250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49" t="s">
        <v>219</v>
      </c>
      <c r="C94" s="249"/>
      <c r="D94" s="61" t="s">
        <v>220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49" t="s">
        <v>221</v>
      </c>
      <c r="C95" s="249"/>
      <c r="D95" s="61" t="s">
        <v>222</v>
      </c>
      <c r="E95" s="66" t="s">
        <v>46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49" t="s">
        <v>223</v>
      </c>
      <c r="C96" s="249"/>
      <c r="D96" s="61" t="s">
        <v>458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49" t="s">
        <v>62</v>
      </c>
      <c r="C97" s="249"/>
      <c r="D97" s="61" t="s">
        <v>459</v>
      </c>
      <c r="E97" s="66" t="s">
        <v>64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51" t="s">
        <v>225</v>
      </c>
      <c r="C98" s="251"/>
      <c r="D98" s="33" t="s">
        <v>460</v>
      </c>
      <c r="E98" s="66" t="s">
        <v>64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09" t="s">
        <v>227</v>
      </c>
      <c r="C99" s="309"/>
      <c r="D99" s="61" t="s">
        <v>461</v>
      </c>
      <c r="E99" s="66" t="s">
        <v>139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49" t="s">
        <v>229</v>
      </c>
      <c r="C100" s="249"/>
      <c r="D100" s="61" t="s">
        <v>462</v>
      </c>
      <c r="E100" s="66" t="s">
        <v>103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49" t="s">
        <v>231</v>
      </c>
      <c r="C101" s="249"/>
      <c r="D101" s="61" t="s">
        <v>462</v>
      </c>
      <c r="E101" s="66" t="s">
        <v>103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49" t="s">
        <v>250</v>
      </c>
      <c r="C102" s="249"/>
      <c r="D102" s="33" t="s">
        <v>252</v>
      </c>
      <c r="E102" s="66" t="s">
        <v>154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59" t="s">
        <v>108</v>
      </c>
      <c r="C103" s="260"/>
      <c r="D103" s="61" t="s">
        <v>109</v>
      </c>
      <c r="E103" s="66" t="s">
        <v>110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111</v>
      </c>
      <c r="C104" s="103"/>
      <c r="D104" s="61" t="s">
        <v>109</v>
      </c>
      <c r="E104" s="66" t="s">
        <v>112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50" t="s">
        <v>34</v>
      </c>
      <c r="C105" s="250"/>
      <c r="D105" s="98" t="s">
        <v>521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50" t="s">
        <v>235</v>
      </c>
      <c r="C107" s="250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49" t="s">
        <v>236</v>
      </c>
      <c r="C108" s="249"/>
      <c r="D108" s="61" t="s">
        <v>464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49" t="s">
        <v>238</v>
      </c>
      <c r="C109" s="249"/>
      <c r="D109" s="61" t="s">
        <v>465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09" t="s">
        <v>240</v>
      </c>
      <c r="C110" s="309"/>
      <c r="D110" s="61" t="s">
        <v>466</v>
      </c>
      <c r="E110" s="66" t="s">
        <v>46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65" t="s">
        <v>242</v>
      </c>
      <c r="C111" s="266"/>
      <c r="D111" s="20" t="s">
        <v>467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67" t="s">
        <v>157</v>
      </c>
      <c r="C112" s="268"/>
      <c r="D112" s="33" t="s">
        <v>485</v>
      </c>
      <c r="E112" s="66" t="s">
        <v>154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59" t="s">
        <v>253</v>
      </c>
      <c r="C113" s="260"/>
      <c r="D113" s="61" t="s">
        <v>412</v>
      </c>
      <c r="E113" s="66" t="s">
        <v>410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49" t="s">
        <v>246</v>
      </c>
      <c r="C114" s="249"/>
      <c r="D114" s="61" t="s">
        <v>411</v>
      </c>
      <c r="E114" s="66" t="s">
        <v>154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49" t="s">
        <v>248</v>
      </c>
      <c r="C115" s="249"/>
      <c r="D115" s="33" t="s">
        <v>252</v>
      </c>
      <c r="E115" s="66" t="s">
        <v>154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49" t="s">
        <v>251</v>
      </c>
      <c r="C116" s="249"/>
      <c r="D116" s="33" t="s">
        <v>252</v>
      </c>
      <c r="E116" s="66" t="s">
        <v>103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49" t="s">
        <v>255</v>
      </c>
      <c r="C117" s="249"/>
      <c r="D117" s="33" t="s">
        <v>412</v>
      </c>
      <c r="E117" s="66" t="s">
        <v>413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59" t="s">
        <v>257</v>
      </c>
      <c r="C118" s="260"/>
      <c r="D118" s="33" t="s">
        <v>258</v>
      </c>
      <c r="E118" s="66" t="s">
        <v>86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59" t="s">
        <v>259</v>
      </c>
      <c r="C119" s="260"/>
      <c r="D119" s="61" t="s">
        <v>260</v>
      </c>
      <c r="E119" s="66" t="s">
        <v>92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59" t="s">
        <v>263</v>
      </c>
      <c r="C120" s="260"/>
      <c r="D120" s="61" t="s">
        <v>262</v>
      </c>
      <c r="E120" s="66" t="s">
        <v>415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59" t="s">
        <v>264</v>
      </c>
      <c r="C121" s="260"/>
      <c r="D121" s="61" t="s">
        <v>262</v>
      </c>
      <c r="E121" s="66" t="s">
        <v>415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59" t="s">
        <v>265</v>
      </c>
      <c r="C122" s="260"/>
      <c r="D122" s="61" t="s">
        <v>262</v>
      </c>
      <c r="E122" s="66" t="s">
        <v>415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59" t="s">
        <v>266</v>
      </c>
      <c r="C123" s="260"/>
      <c r="D123" s="61" t="s">
        <v>262</v>
      </c>
      <c r="E123" s="66" t="s">
        <v>110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59" t="s">
        <v>267</v>
      </c>
      <c r="C124" s="260"/>
      <c r="D124" s="61" t="s">
        <v>268</v>
      </c>
      <c r="E124" s="66" t="s">
        <v>110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59" t="s">
        <v>213</v>
      </c>
      <c r="C125" s="260"/>
      <c r="D125" s="61" t="s">
        <v>478</v>
      </c>
      <c r="E125" s="66" t="s">
        <v>110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59" t="s">
        <v>270</v>
      </c>
      <c r="C126" s="260"/>
      <c r="D126" s="61" t="s">
        <v>478</v>
      </c>
      <c r="E126" s="66" t="s">
        <v>110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59" t="s">
        <v>269</v>
      </c>
      <c r="C127" s="260"/>
      <c r="D127" s="61" t="s">
        <v>262</v>
      </c>
      <c r="E127" s="66" t="s">
        <v>110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59" t="s">
        <v>256</v>
      </c>
      <c r="C128" s="260"/>
      <c r="D128" s="61" t="s">
        <v>414</v>
      </c>
      <c r="E128" s="66" t="s">
        <v>410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59" t="s">
        <v>261</v>
      </c>
      <c r="C129" s="260"/>
      <c r="D129" s="61" t="s">
        <v>262</v>
      </c>
      <c r="E129" s="66" t="s">
        <v>86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272</v>
      </c>
      <c r="C130" s="103"/>
      <c r="D130" s="61" t="s">
        <v>273</v>
      </c>
      <c r="E130" s="66" t="s">
        <v>112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49" t="s">
        <v>277</v>
      </c>
      <c r="C131" s="249"/>
      <c r="D131" s="61" t="s">
        <v>278</v>
      </c>
      <c r="E131" s="113" t="s">
        <v>537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49" t="s">
        <v>280</v>
      </c>
      <c r="C132" s="249"/>
      <c r="D132" s="61" t="s">
        <v>278</v>
      </c>
      <c r="E132" s="113" t="s">
        <v>537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49" t="s">
        <v>281</v>
      </c>
      <c r="C133" s="249"/>
      <c r="D133" s="61" t="s">
        <v>278</v>
      </c>
      <c r="E133" s="113" t="s">
        <v>537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49" t="s">
        <v>282</v>
      </c>
      <c r="C134" s="249"/>
      <c r="D134" s="61" t="s">
        <v>278</v>
      </c>
      <c r="E134" s="113" t="s">
        <v>537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49" t="s">
        <v>283</v>
      </c>
      <c r="C135" s="249"/>
      <c r="D135" s="61" t="s">
        <v>278</v>
      </c>
      <c r="E135" s="113" t="s">
        <v>537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49" t="s">
        <v>284</v>
      </c>
      <c r="C136" s="249"/>
      <c r="D136" s="61" t="s">
        <v>278</v>
      </c>
      <c r="E136" s="113" t="s">
        <v>537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49" t="s">
        <v>285</v>
      </c>
      <c r="C137" s="249"/>
      <c r="D137" s="61" t="s">
        <v>278</v>
      </c>
      <c r="E137" s="113" t="s">
        <v>537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49" t="s">
        <v>286</v>
      </c>
      <c r="C138" s="249"/>
      <c r="D138" s="61" t="s">
        <v>287</v>
      </c>
      <c r="E138" s="66" t="s">
        <v>288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49" t="s">
        <v>289</v>
      </c>
      <c r="C139" s="249"/>
      <c r="D139" s="61" t="s">
        <v>287</v>
      </c>
      <c r="E139" s="66" t="s">
        <v>288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49" t="s">
        <v>290</v>
      </c>
      <c r="C140" s="249"/>
      <c r="D140" s="61" t="s">
        <v>287</v>
      </c>
      <c r="E140" s="66" t="s">
        <v>288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291</v>
      </c>
      <c r="C141" s="33"/>
      <c r="D141" s="61" t="s">
        <v>287</v>
      </c>
      <c r="E141" s="66" t="s">
        <v>288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59" t="s">
        <v>292</v>
      </c>
      <c r="C142" s="260"/>
      <c r="D142" s="61" t="s">
        <v>287</v>
      </c>
      <c r="E142" s="66" t="s">
        <v>288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293</v>
      </c>
      <c r="C143" s="33"/>
      <c r="D143" s="61" t="s">
        <v>287</v>
      </c>
      <c r="E143" s="66" t="s">
        <v>288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294</v>
      </c>
      <c r="C144" s="33"/>
      <c r="D144" s="61" t="s">
        <v>287</v>
      </c>
      <c r="E144" s="66" t="s">
        <v>288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59" t="s">
        <v>295</v>
      </c>
      <c r="C145" s="260"/>
      <c r="D145" s="61" t="s">
        <v>287</v>
      </c>
      <c r="E145" s="66" t="s">
        <v>296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59" t="s">
        <v>297</v>
      </c>
      <c r="C146" s="260"/>
      <c r="D146" s="61" t="s">
        <v>287</v>
      </c>
      <c r="E146" s="66" t="s">
        <v>296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298</v>
      </c>
      <c r="C147" s="33"/>
      <c r="D147" s="61" t="s">
        <v>287</v>
      </c>
      <c r="E147" s="66" t="s">
        <v>299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59" t="s">
        <v>300</v>
      </c>
      <c r="C148" s="260"/>
      <c r="D148" s="61" t="s">
        <v>287</v>
      </c>
      <c r="E148" s="66" t="s">
        <v>301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59" t="s">
        <v>302</v>
      </c>
      <c r="C149" s="260"/>
      <c r="D149" s="61" t="s">
        <v>303</v>
      </c>
      <c r="E149" s="66" t="s">
        <v>417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59" t="s">
        <v>305</v>
      </c>
      <c r="C150" s="260"/>
      <c r="D150" s="61" t="s">
        <v>303</v>
      </c>
      <c r="E150" s="66" t="s">
        <v>417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59" t="s">
        <v>306</v>
      </c>
      <c r="C151" s="260"/>
      <c r="D151" s="61" t="s">
        <v>303</v>
      </c>
      <c r="E151" s="66" t="s">
        <v>417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59" t="s">
        <v>307</v>
      </c>
      <c r="C152" s="260"/>
      <c r="D152" s="61" t="s">
        <v>303</v>
      </c>
      <c r="E152" s="66" t="s">
        <v>417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59" t="s">
        <v>469</v>
      </c>
      <c r="C153" s="260"/>
      <c r="D153" s="61" t="s">
        <v>303</v>
      </c>
      <c r="E153" s="66" t="s">
        <v>417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59" t="s">
        <v>308</v>
      </c>
      <c r="C154" s="260"/>
      <c r="D154" s="61" t="s">
        <v>303</v>
      </c>
      <c r="E154" s="66" t="s">
        <v>417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49" t="s">
        <v>309</v>
      </c>
      <c r="C155" s="249"/>
      <c r="D155" s="61" t="s">
        <v>303</v>
      </c>
      <c r="E155" s="66" t="s">
        <v>310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49" t="s">
        <v>311</v>
      </c>
      <c r="C156" s="249"/>
      <c r="D156" s="61" t="s">
        <v>303</v>
      </c>
      <c r="E156" s="66" t="s">
        <v>310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312</v>
      </c>
      <c r="C157" s="61"/>
      <c r="D157" s="61" t="s">
        <v>303</v>
      </c>
      <c r="E157" s="66" t="s">
        <v>310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470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47" t="s">
        <v>319</v>
      </c>
      <c r="C159" s="247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48"/>
      <c r="C160" s="248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48"/>
      <c r="C161" s="248"/>
      <c r="D161" s="230" t="s">
        <v>320</v>
      </c>
      <c r="E161" s="230"/>
      <c r="F161" s="230"/>
      <c r="G161" s="230"/>
      <c r="H161" s="230"/>
      <c r="I161" s="230"/>
      <c r="J161" s="230"/>
      <c r="K161" s="233" t="s">
        <v>321</v>
      </c>
      <c r="L161" s="233"/>
      <c r="M161" s="233"/>
      <c r="N161" s="40"/>
      <c r="O161" s="233" t="s">
        <v>322</v>
      </c>
      <c r="P161" s="233"/>
      <c r="Q161" s="233"/>
      <c r="R161" s="233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48"/>
      <c r="C162" s="248"/>
      <c r="D162" s="230"/>
      <c r="E162" s="230"/>
      <c r="F162" s="230"/>
      <c r="G162" s="230"/>
      <c r="H162" s="230"/>
      <c r="I162" s="230"/>
      <c r="J162" s="230"/>
      <c r="K162" s="233"/>
      <c r="L162" s="233"/>
      <c r="M162" s="233"/>
      <c r="N162" s="40"/>
      <c r="O162" s="233"/>
      <c r="P162" s="233"/>
      <c r="Q162" s="233"/>
      <c r="R162" s="233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31" t="s">
        <v>540</v>
      </c>
      <c r="C2" s="231"/>
      <c r="D2" s="231"/>
      <c r="E2" s="23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31" t="s">
        <v>2</v>
      </c>
      <c r="C4" s="231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53"/>
      <c r="C5" s="253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541</v>
      </c>
      <c r="O5" s="2" t="s">
        <v>27</v>
      </c>
      <c r="P5" s="2" t="s">
        <v>27</v>
      </c>
      <c r="Q5" s="2" t="s">
        <v>28</v>
      </c>
      <c r="R5" s="2"/>
      <c r="S5" s="59" t="s">
        <v>542</v>
      </c>
      <c r="T5" s="59" t="s">
        <v>543</v>
      </c>
      <c r="U5" s="59" t="s">
        <v>544</v>
      </c>
      <c r="V5" s="59" t="s">
        <v>545</v>
      </c>
    </row>
    <row r="6" spans="1:22" ht="18.75">
      <c r="A6" s="21" t="s">
        <v>35</v>
      </c>
      <c r="B6" s="254" t="s">
        <v>36</v>
      </c>
      <c r="C6" s="254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59" t="s">
        <v>38</v>
      </c>
      <c r="C7" s="260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546</v>
      </c>
      <c r="C8" s="107"/>
      <c r="D8" s="61" t="s">
        <v>547</v>
      </c>
      <c r="E8" s="38" t="s">
        <v>548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67" t="s">
        <v>55</v>
      </c>
      <c r="C9" s="268"/>
      <c r="D9" s="33" t="s">
        <v>505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69" t="s">
        <v>58</v>
      </c>
      <c r="C10" s="270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67" t="s">
        <v>60</v>
      </c>
      <c r="C11" s="268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67" t="s">
        <v>44</v>
      </c>
      <c r="C12" s="268"/>
      <c r="D12" s="43" t="s">
        <v>449</v>
      </c>
      <c r="E12" s="78" t="s">
        <v>506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67" t="s">
        <v>50</v>
      </c>
      <c r="C13" s="268"/>
      <c r="D13" s="43" t="s">
        <v>51</v>
      </c>
      <c r="E13" s="78" t="s">
        <v>64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67" t="s">
        <v>492</v>
      </c>
      <c r="C14" s="268"/>
      <c r="D14" s="43" t="s">
        <v>493</v>
      </c>
      <c r="E14" s="44" t="s">
        <v>139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67" t="s">
        <v>68</v>
      </c>
      <c r="C15" s="268"/>
      <c r="D15" s="43" t="s">
        <v>406</v>
      </c>
      <c r="E15" s="44" t="s">
        <v>139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67" t="s">
        <v>71</v>
      </c>
      <c r="C16" s="268"/>
      <c r="D16" s="33" t="s">
        <v>408</v>
      </c>
      <c r="E16" s="3" t="s">
        <v>77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59" t="s">
        <v>75</v>
      </c>
      <c r="C17" s="260"/>
      <c r="D17" s="61" t="s">
        <v>408</v>
      </c>
      <c r="E17" s="66" t="s">
        <v>77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59" t="s">
        <v>84</v>
      </c>
      <c r="C18" s="260"/>
      <c r="D18" s="61" t="s">
        <v>85</v>
      </c>
      <c r="E18" s="66" t="s">
        <v>92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59" t="s">
        <v>87</v>
      </c>
      <c r="C19" s="260"/>
      <c r="D19" s="61" t="s">
        <v>94</v>
      </c>
      <c r="E19" s="66" t="s">
        <v>413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93</v>
      </c>
      <c r="C20" s="103"/>
      <c r="D20" s="61" t="s">
        <v>94</v>
      </c>
      <c r="E20" s="66" t="s">
        <v>112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96</v>
      </c>
      <c r="C21" s="103"/>
      <c r="D21" s="61"/>
      <c r="E21" s="66" t="s">
        <v>98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549</v>
      </c>
      <c r="C22" s="103"/>
      <c r="D22" s="61"/>
      <c r="E22" s="66" t="s">
        <v>83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99</v>
      </c>
      <c r="C23" s="103"/>
      <c r="D23" s="61"/>
      <c r="E23" s="66" t="s">
        <v>98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49" t="s">
        <v>101</v>
      </c>
      <c r="C24" s="249"/>
      <c r="D24" s="33" t="s">
        <v>105</v>
      </c>
      <c r="E24" s="66" t="s">
        <v>507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59" t="s">
        <v>104</v>
      </c>
      <c r="C25" s="260"/>
      <c r="D25" s="33" t="s">
        <v>105</v>
      </c>
      <c r="E25" s="66" t="s">
        <v>92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50" t="s">
        <v>34</v>
      </c>
      <c r="C26" s="250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50" t="s">
        <v>118</v>
      </c>
      <c r="C28" s="250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10" t="s">
        <v>451</v>
      </c>
      <c r="C29" s="311"/>
      <c r="D29" s="61" t="s">
        <v>452</v>
      </c>
      <c r="E29" s="66" t="s">
        <v>121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10" t="s">
        <v>508</v>
      </c>
      <c r="C30" s="311"/>
      <c r="D30" s="61" t="s">
        <v>509</v>
      </c>
      <c r="E30" s="66" t="s">
        <v>413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82"/>
      <c r="C32" s="283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57" t="s">
        <v>122</v>
      </c>
      <c r="C33" s="258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59" t="s">
        <v>123</v>
      </c>
      <c r="C34" s="260"/>
      <c r="D34" s="33" t="s">
        <v>124</v>
      </c>
      <c r="E34" s="3" t="s">
        <v>151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59" t="s">
        <v>125</v>
      </c>
      <c r="C35" s="260"/>
      <c r="D35" s="33" t="s">
        <v>126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59" t="s">
        <v>127</v>
      </c>
      <c r="C36" s="260"/>
      <c r="D36" s="33" t="s">
        <v>128</v>
      </c>
      <c r="E36" s="3" t="s">
        <v>64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59" t="s">
        <v>129</v>
      </c>
      <c r="C37" s="260"/>
      <c r="D37" s="33" t="s">
        <v>132</v>
      </c>
      <c r="E37" s="3" t="s">
        <v>133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59" t="s">
        <v>131</v>
      </c>
      <c r="C38" s="260"/>
      <c r="D38" s="33" t="s">
        <v>132</v>
      </c>
      <c r="E38" s="3" t="s">
        <v>510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59" t="s">
        <v>134</v>
      </c>
      <c r="C39" s="260"/>
      <c r="D39" s="33" t="s">
        <v>142</v>
      </c>
      <c r="E39" s="3" t="s">
        <v>139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65" t="s">
        <v>135</v>
      </c>
      <c r="C40" s="266"/>
      <c r="D40" s="20" t="s">
        <v>484</v>
      </c>
      <c r="E40" s="25" t="s">
        <v>77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59" t="s">
        <v>137</v>
      </c>
      <c r="C41" s="260"/>
      <c r="D41" s="33" t="s">
        <v>138</v>
      </c>
      <c r="E41" s="3" t="s">
        <v>103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59" t="s">
        <v>140</v>
      </c>
      <c r="C42" s="260"/>
      <c r="D42" s="33" t="s">
        <v>142</v>
      </c>
      <c r="E42" s="3" t="s">
        <v>139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59" t="s">
        <v>453</v>
      </c>
      <c r="C43" s="260"/>
      <c r="D43" s="33" t="s">
        <v>142</v>
      </c>
      <c r="E43" s="3" t="s">
        <v>139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69" t="s">
        <v>141</v>
      </c>
      <c r="C44" s="270"/>
      <c r="D44" s="20" t="s">
        <v>159</v>
      </c>
      <c r="E44" s="29" t="s">
        <v>86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55" t="s">
        <v>34</v>
      </c>
      <c r="C45" s="256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55" t="s">
        <v>143</v>
      </c>
      <c r="C47" s="256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59" t="s">
        <v>144</v>
      </c>
      <c r="C48" s="260"/>
      <c r="D48" s="61" t="s">
        <v>145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146</v>
      </c>
      <c r="C49" s="103"/>
      <c r="D49" s="61" t="s">
        <v>550</v>
      </c>
      <c r="E49" s="78" t="s">
        <v>83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55" t="s">
        <v>34</v>
      </c>
      <c r="C50" s="256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55"/>
      <c r="C51" s="256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55" t="s">
        <v>436</v>
      </c>
      <c r="C52" s="256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69" t="s">
        <v>149</v>
      </c>
      <c r="C53" s="270"/>
      <c r="D53" s="47" t="s">
        <v>150</v>
      </c>
      <c r="E53" s="29" t="s">
        <v>121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69" t="s">
        <v>551</v>
      </c>
      <c r="C54" s="270"/>
      <c r="D54" s="20" t="s">
        <v>132</v>
      </c>
      <c r="E54" s="29" t="s">
        <v>188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67" t="s">
        <v>187</v>
      </c>
      <c r="C55" s="268"/>
      <c r="D55" s="33" t="s">
        <v>138</v>
      </c>
      <c r="E55" s="3" t="s">
        <v>154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69" t="s">
        <v>155</v>
      </c>
      <c r="C56" s="270"/>
      <c r="D56" s="47" t="s">
        <v>159</v>
      </c>
      <c r="E56" s="29" t="s">
        <v>86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49" t="s">
        <v>161</v>
      </c>
      <c r="C57" s="249"/>
      <c r="D57" s="61" t="s">
        <v>412</v>
      </c>
      <c r="E57" s="66" t="s">
        <v>413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55" t="s">
        <v>34</v>
      </c>
      <c r="C58" s="256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55" t="s">
        <v>474</v>
      </c>
      <c r="C60" s="25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59" t="s">
        <v>169</v>
      </c>
      <c r="C61" s="260"/>
      <c r="D61" s="33" t="s">
        <v>170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59" t="s">
        <v>185</v>
      </c>
      <c r="C62" s="260"/>
      <c r="D62" s="33" t="s">
        <v>132</v>
      </c>
      <c r="E62" s="3" t="s">
        <v>188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59" t="s">
        <v>162</v>
      </c>
      <c r="C63" s="260"/>
      <c r="D63" s="33" t="s">
        <v>163</v>
      </c>
      <c r="E63" s="3" t="s">
        <v>92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59" t="s">
        <v>175</v>
      </c>
      <c r="C64" s="260"/>
      <c r="D64" s="61" t="s">
        <v>163</v>
      </c>
      <c r="E64" s="66" t="s">
        <v>413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55" t="s">
        <v>34</v>
      </c>
      <c r="C65" s="256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61"/>
      <c r="C66" s="26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63" t="s">
        <v>437</v>
      </c>
      <c r="C67" s="26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59" t="s">
        <v>41</v>
      </c>
      <c r="C68" s="260"/>
      <c r="D68" s="61" t="s">
        <v>511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59" t="s">
        <v>182</v>
      </c>
      <c r="C69" s="260"/>
      <c r="D69" s="33" t="s">
        <v>172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59" t="s">
        <v>184</v>
      </c>
      <c r="C70" s="260"/>
      <c r="D70" s="33" t="s">
        <v>132</v>
      </c>
      <c r="E70" s="3" t="s">
        <v>133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59" t="s">
        <v>186</v>
      </c>
      <c r="C71" s="260"/>
      <c r="D71" s="33" t="s">
        <v>142</v>
      </c>
      <c r="E71" s="3" t="s">
        <v>154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69" t="s">
        <v>189</v>
      </c>
      <c r="C72" s="270"/>
      <c r="D72" s="20" t="s">
        <v>142</v>
      </c>
      <c r="E72" s="29" t="s">
        <v>139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69" t="s">
        <v>158</v>
      </c>
      <c r="C73" s="270"/>
      <c r="D73" s="20" t="s">
        <v>159</v>
      </c>
      <c r="E73" s="29" t="s">
        <v>507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69" t="s">
        <v>153</v>
      </c>
      <c r="C74" s="270"/>
      <c r="D74" s="20" t="s">
        <v>142</v>
      </c>
      <c r="E74" s="29" t="s">
        <v>139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69" t="s">
        <v>456</v>
      </c>
      <c r="C75" s="270"/>
      <c r="D75" s="20" t="s">
        <v>512</v>
      </c>
      <c r="E75" s="29" t="s">
        <v>139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49" t="s">
        <v>193</v>
      </c>
      <c r="C76" s="249"/>
      <c r="D76" s="33" t="s">
        <v>159</v>
      </c>
      <c r="E76" s="66" t="s">
        <v>86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50" t="s">
        <v>34</v>
      </c>
      <c r="C77" s="250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50" t="s">
        <v>196</v>
      </c>
      <c r="C79" s="250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59" t="s">
        <v>552</v>
      </c>
      <c r="C80" s="260"/>
      <c r="D80" s="33" t="s">
        <v>553</v>
      </c>
      <c r="E80" s="3" t="s">
        <v>49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59" t="s">
        <v>47</v>
      </c>
      <c r="C81" s="260"/>
      <c r="D81" s="33" t="s">
        <v>513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69" t="s">
        <v>199</v>
      </c>
      <c r="C82" s="270"/>
      <c r="D82" s="20" t="s">
        <v>457</v>
      </c>
      <c r="E82" s="29" t="s">
        <v>139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67" t="s">
        <v>73</v>
      </c>
      <c r="C83" s="268"/>
      <c r="D83" s="33" t="s">
        <v>409</v>
      </c>
      <c r="E83" s="3" t="s">
        <v>139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59" t="s">
        <v>203</v>
      </c>
      <c r="C84" s="260"/>
      <c r="D84" s="33" t="s">
        <v>514</v>
      </c>
      <c r="E84" s="66" t="s">
        <v>92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554</v>
      </c>
      <c r="C85" s="103"/>
      <c r="D85" s="33"/>
      <c r="E85" s="66" t="s">
        <v>100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50" t="s">
        <v>34</v>
      </c>
      <c r="C86" s="250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50" t="s">
        <v>205</v>
      </c>
      <c r="C88" s="250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59" t="s">
        <v>206</v>
      </c>
      <c r="C89" s="260"/>
      <c r="D89" s="61" t="s">
        <v>207</v>
      </c>
      <c r="E89" s="66" t="s">
        <v>121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10" t="s">
        <v>208</v>
      </c>
      <c r="C90" s="311"/>
      <c r="D90" s="33" t="s">
        <v>209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59" t="s">
        <v>210</v>
      </c>
      <c r="C91" s="260"/>
      <c r="D91" s="33" t="s">
        <v>515</v>
      </c>
      <c r="E91" s="3" t="s">
        <v>154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69" t="s">
        <v>212</v>
      </c>
      <c r="C92" s="270"/>
      <c r="D92" s="20" t="s">
        <v>516</v>
      </c>
      <c r="E92" s="29" t="s">
        <v>517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50" t="s">
        <v>34</v>
      </c>
      <c r="C93" s="250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50" t="s">
        <v>218</v>
      </c>
      <c r="C95" s="250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49" t="s">
        <v>219</v>
      </c>
      <c r="C96" s="249"/>
      <c r="D96" s="61" t="s">
        <v>220</v>
      </c>
      <c r="E96" s="66" t="s">
        <v>151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49" t="s">
        <v>221</v>
      </c>
      <c r="C97" s="249"/>
      <c r="D97" s="61" t="s">
        <v>222</v>
      </c>
      <c r="E97" s="66" t="s">
        <v>506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49" t="s">
        <v>223</v>
      </c>
      <c r="C98" s="249"/>
      <c r="D98" s="61" t="s">
        <v>458</v>
      </c>
      <c r="E98" s="66" t="s">
        <v>64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49" t="s">
        <v>62</v>
      </c>
      <c r="C99" s="249"/>
      <c r="D99" s="61" t="s">
        <v>518</v>
      </c>
      <c r="E99" s="66" t="s">
        <v>154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51" t="s">
        <v>225</v>
      </c>
      <c r="C100" s="251"/>
      <c r="D100" s="33" t="s">
        <v>519</v>
      </c>
      <c r="E100" s="66" t="s">
        <v>154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09" t="s">
        <v>227</v>
      </c>
      <c r="C101" s="309"/>
      <c r="D101" s="61" t="s">
        <v>461</v>
      </c>
      <c r="E101" s="66" t="s">
        <v>103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49" t="s">
        <v>229</v>
      </c>
      <c r="C102" s="249"/>
      <c r="D102" s="61" t="s">
        <v>520</v>
      </c>
      <c r="E102" s="66" t="s">
        <v>413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49" t="s">
        <v>231</v>
      </c>
      <c r="C103" s="249"/>
      <c r="D103" s="61" t="s">
        <v>520</v>
      </c>
      <c r="E103" s="66" t="s">
        <v>413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49" t="s">
        <v>250</v>
      </c>
      <c r="C104" s="249"/>
      <c r="D104" s="33" t="s">
        <v>252</v>
      </c>
      <c r="E104" s="66" t="s">
        <v>139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59" t="s">
        <v>108</v>
      </c>
      <c r="C105" s="260"/>
      <c r="D105" s="61" t="s">
        <v>109</v>
      </c>
      <c r="E105" s="66" t="s">
        <v>115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50" t="s">
        <v>34</v>
      </c>
      <c r="C106" s="250"/>
      <c r="D106" s="98" t="s">
        <v>463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50" t="s">
        <v>235</v>
      </c>
      <c r="C108" s="250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49" t="s">
        <v>236</v>
      </c>
      <c r="C109" s="249"/>
      <c r="D109" s="61" t="s">
        <v>464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49" t="s">
        <v>238</v>
      </c>
      <c r="C110" s="249"/>
      <c r="D110" s="61" t="s">
        <v>465</v>
      </c>
      <c r="E110" s="66" t="s">
        <v>151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09" t="s">
        <v>240</v>
      </c>
      <c r="C111" s="309"/>
      <c r="D111" s="61" t="s">
        <v>466</v>
      </c>
      <c r="E111" s="66" t="s">
        <v>506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65" t="s">
        <v>242</v>
      </c>
      <c r="C112" s="266"/>
      <c r="D112" s="20" t="s">
        <v>467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67" t="s">
        <v>157</v>
      </c>
      <c r="C113" s="268"/>
      <c r="D113" s="33" t="s">
        <v>485</v>
      </c>
      <c r="E113" s="66" t="s">
        <v>139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59" t="s">
        <v>253</v>
      </c>
      <c r="C114" s="260"/>
      <c r="D114" s="61" t="s">
        <v>412</v>
      </c>
      <c r="E114" s="66" t="s">
        <v>413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49" t="s">
        <v>246</v>
      </c>
      <c r="C115" s="249"/>
      <c r="D115" s="61" t="s">
        <v>411</v>
      </c>
      <c r="E115" s="66" t="s">
        <v>139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49" t="s">
        <v>248</v>
      </c>
      <c r="C116" s="249"/>
      <c r="D116" s="33" t="s">
        <v>252</v>
      </c>
      <c r="E116" s="66" t="s">
        <v>139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49" t="s">
        <v>251</v>
      </c>
      <c r="C117" s="249"/>
      <c r="D117" s="33" t="s">
        <v>258</v>
      </c>
      <c r="E117" s="66" t="s">
        <v>413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49" t="s">
        <v>255</v>
      </c>
      <c r="C118" s="249"/>
      <c r="D118" s="33" t="s">
        <v>412</v>
      </c>
      <c r="E118" s="66" t="s">
        <v>86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59" t="s">
        <v>257</v>
      </c>
      <c r="C119" s="260"/>
      <c r="D119" s="33" t="s">
        <v>258</v>
      </c>
      <c r="E119" s="66" t="s">
        <v>92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59" t="s">
        <v>259</v>
      </c>
      <c r="C120" s="260"/>
      <c r="D120" s="61" t="s">
        <v>522</v>
      </c>
      <c r="E120" s="66" t="s">
        <v>415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59" t="s">
        <v>263</v>
      </c>
      <c r="C121" s="260"/>
      <c r="D121" s="61" t="s">
        <v>262</v>
      </c>
      <c r="E121" s="66" t="s">
        <v>110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59" t="s">
        <v>264</v>
      </c>
      <c r="C122" s="260"/>
      <c r="D122" s="61" t="s">
        <v>262</v>
      </c>
      <c r="E122" s="66" t="s">
        <v>110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59" t="s">
        <v>265</v>
      </c>
      <c r="C123" s="260"/>
      <c r="D123" s="61" t="s">
        <v>262</v>
      </c>
      <c r="E123" s="66" t="s">
        <v>110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59" t="s">
        <v>266</v>
      </c>
      <c r="C124" s="260"/>
      <c r="D124" s="61" t="s">
        <v>262</v>
      </c>
      <c r="E124" s="66" t="s">
        <v>115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59" t="s">
        <v>267</v>
      </c>
      <c r="C125" s="260"/>
      <c r="D125" s="61" t="s">
        <v>268</v>
      </c>
      <c r="E125" s="66" t="s">
        <v>115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59" t="s">
        <v>213</v>
      </c>
      <c r="C126" s="260"/>
      <c r="D126" s="61" t="s">
        <v>478</v>
      </c>
      <c r="E126" s="66" t="s">
        <v>115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59" t="s">
        <v>270</v>
      </c>
      <c r="C127" s="260"/>
      <c r="D127" s="61" t="s">
        <v>478</v>
      </c>
      <c r="E127" s="66" t="s">
        <v>115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59" t="s">
        <v>269</v>
      </c>
      <c r="C128" s="260"/>
      <c r="D128" s="61" t="s">
        <v>262</v>
      </c>
      <c r="E128" s="66" t="s">
        <v>115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59" t="s">
        <v>256</v>
      </c>
      <c r="C129" s="260"/>
      <c r="D129" s="61" t="s">
        <v>414</v>
      </c>
      <c r="E129" s="66" t="s">
        <v>413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59" t="s">
        <v>261</v>
      </c>
      <c r="C130" s="260"/>
      <c r="D130" s="61" t="s">
        <v>262</v>
      </c>
      <c r="E130" s="66" t="s">
        <v>92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49" t="s">
        <v>277</v>
      </c>
      <c r="C131" s="249"/>
      <c r="D131" s="61" t="s">
        <v>287</v>
      </c>
      <c r="E131" s="66" t="s">
        <v>523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49" t="s">
        <v>280</v>
      </c>
      <c r="C132" s="249"/>
      <c r="D132" s="61" t="s">
        <v>287</v>
      </c>
      <c r="E132" s="66" t="s">
        <v>523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49" t="s">
        <v>281</v>
      </c>
      <c r="C133" s="249"/>
      <c r="D133" s="61" t="s">
        <v>287</v>
      </c>
      <c r="E133" s="66" t="s">
        <v>523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49" t="s">
        <v>282</v>
      </c>
      <c r="C134" s="249"/>
      <c r="D134" s="61" t="s">
        <v>287</v>
      </c>
      <c r="E134" s="66" t="s">
        <v>523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49" t="s">
        <v>283</v>
      </c>
      <c r="C135" s="249"/>
      <c r="D135" s="61" t="s">
        <v>287</v>
      </c>
      <c r="E135" s="66" t="s">
        <v>523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49" t="s">
        <v>284</v>
      </c>
      <c r="C136" s="249"/>
      <c r="D136" s="61" t="s">
        <v>287</v>
      </c>
      <c r="E136" s="66" t="s">
        <v>523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49" t="s">
        <v>285</v>
      </c>
      <c r="C137" s="249"/>
      <c r="D137" s="61" t="s">
        <v>287</v>
      </c>
      <c r="E137" s="66" t="s">
        <v>523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49" t="s">
        <v>286</v>
      </c>
      <c r="C138" s="249"/>
      <c r="D138" s="61" t="s">
        <v>303</v>
      </c>
      <c r="E138" s="66" t="s">
        <v>524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49" t="s">
        <v>289</v>
      </c>
      <c r="C139" s="249"/>
      <c r="D139" s="61" t="s">
        <v>303</v>
      </c>
      <c r="E139" s="66" t="s">
        <v>524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49" t="s">
        <v>290</v>
      </c>
      <c r="C140" s="249"/>
      <c r="D140" s="61" t="s">
        <v>303</v>
      </c>
      <c r="E140" s="66" t="s">
        <v>524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291</v>
      </c>
      <c r="C141" s="33"/>
      <c r="D141" s="61" t="s">
        <v>303</v>
      </c>
      <c r="E141" s="66" t="s">
        <v>524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59" t="s">
        <v>292</v>
      </c>
      <c r="C142" s="260"/>
      <c r="D142" s="61" t="s">
        <v>303</v>
      </c>
      <c r="E142" s="66" t="s">
        <v>524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293</v>
      </c>
      <c r="C143" s="33"/>
      <c r="D143" s="61" t="s">
        <v>303</v>
      </c>
      <c r="E143" s="66" t="s">
        <v>524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294</v>
      </c>
      <c r="C144" s="33"/>
      <c r="D144" s="61" t="s">
        <v>303</v>
      </c>
      <c r="E144" s="66" t="s">
        <v>524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59" t="s">
        <v>295</v>
      </c>
      <c r="C145" s="260"/>
      <c r="D145" s="61" t="s">
        <v>303</v>
      </c>
      <c r="E145" s="66" t="s">
        <v>301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59" t="s">
        <v>297</v>
      </c>
      <c r="C146" s="260"/>
      <c r="D146" s="61" t="s">
        <v>303</v>
      </c>
      <c r="E146" s="66" t="s">
        <v>301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298</v>
      </c>
      <c r="C147" s="33"/>
      <c r="D147" s="61" t="s">
        <v>303</v>
      </c>
      <c r="E147" s="66" t="s">
        <v>525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59" t="s">
        <v>300</v>
      </c>
      <c r="C148" s="260"/>
      <c r="D148" s="61" t="s">
        <v>303</v>
      </c>
      <c r="E148" s="66" t="s">
        <v>310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59" t="s">
        <v>302</v>
      </c>
      <c r="C149" s="260"/>
      <c r="D149" s="61" t="s">
        <v>303</v>
      </c>
      <c r="E149" s="66" t="s">
        <v>310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59" t="s">
        <v>305</v>
      </c>
      <c r="C150" s="260"/>
      <c r="D150" s="61" t="s">
        <v>303</v>
      </c>
      <c r="E150" s="66" t="s">
        <v>310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59" t="s">
        <v>306</v>
      </c>
      <c r="C151" s="260"/>
      <c r="D151" s="61" t="s">
        <v>303</v>
      </c>
      <c r="E151" s="66" t="s">
        <v>310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59" t="s">
        <v>307</v>
      </c>
      <c r="C152" s="260"/>
      <c r="D152" s="61" t="s">
        <v>303</v>
      </c>
      <c r="E152" s="66" t="s">
        <v>310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59" t="s">
        <v>469</v>
      </c>
      <c r="C153" s="260"/>
      <c r="D153" s="61" t="s">
        <v>303</v>
      </c>
      <c r="E153" s="66" t="s">
        <v>310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59" t="s">
        <v>308</v>
      </c>
      <c r="C154" s="260"/>
      <c r="D154" s="61" t="s">
        <v>303</v>
      </c>
      <c r="E154" s="66" t="s">
        <v>310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78" t="s">
        <v>309</v>
      </c>
      <c r="C155" s="279"/>
      <c r="D155" s="61" t="s">
        <v>303</v>
      </c>
      <c r="E155" s="66" t="s">
        <v>526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80" t="s">
        <v>311</v>
      </c>
      <c r="C156" s="281"/>
      <c r="D156" s="61" t="s">
        <v>303</v>
      </c>
      <c r="E156" s="66" t="s">
        <v>526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312</v>
      </c>
      <c r="C157" s="96"/>
      <c r="D157" s="61" t="s">
        <v>303</v>
      </c>
      <c r="E157" s="66" t="s">
        <v>526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555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47" t="s">
        <v>319</v>
      </c>
      <c r="C159" s="247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556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2:E2"/>
    <mergeCell ref="B4:C4"/>
    <mergeCell ref="B5:C5"/>
    <mergeCell ref="B6:C6"/>
    <mergeCell ref="B7:C7"/>
    <mergeCell ref="B9:C9"/>
    <mergeCell ref="B16:C16"/>
    <mergeCell ref="B17:C17"/>
    <mergeCell ref="B18:C18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31" t="s">
        <v>540</v>
      </c>
      <c r="C2" s="231"/>
      <c r="D2" s="231"/>
      <c r="E2" s="23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31" t="s">
        <v>2</v>
      </c>
      <c r="C3" s="231"/>
      <c r="D3" s="58" t="s">
        <v>5</v>
      </c>
      <c r="E3" s="58" t="s">
        <v>17</v>
      </c>
      <c r="F3" s="2" t="s">
        <v>557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541</v>
      </c>
      <c r="O3" s="2" t="s">
        <v>27</v>
      </c>
      <c r="P3" s="2" t="s">
        <v>27</v>
      </c>
      <c r="Q3" s="2" t="s">
        <v>28</v>
      </c>
      <c r="R3" s="2"/>
      <c r="S3" s="59" t="s">
        <v>542</v>
      </c>
      <c r="T3" s="59" t="s">
        <v>543</v>
      </c>
    </row>
    <row r="4" spans="1:20" ht="18.75">
      <c r="A4" s="21" t="s">
        <v>35</v>
      </c>
      <c r="B4" s="254" t="s">
        <v>36</v>
      </c>
      <c r="C4" s="254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59" t="s">
        <v>38</v>
      </c>
      <c r="C5" s="260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546</v>
      </c>
      <c r="C6" s="107"/>
      <c r="D6" s="61" t="s">
        <v>547</v>
      </c>
      <c r="E6" s="38" t="s">
        <v>548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67" t="s">
        <v>55</v>
      </c>
      <c r="C7" s="268"/>
      <c r="D7" s="33" t="s">
        <v>505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69" t="s">
        <v>58</v>
      </c>
      <c r="C8" s="270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67" t="s">
        <v>60</v>
      </c>
      <c r="C9" s="268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67" t="s">
        <v>44</v>
      </c>
      <c r="C10" s="268"/>
      <c r="D10" s="43" t="s">
        <v>449</v>
      </c>
      <c r="E10" s="78" t="s">
        <v>506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67" t="s">
        <v>50</v>
      </c>
      <c r="C11" s="268"/>
      <c r="D11" s="43" t="s">
        <v>51</v>
      </c>
      <c r="E11" s="78" t="s">
        <v>64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67" t="s">
        <v>492</v>
      </c>
      <c r="C12" s="268"/>
      <c r="D12" s="43" t="s">
        <v>493</v>
      </c>
      <c r="E12" s="44" t="s">
        <v>139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67" t="s">
        <v>68</v>
      </c>
      <c r="C13" s="268"/>
      <c r="D13" s="43" t="s">
        <v>406</v>
      </c>
      <c r="E13" s="44" t="s">
        <v>139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67" t="s">
        <v>71</v>
      </c>
      <c r="C14" s="268"/>
      <c r="D14" s="33" t="s">
        <v>408</v>
      </c>
      <c r="E14" s="3" t="s">
        <v>77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59" t="s">
        <v>75</v>
      </c>
      <c r="C15" s="260"/>
      <c r="D15" s="61" t="s">
        <v>408</v>
      </c>
      <c r="E15" s="66" t="s">
        <v>77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59" t="s">
        <v>84</v>
      </c>
      <c r="C16" s="260"/>
      <c r="D16" s="61" t="s">
        <v>85</v>
      </c>
      <c r="E16" s="66" t="s">
        <v>92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59" t="s">
        <v>87</v>
      </c>
      <c r="C17" s="260"/>
      <c r="D17" s="61" t="s">
        <v>94</v>
      </c>
      <c r="E17" s="66" t="s">
        <v>413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93</v>
      </c>
      <c r="C18" s="103"/>
      <c r="D18" s="61" t="s">
        <v>94</v>
      </c>
      <c r="E18" s="66" t="s">
        <v>112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96</v>
      </c>
      <c r="C19" s="103"/>
      <c r="D19" s="61"/>
      <c r="E19" s="66" t="s">
        <v>98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549</v>
      </c>
      <c r="C20" s="103"/>
      <c r="D20" s="61"/>
      <c r="E20" s="66" t="s">
        <v>83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99</v>
      </c>
      <c r="C21" s="103"/>
      <c r="D21" s="61"/>
      <c r="E21" s="66" t="s">
        <v>98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49" t="s">
        <v>101</v>
      </c>
      <c r="C22" s="249"/>
      <c r="D22" s="33" t="s">
        <v>105</v>
      </c>
      <c r="E22" s="66" t="s">
        <v>507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59" t="s">
        <v>104</v>
      </c>
      <c r="C23" s="260"/>
      <c r="D23" s="33" t="s">
        <v>105</v>
      </c>
      <c r="E23" s="66" t="s">
        <v>92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50" t="s">
        <v>34</v>
      </c>
      <c r="C24" s="250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50" t="s">
        <v>118</v>
      </c>
      <c r="C26" s="250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10" t="s">
        <v>451</v>
      </c>
      <c r="C27" s="311"/>
      <c r="D27" s="61" t="s">
        <v>452</v>
      </c>
      <c r="E27" s="66" t="s">
        <v>121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10" t="s">
        <v>508</v>
      </c>
      <c r="C28" s="311"/>
      <c r="D28" s="61" t="s">
        <v>509</v>
      </c>
      <c r="E28" s="66" t="s">
        <v>413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82"/>
      <c r="C30" s="283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57" t="s">
        <v>122</v>
      </c>
      <c r="C31" s="258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59" t="s">
        <v>123</v>
      </c>
      <c r="C32" s="260"/>
      <c r="D32" s="33" t="s">
        <v>124</v>
      </c>
      <c r="E32" s="3" t="s">
        <v>151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59" t="s">
        <v>125</v>
      </c>
      <c r="C33" s="260"/>
      <c r="D33" s="33" t="s">
        <v>126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59" t="s">
        <v>127</v>
      </c>
      <c r="C34" s="260"/>
      <c r="D34" s="33" t="s">
        <v>128</v>
      </c>
      <c r="E34" s="3" t="s">
        <v>64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59" t="s">
        <v>129</v>
      </c>
      <c r="C35" s="260"/>
      <c r="D35" s="33" t="s">
        <v>132</v>
      </c>
      <c r="E35" s="3" t="s">
        <v>133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59" t="s">
        <v>131</v>
      </c>
      <c r="C36" s="260"/>
      <c r="D36" s="33" t="s">
        <v>132</v>
      </c>
      <c r="E36" s="3" t="s">
        <v>510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59" t="s">
        <v>134</v>
      </c>
      <c r="C37" s="260"/>
      <c r="D37" s="33" t="s">
        <v>142</v>
      </c>
      <c r="E37" s="3" t="s">
        <v>139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65" t="s">
        <v>135</v>
      </c>
      <c r="C38" s="266"/>
      <c r="D38" s="20" t="s">
        <v>484</v>
      </c>
      <c r="E38" s="25" t="s">
        <v>77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59" t="s">
        <v>137</v>
      </c>
      <c r="C39" s="260"/>
      <c r="D39" s="33" t="s">
        <v>138</v>
      </c>
      <c r="E39" s="3" t="s">
        <v>103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59" t="s">
        <v>140</v>
      </c>
      <c r="C40" s="260"/>
      <c r="D40" s="33" t="s">
        <v>142</v>
      </c>
      <c r="E40" s="3" t="s">
        <v>139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59" t="s">
        <v>453</v>
      </c>
      <c r="C41" s="260"/>
      <c r="D41" s="33" t="s">
        <v>142</v>
      </c>
      <c r="E41" s="3" t="s">
        <v>139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69" t="s">
        <v>141</v>
      </c>
      <c r="C42" s="270"/>
      <c r="D42" s="20" t="s">
        <v>159</v>
      </c>
      <c r="E42" s="29" t="s">
        <v>86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55" t="s">
        <v>34</v>
      </c>
      <c r="C43" s="256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55" t="s">
        <v>143</v>
      </c>
      <c r="C45" s="256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59" t="s">
        <v>144</v>
      </c>
      <c r="C46" s="260"/>
      <c r="D46" s="61" t="s">
        <v>145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146</v>
      </c>
      <c r="C47" s="103"/>
      <c r="D47" s="61" t="s">
        <v>550</v>
      </c>
      <c r="E47" s="78" t="s">
        <v>83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55" t="s">
        <v>34</v>
      </c>
      <c r="C48" s="256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55"/>
      <c r="C49" s="256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55" t="s">
        <v>436</v>
      </c>
      <c r="C50" s="256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69" t="s">
        <v>149</v>
      </c>
      <c r="C51" s="270"/>
      <c r="D51" s="47" t="s">
        <v>150</v>
      </c>
      <c r="E51" s="29" t="s">
        <v>121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69" t="s">
        <v>551</v>
      </c>
      <c r="C52" s="270"/>
      <c r="D52" s="20" t="s">
        <v>132</v>
      </c>
      <c r="E52" s="29" t="s">
        <v>188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67" t="s">
        <v>187</v>
      </c>
      <c r="C53" s="268"/>
      <c r="D53" s="33" t="s">
        <v>138</v>
      </c>
      <c r="E53" s="3" t="s">
        <v>154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69" t="s">
        <v>155</v>
      </c>
      <c r="C54" s="270"/>
      <c r="D54" s="47" t="s">
        <v>159</v>
      </c>
      <c r="E54" s="29" t="s">
        <v>86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49" t="s">
        <v>161</v>
      </c>
      <c r="C55" s="249"/>
      <c r="D55" s="61" t="s">
        <v>412</v>
      </c>
      <c r="E55" s="66" t="s">
        <v>413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55" t="s">
        <v>34</v>
      </c>
      <c r="C56" s="256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55" t="s">
        <v>474</v>
      </c>
      <c r="C58" s="256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59" t="s">
        <v>169</v>
      </c>
      <c r="C59" s="260"/>
      <c r="D59" s="33" t="s">
        <v>170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59" t="s">
        <v>185</v>
      </c>
      <c r="C60" s="260"/>
      <c r="D60" s="33" t="s">
        <v>132</v>
      </c>
      <c r="E60" s="3" t="s">
        <v>188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59" t="s">
        <v>162</v>
      </c>
      <c r="C61" s="260"/>
      <c r="D61" s="33" t="s">
        <v>163</v>
      </c>
      <c r="E61" s="3" t="s">
        <v>92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59" t="s">
        <v>175</v>
      </c>
      <c r="C62" s="260"/>
      <c r="D62" s="61" t="s">
        <v>163</v>
      </c>
      <c r="E62" s="66" t="s">
        <v>413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55" t="s">
        <v>34</v>
      </c>
      <c r="C63" s="256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61"/>
      <c r="C64" s="262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63" t="s">
        <v>437</v>
      </c>
      <c r="C65" s="264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59" t="s">
        <v>41</v>
      </c>
      <c r="C66" s="260"/>
      <c r="D66" s="61" t="s">
        <v>511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59" t="s">
        <v>182</v>
      </c>
      <c r="C67" s="260"/>
      <c r="D67" s="33" t="s">
        <v>172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59" t="s">
        <v>184</v>
      </c>
      <c r="C68" s="260"/>
      <c r="D68" s="33" t="s">
        <v>132</v>
      </c>
      <c r="E68" s="3" t="s">
        <v>133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59" t="s">
        <v>186</v>
      </c>
      <c r="C69" s="260"/>
      <c r="D69" s="33" t="s">
        <v>142</v>
      </c>
      <c r="E69" s="3" t="s">
        <v>154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69" t="s">
        <v>189</v>
      </c>
      <c r="C70" s="270"/>
      <c r="D70" s="20" t="s">
        <v>142</v>
      </c>
      <c r="E70" s="29" t="s">
        <v>139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69" t="s">
        <v>158</v>
      </c>
      <c r="C71" s="270"/>
      <c r="D71" s="20" t="s">
        <v>159</v>
      </c>
      <c r="E71" s="29" t="s">
        <v>507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69" t="s">
        <v>153</v>
      </c>
      <c r="C72" s="270"/>
      <c r="D72" s="20" t="s">
        <v>142</v>
      </c>
      <c r="E72" s="29" t="s">
        <v>139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69" t="s">
        <v>456</v>
      </c>
      <c r="C73" s="270"/>
      <c r="D73" s="20" t="s">
        <v>512</v>
      </c>
      <c r="E73" s="29" t="s">
        <v>139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49" t="s">
        <v>193</v>
      </c>
      <c r="C74" s="249"/>
      <c r="D74" s="33" t="s">
        <v>159</v>
      </c>
      <c r="E74" s="66" t="s">
        <v>86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50" t="s">
        <v>34</v>
      </c>
      <c r="C75" s="250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50" t="s">
        <v>196</v>
      </c>
      <c r="C77" s="250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59" t="s">
        <v>552</v>
      </c>
      <c r="C78" s="260"/>
      <c r="D78" s="33" t="s">
        <v>553</v>
      </c>
      <c r="E78" s="3" t="s">
        <v>49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59" t="s">
        <v>47</v>
      </c>
      <c r="C79" s="260"/>
      <c r="D79" s="33" t="s">
        <v>513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69" t="s">
        <v>199</v>
      </c>
      <c r="C80" s="270"/>
      <c r="D80" s="20" t="s">
        <v>457</v>
      </c>
      <c r="E80" s="29" t="s">
        <v>139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67" t="s">
        <v>73</v>
      </c>
      <c r="C81" s="268"/>
      <c r="D81" s="33" t="s">
        <v>409</v>
      </c>
      <c r="E81" s="3" t="s">
        <v>139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59" t="s">
        <v>203</v>
      </c>
      <c r="C82" s="260"/>
      <c r="D82" s="33" t="s">
        <v>514</v>
      </c>
      <c r="E82" s="66" t="s">
        <v>92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554</v>
      </c>
      <c r="C83" s="103"/>
      <c r="D83" s="33"/>
      <c r="E83" s="66" t="s">
        <v>100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50" t="s">
        <v>34</v>
      </c>
      <c r="C84" s="250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50" t="s">
        <v>205</v>
      </c>
      <c r="C86" s="250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59" t="s">
        <v>206</v>
      </c>
      <c r="C87" s="260"/>
      <c r="D87" s="61" t="s">
        <v>207</v>
      </c>
      <c r="E87" s="66" t="s">
        <v>121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10" t="s">
        <v>208</v>
      </c>
      <c r="C88" s="311"/>
      <c r="D88" s="33" t="s">
        <v>209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59" t="s">
        <v>210</v>
      </c>
      <c r="C89" s="260"/>
      <c r="D89" s="33" t="s">
        <v>515</v>
      </c>
      <c r="E89" s="3" t="s">
        <v>154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69" t="s">
        <v>212</v>
      </c>
      <c r="C90" s="270"/>
      <c r="D90" s="20" t="s">
        <v>516</v>
      </c>
      <c r="E90" s="29" t="s">
        <v>517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50" t="s">
        <v>34</v>
      </c>
      <c r="C91" s="250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50" t="s">
        <v>218</v>
      </c>
      <c r="C93" s="250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49" t="s">
        <v>219</v>
      </c>
      <c r="C94" s="249"/>
      <c r="D94" s="61" t="s">
        <v>220</v>
      </c>
      <c r="E94" s="66" t="s">
        <v>151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49" t="s">
        <v>221</v>
      </c>
      <c r="C95" s="249"/>
      <c r="D95" s="61" t="s">
        <v>222</v>
      </c>
      <c r="E95" s="66" t="s">
        <v>506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49" t="s">
        <v>223</v>
      </c>
      <c r="C96" s="249"/>
      <c r="D96" s="61" t="s">
        <v>458</v>
      </c>
      <c r="E96" s="66" t="s">
        <v>64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49" t="s">
        <v>62</v>
      </c>
      <c r="C97" s="249"/>
      <c r="D97" s="61" t="s">
        <v>518</v>
      </c>
      <c r="E97" s="66" t="s">
        <v>154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51" t="s">
        <v>225</v>
      </c>
      <c r="C98" s="251"/>
      <c r="D98" s="33" t="s">
        <v>519</v>
      </c>
      <c r="E98" s="66" t="s">
        <v>154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09" t="s">
        <v>227</v>
      </c>
      <c r="C99" s="309"/>
      <c r="D99" s="61" t="s">
        <v>461</v>
      </c>
      <c r="E99" s="66" t="s">
        <v>103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49" t="s">
        <v>229</v>
      </c>
      <c r="C100" s="249"/>
      <c r="D100" s="61" t="s">
        <v>520</v>
      </c>
      <c r="E100" s="66" t="s">
        <v>413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49" t="s">
        <v>231</v>
      </c>
      <c r="C101" s="249"/>
      <c r="D101" s="61" t="s">
        <v>520</v>
      </c>
      <c r="E101" s="66" t="s">
        <v>413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49" t="s">
        <v>250</v>
      </c>
      <c r="C102" s="249"/>
      <c r="D102" s="33" t="s">
        <v>252</v>
      </c>
      <c r="E102" s="66" t="s">
        <v>139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59" t="s">
        <v>108</v>
      </c>
      <c r="C103" s="260"/>
      <c r="D103" s="61" t="s">
        <v>109</v>
      </c>
      <c r="E103" s="66" t="s">
        <v>115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50" t="s">
        <v>34</v>
      </c>
      <c r="C104" s="250"/>
      <c r="D104" s="98" t="s">
        <v>463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50" t="s">
        <v>235</v>
      </c>
      <c r="C106" s="250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49" t="s">
        <v>236</v>
      </c>
      <c r="C107" s="249"/>
      <c r="D107" s="61" t="s">
        <v>464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49" t="s">
        <v>238</v>
      </c>
      <c r="C108" s="249"/>
      <c r="D108" s="61" t="s">
        <v>465</v>
      </c>
      <c r="E108" s="66" t="s">
        <v>151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09" t="s">
        <v>240</v>
      </c>
      <c r="C109" s="309"/>
      <c r="D109" s="61" t="s">
        <v>466</v>
      </c>
      <c r="E109" s="66" t="s">
        <v>506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65" t="s">
        <v>242</v>
      </c>
      <c r="C110" s="266"/>
      <c r="D110" s="20" t="s">
        <v>467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67" t="s">
        <v>157</v>
      </c>
      <c r="C111" s="268"/>
      <c r="D111" s="33" t="s">
        <v>485</v>
      </c>
      <c r="E111" s="66" t="s">
        <v>139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59" t="s">
        <v>253</v>
      </c>
      <c r="C112" s="260"/>
      <c r="D112" s="61" t="s">
        <v>412</v>
      </c>
      <c r="E112" s="66" t="s">
        <v>413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49" t="s">
        <v>246</v>
      </c>
      <c r="C113" s="249"/>
      <c r="D113" s="61" t="s">
        <v>411</v>
      </c>
      <c r="E113" s="66" t="s">
        <v>139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49" t="s">
        <v>248</v>
      </c>
      <c r="C114" s="249"/>
      <c r="D114" s="33" t="s">
        <v>252</v>
      </c>
      <c r="E114" s="66" t="s">
        <v>139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49" t="s">
        <v>251</v>
      </c>
      <c r="C115" s="249"/>
      <c r="D115" s="33" t="s">
        <v>258</v>
      </c>
      <c r="E115" s="66" t="s">
        <v>413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49" t="s">
        <v>255</v>
      </c>
      <c r="C116" s="249"/>
      <c r="D116" s="33" t="s">
        <v>412</v>
      </c>
      <c r="E116" s="66" t="s">
        <v>86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59" t="s">
        <v>257</v>
      </c>
      <c r="C117" s="260"/>
      <c r="D117" s="33" t="s">
        <v>258</v>
      </c>
      <c r="E117" s="66" t="s">
        <v>92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59" t="s">
        <v>259</v>
      </c>
      <c r="C118" s="260"/>
      <c r="D118" s="61" t="s">
        <v>522</v>
      </c>
      <c r="E118" s="66" t="s">
        <v>415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59" t="s">
        <v>263</v>
      </c>
      <c r="C119" s="260"/>
      <c r="D119" s="61" t="s">
        <v>262</v>
      </c>
      <c r="E119" s="66" t="s">
        <v>110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59" t="s">
        <v>264</v>
      </c>
      <c r="C120" s="260"/>
      <c r="D120" s="61" t="s">
        <v>262</v>
      </c>
      <c r="E120" s="66" t="s">
        <v>110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59" t="s">
        <v>265</v>
      </c>
      <c r="C121" s="260"/>
      <c r="D121" s="61" t="s">
        <v>262</v>
      </c>
      <c r="E121" s="66" t="s">
        <v>110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59" t="s">
        <v>266</v>
      </c>
      <c r="C122" s="260"/>
      <c r="D122" s="61" t="s">
        <v>262</v>
      </c>
      <c r="E122" s="66" t="s">
        <v>115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59" t="s">
        <v>267</v>
      </c>
      <c r="C123" s="260"/>
      <c r="D123" s="61" t="s">
        <v>268</v>
      </c>
      <c r="E123" s="66" t="s">
        <v>115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59" t="s">
        <v>213</v>
      </c>
      <c r="C124" s="260"/>
      <c r="D124" s="61" t="s">
        <v>478</v>
      </c>
      <c r="E124" s="66" t="s">
        <v>115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59" t="s">
        <v>270</v>
      </c>
      <c r="C125" s="260"/>
      <c r="D125" s="61" t="s">
        <v>478</v>
      </c>
      <c r="E125" s="66" t="s">
        <v>115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59" t="s">
        <v>269</v>
      </c>
      <c r="C126" s="260"/>
      <c r="D126" s="61" t="s">
        <v>262</v>
      </c>
      <c r="E126" s="66" t="s">
        <v>115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59" t="s">
        <v>256</v>
      </c>
      <c r="C127" s="260"/>
      <c r="D127" s="61" t="s">
        <v>414</v>
      </c>
      <c r="E127" s="66" t="s">
        <v>413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59" t="s">
        <v>261</v>
      </c>
      <c r="C128" s="260"/>
      <c r="D128" s="61" t="s">
        <v>262</v>
      </c>
      <c r="E128" s="66" t="s">
        <v>92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49" t="s">
        <v>277</v>
      </c>
      <c r="C129" s="249"/>
      <c r="D129" s="61" t="s">
        <v>287</v>
      </c>
      <c r="E129" s="66" t="s">
        <v>523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49" t="s">
        <v>280</v>
      </c>
      <c r="C130" s="249"/>
      <c r="D130" s="61" t="s">
        <v>287</v>
      </c>
      <c r="E130" s="66" t="s">
        <v>523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49" t="s">
        <v>281</v>
      </c>
      <c r="C131" s="249"/>
      <c r="D131" s="61" t="s">
        <v>287</v>
      </c>
      <c r="E131" s="66" t="s">
        <v>523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49" t="s">
        <v>282</v>
      </c>
      <c r="C132" s="249"/>
      <c r="D132" s="61" t="s">
        <v>287</v>
      </c>
      <c r="E132" s="66" t="s">
        <v>523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49" t="s">
        <v>283</v>
      </c>
      <c r="C133" s="249"/>
      <c r="D133" s="61" t="s">
        <v>287</v>
      </c>
      <c r="E133" s="66" t="s">
        <v>523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49" t="s">
        <v>284</v>
      </c>
      <c r="C134" s="249"/>
      <c r="D134" s="61" t="s">
        <v>287</v>
      </c>
      <c r="E134" s="66" t="s">
        <v>523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49" t="s">
        <v>285</v>
      </c>
      <c r="C135" s="249"/>
      <c r="D135" s="61" t="s">
        <v>287</v>
      </c>
      <c r="E135" s="66" t="s">
        <v>523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49" t="s">
        <v>286</v>
      </c>
      <c r="C136" s="249"/>
      <c r="D136" s="61" t="s">
        <v>303</v>
      </c>
      <c r="E136" s="66" t="s">
        <v>524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49" t="s">
        <v>289</v>
      </c>
      <c r="C137" s="249"/>
      <c r="D137" s="61" t="s">
        <v>303</v>
      </c>
      <c r="E137" s="66" t="s">
        <v>524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49" t="s">
        <v>290</v>
      </c>
      <c r="C138" s="249"/>
      <c r="D138" s="61" t="s">
        <v>303</v>
      </c>
      <c r="E138" s="66" t="s">
        <v>524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291</v>
      </c>
      <c r="C139" s="33"/>
      <c r="D139" s="61" t="s">
        <v>303</v>
      </c>
      <c r="E139" s="66" t="s">
        <v>524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59" t="s">
        <v>292</v>
      </c>
      <c r="C140" s="260"/>
      <c r="D140" s="61" t="s">
        <v>303</v>
      </c>
      <c r="E140" s="66" t="s">
        <v>524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293</v>
      </c>
      <c r="C141" s="33"/>
      <c r="D141" s="61" t="s">
        <v>303</v>
      </c>
      <c r="E141" s="66" t="s">
        <v>524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294</v>
      </c>
      <c r="C142" s="33"/>
      <c r="D142" s="61" t="s">
        <v>303</v>
      </c>
      <c r="E142" s="66" t="s">
        <v>524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59" t="s">
        <v>295</v>
      </c>
      <c r="C143" s="260"/>
      <c r="D143" s="61" t="s">
        <v>303</v>
      </c>
      <c r="E143" s="66" t="s">
        <v>301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59" t="s">
        <v>297</v>
      </c>
      <c r="C144" s="260"/>
      <c r="D144" s="61" t="s">
        <v>303</v>
      </c>
      <c r="E144" s="66" t="s">
        <v>301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298</v>
      </c>
      <c r="C145" s="33"/>
      <c r="D145" s="61" t="s">
        <v>303</v>
      </c>
      <c r="E145" s="66" t="s">
        <v>525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59" t="s">
        <v>300</v>
      </c>
      <c r="C146" s="260"/>
      <c r="D146" s="61" t="s">
        <v>303</v>
      </c>
      <c r="E146" s="66" t="s">
        <v>310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59" t="s">
        <v>302</v>
      </c>
      <c r="C147" s="260"/>
      <c r="D147" s="61" t="s">
        <v>303</v>
      </c>
      <c r="E147" s="66" t="s">
        <v>310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59" t="s">
        <v>305</v>
      </c>
      <c r="C148" s="260"/>
      <c r="D148" s="61" t="s">
        <v>303</v>
      </c>
      <c r="E148" s="66" t="s">
        <v>310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59" t="s">
        <v>306</v>
      </c>
      <c r="C149" s="260"/>
      <c r="D149" s="61" t="s">
        <v>303</v>
      </c>
      <c r="E149" s="66" t="s">
        <v>310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59" t="s">
        <v>307</v>
      </c>
      <c r="C150" s="260"/>
      <c r="D150" s="61" t="s">
        <v>303</v>
      </c>
      <c r="E150" s="66" t="s">
        <v>310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59" t="s">
        <v>469</v>
      </c>
      <c r="C151" s="260"/>
      <c r="D151" s="61" t="s">
        <v>303</v>
      </c>
      <c r="E151" s="66" t="s">
        <v>310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59" t="s">
        <v>308</v>
      </c>
      <c r="C152" s="260"/>
      <c r="D152" s="61" t="s">
        <v>303</v>
      </c>
      <c r="E152" s="66" t="s">
        <v>310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78" t="s">
        <v>309</v>
      </c>
      <c r="C153" s="279"/>
      <c r="D153" s="61" t="s">
        <v>303</v>
      </c>
      <c r="E153" s="66" t="s">
        <v>526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80" t="s">
        <v>311</v>
      </c>
      <c r="C154" s="281"/>
      <c r="D154" s="61" t="s">
        <v>303</v>
      </c>
      <c r="E154" s="66" t="s">
        <v>526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312</v>
      </c>
      <c r="C155" s="96"/>
      <c r="D155" s="61" t="s">
        <v>303</v>
      </c>
      <c r="E155" s="66" t="s">
        <v>526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555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47" t="s">
        <v>319</v>
      </c>
      <c r="C157" s="247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2:E2"/>
    <mergeCell ref="B3:C3"/>
    <mergeCell ref="B4:C4"/>
    <mergeCell ref="B5:C5"/>
    <mergeCell ref="B7:C7"/>
    <mergeCell ref="B14:C14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558</v>
      </c>
      <c r="C1" s="91"/>
    </row>
    <row r="2" spans="1:11" ht="15">
      <c r="A2" s="85"/>
      <c r="B2" s="85"/>
      <c r="C2" s="85"/>
      <c r="D2" s="85" t="s">
        <v>559</v>
      </c>
      <c r="E2" s="85" t="s">
        <v>560</v>
      </c>
      <c r="F2" s="85"/>
      <c r="G2" s="85"/>
      <c r="H2" s="85"/>
    </row>
    <row r="3" spans="1:11" ht="30">
      <c r="A3" s="85"/>
      <c r="B3" s="85"/>
      <c r="C3" s="85"/>
      <c r="D3" s="85" t="s">
        <v>561</v>
      </c>
      <c r="E3" s="85" t="s">
        <v>562</v>
      </c>
      <c r="F3" s="85" t="s">
        <v>563</v>
      </c>
      <c r="G3" s="86" t="s">
        <v>564</v>
      </c>
      <c r="H3" s="85"/>
      <c r="K3" s="84"/>
    </row>
    <row r="4" spans="1:11" ht="15">
      <c r="A4" s="85">
        <v>1</v>
      </c>
      <c r="B4" s="85" t="s">
        <v>565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566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567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568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569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570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565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566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567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568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569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571</v>
      </c>
      <c r="C19" s="92"/>
      <c r="D19" s="92"/>
      <c r="E19" s="92"/>
    </row>
    <row r="20" spans="1:13" ht="15">
      <c r="A20" s="85">
        <v>1</v>
      </c>
      <c r="B20" s="85" t="s">
        <v>565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566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567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568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569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572</v>
      </c>
      <c r="C28" s="92"/>
      <c r="D28" s="92"/>
      <c r="E28" s="92"/>
    </row>
    <row r="29" spans="1:13" ht="15">
      <c r="A29" s="85">
        <v>1</v>
      </c>
      <c r="B29" s="85" t="s">
        <v>573</v>
      </c>
      <c r="C29" s="85" t="s">
        <v>548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574</v>
      </c>
      <c r="C30" s="85" t="s">
        <v>67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575</v>
      </c>
      <c r="C31" s="85" t="s">
        <v>67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576</v>
      </c>
      <c r="C32" s="85" t="s">
        <v>67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577</v>
      </c>
      <c r="C33" s="85" t="s">
        <v>67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578</v>
      </c>
      <c r="C34" s="85" t="s">
        <v>67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579</v>
      </c>
      <c r="C35" s="85" t="s">
        <v>67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580</v>
      </c>
      <c r="C36" s="85" t="s">
        <v>581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582</v>
      </c>
      <c r="C37" s="85" t="s">
        <v>80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378</v>
      </c>
      <c r="C38" s="85" t="s">
        <v>80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583</v>
      </c>
      <c r="C39" s="85" t="s">
        <v>80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584</v>
      </c>
      <c r="C40" s="85" t="s">
        <v>80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585</v>
      </c>
      <c r="C41" s="85" t="s">
        <v>416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586</v>
      </c>
      <c r="C42" s="85" t="s">
        <v>416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587</v>
      </c>
      <c r="C43" s="85" t="s">
        <v>416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588</v>
      </c>
      <c r="C44" s="85" t="s">
        <v>416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589</v>
      </c>
      <c r="C45" s="85" t="s">
        <v>435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590</v>
      </c>
      <c r="C46" s="85" t="s">
        <v>435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591</v>
      </c>
      <c r="C47" s="85" t="s">
        <v>435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592</v>
      </c>
      <c r="C48" s="85" t="s">
        <v>435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593</v>
      </c>
      <c r="C49" s="85" t="s">
        <v>435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594</v>
      </c>
      <c r="C50" s="85" t="s">
        <v>435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595</v>
      </c>
      <c r="C51" s="85" t="s">
        <v>596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597</v>
      </c>
      <c r="C52" s="85" t="s">
        <v>596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598</v>
      </c>
      <c r="C53" s="85" t="s">
        <v>435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571</v>
      </c>
    </row>
    <row r="57" spans="1:12" ht="15">
      <c r="A57" s="85">
        <v>1</v>
      </c>
      <c r="B57" s="85" t="s">
        <v>573</v>
      </c>
      <c r="C57" s="85" t="s">
        <v>548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574</v>
      </c>
      <c r="C58" s="85" t="s">
        <v>67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575</v>
      </c>
      <c r="C59" s="85" t="s">
        <v>67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576</v>
      </c>
      <c r="C60" s="85" t="s">
        <v>67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577</v>
      </c>
      <c r="C61" s="85" t="s">
        <v>67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578</v>
      </c>
      <c r="C62" s="85" t="s">
        <v>67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579</v>
      </c>
      <c r="C63" s="85" t="s">
        <v>67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580</v>
      </c>
      <c r="C64" s="85" t="s">
        <v>581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582</v>
      </c>
      <c r="C65" s="85" t="s">
        <v>80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378</v>
      </c>
      <c r="C66" s="85" t="s">
        <v>80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583</v>
      </c>
      <c r="C67" s="85" t="s">
        <v>80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584</v>
      </c>
      <c r="C68" s="85" t="s">
        <v>80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585</v>
      </c>
      <c r="C69" s="85" t="s">
        <v>416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586</v>
      </c>
      <c r="C70" s="85" t="s">
        <v>416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587</v>
      </c>
      <c r="C71" s="85" t="s">
        <v>416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588</v>
      </c>
      <c r="C72" s="85" t="s">
        <v>416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589</v>
      </c>
      <c r="C73" s="85" t="s">
        <v>435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590</v>
      </c>
      <c r="C74" s="85" t="s">
        <v>435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591</v>
      </c>
      <c r="C75" s="85" t="s">
        <v>435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592</v>
      </c>
      <c r="C76" s="85" t="s">
        <v>435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593</v>
      </c>
      <c r="C77" s="85" t="s">
        <v>435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594</v>
      </c>
      <c r="C78" s="85" t="s">
        <v>435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595</v>
      </c>
      <c r="C79" s="85" t="s">
        <v>596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597</v>
      </c>
      <c r="C80" s="85" t="s">
        <v>596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598</v>
      </c>
      <c r="C81" s="85" t="s">
        <v>435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599</v>
      </c>
      <c r="C85" s="92"/>
      <c r="D85" s="92"/>
      <c r="E85" s="92"/>
      <c r="F85" s="85"/>
    </row>
    <row r="86" spans="1:6" ht="15">
      <c r="A86" s="85">
        <v>1</v>
      </c>
      <c r="B86" s="85" t="s">
        <v>600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569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571</v>
      </c>
      <c r="C89" s="92"/>
      <c r="D89" s="92"/>
      <c r="E89" s="92"/>
    </row>
    <row r="90" spans="1:6" ht="15">
      <c r="A90" s="85">
        <v>1</v>
      </c>
      <c r="B90" s="85" t="s">
        <v>600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569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35" t="s">
        <v>323</v>
      </c>
      <c r="B2" s="235"/>
      <c r="C2" s="235"/>
      <c r="D2" s="235"/>
      <c r="E2" s="235"/>
      <c r="F2" s="235"/>
      <c r="G2" s="235"/>
      <c r="H2" s="235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36" t="s">
        <v>324</v>
      </c>
      <c r="B4" s="236"/>
      <c r="C4" s="236"/>
      <c r="D4" s="236"/>
      <c r="E4" s="236"/>
      <c r="F4" s="236"/>
      <c r="G4" s="236"/>
      <c r="H4" s="236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325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37" t="s">
        <v>326</v>
      </c>
      <c r="B7" s="237"/>
      <c r="C7" s="237"/>
      <c r="D7" s="237"/>
      <c r="E7" s="237"/>
      <c r="F7" s="237"/>
      <c r="G7" s="119"/>
      <c r="H7" s="119"/>
    </row>
    <row r="8" spans="1:10" ht="24.75" hidden="1" customHeight="1">
      <c r="A8" s="237" t="s">
        <v>327</v>
      </c>
      <c r="B8" s="237"/>
      <c r="C8" s="237"/>
      <c r="D8" s="237"/>
      <c r="E8" s="237"/>
      <c r="F8" s="237"/>
      <c r="G8" s="119"/>
      <c r="H8" s="119"/>
    </row>
    <row r="9" spans="1:10" ht="24" hidden="1" customHeight="1">
      <c r="A9" s="237" t="s">
        <v>328</v>
      </c>
      <c r="B9" s="237"/>
      <c r="C9" s="237"/>
      <c r="D9" s="237"/>
      <c r="E9" s="237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38" t="s">
        <v>329</v>
      </c>
      <c r="B11" s="238"/>
      <c r="C11" s="238"/>
      <c r="D11" s="238"/>
      <c r="E11" s="238"/>
      <c r="F11" s="238"/>
      <c r="G11" s="119"/>
      <c r="H11" s="119"/>
    </row>
    <row r="12" spans="1:10" ht="18.75" hidden="1" customHeight="1">
      <c r="A12" s="237" t="s">
        <v>330</v>
      </c>
      <c r="B12" s="237"/>
      <c r="C12" s="237"/>
      <c r="D12" s="237"/>
      <c r="E12" s="237"/>
      <c r="F12" s="237"/>
      <c r="G12" s="237"/>
      <c r="H12" s="237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38" t="s">
        <v>601</v>
      </c>
      <c r="B14" s="238"/>
      <c r="C14" s="238"/>
      <c r="D14" s="238"/>
      <c r="E14" s="238"/>
      <c r="F14" s="238"/>
      <c r="G14" s="238"/>
      <c r="H14" s="122">
        <f>'December, 2021'!R188</f>
        <v>51639317.288800001</v>
      </c>
      <c r="J14" s="94"/>
    </row>
    <row r="15" spans="1:10" ht="21" customHeight="1">
      <c r="A15" s="285" t="s">
        <v>3</v>
      </c>
      <c r="B15" s="285"/>
      <c r="C15" s="285"/>
      <c r="D15" s="285"/>
      <c r="E15" s="285"/>
      <c r="F15" s="285"/>
      <c r="G15" s="121"/>
      <c r="H15" s="119"/>
    </row>
    <row r="16" spans="1:10" ht="18.75" customHeight="1">
      <c r="A16" s="237" t="s">
        <v>342</v>
      </c>
      <c r="B16" s="237"/>
      <c r="C16" s="237"/>
      <c r="D16" s="237"/>
      <c r="E16" s="237"/>
      <c r="F16" s="237"/>
      <c r="G16" s="123">
        <f>'December, 2021'!T188</f>
        <v>4849500</v>
      </c>
      <c r="H16" s="119"/>
      <c r="J16" s="94"/>
    </row>
    <row r="17" spans="1:10" ht="19.5" customHeight="1">
      <c r="A17" s="237" t="s">
        <v>343</v>
      </c>
      <c r="B17" s="237"/>
      <c r="C17" s="237"/>
      <c r="D17" s="237"/>
      <c r="E17" s="237"/>
      <c r="F17" s="237"/>
      <c r="G17" s="123">
        <f>'December, 2021'!U188</f>
        <v>6686064.0133333337</v>
      </c>
      <c r="H17" s="119"/>
    </row>
    <row r="18" spans="1:10" ht="20.25" customHeight="1">
      <c r="A18" s="237" t="s">
        <v>344</v>
      </c>
      <c r="B18" s="237"/>
      <c r="C18" s="237"/>
      <c r="D18" s="237"/>
      <c r="E18" s="237"/>
      <c r="F18" s="237"/>
      <c r="G18" s="123">
        <f>'December, 2021'!W188</f>
        <v>1514721.3</v>
      </c>
      <c r="H18" s="119"/>
    </row>
    <row r="19" spans="1:10" ht="27" customHeight="1">
      <c r="A19" s="288" t="s">
        <v>345</v>
      </c>
      <c r="B19" s="288"/>
      <c r="C19" s="288"/>
      <c r="D19" s="288"/>
      <c r="E19" s="288"/>
      <c r="F19" s="288"/>
      <c r="G19" s="123">
        <f>'December, 2021'!V188</f>
        <v>26068.024750000004</v>
      </c>
      <c r="H19" s="119"/>
    </row>
    <row r="20" spans="1:10" ht="27" customHeight="1">
      <c r="A20" s="288" t="s">
        <v>29</v>
      </c>
      <c r="B20" s="288"/>
      <c r="C20" s="288"/>
      <c r="D20" s="288"/>
      <c r="E20" s="288"/>
      <c r="F20" s="139"/>
      <c r="G20" s="124">
        <f>'December, 2021'!S188</f>
        <v>0</v>
      </c>
      <c r="H20" s="119"/>
    </row>
    <row r="21" spans="1:10" ht="19.5" customHeight="1">
      <c r="A21" s="237" t="s">
        <v>602</v>
      </c>
      <c r="B21" s="237"/>
      <c r="C21" s="237"/>
      <c r="D21" s="237"/>
      <c r="E21" s="237"/>
      <c r="F21" s="237"/>
      <c r="G21" s="123"/>
      <c r="H21" s="140">
        <f>G20+G19+G18+G17+G16</f>
        <v>13076353.338083334</v>
      </c>
      <c r="I21" s="32"/>
    </row>
    <row r="22" spans="1:10" ht="20.25" customHeight="1">
      <c r="A22" s="238" t="s">
        <v>603</v>
      </c>
      <c r="B22" s="238"/>
      <c r="C22" s="238"/>
      <c r="D22" s="238"/>
      <c r="E22" s="238"/>
      <c r="F22" s="238"/>
      <c r="G22" s="125"/>
      <c r="H22" s="126">
        <f>H14-H21</f>
        <v>38562963.950716667</v>
      </c>
      <c r="I22" s="35"/>
    </row>
    <row r="23" spans="1:10" ht="21" customHeight="1">
      <c r="A23" s="238" t="s">
        <v>604</v>
      </c>
      <c r="B23" s="238"/>
      <c r="C23" s="238"/>
      <c r="D23" s="238"/>
      <c r="E23" s="238"/>
      <c r="F23" s="238"/>
      <c r="G23" s="125"/>
      <c r="H23" s="127">
        <f>'December, 2021'!Y188</f>
        <v>39568934.601550005</v>
      </c>
    </row>
    <row r="24" spans="1:10" ht="21" customHeight="1">
      <c r="A24" s="238" t="s">
        <v>605</v>
      </c>
      <c r="B24" s="238"/>
      <c r="C24" s="238"/>
      <c r="D24" s="238"/>
      <c r="E24" s="238"/>
      <c r="F24" s="238"/>
      <c r="G24" s="125"/>
      <c r="H24" s="128">
        <f>H22-H23-1.08</f>
        <v>-1005971.7308333385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38" t="s">
        <v>350</v>
      </c>
      <c r="B26" s="238"/>
      <c r="C26" s="238"/>
      <c r="D26" s="238"/>
      <c r="E26" s="238"/>
      <c r="F26" s="238"/>
      <c r="G26" s="238"/>
      <c r="H26" s="141"/>
      <c r="J26" s="32"/>
    </row>
    <row r="27" spans="1:10" ht="21.75" customHeight="1">
      <c r="A27" s="120" t="s">
        <v>606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607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608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609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610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611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612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613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614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615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37"/>
      <c r="B37" s="237"/>
      <c r="C37" s="237"/>
      <c r="D37" s="237"/>
      <c r="E37" s="237"/>
      <c r="F37" s="237"/>
      <c r="G37" s="237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286" t="s">
        <v>616</v>
      </c>
      <c r="F39" s="287"/>
      <c r="G39" s="286" t="s">
        <v>617</v>
      </c>
      <c r="H39" s="287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618</v>
      </c>
      <c r="F40" s="131" t="s">
        <v>557</v>
      </c>
      <c r="G40" s="130" t="s">
        <v>618</v>
      </c>
      <c r="H40" s="131" t="s">
        <v>557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619</v>
      </c>
      <c r="F41" s="132" t="s">
        <v>37</v>
      </c>
      <c r="G41" s="130" t="s">
        <v>619</v>
      </c>
      <c r="H41" s="132" t="s">
        <v>37</v>
      </c>
      <c r="I41" s="32"/>
      <c r="J41" s="32"/>
    </row>
    <row r="42" spans="1:11" ht="28.5" customHeight="1">
      <c r="A42" s="133">
        <v>1</v>
      </c>
      <c r="B42" s="289" t="s">
        <v>356</v>
      </c>
      <c r="C42" s="237"/>
      <c r="D42" s="237"/>
      <c r="E42" s="134">
        <v>24</v>
      </c>
      <c r="F42" s="135">
        <f>'December, 2021'!Y39</f>
        <v>9736111.7322500013</v>
      </c>
      <c r="G42" s="134">
        <v>26</v>
      </c>
      <c r="H42" s="135">
        <f>'December, 2021'!Z39</f>
        <v>9736111.7322500013</v>
      </c>
      <c r="I42" s="32"/>
      <c r="J42" s="32"/>
    </row>
    <row r="43" spans="1:11" ht="21.75" customHeight="1">
      <c r="A43" s="133">
        <v>2</v>
      </c>
      <c r="B43" s="136" t="s">
        <v>357</v>
      </c>
      <c r="C43" s="120"/>
      <c r="D43" s="120"/>
      <c r="E43" s="134">
        <v>1</v>
      </c>
      <c r="F43" s="135">
        <f>'December, 2021'!Y43</f>
        <v>847880.82750000013</v>
      </c>
      <c r="G43" s="134">
        <v>1</v>
      </c>
      <c r="H43" s="135">
        <f>'December, 2021'!Z43</f>
        <v>847880.82750000013</v>
      </c>
      <c r="I43" s="32"/>
      <c r="J43" s="32"/>
    </row>
    <row r="44" spans="1:11" ht="24.75" customHeight="1">
      <c r="A44" s="133">
        <v>3</v>
      </c>
      <c r="B44" s="237" t="s">
        <v>358</v>
      </c>
      <c r="C44" s="237"/>
      <c r="D44" s="237"/>
      <c r="E44" s="134">
        <v>11</v>
      </c>
      <c r="F44" s="135">
        <f>'December, 2021'!Y56</f>
        <v>3633581.7579999999</v>
      </c>
      <c r="G44" s="134">
        <v>11</v>
      </c>
      <c r="H44" s="135">
        <f>'December, 2021'!Z56</f>
        <v>3581081.7579999999</v>
      </c>
      <c r="I44" s="32"/>
      <c r="J44" s="32"/>
    </row>
    <row r="45" spans="1:11" ht="23.25" customHeight="1">
      <c r="A45" s="133">
        <v>4</v>
      </c>
      <c r="B45" s="237" t="s">
        <v>359</v>
      </c>
      <c r="C45" s="237"/>
      <c r="D45" s="290"/>
      <c r="E45" s="134">
        <v>2</v>
      </c>
      <c r="F45" s="135">
        <f>'December, 2021'!Y61</f>
        <v>1261604.1505000002</v>
      </c>
      <c r="G45" s="134">
        <v>2</v>
      </c>
      <c r="H45" s="135">
        <f>'December, 2021'!Z61</f>
        <v>1261604.1505000002</v>
      </c>
      <c r="I45" s="32"/>
      <c r="J45" s="32"/>
    </row>
    <row r="46" spans="1:11" ht="24" customHeight="1">
      <c r="A46" s="133">
        <v>5</v>
      </c>
      <c r="B46" s="237" t="s">
        <v>360</v>
      </c>
      <c r="C46" s="237"/>
      <c r="D46" s="290"/>
      <c r="E46" s="134">
        <v>11</v>
      </c>
      <c r="F46" s="135">
        <f>'December, 2021'!Y76</f>
        <v>3066776.8480000002</v>
      </c>
      <c r="G46" s="134">
        <v>12</v>
      </c>
      <c r="H46" s="135">
        <f>'December, 2021'!Z76</f>
        <v>3098276.8480000002</v>
      </c>
      <c r="I46" s="32"/>
      <c r="J46" s="32"/>
    </row>
    <row r="47" spans="1:11" ht="21" customHeight="1">
      <c r="A47" s="133">
        <v>6</v>
      </c>
      <c r="B47" s="237" t="s">
        <v>361</v>
      </c>
      <c r="C47" s="237"/>
      <c r="D47" s="290"/>
      <c r="E47" s="134">
        <v>8</v>
      </c>
      <c r="F47" s="135">
        <f>'December, 2021'!Y86</f>
        <v>2634412.1627500001</v>
      </c>
      <c r="G47" s="134">
        <v>8</v>
      </c>
      <c r="H47" s="135">
        <f>'December, 2021'!Z86</f>
        <v>2634412.1627500001</v>
      </c>
      <c r="I47" s="32"/>
      <c r="J47" s="32"/>
    </row>
    <row r="48" spans="1:11" ht="23.25" customHeight="1">
      <c r="A48" s="133">
        <v>7</v>
      </c>
      <c r="B48" s="120" t="s">
        <v>362</v>
      </c>
      <c r="C48" s="120"/>
      <c r="D48" s="120"/>
      <c r="E48" s="134">
        <v>12</v>
      </c>
      <c r="F48" s="135">
        <f>'December, 2021'!Y99</f>
        <v>3316165.3355</v>
      </c>
      <c r="G48" s="134">
        <v>11</v>
      </c>
      <c r="H48" s="135">
        <f>'December, 2021'!Z99</f>
        <v>3230332.0021666666</v>
      </c>
      <c r="I48" s="32"/>
      <c r="J48" s="32"/>
    </row>
    <row r="49" spans="1:14" ht="25.5" customHeight="1">
      <c r="A49" s="133">
        <v>8</v>
      </c>
      <c r="B49" s="120" t="s">
        <v>363</v>
      </c>
      <c r="C49" s="120"/>
      <c r="D49" s="120"/>
      <c r="E49" s="134">
        <v>4</v>
      </c>
      <c r="F49" s="135">
        <f>'December, 2021'!Y106</f>
        <v>1264822.0215</v>
      </c>
      <c r="G49" s="134">
        <v>2</v>
      </c>
      <c r="H49" s="135">
        <f>'December, 2021'!Z106</f>
        <v>1264822.0215</v>
      </c>
      <c r="I49" s="32"/>
      <c r="J49" s="32"/>
    </row>
    <row r="50" spans="1:14" ht="21.75" customHeight="1">
      <c r="A50" s="133">
        <v>9</v>
      </c>
      <c r="B50" s="120" t="s">
        <v>364</v>
      </c>
      <c r="C50" s="120"/>
      <c r="D50" s="120"/>
      <c r="E50" s="134">
        <v>5</v>
      </c>
      <c r="F50" s="135">
        <f>'December, 2021'!Y117</f>
        <v>2497780.6265499997</v>
      </c>
      <c r="G50" s="134">
        <v>6</v>
      </c>
      <c r="H50" s="135">
        <f>'December, 2021'!Z117</f>
        <v>2497780.6265499997</v>
      </c>
      <c r="I50" s="32"/>
      <c r="J50" s="32"/>
    </row>
    <row r="51" spans="1:14" ht="24.75" customHeight="1">
      <c r="A51" s="133">
        <v>10</v>
      </c>
      <c r="B51" s="120" t="s">
        <v>365</v>
      </c>
      <c r="C51" s="120"/>
      <c r="D51" s="120"/>
      <c r="E51" s="134">
        <v>10</v>
      </c>
      <c r="F51" s="135">
        <f>'December, 2021'!Y129</f>
        <v>2792106.4194999998</v>
      </c>
      <c r="G51" s="134">
        <v>10</v>
      </c>
      <c r="H51" s="135">
        <f>'December, 2021'!Z129</f>
        <v>2792106.4194999998</v>
      </c>
      <c r="I51" s="32"/>
      <c r="J51" s="32"/>
    </row>
    <row r="52" spans="1:14" ht="24.75" customHeight="1">
      <c r="A52" s="133">
        <v>11</v>
      </c>
      <c r="B52" s="237" t="s">
        <v>366</v>
      </c>
      <c r="C52" s="237"/>
      <c r="D52" s="237"/>
      <c r="E52" s="134">
        <v>52</v>
      </c>
      <c r="F52" s="135">
        <f>'December, 2021'!Y187</f>
        <v>8517692.7194999997</v>
      </c>
      <c r="G52" s="134">
        <v>50</v>
      </c>
      <c r="H52" s="135">
        <f>'December, 2021'!Z187</f>
        <v>7618555.3994999994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39568934.601550005</v>
      </c>
      <c r="G53" s="130">
        <f>SUM(G42:G52)</f>
        <v>139</v>
      </c>
      <c r="H53" s="137">
        <f>SUM(H42:H52)</f>
        <v>38562963.948216669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288" t="s">
        <v>620</v>
      </c>
      <c r="B55" s="288"/>
      <c r="C55" s="288"/>
      <c r="D55" s="288"/>
      <c r="E55" s="288"/>
      <c r="F55" s="288"/>
      <c r="G55" s="288"/>
      <c r="H55" s="288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38" t="s">
        <v>368</v>
      </c>
      <c r="B58" s="238"/>
      <c r="C58" s="238"/>
      <c r="D58" s="238"/>
      <c r="E58" s="238"/>
      <c r="F58" s="119"/>
      <c r="G58" s="119"/>
      <c r="H58" s="119"/>
    </row>
    <row r="59" spans="1:14" ht="23.25" customHeight="1">
      <c r="A59" s="237" t="s">
        <v>369</v>
      </c>
      <c r="B59" s="237"/>
      <c r="C59" s="237"/>
      <c r="D59" s="237"/>
      <c r="E59" s="237"/>
      <c r="F59" s="119"/>
      <c r="G59" s="119"/>
      <c r="H59" s="119"/>
    </row>
    <row r="60" spans="1:14">
      <c r="A60" s="9"/>
      <c r="B60" s="9"/>
      <c r="C60" s="9"/>
      <c r="D60" s="9" t="s">
        <v>370</v>
      </c>
      <c r="E60" s="9"/>
      <c r="F60" s="9"/>
      <c r="G60" s="9"/>
      <c r="H60" s="9"/>
    </row>
    <row r="65" spans="3:3">
      <c r="C65" t="s">
        <v>371</v>
      </c>
    </row>
    <row r="163" spans="3:3">
      <c r="C163">
        <f>10000</f>
        <v>10000</v>
      </c>
    </row>
  </sheetData>
  <mergeCells count="31"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291" t="s">
        <v>621</v>
      </c>
      <c r="B1" s="291"/>
      <c r="C1" s="291"/>
      <c r="D1" s="291"/>
      <c r="E1" s="291"/>
      <c r="F1" s="291"/>
    </row>
    <row r="2" spans="1:6" ht="18.75">
      <c r="A2" s="292" t="s">
        <v>622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948475.67999999993</v>
      </c>
      <c r="E4" s="12">
        <f>SUMMARY!F3</f>
        <v>79039.64</v>
      </c>
      <c r="F4" s="1"/>
    </row>
    <row r="5" spans="1:6" ht="18.75">
      <c r="A5" s="251" t="s">
        <v>626</v>
      </c>
      <c r="B5" s="251"/>
      <c r="C5" s="251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51" t="s">
        <v>627</v>
      </c>
      <c r="B6" s="251"/>
      <c r="C6" s="251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51" t="s">
        <v>628</v>
      </c>
      <c r="B7" s="251"/>
      <c r="C7" s="251"/>
      <c r="D7" s="12">
        <f t="shared" si="0"/>
        <v>962932.56</v>
      </c>
      <c r="E7" s="12">
        <f>SUMMARY!J3</f>
        <v>80244.38</v>
      </c>
      <c r="F7" s="1"/>
    </row>
    <row r="8" spans="1:6" ht="18.75">
      <c r="A8" s="251" t="s">
        <v>629</v>
      </c>
      <c r="B8" s="251"/>
      <c r="C8" s="251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51" t="s">
        <v>630</v>
      </c>
      <c r="B9" s="251"/>
      <c r="C9" s="251"/>
      <c r="D9" s="12">
        <f t="shared" si="0"/>
        <v>3319664.88</v>
      </c>
      <c r="E9" s="12">
        <f>SUMMARY!L3</f>
        <v>276638.74</v>
      </c>
      <c r="F9" s="1"/>
    </row>
    <row r="10" spans="1:6" ht="18.75">
      <c r="A10" s="267" t="s">
        <v>631</v>
      </c>
      <c r="B10" s="293"/>
      <c r="C10" s="268"/>
      <c r="D10" s="12">
        <f>E10*12</f>
        <v>0</v>
      </c>
      <c r="E10" s="12"/>
      <c r="F10" s="1"/>
    </row>
    <row r="11" spans="1:6" ht="18.75">
      <c r="A11" s="251" t="s">
        <v>632</v>
      </c>
      <c r="B11" s="251"/>
      <c r="C11" s="251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51" t="s">
        <v>633</v>
      </c>
      <c r="B12" s="251"/>
      <c r="C12" s="251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51" t="s">
        <v>634</v>
      </c>
      <c r="B13" s="251"/>
      <c r="C13" s="251"/>
      <c r="D13" s="12">
        <f t="shared" si="0"/>
        <v>240000</v>
      </c>
      <c r="E13" s="12">
        <f>SUMMARY!P3</f>
        <v>20000</v>
      </c>
      <c r="F13" s="1"/>
    </row>
    <row r="14" spans="1:6" ht="18.75">
      <c r="A14" s="252" t="s">
        <v>420</v>
      </c>
      <c r="B14" s="252"/>
      <c r="C14" s="252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294" t="s">
        <v>635</v>
      </c>
      <c r="B1" s="294"/>
      <c r="C1" s="294"/>
      <c r="D1" s="294"/>
      <c r="E1" s="294"/>
      <c r="F1" s="294"/>
    </row>
    <row r="2" spans="1:6" ht="18.75">
      <c r="A2" s="292" t="s">
        <v>636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 t="e">
        <f>E4*12</f>
        <v>#REF!</v>
      </c>
      <c r="E4" s="12" t="e">
        <f>'December, 2021'!#REF!</f>
        <v>#REF!</v>
      </c>
      <c r="F4" s="1"/>
    </row>
    <row r="5" spans="1:6" ht="18.75">
      <c r="A5" s="251" t="s">
        <v>626</v>
      </c>
      <c r="B5" s="251"/>
      <c r="C5" s="251"/>
      <c r="D5" s="12" t="e">
        <f t="shared" ref="D5:D13" si="0">E5*12</f>
        <v>#REF!</v>
      </c>
      <c r="E5" s="12" t="e">
        <f>'December, 2021'!#REF!</f>
        <v>#REF!</v>
      </c>
      <c r="F5" s="1"/>
    </row>
    <row r="6" spans="1:6" ht="18.75">
      <c r="A6" s="251" t="s">
        <v>627</v>
      </c>
      <c r="B6" s="251"/>
      <c r="C6" s="251"/>
      <c r="D6" s="12" t="e">
        <f t="shared" si="0"/>
        <v>#REF!</v>
      </c>
      <c r="E6" s="12" t="e">
        <f>'December, 2021'!#REF!</f>
        <v>#REF!</v>
      </c>
      <c r="F6" s="1"/>
    </row>
    <row r="7" spans="1:6" ht="18.75">
      <c r="A7" s="251" t="s">
        <v>628</v>
      </c>
      <c r="B7" s="251"/>
      <c r="C7" s="251"/>
      <c r="D7" s="12" t="e">
        <f t="shared" si="0"/>
        <v>#REF!</v>
      </c>
      <c r="E7" s="12" t="e">
        <f>'December, 2021'!#REF!</f>
        <v>#REF!</v>
      </c>
      <c r="F7" s="1"/>
    </row>
    <row r="8" spans="1:6" ht="18.75">
      <c r="A8" s="251" t="s">
        <v>629</v>
      </c>
      <c r="B8" s="251"/>
      <c r="C8" s="251"/>
      <c r="D8" s="12" t="e">
        <f t="shared" si="0"/>
        <v>#REF!</v>
      </c>
      <c r="E8" s="12" t="e">
        <f>'December, 2021'!#REF!</f>
        <v>#REF!</v>
      </c>
      <c r="F8" s="1"/>
    </row>
    <row r="9" spans="1:6" ht="18.75">
      <c r="A9" s="251" t="s">
        <v>630</v>
      </c>
      <c r="B9" s="251"/>
      <c r="C9" s="251"/>
      <c r="D9" s="12" t="e">
        <f t="shared" si="0"/>
        <v>#REF!</v>
      </c>
      <c r="E9" s="12" t="e">
        <f>'December, 2021'!#REF!</f>
        <v>#REF!</v>
      </c>
      <c r="F9" s="1"/>
    </row>
    <row r="10" spans="1:6" ht="18.75">
      <c r="A10" s="251" t="s">
        <v>632</v>
      </c>
      <c r="B10" s="251"/>
      <c r="C10" s="251"/>
      <c r="D10" s="12" t="e">
        <f t="shared" si="0"/>
        <v>#REF!</v>
      </c>
      <c r="E10" s="12" t="e">
        <f>'December, 2021'!#REF!</f>
        <v>#REF!</v>
      </c>
      <c r="F10" s="1"/>
    </row>
    <row r="11" spans="1:6" ht="18.75">
      <c r="A11" s="267" t="s">
        <v>637</v>
      </c>
      <c r="B11" s="293"/>
      <c r="C11" s="268"/>
      <c r="D11" s="12">
        <f t="shared" si="0"/>
        <v>1200000</v>
      </c>
      <c r="E11" s="12">
        <v>100000</v>
      </c>
      <c r="F11" s="1"/>
    </row>
    <row r="12" spans="1:6" ht="18.75">
      <c r="A12" s="251" t="s">
        <v>633</v>
      </c>
      <c r="B12" s="251"/>
      <c r="C12" s="251"/>
      <c r="D12" s="12" t="e">
        <f t="shared" si="0"/>
        <v>#REF!</v>
      </c>
      <c r="E12" s="12" t="e">
        <f>'December, 2021'!#REF!</f>
        <v>#REF!</v>
      </c>
      <c r="F12" s="1"/>
    </row>
    <row r="13" spans="1:6" ht="18.75">
      <c r="A13" s="251" t="s">
        <v>634</v>
      </c>
      <c r="B13" s="251"/>
      <c r="C13" s="251"/>
      <c r="D13" s="12" t="e">
        <f t="shared" si="0"/>
        <v>#REF!</v>
      </c>
      <c r="E13" s="12" t="e">
        <f>'December, 2021'!#REF!</f>
        <v>#REF!</v>
      </c>
      <c r="F13" s="1"/>
    </row>
    <row r="14" spans="1:6" ht="18.75">
      <c r="A14" s="252" t="s">
        <v>420</v>
      </c>
      <c r="B14" s="252"/>
      <c r="C14" s="252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52" t="s">
        <v>638</v>
      </c>
      <c r="C1" s="252"/>
      <c r="D1" s="58" t="s">
        <v>5</v>
      </c>
      <c r="E1" s="58" t="s">
        <v>6</v>
      </c>
    </row>
    <row r="2" spans="1:5" ht="18.75">
      <c r="A2" s="75"/>
      <c r="B2" s="254" t="s">
        <v>639</v>
      </c>
      <c r="C2" s="254"/>
      <c r="D2" s="48"/>
      <c r="E2" s="48"/>
    </row>
    <row r="3" spans="1:5" ht="18.75">
      <c r="A3" s="3">
        <v>1</v>
      </c>
      <c r="B3" s="249" t="s">
        <v>640</v>
      </c>
      <c r="C3" s="249"/>
      <c r="D3" s="61" t="s">
        <v>39</v>
      </c>
      <c r="E3" s="61" t="s">
        <v>40</v>
      </c>
    </row>
    <row r="4" spans="1:5" ht="18.75">
      <c r="A4" s="3">
        <v>2</v>
      </c>
      <c r="B4" s="309" t="s">
        <v>451</v>
      </c>
      <c r="C4" s="309"/>
      <c r="D4" s="61" t="s">
        <v>641</v>
      </c>
      <c r="E4" s="38" t="s">
        <v>57</v>
      </c>
    </row>
    <row r="5" spans="1:5" ht="18.75">
      <c r="A5" s="3">
        <v>3</v>
      </c>
      <c r="B5" s="251" t="s">
        <v>55</v>
      </c>
      <c r="C5" s="251"/>
      <c r="D5" s="33" t="s">
        <v>505</v>
      </c>
      <c r="E5" s="38" t="s">
        <v>57</v>
      </c>
    </row>
    <row r="6" spans="1:5" ht="18.75">
      <c r="A6" s="3">
        <v>4</v>
      </c>
      <c r="B6" s="251" t="s">
        <v>60</v>
      </c>
      <c r="C6" s="251"/>
      <c r="D6" s="33" t="s">
        <v>61</v>
      </c>
      <c r="E6" s="3" t="s">
        <v>64</v>
      </c>
    </row>
    <row r="7" spans="1:5" ht="18.75">
      <c r="A7" s="3">
        <v>5</v>
      </c>
      <c r="B7" s="251" t="s">
        <v>492</v>
      </c>
      <c r="C7" s="251"/>
      <c r="D7" s="33" t="s">
        <v>493</v>
      </c>
      <c r="E7" s="38" t="s">
        <v>103</v>
      </c>
    </row>
    <row r="8" spans="1:5" ht="18.75">
      <c r="A8" s="3">
        <v>6</v>
      </c>
      <c r="B8" s="251" t="s">
        <v>68</v>
      </c>
      <c r="C8" s="251"/>
      <c r="D8" s="33" t="s">
        <v>406</v>
      </c>
      <c r="E8" s="38" t="s">
        <v>103</v>
      </c>
    </row>
    <row r="9" spans="1:5" ht="18.75">
      <c r="A9" s="3">
        <v>7</v>
      </c>
      <c r="B9" s="251" t="s">
        <v>71</v>
      </c>
      <c r="C9" s="251"/>
      <c r="D9" s="33" t="s">
        <v>408</v>
      </c>
      <c r="E9" s="3" t="s">
        <v>77</v>
      </c>
    </row>
    <row r="10" spans="1:5" ht="18.75">
      <c r="A10" s="3">
        <v>8</v>
      </c>
      <c r="B10" s="309" t="s">
        <v>508</v>
      </c>
      <c r="C10" s="309"/>
      <c r="D10" s="61" t="s">
        <v>642</v>
      </c>
      <c r="E10" s="66" t="s">
        <v>86</v>
      </c>
    </row>
    <row r="11" spans="1:5" ht="18.75">
      <c r="A11" s="3">
        <v>9</v>
      </c>
      <c r="B11" s="249" t="s">
        <v>75</v>
      </c>
      <c r="C11" s="249"/>
      <c r="D11" s="61" t="s">
        <v>643</v>
      </c>
      <c r="E11" s="66" t="s">
        <v>410</v>
      </c>
    </row>
    <row r="12" spans="1:5" ht="18.75">
      <c r="A12" s="3">
        <v>10</v>
      </c>
      <c r="B12" s="249" t="s">
        <v>175</v>
      </c>
      <c r="C12" s="249"/>
      <c r="D12" s="61" t="s">
        <v>644</v>
      </c>
      <c r="E12" s="66" t="s">
        <v>86</v>
      </c>
    </row>
    <row r="13" spans="1:5" ht="18.75">
      <c r="A13" s="3">
        <v>11</v>
      </c>
      <c r="B13" s="249" t="s">
        <v>87</v>
      </c>
      <c r="C13" s="249"/>
      <c r="D13" s="61" t="s">
        <v>94</v>
      </c>
      <c r="E13" s="66" t="s">
        <v>86</v>
      </c>
    </row>
    <row r="14" spans="1:5" ht="18.75">
      <c r="A14" s="33"/>
      <c r="B14" s="252" t="s">
        <v>34</v>
      </c>
      <c r="C14" s="252"/>
      <c r="D14" s="7">
        <v>11</v>
      </c>
      <c r="E14" s="3"/>
    </row>
    <row r="15" spans="1:5" ht="18.75">
      <c r="A15" s="33"/>
      <c r="B15" s="274"/>
      <c r="C15" s="274"/>
      <c r="D15" s="33"/>
      <c r="E15" s="3"/>
    </row>
    <row r="16" spans="1:5" ht="18.75">
      <c r="A16" s="3"/>
      <c r="B16" s="273" t="s">
        <v>122</v>
      </c>
      <c r="C16" s="273"/>
      <c r="D16" s="50"/>
      <c r="E16" s="2"/>
    </row>
    <row r="17" spans="1:5" ht="18.75">
      <c r="A17" s="3">
        <v>1</v>
      </c>
      <c r="B17" s="249" t="s">
        <v>645</v>
      </c>
      <c r="C17" s="249"/>
      <c r="D17" s="33" t="s">
        <v>646</v>
      </c>
      <c r="E17" s="3" t="s">
        <v>151</v>
      </c>
    </row>
    <row r="18" spans="1:5" ht="18.75">
      <c r="A18" s="3">
        <v>2</v>
      </c>
      <c r="B18" s="249" t="s">
        <v>127</v>
      </c>
      <c r="C18" s="249"/>
      <c r="D18" s="33" t="s">
        <v>132</v>
      </c>
      <c r="E18" s="3" t="s">
        <v>130</v>
      </c>
    </row>
    <row r="19" spans="1:5" ht="18.75">
      <c r="A19" s="3">
        <v>3</v>
      </c>
      <c r="B19" s="249" t="s">
        <v>131</v>
      </c>
      <c r="C19" s="249"/>
      <c r="D19" s="33" t="s">
        <v>142</v>
      </c>
      <c r="E19" s="3" t="s">
        <v>188</v>
      </c>
    </row>
    <row r="20" spans="1:5" ht="18.75">
      <c r="A20" s="3">
        <v>4</v>
      </c>
      <c r="B20" s="249" t="s">
        <v>134</v>
      </c>
      <c r="C20" s="249"/>
      <c r="D20" s="33" t="s">
        <v>142</v>
      </c>
      <c r="E20" s="3" t="s">
        <v>103</v>
      </c>
    </row>
    <row r="21" spans="1:5" ht="18.75">
      <c r="A21" s="3">
        <v>5</v>
      </c>
      <c r="B21" s="277" t="s">
        <v>135</v>
      </c>
      <c r="C21" s="277"/>
      <c r="D21" s="20" t="s">
        <v>484</v>
      </c>
      <c r="E21" s="25" t="s">
        <v>154</v>
      </c>
    </row>
    <row r="22" spans="1:5" ht="18.75">
      <c r="A22" s="3">
        <v>6</v>
      </c>
      <c r="B22" s="249" t="s">
        <v>137</v>
      </c>
      <c r="C22" s="249"/>
      <c r="D22" s="33" t="s">
        <v>159</v>
      </c>
      <c r="E22" s="3" t="s">
        <v>410</v>
      </c>
    </row>
    <row r="23" spans="1:5" ht="18.75">
      <c r="A23" s="3">
        <v>7</v>
      </c>
      <c r="B23" s="249" t="s">
        <v>140</v>
      </c>
      <c r="C23" s="249"/>
      <c r="D23" s="33" t="s">
        <v>142</v>
      </c>
      <c r="E23" s="3" t="s">
        <v>103</v>
      </c>
    </row>
    <row r="24" spans="1:5" ht="18.75">
      <c r="A24" s="3">
        <v>8</v>
      </c>
      <c r="B24" s="249" t="s">
        <v>453</v>
      </c>
      <c r="C24" s="249"/>
      <c r="D24" s="33" t="s">
        <v>142</v>
      </c>
      <c r="E24" s="3" t="s">
        <v>103</v>
      </c>
    </row>
    <row r="25" spans="1:5" ht="18.75">
      <c r="A25" s="3">
        <v>9</v>
      </c>
      <c r="B25" s="271" t="s">
        <v>141</v>
      </c>
      <c r="C25" s="271"/>
      <c r="D25" s="20" t="s">
        <v>159</v>
      </c>
      <c r="E25" s="29" t="s">
        <v>92</v>
      </c>
    </row>
    <row r="26" spans="1:5" ht="18.75">
      <c r="A26" s="3">
        <v>10</v>
      </c>
      <c r="B26" s="271" t="s">
        <v>647</v>
      </c>
      <c r="C26" s="271"/>
      <c r="D26" s="20" t="s">
        <v>159</v>
      </c>
      <c r="E26" s="29" t="s">
        <v>92</v>
      </c>
    </row>
    <row r="27" spans="1:5" ht="18.75">
      <c r="A27" s="20"/>
      <c r="B27" s="275" t="s">
        <v>34</v>
      </c>
      <c r="C27" s="275"/>
      <c r="D27" s="30">
        <v>10</v>
      </c>
      <c r="E27" s="30"/>
    </row>
    <row r="28" spans="1:5" ht="18.75">
      <c r="A28" s="20"/>
      <c r="B28" s="275"/>
      <c r="C28" s="275"/>
      <c r="D28" s="30"/>
      <c r="E28" s="30"/>
    </row>
    <row r="29" spans="1:5" ht="18.75">
      <c r="A29" s="29"/>
      <c r="B29" s="275" t="s">
        <v>143</v>
      </c>
      <c r="C29" s="275"/>
      <c r="D29" s="30"/>
      <c r="E29" s="30"/>
    </row>
    <row r="30" spans="1:5" ht="18.75">
      <c r="A30" s="29">
        <v>1</v>
      </c>
      <c r="B30" s="249" t="s">
        <v>144</v>
      </c>
      <c r="C30" s="249"/>
      <c r="D30" s="61" t="s">
        <v>145</v>
      </c>
      <c r="E30" s="66" t="s">
        <v>151</v>
      </c>
    </row>
    <row r="31" spans="1:5" ht="18.75">
      <c r="A31" s="20"/>
      <c r="B31" s="275" t="s">
        <v>34</v>
      </c>
      <c r="C31" s="275"/>
      <c r="D31" s="30">
        <v>1</v>
      </c>
      <c r="E31" s="30"/>
    </row>
    <row r="32" spans="1:5" ht="18.75">
      <c r="A32" s="20"/>
      <c r="B32" s="275"/>
      <c r="C32" s="275"/>
      <c r="D32" s="30"/>
      <c r="E32" s="30"/>
    </row>
    <row r="33" spans="1:5" ht="18.75">
      <c r="A33" s="33"/>
      <c r="B33" s="275" t="s">
        <v>436</v>
      </c>
      <c r="C33" s="275"/>
      <c r="D33" s="30"/>
      <c r="E33" s="30"/>
    </row>
    <row r="34" spans="1:5" ht="18.75">
      <c r="A34" s="29">
        <v>1</v>
      </c>
      <c r="B34" s="271" t="s">
        <v>648</v>
      </c>
      <c r="C34" s="271"/>
      <c r="D34" s="47" t="s">
        <v>649</v>
      </c>
      <c r="E34" s="29" t="s">
        <v>151</v>
      </c>
    </row>
    <row r="35" spans="1:5" ht="18.75">
      <c r="A35" s="29">
        <v>2</v>
      </c>
      <c r="B35" s="271" t="s">
        <v>58</v>
      </c>
      <c r="C35" s="271"/>
      <c r="D35" s="47" t="s">
        <v>59</v>
      </c>
      <c r="E35" s="29" t="s">
        <v>64</v>
      </c>
    </row>
    <row r="36" spans="1:5" ht="18.75">
      <c r="A36" s="29">
        <v>3</v>
      </c>
      <c r="B36" s="74" t="s">
        <v>187</v>
      </c>
      <c r="C36" s="74"/>
      <c r="D36" s="33" t="s">
        <v>650</v>
      </c>
      <c r="E36" s="3" t="s">
        <v>139</v>
      </c>
    </row>
    <row r="37" spans="1:5" ht="18.75">
      <c r="A37" s="29">
        <v>4</v>
      </c>
      <c r="B37" s="271" t="s">
        <v>155</v>
      </c>
      <c r="C37" s="271"/>
      <c r="D37" s="47" t="s">
        <v>159</v>
      </c>
      <c r="E37" s="29" t="s">
        <v>92</v>
      </c>
    </row>
    <row r="38" spans="1:5" ht="18.75">
      <c r="A38" s="20"/>
      <c r="B38" s="275" t="s">
        <v>34</v>
      </c>
      <c r="C38" s="275"/>
      <c r="D38" s="30">
        <v>4</v>
      </c>
      <c r="E38" s="30"/>
    </row>
    <row r="39" spans="1:5" ht="18.75">
      <c r="A39" s="20"/>
      <c r="B39" s="295"/>
      <c r="C39" s="296"/>
      <c r="D39" s="30"/>
      <c r="E39" s="30"/>
    </row>
    <row r="40" spans="1:5" ht="18.75">
      <c r="A40" s="29"/>
      <c r="B40" s="275" t="s">
        <v>474</v>
      </c>
      <c r="C40" s="275"/>
      <c r="D40" s="30"/>
      <c r="E40" s="30"/>
    </row>
    <row r="41" spans="1:5" ht="18.75">
      <c r="A41" s="29">
        <v>1</v>
      </c>
      <c r="B41" s="249" t="s">
        <v>169</v>
      </c>
      <c r="C41" s="249"/>
      <c r="D41" s="33" t="s">
        <v>170</v>
      </c>
      <c r="E41" s="3" t="s">
        <v>151</v>
      </c>
    </row>
    <row r="42" spans="1:5" ht="18.75">
      <c r="A42" s="33"/>
      <c r="B42" s="275" t="s">
        <v>34</v>
      </c>
      <c r="C42" s="275"/>
      <c r="D42" s="30">
        <v>1</v>
      </c>
      <c r="E42" s="30"/>
    </row>
    <row r="43" spans="1:5" ht="18.75">
      <c r="A43" s="33"/>
      <c r="B43" s="276"/>
      <c r="C43" s="276"/>
      <c r="D43" s="7"/>
      <c r="E43" s="7"/>
    </row>
    <row r="44" spans="1:5" ht="18.75">
      <c r="A44" s="3"/>
      <c r="B44" s="250" t="s">
        <v>651</v>
      </c>
      <c r="C44" s="250"/>
      <c r="D44" s="70"/>
      <c r="E44" s="7"/>
    </row>
    <row r="45" spans="1:5" ht="18.75">
      <c r="A45" s="3">
        <v>1</v>
      </c>
      <c r="B45" s="249" t="s">
        <v>41</v>
      </c>
      <c r="C45" s="249"/>
      <c r="D45" s="61" t="s">
        <v>652</v>
      </c>
      <c r="E45" s="66" t="s">
        <v>43</v>
      </c>
    </row>
    <row r="46" spans="1:5" ht="18.75">
      <c r="A46" s="3">
        <v>2</v>
      </c>
      <c r="B46" s="249" t="s">
        <v>206</v>
      </c>
      <c r="C46" s="249"/>
      <c r="D46" s="61" t="s">
        <v>207</v>
      </c>
      <c r="E46" s="66" t="s">
        <v>506</v>
      </c>
    </row>
    <row r="47" spans="1:5" ht="18.75">
      <c r="A47" s="3">
        <v>3</v>
      </c>
      <c r="B47" s="249" t="s">
        <v>653</v>
      </c>
      <c r="C47" s="249"/>
      <c r="D47" s="33" t="s">
        <v>654</v>
      </c>
      <c r="E47" s="3" t="s">
        <v>64</v>
      </c>
    </row>
    <row r="48" spans="1:5" ht="18.75">
      <c r="A48" s="3">
        <v>4</v>
      </c>
      <c r="B48" s="309" t="s">
        <v>208</v>
      </c>
      <c r="C48" s="309"/>
      <c r="D48" s="33" t="s">
        <v>655</v>
      </c>
      <c r="E48" s="3" t="s">
        <v>64</v>
      </c>
    </row>
    <row r="49" spans="1:5" ht="18.75">
      <c r="A49" s="3">
        <v>5</v>
      </c>
      <c r="B49" s="249" t="s">
        <v>125</v>
      </c>
      <c r="C49" s="249"/>
      <c r="D49" s="33" t="s">
        <v>126</v>
      </c>
      <c r="E49" s="3" t="s">
        <v>64</v>
      </c>
    </row>
    <row r="50" spans="1:5" ht="18.75">
      <c r="A50" s="3">
        <v>6</v>
      </c>
      <c r="B50" s="249" t="s">
        <v>185</v>
      </c>
      <c r="C50" s="249"/>
      <c r="D50" s="33" t="s">
        <v>132</v>
      </c>
      <c r="E50" s="3" t="s">
        <v>70</v>
      </c>
    </row>
    <row r="51" spans="1:5" ht="18.75">
      <c r="A51" s="3">
        <v>7</v>
      </c>
      <c r="B51" s="249" t="s">
        <v>129</v>
      </c>
      <c r="C51" s="249"/>
      <c r="D51" s="33" t="s">
        <v>142</v>
      </c>
      <c r="E51" s="3" t="s">
        <v>133</v>
      </c>
    </row>
    <row r="52" spans="1:5" ht="18.75">
      <c r="A52" s="3">
        <v>8</v>
      </c>
      <c r="B52" s="249" t="s">
        <v>47</v>
      </c>
      <c r="C52" s="249"/>
      <c r="D52" s="33" t="s">
        <v>513</v>
      </c>
      <c r="E52" s="3" t="s">
        <v>64</v>
      </c>
    </row>
    <row r="53" spans="1:5" ht="18.75">
      <c r="A53" s="3">
        <v>9</v>
      </c>
      <c r="B53" s="249" t="s">
        <v>184</v>
      </c>
      <c r="C53" s="249"/>
      <c r="D53" s="33" t="s">
        <v>132</v>
      </c>
      <c r="E53" s="3" t="s">
        <v>133</v>
      </c>
    </row>
    <row r="54" spans="1:5" ht="18.75">
      <c r="A54" s="3">
        <v>10</v>
      </c>
      <c r="B54" s="249" t="s">
        <v>210</v>
      </c>
      <c r="C54" s="249"/>
      <c r="D54" s="33" t="s">
        <v>656</v>
      </c>
      <c r="E54" s="3" t="s">
        <v>154</v>
      </c>
    </row>
    <row r="55" spans="1:5" ht="18.75">
      <c r="A55" s="3">
        <v>11</v>
      </c>
      <c r="B55" s="249" t="s">
        <v>186</v>
      </c>
      <c r="C55" s="249"/>
      <c r="D55" s="33" t="s">
        <v>142</v>
      </c>
      <c r="E55" s="3" t="s">
        <v>139</v>
      </c>
    </row>
    <row r="56" spans="1:5" ht="18.75">
      <c r="A56" s="3">
        <v>12</v>
      </c>
      <c r="B56" s="271" t="s">
        <v>551</v>
      </c>
      <c r="C56" s="271"/>
      <c r="D56" s="20" t="s">
        <v>142</v>
      </c>
      <c r="E56" s="29" t="s">
        <v>103</v>
      </c>
    </row>
    <row r="57" spans="1:5" ht="18.75">
      <c r="A57" s="3">
        <v>13</v>
      </c>
      <c r="B57" s="271" t="s">
        <v>199</v>
      </c>
      <c r="C57" s="271"/>
      <c r="D57" s="20" t="s">
        <v>457</v>
      </c>
      <c r="E57" s="29" t="s">
        <v>103</v>
      </c>
    </row>
    <row r="58" spans="1:5" ht="18.75">
      <c r="A58" s="3">
        <v>14</v>
      </c>
      <c r="B58" s="251" t="s">
        <v>73</v>
      </c>
      <c r="C58" s="251"/>
      <c r="D58" s="33" t="s">
        <v>409</v>
      </c>
      <c r="E58" s="3" t="s">
        <v>103</v>
      </c>
    </row>
    <row r="59" spans="1:5" ht="18.75">
      <c r="A59" s="3">
        <v>15</v>
      </c>
      <c r="B59" s="271" t="s">
        <v>189</v>
      </c>
      <c r="C59" s="271"/>
      <c r="D59" s="20" t="s">
        <v>142</v>
      </c>
      <c r="E59" s="29" t="s">
        <v>103</v>
      </c>
    </row>
    <row r="60" spans="1:5" ht="18.75">
      <c r="A60" s="3">
        <v>16</v>
      </c>
      <c r="B60" s="271" t="s">
        <v>212</v>
      </c>
      <c r="C60" s="271"/>
      <c r="D60" s="20" t="s">
        <v>516</v>
      </c>
      <c r="E60" s="29" t="s">
        <v>507</v>
      </c>
    </row>
    <row r="61" spans="1:5" ht="18.75">
      <c r="A61" s="3">
        <v>17</v>
      </c>
      <c r="B61" s="271" t="s">
        <v>158</v>
      </c>
      <c r="C61" s="271"/>
      <c r="D61" s="20" t="s">
        <v>159</v>
      </c>
      <c r="E61" s="29" t="s">
        <v>410</v>
      </c>
    </row>
    <row r="62" spans="1:5" ht="18.75">
      <c r="A62" s="3">
        <v>18</v>
      </c>
      <c r="B62" s="271" t="s">
        <v>153</v>
      </c>
      <c r="C62" s="271"/>
      <c r="D62" s="20" t="s">
        <v>142</v>
      </c>
      <c r="E62" s="29" t="s">
        <v>103</v>
      </c>
    </row>
    <row r="63" spans="1:5" ht="18.75">
      <c r="A63" s="3">
        <v>19</v>
      </c>
      <c r="B63" s="271" t="s">
        <v>456</v>
      </c>
      <c r="C63" s="271"/>
      <c r="D63" s="20" t="s">
        <v>512</v>
      </c>
      <c r="E63" s="29" t="s">
        <v>83</v>
      </c>
    </row>
    <row r="64" spans="1:5" ht="18.75">
      <c r="A64" s="3">
        <v>20</v>
      </c>
      <c r="B64" s="249" t="s">
        <v>193</v>
      </c>
      <c r="C64" s="249"/>
      <c r="D64" s="33" t="s">
        <v>166</v>
      </c>
      <c r="E64" s="66" t="s">
        <v>92</v>
      </c>
    </row>
    <row r="65" spans="1:5" ht="18.75">
      <c r="A65" s="3">
        <v>21</v>
      </c>
      <c r="B65" s="249" t="s">
        <v>101</v>
      </c>
      <c r="C65" s="249"/>
      <c r="D65" s="33" t="s">
        <v>105</v>
      </c>
      <c r="E65" s="66" t="s">
        <v>410</v>
      </c>
    </row>
    <row r="66" spans="1:5" ht="18.75">
      <c r="A66" s="33"/>
      <c r="B66" s="250" t="s">
        <v>34</v>
      </c>
      <c r="C66" s="250"/>
      <c r="D66" s="7">
        <v>21</v>
      </c>
      <c r="E66" s="7"/>
    </row>
    <row r="67" spans="1:5" ht="18.75">
      <c r="A67" s="33"/>
      <c r="B67" s="274"/>
      <c r="C67" s="274"/>
      <c r="D67" s="33"/>
      <c r="E67" s="33"/>
    </row>
    <row r="68" spans="1:5" ht="18.75">
      <c r="A68" s="33"/>
      <c r="B68" s="250" t="s">
        <v>657</v>
      </c>
      <c r="C68" s="250"/>
      <c r="D68" s="7"/>
      <c r="E68" s="7"/>
    </row>
    <row r="69" spans="1:5" ht="18.75">
      <c r="A69" s="3">
        <v>1</v>
      </c>
      <c r="B69" s="249" t="s">
        <v>236</v>
      </c>
      <c r="C69" s="249"/>
      <c r="D69" s="61" t="s">
        <v>464</v>
      </c>
      <c r="E69" s="66" t="s">
        <v>43</v>
      </c>
    </row>
    <row r="70" spans="1:5" ht="18.75">
      <c r="A70" s="3">
        <v>2</v>
      </c>
      <c r="B70" s="249" t="s">
        <v>219</v>
      </c>
      <c r="C70" s="249"/>
      <c r="D70" s="61" t="s">
        <v>658</v>
      </c>
      <c r="E70" s="66" t="s">
        <v>46</v>
      </c>
    </row>
    <row r="71" spans="1:5" ht="18.75">
      <c r="A71" s="3">
        <v>3</v>
      </c>
      <c r="B71" s="249" t="s">
        <v>238</v>
      </c>
      <c r="C71" s="249"/>
      <c r="D71" s="61" t="s">
        <v>659</v>
      </c>
      <c r="E71" s="66" t="s">
        <v>46</v>
      </c>
    </row>
    <row r="72" spans="1:5" ht="18.75">
      <c r="A72" s="3">
        <v>4</v>
      </c>
      <c r="B72" s="249" t="s">
        <v>221</v>
      </c>
      <c r="C72" s="249"/>
      <c r="D72" s="61" t="s">
        <v>660</v>
      </c>
      <c r="E72" s="66" t="s">
        <v>57</v>
      </c>
    </row>
    <row r="73" spans="1:5" ht="18.75">
      <c r="A73" s="3">
        <v>5</v>
      </c>
      <c r="B73" s="309" t="s">
        <v>240</v>
      </c>
      <c r="C73" s="309"/>
      <c r="D73" s="61" t="s">
        <v>661</v>
      </c>
      <c r="E73" s="66" t="s">
        <v>57</v>
      </c>
    </row>
    <row r="74" spans="1:5" ht="18.75">
      <c r="A74" s="3">
        <v>6</v>
      </c>
      <c r="B74" s="277" t="s">
        <v>242</v>
      </c>
      <c r="C74" s="277"/>
      <c r="D74" s="20" t="s">
        <v>467</v>
      </c>
      <c r="E74" s="25" t="s">
        <v>64</v>
      </c>
    </row>
    <row r="75" spans="1:5" ht="18.75">
      <c r="A75" s="3">
        <v>7</v>
      </c>
      <c r="B75" s="249" t="s">
        <v>223</v>
      </c>
      <c r="C75" s="249"/>
      <c r="D75" s="61" t="s">
        <v>461</v>
      </c>
      <c r="E75" s="66" t="s">
        <v>77</v>
      </c>
    </row>
    <row r="76" spans="1:5" ht="18.75">
      <c r="A76" s="3">
        <v>8</v>
      </c>
      <c r="B76" s="249" t="s">
        <v>662</v>
      </c>
      <c r="C76" s="249"/>
      <c r="D76" s="61" t="s">
        <v>663</v>
      </c>
      <c r="E76" s="66" t="s">
        <v>139</v>
      </c>
    </row>
    <row r="77" spans="1:5" ht="18.75">
      <c r="A77" s="3">
        <v>9</v>
      </c>
      <c r="B77" s="249" t="s">
        <v>62</v>
      </c>
      <c r="C77" s="249"/>
      <c r="D77" s="61" t="s">
        <v>664</v>
      </c>
      <c r="E77" s="66" t="s">
        <v>139</v>
      </c>
    </row>
    <row r="78" spans="1:5" ht="18.75">
      <c r="A78" s="3">
        <v>10</v>
      </c>
      <c r="B78" s="251" t="s">
        <v>225</v>
      </c>
      <c r="C78" s="251"/>
      <c r="D78" s="33" t="s">
        <v>665</v>
      </c>
      <c r="E78" s="66" t="s">
        <v>139</v>
      </c>
    </row>
    <row r="79" spans="1:5" ht="18.75">
      <c r="A79" s="3">
        <v>11</v>
      </c>
      <c r="B79" s="249" t="s">
        <v>161</v>
      </c>
      <c r="C79" s="249"/>
      <c r="D79" s="61" t="s">
        <v>666</v>
      </c>
      <c r="E79" s="66" t="s">
        <v>86</v>
      </c>
    </row>
    <row r="80" spans="1:5" ht="18.75">
      <c r="A80" s="3">
        <v>12</v>
      </c>
      <c r="B80" s="249" t="s">
        <v>253</v>
      </c>
      <c r="C80" s="249"/>
      <c r="D80" s="61" t="s">
        <v>666</v>
      </c>
      <c r="E80" s="66" t="s">
        <v>86</v>
      </c>
    </row>
    <row r="81" spans="1:5" ht="18.75">
      <c r="A81" s="3">
        <v>13</v>
      </c>
      <c r="B81" s="309" t="s">
        <v>227</v>
      </c>
      <c r="C81" s="309"/>
      <c r="D81" s="61" t="s">
        <v>667</v>
      </c>
      <c r="E81" s="66" t="s">
        <v>86</v>
      </c>
    </row>
    <row r="82" spans="1:5" ht="18.75">
      <c r="A82" s="3">
        <v>14</v>
      </c>
      <c r="B82" s="249" t="s">
        <v>229</v>
      </c>
      <c r="C82" s="249"/>
      <c r="D82" s="61" t="s">
        <v>667</v>
      </c>
      <c r="E82" s="66" t="s">
        <v>86</v>
      </c>
    </row>
    <row r="83" spans="1:5" ht="18.75">
      <c r="A83" s="3">
        <v>15</v>
      </c>
      <c r="B83" s="249" t="s">
        <v>231</v>
      </c>
      <c r="C83" s="249"/>
      <c r="D83" s="61" t="s">
        <v>667</v>
      </c>
      <c r="E83" s="66" t="s">
        <v>86</v>
      </c>
    </row>
    <row r="84" spans="1:5" ht="18.75">
      <c r="A84" s="3">
        <v>16</v>
      </c>
      <c r="B84" s="249" t="s">
        <v>246</v>
      </c>
      <c r="C84" s="249"/>
      <c r="D84" s="61" t="s">
        <v>668</v>
      </c>
      <c r="E84" s="66" t="s">
        <v>410</v>
      </c>
    </row>
    <row r="85" spans="1:5" ht="18.75">
      <c r="A85" s="3">
        <v>17</v>
      </c>
      <c r="B85" s="249" t="s">
        <v>250</v>
      </c>
      <c r="C85" s="249"/>
      <c r="D85" s="61" t="s">
        <v>669</v>
      </c>
      <c r="E85" s="66" t="s">
        <v>410</v>
      </c>
    </row>
    <row r="86" spans="1:5" ht="18.75">
      <c r="A86" s="3">
        <v>18</v>
      </c>
      <c r="B86" s="249" t="s">
        <v>248</v>
      </c>
      <c r="C86" s="249"/>
      <c r="D86" s="33" t="s">
        <v>669</v>
      </c>
      <c r="E86" s="66" t="s">
        <v>410</v>
      </c>
    </row>
    <row r="87" spans="1:5" ht="18.75">
      <c r="A87" s="3">
        <v>19</v>
      </c>
      <c r="B87" s="249" t="s">
        <v>251</v>
      </c>
      <c r="C87" s="249"/>
      <c r="D87" s="61" t="s">
        <v>414</v>
      </c>
      <c r="E87" s="66" t="s">
        <v>86</v>
      </c>
    </row>
    <row r="88" spans="1:5" ht="18.75">
      <c r="A88" s="3">
        <v>20</v>
      </c>
      <c r="B88" s="249" t="s">
        <v>255</v>
      </c>
      <c r="C88" s="249"/>
      <c r="D88" s="33" t="s">
        <v>412</v>
      </c>
      <c r="E88" s="66" t="s">
        <v>92</v>
      </c>
    </row>
    <row r="89" spans="1:5" ht="18.75">
      <c r="A89" s="3">
        <v>21</v>
      </c>
      <c r="B89" s="249" t="s">
        <v>259</v>
      </c>
      <c r="C89" s="249"/>
      <c r="D89" s="61" t="s">
        <v>522</v>
      </c>
      <c r="E89" s="66" t="s">
        <v>110</v>
      </c>
    </row>
    <row r="90" spans="1:5" ht="18.75">
      <c r="A90" s="3">
        <v>22</v>
      </c>
      <c r="B90" s="249" t="s">
        <v>263</v>
      </c>
      <c r="C90" s="249"/>
      <c r="D90" s="61" t="s">
        <v>262</v>
      </c>
      <c r="E90" s="66" t="s">
        <v>115</v>
      </c>
    </row>
    <row r="91" spans="1:5" ht="18.75">
      <c r="A91" s="3">
        <v>23</v>
      </c>
      <c r="B91" s="249" t="s">
        <v>264</v>
      </c>
      <c r="C91" s="249"/>
      <c r="D91" s="61" t="s">
        <v>262</v>
      </c>
      <c r="E91" s="66" t="s">
        <v>115</v>
      </c>
    </row>
    <row r="92" spans="1:5" ht="18.75">
      <c r="A92" s="3">
        <v>24</v>
      </c>
      <c r="B92" s="249" t="s">
        <v>265</v>
      </c>
      <c r="C92" s="249"/>
      <c r="D92" s="61" t="s">
        <v>262</v>
      </c>
      <c r="E92" s="66" t="s">
        <v>115</v>
      </c>
    </row>
    <row r="93" spans="1:5" ht="18.75">
      <c r="A93" s="3">
        <v>25</v>
      </c>
      <c r="B93" s="249" t="s">
        <v>256</v>
      </c>
      <c r="C93" s="249"/>
      <c r="D93" s="61" t="s">
        <v>414</v>
      </c>
      <c r="E93" s="66" t="s">
        <v>86</v>
      </c>
    </row>
    <row r="94" spans="1:5" ht="18.75">
      <c r="A94" s="3">
        <v>26</v>
      </c>
      <c r="B94" s="249" t="s">
        <v>261</v>
      </c>
      <c r="C94" s="249"/>
      <c r="D94" s="61" t="s">
        <v>262</v>
      </c>
      <c r="E94" s="66"/>
    </row>
    <row r="95" spans="1:5" ht="18.75">
      <c r="A95" s="3">
        <v>27</v>
      </c>
      <c r="B95" s="249" t="s">
        <v>277</v>
      </c>
      <c r="C95" s="249"/>
      <c r="D95" s="61" t="s">
        <v>287</v>
      </c>
      <c r="E95" s="66" t="s">
        <v>288</v>
      </c>
    </row>
    <row r="96" spans="1:5" ht="18.75">
      <c r="A96" s="3">
        <v>28</v>
      </c>
      <c r="B96" s="249" t="s">
        <v>280</v>
      </c>
      <c r="C96" s="249"/>
      <c r="D96" s="61" t="s">
        <v>287</v>
      </c>
      <c r="E96" s="66" t="s">
        <v>288</v>
      </c>
    </row>
    <row r="97" spans="1:5" ht="18.75">
      <c r="A97" s="3">
        <v>29</v>
      </c>
      <c r="B97" s="249" t="s">
        <v>281</v>
      </c>
      <c r="C97" s="249"/>
      <c r="D97" s="61" t="s">
        <v>287</v>
      </c>
      <c r="E97" s="66" t="s">
        <v>288</v>
      </c>
    </row>
    <row r="98" spans="1:5" ht="18.75">
      <c r="A98" s="3">
        <v>30</v>
      </c>
      <c r="B98" s="249" t="s">
        <v>282</v>
      </c>
      <c r="C98" s="249"/>
      <c r="D98" s="61" t="s">
        <v>287</v>
      </c>
      <c r="E98" s="66" t="s">
        <v>288</v>
      </c>
    </row>
    <row r="99" spans="1:5" ht="18.75">
      <c r="A99" s="3">
        <v>31</v>
      </c>
      <c r="B99" s="249" t="s">
        <v>670</v>
      </c>
      <c r="C99" s="249"/>
      <c r="D99" s="61" t="s">
        <v>287</v>
      </c>
      <c r="E99" s="66" t="s">
        <v>288</v>
      </c>
    </row>
    <row r="100" spans="1:5" ht="18.75">
      <c r="A100" s="3">
        <v>32</v>
      </c>
      <c r="B100" s="249" t="s">
        <v>283</v>
      </c>
      <c r="C100" s="249"/>
      <c r="D100" s="61" t="s">
        <v>287</v>
      </c>
      <c r="E100" s="66" t="s">
        <v>288</v>
      </c>
    </row>
    <row r="101" spans="1:5" ht="18.75">
      <c r="A101" s="3">
        <v>33</v>
      </c>
      <c r="B101" s="249" t="s">
        <v>284</v>
      </c>
      <c r="C101" s="249"/>
      <c r="D101" s="61" t="s">
        <v>287</v>
      </c>
      <c r="E101" s="66" t="s">
        <v>288</v>
      </c>
    </row>
    <row r="102" spans="1:5" ht="18.75">
      <c r="A102" s="3">
        <v>34</v>
      </c>
      <c r="B102" s="249" t="s">
        <v>285</v>
      </c>
      <c r="C102" s="249"/>
      <c r="D102" s="61" t="s">
        <v>287</v>
      </c>
      <c r="E102" s="66" t="s">
        <v>288</v>
      </c>
    </row>
    <row r="103" spans="1:5" ht="18.75">
      <c r="A103" s="3">
        <v>35</v>
      </c>
      <c r="B103" s="249" t="s">
        <v>286</v>
      </c>
      <c r="C103" s="249"/>
      <c r="D103" s="61" t="s">
        <v>303</v>
      </c>
      <c r="E103" s="66" t="s">
        <v>299</v>
      </c>
    </row>
    <row r="104" spans="1:5" ht="18.75">
      <c r="A104" s="3">
        <v>36</v>
      </c>
      <c r="B104" s="249" t="s">
        <v>289</v>
      </c>
      <c r="C104" s="249"/>
      <c r="D104" s="61" t="s">
        <v>303</v>
      </c>
      <c r="E104" s="66" t="s">
        <v>299</v>
      </c>
    </row>
    <row r="105" spans="1:5" ht="18.75">
      <c r="A105" s="3">
        <v>37</v>
      </c>
      <c r="B105" s="249" t="s">
        <v>290</v>
      </c>
      <c r="C105" s="249"/>
      <c r="D105" s="61" t="s">
        <v>303</v>
      </c>
      <c r="E105" s="66" t="s">
        <v>299</v>
      </c>
    </row>
    <row r="106" spans="1:5" ht="18.75">
      <c r="A106" s="3">
        <v>38</v>
      </c>
      <c r="B106" s="33" t="s">
        <v>291</v>
      </c>
      <c r="C106" s="33"/>
      <c r="D106" s="61" t="s">
        <v>303</v>
      </c>
      <c r="E106" s="66" t="s">
        <v>299</v>
      </c>
    </row>
    <row r="107" spans="1:5" ht="18.75">
      <c r="A107" s="3">
        <v>39</v>
      </c>
      <c r="B107" s="249" t="s">
        <v>292</v>
      </c>
      <c r="C107" s="249"/>
      <c r="D107" s="61" t="s">
        <v>303</v>
      </c>
      <c r="E107" s="66" t="s">
        <v>299</v>
      </c>
    </row>
    <row r="108" spans="1:5" ht="18.75">
      <c r="A108" s="3">
        <v>40</v>
      </c>
      <c r="B108" s="61" t="s">
        <v>293</v>
      </c>
      <c r="C108" s="33"/>
      <c r="D108" s="61" t="s">
        <v>303</v>
      </c>
      <c r="E108" s="66" t="s">
        <v>299</v>
      </c>
    </row>
    <row r="109" spans="1:5" ht="18.75">
      <c r="A109" s="3">
        <v>41</v>
      </c>
      <c r="B109" s="61" t="s">
        <v>294</v>
      </c>
      <c r="C109" s="33"/>
      <c r="D109" s="61" t="s">
        <v>303</v>
      </c>
      <c r="E109" s="66" t="s">
        <v>299</v>
      </c>
    </row>
    <row r="110" spans="1:5" ht="18.75">
      <c r="A110" s="3">
        <v>42</v>
      </c>
      <c r="B110" s="61" t="s">
        <v>298</v>
      </c>
      <c r="C110" s="33"/>
      <c r="D110" s="61" t="s">
        <v>303</v>
      </c>
      <c r="E110" s="66" t="s">
        <v>671</v>
      </c>
    </row>
    <row r="111" spans="1:5" ht="18.75">
      <c r="A111" s="3">
        <v>43</v>
      </c>
      <c r="B111" s="249" t="s">
        <v>300</v>
      </c>
      <c r="C111" s="249"/>
      <c r="D111" s="61" t="s">
        <v>303</v>
      </c>
      <c r="E111" s="66" t="s">
        <v>526</v>
      </c>
    </row>
    <row r="112" spans="1:5" ht="18.75">
      <c r="A112" s="3">
        <v>44</v>
      </c>
      <c r="B112" s="249" t="s">
        <v>302</v>
      </c>
      <c r="C112" s="249"/>
      <c r="D112" s="61" t="s">
        <v>303</v>
      </c>
      <c r="E112" s="66" t="s">
        <v>526</v>
      </c>
    </row>
    <row r="113" spans="1:5" ht="18.75">
      <c r="A113" s="3">
        <v>45</v>
      </c>
      <c r="B113" s="249" t="s">
        <v>305</v>
      </c>
      <c r="C113" s="249"/>
      <c r="D113" s="61" t="s">
        <v>303</v>
      </c>
      <c r="E113" s="66" t="s">
        <v>526</v>
      </c>
    </row>
    <row r="114" spans="1:5" ht="18.75">
      <c r="A114" s="3">
        <v>46</v>
      </c>
      <c r="B114" s="249" t="s">
        <v>306</v>
      </c>
      <c r="C114" s="249"/>
      <c r="D114" s="61" t="s">
        <v>303</v>
      </c>
      <c r="E114" s="66" t="s">
        <v>526</v>
      </c>
    </row>
    <row r="115" spans="1:5" ht="18.75">
      <c r="A115" s="3">
        <v>47</v>
      </c>
      <c r="B115" s="249" t="s">
        <v>307</v>
      </c>
      <c r="C115" s="249"/>
      <c r="D115" s="61" t="s">
        <v>303</v>
      </c>
      <c r="E115" s="66" t="s">
        <v>526</v>
      </c>
    </row>
    <row r="116" spans="1:5" ht="18.75">
      <c r="A116" s="3">
        <v>48</v>
      </c>
      <c r="B116" s="249" t="s">
        <v>469</v>
      </c>
      <c r="C116" s="249"/>
      <c r="D116" s="61" t="s">
        <v>303</v>
      </c>
      <c r="E116" s="66" t="s">
        <v>526</v>
      </c>
    </row>
    <row r="117" spans="1:5" ht="18.75">
      <c r="A117" s="3">
        <v>49</v>
      </c>
      <c r="B117" s="249" t="s">
        <v>308</v>
      </c>
      <c r="C117" s="249"/>
      <c r="D117" s="61" t="s">
        <v>303</v>
      </c>
      <c r="E117" s="66" t="s">
        <v>526</v>
      </c>
    </row>
    <row r="118" spans="1:5" ht="18.75">
      <c r="A118" s="3"/>
      <c r="B118" s="48" t="s">
        <v>34</v>
      </c>
      <c r="C118" s="33"/>
      <c r="D118" s="49" t="s">
        <v>555</v>
      </c>
      <c r="E118" s="37"/>
    </row>
    <row r="119" spans="1:5" ht="18.75">
      <c r="A119" s="33"/>
      <c r="B119" s="247" t="s">
        <v>319</v>
      </c>
      <c r="C119" s="247"/>
      <c r="D119" s="76">
        <f>D14+D27+D31+D38+D42+D66+D118</f>
        <v>97</v>
      </c>
      <c r="E119" s="40"/>
    </row>
    <row r="120" spans="1:5" ht="18.75">
      <c r="A120" s="33"/>
      <c r="B120" s="248"/>
      <c r="C120" s="248"/>
      <c r="D120" s="46"/>
      <c r="E120" s="71"/>
    </row>
  </sheetData>
  <mergeCells count="114"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1:C1"/>
    <mergeCell ref="B2:C2"/>
    <mergeCell ref="B3:C3"/>
    <mergeCell ref="B4:C4"/>
    <mergeCell ref="B5:C5"/>
    <mergeCell ref="B12:C12"/>
    <mergeCell ref="B13:C13"/>
    <mergeCell ref="B15:C15"/>
    <mergeCell ref="B16:C16"/>
  </mergeCells>
  <pageMargins left="0.7" right="0.45" top="0.75" bottom="0.75" header="0.3" footer="0.3"/>
  <pageSetup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294" t="s">
        <v>672</v>
      </c>
      <c r="B1" s="294"/>
      <c r="C1" s="294"/>
      <c r="D1" s="294"/>
      <c r="E1" s="294"/>
      <c r="F1" s="294"/>
    </row>
    <row r="2" spans="1:6" ht="18.75">
      <c r="A2" s="292" t="s">
        <v>673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402090</v>
      </c>
      <c r="E4" s="12">
        <f>'December, 2021'!E15</f>
        <v>33507.5</v>
      </c>
      <c r="F4" s="1"/>
    </row>
    <row r="5" spans="1:6" ht="18.75">
      <c r="A5" s="251" t="s">
        <v>626</v>
      </c>
      <c r="B5" s="251"/>
      <c r="C5" s="251"/>
      <c r="D5" s="12">
        <f t="shared" ref="D5:D14" si="0">E5*12</f>
        <v>1206270</v>
      </c>
      <c r="E5" s="12">
        <f>'December, 2021'!G15</f>
        <v>100522.5</v>
      </c>
      <c r="F5" s="1"/>
    </row>
    <row r="6" spans="1:6" ht="18.75">
      <c r="A6" s="251" t="s">
        <v>627</v>
      </c>
      <c r="B6" s="251"/>
      <c r="C6" s="251"/>
      <c r="D6" s="12">
        <f t="shared" si="0"/>
        <v>30156.75</v>
      </c>
      <c r="E6" s="12">
        <f>'December, 2021'!H15</f>
        <v>2513.0625</v>
      </c>
      <c r="F6" s="1"/>
    </row>
    <row r="7" spans="1:6" ht="18.75">
      <c r="A7" s="251" t="s">
        <v>628</v>
      </c>
      <c r="B7" s="251"/>
      <c r="C7" s="251"/>
      <c r="D7" s="12">
        <f t="shared" si="0"/>
        <v>481466.28</v>
      </c>
      <c r="E7" s="12">
        <f>'December, 2021'!I15</f>
        <v>40122.19</v>
      </c>
      <c r="F7" s="1"/>
    </row>
    <row r="8" spans="1:6" ht="18.75">
      <c r="A8" s="251" t="s">
        <v>629</v>
      </c>
      <c r="B8" s="251"/>
      <c r="C8" s="251"/>
      <c r="D8" s="12">
        <f t="shared" si="0"/>
        <v>201045</v>
      </c>
      <c r="E8" s="12">
        <f>'December, 2021'!J15</f>
        <v>16753.75</v>
      </c>
      <c r="F8" s="1"/>
    </row>
    <row r="9" spans="1:6" ht="18.75">
      <c r="A9" s="251" t="s">
        <v>630</v>
      </c>
      <c r="B9" s="251"/>
      <c r="C9" s="251"/>
      <c r="D9" s="12">
        <f t="shared" si="0"/>
        <v>1407315</v>
      </c>
      <c r="E9" s="12">
        <f>'December, 2021'!K15</f>
        <v>117276.25</v>
      </c>
      <c r="F9" s="1"/>
    </row>
    <row r="10" spans="1:6" ht="18.75">
      <c r="A10" s="251" t="s">
        <v>632</v>
      </c>
      <c r="B10" s="251"/>
      <c r="C10" s="251"/>
      <c r="D10" s="12">
        <f t="shared" si="0"/>
        <v>402090</v>
      </c>
      <c r="E10" s="12">
        <f>'December, 2021'!L15</f>
        <v>33507.5</v>
      </c>
      <c r="F10" s="1"/>
    </row>
    <row r="11" spans="1:6" ht="18.75">
      <c r="A11" s="267" t="s">
        <v>631</v>
      </c>
      <c r="B11" s="293"/>
      <c r="C11" s="268"/>
      <c r="D11" s="12">
        <f t="shared" si="0"/>
        <v>0</v>
      </c>
      <c r="E11" s="12">
        <v>0</v>
      </c>
      <c r="F11" s="1"/>
    </row>
    <row r="12" spans="1:6" ht="18.75">
      <c r="A12" s="251" t="s">
        <v>633</v>
      </c>
      <c r="B12" s="251"/>
      <c r="C12" s="251"/>
      <c r="D12" s="12">
        <f t="shared" si="0"/>
        <v>40209</v>
      </c>
      <c r="E12" s="12">
        <f>'December, 2021'!O15</f>
        <v>3350.75</v>
      </c>
      <c r="F12" s="1"/>
    </row>
    <row r="13" spans="1:6" ht="18.75">
      <c r="A13" s="251" t="s">
        <v>634</v>
      </c>
      <c r="B13" s="251"/>
      <c r="C13" s="251"/>
      <c r="D13" s="12">
        <f t="shared" si="0"/>
        <v>240000</v>
      </c>
      <c r="E13" s="12">
        <v>20000</v>
      </c>
      <c r="F13" s="1"/>
    </row>
    <row r="14" spans="1:6" ht="18.75">
      <c r="A14" s="252" t="s">
        <v>420</v>
      </c>
      <c r="B14" s="252"/>
      <c r="C14" s="252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294" t="s">
        <v>674</v>
      </c>
      <c r="B1" s="294"/>
      <c r="C1" s="294"/>
      <c r="D1" s="294"/>
      <c r="E1" s="294"/>
      <c r="F1" s="294"/>
    </row>
    <row r="2" spans="1:6" ht="18.75">
      <c r="A2" s="292" t="s">
        <v>675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 t="e">
        <f>E4*12</f>
        <v>#REF!</v>
      </c>
      <c r="E4" s="12" t="e">
        <f>'December, 2021'!#REF!</f>
        <v>#REF!</v>
      </c>
      <c r="F4" s="1"/>
    </row>
    <row r="5" spans="1:6" ht="18.75">
      <c r="A5" s="251" t="s">
        <v>626</v>
      </c>
      <c r="B5" s="251"/>
      <c r="C5" s="251"/>
      <c r="D5" s="12" t="e">
        <f t="shared" ref="D5:D14" si="0">E5*12</f>
        <v>#REF!</v>
      </c>
      <c r="E5" s="12" t="e">
        <f>'December, 2021'!#REF!</f>
        <v>#REF!</v>
      </c>
      <c r="F5" s="1"/>
    </row>
    <row r="6" spans="1:6" ht="18.75">
      <c r="A6" s="251" t="s">
        <v>627</v>
      </c>
      <c r="B6" s="251"/>
      <c r="C6" s="251"/>
      <c r="D6" s="12" t="e">
        <f t="shared" si="0"/>
        <v>#REF!</v>
      </c>
      <c r="E6" s="12" t="e">
        <f>'December, 2021'!#REF!</f>
        <v>#REF!</v>
      </c>
      <c r="F6" s="1"/>
    </row>
    <row r="7" spans="1:6" ht="18.75">
      <c r="A7" s="251" t="s">
        <v>628</v>
      </c>
      <c r="B7" s="251"/>
      <c r="C7" s="251"/>
      <c r="D7" s="12">
        <f t="shared" si="0"/>
        <v>0</v>
      </c>
      <c r="E7" s="12">
        <f>SUMMARY!J6</f>
        <v>0</v>
      </c>
      <c r="F7" s="1"/>
    </row>
    <row r="8" spans="1:6" ht="18.75">
      <c r="A8" s="251" t="s">
        <v>629</v>
      </c>
      <c r="B8" s="251"/>
      <c r="C8" s="251"/>
      <c r="D8" s="12" t="e">
        <f t="shared" si="0"/>
        <v>#REF!</v>
      </c>
      <c r="E8" s="12" t="e">
        <f>'December, 2021'!#REF!</f>
        <v>#REF!</v>
      </c>
      <c r="F8" s="1"/>
    </row>
    <row r="9" spans="1:6" ht="18.75">
      <c r="A9" s="251" t="s">
        <v>630</v>
      </c>
      <c r="B9" s="251"/>
      <c r="C9" s="251"/>
      <c r="D9" s="12" t="e">
        <f t="shared" si="0"/>
        <v>#REF!</v>
      </c>
      <c r="E9" s="12" t="e">
        <f>'December, 2021'!#REF!</f>
        <v>#REF!</v>
      </c>
      <c r="F9" s="1"/>
    </row>
    <row r="10" spans="1:6" ht="18.75">
      <c r="A10" s="251" t="s">
        <v>632</v>
      </c>
      <c r="B10" s="251"/>
      <c r="C10" s="251"/>
      <c r="D10" s="12" t="e">
        <f t="shared" si="0"/>
        <v>#REF!</v>
      </c>
      <c r="E10" s="12" t="e">
        <f>'December, 2021'!#REF!</f>
        <v>#REF!</v>
      </c>
      <c r="F10" s="1"/>
    </row>
    <row r="11" spans="1:6" ht="18.75">
      <c r="A11" s="267" t="s">
        <v>631</v>
      </c>
      <c r="B11" s="293"/>
      <c r="C11" s="268"/>
      <c r="D11" s="12">
        <f t="shared" si="0"/>
        <v>0</v>
      </c>
      <c r="E11" s="12">
        <v>0</v>
      </c>
      <c r="F11" s="1"/>
    </row>
    <row r="12" spans="1:6" ht="18.75">
      <c r="A12" s="251" t="s">
        <v>633</v>
      </c>
      <c r="B12" s="251"/>
      <c r="C12" s="251"/>
      <c r="D12" s="12" t="e">
        <f t="shared" si="0"/>
        <v>#REF!</v>
      </c>
      <c r="E12" s="12" t="e">
        <f>'December, 2021'!#REF!</f>
        <v>#REF!</v>
      </c>
      <c r="F12" s="1"/>
    </row>
    <row r="13" spans="1:6" ht="18.75">
      <c r="A13" s="251" t="s">
        <v>634</v>
      </c>
      <c r="B13" s="251"/>
      <c r="C13" s="251"/>
      <c r="D13" s="12" t="e">
        <f t="shared" si="0"/>
        <v>#REF!</v>
      </c>
      <c r="E13" s="12" t="e">
        <f>'December, 2021'!#REF!</f>
        <v>#REF!</v>
      </c>
      <c r="F13" s="1"/>
    </row>
    <row r="14" spans="1:6" ht="18.75">
      <c r="A14" s="252" t="s">
        <v>420</v>
      </c>
      <c r="B14" s="252"/>
      <c r="C14" s="25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294"/>
      <c r="B1" s="294"/>
      <c r="C1" s="294"/>
      <c r="D1" s="294"/>
      <c r="E1" s="294"/>
      <c r="F1" s="294"/>
    </row>
    <row r="2" spans="1:6" ht="18.75">
      <c r="A2" s="292"/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255527.52</v>
      </c>
      <c r="E4" s="12">
        <f>SUMMARY!F7</f>
        <v>21293.96</v>
      </c>
      <c r="F4" s="1"/>
    </row>
    <row r="5" spans="1:6" ht="18.75">
      <c r="A5" s="251" t="s">
        <v>626</v>
      </c>
      <c r="B5" s="251"/>
      <c r="C5" s="251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51" t="s">
        <v>627</v>
      </c>
      <c r="B6" s="251"/>
      <c r="C6" s="251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51" t="s">
        <v>628</v>
      </c>
      <c r="B7" s="251"/>
      <c r="C7" s="251"/>
      <c r="D7" s="12">
        <f t="shared" si="0"/>
        <v>0</v>
      </c>
      <c r="E7" s="12">
        <f>SUMMARY!J6</f>
        <v>0</v>
      </c>
      <c r="F7" s="1"/>
    </row>
    <row r="8" spans="1:6" ht="18.75">
      <c r="A8" s="251" t="s">
        <v>629</v>
      </c>
      <c r="B8" s="251"/>
      <c r="C8" s="251"/>
      <c r="D8" s="12">
        <f t="shared" si="0"/>
        <v>127763.76</v>
      </c>
      <c r="E8" s="12">
        <f>SUMMARY!K7</f>
        <v>10646.98</v>
      </c>
      <c r="F8" s="1"/>
    </row>
    <row r="9" spans="1:6" ht="18.75">
      <c r="A9" s="251" t="s">
        <v>630</v>
      </c>
      <c r="B9" s="251"/>
      <c r="C9" s="251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51" t="s">
        <v>632</v>
      </c>
      <c r="B10" s="251"/>
      <c r="C10" s="251"/>
      <c r="D10" s="12">
        <f t="shared" si="0"/>
        <v>255527.52</v>
      </c>
      <c r="E10" s="12">
        <f>SUMMARY!N7</f>
        <v>21293.96</v>
      </c>
      <c r="F10" s="1"/>
    </row>
    <row r="11" spans="1:6" ht="18.75">
      <c r="A11" s="251" t="s">
        <v>633</v>
      </c>
      <c r="B11" s="251"/>
      <c r="C11" s="251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51" t="s">
        <v>634</v>
      </c>
      <c r="B12" s="251"/>
      <c r="C12" s="251"/>
      <c r="D12" s="12">
        <f t="shared" si="0"/>
        <v>120000</v>
      </c>
      <c r="E12" s="12">
        <f>SUMMARY!P7</f>
        <v>10000</v>
      </c>
      <c r="F12" s="1"/>
    </row>
    <row r="13" spans="1:6" ht="18.75">
      <c r="A13" s="252" t="s">
        <v>420</v>
      </c>
      <c r="B13" s="252"/>
      <c r="C13" s="252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294" t="s">
        <v>676</v>
      </c>
      <c r="B1" s="294"/>
      <c r="C1" s="294"/>
      <c r="D1" s="294"/>
      <c r="E1" s="294"/>
      <c r="F1" s="294"/>
    </row>
    <row r="2" spans="1:6" ht="18.75">
      <c r="A2" s="292" t="s">
        <v>677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51" t="s">
        <v>626</v>
      </c>
      <c r="B5" s="251"/>
      <c r="C5" s="251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51" t="s">
        <v>627</v>
      </c>
      <c r="B6" s="251"/>
      <c r="C6" s="251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51" t="s">
        <v>628</v>
      </c>
      <c r="B7" s="251"/>
      <c r="C7" s="251"/>
      <c r="D7" s="12">
        <f t="shared" si="0"/>
        <v>0</v>
      </c>
      <c r="E7" s="12">
        <f>SUMMARY!J6</f>
        <v>0</v>
      </c>
      <c r="F7" s="1"/>
    </row>
    <row r="8" spans="1:6" ht="18.75">
      <c r="A8" s="251" t="s">
        <v>629</v>
      </c>
      <c r="B8" s="251"/>
      <c r="C8" s="251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51" t="s">
        <v>630</v>
      </c>
      <c r="B9" s="251"/>
      <c r="C9" s="251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51" t="s">
        <v>632</v>
      </c>
      <c r="B10" s="251"/>
      <c r="C10" s="251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67" t="s">
        <v>631</v>
      </c>
      <c r="B11" s="293"/>
      <c r="C11" s="268"/>
      <c r="D11" s="12">
        <f t="shared" si="0"/>
        <v>480000</v>
      </c>
      <c r="E11" s="12">
        <v>40000</v>
      </c>
      <c r="F11" s="1"/>
    </row>
    <row r="12" spans="1:6" ht="18.75">
      <c r="A12" s="251" t="s">
        <v>633</v>
      </c>
      <c r="B12" s="251"/>
      <c r="C12" s="251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51" t="s">
        <v>634</v>
      </c>
      <c r="B13" s="251"/>
      <c r="C13" s="251"/>
      <c r="D13" s="12">
        <f t="shared" si="0"/>
        <v>120000</v>
      </c>
      <c r="E13" s="12">
        <f>SUMMARY!P7</f>
        <v>10000</v>
      </c>
      <c r="F13" s="1"/>
    </row>
    <row r="14" spans="1:6" ht="18.75">
      <c r="A14" s="252" t="s">
        <v>420</v>
      </c>
      <c r="B14" s="252"/>
      <c r="C14" s="252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294" t="s">
        <v>678</v>
      </c>
      <c r="B1" s="294"/>
      <c r="C1" s="294"/>
      <c r="D1" s="294"/>
      <c r="E1" s="294"/>
      <c r="F1" s="294"/>
    </row>
    <row r="2" spans="1:6" ht="18.75">
      <c r="A2" s="292" t="s">
        <v>679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176833.68</v>
      </c>
      <c r="E4" s="12">
        <f>SUMMARY!F9</f>
        <v>14736.14</v>
      </c>
      <c r="F4" s="1"/>
    </row>
    <row r="5" spans="1:6" ht="18.75">
      <c r="A5" s="251" t="s">
        <v>626</v>
      </c>
      <c r="B5" s="251"/>
      <c r="C5" s="251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51" t="s">
        <v>627</v>
      </c>
      <c r="B6" s="251"/>
      <c r="C6" s="251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51" t="s">
        <v>628</v>
      </c>
      <c r="B7" s="251"/>
      <c r="C7" s="251"/>
      <c r="D7" s="12">
        <f t="shared" si="0"/>
        <v>0</v>
      </c>
      <c r="E7" s="12">
        <f>SUMMARY!J6</f>
        <v>0</v>
      </c>
      <c r="F7" s="1"/>
    </row>
    <row r="8" spans="1:6" ht="18.75">
      <c r="A8" s="251" t="s">
        <v>629</v>
      </c>
      <c r="B8" s="251"/>
      <c r="C8" s="251"/>
      <c r="D8" s="12">
        <f t="shared" si="0"/>
        <v>88416.84</v>
      </c>
      <c r="E8" s="12">
        <f>SUMMARY!K9</f>
        <v>7368.07</v>
      </c>
      <c r="F8" s="1"/>
    </row>
    <row r="9" spans="1:6" ht="18.75">
      <c r="A9" s="251" t="s">
        <v>630</v>
      </c>
      <c r="B9" s="251"/>
      <c r="C9" s="251"/>
      <c r="D9" s="12">
        <f t="shared" si="0"/>
        <v>618917.88</v>
      </c>
      <c r="E9" s="12">
        <f>SUMMARY!L9</f>
        <v>51576.49</v>
      </c>
      <c r="F9" s="1"/>
    </row>
    <row r="10" spans="1:6" ht="18.75">
      <c r="A10" s="251" t="s">
        <v>632</v>
      </c>
      <c r="B10" s="251"/>
      <c r="C10" s="251"/>
      <c r="D10" s="12">
        <f t="shared" si="0"/>
        <v>176833.68</v>
      </c>
      <c r="E10" s="12">
        <f>SUMMARY!N9</f>
        <v>14736.14</v>
      </c>
      <c r="F10" s="1"/>
    </row>
    <row r="11" spans="1:6" ht="18.75">
      <c r="A11" s="267" t="s">
        <v>680</v>
      </c>
      <c r="B11" s="293"/>
      <c r="C11" s="268"/>
      <c r="D11" s="12">
        <f t="shared" si="0"/>
        <v>480000</v>
      </c>
      <c r="E11" s="12">
        <v>40000</v>
      </c>
      <c r="F11" s="1"/>
    </row>
    <row r="12" spans="1:6" ht="18.75">
      <c r="A12" s="251" t="s">
        <v>633</v>
      </c>
      <c r="B12" s="251"/>
      <c r="C12" s="251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51" t="s">
        <v>634</v>
      </c>
      <c r="B13" s="251"/>
      <c r="C13" s="251"/>
      <c r="D13" s="12">
        <f t="shared" si="0"/>
        <v>120000</v>
      </c>
      <c r="E13" s="12">
        <f>SUMMARY!P7</f>
        <v>10000</v>
      </c>
      <c r="F13" s="1"/>
    </row>
    <row r="14" spans="1:6" ht="18.75">
      <c r="A14" s="252" t="s">
        <v>420</v>
      </c>
      <c r="B14" s="252"/>
      <c r="C14" s="252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294" t="s">
        <v>681</v>
      </c>
      <c r="B1" s="294"/>
      <c r="C1" s="294"/>
      <c r="D1" s="294"/>
      <c r="E1" s="294"/>
      <c r="F1" s="294"/>
    </row>
    <row r="2" spans="1:6" ht="18.75">
      <c r="A2" s="292"/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286693.44</v>
      </c>
      <c r="E4" s="12">
        <f>'December, 2021'!E32</f>
        <v>23891.119999999999</v>
      </c>
      <c r="F4" s="1"/>
    </row>
    <row r="5" spans="1:6" ht="18.75">
      <c r="A5" s="251" t="s">
        <v>626</v>
      </c>
      <c r="B5" s="251"/>
      <c r="C5" s="251"/>
      <c r="D5" s="12" t="e">
        <f t="shared" ref="D5:D12" si="0">E5*12</f>
        <v>#REF!</v>
      </c>
      <c r="E5" s="12" t="e">
        <f>'December, 2021'!#REF!</f>
        <v>#REF!</v>
      </c>
      <c r="F5" s="1"/>
    </row>
    <row r="6" spans="1:6" ht="18.75">
      <c r="A6" s="251" t="s">
        <v>627</v>
      </c>
      <c r="B6" s="251"/>
      <c r="C6" s="251"/>
      <c r="D6" s="12" t="e">
        <f t="shared" si="0"/>
        <v>#REF!</v>
      </c>
      <c r="E6" s="12" t="e">
        <f>'December, 2021'!#REF!</f>
        <v>#REF!</v>
      </c>
      <c r="F6" s="1"/>
    </row>
    <row r="7" spans="1:6" ht="18.75">
      <c r="A7" s="251" t="s">
        <v>629</v>
      </c>
      <c r="B7" s="251"/>
      <c r="C7" s="251"/>
      <c r="D7" s="12">
        <f t="shared" si="0"/>
        <v>148447.56</v>
      </c>
      <c r="E7" s="12">
        <f>'December, 2021'!J125</f>
        <v>12370.63</v>
      </c>
      <c r="F7" s="1"/>
    </row>
    <row r="8" spans="1:6" ht="18.75">
      <c r="A8" s="251" t="s">
        <v>630</v>
      </c>
      <c r="B8" s="251"/>
      <c r="C8" s="251"/>
      <c r="D8" s="12" t="e">
        <f t="shared" si="0"/>
        <v>#REF!</v>
      </c>
      <c r="E8" s="12" t="e">
        <f>'December, 2021'!#REF!</f>
        <v>#REF!</v>
      </c>
      <c r="F8" s="1"/>
    </row>
    <row r="9" spans="1:6" ht="18.75">
      <c r="A9" s="251" t="s">
        <v>632</v>
      </c>
      <c r="B9" s="251"/>
      <c r="C9" s="251"/>
      <c r="D9" s="12">
        <f t="shared" si="0"/>
        <v>296895.12</v>
      </c>
      <c r="E9" s="12">
        <f>'December, 2021'!L125</f>
        <v>24741.26</v>
      </c>
      <c r="F9" s="1"/>
    </row>
    <row r="10" spans="1:6" ht="18.75">
      <c r="A10" s="251" t="s">
        <v>633</v>
      </c>
      <c r="B10" s="251"/>
      <c r="C10" s="251"/>
      <c r="D10" s="12" t="e">
        <f t="shared" si="0"/>
        <v>#REF!</v>
      </c>
      <c r="E10" s="12" t="e">
        <f>'December, 2021'!#REF!</f>
        <v>#REF!</v>
      </c>
      <c r="F10" s="1"/>
    </row>
    <row r="11" spans="1:6" ht="18.75">
      <c r="A11" s="251" t="s">
        <v>634</v>
      </c>
      <c r="B11" s="251"/>
      <c r="C11" s="251"/>
      <c r="D11" s="12">
        <f t="shared" si="0"/>
        <v>180000</v>
      </c>
      <c r="E11" s="12">
        <f>'December, 2021'!P125</f>
        <v>15000</v>
      </c>
      <c r="F11" s="1"/>
    </row>
    <row r="12" spans="1:6" ht="18.75">
      <c r="A12" s="252" t="s">
        <v>420</v>
      </c>
      <c r="B12" s="252"/>
      <c r="C12" s="252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682</v>
      </c>
      <c r="H1" s="2"/>
      <c r="I1" s="2"/>
      <c r="J1" s="2"/>
      <c r="K1" s="2"/>
      <c r="L1" s="2"/>
      <c r="M1" s="2" t="s">
        <v>683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684</v>
      </c>
      <c r="V1" s="5" t="s">
        <v>685</v>
      </c>
    </row>
    <row r="2" spans="1:22" ht="18.75">
      <c r="F2" s="2" t="s">
        <v>18</v>
      </c>
      <c r="G2" s="2" t="s">
        <v>686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687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297" t="s">
        <v>688</v>
      </c>
      <c r="B3" s="298"/>
      <c r="C3" s="299"/>
      <c r="D3" s="14"/>
      <c r="E3" s="14" t="s">
        <v>689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297" t="s">
        <v>690</v>
      </c>
      <c r="B4" s="298"/>
      <c r="C4" s="299"/>
      <c r="D4" s="14"/>
      <c r="E4" s="14" t="s">
        <v>691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00" t="s">
        <v>132</v>
      </c>
      <c r="B5" s="301"/>
      <c r="C5" s="302"/>
      <c r="D5" s="16"/>
      <c r="E5" s="19" t="s">
        <v>191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297" t="s">
        <v>142</v>
      </c>
      <c r="B6" s="298"/>
      <c r="C6" s="299"/>
      <c r="D6" s="14"/>
      <c r="E6" s="14" t="s">
        <v>692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297" t="s">
        <v>693</v>
      </c>
      <c r="B7" s="298"/>
      <c r="C7" s="299"/>
      <c r="D7" s="14"/>
      <c r="E7" s="14" t="s">
        <v>694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297" t="s">
        <v>159</v>
      </c>
      <c r="B8" s="298"/>
      <c r="C8" s="299"/>
      <c r="D8" s="14"/>
      <c r="E8" s="14" t="s">
        <v>695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297" t="s">
        <v>696</v>
      </c>
      <c r="B9" s="298"/>
      <c r="C9" s="299"/>
      <c r="D9" s="14"/>
      <c r="E9" s="14" t="s">
        <v>697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297"/>
      <c r="B10" s="298"/>
      <c r="C10" s="299"/>
      <c r="D10" s="14"/>
      <c r="E10" s="14" t="s">
        <v>698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294" t="s">
        <v>699</v>
      </c>
      <c r="B1" s="294"/>
      <c r="C1" s="294"/>
      <c r="D1" s="294"/>
      <c r="E1" s="294"/>
      <c r="F1" s="294"/>
    </row>
    <row r="2" spans="1:6" ht="18.75">
      <c r="A2" s="292" t="s">
        <v>700</v>
      </c>
      <c r="B2" s="292"/>
      <c r="C2" s="292"/>
      <c r="D2" s="292"/>
      <c r="E2" s="292"/>
      <c r="F2" s="292"/>
    </row>
    <row r="3" spans="1:6" ht="18.75">
      <c r="A3" s="251"/>
      <c r="B3" s="251"/>
      <c r="C3" s="251"/>
      <c r="D3" s="3" t="s">
        <v>623</v>
      </c>
      <c r="E3" s="3" t="s">
        <v>624</v>
      </c>
      <c r="F3" s="11"/>
    </row>
    <row r="4" spans="1:6" ht="18.75">
      <c r="A4" s="251" t="s">
        <v>625</v>
      </c>
      <c r="B4" s="251"/>
      <c r="C4" s="251"/>
      <c r="D4" s="12">
        <f>E4*12</f>
        <v>299709.72000000003</v>
      </c>
      <c r="E4" s="12">
        <f>SUMMARY!F5</f>
        <v>24975.81</v>
      </c>
      <c r="F4" s="1"/>
    </row>
    <row r="5" spans="1:6" ht="18.75">
      <c r="A5" s="251" t="s">
        <v>626</v>
      </c>
      <c r="B5" s="251"/>
      <c r="C5" s="251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51" t="s">
        <v>627</v>
      </c>
      <c r="B6" s="251"/>
      <c r="C6" s="251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51" t="s">
        <v>628</v>
      </c>
      <c r="B7" s="251"/>
      <c r="C7" s="251"/>
      <c r="D7" s="12">
        <f t="shared" si="0"/>
        <v>0</v>
      </c>
      <c r="E7" s="12">
        <f>SUMMARY!J6</f>
        <v>0</v>
      </c>
      <c r="F7" s="1"/>
    </row>
    <row r="8" spans="1:6" ht="18.75">
      <c r="A8" s="251" t="s">
        <v>629</v>
      </c>
      <c r="B8" s="251"/>
      <c r="C8" s="251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51" t="s">
        <v>630</v>
      </c>
      <c r="B9" s="251"/>
      <c r="C9" s="251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51" t="s">
        <v>632</v>
      </c>
      <c r="B10" s="251"/>
      <c r="C10" s="251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67" t="s">
        <v>631</v>
      </c>
      <c r="B11" s="293"/>
      <c r="C11" s="268"/>
      <c r="D11" s="12">
        <f t="shared" si="0"/>
        <v>0</v>
      </c>
      <c r="E11" s="12">
        <v>0</v>
      </c>
      <c r="F11" s="1"/>
    </row>
    <row r="12" spans="1:6" ht="18.75">
      <c r="A12" s="251" t="s">
        <v>633</v>
      </c>
      <c r="B12" s="251"/>
      <c r="C12" s="251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51" t="s">
        <v>634</v>
      </c>
      <c r="B13" s="251"/>
      <c r="C13" s="251"/>
      <c r="D13" s="12">
        <f t="shared" si="0"/>
        <v>240000</v>
      </c>
      <c r="E13" s="12">
        <f>SUMMARY!Q5</f>
        <v>20000</v>
      </c>
      <c r="F13" s="1"/>
    </row>
    <row r="14" spans="1:6" ht="18.75">
      <c r="A14" s="252" t="s">
        <v>420</v>
      </c>
      <c r="B14" s="252"/>
      <c r="C14" s="252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292" t="s">
        <v>701</v>
      </c>
      <c r="B1" s="292"/>
      <c r="C1" s="292"/>
    </row>
    <row r="2" spans="1:3" ht="18.75">
      <c r="A2" s="292" t="s">
        <v>673</v>
      </c>
      <c r="B2" s="292"/>
      <c r="C2" s="292"/>
    </row>
    <row r="3" spans="1:3" ht="18.75">
      <c r="A3" s="21"/>
      <c r="B3" s="21" t="s">
        <v>623</v>
      </c>
      <c r="C3" s="21" t="s">
        <v>624</v>
      </c>
    </row>
    <row r="4" spans="1:3" ht="18.75">
      <c r="A4" s="33" t="s">
        <v>625</v>
      </c>
      <c r="B4" s="27">
        <f>C4*12</f>
        <v>475947</v>
      </c>
      <c r="C4" s="27">
        <v>39662.25</v>
      </c>
    </row>
    <row r="5" spans="1:3" ht="18.75">
      <c r="A5" s="33" t="s">
        <v>626</v>
      </c>
      <c r="B5" s="27">
        <f t="shared" ref="B5:B13" si="0">C5*12</f>
        <v>1427841</v>
      </c>
      <c r="C5" s="27">
        <v>118986.75</v>
      </c>
    </row>
    <row r="6" spans="1:3" ht="18.75">
      <c r="A6" s="33" t="s">
        <v>627</v>
      </c>
      <c r="B6" s="27">
        <f t="shared" si="0"/>
        <v>35696.04</v>
      </c>
      <c r="C6" s="27">
        <v>2974.67</v>
      </c>
    </row>
    <row r="7" spans="1:3" ht="18.75">
      <c r="A7" s="33" t="s">
        <v>628</v>
      </c>
      <c r="B7" s="27" t="e">
        <f t="shared" si="0"/>
        <v>#REF!</v>
      </c>
      <c r="C7" s="27" t="e">
        <f>'December, 2021'!#REF!</f>
        <v>#REF!</v>
      </c>
    </row>
    <row r="8" spans="1:3" ht="18.75">
      <c r="A8" s="33" t="s">
        <v>629</v>
      </c>
      <c r="B8" s="27">
        <f t="shared" si="0"/>
        <v>237973.56</v>
      </c>
      <c r="C8" s="27">
        <v>19831.13</v>
      </c>
    </row>
    <row r="9" spans="1:3" ht="18.75">
      <c r="A9" s="33" t="s">
        <v>630</v>
      </c>
      <c r="B9" s="27">
        <f t="shared" si="0"/>
        <v>1665814.56</v>
      </c>
      <c r="C9" s="27">
        <v>138817.88</v>
      </c>
    </row>
    <row r="10" spans="1:3" ht="18.75">
      <c r="A10" s="33" t="s">
        <v>632</v>
      </c>
      <c r="B10" s="27">
        <f t="shared" si="0"/>
        <v>475947</v>
      </c>
      <c r="C10" s="27">
        <v>39662.25</v>
      </c>
    </row>
    <row r="11" spans="1:3" ht="18.75">
      <c r="A11" s="33" t="s">
        <v>631</v>
      </c>
      <c r="B11" s="27">
        <f t="shared" si="0"/>
        <v>0</v>
      </c>
      <c r="C11" s="27">
        <v>0</v>
      </c>
    </row>
    <row r="12" spans="1:3" ht="18.75">
      <c r="A12" s="33" t="s">
        <v>633</v>
      </c>
      <c r="B12" s="27">
        <f t="shared" si="0"/>
        <v>47594.76</v>
      </c>
      <c r="C12" s="27">
        <v>3966.23</v>
      </c>
    </row>
    <row r="13" spans="1:3" ht="18.75">
      <c r="A13" s="33" t="s">
        <v>634</v>
      </c>
      <c r="B13" s="27" t="e">
        <f t="shared" si="0"/>
        <v>#REF!</v>
      </c>
      <c r="C13" s="27" t="e">
        <f>'December, 2021'!#REF!</f>
        <v>#REF!</v>
      </c>
    </row>
    <row r="14" spans="1:3" ht="18.75">
      <c r="A14" s="21" t="s">
        <v>420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D45"/>
  <sheetViews>
    <sheetView topLeftCell="A25" workbookViewId="0">
      <selection activeCell="D44" sqref="D44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702</v>
      </c>
      <c r="C2" s="161"/>
      <c r="D2" s="161"/>
    </row>
    <row r="3" spans="1:4" ht="15">
      <c r="A3" s="161" t="s">
        <v>35</v>
      </c>
      <c r="B3" s="161" t="s">
        <v>399</v>
      </c>
      <c r="C3" s="161" t="s">
        <v>703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10</v>
      </c>
      <c r="C23" s="163">
        <v>13</v>
      </c>
      <c r="D23" s="164"/>
    </row>
    <row r="24" spans="1:4" ht="15">
      <c r="A24" s="163">
        <v>21</v>
      </c>
      <c r="B24" s="163">
        <v>10</v>
      </c>
      <c r="C24" s="163">
        <v>12</v>
      </c>
      <c r="D24" s="164">
        <v>19774.62</v>
      </c>
    </row>
    <row r="25" spans="1:4" ht="15">
      <c r="A25" s="163">
        <v>22</v>
      </c>
      <c r="B25" s="163">
        <v>10</v>
      </c>
      <c r="C25" s="163">
        <v>11</v>
      </c>
      <c r="D25" s="164">
        <v>19276.95</v>
      </c>
    </row>
    <row r="26" spans="1:4" ht="15">
      <c r="A26" s="163">
        <v>23</v>
      </c>
      <c r="B26" s="163">
        <v>10</v>
      </c>
      <c r="C26" s="163">
        <v>10</v>
      </c>
      <c r="D26" s="164">
        <v>18779.3</v>
      </c>
    </row>
    <row r="27" spans="1:4" ht="15">
      <c r="A27" s="163">
        <v>24</v>
      </c>
      <c r="B27" s="163">
        <v>10</v>
      </c>
      <c r="C27" s="163">
        <v>9</v>
      </c>
      <c r="D27" s="164">
        <v>18281.64</v>
      </c>
    </row>
    <row r="28" spans="1:4" ht="15">
      <c r="A28" s="163">
        <v>25</v>
      </c>
      <c r="B28" s="163">
        <v>10</v>
      </c>
      <c r="C28" s="163">
        <v>8</v>
      </c>
      <c r="D28" s="164">
        <v>17784.099999999999</v>
      </c>
    </row>
    <row r="29" spans="1:4" ht="15">
      <c r="A29" s="163">
        <v>26</v>
      </c>
      <c r="B29" s="163">
        <v>10</v>
      </c>
      <c r="C29" s="163">
        <v>7</v>
      </c>
      <c r="D29" s="164">
        <v>17286.330000000002</v>
      </c>
    </row>
    <row r="30" spans="1:4" ht="15">
      <c r="A30" s="163">
        <v>27</v>
      </c>
      <c r="B30" s="163">
        <v>8</v>
      </c>
      <c r="C30" s="163">
        <v>10</v>
      </c>
      <c r="D30" s="164">
        <v>13492.21</v>
      </c>
    </row>
    <row r="31" spans="1:4" ht="15">
      <c r="A31" s="163">
        <v>28</v>
      </c>
      <c r="B31" s="163">
        <v>8</v>
      </c>
      <c r="C31" s="163">
        <v>9</v>
      </c>
      <c r="D31" s="164">
        <v>13112.16</v>
      </c>
    </row>
    <row r="32" spans="1:4" ht="15">
      <c r="A32" s="163">
        <v>29</v>
      </c>
      <c r="B32" s="163">
        <v>8</v>
      </c>
      <c r="C32" s="163">
        <v>8</v>
      </c>
      <c r="D32" s="164">
        <v>12732</v>
      </c>
    </row>
    <row r="33" spans="1:4" ht="15">
      <c r="A33" s="163">
        <v>30</v>
      </c>
      <c r="B33" s="163">
        <v>8</v>
      </c>
      <c r="C33" s="163">
        <v>7</v>
      </c>
      <c r="D33" s="164">
        <v>12351.94</v>
      </c>
    </row>
    <row r="34" spans="1:4" ht="15">
      <c r="A34" s="163">
        <v>31</v>
      </c>
      <c r="B34" s="163">
        <v>7</v>
      </c>
      <c r="C34" s="163">
        <v>3</v>
      </c>
      <c r="D34" s="163">
        <f>8730.79</f>
        <v>8730.7900000000009</v>
      </c>
    </row>
    <row r="35" spans="1:4" ht="15">
      <c r="A35" s="163">
        <v>32</v>
      </c>
      <c r="B35" s="163">
        <v>5</v>
      </c>
      <c r="C35" s="163">
        <v>13</v>
      </c>
      <c r="D35" s="164">
        <v>5769.6</v>
      </c>
    </row>
    <row r="36" spans="1:4" ht="15">
      <c r="A36" s="163">
        <v>33</v>
      </c>
      <c r="B36" s="163">
        <v>5</v>
      </c>
      <c r="C36" s="163">
        <v>12</v>
      </c>
      <c r="D36" s="164">
        <v>5598.92</v>
      </c>
    </row>
    <row r="37" spans="1:4" ht="15">
      <c r="A37" s="163">
        <v>34</v>
      </c>
      <c r="B37" s="163">
        <v>5</v>
      </c>
      <c r="C37" s="163">
        <v>11</v>
      </c>
      <c r="D37" s="164">
        <v>5428.12</v>
      </c>
    </row>
    <row r="38" spans="1:4" ht="15">
      <c r="A38" s="163">
        <v>35</v>
      </c>
      <c r="B38" s="163">
        <v>5</v>
      </c>
      <c r="C38" s="163">
        <v>10</v>
      </c>
      <c r="D38" s="164">
        <v>5257.44</v>
      </c>
    </row>
    <row r="39" spans="1:4" ht="15">
      <c r="A39" s="163">
        <v>36</v>
      </c>
      <c r="B39" s="163">
        <v>5</v>
      </c>
      <c r="C39" s="163">
        <v>9</v>
      </c>
      <c r="D39" s="164">
        <v>5086.76</v>
      </c>
    </row>
    <row r="40" spans="1:4" ht="15">
      <c r="A40" s="163">
        <v>37</v>
      </c>
      <c r="B40" s="163">
        <v>5</v>
      </c>
      <c r="C40" s="163">
        <v>8</v>
      </c>
      <c r="D40" s="164">
        <v>4915.9399999999996</v>
      </c>
    </row>
    <row r="41" spans="1:4" ht="15">
      <c r="A41" s="163">
        <v>38</v>
      </c>
      <c r="B41" s="163">
        <v>5</v>
      </c>
      <c r="C41" s="163">
        <v>7</v>
      </c>
      <c r="D41" s="164">
        <v>4745.29</v>
      </c>
    </row>
    <row r="42" spans="1:4" ht="15">
      <c r="A42" s="163">
        <v>39</v>
      </c>
      <c r="B42" s="163">
        <v>4</v>
      </c>
      <c r="C42" s="163">
        <v>11</v>
      </c>
      <c r="D42" s="164">
        <v>4836.3</v>
      </c>
    </row>
    <row r="43" spans="1:4" ht="15">
      <c r="A43" s="163">
        <v>40</v>
      </c>
      <c r="B43" s="163">
        <v>4</v>
      </c>
      <c r="C43" s="163">
        <v>8</v>
      </c>
      <c r="D43" s="164">
        <v>4248.51</v>
      </c>
    </row>
    <row r="44" spans="1:4" ht="15">
      <c r="A44" s="163">
        <v>41</v>
      </c>
      <c r="B44" s="163">
        <v>4</v>
      </c>
      <c r="C44" s="163">
        <v>7</v>
      </c>
      <c r="D44" s="164">
        <v>4101.58</v>
      </c>
    </row>
    <row r="45" spans="1:4" ht="15">
      <c r="A45" s="163"/>
      <c r="B45" s="163"/>
      <c r="C45" s="163"/>
      <c r="D45" s="163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32" t="s">
        <v>0</v>
      </c>
      <c r="B1" s="232"/>
      <c r="C1" s="232"/>
      <c r="D1" s="232"/>
      <c r="E1" s="232"/>
    </row>
    <row r="2" spans="1:6" ht="18.75">
      <c r="A2" s="292" t="s">
        <v>704</v>
      </c>
      <c r="B2" s="292"/>
      <c r="C2" s="292"/>
      <c r="D2" s="292"/>
      <c r="E2" s="292"/>
    </row>
    <row r="3" spans="1:6" ht="18.75" customHeight="1">
      <c r="A3" s="306" t="s">
        <v>705</v>
      </c>
      <c r="B3" s="307" t="s">
        <v>5</v>
      </c>
      <c r="C3" s="304" t="s">
        <v>706</v>
      </c>
      <c r="D3" s="304" t="s">
        <v>707</v>
      </c>
      <c r="E3" s="304" t="s">
        <v>708</v>
      </c>
      <c r="F3" s="303" t="s">
        <v>34</v>
      </c>
    </row>
    <row r="4" spans="1:6" ht="16.5" customHeight="1">
      <c r="A4" s="306"/>
      <c r="B4" s="308"/>
      <c r="C4" s="305"/>
      <c r="D4" s="305"/>
      <c r="E4" s="305"/>
      <c r="F4" s="303"/>
    </row>
    <row r="5" spans="1:6" ht="18.75">
      <c r="A5" s="3">
        <v>1</v>
      </c>
      <c r="B5" s="22" t="s">
        <v>39</v>
      </c>
      <c r="C5" s="23" t="s">
        <v>709</v>
      </c>
      <c r="D5" s="23" t="s">
        <v>373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710</v>
      </c>
      <c r="C6" s="23" t="s">
        <v>121</v>
      </c>
      <c r="D6" s="23" t="s">
        <v>711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712</v>
      </c>
      <c r="C7" s="23" t="s">
        <v>49</v>
      </c>
      <c r="D7" s="23" t="s">
        <v>373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713</v>
      </c>
      <c r="C8" s="23" t="s">
        <v>49</v>
      </c>
      <c r="D8" s="23" t="s">
        <v>440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714</v>
      </c>
      <c r="C9" s="25" t="s">
        <v>49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715</v>
      </c>
      <c r="C10" s="25" t="s">
        <v>49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716</v>
      </c>
      <c r="C11" s="25" t="s">
        <v>130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132</v>
      </c>
      <c r="C12" s="25" t="s">
        <v>191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717</v>
      </c>
      <c r="C13" s="25" t="s">
        <v>83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718</v>
      </c>
      <c r="C14" s="25" t="s">
        <v>100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719</v>
      </c>
      <c r="C15" s="23" t="s">
        <v>98</v>
      </c>
      <c r="D15" s="23" t="s">
        <v>720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721</v>
      </c>
      <c r="C16" s="25" t="s">
        <v>110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722</v>
      </c>
      <c r="C17" s="25" t="s">
        <v>417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2024-05-31T10:40:29Z</dcterms:modified>
  <cp:category/>
  <cp:contentStatus/>
</cp:coreProperties>
</file>