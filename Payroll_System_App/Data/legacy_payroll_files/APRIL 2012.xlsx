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8_{8E64CB8F-DC21-44DD-BEBD-4CA5C273F44E}" xr6:coauthVersionLast="47" xr6:coauthVersionMax="47" xr10:uidLastSave="{00000000-0000-0000-0000-000000000000}"/>
  <bookViews>
    <workbookView xWindow="2010" yWindow="210" windowWidth="26790" windowHeight="15255" xr2:uid="{00000000-000D-0000-FFFF-FFFF00000000}"/>
  </bookViews>
  <sheets>
    <sheet name="April 2012" sheetId="1" r:id="rId1"/>
    <sheet name="MEMO" sheetId="3" r:id="rId2"/>
    <sheet name="17.7" sheetId="4" r:id="rId3"/>
    <sheet name="16.7" sheetId="5" r:id="rId4"/>
    <sheet name="15.9" sheetId="6" r:id="rId5"/>
    <sheet name="13.7" sheetId="7" r:id="rId6"/>
    <sheet name="12.7" sheetId="8" r:id="rId7"/>
    <sheet name="10.7" sheetId="9" r:id="rId8"/>
    <sheet name="9.7" sheetId="10" r:id="rId9"/>
    <sheet name="8.7" sheetId="11" r:id="rId10"/>
    <sheet name="sUMMARY" sheetId="12" r:id="rId11"/>
    <sheet name="14.7" sheetId="13" r:id="rId12"/>
    <sheet name="Sheet2" sheetId="14" r:id="rId13"/>
    <sheet name="5.7" sheetId="15" r:id="rId14"/>
  </sheets>
  <externalReferences>
    <externalReference r:id="rId15"/>
  </externalReferences>
  <definedNames>
    <definedName name="_xlnm.Print_Area" localSheetId="0">'April 2012'!$A$1:$W$85</definedName>
    <definedName name="_xlnm.Print_Area" localSheetId="1">MEMO!$A$1:$H$49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3" l="1"/>
  <c r="G34" i="3"/>
  <c r="E13" i="15"/>
  <c r="D13" i="15"/>
  <c r="E12" i="15"/>
  <c r="D12" i="15"/>
  <c r="E10" i="15"/>
  <c r="D10" i="15"/>
  <c r="E9" i="15"/>
  <c r="E8" i="15"/>
  <c r="D8" i="15"/>
  <c r="E6" i="15"/>
  <c r="E5" i="15"/>
  <c r="D5" i="15"/>
  <c r="E4" i="15"/>
  <c r="D4" i="15"/>
  <c r="D11" i="15"/>
  <c r="D9" i="15"/>
  <c r="E7" i="15"/>
  <c r="D7" i="15"/>
  <c r="D6" i="15"/>
  <c r="H81" i="1"/>
  <c r="G81" i="1"/>
  <c r="W30" i="1"/>
  <c r="H21" i="3"/>
  <c r="G30" i="1"/>
  <c r="H30" i="1"/>
  <c r="N30" i="1"/>
  <c r="R30" i="1"/>
  <c r="S30" i="1"/>
  <c r="G17" i="1"/>
  <c r="H17" i="1"/>
  <c r="H82" i="1" s="1"/>
  <c r="N17" i="1"/>
  <c r="P17" i="1"/>
  <c r="S17" i="1"/>
  <c r="R51" i="1"/>
  <c r="F51" i="1"/>
  <c r="Q46" i="1"/>
  <c r="O46" i="1"/>
  <c r="M46" i="1"/>
  <c r="L46" i="1"/>
  <c r="J46" i="1"/>
  <c r="I46" i="1"/>
  <c r="T46" i="1"/>
  <c r="V46" i="1"/>
  <c r="Q56" i="1"/>
  <c r="O56" i="1"/>
  <c r="M56" i="1"/>
  <c r="L56" i="1"/>
  <c r="J56" i="1"/>
  <c r="I56" i="1"/>
  <c r="T56" i="1"/>
  <c r="V56" i="1"/>
  <c r="Q28" i="1"/>
  <c r="O28" i="1"/>
  <c r="M28" i="1"/>
  <c r="L28" i="1"/>
  <c r="K28" i="1"/>
  <c r="J28" i="1"/>
  <c r="I28" i="1"/>
  <c r="Q29" i="1"/>
  <c r="O29" i="1"/>
  <c r="M29" i="1"/>
  <c r="L29" i="1"/>
  <c r="K29" i="1"/>
  <c r="J29" i="1"/>
  <c r="I29" i="1"/>
  <c r="T29" i="1"/>
  <c r="I16" i="1"/>
  <c r="J16" i="1"/>
  <c r="L16" i="1"/>
  <c r="M16" i="1"/>
  <c r="O16" i="1"/>
  <c r="Q16" i="1"/>
  <c r="Q13" i="1"/>
  <c r="O13" i="1"/>
  <c r="M13" i="1"/>
  <c r="L13" i="1"/>
  <c r="J13" i="1"/>
  <c r="I13" i="1"/>
  <c r="Q52" i="1"/>
  <c r="Q53" i="1"/>
  <c r="O52" i="1"/>
  <c r="O53" i="1"/>
  <c r="M52" i="1"/>
  <c r="M53" i="1"/>
  <c r="L52" i="1"/>
  <c r="L53" i="1"/>
  <c r="J52" i="1"/>
  <c r="J53" i="1"/>
  <c r="I52" i="1"/>
  <c r="T52" i="1"/>
  <c r="V52" i="1"/>
  <c r="I53" i="1"/>
  <c r="Q39" i="1"/>
  <c r="O39" i="1"/>
  <c r="M39" i="1"/>
  <c r="L39" i="1"/>
  <c r="J39" i="1"/>
  <c r="I39" i="1"/>
  <c r="Q38" i="1"/>
  <c r="O38" i="1"/>
  <c r="M38" i="1"/>
  <c r="L38" i="1"/>
  <c r="J38" i="1"/>
  <c r="I38" i="1"/>
  <c r="Q55" i="1"/>
  <c r="O55" i="1"/>
  <c r="M55" i="1"/>
  <c r="L55" i="1"/>
  <c r="J55" i="1"/>
  <c r="I55" i="1"/>
  <c r="Q45" i="1"/>
  <c r="O45" i="1"/>
  <c r="M45" i="1"/>
  <c r="L45" i="1"/>
  <c r="J45" i="1"/>
  <c r="I45" i="1"/>
  <c r="Q37" i="1"/>
  <c r="O37" i="1"/>
  <c r="M37" i="1"/>
  <c r="L37" i="1"/>
  <c r="J37" i="1"/>
  <c r="I37" i="1"/>
  <c r="Q54" i="1"/>
  <c r="O54" i="1"/>
  <c r="M54" i="1"/>
  <c r="L54" i="1"/>
  <c r="J54" i="1"/>
  <c r="I54" i="1"/>
  <c r="T54" i="1" s="1"/>
  <c r="V54" i="1" s="1"/>
  <c r="Q44" i="1"/>
  <c r="O44" i="1"/>
  <c r="M44" i="1"/>
  <c r="L44" i="1"/>
  <c r="J44" i="1"/>
  <c r="I44" i="1"/>
  <c r="T44" i="1" s="1"/>
  <c r="V44" i="1" s="1"/>
  <c r="Q48" i="1"/>
  <c r="Q49" i="1"/>
  <c r="Q50" i="1"/>
  <c r="Q51" i="1"/>
  <c r="O48" i="1"/>
  <c r="O49" i="1"/>
  <c r="O50" i="1"/>
  <c r="O51" i="1"/>
  <c r="M48" i="1"/>
  <c r="M49" i="1"/>
  <c r="M50" i="1"/>
  <c r="M51" i="1"/>
  <c r="L48" i="1"/>
  <c r="L49" i="1"/>
  <c r="L50" i="1"/>
  <c r="L51" i="1"/>
  <c r="J48" i="1"/>
  <c r="J49" i="1"/>
  <c r="J50" i="1"/>
  <c r="J51" i="1"/>
  <c r="I48" i="1"/>
  <c r="T48" i="1"/>
  <c r="V48" i="1"/>
  <c r="I49" i="1"/>
  <c r="T49" i="1"/>
  <c r="V49" i="1"/>
  <c r="I50" i="1"/>
  <c r="I51" i="1"/>
  <c r="I47" i="1"/>
  <c r="J47" i="1"/>
  <c r="L47" i="1"/>
  <c r="M47" i="1"/>
  <c r="O47" i="1"/>
  <c r="Q47" i="1"/>
  <c r="Q42" i="1"/>
  <c r="Q43" i="1"/>
  <c r="O42" i="1"/>
  <c r="O43" i="1"/>
  <c r="M42" i="1"/>
  <c r="M43" i="1"/>
  <c r="L42" i="1"/>
  <c r="L43" i="1"/>
  <c r="J42" i="1"/>
  <c r="J43" i="1"/>
  <c r="I42" i="1"/>
  <c r="T42" i="1"/>
  <c r="V42" i="1"/>
  <c r="I43" i="1"/>
  <c r="T43" i="1"/>
  <c r="V43" i="1"/>
  <c r="Q36" i="1"/>
  <c r="O36" i="1"/>
  <c r="M36" i="1"/>
  <c r="L36" i="1"/>
  <c r="J36" i="1"/>
  <c r="I36" i="1"/>
  <c r="V11" i="1"/>
  <c r="Q34" i="1"/>
  <c r="O34" i="1"/>
  <c r="M34" i="1"/>
  <c r="L34" i="1"/>
  <c r="J34" i="1"/>
  <c r="I34" i="1"/>
  <c r="P81" i="1"/>
  <c r="P25" i="1"/>
  <c r="P22" i="1"/>
  <c r="P26" i="1"/>
  <c r="D11" i="10"/>
  <c r="D11" i="9"/>
  <c r="D11" i="7"/>
  <c r="E11" i="13"/>
  <c r="D11" i="13"/>
  <c r="P4" i="12"/>
  <c r="E12" i="13"/>
  <c r="D12" i="13"/>
  <c r="N4" i="12"/>
  <c r="E10" i="13"/>
  <c r="D10" i="13"/>
  <c r="L4" i="12"/>
  <c r="E9" i="13"/>
  <c r="D9" i="13"/>
  <c r="K4" i="12"/>
  <c r="I4" i="12"/>
  <c r="E6" i="13"/>
  <c r="D6" i="13"/>
  <c r="H4" i="12"/>
  <c r="E13" i="13"/>
  <c r="D13" i="13"/>
  <c r="E8" i="13"/>
  <c r="D8" i="13"/>
  <c r="E4" i="13"/>
  <c r="D4" i="13"/>
  <c r="E7" i="13"/>
  <c r="D7" i="13"/>
  <c r="D11" i="6"/>
  <c r="H3" i="12"/>
  <c r="I3" i="12"/>
  <c r="K3" i="12"/>
  <c r="L3" i="12"/>
  <c r="N3" i="12"/>
  <c r="E10" i="4"/>
  <c r="O3" i="12"/>
  <c r="H5" i="12"/>
  <c r="I5" i="12"/>
  <c r="K5" i="12"/>
  <c r="L5" i="12"/>
  <c r="N5" i="12"/>
  <c r="O5" i="12"/>
  <c r="H6" i="12"/>
  <c r="I6" i="12"/>
  <c r="K6" i="12"/>
  <c r="E8" i="8"/>
  <c r="D8" i="8"/>
  <c r="L6" i="12"/>
  <c r="N6" i="12"/>
  <c r="O6" i="12"/>
  <c r="E11" i="8"/>
  <c r="D11" i="8"/>
  <c r="R6" i="12"/>
  <c r="H7" i="12"/>
  <c r="I7" i="12"/>
  <c r="K7" i="12"/>
  <c r="E8" i="9"/>
  <c r="L7" i="12"/>
  <c r="N7" i="12"/>
  <c r="O7" i="12"/>
  <c r="H8" i="12"/>
  <c r="I8" i="12"/>
  <c r="K8" i="12"/>
  <c r="L8" i="12"/>
  <c r="E9" i="10"/>
  <c r="N8" i="12"/>
  <c r="O8" i="12"/>
  <c r="H9" i="12"/>
  <c r="I9" i="12"/>
  <c r="E6" i="11"/>
  <c r="D6" i="11"/>
  <c r="K9" i="12"/>
  <c r="L9" i="12"/>
  <c r="N9" i="12"/>
  <c r="E10" i="11"/>
  <c r="O9" i="12"/>
  <c r="D10" i="11"/>
  <c r="E8" i="11"/>
  <c r="D8" i="11"/>
  <c r="E10" i="9"/>
  <c r="D10" i="9"/>
  <c r="E8" i="7"/>
  <c r="D8" i="7"/>
  <c r="E11" i="4"/>
  <c r="D11" i="4"/>
  <c r="E6" i="4"/>
  <c r="D6" i="4"/>
  <c r="Q41" i="1"/>
  <c r="O41" i="1"/>
  <c r="M41" i="1"/>
  <c r="L41" i="1"/>
  <c r="J41" i="1"/>
  <c r="I41" i="1"/>
  <c r="T41" i="1"/>
  <c r="V41" i="1"/>
  <c r="E11" i="11"/>
  <c r="D11" i="11"/>
  <c r="E9" i="11"/>
  <c r="D9" i="11"/>
  <c r="E4" i="11"/>
  <c r="D4" i="11"/>
  <c r="E12" i="11"/>
  <c r="D12" i="11"/>
  <c r="E7" i="11"/>
  <c r="D7" i="11"/>
  <c r="E12" i="10"/>
  <c r="D12" i="10"/>
  <c r="E10" i="10"/>
  <c r="D10" i="10"/>
  <c r="E8" i="10"/>
  <c r="D8" i="10"/>
  <c r="E6" i="10"/>
  <c r="D6" i="10"/>
  <c r="E4" i="10"/>
  <c r="D4" i="10"/>
  <c r="E13" i="10"/>
  <c r="D13" i="10"/>
  <c r="D9" i="10"/>
  <c r="E7" i="10"/>
  <c r="D7" i="10"/>
  <c r="E12" i="9"/>
  <c r="D12" i="9"/>
  <c r="E9" i="9"/>
  <c r="D9" i="9"/>
  <c r="E6" i="9"/>
  <c r="D6" i="9"/>
  <c r="E5" i="9"/>
  <c r="D5" i="9"/>
  <c r="E4" i="9"/>
  <c r="E13" i="9"/>
  <c r="D13" i="9"/>
  <c r="E7" i="9"/>
  <c r="E14" i="9" s="1"/>
  <c r="D14" i="9" s="1"/>
  <c r="D7" i="9"/>
  <c r="E12" i="8"/>
  <c r="D12" i="8"/>
  <c r="E4" i="8"/>
  <c r="D4" i="8"/>
  <c r="E10" i="8"/>
  <c r="D10" i="8"/>
  <c r="E9" i="8"/>
  <c r="D9" i="8"/>
  <c r="E6" i="8"/>
  <c r="D6" i="8"/>
  <c r="E5" i="8"/>
  <c r="E7" i="8"/>
  <c r="D7" i="8"/>
  <c r="E13" i="7"/>
  <c r="D13" i="7"/>
  <c r="E7" i="7"/>
  <c r="D7" i="7"/>
  <c r="E4" i="7"/>
  <c r="E12" i="7"/>
  <c r="D12" i="7"/>
  <c r="E10" i="7"/>
  <c r="D10" i="7"/>
  <c r="E13" i="6"/>
  <c r="D13" i="6"/>
  <c r="E4" i="6"/>
  <c r="D4" i="6"/>
  <c r="E12" i="5"/>
  <c r="D12" i="5"/>
  <c r="E12" i="4"/>
  <c r="D12" i="4"/>
  <c r="E7" i="4"/>
  <c r="E4" i="4"/>
  <c r="D10" i="4"/>
  <c r="E9" i="4"/>
  <c r="D9" i="4"/>
  <c r="E8" i="4"/>
  <c r="D8" i="4"/>
  <c r="E22" i="3"/>
  <c r="U81" i="1"/>
  <c r="F22" i="1"/>
  <c r="F26" i="1"/>
  <c r="N22" i="1"/>
  <c r="R22" i="1"/>
  <c r="S22" i="1"/>
  <c r="U22" i="1"/>
  <c r="U26" i="1"/>
  <c r="U30" i="1"/>
  <c r="U17" i="1"/>
  <c r="G23" i="3"/>
  <c r="E21" i="3"/>
  <c r="E20" i="3"/>
  <c r="E19" i="3"/>
  <c r="T72" i="1"/>
  <c r="V72" i="1"/>
  <c r="T73" i="1"/>
  <c r="W73" i="1"/>
  <c r="T74" i="1"/>
  <c r="V74" i="1"/>
  <c r="T75" i="1"/>
  <c r="W75" i="1"/>
  <c r="T76" i="1"/>
  <c r="V76" i="1"/>
  <c r="R11" i="1"/>
  <c r="R17" i="1"/>
  <c r="T77" i="1"/>
  <c r="T78" i="1"/>
  <c r="W78" i="1"/>
  <c r="T79" i="1"/>
  <c r="V79" i="1"/>
  <c r="T80" i="1"/>
  <c r="V80" i="1"/>
  <c r="W80" i="1"/>
  <c r="F10" i="1"/>
  <c r="E4" i="5"/>
  <c r="D4" i="5"/>
  <c r="F60" i="1"/>
  <c r="L60" i="1"/>
  <c r="Q71" i="1"/>
  <c r="O71" i="1"/>
  <c r="M71" i="1"/>
  <c r="L71" i="1"/>
  <c r="J71" i="1"/>
  <c r="I71" i="1"/>
  <c r="Q70" i="1"/>
  <c r="O70" i="1"/>
  <c r="M70" i="1"/>
  <c r="L70" i="1"/>
  <c r="J70" i="1"/>
  <c r="I70" i="1"/>
  <c r="F64" i="1"/>
  <c r="I64" i="1"/>
  <c r="F61" i="1"/>
  <c r="N81" i="1"/>
  <c r="N82" i="1" s="1"/>
  <c r="Q40" i="1"/>
  <c r="O40" i="1"/>
  <c r="M40" i="1"/>
  <c r="L40" i="1"/>
  <c r="J40" i="1"/>
  <c r="I40" i="1"/>
  <c r="T40" i="1" s="1"/>
  <c r="Q35" i="1"/>
  <c r="O35" i="1"/>
  <c r="M35" i="1"/>
  <c r="L35" i="1"/>
  <c r="J35" i="1"/>
  <c r="I35" i="1"/>
  <c r="Q69" i="1"/>
  <c r="O69" i="1"/>
  <c r="M69" i="1"/>
  <c r="L69" i="1"/>
  <c r="J69" i="1"/>
  <c r="I69" i="1"/>
  <c r="Q27" i="1"/>
  <c r="E12" i="6"/>
  <c r="D12" i="6"/>
  <c r="O27" i="1"/>
  <c r="E10" i="6"/>
  <c r="D10" i="6"/>
  <c r="M27" i="1"/>
  <c r="E9" i="6"/>
  <c r="D9" i="6"/>
  <c r="L27" i="1"/>
  <c r="E8" i="6"/>
  <c r="D8" i="6"/>
  <c r="J27" i="1"/>
  <c r="E6" i="6"/>
  <c r="D6" i="6"/>
  <c r="I27" i="1"/>
  <c r="F25" i="1"/>
  <c r="Q25" i="1"/>
  <c r="S58" i="1"/>
  <c r="S81" i="1"/>
  <c r="S82" i="1"/>
  <c r="R58" i="1"/>
  <c r="R81" i="1"/>
  <c r="Q21" i="1"/>
  <c r="Q22" i="1"/>
  <c r="O21" i="1"/>
  <c r="O22" i="1"/>
  <c r="M21" i="1"/>
  <c r="M22" i="1"/>
  <c r="L21" i="1"/>
  <c r="J21" i="1"/>
  <c r="J22" i="1"/>
  <c r="J26" i="1"/>
  <c r="I21" i="1"/>
  <c r="I10" i="1"/>
  <c r="I11" i="1"/>
  <c r="Q63" i="1"/>
  <c r="O63" i="1"/>
  <c r="M63" i="1"/>
  <c r="L63" i="1"/>
  <c r="J63" i="1"/>
  <c r="I63" i="1"/>
  <c r="T63" i="1" s="1"/>
  <c r="Q62" i="1"/>
  <c r="O62" i="1"/>
  <c r="M62" i="1"/>
  <c r="L62" i="1"/>
  <c r="J62" i="1"/>
  <c r="I62" i="1"/>
  <c r="Q59" i="1"/>
  <c r="O59" i="1"/>
  <c r="M59" i="1"/>
  <c r="L59" i="1"/>
  <c r="J59" i="1"/>
  <c r="I59" i="1"/>
  <c r="T59" i="1"/>
  <c r="W59" i="1"/>
  <c r="Q12" i="1"/>
  <c r="O12" i="1"/>
  <c r="M12" i="1"/>
  <c r="L12" i="1"/>
  <c r="K12" i="1"/>
  <c r="K21" i="1"/>
  <c r="K25" i="1"/>
  <c r="J12" i="1"/>
  <c r="I12" i="1"/>
  <c r="T12" i="1"/>
  <c r="V12" i="1"/>
  <c r="Q15" i="1"/>
  <c r="O15" i="1"/>
  <c r="M15" i="1"/>
  <c r="L15" i="1"/>
  <c r="J15" i="1"/>
  <c r="I15" i="1"/>
  <c r="T15" i="1"/>
  <c r="V15" i="1"/>
  <c r="Q14" i="1"/>
  <c r="O14" i="1"/>
  <c r="M14" i="1"/>
  <c r="L14" i="1"/>
  <c r="J14" i="1"/>
  <c r="I14" i="1"/>
  <c r="T14" i="1"/>
  <c r="T9" i="1"/>
  <c r="V9" i="1"/>
  <c r="F4" i="1"/>
  <c r="J4" i="1"/>
  <c r="Q10" i="1"/>
  <c r="E11" i="5"/>
  <c r="D11" i="5"/>
  <c r="J61" i="1"/>
  <c r="M25" i="1"/>
  <c r="I22" i="1"/>
  <c r="I26" i="1"/>
  <c r="J64" i="1"/>
  <c r="J25" i="1"/>
  <c r="J60" i="1"/>
  <c r="M64" i="1"/>
  <c r="F65" i="1"/>
  <c r="J65" i="1"/>
  <c r="E6" i="7"/>
  <c r="D6" i="7"/>
  <c r="D5" i="8"/>
  <c r="E9" i="7"/>
  <c r="D9" i="7"/>
  <c r="I61" i="1"/>
  <c r="I25" i="1"/>
  <c r="I30" i="1"/>
  <c r="L64" i="1"/>
  <c r="M10" i="1"/>
  <c r="M17" i="1"/>
  <c r="D8" i="9"/>
  <c r="M61" i="1"/>
  <c r="Q64" i="1"/>
  <c r="O65" i="1"/>
  <c r="M60" i="1"/>
  <c r="O64" i="1"/>
  <c r="O60" i="1"/>
  <c r="F11" i="1"/>
  <c r="T70" i="1"/>
  <c r="W70" i="1"/>
  <c r="T71" i="1"/>
  <c r="V78" i="1"/>
  <c r="V73" i="1"/>
  <c r="W79" i="1"/>
  <c r="W76" i="1"/>
  <c r="W74" i="1"/>
  <c r="W72" i="1"/>
  <c r="F66" i="1"/>
  <c r="M26" i="1"/>
  <c r="Q26" i="1"/>
  <c r="Q30" i="1" s="1"/>
  <c r="O26" i="1"/>
  <c r="P30" i="1"/>
  <c r="F30" i="1"/>
  <c r="L66" i="1"/>
  <c r="I65" i="1"/>
  <c r="V70" i="1"/>
  <c r="E9" i="5"/>
  <c r="D9" i="5"/>
  <c r="V75" i="1"/>
  <c r="O25" i="1"/>
  <c r="O30" i="1"/>
  <c r="I60" i="1"/>
  <c r="Q65" i="1"/>
  <c r="Q61" i="1"/>
  <c r="K27" i="1"/>
  <c r="T27" i="1" s="1"/>
  <c r="V27" i="1" s="1"/>
  <c r="K35" i="1"/>
  <c r="L65" i="1"/>
  <c r="M65" i="1"/>
  <c r="Q60" i="1"/>
  <c r="T50" i="1"/>
  <c r="V50" i="1"/>
  <c r="T45" i="1"/>
  <c r="V45" i="1"/>
  <c r="T55" i="1"/>
  <c r="V55" i="1"/>
  <c r="F17" i="1"/>
  <c r="Q17" i="1"/>
  <c r="K10" i="1"/>
  <c r="K22" i="1"/>
  <c r="K26" i="1"/>
  <c r="K34" i="1"/>
  <c r="T34" i="1"/>
  <c r="P82" i="1"/>
  <c r="H39" i="3"/>
  <c r="E7" i="6"/>
  <c r="D7" i="6"/>
  <c r="T60" i="1"/>
  <c r="V60" i="1"/>
  <c r="W22" i="1"/>
  <c r="H20" i="3"/>
  <c r="W60" i="1"/>
  <c r="E14" i="15"/>
  <c r="D14" i="15"/>
  <c r="E5" i="5"/>
  <c r="D5" i="5"/>
  <c r="O66" i="1"/>
  <c r="V34" i="1"/>
  <c r="W34" i="1"/>
  <c r="W14" i="1"/>
  <c r="V14" i="1"/>
  <c r="V63" i="1"/>
  <c r="W63" i="1"/>
  <c r="V40" i="1"/>
  <c r="W40" i="1"/>
  <c r="K36" i="1"/>
  <c r="K37" i="1"/>
  <c r="T35" i="1"/>
  <c r="K30" i="1"/>
  <c r="K17" i="1"/>
  <c r="E7" i="5"/>
  <c r="D7" i="5"/>
  <c r="I66" i="1"/>
  <c r="J66" i="1"/>
  <c r="J30" i="1"/>
  <c r="M30" i="1"/>
  <c r="T62" i="1"/>
  <c r="J10" i="1"/>
  <c r="E5" i="6"/>
  <c r="U82" i="1"/>
  <c r="K33" i="1"/>
  <c r="D7" i="4"/>
  <c r="D4" i="9"/>
  <c r="S4" i="12"/>
  <c r="U4" i="12"/>
  <c r="E5" i="13"/>
  <c r="E13" i="8"/>
  <c r="D13" i="8"/>
  <c r="R8" i="12"/>
  <c r="E5" i="10"/>
  <c r="R5" i="12"/>
  <c r="E5" i="7"/>
  <c r="D5" i="7"/>
  <c r="W12" i="1"/>
  <c r="Q66" i="1"/>
  <c r="V59" i="1"/>
  <c r="F67" i="1"/>
  <c r="O10" i="1"/>
  <c r="L10" i="1"/>
  <c r="L25" i="1"/>
  <c r="T25" i="1" s="1"/>
  <c r="L22" i="1"/>
  <c r="L26" i="1"/>
  <c r="T26" i="1"/>
  <c r="V26" i="1"/>
  <c r="T69" i="1"/>
  <c r="O61" i="1"/>
  <c r="L61" i="1"/>
  <c r="T61" i="1"/>
  <c r="V61" i="1"/>
  <c r="F58" i="1"/>
  <c r="V77" i="1"/>
  <c r="W77" i="1"/>
  <c r="F33" i="1"/>
  <c r="D4" i="4"/>
  <c r="R7" i="12"/>
  <c r="T47" i="1"/>
  <c r="V47" i="1"/>
  <c r="T53" i="1"/>
  <c r="V53" i="1"/>
  <c r="W71" i="1"/>
  <c r="V71" i="1"/>
  <c r="T21" i="1"/>
  <c r="M66" i="1"/>
  <c r="R82" i="1"/>
  <c r="D4" i="7"/>
  <c r="E14" i="7"/>
  <c r="D14" i="7"/>
  <c r="R9" i="12"/>
  <c r="E5" i="11"/>
  <c r="R3" i="12"/>
  <c r="E5" i="4"/>
  <c r="T51" i="1"/>
  <c r="V51" i="1"/>
  <c r="T13" i="1"/>
  <c r="V13" i="1"/>
  <c r="T16" i="1"/>
  <c r="V16" i="1"/>
  <c r="T28" i="1"/>
  <c r="V28" i="1"/>
  <c r="G82" i="1"/>
  <c r="W69" i="1"/>
  <c r="V69" i="1"/>
  <c r="Q33" i="1"/>
  <c r="J33" i="1"/>
  <c r="L33" i="1"/>
  <c r="O33" i="1"/>
  <c r="M33" i="1"/>
  <c r="I33" i="1"/>
  <c r="M67" i="1"/>
  <c r="Q67" i="1"/>
  <c r="J67" i="1"/>
  <c r="O67" i="1"/>
  <c r="F68" i="1"/>
  <c r="I67" i="1"/>
  <c r="L67" i="1"/>
  <c r="T67" i="1"/>
  <c r="L30" i="1"/>
  <c r="T36" i="1"/>
  <c r="V36" i="1"/>
  <c r="D5" i="6"/>
  <c r="E14" i="6"/>
  <c r="D14" i="6"/>
  <c r="L58" i="1"/>
  <c r="M58" i="1"/>
  <c r="I58" i="1"/>
  <c r="J58" i="1"/>
  <c r="F57" i="1"/>
  <c r="O58" i="1"/>
  <c r="Q58" i="1"/>
  <c r="D5" i="4"/>
  <c r="E13" i="4"/>
  <c r="D13" i="4"/>
  <c r="D5" i="11"/>
  <c r="E13" i="11"/>
  <c r="D13" i="11"/>
  <c r="L17" i="1"/>
  <c r="E8" i="5"/>
  <c r="D8" i="5"/>
  <c r="J11" i="1"/>
  <c r="J17" i="1" s="1"/>
  <c r="E6" i="5"/>
  <c r="T10" i="1"/>
  <c r="E10" i="5"/>
  <c r="D10" i="5"/>
  <c r="O17" i="1"/>
  <c r="D5" i="13"/>
  <c r="E14" i="13"/>
  <c r="D14" i="13"/>
  <c r="V62" i="1"/>
  <c r="W62" i="1"/>
  <c r="T30" i="1"/>
  <c r="V25" i="1"/>
  <c r="V30" i="1"/>
  <c r="F21" i="3"/>
  <c r="V35" i="1"/>
  <c r="W35" i="1"/>
  <c r="T22" i="1"/>
  <c r="V21" i="1"/>
  <c r="V22" i="1"/>
  <c r="F20" i="3"/>
  <c r="E14" i="10"/>
  <c r="D14" i="10"/>
  <c r="D5" i="10"/>
  <c r="K38" i="1"/>
  <c r="T37" i="1"/>
  <c r="V37" i="1"/>
  <c r="V67" i="1"/>
  <c r="W67" i="1"/>
  <c r="K39" i="1"/>
  <c r="T38" i="1"/>
  <c r="V38" i="1"/>
  <c r="T17" i="1"/>
  <c r="V10" i="1"/>
  <c r="V17" i="1"/>
  <c r="W10" i="1"/>
  <c r="W17" i="1"/>
  <c r="I57" i="1"/>
  <c r="O57" i="1"/>
  <c r="M57" i="1"/>
  <c r="Q57" i="1"/>
  <c r="L57" i="1"/>
  <c r="J57" i="1"/>
  <c r="F81" i="1"/>
  <c r="F82" i="1"/>
  <c r="D6" i="5"/>
  <c r="E13" i="5"/>
  <c r="D13" i="5"/>
  <c r="L68" i="1"/>
  <c r="Q68" i="1"/>
  <c r="Q81" i="1" s="1"/>
  <c r="Q82" i="1" s="1"/>
  <c r="J68" i="1"/>
  <c r="J81" i="1"/>
  <c r="J82" i="1"/>
  <c r="O68" i="1"/>
  <c r="O81" i="1"/>
  <c r="O82" i="1"/>
  <c r="M68" i="1"/>
  <c r="M81" i="1"/>
  <c r="M82" i="1"/>
  <c r="I68" i="1"/>
  <c r="I81" i="1" s="1"/>
  <c r="T68" i="1"/>
  <c r="L81" i="1"/>
  <c r="L82" i="1"/>
  <c r="T33" i="1"/>
  <c r="V68" i="1"/>
  <c r="W68" i="1"/>
  <c r="T57" i="1"/>
  <c r="F19" i="3"/>
  <c r="V33" i="1"/>
  <c r="H19" i="3"/>
  <c r="T39" i="1"/>
  <c r="V39" i="1"/>
  <c r="K81" i="1"/>
  <c r="K82" i="1"/>
  <c r="V57" i="1"/>
  <c r="W57" i="1"/>
  <c r="T58" i="1" l="1"/>
  <c r="T66" i="1"/>
  <c r="T65" i="1"/>
  <c r="T64" i="1"/>
  <c r="I17" i="1"/>
  <c r="I82" i="1" s="1"/>
  <c r="W64" i="1" l="1"/>
  <c r="V64" i="1"/>
  <c r="V65" i="1"/>
  <c r="W65" i="1"/>
  <c r="W66" i="1"/>
  <c r="V66" i="1"/>
  <c r="V58" i="1"/>
  <c r="V81" i="1" s="1"/>
  <c r="W58" i="1"/>
  <c r="W81" i="1" s="1"/>
  <c r="T81" i="1"/>
  <c r="T82" i="1" s="1"/>
  <c r="H22" i="3" l="1"/>
  <c r="H23" i="3" s="1"/>
  <c r="W82" i="1"/>
  <c r="F22" i="3"/>
  <c r="F23" i="3" s="1"/>
  <c r="H27" i="3" s="1"/>
  <c r="V82" i="1"/>
  <c r="H42" i="3" s="1"/>
  <c r="H28" i="3" l="1"/>
  <c r="H29" i="3" s="1"/>
  <c r="H33" i="3"/>
  <c r="H40" i="3" s="1"/>
</calcChain>
</file>

<file path=xl/sharedStrings.xml><?xml version="1.0" encoding="utf-8"?>
<sst xmlns="http://schemas.openxmlformats.org/spreadsheetml/2006/main" count="559" uniqueCount="241">
  <si>
    <t>Page 1 of 2</t>
  </si>
  <si>
    <t>STAFF NAME</t>
  </si>
  <si>
    <t>NET SALARY</t>
  </si>
  <si>
    <t>DESIGNATION</t>
  </si>
  <si>
    <t xml:space="preserve">SALARY </t>
  </si>
  <si>
    <t>BASIC</t>
  </si>
  <si>
    <t>28 DAYS ALCE</t>
  </si>
  <si>
    <t>PERSONAL</t>
  </si>
  <si>
    <t>MOTOR/</t>
  </si>
  <si>
    <t>RESEARCH</t>
  </si>
  <si>
    <t>LEAVE</t>
  </si>
  <si>
    <t>OUT FIT</t>
  </si>
  <si>
    <t>LEGISLATIVE</t>
  </si>
  <si>
    <t>GROSS</t>
  </si>
  <si>
    <t>APRIL, 2012</t>
  </si>
  <si>
    <t>MAR.2012</t>
  </si>
  <si>
    <t>LEVEL</t>
  </si>
  <si>
    <t>SALARY</t>
  </si>
  <si>
    <t>IN LIEU</t>
  </si>
  <si>
    <t>AREARS</t>
  </si>
  <si>
    <t>RENT</t>
  </si>
  <si>
    <t>UTILITY</t>
  </si>
  <si>
    <t>DOMESTIC</t>
  </si>
  <si>
    <t>ENTERT.</t>
  </si>
  <si>
    <t>FURNIT.</t>
  </si>
  <si>
    <t>ASSISTANT</t>
  </si>
  <si>
    <t>FUEL</t>
  </si>
  <si>
    <t>ALLOWANCE</t>
  </si>
  <si>
    <t>ALLCE</t>
  </si>
  <si>
    <t>DUTY ALLCE</t>
  </si>
  <si>
    <t>PAYE</t>
  </si>
  <si>
    <t>DG OFFICE</t>
  </si>
  <si>
    <t>N</t>
  </si>
  <si>
    <t>DR LADI HAMALAI</t>
  </si>
  <si>
    <t>DG</t>
  </si>
  <si>
    <t>CONSOL</t>
  </si>
  <si>
    <t>PROF. OFFORNZE AMUCHEAZI</t>
  </si>
  <si>
    <t>LEGAL ADVISER</t>
  </si>
  <si>
    <t>16(7)</t>
  </si>
  <si>
    <t>MOHAMMED ISIAKA YAKUBU</t>
  </si>
  <si>
    <t>SPECIAL ASSISTANT</t>
  </si>
  <si>
    <t>RICHARD KWALMI</t>
  </si>
  <si>
    <t>MICT</t>
  </si>
  <si>
    <t>15(7)</t>
  </si>
  <si>
    <t>KENNETH OKEREAFOR</t>
  </si>
  <si>
    <t>AM MICT</t>
  </si>
  <si>
    <t>13(7)</t>
  </si>
  <si>
    <t>ABDULSALAM MUSTAFA</t>
  </si>
  <si>
    <t>ICT OFFICER</t>
  </si>
  <si>
    <t>10(10)</t>
  </si>
  <si>
    <t>ALI ABDULLAHI</t>
  </si>
  <si>
    <t>1CT ASSISTANT</t>
  </si>
  <si>
    <t>8(7)</t>
  </si>
  <si>
    <t>MKPANAM DONALD EFFIONG</t>
  </si>
  <si>
    <t>ICT ASSISTANT</t>
  </si>
  <si>
    <t>TOTAL</t>
  </si>
  <si>
    <t>LEG. SUPPORT SEVICES</t>
  </si>
  <si>
    <t>DR SHUIBU DANWANKA</t>
  </si>
  <si>
    <t>DD</t>
  </si>
  <si>
    <t>RESEARCH &amp; TRAINING</t>
  </si>
  <si>
    <t>DR ASIMIYU G. ABIOLA</t>
  </si>
  <si>
    <t>DD RESEARCH</t>
  </si>
  <si>
    <t>SOLOMON A. BENJAMIN</t>
  </si>
  <si>
    <t>DD TRAINING</t>
  </si>
  <si>
    <t>DR PATTERSON EKEOCHA</t>
  </si>
  <si>
    <t>SRF</t>
  </si>
  <si>
    <t>15(9)</t>
  </si>
  <si>
    <t>CATHERINE E. IKOKOH</t>
  </si>
  <si>
    <t>RESEARCH FELLOW 1</t>
  </si>
  <si>
    <t>ALIYU SANNI ABUBAKAR</t>
  </si>
  <si>
    <t>DATA &amp; DOCU. OFFICER</t>
  </si>
  <si>
    <t>10(7)</t>
  </si>
  <si>
    <t>FINANCE &amp; ADMIN.</t>
  </si>
  <si>
    <t>DR KABIR AHMED</t>
  </si>
  <si>
    <t>DFA</t>
  </si>
  <si>
    <t>17(7)</t>
  </si>
  <si>
    <t>IBRAHIM M. MSHELIA</t>
  </si>
  <si>
    <t>DD F&amp;A</t>
  </si>
  <si>
    <t>AMINU BELLO DUKKU</t>
  </si>
  <si>
    <t>DD ADMIN/HR</t>
  </si>
  <si>
    <t>KABIR MUHAMMAD SULAIMAN</t>
  </si>
  <si>
    <t>MANAGER ADMIN&amp;HR</t>
  </si>
  <si>
    <t>PRISCILLA AGWU</t>
  </si>
  <si>
    <t>MANAGER PROCUREMENT</t>
  </si>
  <si>
    <t>NWOSU MATHEW EZE</t>
  </si>
  <si>
    <t>MANAGER INT. AUDIT</t>
  </si>
  <si>
    <t>MAGAJI BALA</t>
  </si>
  <si>
    <t>MANGER ACCOUNTS</t>
  </si>
  <si>
    <t>RAHILA AMOS</t>
  </si>
  <si>
    <t>OFFICER ACCTS</t>
  </si>
  <si>
    <t>10(11)</t>
  </si>
  <si>
    <t>HUSSEIN MUSA AGYE</t>
  </si>
  <si>
    <t>PROTOCOL OFFICER</t>
  </si>
  <si>
    <t>ABDULLAHI YUNUSA</t>
  </si>
  <si>
    <t>PERSONNEL OFFICER</t>
  </si>
  <si>
    <t>PATIENCE AMUDA BOSAH</t>
  </si>
  <si>
    <t>MARUF ABDULSALAM</t>
  </si>
  <si>
    <t>ASSET&amp; MAINT. OFFICER</t>
  </si>
  <si>
    <t>SALIHU LIMAN MAIRAFI</t>
  </si>
  <si>
    <t>PROCUREMENT OFFICER</t>
  </si>
  <si>
    <t>ANDRAWUS MUSA</t>
  </si>
  <si>
    <t>STORE OFFICER</t>
  </si>
  <si>
    <t>IBE EZECHI CYRIACUS</t>
  </si>
  <si>
    <t>PERSONNEL ASSISTANT</t>
  </si>
  <si>
    <t>MUHAMMED AGEDE YAHAYA</t>
  </si>
  <si>
    <t>EROMOSELE OMONIGBO</t>
  </si>
  <si>
    <t>OGUNYOMI ROTIMI</t>
  </si>
  <si>
    <t>CYNTHIA CHINENYE OKENMUO</t>
  </si>
  <si>
    <t>SHEHU ABDULLAHI</t>
  </si>
  <si>
    <t>ACCOUNT ASSISTANT</t>
  </si>
  <si>
    <t>JESSICA IDAKULA</t>
  </si>
  <si>
    <t>SIMON YAKUBU WAKAWA</t>
  </si>
  <si>
    <t>ASSET&amp; MAINT. ASST.</t>
  </si>
  <si>
    <t>MARGARET LEONIE DUREKE</t>
  </si>
  <si>
    <t>PROCUREMENT ASSIST</t>
  </si>
  <si>
    <t>BASHIRU ABBA WALI</t>
  </si>
  <si>
    <t>ASSIT. INT. AUDIT</t>
  </si>
  <si>
    <t>USMAN WAZIRI</t>
  </si>
  <si>
    <t>SEC. FINANCE</t>
  </si>
  <si>
    <t>8(9)</t>
  </si>
  <si>
    <t>SALAMATU YAKUBU</t>
  </si>
  <si>
    <t>SECRETARY</t>
  </si>
  <si>
    <t>IDAHOSA JANE CECILIA</t>
  </si>
  <si>
    <t>8/(9)</t>
  </si>
  <si>
    <t>ESTHER WAMINAJE</t>
  </si>
  <si>
    <t>ANTHONY EDET</t>
  </si>
  <si>
    <t>RECEPTIONIST</t>
  </si>
  <si>
    <t>OLATUNJI OYEDELE YUSUF</t>
  </si>
  <si>
    <t>DRIVER</t>
  </si>
  <si>
    <t>4(10)</t>
  </si>
  <si>
    <t>TASIU MOHAMMED</t>
  </si>
  <si>
    <t>JAFARU MUSA</t>
  </si>
  <si>
    <t>NAMADI IDRIS UMAR</t>
  </si>
  <si>
    <t>DANJUMA KAGADAMA</t>
  </si>
  <si>
    <t>MOHAMMED SIAKA</t>
  </si>
  <si>
    <t>ALFRED ISABU</t>
  </si>
  <si>
    <t>USMAN YAHAYA</t>
  </si>
  <si>
    <t>ALIYU YAKUBU</t>
  </si>
  <si>
    <t>3(8)</t>
  </si>
  <si>
    <t>ABDULLAHI HARUNA</t>
  </si>
  <si>
    <t>ABDULWAHAB DAHIRU</t>
  </si>
  <si>
    <t>DISPATCH CLERK</t>
  </si>
  <si>
    <t>GIDEON B. LAMIDO</t>
  </si>
  <si>
    <t>JOHN JAMBU ASIGAN</t>
  </si>
  <si>
    <t>STEWARD</t>
  </si>
  <si>
    <t>AYUBA SULE</t>
  </si>
  <si>
    <t>EWELIKWA IJEOMA NKOLIKWA</t>
  </si>
  <si>
    <t>IDREES MAHMOUD</t>
  </si>
  <si>
    <t>NYSC</t>
  </si>
  <si>
    <t>BONAHI JULIET KEFAS</t>
  </si>
  <si>
    <t>MMODU IFEOMA A.</t>
  </si>
  <si>
    <t>ADANMA ABALUNAM</t>
  </si>
  <si>
    <t>48</t>
  </si>
  <si>
    <t>GRAND TOTAL</t>
  </si>
  <si>
    <t>PREPARED BY:</t>
  </si>
  <si>
    <t>SIGNATURE</t>
  </si>
  <si>
    <t>DATE</t>
  </si>
  <si>
    <t>NATIONAL INSTITUTE FOR LEGISLATIVE STUDIES</t>
  </si>
  <si>
    <t>INTERNAL MEMO</t>
  </si>
  <si>
    <t xml:space="preserve">FROM : DEPUTY DIRCTOR FINANCE &amp; ACCOUNTS </t>
  </si>
  <si>
    <t>THROUGH: DIRECTOR, FINANCE &amp; ADMIN.</t>
  </si>
  <si>
    <t>TO: DIRECTOR GENERAL</t>
  </si>
  <si>
    <t>DATE: 20TH  APRIL, 2012</t>
  </si>
  <si>
    <t>Subject: Payroll for the Month of April, 2012.</t>
  </si>
  <si>
    <t>Find below the details of  NILS Staff Payroll for the month of April, 2012:</t>
  </si>
  <si>
    <t>MARCH, 2012</t>
  </si>
  <si>
    <t>No of</t>
  </si>
  <si>
    <t>Amount</t>
  </si>
  <si>
    <t>Staff</t>
  </si>
  <si>
    <t>Director General's Office</t>
  </si>
  <si>
    <t>Leg. Support Services</t>
  </si>
  <si>
    <t>Research &amp; Training</t>
  </si>
  <si>
    <t>Finance/ Admin &amp; HR</t>
  </si>
  <si>
    <t>VARIATION IN APRIL, 2012 OVER MARCH,2012 PAYROLL</t>
  </si>
  <si>
    <t>NET PAY AS PER APRIL, 2012 PAYROLL</t>
  </si>
  <si>
    <t>NET PAY AS PER  MARCH, 2012 PAYROLL</t>
  </si>
  <si>
    <t xml:space="preserve">NET INCREASE IN PAY FOR MARCH, 2012.   </t>
  </si>
  <si>
    <t>The net Salary Increase is reconciled as follows:</t>
  </si>
  <si>
    <t>Net Salary for the month of MARCH, 2012</t>
  </si>
  <si>
    <t>Appendix A:  Payment of Salary to Newly Recruited Staff</t>
  </si>
  <si>
    <t>Appendix B: 28 Days allowance in Lieu of Accomdation to New Staff</t>
  </si>
  <si>
    <t xml:space="preserve">                     Salary Adjustment for 2 Office Assistants</t>
  </si>
  <si>
    <t xml:space="preserve">                     Effect of Payment of Full Salary to DFA in April</t>
  </si>
  <si>
    <t xml:space="preserve">                     Reducing effect of 28 days allowance in Lieu for March</t>
  </si>
  <si>
    <t xml:space="preserve">                     Reducing Effect of Research allowance arears in March </t>
  </si>
  <si>
    <t>Net Salary for the month of APRIL, 2012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</si>
  <si>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N18,802,689.78</t>
    </r>
  </si>
  <si>
    <t>being April, 2012 Net Salary Payable to NILS Staff.</t>
  </si>
  <si>
    <t>Mshelia Madu Ibrahim</t>
  </si>
  <si>
    <t>Deputy Director, Finance &amp;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</si>
  <si>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</si>
  <si>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SALARY DETAILS OF NILS DIRECTORS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</si>
  <si>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</si>
  <si>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</si>
  <si>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</si>
  <si>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</si>
  <si>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</si>
  <si>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</si>
  <si>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</si>
  <si>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</si>
  <si>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</si>
  <si>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Motor Fuel Allowance</t>
  </si>
  <si>
    <t>Leave Allowance</t>
  </si>
  <si>
    <t>Outfit Allowance</t>
  </si>
  <si>
    <t>GROSS SALARY</t>
  </si>
  <si>
    <t>SALARY DETAILS OF NILS DEPUTY DIRECTORS</t>
  </si>
  <si>
    <t>GRADE LEVEL 16 STEP 7</t>
  </si>
  <si>
    <t>SALARY DETAILS OF NILS SENIOR RESEARCH FELLOWS</t>
  </si>
  <si>
    <t>GRADE LEVEL 15 STEP 9</t>
  </si>
  <si>
    <t>Research Allowance</t>
  </si>
  <si>
    <t>SALARY DETAILS OF NILS 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</si>
  <si>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</si>
  <si>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</si>
  <si>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</si>
  <si>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</si>
  <si>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</si>
  <si>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</si>
  <si>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FEB. 2012</t>
  </si>
  <si>
    <t>DIRECTOR</t>
  </si>
  <si>
    <t>17/7</t>
  </si>
  <si>
    <t>RESEARCH FELLOW I</t>
  </si>
  <si>
    <t>14(7)</t>
  </si>
  <si>
    <t>RESEARCH FELLOW II</t>
  </si>
  <si>
    <t>13/7</t>
  </si>
  <si>
    <t xml:space="preserve">RESEARCH FELLOW </t>
  </si>
  <si>
    <t>12/7</t>
  </si>
  <si>
    <t>RESEARCH OFFICER</t>
  </si>
  <si>
    <t>10/7</t>
  </si>
  <si>
    <t>RESEARCH ASSISTANTS</t>
  </si>
  <si>
    <t>9/7</t>
  </si>
  <si>
    <t>8/7</t>
  </si>
  <si>
    <t>SALARY DETAILS OF NILS  RESEARCH FELLOW I</t>
  </si>
  <si>
    <t>GRADE LEVEL 14 STEP 7</t>
  </si>
  <si>
    <t>LIST OF STAFF THAT HAVE ASSUMED DUTY</t>
  </si>
  <si>
    <t>DSM</t>
  </si>
  <si>
    <t>8(2)</t>
  </si>
  <si>
    <t>10(&amp;)</t>
  </si>
  <si>
    <t>SALARY DETAILS OF NILS SENIOR MOTOR DRIVER-MECHANIC</t>
  </si>
  <si>
    <t>GRADE LEVEL 5 STEP 7</t>
  </si>
  <si>
    <t>April</t>
  </si>
  <si>
    <t>STAFF PAYROLL FOR THE MONTH OF april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</si>
</sst>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 x14ac:knownFonts="1">
    <font>
      <sz val="10"/>
      <name val="Arial"/>
    </font>
    <font>
      <sz val="10"/>
      <name val="Arial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u val="singleAccounting"/>
      <sz val="14"/>
      <name val="Times New Roman"/>
      <family val="1"/>
    </font>
    <font>
      <u val="singleAccounting"/>
      <sz val="14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sz val="14"/>
      <color indexed="9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b/>
      <strike/>
      <sz val="14"/>
      <color indexed="8"/>
      <name val="Tahoma"/>
      <family val="2"/>
    </font>
    <font>
      <sz val="14"/>
      <color indexed="8"/>
      <name val="Tahoma"/>
      <family val="2"/>
    </font>
    <font>
      <u/>
      <sz val="14"/>
      <color indexed="8"/>
      <name val="Tahoma"/>
      <family val="2"/>
    </font>
    <font>
      <b/>
      <sz val="16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4" fontId="8" fillId="0" borderId="1" xfId="0" applyNumberFormat="1" applyFont="1" applyBorder="1"/>
    <xf numFmtId="0" fontId="9" fillId="0" borderId="0" xfId="0" applyFont="1" applyAlignment="1">
      <alignment horizontal="center"/>
    </xf>
    <xf numFmtId="0" fontId="4" fillId="0" borderId="2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4" fontId="2" fillId="0" borderId="0" xfId="0" applyNumberFormat="1" applyFont="1"/>
    <xf numFmtId="4" fontId="7" fillId="0" borderId="0" xfId="0" applyNumberFormat="1" applyFont="1"/>
    <xf numFmtId="0" fontId="2" fillId="0" borderId="0" xfId="0" applyFont="1" applyAlignment="1">
      <alignment horizontal="left"/>
    </xf>
    <xf numFmtId="164" fontId="8" fillId="0" borderId="0" xfId="1" applyFont="1" applyBorder="1" applyAlignment="1"/>
    <xf numFmtId="0" fontId="5" fillId="0" borderId="1" xfId="0" applyFont="1" applyBorder="1" applyAlignment="1">
      <alignment horizontal="center"/>
    </xf>
    <xf numFmtId="164" fontId="13" fillId="2" borderId="1" xfId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15" fillId="0" borderId="0" xfId="0" applyFont="1"/>
    <xf numFmtId="164" fontId="5" fillId="0" borderId="0" xfId="0" applyNumberFormat="1" applyFont="1"/>
    <xf numFmtId="164" fontId="2" fillId="0" borderId="0" xfId="0" applyNumberFormat="1" applyFont="1"/>
    <xf numFmtId="164" fontId="16" fillId="0" borderId="0" xfId="0" applyNumberFormat="1" applyFont="1"/>
    <xf numFmtId="164" fontId="2" fillId="0" borderId="1" xfId="1" applyFont="1" applyBorder="1" applyAlignment="1"/>
    <xf numFmtId="4" fontId="8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49" fontId="13" fillId="4" borderId="1" xfId="0" applyNumberFormat="1" applyFont="1" applyFill="1" applyBorder="1" applyAlignment="1">
      <alignment horizontal="left"/>
    </xf>
    <xf numFmtId="164" fontId="2" fillId="4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164" fontId="17" fillId="0" borderId="0" xfId="0" applyNumberFormat="1" applyFont="1"/>
    <xf numFmtId="164" fontId="2" fillId="0" borderId="0" xfId="1" applyFont="1"/>
    <xf numFmtId="4" fontId="11" fillId="0" borderId="1" xfId="0" applyNumberFormat="1" applyFont="1" applyBorder="1" applyAlignment="1">
      <alignment horizontal="center"/>
    </xf>
    <xf numFmtId="0" fontId="2" fillId="4" borderId="1" xfId="0" applyFont="1" applyFill="1" applyBorder="1"/>
    <xf numFmtId="164" fontId="2" fillId="4" borderId="1" xfId="1" quotePrefix="1" applyFont="1" applyFill="1" applyBorder="1" applyAlignment="1">
      <alignment horizontal="right"/>
    </xf>
    <xf numFmtId="164" fontId="13" fillId="4" borderId="1" xfId="1" applyFont="1" applyFill="1" applyBorder="1" applyAlignment="1">
      <alignment horizontal="right"/>
    </xf>
    <xf numFmtId="16" fontId="2" fillId="4" borderId="1" xfId="0" applyNumberFormat="1" applyFont="1" applyFill="1" applyBorder="1"/>
    <xf numFmtId="0" fontId="18" fillId="0" borderId="0" xfId="0" applyFont="1" applyAlignment="1">
      <alignment horizontal="left"/>
    </xf>
    <xf numFmtId="0" fontId="19" fillId="0" borderId="0" xfId="0" applyFont="1"/>
    <xf numFmtId="4" fontId="19" fillId="0" borderId="0" xfId="0" applyNumberFormat="1" applyFont="1"/>
    <xf numFmtId="0" fontId="21" fillId="0" borderId="0" xfId="0" applyFont="1" applyAlignment="1">
      <alignment horizontal="left"/>
    </xf>
    <xf numFmtId="17" fontId="21" fillId="0" borderId="0" xfId="0" applyNumberFormat="1" applyFont="1" applyAlignment="1">
      <alignment horizontal="left"/>
    </xf>
    <xf numFmtId="4" fontId="22" fillId="0" borderId="0" xfId="0" applyNumberFormat="1" applyFont="1"/>
    <xf numFmtId="0" fontId="22" fillId="0" borderId="0" xfId="0" applyFont="1"/>
    <xf numFmtId="0" fontId="21" fillId="0" borderId="0" xfId="0" applyFont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49" fontId="24" fillId="0" borderId="1" xfId="0" applyNumberFormat="1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49" fontId="27" fillId="0" borderId="1" xfId="0" applyNumberFormat="1" applyFont="1" applyBorder="1" applyAlignment="1">
      <alignment horizontal="left"/>
    </xf>
    <xf numFmtId="164" fontId="19" fillId="0" borderId="1" xfId="1" applyFont="1" applyBorder="1" applyAlignment="1">
      <alignment horizontal="right"/>
    </xf>
    <xf numFmtId="164" fontId="27" fillId="2" borderId="1" xfId="1" applyFont="1" applyFill="1" applyBorder="1" applyAlignment="1">
      <alignment horizontal="right"/>
    </xf>
    <xf numFmtId="164" fontId="19" fillId="0" borderId="1" xfId="1" quotePrefix="1" applyFont="1" applyBorder="1" applyAlignment="1">
      <alignment horizontal="right"/>
    </xf>
    <xf numFmtId="164" fontId="19" fillId="5" borderId="1" xfId="1" quotePrefix="1" applyFont="1" applyFill="1" applyBorder="1" applyAlignment="1">
      <alignment horizontal="right"/>
    </xf>
    <xf numFmtId="0" fontId="19" fillId="0" borderId="1" xfId="0" applyFont="1" applyBorder="1"/>
    <xf numFmtId="20" fontId="19" fillId="0" borderId="1" xfId="0" applyNumberFormat="1" applyFont="1" applyBorder="1"/>
    <xf numFmtId="0" fontId="20" fillId="0" borderId="1" xfId="0" applyFont="1" applyBorder="1"/>
    <xf numFmtId="164" fontId="21" fillId="0" borderId="1" xfId="1" applyFont="1" applyBorder="1" applyAlignment="1">
      <alignment horizontal="right"/>
    </xf>
    <xf numFmtId="164" fontId="23" fillId="2" borderId="1" xfId="1" applyFont="1" applyFill="1" applyBorder="1" applyAlignment="1">
      <alignment horizontal="right"/>
    </xf>
    <xf numFmtId="164" fontId="28" fillId="2" borderId="1" xfId="1" applyFont="1" applyFill="1" applyBorder="1" applyAlignment="1">
      <alignment horizontal="right"/>
    </xf>
    <xf numFmtId="0" fontId="21" fillId="0" borderId="1" xfId="0" applyFont="1" applyBorder="1" applyAlignment="1">
      <alignment horizontal="left"/>
    </xf>
    <xf numFmtId="164" fontId="22" fillId="3" borderId="1" xfId="1" applyFont="1" applyFill="1" applyBorder="1" applyAlignment="1">
      <alignment horizontal="right"/>
    </xf>
    <xf numFmtId="49" fontId="27" fillId="0" borderId="1" xfId="0" applyNumberFormat="1" applyFont="1" applyBorder="1"/>
    <xf numFmtId="164" fontId="20" fillId="0" borderId="1" xfId="1" quotePrefix="1" applyFont="1" applyBorder="1" applyAlignment="1">
      <alignment horizontal="right"/>
    </xf>
    <xf numFmtId="164" fontId="20" fillId="0" borderId="1" xfId="1" applyFont="1" applyBorder="1" applyAlignment="1">
      <alignment horizontal="right"/>
    </xf>
    <xf numFmtId="164" fontId="24" fillId="2" borderId="1" xfId="1" applyFont="1" applyFill="1" applyBorder="1" applyAlignment="1">
      <alignment horizontal="right"/>
    </xf>
    <xf numFmtId="49" fontId="24" fillId="0" borderId="1" xfId="0" applyNumberFormat="1" applyFont="1" applyBorder="1"/>
    <xf numFmtId="16" fontId="19" fillId="0" borderId="1" xfId="0" applyNumberFormat="1" applyFont="1" applyBorder="1"/>
    <xf numFmtId="49" fontId="24" fillId="0" borderId="3" xfId="0" applyNumberFormat="1" applyFont="1" applyBorder="1" applyAlignment="1">
      <alignment horizontal="left"/>
    </xf>
    <xf numFmtId="49" fontId="24" fillId="0" borderId="4" xfId="0" applyNumberFormat="1" applyFont="1" applyBorder="1" applyAlignment="1">
      <alignment horizontal="left"/>
    </xf>
    <xf numFmtId="49" fontId="24" fillId="0" borderId="2" xfId="0" applyNumberFormat="1" applyFont="1" applyBorder="1" applyAlignment="1">
      <alignment horizontal="left"/>
    </xf>
    <xf numFmtId="164" fontId="19" fillId="0" borderId="1" xfId="1" applyFont="1" applyBorder="1"/>
    <xf numFmtId="49" fontId="24" fillId="0" borderId="1" xfId="0" applyNumberFormat="1" applyFont="1" applyBorder="1" applyAlignment="1">
      <alignment horizontal="center"/>
    </xf>
    <xf numFmtId="4" fontId="18" fillId="0" borderId="1" xfId="0" applyNumberFormat="1" applyFont="1" applyBorder="1" applyAlignment="1">
      <alignment horizontal="left"/>
    </xf>
    <xf numFmtId="4" fontId="20" fillId="0" borderId="1" xfId="0" applyNumberFormat="1" applyFont="1" applyBorder="1" applyAlignment="1">
      <alignment horizontal="left"/>
    </xf>
    <xf numFmtId="164" fontId="18" fillId="0" borderId="1" xfId="1" applyFont="1" applyBorder="1" applyAlignment="1">
      <alignment horizontal="right"/>
    </xf>
    <xf numFmtId="4" fontId="18" fillId="0" borderId="1" xfId="0" applyNumberFormat="1" applyFont="1" applyBorder="1" applyAlignment="1">
      <alignment horizontal="right"/>
    </xf>
    <xf numFmtId="164" fontId="2" fillId="0" borderId="0" xfId="1" applyFont="1" applyAlignment="1">
      <alignment horizontal="left"/>
    </xf>
    <xf numFmtId="0" fontId="21" fillId="0" borderId="3" xfId="0" applyFont="1" applyBorder="1" applyAlignment="1">
      <alignment horizontal="center"/>
    </xf>
    <xf numFmtId="0" fontId="20" fillId="0" borderId="0" xfId="0" applyFont="1" applyAlignment="1">
      <alignment horizontal="right"/>
    </xf>
    <xf numFmtId="49" fontId="27" fillId="0" borderId="1" xfId="0" applyNumberFormat="1" applyFont="1" applyBorder="1" applyAlignment="1">
      <alignment horizontal="center"/>
    </xf>
    <xf numFmtId="20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" fontId="19" fillId="0" borderId="1" xfId="0" applyNumberFormat="1" applyFont="1" applyBorder="1" applyAlignment="1">
      <alignment horizontal="center"/>
    </xf>
    <xf numFmtId="4" fontId="20" fillId="0" borderId="1" xfId="0" applyNumberFormat="1" applyFont="1" applyBorder="1" applyAlignment="1">
      <alignment horizontal="center"/>
    </xf>
    <xf numFmtId="4" fontId="18" fillId="0" borderId="1" xfId="0" applyNumberFormat="1" applyFont="1" applyBorder="1" applyAlignment="1">
      <alignment horizontal="center"/>
    </xf>
    <xf numFmtId="17" fontId="21" fillId="0" borderId="1" xfId="0" applyNumberFormat="1" applyFont="1" applyBorder="1" applyAlignment="1">
      <alignment horizontal="center"/>
    </xf>
    <xf numFmtId="164" fontId="27" fillId="6" borderId="1" xfId="1" applyFont="1" applyFill="1" applyBorder="1" applyAlignment="1">
      <alignment horizontal="right"/>
    </xf>
    <xf numFmtId="0" fontId="19" fillId="7" borderId="1" xfId="0" applyFont="1" applyFill="1" applyBorder="1"/>
    <xf numFmtId="0" fontId="19" fillId="7" borderId="1" xfId="0" applyFont="1" applyFill="1" applyBorder="1" applyAlignment="1">
      <alignment horizontal="center"/>
    </xf>
    <xf numFmtId="164" fontId="19" fillId="7" borderId="1" xfId="1" quotePrefix="1" applyFont="1" applyFill="1" applyBorder="1" applyAlignment="1">
      <alignment horizontal="right"/>
    </xf>
    <xf numFmtId="164" fontId="19" fillId="7" borderId="1" xfId="1" applyFont="1" applyFill="1" applyBorder="1" applyAlignment="1">
      <alignment horizontal="right"/>
    </xf>
    <xf numFmtId="164" fontId="27" fillId="7" borderId="1" xfId="1" applyFont="1" applyFill="1" applyBorder="1" applyAlignment="1">
      <alignment horizontal="right"/>
    </xf>
    <xf numFmtId="49" fontId="27" fillId="7" borderId="1" xfId="0" applyNumberFormat="1" applyFont="1" applyFill="1" applyBorder="1" applyAlignment="1">
      <alignment horizontal="left"/>
    </xf>
    <xf numFmtId="49" fontId="27" fillId="7" borderId="1" xfId="0" applyNumberFormat="1" applyFont="1" applyFill="1" applyBorder="1" applyAlignment="1">
      <alignment horizontal="center"/>
    </xf>
    <xf numFmtId="20" fontId="19" fillId="7" borderId="1" xfId="0" applyNumberFormat="1" applyFont="1" applyFill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49" fontId="24" fillId="0" borderId="3" xfId="0" applyNumberFormat="1" applyFont="1" applyBorder="1" applyAlignment="1">
      <alignment horizontal="left"/>
    </xf>
    <xf numFmtId="49" fontId="24" fillId="0" borderId="4" xfId="0" applyNumberFormat="1" applyFont="1" applyBorder="1" applyAlignment="1">
      <alignment horizontal="left"/>
    </xf>
    <xf numFmtId="49" fontId="24" fillId="0" borderId="2" xfId="0" applyNumberFormat="1" applyFont="1" applyBorder="1" applyAlignment="1">
      <alignment horizontal="left"/>
    </xf>
    <xf numFmtId="4" fontId="18" fillId="0" borderId="3" xfId="0" applyNumberFormat="1" applyFont="1" applyBorder="1" applyAlignment="1">
      <alignment horizontal="center"/>
    </xf>
    <xf numFmtId="4" fontId="18" fillId="0" borderId="4" xfId="0" applyNumberFormat="1" applyFont="1" applyBorder="1" applyAlignment="1">
      <alignment horizontal="center"/>
    </xf>
    <xf numFmtId="4" fontId="18" fillId="0" borderId="2" xfId="0" applyNumberFormat="1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4" fontId="11" fillId="0" borderId="1" xfId="0" applyNumberFormat="1" applyFont="1" applyBorder="1" applyAlignment="1">
      <alignment horizontal="left"/>
    </xf>
    <xf numFmtId="49" fontId="27" fillId="0" borderId="1" xfId="0" applyNumberFormat="1" applyFont="1" applyBorder="1" applyAlignment="1">
      <alignment horizontal="left"/>
    </xf>
    <xf numFmtId="4" fontId="18" fillId="0" borderId="1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19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19" fillId="7" borderId="3" xfId="0" applyFont="1" applyFill="1" applyBorder="1"/>
    <xf numFmtId="0" fontId="19" fillId="7" borderId="4" xfId="0" applyFont="1" applyFill="1" applyBorder="1"/>
    <xf numFmtId="0" fontId="19" fillId="7" borderId="2" xfId="0" applyFont="1" applyFill="1" applyBorder="1"/>
    <xf numFmtId="0" fontId="20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49" fontId="27" fillId="7" borderId="3" xfId="0" applyNumberFormat="1" applyFont="1" applyFill="1" applyBorder="1" applyAlignment="1">
      <alignment horizontal="left"/>
    </xf>
    <xf numFmtId="49" fontId="27" fillId="7" borderId="4" xfId="0" applyNumberFormat="1" applyFont="1" applyFill="1" applyBorder="1" applyAlignment="1">
      <alignment horizontal="left"/>
    </xf>
    <xf numFmtId="49" fontId="27" fillId="7" borderId="2" xfId="0" applyNumberFormat="1" applyFont="1" applyFill="1" applyBorder="1" applyAlignment="1">
      <alignment horizontal="left"/>
    </xf>
    <xf numFmtId="49" fontId="27" fillId="7" borderId="3" xfId="0" applyNumberFormat="1" applyFont="1" applyFill="1" applyBorder="1"/>
    <xf numFmtId="49" fontId="27" fillId="7" borderId="4" xfId="0" applyNumberFormat="1" applyFont="1" applyFill="1" applyBorder="1"/>
    <xf numFmtId="49" fontId="27" fillId="7" borderId="2" xfId="0" applyNumberFormat="1" applyFont="1" applyFill="1" applyBorder="1"/>
    <xf numFmtId="49" fontId="24" fillId="0" borderId="1" xfId="0" applyNumberFormat="1" applyFont="1" applyBorder="1" applyAlignment="1">
      <alignment horizontal="left"/>
    </xf>
    <xf numFmtId="49" fontId="27" fillId="0" borderId="3" xfId="0" applyNumberFormat="1" applyFont="1" applyBorder="1" applyAlignment="1">
      <alignment horizontal="left"/>
    </xf>
    <xf numFmtId="49" fontId="27" fillId="0" borderId="4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/>
    </xf>
    <xf numFmtId="49" fontId="24" fillId="0" borderId="3" xfId="0" applyNumberFormat="1" applyFont="1" applyBorder="1" applyAlignment="1">
      <alignment horizontal="center"/>
    </xf>
    <xf numFmtId="49" fontId="24" fillId="0" borderId="4" xfId="0" applyNumberFormat="1" applyFont="1" applyBorder="1" applyAlignment="1">
      <alignment horizontal="center"/>
    </xf>
    <xf numFmtId="49" fontId="24" fillId="0" borderId="2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0" fillId="0" borderId="1" xfId="0" applyFont="1" applyBorder="1"/>
    <xf numFmtId="0" fontId="19" fillId="0" borderId="1" xfId="0" applyFont="1" applyBorder="1"/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7" fontId="5" fillId="0" borderId="3" xfId="0" applyNumberFormat="1" applyFont="1" applyBorder="1" applyAlignment="1">
      <alignment horizontal="center"/>
    </xf>
    <xf numFmtId="17" fontId="5" fillId="0" borderId="4" xfId="0" quotePrefix="1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1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13" fillId="4" borderId="3" xfId="0" applyNumberFormat="1" applyFont="1" applyFill="1" applyBorder="1" applyAlignment="1">
      <alignment horizontal="left"/>
    </xf>
    <xf numFmtId="49" fontId="13" fillId="4" borderId="4" xfId="0" applyNumberFormat="1" applyFont="1" applyFill="1" applyBorder="1" applyAlignment="1">
      <alignment horizontal="left"/>
    </xf>
    <xf numFmtId="49" fontId="13" fillId="4" borderId="2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9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ddie\My%20Documents\2007%20PARP%20PAYROLL%20and%20PAYSLIP%20FROM%20MAY%202007%20(version%201)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view="pageBreakPreview" zoomScale="60" zoomScaleNormal="100" workbookViewId="0">
      <selection activeCell="G46" sqref="G46"/>
    </sheetView>
  </sheetViews>
  <sheetFormatPr defaultRowHeight="20.100000000000001" customHeight="1" x14ac:dyDescent="0.3"/>
  <cols>
    <col min="1" max="2" width="9.140625" style="1"/>
    <col min="3" max="3" width="18.7109375" style="1" customWidth="1"/>
    <col min="4" max="4" width="26.85546875" style="1" customWidth="1"/>
    <col min="5" max="5" width="10.5703125" style="1" customWidth="1"/>
    <col min="6" max="6" width="21" style="1" customWidth="1"/>
    <col min="7" max="7" width="20.85546875" style="1" customWidth="1"/>
    <col min="8" max="8" width="18.5703125" style="1" customWidth="1"/>
    <col min="9" max="9" width="20.85546875" style="1" customWidth="1"/>
    <col min="10" max="10" width="18.85546875" style="1" customWidth="1"/>
    <col min="11" max="11" width="18.42578125" style="1" customWidth="1"/>
    <col min="12" max="12" width="18.5703125" style="1" customWidth="1"/>
    <col min="13" max="13" width="20.7109375" style="1" customWidth="1"/>
    <col min="14" max="14" width="17.42578125" style="1" customWidth="1"/>
    <col min="15" max="15" width="21.140625" style="1" customWidth="1"/>
    <col min="16" max="16" width="18.7109375" style="1" customWidth="1"/>
    <col min="17" max="17" width="18.5703125" style="1" customWidth="1"/>
    <col min="18" max="18" width="18.42578125" style="1" customWidth="1"/>
    <col min="19" max="19" width="16.85546875" style="1" customWidth="1"/>
    <col min="20" max="20" width="22.42578125" style="1" customWidth="1"/>
    <col min="21" max="21" width="12.28515625" style="1" customWidth="1"/>
    <col min="22" max="22" width="22.5703125" style="1" customWidth="1"/>
    <col min="23" max="23" width="21.42578125" style="1" customWidth="1"/>
    <col min="24" max="24" width="9.140625" style="1"/>
    <col min="25" max="25" width="18" style="1" customWidth="1"/>
    <col min="26" max="16384" width="9.140625" style="1"/>
  </cols>
  <sheetData>
    <row r="1" spans="1:23" ht="29.25" customHeight="1" x14ac:dyDescent="0.3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3"/>
      <c r="U1" s="43"/>
      <c r="V1" s="43"/>
      <c r="W1" s="87" t="s">
        <v>0</v>
      </c>
    </row>
    <row r="2" spans="1:23" ht="5.25" customHeigh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4"/>
      <c r="V2" s="44"/>
      <c r="W2" s="43"/>
    </row>
    <row r="3" spans="1:23" ht="20.100000000000001" customHeight="1" x14ac:dyDescent="0.3">
      <c r="A3" s="117" t="s">
        <v>240</v>
      </c>
      <c r="B3" s="117"/>
      <c r="C3" s="117"/>
      <c r="D3" s="117"/>
      <c r="E3" s="117"/>
      <c r="F3" s="45"/>
      <c r="G3" s="45"/>
      <c r="H3" s="45"/>
      <c r="I3" s="45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47"/>
      <c r="V3" s="47"/>
      <c r="W3" s="43"/>
    </row>
    <row r="4" spans="1:23" ht="2.25" customHeight="1" x14ac:dyDescent="0.3">
      <c r="A4" s="43"/>
      <c r="B4" s="43"/>
      <c r="C4" s="43"/>
      <c r="D4" s="43"/>
      <c r="E4" s="43"/>
      <c r="F4" s="48">
        <f>'[1]FEB 08'!E8/'[1]FEB 08'!M8</f>
        <v>0.22</v>
      </c>
      <c r="G4" s="48"/>
      <c r="H4" s="48"/>
      <c r="I4" s="48"/>
      <c r="J4" s="48">
        <f>'[1]FEB 08'!F8/'[1]FEB 08'!Q8</f>
        <v>0.3</v>
      </c>
      <c r="K4" s="48"/>
      <c r="L4" s="48"/>
      <c r="M4" s="48"/>
      <c r="N4" s="48"/>
      <c r="O4" s="48"/>
      <c r="P4" s="48"/>
      <c r="Q4" s="48"/>
      <c r="R4" s="48"/>
      <c r="S4" s="48"/>
      <c r="T4" s="43"/>
      <c r="U4" s="43"/>
      <c r="V4" s="43"/>
      <c r="W4" s="43"/>
    </row>
    <row r="5" spans="1:23" ht="20.100000000000001" customHeight="1" x14ac:dyDescent="0.3">
      <c r="A5" s="121" t="s">
        <v>1</v>
      </c>
      <c r="B5" s="122"/>
      <c r="C5" s="122"/>
      <c r="D5" s="49"/>
      <c r="E5" s="4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49"/>
      <c r="V5" s="49" t="s">
        <v>2</v>
      </c>
      <c r="W5" s="86" t="s">
        <v>2</v>
      </c>
    </row>
    <row r="6" spans="1:23" ht="20.100000000000001" customHeight="1" x14ac:dyDescent="0.3">
      <c r="A6" s="120"/>
      <c r="B6" s="120"/>
      <c r="C6" s="120"/>
      <c r="D6" s="50" t="s">
        <v>3</v>
      </c>
      <c r="E6" s="50" t="s">
        <v>4</v>
      </c>
      <c r="F6" s="51" t="s">
        <v>5</v>
      </c>
      <c r="G6" s="51" t="s">
        <v>6</v>
      </c>
      <c r="H6" s="94">
        <v>40969</v>
      </c>
      <c r="I6" s="51"/>
      <c r="J6" s="51"/>
      <c r="K6" s="51"/>
      <c r="L6" s="51"/>
      <c r="M6" s="51"/>
      <c r="N6" s="51" t="s">
        <v>7</v>
      </c>
      <c r="O6" s="51" t="s">
        <v>8</v>
      </c>
      <c r="P6" s="51" t="s">
        <v>9</v>
      </c>
      <c r="Q6" s="51" t="s">
        <v>10</v>
      </c>
      <c r="R6" s="51" t="s">
        <v>11</v>
      </c>
      <c r="S6" s="51" t="s">
        <v>12</v>
      </c>
      <c r="T6" s="51" t="s">
        <v>13</v>
      </c>
      <c r="U6" s="52"/>
      <c r="V6" s="52"/>
      <c r="W6" s="53" t="s">
        <v>239</v>
      </c>
    </row>
    <row r="7" spans="1:23" ht="20.100000000000001" customHeight="1" x14ac:dyDescent="0.3">
      <c r="A7" s="126"/>
      <c r="B7" s="126"/>
      <c r="C7" s="126"/>
      <c r="D7" s="50"/>
      <c r="E7" s="50" t="s">
        <v>16</v>
      </c>
      <c r="F7" s="51" t="s">
        <v>17</v>
      </c>
      <c r="G7" s="51" t="s">
        <v>18</v>
      </c>
      <c r="H7" s="51" t="s">
        <v>19</v>
      </c>
      <c r="I7" s="51" t="s">
        <v>20</v>
      </c>
      <c r="J7" s="51" t="s">
        <v>21</v>
      </c>
      <c r="K7" s="51" t="s">
        <v>22</v>
      </c>
      <c r="L7" s="51" t="s">
        <v>23</v>
      </c>
      <c r="M7" s="51" t="s">
        <v>24</v>
      </c>
      <c r="N7" s="51" t="s">
        <v>25</v>
      </c>
      <c r="O7" s="51" t="s">
        <v>26</v>
      </c>
      <c r="P7" s="51" t="s">
        <v>27</v>
      </c>
      <c r="Q7" s="51" t="s">
        <v>28</v>
      </c>
      <c r="R7" s="51" t="s">
        <v>28</v>
      </c>
      <c r="S7" s="51" t="s">
        <v>29</v>
      </c>
      <c r="T7" s="51" t="s">
        <v>17</v>
      </c>
      <c r="U7" s="51" t="s">
        <v>30</v>
      </c>
      <c r="V7" s="51"/>
      <c r="W7" s="53"/>
    </row>
    <row r="8" spans="1:23" ht="20.100000000000001" customHeight="1" x14ac:dyDescent="0.3">
      <c r="A8" s="127" t="s">
        <v>31</v>
      </c>
      <c r="B8" s="127"/>
      <c r="C8" s="127"/>
      <c r="D8" s="54"/>
      <c r="E8" s="54"/>
      <c r="F8" s="55" t="s">
        <v>32</v>
      </c>
      <c r="G8" s="55"/>
      <c r="H8" s="55"/>
      <c r="I8" s="55"/>
      <c r="J8" s="55" t="s">
        <v>32</v>
      </c>
      <c r="K8" s="55"/>
      <c r="L8" s="55"/>
      <c r="M8" s="55"/>
      <c r="N8" s="55"/>
      <c r="O8" s="55"/>
      <c r="P8" s="55"/>
      <c r="Q8" s="55"/>
      <c r="R8" s="55"/>
      <c r="S8" s="55"/>
      <c r="T8" s="55" t="s">
        <v>32</v>
      </c>
      <c r="U8" s="55" t="s">
        <v>32</v>
      </c>
      <c r="V8" s="55"/>
      <c r="W8" s="56" t="s">
        <v>32</v>
      </c>
    </row>
    <row r="9" spans="1:23" ht="20.100000000000001" customHeight="1" x14ac:dyDescent="0.3">
      <c r="A9" s="115" t="s">
        <v>33</v>
      </c>
      <c r="B9" s="115"/>
      <c r="C9" s="115"/>
      <c r="D9" s="57" t="s">
        <v>34</v>
      </c>
      <c r="E9" s="57" t="s">
        <v>35</v>
      </c>
      <c r="F9" s="58">
        <v>160488.75</v>
      </c>
      <c r="G9" s="58">
        <v>0</v>
      </c>
      <c r="H9" s="58"/>
      <c r="I9" s="58">
        <v>320977.5</v>
      </c>
      <c r="J9" s="58">
        <v>48146.63</v>
      </c>
      <c r="K9" s="58">
        <v>120366.57</v>
      </c>
      <c r="L9" s="58">
        <v>72219.94</v>
      </c>
      <c r="M9" s="58">
        <v>481466.25</v>
      </c>
      <c r="N9" s="58">
        <v>40122.19</v>
      </c>
      <c r="O9" s="58">
        <v>120366.57</v>
      </c>
      <c r="P9" s="58">
        <v>150000</v>
      </c>
      <c r="Q9" s="58">
        <v>16048.88</v>
      </c>
      <c r="R9" s="58">
        <v>25000</v>
      </c>
      <c r="S9" s="58">
        <v>25235</v>
      </c>
      <c r="T9" s="58">
        <f>SUM(F9:S9)</f>
        <v>1580438.2799999998</v>
      </c>
      <c r="U9" s="58">
        <v>0</v>
      </c>
      <c r="V9" s="58">
        <f t="shared" ref="V9:V14" si="0">T9-U9</f>
        <v>1580438.2799999998</v>
      </c>
      <c r="W9" s="59">
        <v>1880438.28</v>
      </c>
    </row>
    <row r="10" spans="1:23" ht="20.100000000000001" customHeight="1" x14ac:dyDescent="0.3">
      <c r="A10" s="115" t="s">
        <v>36</v>
      </c>
      <c r="B10" s="115"/>
      <c r="C10" s="115"/>
      <c r="D10" s="57" t="s">
        <v>37</v>
      </c>
      <c r="E10" s="88" t="s">
        <v>38</v>
      </c>
      <c r="F10" s="60">
        <f>F21</f>
        <v>39662.25</v>
      </c>
      <c r="G10" s="58">
        <v>0</v>
      </c>
      <c r="H10" s="58"/>
      <c r="I10" s="60">
        <f>I21</f>
        <v>118986.75</v>
      </c>
      <c r="J10" s="60">
        <f>J21</f>
        <v>2974.6687499999998</v>
      </c>
      <c r="K10" s="60">
        <f>K21</f>
        <v>40122.19</v>
      </c>
      <c r="L10" s="60">
        <f>F10*50%</f>
        <v>19831.125</v>
      </c>
      <c r="M10" s="60">
        <f>F10*350%</f>
        <v>138817.875</v>
      </c>
      <c r="N10" s="60">
        <v>0</v>
      </c>
      <c r="O10" s="60">
        <f>F10*100%</f>
        <v>39662.25</v>
      </c>
      <c r="P10" s="60">
        <v>0</v>
      </c>
      <c r="Q10" s="60">
        <f>F10*10%</f>
        <v>3966.2250000000004</v>
      </c>
      <c r="R10" s="60">
        <v>20000</v>
      </c>
      <c r="S10" s="60">
        <v>0</v>
      </c>
      <c r="T10" s="58">
        <f>SUM(F10:S10)</f>
        <v>424023.33374999999</v>
      </c>
      <c r="U10" s="58">
        <v>0</v>
      </c>
      <c r="V10" s="58">
        <f t="shared" si="0"/>
        <v>424023.33374999999</v>
      </c>
      <c r="W10" s="59">
        <f>T10-U10</f>
        <v>424023.33374999999</v>
      </c>
    </row>
    <row r="11" spans="1:23" ht="20.100000000000001" customHeight="1" x14ac:dyDescent="0.3">
      <c r="A11" s="115" t="s">
        <v>39</v>
      </c>
      <c r="B11" s="115"/>
      <c r="C11" s="115"/>
      <c r="D11" s="57" t="s">
        <v>40</v>
      </c>
      <c r="E11" s="88" t="s">
        <v>38</v>
      </c>
      <c r="F11" s="60">
        <f>F10</f>
        <v>39662.25</v>
      </c>
      <c r="G11" s="58">
        <v>0</v>
      </c>
      <c r="H11" s="58"/>
      <c r="I11" s="60">
        <f>I10</f>
        <v>118986.75</v>
      </c>
      <c r="J11" s="60">
        <f>J10</f>
        <v>2974.6687499999998</v>
      </c>
      <c r="K11" s="60">
        <v>40122.19</v>
      </c>
      <c r="L11" s="60">
        <v>19831.13</v>
      </c>
      <c r="M11" s="60">
        <v>138817.88</v>
      </c>
      <c r="N11" s="60">
        <v>0</v>
      </c>
      <c r="O11" s="60">
        <v>39662.25</v>
      </c>
      <c r="P11" s="60">
        <v>0</v>
      </c>
      <c r="Q11" s="60">
        <v>3966.23</v>
      </c>
      <c r="R11" s="60">
        <f>R10</f>
        <v>20000</v>
      </c>
      <c r="S11" s="60">
        <v>0</v>
      </c>
      <c r="T11" s="60">
        <v>424023.33</v>
      </c>
      <c r="U11" s="60">
        <v>0</v>
      </c>
      <c r="V11" s="58">
        <f t="shared" si="0"/>
        <v>424023.33</v>
      </c>
      <c r="W11" s="61">
        <v>424023.33</v>
      </c>
    </row>
    <row r="12" spans="1:23" ht="20.100000000000001" customHeight="1" x14ac:dyDescent="0.3">
      <c r="A12" s="118" t="s">
        <v>41</v>
      </c>
      <c r="B12" s="118"/>
      <c r="C12" s="118"/>
      <c r="D12" s="62" t="s">
        <v>42</v>
      </c>
      <c r="E12" s="89" t="s">
        <v>43</v>
      </c>
      <c r="F12" s="60">
        <v>31018.9</v>
      </c>
      <c r="G12" s="58">
        <v>0</v>
      </c>
      <c r="H12" s="58"/>
      <c r="I12" s="60">
        <f>F12*300%</f>
        <v>93056.700000000012</v>
      </c>
      <c r="J12" s="60">
        <f>F12*7.5%</f>
        <v>2326.4175</v>
      </c>
      <c r="K12" s="60">
        <f>K9/3</f>
        <v>40122.19</v>
      </c>
      <c r="L12" s="60">
        <f>F12*50%</f>
        <v>15509.45</v>
      </c>
      <c r="M12" s="60">
        <f>F12*350%</f>
        <v>108566.15000000001</v>
      </c>
      <c r="N12" s="60">
        <v>0</v>
      </c>
      <c r="O12" s="60">
        <f>F12*100%</f>
        <v>31018.9</v>
      </c>
      <c r="P12" s="60">
        <v>0</v>
      </c>
      <c r="Q12" s="60">
        <f>F12*10%</f>
        <v>3101.8900000000003</v>
      </c>
      <c r="R12" s="60">
        <v>20000</v>
      </c>
      <c r="S12" s="60">
        <v>0</v>
      </c>
      <c r="T12" s="58">
        <f>SUM(F12:S12)</f>
        <v>344720.59750000009</v>
      </c>
      <c r="U12" s="58">
        <v>0</v>
      </c>
      <c r="V12" s="58">
        <f t="shared" si="0"/>
        <v>344720.59750000009</v>
      </c>
      <c r="W12" s="59">
        <f>T12-U12</f>
        <v>344720.59750000009</v>
      </c>
    </row>
    <row r="13" spans="1:23" ht="20.100000000000001" customHeight="1" x14ac:dyDescent="0.3">
      <c r="A13" s="123" t="s">
        <v>44</v>
      </c>
      <c r="B13" s="124"/>
      <c r="C13" s="125"/>
      <c r="D13" s="96" t="s">
        <v>45</v>
      </c>
      <c r="E13" s="103" t="s">
        <v>46</v>
      </c>
      <c r="F13" s="98">
        <v>23891.119999999999</v>
      </c>
      <c r="G13" s="99">
        <v>252000</v>
      </c>
      <c r="H13" s="99"/>
      <c r="I13" s="98">
        <f>F13*300%</f>
        <v>71673.36</v>
      </c>
      <c r="J13" s="98">
        <f>F13*7.5%</f>
        <v>1791.8339999999998</v>
      </c>
      <c r="K13" s="98">
        <v>0</v>
      </c>
      <c r="L13" s="98">
        <f>F13*50%</f>
        <v>11945.56</v>
      </c>
      <c r="M13" s="98">
        <f>F13*350%</f>
        <v>83618.92</v>
      </c>
      <c r="N13" s="98">
        <v>0</v>
      </c>
      <c r="O13" s="98">
        <f>F13*100%</f>
        <v>23891.119999999999</v>
      </c>
      <c r="P13" s="98">
        <v>0</v>
      </c>
      <c r="Q13" s="98">
        <f>F13*10%</f>
        <v>2389.1120000000001</v>
      </c>
      <c r="R13" s="98">
        <v>15000</v>
      </c>
      <c r="S13" s="98">
        <v>0</v>
      </c>
      <c r="T13" s="99">
        <f>SUM(F13:S13)</f>
        <v>486201.02599999995</v>
      </c>
      <c r="U13" s="99">
        <v>0</v>
      </c>
      <c r="V13" s="99">
        <f t="shared" si="0"/>
        <v>486201.02599999995</v>
      </c>
      <c r="W13" s="95">
        <v>0</v>
      </c>
    </row>
    <row r="14" spans="1:23" ht="20.100000000000001" customHeight="1" x14ac:dyDescent="0.3">
      <c r="A14" s="118" t="s">
        <v>47</v>
      </c>
      <c r="B14" s="118"/>
      <c r="C14" s="118"/>
      <c r="D14" s="62" t="s">
        <v>48</v>
      </c>
      <c r="E14" s="90" t="s">
        <v>49</v>
      </c>
      <c r="F14" s="60">
        <v>18234.419999999998</v>
      </c>
      <c r="G14" s="58">
        <v>0</v>
      </c>
      <c r="H14" s="58"/>
      <c r="I14" s="60">
        <f>F14*300%</f>
        <v>54703.259999999995</v>
      </c>
      <c r="J14" s="60">
        <f>F14*7.5%</f>
        <v>1367.5814999999998</v>
      </c>
      <c r="K14" s="60">
        <v>0</v>
      </c>
      <c r="L14" s="60">
        <f>F14*50%</f>
        <v>9117.2099999999991</v>
      </c>
      <c r="M14" s="58">
        <f>F14*350%</f>
        <v>63820.469999999994</v>
      </c>
      <c r="N14" s="60">
        <v>0</v>
      </c>
      <c r="O14" s="60">
        <f>F14*100%</f>
        <v>18234.419999999998</v>
      </c>
      <c r="P14" s="60">
        <v>0</v>
      </c>
      <c r="Q14" s="60">
        <f>F14*10%</f>
        <v>1823.442</v>
      </c>
      <c r="R14" s="60">
        <v>15000</v>
      </c>
      <c r="S14" s="60">
        <v>0</v>
      </c>
      <c r="T14" s="58">
        <f>SUM(F14:S14)</f>
        <v>182300.80350000001</v>
      </c>
      <c r="U14" s="58">
        <v>0</v>
      </c>
      <c r="V14" s="58">
        <f t="shared" si="0"/>
        <v>182300.80350000001</v>
      </c>
      <c r="W14" s="59">
        <f>T14-U14</f>
        <v>182300.80350000001</v>
      </c>
    </row>
    <row r="15" spans="1:23" ht="20.100000000000001" customHeight="1" x14ac:dyDescent="0.3">
      <c r="A15" s="115" t="s">
        <v>50</v>
      </c>
      <c r="B15" s="115"/>
      <c r="C15" s="115"/>
      <c r="D15" s="57" t="s">
        <v>51</v>
      </c>
      <c r="E15" s="88" t="s">
        <v>52</v>
      </c>
      <c r="F15" s="58">
        <v>12351.94</v>
      </c>
      <c r="G15" s="58">
        <v>0</v>
      </c>
      <c r="H15" s="58"/>
      <c r="I15" s="60">
        <f>F15*300%</f>
        <v>37055.82</v>
      </c>
      <c r="J15" s="60">
        <f>F15*7.5%</f>
        <v>926.39549999999997</v>
      </c>
      <c r="K15" s="58">
        <v>0</v>
      </c>
      <c r="L15" s="60">
        <f>F15*50%</f>
        <v>6175.97</v>
      </c>
      <c r="M15" s="58">
        <f>F15*350%</f>
        <v>43231.79</v>
      </c>
      <c r="N15" s="60">
        <v>0</v>
      </c>
      <c r="O15" s="60">
        <f>F15*100%</f>
        <v>12351.94</v>
      </c>
      <c r="P15" s="60">
        <v>0</v>
      </c>
      <c r="Q15" s="60">
        <f>F15*10%</f>
        <v>1235.1940000000002</v>
      </c>
      <c r="R15" s="60">
        <v>10000</v>
      </c>
      <c r="S15" s="60">
        <v>0</v>
      </c>
      <c r="T15" s="58">
        <f>SUM(F15:S15)</f>
        <v>123329.04950000001</v>
      </c>
      <c r="V15" s="58">
        <f>T15-U16</f>
        <v>123329.04950000001</v>
      </c>
      <c r="W15" s="59">
        <v>105890.22</v>
      </c>
    </row>
    <row r="16" spans="1:23" ht="20.100000000000001" customHeight="1" x14ac:dyDescent="0.3">
      <c r="A16" s="131" t="s">
        <v>53</v>
      </c>
      <c r="B16" s="132"/>
      <c r="C16" s="133"/>
      <c r="D16" s="101" t="s">
        <v>54</v>
      </c>
      <c r="E16" s="102" t="s">
        <v>52</v>
      </c>
      <c r="F16" s="99">
        <v>12351.94</v>
      </c>
      <c r="G16" s="99">
        <v>252000</v>
      </c>
      <c r="H16" s="99"/>
      <c r="I16" s="98">
        <f>F16*300%</f>
        <v>37055.82</v>
      </c>
      <c r="J16" s="98">
        <f>F16*7.5%</f>
        <v>926.39549999999997</v>
      </c>
      <c r="K16" s="99"/>
      <c r="L16" s="98">
        <f>F16*50%</f>
        <v>6175.97</v>
      </c>
      <c r="M16" s="99">
        <f>F16*350%</f>
        <v>43231.79</v>
      </c>
      <c r="N16" s="98"/>
      <c r="O16" s="98">
        <f>F16*100%</f>
        <v>12351.94</v>
      </c>
      <c r="P16" s="98">
        <v>0</v>
      </c>
      <c r="Q16" s="98">
        <f>F16*10%</f>
        <v>1235.1940000000002</v>
      </c>
      <c r="R16" s="98">
        <v>10000</v>
      </c>
      <c r="S16" s="98">
        <v>0</v>
      </c>
      <c r="T16" s="99">
        <f>SUM(F16:S16)</f>
        <v>375329.04949999996</v>
      </c>
      <c r="U16" s="99">
        <v>0</v>
      </c>
      <c r="V16" s="99">
        <f>T16-U17</f>
        <v>375329.04949999996</v>
      </c>
      <c r="W16" s="95">
        <v>0</v>
      </c>
    </row>
    <row r="17" spans="1:23" ht="18.75" customHeight="1" x14ac:dyDescent="0.3">
      <c r="A17" s="142" t="s">
        <v>55</v>
      </c>
      <c r="B17" s="142"/>
      <c r="C17" s="142"/>
      <c r="D17" s="52">
        <v>8</v>
      </c>
      <c r="E17" s="90"/>
      <c r="F17" s="65">
        <f>SUM(F9:F16)</f>
        <v>337661.57</v>
      </c>
      <c r="G17" s="65">
        <f t="shared" ref="G17:T17" si="1">SUM(G9:G16)</f>
        <v>504000</v>
      </c>
      <c r="H17" s="65">
        <f t="shared" si="1"/>
        <v>0</v>
      </c>
      <c r="I17" s="65">
        <f t="shared" si="1"/>
        <v>852495.95999999985</v>
      </c>
      <c r="J17" s="65">
        <f t="shared" si="1"/>
        <v>61434.591499999995</v>
      </c>
      <c r="K17" s="65">
        <f t="shared" si="1"/>
        <v>240733.14</v>
      </c>
      <c r="L17" s="65">
        <f t="shared" si="1"/>
        <v>160806.35500000001</v>
      </c>
      <c r="M17" s="65">
        <f t="shared" si="1"/>
        <v>1101571.125</v>
      </c>
      <c r="N17" s="65">
        <f t="shared" si="1"/>
        <v>40122.19</v>
      </c>
      <c r="O17" s="65">
        <f t="shared" si="1"/>
        <v>297539.39</v>
      </c>
      <c r="P17" s="65">
        <f t="shared" si="1"/>
        <v>150000</v>
      </c>
      <c r="Q17" s="65">
        <f t="shared" si="1"/>
        <v>33766.167000000001</v>
      </c>
      <c r="R17" s="65">
        <f t="shared" si="1"/>
        <v>135000</v>
      </c>
      <c r="S17" s="65">
        <f t="shared" si="1"/>
        <v>25235</v>
      </c>
      <c r="T17" s="65">
        <f t="shared" si="1"/>
        <v>3940365.4697500002</v>
      </c>
      <c r="U17" s="65">
        <f>SUM(U9:U16)</f>
        <v>0</v>
      </c>
      <c r="V17" s="65">
        <f>SUM(V9:V16)</f>
        <v>3940365.4697500002</v>
      </c>
      <c r="W17" s="66">
        <f>SUM(W9:W16)</f>
        <v>3361396.5647500004</v>
      </c>
    </row>
    <row r="18" spans="1:23" ht="19.5" hidden="1" customHeight="1" x14ac:dyDescent="0.3">
      <c r="A18" s="143"/>
      <c r="B18" s="143"/>
      <c r="C18" s="143"/>
      <c r="D18" s="62"/>
      <c r="E18" s="90"/>
      <c r="F18" s="65"/>
      <c r="G18" s="58">
        <v>0</v>
      </c>
      <c r="H18" s="58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7"/>
    </row>
    <row r="19" spans="1:23" ht="19.5" customHeight="1" x14ac:dyDescent="0.3">
      <c r="A19" s="62"/>
      <c r="B19" s="62"/>
      <c r="C19" s="62"/>
      <c r="D19" s="62"/>
      <c r="E19" s="90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7"/>
    </row>
    <row r="20" spans="1:23" ht="20.100000000000001" customHeight="1" x14ac:dyDescent="0.3">
      <c r="A20" s="141" t="s">
        <v>56</v>
      </c>
      <c r="B20" s="141"/>
      <c r="C20" s="141"/>
      <c r="D20" s="68"/>
      <c r="E20" s="51"/>
      <c r="F20" s="65"/>
      <c r="G20" s="65"/>
      <c r="H20" s="65"/>
      <c r="I20" s="65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69"/>
      <c r="U20" s="69"/>
      <c r="V20" s="69"/>
      <c r="W20" s="59"/>
    </row>
    <row r="21" spans="1:23" ht="20.100000000000001" customHeight="1" x14ac:dyDescent="0.3">
      <c r="A21" s="70" t="s">
        <v>57</v>
      </c>
      <c r="B21" s="70"/>
      <c r="C21" s="70"/>
      <c r="D21" s="57" t="s">
        <v>58</v>
      </c>
      <c r="E21" s="88" t="s">
        <v>38</v>
      </c>
      <c r="F21" s="60">
        <v>39662.25</v>
      </c>
      <c r="G21" s="60">
        <v>0</v>
      </c>
      <c r="H21" s="60"/>
      <c r="I21" s="60">
        <f>F21*300%</f>
        <v>118986.75</v>
      </c>
      <c r="J21" s="60">
        <f>F21*7.5%</f>
        <v>2974.6687499999998</v>
      </c>
      <c r="K21" s="60">
        <f>K12</f>
        <v>40122.19</v>
      </c>
      <c r="L21" s="60">
        <f>F21*50%</f>
        <v>19831.125</v>
      </c>
      <c r="M21" s="60">
        <f>F21*350%</f>
        <v>138817.875</v>
      </c>
      <c r="N21" s="60">
        <v>0</v>
      </c>
      <c r="O21" s="60">
        <f>F21*100%</f>
        <v>39662.25</v>
      </c>
      <c r="P21" s="60">
        <v>100000</v>
      </c>
      <c r="Q21" s="60">
        <f>F21*10%</f>
        <v>3966.2250000000004</v>
      </c>
      <c r="R21" s="60">
        <v>20000</v>
      </c>
      <c r="S21" s="60">
        <v>0</v>
      </c>
      <c r="T21" s="58">
        <f>SUM(F21:S21)</f>
        <v>524023.33374999999</v>
      </c>
      <c r="U21" s="60">
        <v>0</v>
      </c>
      <c r="V21" s="60">
        <f>T21-U21</f>
        <v>524023.33374999999</v>
      </c>
      <c r="W21" s="59">
        <v>724023.33</v>
      </c>
    </row>
    <row r="22" spans="1:23" ht="20.100000000000001" customHeight="1" x14ac:dyDescent="0.3">
      <c r="A22" s="134" t="s">
        <v>55</v>
      </c>
      <c r="B22" s="134"/>
      <c r="C22" s="134"/>
      <c r="D22" s="52">
        <v>1</v>
      </c>
      <c r="E22" s="52"/>
      <c r="F22" s="71">
        <f t="shared" ref="F22:W22" si="2">SUM(F21)</f>
        <v>39662.25</v>
      </c>
      <c r="G22" s="60">
        <v>0</v>
      </c>
      <c r="H22" s="60">
        <v>0</v>
      </c>
      <c r="I22" s="71">
        <f t="shared" si="2"/>
        <v>118986.75</v>
      </c>
      <c r="J22" s="71">
        <f t="shared" si="2"/>
        <v>2974.6687499999998</v>
      </c>
      <c r="K22" s="71">
        <f t="shared" si="2"/>
        <v>40122.19</v>
      </c>
      <c r="L22" s="71">
        <f t="shared" si="2"/>
        <v>19831.125</v>
      </c>
      <c r="M22" s="71">
        <f t="shared" si="2"/>
        <v>138817.875</v>
      </c>
      <c r="N22" s="71">
        <f t="shared" si="2"/>
        <v>0</v>
      </c>
      <c r="O22" s="71">
        <f t="shared" si="2"/>
        <v>39662.25</v>
      </c>
      <c r="P22" s="71">
        <f>SUM(P21)</f>
        <v>100000</v>
      </c>
      <c r="Q22" s="71">
        <f t="shared" si="2"/>
        <v>3966.2250000000004</v>
      </c>
      <c r="R22" s="71">
        <f t="shared" si="2"/>
        <v>20000</v>
      </c>
      <c r="S22" s="71">
        <f t="shared" si="2"/>
        <v>0</v>
      </c>
      <c r="T22" s="72">
        <f t="shared" si="2"/>
        <v>524023.33374999999</v>
      </c>
      <c r="U22" s="71">
        <f t="shared" si="2"/>
        <v>0</v>
      </c>
      <c r="V22" s="71">
        <f>SUM(V21)</f>
        <v>524023.33374999999</v>
      </c>
      <c r="W22" s="73">
        <f t="shared" si="2"/>
        <v>724023.33</v>
      </c>
    </row>
    <row r="23" spans="1:23" ht="20.100000000000001" customHeight="1" x14ac:dyDescent="0.3">
      <c r="A23" s="138"/>
      <c r="B23" s="139"/>
      <c r="C23" s="140"/>
      <c r="D23" s="52"/>
      <c r="E23" s="52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2"/>
      <c r="U23" s="71"/>
      <c r="V23" s="71"/>
      <c r="W23" s="73"/>
    </row>
    <row r="24" spans="1:23" ht="20.100000000000001" customHeight="1" x14ac:dyDescent="0.3">
      <c r="A24" s="74" t="s">
        <v>59</v>
      </c>
      <c r="B24" s="74"/>
      <c r="C24" s="74"/>
      <c r="D24" s="74"/>
      <c r="E24" s="52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71"/>
      <c r="V24" s="71"/>
      <c r="W24" s="73"/>
    </row>
    <row r="25" spans="1:23" ht="20.100000000000001" customHeight="1" x14ac:dyDescent="0.3">
      <c r="A25" s="115" t="s">
        <v>60</v>
      </c>
      <c r="B25" s="115"/>
      <c r="C25" s="115"/>
      <c r="D25" s="62" t="s">
        <v>61</v>
      </c>
      <c r="E25" s="90" t="s">
        <v>38</v>
      </c>
      <c r="F25" s="60">
        <f>F21</f>
        <v>39662.25</v>
      </c>
      <c r="G25" s="60">
        <v>0</v>
      </c>
      <c r="H25" s="60"/>
      <c r="I25" s="60">
        <f t="shared" ref="I25:L26" si="3">I21</f>
        <v>118986.75</v>
      </c>
      <c r="J25" s="60">
        <f t="shared" si="3"/>
        <v>2974.6687499999998</v>
      </c>
      <c r="K25" s="60">
        <f t="shared" si="3"/>
        <v>40122.19</v>
      </c>
      <c r="L25" s="60">
        <f t="shared" si="3"/>
        <v>19831.125</v>
      </c>
      <c r="M25" s="60">
        <f>F25*350%</f>
        <v>138817.875</v>
      </c>
      <c r="N25" s="60">
        <v>0</v>
      </c>
      <c r="O25" s="60">
        <f>F25*100%</f>
        <v>39662.25</v>
      </c>
      <c r="P25" s="60">
        <f>P21</f>
        <v>100000</v>
      </c>
      <c r="Q25" s="60">
        <f>F25*10%</f>
        <v>3966.2250000000004</v>
      </c>
      <c r="R25" s="60">
        <v>20000</v>
      </c>
      <c r="S25" s="60">
        <v>0</v>
      </c>
      <c r="T25" s="58">
        <f>SUM(F25:S25)</f>
        <v>524023.33374999999</v>
      </c>
      <c r="U25" s="60">
        <v>0</v>
      </c>
      <c r="V25" s="60">
        <f>T25-U25</f>
        <v>524023.33374999999</v>
      </c>
      <c r="W25" s="59">
        <v>724023.33</v>
      </c>
    </row>
    <row r="26" spans="1:23" ht="20.100000000000001" customHeight="1" x14ac:dyDescent="0.3">
      <c r="A26" s="135" t="s">
        <v>62</v>
      </c>
      <c r="B26" s="136"/>
      <c r="C26" s="137"/>
      <c r="D26" s="62" t="s">
        <v>63</v>
      </c>
      <c r="E26" s="91" t="s">
        <v>38</v>
      </c>
      <c r="F26" s="60">
        <f>F22</f>
        <v>39662.25</v>
      </c>
      <c r="G26" s="60">
        <v>0</v>
      </c>
      <c r="H26" s="60"/>
      <c r="I26" s="60">
        <f t="shared" si="3"/>
        <v>118986.75</v>
      </c>
      <c r="J26" s="60">
        <f t="shared" si="3"/>
        <v>2974.6687499999998</v>
      </c>
      <c r="K26" s="60">
        <f t="shared" si="3"/>
        <v>40122.19</v>
      </c>
      <c r="L26" s="60">
        <f t="shared" si="3"/>
        <v>19831.125</v>
      </c>
      <c r="M26" s="60">
        <f>F26*350%</f>
        <v>138817.875</v>
      </c>
      <c r="N26" s="60">
        <v>0</v>
      </c>
      <c r="O26" s="60">
        <f>F26*100%</f>
        <v>39662.25</v>
      </c>
      <c r="P26" s="60">
        <f>P22</f>
        <v>100000</v>
      </c>
      <c r="Q26" s="60">
        <f>F26*10%</f>
        <v>3966.2250000000004</v>
      </c>
      <c r="R26" s="60">
        <v>20000</v>
      </c>
      <c r="S26" s="60">
        <v>0</v>
      </c>
      <c r="T26" s="58">
        <f>SUM(F26:S26)</f>
        <v>524023.33374999999</v>
      </c>
      <c r="U26" s="60">
        <f>U22</f>
        <v>0</v>
      </c>
      <c r="V26" s="60">
        <f>T26-U26</f>
        <v>524023.33374999999</v>
      </c>
      <c r="W26" s="59">
        <v>724023.33</v>
      </c>
    </row>
    <row r="27" spans="1:23" ht="20.100000000000001" customHeight="1" x14ac:dyDescent="0.3">
      <c r="A27" s="115" t="s">
        <v>64</v>
      </c>
      <c r="B27" s="115"/>
      <c r="C27" s="115"/>
      <c r="D27" s="62" t="s">
        <v>65</v>
      </c>
      <c r="E27" s="90" t="s">
        <v>66</v>
      </c>
      <c r="F27" s="60">
        <v>33507.5</v>
      </c>
      <c r="G27" s="60">
        <v>0</v>
      </c>
      <c r="H27" s="60"/>
      <c r="I27" s="60">
        <f>F27*300%</f>
        <v>100522.5</v>
      </c>
      <c r="J27" s="60">
        <f>F27*7.5%</f>
        <v>2513.0625</v>
      </c>
      <c r="K27" s="60">
        <f>K12</f>
        <v>40122.19</v>
      </c>
      <c r="L27" s="60">
        <f>F27*50%</f>
        <v>16753.75</v>
      </c>
      <c r="M27" s="60">
        <f>F27*350%</f>
        <v>117276.25</v>
      </c>
      <c r="N27" s="60">
        <v>0</v>
      </c>
      <c r="O27" s="60">
        <f>F27*100%</f>
        <v>33507.5</v>
      </c>
      <c r="P27" s="60">
        <v>100000</v>
      </c>
      <c r="Q27" s="60">
        <f>F27*10%</f>
        <v>3350.75</v>
      </c>
      <c r="R27" s="60">
        <v>20000</v>
      </c>
      <c r="S27" s="60">
        <v>0</v>
      </c>
      <c r="T27" s="58">
        <f>SUM(F27:S27)</f>
        <v>467553.5025</v>
      </c>
      <c r="U27" s="60">
        <v>0</v>
      </c>
      <c r="V27" s="60">
        <f>T27-U27</f>
        <v>467553.5025</v>
      </c>
      <c r="W27" s="59">
        <v>667553.5</v>
      </c>
    </row>
    <row r="28" spans="1:23" ht="20.100000000000001" customHeight="1" x14ac:dyDescent="0.3">
      <c r="A28" s="131" t="s">
        <v>67</v>
      </c>
      <c r="B28" s="132"/>
      <c r="C28" s="133"/>
      <c r="D28" s="96" t="s">
        <v>68</v>
      </c>
      <c r="E28" s="97" t="s">
        <v>46</v>
      </c>
      <c r="F28" s="98">
        <v>23891.119999999999</v>
      </c>
      <c r="G28" s="98">
        <v>252000</v>
      </c>
      <c r="H28" s="98">
        <v>131762</v>
      </c>
      <c r="I28" s="98">
        <f>F28*300%</f>
        <v>71673.36</v>
      </c>
      <c r="J28" s="98">
        <f>F28*7.5%</f>
        <v>1791.8339999999998</v>
      </c>
      <c r="K28" s="98">
        <f>K13</f>
        <v>0</v>
      </c>
      <c r="L28" s="98">
        <f>F28*50%</f>
        <v>11945.56</v>
      </c>
      <c r="M28" s="98">
        <f>F28*350%</f>
        <v>83618.92</v>
      </c>
      <c r="N28" s="98">
        <v>0</v>
      </c>
      <c r="O28" s="98">
        <f>F28*100%</f>
        <v>23891.119999999999</v>
      </c>
      <c r="P28" s="98">
        <v>80000</v>
      </c>
      <c r="Q28" s="98">
        <f>F28*10%</f>
        <v>2389.1120000000001</v>
      </c>
      <c r="R28" s="98">
        <v>15000</v>
      </c>
      <c r="S28" s="98">
        <v>0</v>
      </c>
      <c r="T28" s="99">
        <f>SUM(F28:S28)</f>
        <v>697963.02599999995</v>
      </c>
      <c r="U28" s="98">
        <v>0</v>
      </c>
      <c r="V28" s="98">
        <f>T28-U28</f>
        <v>697963.02599999995</v>
      </c>
      <c r="W28" s="100">
        <v>0</v>
      </c>
    </row>
    <row r="29" spans="1:23" ht="20.100000000000001" customHeight="1" x14ac:dyDescent="0.3">
      <c r="A29" s="128" t="s">
        <v>69</v>
      </c>
      <c r="B29" s="129"/>
      <c r="C29" s="130"/>
      <c r="D29" s="96" t="s">
        <v>70</v>
      </c>
      <c r="E29" s="97" t="s">
        <v>71</v>
      </c>
      <c r="F29" s="98">
        <v>17286.330000000002</v>
      </c>
      <c r="G29" s="98">
        <v>252000</v>
      </c>
      <c r="H29" s="98"/>
      <c r="I29" s="98">
        <f>F29*300%</f>
        <v>51858.990000000005</v>
      </c>
      <c r="J29" s="98">
        <f>F29*7.5%</f>
        <v>1296.4747500000001</v>
      </c>
      <c r="K29" s="98">
        <f>K13</f>
        <v>0</v>
      </c>
      <c r="L29" s="98">
        <f>F29*50%</f>
        <v>8643.1650000000009</v>
      </c>
      <c r="M29" s="98">
        <f>F29*350%</f>
        <v>60502.155000000006</v>
      </c>
      <c r="N29" s="98">
        <v>0</v>
      </c>
      <c r="O29" s="98">
        <f>F29*100%</f>
        <v>17286.330000000002</v>
      </c>
      <c r="P29" s="98">
        <v>40000</v>
      </c>
      <c r="Q29" s="98">
        <f>F29*10%</f>
        <v>1728.6330000000003</v>
      </c>
      <c r="R29" s="98">
        <v>10000</v>
      </c>
      <c r="S29" s="98">
        <v>0</v>
      </c>
      <c r="T29" s="99">
        <f>SUM(F29:S29)</f>
        <v>460602.07775</v>
      </c>
      <c r="U29" s="98"/>
      <c r="V29" s="98">
        <v>0</v>
      </c>
      <c r="W29" s="100">
        <v>0</v>
      </c>
    </row>
    <row r="30" spans="1:23" ht="20.100000000000001" customHeight="1" x14ac:dyDescent="0.3">
      <c r="A30" s="134" t="s">
        <v>55</v>
      </c>
      <c r="B30" s="134"/>
      <c r="C30" s="134"/>
      <c r="D30" s="52">
        <v>5</v>
      </c>
      <c r="E30" s="52"/>
      <c r="F30" s="71">
        <f>SUM(F25:F29)</f>
        <v>154009.45000000001</v>
      </c>
      <c r="G30" s="71">
        <f t="shared" ref="G30:V30" si="4">SUM(G25:G29)</f>
        <v>504000</v>
      </c>
      <c r="H30" s="71">
        <f t="shared" si="4"/>
        <v>131762</v>
      </c>
      <c r="I30" s="71">
        <f t="shared" si="4"/>
        <v>462028.35</v>
      </c>
      <c r="J30" s="71">
        <f t="shared" si="4"/>
        <v>11550.70875</v>
      </c>
      <c r="K30" s="71">
        <f t="shared" si="4"/>
        <v>120366.57</v>
      </c>
      <c r="L30" s="71">
        <f t="shared" si="4"/>
        <v>77004.725000000006</v>
      </c>
      <c r="M30" s="71">
        <f t="shared" si="4"/>
        <v>539033.07499999995</v>
      </c>
      <c r="N30" s="71">
        <f t="shared" si="4"/>
        <v>0</v>
      </c>
      <c r="O30" s="71">
        <f t="shared" si="4"/>
        <v>154009.45000000001</v>
      </c>
      <c r="P30" s="71">
        <f t="shared" si="4"/>
        <v>420000</v>
      </c>
      <c r="Q30" s="71">
        <f t="shared" si="4"/>
        <v>15400.945000000002</v>
      </c>
      <c r="R30" s="71">
        <f t="shared" si="4"/>
        <v>85000</v>
      </c>
      <c r="S30" s="71">
        <f t="shared" si="4"/>
        <v>0</v>
      </c>
      <c r="T30" s="71">
        <f t="shared" si="4"/>
        <v>2674165.2737500002</v>
      </c>
      <c r="U30" s="71">
        <f t="shared" si="4"/>
        <v>0</v>
      </c>
      <c r="V30" s="71">
        <f t="shared" si="4"/>
        <v>2213563.196</v>
      </c>
      <c r="W30" s="73">
        <f>SUM(W25:W29)</f>
        <v>2115600.16</v>
      </c>
    </row>
    <row r="31" spans="1:23" ht="20.100000000000001" customHeight="1" x14ac:dyDescent="0.3">
      <c r="A31" s="76"/>
      <c r="B31" s="77"/>
      <c r="C31" s="78"/>
      <c r="D31" s="52"/>
      <c r="E31" s="52"/>
      <c r="F31" s="71"/>
      <c r="G31" s="60"/>
      <c r="H31" s="60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2"/>
      <c r="U31" s="71"/>
      <c r="V31" s="71"/>
      <c r="W31" s="73"/>
    </row>
    <row r="32" spans="1:23" ht="20.100000000000001" customHeight="1" x14ac:dyDescent="0.3">
      <c r="A32" s="105" t="s">
        <v>72</v>
      </c>
      <c r="B32" s="106"/>
      <c r="C32" s="107"/>
      <c r="D32" s="52"/>
      <c r="E32" s="52"/>
      <c r="F32" s="71"/>
      <c r="G32" s="60"/>
      <c r="H32" s="60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2"/>
      <c r="U32" s="71"/>
      <c r="V32" s="71"/>
      <c r="W32" s="73"/>
    </row>
    <row r="33" spans="1:23" ht="20.100000000000001" customHeight="1" x14ac:dyDescent="0.3">
      <c r="A33" s="135" t="s">
        <v>73</v>
      </c>
      <c r="B33" s="136"/>
      <c r="C33" s="137"/>
      <c r="D33" s="57" t="s">
        <v>74</v>
      </c>
      <c r="E33" s="88" t="s">
        <v>75</v>
      </c>
      <c r="F33" s="60">
        <f>'17.7'!E4</f>
        <v>76339.3</v>
      </c>
      <c r="G33" s="60">
        <v>0</v>
      </c>
      <c r="H33" s="60"/>
      <c r="I33" s="60">
        <f t="shared" ref="I33:I64" si="5">F33*300%</f>
        <v>229017.90000000002</v>
      </c>
      <c r="J33" s="60">
        <f t="shared" ref="J33:J41" si="6">F33*7.5%</f>
        <v>5725.4475000000002</v>
      </c>
      <c r="K33" s="60">
        <f>'17.7'!E7</f>
        <v>80244.38</v>
      </c>
      <c r="L33" s="60">
        <f t="shared" ref="L33:L64" si="7">F33*50%</f>
        <v>38169.65</v>
      </c>
      <c r="M33" s="60">
        <f t="shared" ref="M33:M64" si="8">F33*350%</f>
        <v>267187.55</v>
      </c>
      <c r="N33" s="60">
        <v>0</v>
      </c>
      <c r="O33" s="60">
        <f t="shared" ref="O33:O64" si="9">F33*100%</f>
        <v>76339.3</v>
      </c>
      <c r="P33" s="60">
        <v>0</v>
      </c>
      <c r="Q33" s="60">
        <f t="shared" ref="Q33:Q64" si="10">F33*10%</f>
        <v>7633.93</v>
      </c>
      <c r="R33" s="60">
        <v>20000</v>
      </c>
      <c r="S33" s="60">
        <v>0</v>
      </c>
      <c r="T33" s="58">
        <f t="shared" ref="T33:T71" si="11">SUM(F33:S33)</f>
        <v>800657.45750000014</v>
      </c>
      <c r="U33" s="60">
        <v>0</v>
      </c>
      <c r="V33" s="60">
        <f>T33-U33</f>
        <v>800657.45750000014</v>
      </c>
      <c r="W33" s="59">
        <v>712778.05</v>
      </c>
    </row>
    <row r="34" spans="1:23" ht="20.100000000000001" customHeight="1" x14ac:dyDescent="0.3">
      <c r="A34" s="115" t="s">
        <v>76</v>
      </c>
      <c r="B34" s="115"/>
      <c r="C34" s="115"/>
      <c r="D34" s="57" t="s">
        <v>77</v>
      </c>
      <c r="E34" s="88" t="s">
        <v>38</v>
      </c>
      <c r="F34" s="60">
        <v>39662.25</v>
      </c>
      <c r="G34" s="60">
        <v>0</v>
      </c>
      <c r="H34" s="60"/>
      <c r="I34" s="60">
        <f>F34*300%</f>
        <v>118986.75</v>
      </c>
      <c r="J34" s="60">
        <f t="shared" si="6"/>
        <v>2974.6687499999998</v>
      </c>
      <c r="K34" s="60">
        <f>K26</f>
        <v>40122.19</v>
      </c>
      <c r="L34" s="60">
        <f>F34*50%</f>
        <v>19831.125</v>
      </c>
      <c r="M34" s="60">
        <f>F34*350%</f>
        <v>138817.875</v>
      </c>
      <c r="N34" s="60">
        <v>0</v>
      </c>
      <c r="O34" s="60">
        <f>F34*100%</f>
        <v>39662.25</v>
      </c>
      <c r="P34" s="60">
        <v>0</v>
      </c>
      <c r="Q34" s="60">
        <f>F34*10%</f>
        <v>3966.2250000000004</v>
      </c>
      <c r="R34" s="60">
        <v>20000</v>
      </c>
      <c r="S34" s="60">
        <v>0</v>
      </c>
      <c r="T34" s="58">
        <f>SUM(F34:S34)</f>
        <v>424023.33374999999</v>
      </c>
      <c r="U34" s="60">
        <v>0</v>
      </c>
      <c r="V34" s="60">
        <f t="shared" ref="V34:V80" si="12">T34-U34</f>
        <v>424023.33374999999</v>
      </c>
      <c r="W34" s="59">
        <f>T34-U34</f>
        <v>424023.33374999999</v>
      </c>
    </row>
    <row r="35" spans="1:23" ht="20.100000000000001" customHeight="1" x14ac:dyDescent="0.3">
      <c r="A35" s="115" t="s">
        <v>78</v>
      </c>
      <c r="B35" s="115"/>
      <c r="C35" s="115"/>
      <c r="D35" s="57" t="s">
        <v>79</v>
      </c>
      <c r="E35" s="88" t="s">
        <v>38</v>
      </c>
      <c r="F35" s="60">
        <v>39662.25</v>
      </c>
      <c r="G35" s="60">
        <v>0</v>
      </c>
      <c r="H35" s="60"/>
      <c r="I35" s="60">
        <f t="shared" si="5"/>
        <v>118986.75</v>
      </c>
      <c r="J35" s="60">
        <f t="shared" si="6"/>
        <v>2974.6687499999998</v>
      </c>
      <c r="K35" s="60">
        <f>K27</f>
        <v>40122.19</v>
      </c>
      <c r="L35" s="60">
        <f t="shared" si="7"/>
        <v>19831.125</v>
      </c>
      <c r="M35" s="60">
        <f t="shared" si="8"/>
        <v>138817.875</v>
      </c>
      <c r="N35" s="60">
        <v>0</v>
      </c>
      <c r="O35" s="60">
        <f t="shared" si="9"/>
        <v>39662.25</v>
      </c>
      <c r="P35" s="60">
        <v>0</v>
      </c>
      <c r="Q35" s="60">
        <f t="shared" si="10"/>
        <v>3966.2250000000004</v>
      </c>
      <c r="R35" s="60">
        <v>20000</v>
      </c>
      <c r="S35" s="60">
        <v>0</v>
      </c>
      <c r="T35" s="60">
        <f t="shared" si="11"/>
        <v>424023.33374999999</v>
      </c>
      <c r="U35" s="60">
        <v>0</v>
      </c>
      <c r="V35" s="60">
        <f t="shared" si="12"/>
        <v>424023.33374999999</v>
      </c>
      <c r="W35" s="59">
        <f>T35-U35</f>
        <v>424023.33374999999</v>
      </c>
    </row>
    <row r="36" spans="1:23" ht="20.100000000000001" customHeight="1" x14ac:dyDescent="0.3">
      <c r="A36" s="128" t="s">
        <v>80</v>
      </c>
      <c r="B36" s="129"/>
      <c r="C36" s="130"/>
      <c r="D36" s="101" t="s">
        <v>81</v>
      </c>
      <c r="E36" s="102" t="s">
        <v>43</v>
      </c>
      <c r="F36" s="98">
        <v>31018.9</v>
      </c>
      <c r="G36" s="98">
        <v>364000</v>
      </c>
      <c r="H36" s="98"/>
      <c r="I36" s="98">
        <f t="shared" si="5"/>
        <v>93056.700000000012</v>
      </c>
      <c r="J36" s="98">
        <f t="shared" si="6"/>
        <v>2326.4175</v>
      </c>
      <c r="K36" s="98">
        <f>K35</f>
        <v>40122.19</v>
      </c>
      <c r="L36" s="98">
        <f t="shared" si="7"/>
        <v>15509.45</v>
      </c>
      <c r="M36" s="98">
        <f>F36*350%</f>
        <v>108566.15000000001</v>
      </c>
      <c r="N36" s="98">
        <v>0</v>
      </c>
      <c r="O36" s="98">
        <f t="shared" si="9"/>
        <v>31018.9</v>
      </c>
      <c r="P36" s="98">
        <v>0</v>
      </c>
      <c r="Q36" s="98">
        <f t="shared" si="10"/>
        <v>3101.8900000000003</v>
      </c>
      <c r="R36" s="98">
        <v>20000</v>
      </c>
      <c r="S36" s="98">
        <v>0</v>
      </c>
      <c r="T36" s="98">
        <f t="shared" si="11"/>
        <v>708720.59750000003</v>
      </c>
      <c r="U36" s="98">
        <v>0</v>
      </c>
      <c r="V36" s="98">
        <f>T36-U36</f>
        <v>708720.59750000003</v>
      </c>
      <c r="W36" s="95">
        <v>0</v>
      </c>
    </row>
    <row r="37" spans="1:23" ht="20.100000000000001" customHeight="1" x14ac:dyDescent="0.3">
      <c r="A37" s="128" t="s">
        <v>82</v>
      </c>
      <c r="B37" s="129"/>
      <c r="C37" s="130"/>
      <c r="D37" s="101" t="s">
        <v>83</v>
      </c>
      <c r="E37" s="102" t="s">
        <v>43</v>
      </c>
      <c r="F37" s="98">
        <v>31018.9</v>
      </c>
      <c r="G37" s="98">
        <v>364000</v>
      </c>
      <c r="H37" s="98"/>
      <c r="I37" s="98">
        <f t="shared" si="5"/>
        <v>93056.700000000012</v>
      </c>
      <c r="J37" s="98">
        <f t="shared" si="6"/>
        <v>2326.4175</v>
      </c>
      <c r="K37" s="98">
        <f>K36</f>
        <v>40122.19</v>
      </c>
      <c r="L37" s="98">
        <f t="shared" si="7"/>
        <v>15509.45</v>
      </c>
      <c r="M37" s="98">
        <f>F37*350%</f>
        <v>108566.15000000001</v>
      </c>
      <c r="N37" s="98">
        <v>0</v>
      </c>
      <c r="O37" s="98">
        <f t="shared" si="9"/>
        <v>31018.9</v>
      </c>
      <c r="P37" s="98">
        <v>0</v>
      </c>
      <c r="Q37" s="98">
        <f t="shared" si="10"/>
        <v>3101.8900000000003</v>
      </c>
      <c r="R37" s="98">
        <v>20000</v>
      </c>
      <c r="S37" s="98">
        <v>0</v>
      </c>
      <c r="T37" s="98">
        <f t="shared" si="11"/>
        <v>708720.59750000003</v>
      </c>
      <c r="U37" s="98">
        <v>0</v>
      </c>
      <c r="V37" s="98">
        <f>T37-U37</f>
        <v>708720.59750000003</v>
      </c>
      <c r="W37" s="95">
        <v>0</v>
      </c>
    </row>
    <row r="38" spans="1:23" ht="20.100000000000001" customHeight="1" x14ac:dyDescent="0.3">
      <c r="A38" s="131" t="s">
        <v>84</v>
      </c>
      <c r="B38" s="132"/>
      <c r="C38" s="133"/>
      <c r="D38" s="101" t="s">
        <v>85</v>
      </c>
      <c r="E38" s="102" t="s">
        <v>43</v>
      </c>
      <c r="F38" s="98">
        <v>31018.9</v>
      </c>
      <c r="G38" s="98">
        <v>364000</v>
      </c>
      <c r="H38" s="98"/>
      <c r="I38" s="98">
        <f t="shared" si="5"/>
        <v>93056.700000000012</v>
      </c>
      <c r="J38" s="98">
        <f t="shared" si="6"/>
        <v>2326.4175</v>
      </c>
      <c r="K38" s="98">
        <f>K37</f>
        <v>40122.19</v>
      </c>
      <c r="L38" s="98">
        <f t="shared" si="7"/>
        <v>15509.45</v>
      </c>
      <c r="M38" s="98">
        <f>F38*350%</f>
        <v>108566.15000000001</v>
      </c>
      <c r="N38" s="98">
        <v>0</v>
      </c>
      <c r="O38" s="98">
        <f t="shared" si="9"/>
        <v>31018.9</v>
      </c>
      <c r="P38" s="98">
        <v>0</v>
      </c>
      <c r="Q38" s="98">
        <f t="shared" si="10"/>
        <v>3101.8900000000003</v>
      </c>
      <c r="R38" s="98">
        <v>20000</v>
      </c>
      <c r="S38" s="98">
        <v>0</v>
      </c>
      <c r="T38" s="98">
        <f t="shared" si="11"/>
        <v>708720.59750000003</v>
      </c>
      <c r="U38" s="98">
        <v>0</v>
      </c>
      <c r="V38" s="98">
        <f>T38-U38</f>
        <v>708720.59750000003</v>
      </c>
      <c r="W38" s="95">
        <v>0</v>
      </c>
    </row>
    <row r="39" spans="1:23" ht="20.100000000000001" customHeight="1" x14ac:dyDescent="0.3">
      <c r="A39" s="131" t="s">
        <v>86</v>
      </c>
      <c r="B39" s="132"/>
      <c r="C39" s="133"/>
      <c r="D39" s="101" t="s">
        <v>87</v>
      </c>
      <c r="E39" s="102" t="s">
        <v>43</v>
      </c>
      <c r="F39" s="98">
        <v>31018.9</v>
      </c>
      <c r="G39" s="98">
        <v>364000</v>
      </c>
      <c r="H39" s="98"/>
      <c r="I39" s="98">
        <f t="shared" si="5"/>
        <v>93056.700000000012</v>
      </c>
      <c r="J39" s="98">
        <f t="shared" si="6"/>
        <v>2326.4175</v>
      </c>
      <c r="K39" s="98">
        <f>K38</f>
        <v>40122.19</v>
      </c>
      <c r="L39" s="98">
        <f t="shared" si="7"/>
        <v>15509.45</v>
      </c>
      <c r="M39" s="98">
        <f>F39*350%</f>
        <v>108566.15000000001</v>
      </c>
      <c r="N39" s="98">
        <v>0</v>
      </c>
      <c r="O39" s="98">
        <f t="shared" si="9"/>
        <v>31018.9</v>
      </c>
      <c r="P39" s="98">
        <v>0</v>
      </c>
      <c r="Q39" s="98">
        <f t="shared" si="10"/>
        <v>3101.8900000000003</v>
      </c>
      <c r="R39" s="98">
        <v>20000</v>
      </c>
      <c r="S39" s="98">
        <v>0</v>
      </c>
      <c r="T39" s="98">
        <f t="shared" si="11"/>
        <v>708720.59750000003</v>
      </c>
      <c r="U39" s="98">
        <v>0</v>
      </c>
      <c r="V39" s="98">
        <f>T39-U39</f>
        <v>708720.59750000003</v>
      </c>
      <c r="W39" s="95">
        <v>0</v>
      </c>
    </row>
    <row r="40" spans="1:23" ht="20.100000000000001" customHeight="1" x14ac:dyDescent="0.3">
      <c r="A40" s="115" t="s">
        <v>88</v>
      </c>
      <c r="B40" s="115"/>
      <c r="C40" s="115"/>
      <c r="D40" s="57" t="s">
        <v>89</v>
      </c>
      <c r="E40" s="88" t="s">
        <v>90</v>
      </c>
      <c r="F40" s="60">
        <v>18732</v>
      </c>
      <c r="G40" s="60">
        <v>0</v>
      </c>
      <c r="H40" s="60"/>
      <c r="I40" s="60">
        <f t="shared" si="5"/>
        <v>56196</v>
      </c>
      <c r="J40" s="60">
        <f t="shared" si="6"/>
        <v>1404.8999999999999</v>
      </c>
      <c r="K40" s="60">
        <v>0</v>
      </c>
      <c r="L40" s="60">
        <f t="shared" si="7"/>
        <v>9366</v>
      </c>
      <c r="M40" s="58">
        <f t="shared" si="8"/>
        <v>65562</v>
      </c>
      <c r="N40" s="60">
        <v>0</v>
      </c>
      <c r="O40" s="60">
        <f t="shared" si="9"/>
        <v>18732</v>
      </c>
      <c r="P40" s="60">
        <v>0</v>
      </c>
      <c r="Q40" s="60">
        <f t="shared" si="10"/>
        <v>1873.2</v>
      </c>
      <c r="R40" s="60">
        <v>15000</v>
      </c>
      <c r="S40" s="60">
        <v>0</v>
      </c>
      <c r="T40" s="58">
        <f t="shared" si="11"/>
        <v>186866.1</v>
      </c>
      <c r="U40" s="60">
        <v>0</v>
      </c>
      <c r="V40" s="60">
        <f t="shared" si="12"/>
        <v>186866.1</v>
      </c>
      <c r="W40" s="59">
        <f>T40-U40</f>
        <v>186866.1</v>
      </c>
    </row>
    <row r="41" spans="1:23" ht="20.100000000000001" customHeight="1" x14ac:dyDescent="0.3">
      <c r="A41" s="135" t="s">
        <v>91</v>
      </c>
      <c r="B41" s="136"/>
      <c r="C41" s="137"/>
      <c r="D41" s="57" t="s">
        <v>92</v>
      </c>
      <c r="E41" s="88" t="s">
        <v>71</v>
      </c>
      <c r="F41" s="60">
        <v>17286.330000000002</v>
      </c>
      <c r="G41" s="60">
        <v>0</v>
      </c>
      <c r="H41" s="60"/>
      <c r="I41" s="60">
        <f t="shared" si="5"/>
        <v>51858.990000000005</v>
      </c>
      <c r="J41" s="60">
        <f t="shared" si="6"/>
        <v>1296.4747500000001</v>
      </c>
      <c r="K41" s="60">
        <v>0</v>
      </c>
      <c r="L41" s="60">
        <f t="shared" si="7"/>
        <v>8643.1650000000009</v>
      </c>
      <c r="M41" s="58">
        <f t="shared" si="8"/>
        <v>60502.155000000006</v>
      </c>
      <c r="N41" s="60">
        <v>0</v>
      </c>
      <c r="O41" s="60">
        <f t="shared" si="9"/>
        <v>17286.330000000002</v>
      </c>
      <c r="P41" s="60">
        <v>0</v>
      </c>
      <c r="Q41" s="60">
        <f t="shared" si="10"/>
        <v>1728.6330000000003</v>
      </c>
      <c r="R41" s="60">
        <v>10000</v>
      </c>
      <c r="S41" s="60">
        <v>0</v>
      </c>
      <c r="T41" s="58">
        <f t="shared" si="11"/>
        <v>168602.07775000003</v>
      </c>
      <c r="U41" s="60">
        <v>0</v>
      </c>
      <c r="V41" s="60">
        <f t="shared" si="12"/>
        <v>168602.07775000003</v>
      </c>
      <c r="W41" s="59">
        <v>420602.08</v>
      </c>
    </row>
    <row r="42" spans="1:23" ht="20.100000000000001" customHeight="1" x14ac:dyDescent="0.3">
      <c r="A42" s="128" t="s">
        <v>93</v>
      </c>
      <c r="B42" s="129"/>
      <c r="C42" s="130"/>
      <c r="D42" s="101" t="s">
        <v>94</v>
      </c>
      <c r="E42" s="102" t="s">
        <v>71</v>
      </c>
      <c r="F42" s="98">
        <v>17286.330000000002</v>
      </c>
      <c r="G42" s="98">
        <v>252000</v>
      </c>
      <c r="H42" s="98"/>
      <c r="I42" s="98">
        <f t="shared" si="5"/>
        <v>51858.990000000005</v>
      </c>
      <c r="J42" s="98">
        <f t="shared" ref="J42:J56" si="13">F42*7.5%</f>
        <v>1296.4747500000001</v>
      </c>
      <c r="K42" s="98">
        <v>0</v>
      </c>
      <c r="L42" s="98">
        <f t="shared" si="7"/>
        <v>8643.1650000000009</v>
      </c>
      <c r="M42" s="99">
        <f t="shared" si="8"/>
        <v>60502.155000000006</v>
      </c>
      <c r="N42" s="98">
        <v>0</v>
      </c>
      <c r="O42" s="98">
        <f t="shared" si="9"/>
        <v>17286.330000000002</v>
      </c>
      <c r="P42" s="98">
        <v>0</v>
      </c>
      <c r="Q42" s="98">
        <f t="shared" si="10"/>
        <v>1728.6330000000003</v>
      </c>
      <c r="R42" s="98">
        <v>10000</v>
      </c>
      <c r="S42" s="98">
        <v>0</v>
      </c>
      <c r="T42" s="99">
        <f t="shared" si="11"/>
        <v>420602.07775</v>
      </c>
      <c r="U42" s="98">
        <v>0</v>
      </c>
      <c r="V42" s="98">
        <f t="shared" si="12"/>
        <v>420602.07775</v>
      </c>
      <c r="W42" s="95">
        <v>0</v>
      </c>
    </row>
    <row r="43" spans="1:23" ht="20.100000000000001" customHeight="1" x14ac:dyDescent="0.3">
      <c r="A43" s="128" t="s">
        <v>95</v>
      </c>
      <c r="B43" s="129"/>
      <c r="C43" s="130"/>
      <c r="D43" s="101" t="s">
        <v>94</v>
      </c>
      <c r="E43" s="102" t="s">
        <v>71</v>
      </c>
      <c r="F43" s="98">
        <v>17286.330000000002</v>
      </c>
      <c r="G43" s="98">
        <v>252000</v>
      </c>
      <c r="H43" s="98"/>
      <c r="I43" s="98">
        <f t="shared" si="5"/>
        <v>51858.990000000005</v>
      </c>
      <c r="J43" s="98">
        <f t="shared" si="13"/>
        <v>1296.4747500000001</v>
      </c>
      <c r="K43" s="98">
        <v>0</v>
      </c>
      <c r="L43" s="98">
        <f t="shared" si="7"/>
        <v>8643.1650000000009</v>
      </c>
      <c r="M43" s="99">
        <f t="shared" si="8"/>
        <v>60502.155000000006</v>
      </c>
      <c r="N43" s="98">
        <v>0</v>
      </c>
      <c r="O43" s="98">
        <f t="shared" si="9"/>
        <v>17286.330000000002</v>
      </c>
      <c r="P43" s="98">
        <v>0</v>
      </c>
      <c r="Q43" s="98">
        <f t="shared" si="10"/>
        <v>1728.6330000000003</v>
      </c>
      <c r="R43" s="98">
        <v>10000</v>
      </c>
      <c r="S43" s="98">
        <v>0</v>
      </c>
      <c r="T43" s="99">
        <f t="shared" si="11"/>
        <v>420602.07775</v>
      </c>
      <c r="U43" s="98">
        <v>0</v>
      </c>
      <c r="V43" s="98">
        <f t="shared" si="12"/>
        <v>420602.07775</v>
      </c>
      <c r="W43" s="95">
        <v>0</v>
      </c>
    </row>
    <row r="44" spans="1:23" ht="20.100000000000001" customHeight="1" x14ac:dyDescent="0.3">
      <c r="A44" s="128" t="s">
        <v>96</v>
      </c>
      <c r="B44" s="129"/>
      <c r="C44" s="130"/>
      <c r="D44" s="101" t="s">
        <v>97</v>
      </c>
      <c r="E44" s="102" t="s">
        <v>71</v>
      </c>
      <c r="F44" s="98">
        <v>17286.330000000002</v>
      </c>
      <c r="G44" s="98">
        <v>252000</v>
      </c>
      <c r="H44" s="98"/>
      <c r="I44" s="98">
        <f t="shared" si="5"/>
        <v>51858.990000000005</v>
      </c>
      <c r="J44" s="98">
        <f t="shared" si="13"/>
        <v>1296.4747500000001</v>
      </c>
      <c r="K44" s="98">
        <v>0</v>
      </c>
      <c r="L44" s="98">
        <f t="shared" si="7"/>
        <v>8643.1650000000009</v>
      </c>
      <c r="M44" s="99">
        <f t="shared" si="8"/>
        <v>60502.155000000006</v>
      </c>
      <c r="N44" s="98">
        <v>0</v>
      </c>
      <c r="O44" s="98">
        <f t="shared" si="9"/>
        <v>17286.330000000002</v>
      </c>
      <c r="P44" s="98">
        <v>0</v>
      </c>
      <c r="Q44" s="98">
        <f t="shared" si="10"/>
        <v>1728.6330000000003</v>
      </c>
      <c r="R44" s="98">
        <v>10000</v>
      </c>
      <c r="S44" s="98">
        <v>0</v>
      </c>
      <c r="T44" s="99">
        <f t="shared" si="11"/>
        <v>420602.07775</v>
      </c>
      <c r="U44" s="98">
        <v>0</v>
      </c>
      <c r="V44" s="98">
        <f t="shared" si="12"/>
        <v>420602.07775</v>
      </c>
      <c r="W44" s="95">
        <v>0</v>
      </c>
    </row>
    <row r="45" spans="1:23" ht="20.100000000000001" customHeight="1" x14ac:dyDescent="0.3">
      <c r="A45" s="128" t="s">
        <v>98</v>
      </c>
      <c r="B45" s="129"/>
      <c r="C45" s="130"/>
      <c r="D45" s="101" t="s">
        <v>99</v>
      </c>
      <c r="E45" s="102" t="s">
        <v>71</v>
      </c>
      <c r="F45" s="98">
        <v>17286.330000000002</v>
      </c>
      <c r="G45" s="98">
        <v>252000</v>
      </c>
      <c r="H45" s="98"/>
      <c r="I45" s="98">
        <f t="shared" si="5"/>
        <v>51858.990000000005</v>
      </c>
      <c r="J45" s="98">
        <f t="shared" si="13"/>
        <v>1296.4747500000001</v>
      </c>
      <c r="K45" s="98">
        <v>0</v>
      </c>
      <c r="L45" s="98">
        <f t="shared" si="7"/>
        <v>8643.1650000000009</v>
      </c>
      <c r="M45" s="99">
        <f t="shared" si="8"/>
        <v>60502.155000000006</v>
      </c>
      <c r="N45" s="98">
        <v>0</v>
      </c>
      <c r="O45" s="98">
        <f t="shared" si="9"/>
        <v>17286.330000000002</v>
      </c>
      <c r="P45" s="98">
        <v>0</v>
      </c>
      <c r="Q45" s="98">
        <f t="shared" si="10"/>
        <v>1728.6330000000003</v>
      </c>
      <c r="R45" s="98">
        <v>10000</v>
      </c>
      <c r="S45" s="98">
        <v>0</v>
      </c>
      <c r="T45" s="99">
        <f t="shared" si="11"/>
        <v>420602.07775</v>
      </c>
      <c r="U45" s="98">
        <v>0</v>
      </c>
      <c r="V45" s="98">
        <f t="shared" si="12"/>
        <v>420602.07775</v>
      </c>
      <c r="W45" s="95">
        <v>0</v>
      </c>
    </row>
    <row r="46" spans="1:23" ht="20.100000000000001" customHeight="1" x14ac:dyDescent="0.3">
      <c r="A46" s="128" t="s">
        <v>100</v>
      </c>
      <c r="B46" s="129"/>
      <c r="C46" s="130"/>
      <c r="D46" s="101" t="s">
        <v>101</v>
      </c>
      <c r="E46" s="102" t="s">
        <v>71</v>
      </c>
      <c r="F46" s="98">
        <v>17286.330000000002</v>
      </c>
      <c r="G46" s="98">
        <v>252000</v>
      </c>
      <c r="H46" s="98"/>
      <c r="I46" s="98">
        <f t="shared" si="5"/>
        <v>51858.990000000005</v>
      </c>
      <c r="J46" s="98">
        <f t="shared" si="13"/>
        <v>1296.4747500000001</v>
      </c>
      <c r="K46" s="98">
        <v>0</v>
      </c>
      <c r="L46" s="98">
        <f t="shared" si="7"/>
        <v>8643.1650000000009</v>
      </c>
      <c r="M46" s="99">
        <f t="shared" si="8"/>
        <v>60502.155000000006</v>
      </c>
      <c r="N46" s="98">
        <v>0</v>
      </c>
      <c r="O46" s="98">
        <f t="shared" si="9"/>
        <v>17286.330000000002</v>
      </c>
      <c r="P46" s="98">
        <v>0</v>
      </c>
      <c r="Q46" s="98">
        <f t="shared" si="10"/>
        <v>1728.6330000000003</v>
      </c>
      <c r="R46" s="98">
        <v>10000</v>
      </c>
      <c r="S46" s="98">
        <v>0</v>
      </c>
      <c r="T46" s="99">
        <f t="shared" si="11"/>
        <v>420602.07775</v>
      </c>
      <c r="U46" s="98">
        <v>0</v>
      </c>
      <c r="V46" s="98">
        <f t="shared" si="12"/>
        <v>420602.07775</v>
      </c>
      <c r="W46" s="95">
        <v>0</v>
      </c>
    </row>
    <row r="47" spans="1:23" ht="20.100000000000001" customHeight="1" x14ac:dyDescent="0.3">
      <c r="A47" s="128" t="s">
        <v>102</v>
      </c>
      <c r="B47" s="129"/>
      <c r="C47" s="130"/>
      <c r="D47" s="101" t="s">
        <v>103</v>
      </c>
      <c r="E47" s="102" t="s">
        <v>52</v>
      </c>
      <c r="F47" s="98">
        <v>12351.94</v>
      </c>
      <c r="G47" s="98">
        <v>252000</v>
      </c>
      <c r="H47" s="98"/>
      <c r="I47" s="98">
        <f t="shared" si="5"/>
        <v>37055.82</v>
      </c>
      <c r="J47" s="98">
        <f t="shared" si="13"/>
        <v>926.39549999999997</v>
      </c>
      <c r="K47" s="98">
        <v>0</v>
      </c>
      <c r="L47" s="98">
        <f t="shared" si="7"/>
        <v>6175.97</v>
      </c>
      <c r="M47" s="99">
        <f t="shared" si="8"/>
        <v>43231.79</v>
      </c>
      <c r="N47" s="98">
        <v>0</v>
      </c>
      <c r="O47" s="98">
        <f t="shared" si="9"/>
        <v>12351.94</v>
      </c>
      <c r="P47" s="98">
        <v>0</v>
      </c>
      <c r="Q47" s="98">
        <f t="shared" si="10"/>
        <v>1235.1940000000002</v>
      </c>
      <c r="R47" s="98">
        <v>10000</v>
      </c>
      <c r="S47" s="98">
        <v>0</v>
      </c>
      <c r="T47" s="99">
        <f t="shared" si="11"/>
        <v>375329.04949999996</v>
      </c>
      <c r="U47" s="98">
        <v>0</v>
      </c>
      <c r="V47" s="98">
        <f t="shared" si="12"/>
        <v>375329.04949999996</v>
      </c>
      <c r="W47" s="95">
        <v>0</v>
      </c>
    </row>
    <row r="48" spans="1:23" ht="20.100000000000001" customHeight="1" x14ac:dyDescent="0.3">
      <c r="A48" s="128" t="s">
        <v>104</v>
      </c>
      <c r="B48" s="129"/>
      <c r="C48" s="130"/>
      <c r="D48" s="101" t="s">
        <v>103</v>
      </c>
      <c r="E48" s="102" t="s">
        <v>52</v>
      </c>
      <c r="F48" s="98">
        <v>12351.94</v>
      </c>
      <c r="G48" s="98">
        <v>252000</v>
      </c>
      <c r="H48" s="98"/>
      <c r="I48" s="98">
        <f t="shared" si="5"/>
        <v>37055.82</v>
      </c>
      <c r="J48" s="98">
        <f t="shared" si="13"/>
        <v>926.39549999999997</v>
      </c>
      <c r="K48" s="98">
        <v>0</v>
      </c>
      <c r="L48" s="98">
        <f t="shared" si="7"/>
        <v>6175.97</v>
      </c>
      <c r="M48" s="99">
        <f t="shared" si="8"/>
        <v>43231.79</v>
      </c>
      <c r="N48" s="98">
        <v>0</v>
      </c>
      <c r="O48" s="98">
        <f t="shared" si="9"/>
        <v>12351.94</v>
      </c>
      <c r="P48" s="98">
        <v>0</v>
      </c>
      <c r="Q48" s="98">
        <f t="shared" si="10"/>
        <v>1235.1940000000002</v>
      </c>
      <c r="R48" s="98">
        <v>10000</v>
      </c>
      <c r="S48" s="98">
        <v>0</v>
      </c>
      <c r="T48" s="99">
        <f t="shared" si="11"/>
        <v>375329.04949999996</v>
      </c>
      <c r="U48" s="98">
        <v>0</v>
      </c>
      <c r="V48" s="98">
        <f t="shared" si="12"/>
        <v>375329.04949999996</v>
      </c>
      <c r="W48" s="95">
        <v>0</v>
      </c>
    </row>
    <row r="49" spans="1:23" ht="20.100000000000001" customHeight="1" x14ac:dyDescent="0.3">
      <c r="A49" s="128" t="s">
        <v>105</v>
      </c>
      <c r="B49" s="129"/>
      <c r="C49" s="130"/>
      <c r="D49" s="101" t="s">
        <v>103</v>
      </c>
      <c r="E49" s="102" t="s">
        <v>52</v>
      </c>
      <c r="F49" s="98">
        <v>12351.94</v>
      </c>
      <c r="G49" s="98">
        <v>252000</v>
      </c>
      <c r="H49" s="98"/>
      <c r="I49" s="98">
        <f t="shared" si="5"/>
        <v>37055.82</v>
      </c>
      <c r="J49" s="98">
        <f t="shared" si="13"/>
        <v>926.39549999999997</v>
      </c>
      <c r="K49" s="98">
        <v>0</v>
      </c>
      <c r="L49" s="98">
        <f t="shared" si="7"/>
        <v>6175.97</v>
      </c>
      <c r="M49" s="99">
        <f t="shared" si="8"/>
        <v>43231.79</v>
      </c>
      <c r="N49" s="98">
        <v>0</v>
      </c>
      <c r="O49" s="98">
        <f t="shared" si="9"/>
        <v>12351.94</v>
      </c>
      <c r="P49" s="98">
        <v>0</v>
      </c>
      <c r="Q49" s="98">
        <f t="shared" si="10"/>
        <v>1235.1940000000002</v>
      </c>
      <c r="R49" s="98">
        <v>10000</v>
      </c>
      <c r="S49" s="98">
        <v>0</v>
      </c>
      <c r="T49" s="99">
        <f t="shared" si="11"/>
        <v>375329.04949999996</v>
      </c>
      <c r="U49" s="98">
        <v>0</v>
      </c>
      <c r="V49" s="98">
        <f t="shared" si="12"/>
        <v>375329.04949999996</v>
      </c>
      <c r="W49" s="95">
        <v>0</v>
      </c>
    </row>
    <row r="50" spans="1:23" ht="20.100000000000001" customHeight="1" x14ac:dyDescent="0.3">
      <c r="A50" s="128" t="s">
        <v>106</v>
      </c>
      <c r="B50" s="129"/>
      <c r="C50" s="130"/>
      <c r="D50" s="101" t="s">
        <v>103</v>
      </c>
      <c r="E50" s="102" t="s">
        <v>52</v>
      </c>
      <c r="F50" s="98">
        <v>12351.94</v>
      </c>
      <c r="G50" s="98">
        <v>252000</v>
      </c>
      <c r="H50" s="98"/>
      <c r="I50" s="98">
        <f t="shared" si="5"/>
        <v>37055.82</v>
      </c>
      <c r="J50" s="98">
        <f t="shared" si="13"/>
        <v>926.39549999999997</v>
      </c>
      <c r="K50" s="98">
        <v>0</v>
      </c>
      <c r="L50" s="98">
        <f t="shared" si="7"/>
        <v>6175.97</v>
      </c>
      <c r="M50" s="99">
        <f t="shared" si="8"/>
        <v>43231.79</v>
      </c>
      <c r="N50" s="98">
        <v>0</v>
      </c>
      <c r="O50" s="98">
        <f t="shared" si="9"/>
        <v>12351.94</v>
      </c>
      <c r="P50" s="98">
        <v>0</v>
      </c>
      <c r="Q50" s="98">
        <f t="shared" si="10"/>
        <v>1235.1940000000002</v>
      </c>
      <c r="R50" s="98">
        <v>10000</v>
      </c>
      <c r="S50" s="98">
        <v>0</v>
      </c>
      <c r="T50" s="99">
        <f t="shared" si="11"/>
        <v>375329.04949999996</v>
      </c>
      <c r="U50" s="98">
        <v>0</v>
      </c>
      <c r="V50" s="98">
        <f t="shared" si="12"/>
        <v>375329.04949999996</v>
      </c>
      <c r="W50" s="95">
        <v>0</v>
      </c>
    </row>
    <row r="51" spans="1:23" ht="20.100000000000001" customHeight="1" x14ac:dyDescent="0.3">
      <c r="A51" s="128" t="s">
        <v>107</v>
      </c>
      <c r="B51" s="129"/>
      <c r="C51" s="130"/>
      <c r="D51" s="101" t="s">
        <v>103</v>
      </c>
      <c r="E51" s="102" t="s">
        <v>52</v>
      </c>
      <c r="F51" s="99">
        <f>12351.94*19/30</f>
        <v>7822.8953333333338</v>
      </c>
      <c r="G51" s="98">
        <v>252000</v>
      </c>
      <c r="H51" s="98"/>
      <c r="I51" s="98">
        <f t="shared" si="5"/>
        <v>23468.686000000002</v>
      </c>
      <c r="J51" s="98">
        <f t="shared" si="13"/>
        <v>586.71715000000006</v>
      </c>
      <c r="K51" s="98">
        <v>0</v>
      </c>
      <c r="L51" s="98">
        <f t="shared" si="7"/>
        <v>3911.4476666666669</v>
      </c>
      <c r="M51" s="99">
        <f t="shared" si="8"/>
        <v>27380.133666666668</v>
      </c>
      <c r="N51" s="98">
        <v>0</v>
      </c>
      <c r="O51" s="98">
        <f t="shared" si="9"/>
        <v>7822.8953333333338</v>
      </c>
      <c r="P51" s="98">
        <v>0</v>
      </c>
      <c r="Q51" s="98">
        <f t="shared" ref="Q51:Q56" si="14">F51*10%</f>
        <v>782.28953333333345</v>
      </c>
      <c r="R51" s="98">
        <f>10000*19/30</f>
        <v>6333.333333333333</v>
      </c>
      <c r="S51" s="98">
        <v>0</v>
      </c>
      <c r="T51" s="99">
        <f t="shared" si="11"/>
        <v>330108.39801666664</v>
      </c>
      <c r="U51" s="98">
        <v>0</v>
      </c>
      <c r="V51" s="98">
        <f t="shared" si="12"/>
        <v>330108.39801666664</v>
      </c>
      <c r="W51" s="95">
        <v>0</v>
      </c>
    </row>
    <row r="52" spans="1:23" ht="20.100000000000001" customHeight="1" x14ac:dyDescent="0.3">
      <c r="A52" s="131" t="s">
        <v>108</v>
      </c>
      <c r="B52" s="132"/>
      <c r="C52" s="133"/>
      <c r="D52" s="101" t="s">
        <v>109</v>
      </c>
      <c r="E52" s="102" t="s">
        <v>52</v>
      </c>
      <c r="F52" s="98">
        <v>12351.94</v>
      </c>
      <c r="G52" s="98">
        <v>252000</v>
      </c>
      <c r="H52" s="98"/>
      <c r="I52" s="98">
        <f t="shared" si="5"/>
        <v>37055.82</v>
      </c>
      <c r="J52" s="98">
        <f t="shared" si="13"/>
        <v>926.39549999999997</v>
      </c>
      <c r="K52" s="98">
        <v>0</v>
      </c>
      <c r="L52" s="98">
        <f t="shared" si="7"/>
        <v>6175.97</v>
      </c>
      <c r="M52" s="99">
        <f t="shared" si="8"/>
        <v>43231.79</v>
      </c>
      <c r="N52" s="98">
        <v>0</v>
      </c>
      <c r="O52" s="98">
        <f t="shared" si="9"/>
        <v>12351.94</v>
      </c>
      <c r="P52" s="98">
        <v>0</v>
      </c>
      <c r="Q52" s="98">
        <f t="shared" si="14"/>
        <v>1235.1940000000002</v>
      </c>
      <c r="R52" s="98">
        <v>10000</v>
      </c>
      <c r="S52" s="98">
        <v>0</v>
      </c>
      <c r="T52" s="99">
        <f t="shared" si="11"/>
        <v>375329.04949999996</v>
      </c>
      <c r="U52" s="98">
        <v>0</v>
      </c>
      <c r="V52" s="98">
        <f t="shared" si="12"/>
        <v>375329.04949999996</v>
      </c>
      <c r="W52" s="95"/>
    </row>
    <row r="53" spans="1:23" ht="20.100000000000001" customHeight="1" x14ac:dyDescent="0.3">
      <c r="A53" s="131" t="s">
        <v>110</v>
      </c>
      <c r="B53" s="132"/>
      <c r="C53" s="133"/>
      <c r="D53" s="101" t="s">
        <v>109</v>
      </c>
      <c r="E53" s="102" t="s">
        <v>52</v>
      </c>
      <c r="F53" s="98">
        <v>12351.94</v>
      </c>
      <c r="G53" s="98">
        <v>252000</v>
      </c>
      <c r="H53" s="98"/>
      <c r="I53" s="98">
        <f t="shared" si="5"/>
        <v>37055.82</v>
      </c>
      <c r="J53" s="98">
        <f t="shared" si="13"/>
        <v>926.39549999999997</v>
      </c>
      <c r="K53" s="98">
        <v>0</v>
      </c>
      <c r="L53" s="98">
        <f t="shared" si="7"/>
        <v>6175.97</v>
      </c>
      <c r="M53" s="99">
        <f t="shared" si="8"/>
        <v>43231.79</v>
      </c>
      <c r="N53" s="98">
        <v>0</v>
      </c>
      <c r="O53" s="98">
        <f t="shared" si="9"/>
        <v>12351.94</v>
      </c>
      <c r="P53" s="98">
        <v>0</v>
      </c>
      <c r="Q53" s="98">
        <f t="shared" si="14"/>
        <v>1235.1940000000002</v>
      </c>
      <c r="R53" s="98">
        <v>10000</v>
      </c>
      <c r="S53" s="98">
        <v>0</v>
      </c>
      <c r="T53" s="99">
        <f t="shared" si="11"/>
        <v>375329.04949999996</v>
      </c>
      <c r="U53" s="98">
        <v>0</v>
      </c>
      <c r="V53" s="98">
        <f t="shared" si="12"/>
        <v>375329.04949999996</v>
      </c>
      <c r="W53" s="95"/>
    </row>
    <row r="54" spans="1:23" ht="20.100000000000001" customHeight="1" x14ac:dyDescent="0.3">
      <c r="A54" s="128" t="s">
        <v>111</v>
      </c>
      <c r="B54" s="129"/>
      <c r="C54" s="130"/>
      <c r="D54" s="101" t="s">
        <v>112</v>
      </c>
      <c r="E54" s="102" t="s">
        <v>52</v>
      </c>
      <c r="F54" s="98">
        <v>12351.94</v>
      </c>
      <c r="G54" s="98">
        <v>252000</v>
      </c>
      <c r="H54" s="98"/>
      <c r="I54" s="98">
        <f t="shared" si="5"/>
        <v>37055.82</v>
      </c>
      <c r="J54" s="98">
        <f t="shared" si="13"/>
        <v>926.39549999999997</v>
      </c>
      <c r="K54" s="98">
        <v>0</v>
      </c>
      <c r="L54" s="98">
        <f t="shared" si="7"/>
        <v>6175.97</v>
      </c>
      <c r="M54" s="99">
        <f t="shared" si="8"/>
        <v>43231.79</v>
      </c>
      <c r="N54" s="98">
        <v>0</v>
      </c>
      <c r="O54" s="98">
        <f t="shared" si="9"/>
        <v>12351.94</v>
      </c>
      <c r="P54" s="98">
        <v>0</v>
      </c>
      <c r="Q54" s="98">
        <f t="shared" si="14"/>
        <v>1235.1940000000002</v>
      </c>
      <c r="R54" s="98">
        <v>10000</v>
      </c>
      <c r="S54" s="98">
        <v>0</v>
      </c>
      <c r="T54" s="99">
        <f t="shared" si="11"/>
        <v>375329.04949999996</v>
      </c>
      <c r="U54" s="98">
        <v>0</v>
      </c>
      <c r="V54" s="98">
        <f t="shared" si="12"/>
        <v>375329.04949999996</v>
      </c>
      <c r="W54" s="95">
        <v>0</v>
      </c>
    </row>
    <row r="55" spans="1:23" ht="20.100000000000001" customHeight="1" x14ac:dyDescent="0.3">
      <c r="A55" s="131" t="s">
        <v>113</v>
      </c>
      <c r="B55" s="132"/>
      <c r="C55" s="133"/>
      <c r="D55" s="101" t="s">
        <v>114</v>
      </c>
      <c r="E55" s="102" t="s">
        <v>52</v>
      </c>
      <c r="F55" s="98">
        <v>12351.94</v>
      </c>
      <c r="G55" s="98">
        <v>252000</v>
      </c>
      <c r="H55" s="98"/>
      <c r="I55" s="98">
        <f t="shared" si="5"/>
        <v>37055.82</v>
      </c>
      <c r="J55" s="98">
        <f t="shared" si="13"/>
        <v>926.39549999999997</v>
      </c>
      <c r="K55" s="98">
        <v>0</v>
      </c>
      <c r="L55" s="98">
        <f t="shared" si="7"/>
        <v>6175.97</v>
      </c>
      <c r="M55" s="99">
        <f t="shared" si="8"/>
        <v>43231.79</v>
      </c>
      <c r="N55" s="98">
        <v>0</v>
      </c>
      <c r="O55" s="98">
        <f t="shared" si="9"/>
        <v>12351.94</v>
      </c>
      <c r="P55" s="98">
        <v>0</v>
      </c>
      <c r="Q55" s="98">
        <f t="shared" si="14"/>
        <v>1235.1940000000002</v>
      </c>
      <c r="R55" s="98">
        <v>10000</v>
      </c>
      <c r="S55" s="98">
        <v>0</v>
      </c>
      <c r="T55" s="99">
        <f t="shared" si="11"/>
        <v>375329.04949999996</v>
      </c>
      <c r="U55" s="98">
        <v>0</v>
      </c>
      <c r="V55" s="98">
        <f t="shared" si="12"/>
        <v>375329.04949999996</v>
      </c>
      <c r="W55" s="95">
        <v>0</v>
      </c>
    </row>
    <row r="56" spans="1:23" ht="20.100000000000001" customHeight="1" x14ac:dyDescent="0.3">
      <c r="A56" s="131" t="s">
        <v>115</v>
      </c>
      <c r="B56" s="132"/>
      <c r="C56" s="133"/>
      <c r="D56" s="101" t="s">
        <v>116</v>
      </c>
      <c r="E56" s="102" t="s">
        <v>52</v>
      </c>
      <c r="F56" s="98">
        <v>12351.94</v>
      </c>
      <c r="G56" s="98">
        <v>252000</v>
      </c>
      <c r="H56" s="98"/>
      <c r="I56" s="98">
        <f t="shared" si="5"/>
        <v>37055.82</v>
      </c>
      <c r="J56" s="98">
        <f t="shared" si="13"/>
        <v>926.39549999999997</v>
      </c>
      <c r="K56" s="98">
        <v>0</v>
      </c>
      <c r="L56" s="98">
        <f t="shared" si="7"/>
        <v>6175.97</v>
      </c>
      <c r="M56" s="99">
        <f t="shared" si="8"/>
        <v>43231.79</v>
      </c>
      <c r="N56" s="98">
        <v>0</v>
      </c>
      <c r="O56" s="98">
        <f t="shared" si="9"/>
        <v>12351.94</v>
      </c>
      <c r="P56" s="98">
        <v>0</v>
      </c>
      <c r="Q56" s="98">
        <f t="shared" si="14"/>
        <v>1235.1940000000002</v>
      </c>
      <c r="R56" s="98">
        <v>10000</v>
      </c>
      <c r="S56" s="98">
        <v>0</v>
      </c>
      <c r="T56" s="99">
        <f t="shared" si="11"/>
        <v>375329.04949999996</v>
      </c>
      <c r="U56" s="98">
        <v>0</v>
      </c>
      <c r="V56" s="98">
        <f t="shared" si="12"/>
        <v>375329.04949999996</v>
      </c>
      <c r="W56" s="95"/>
    </row>
    <row r="57" spans="1:23" ht="20.100000000000001" customHeight="1" x14ac:dyDescent="0.3">
      <c r="A57" s="115" t="s">
        <v>117</v>
      </c>
      <c r="B57" s="115"/>
      <c r="C57" s="115"/>
      <c r="D57" s="57" t="s">
        <v>118</v>
      </c>
      <c r="E57" s="88" t="s">
        <v>119</v>
      </c>
      <c r="F57" s="60">
        <f>F58</f>
        <v>13112.2</v>
      </c>
      <c r="G57" s="60">
        <v>0</v>
      </c>
      <c r="H57" s="60"/>
      <c r="I57" s="60">
        <f t="shared" si="5"/>
        <v>39336.600000000006</v>
      </c>
      <c r="J57" s="60">
        <f>F57*7.5%</f>
        <v>983.41499999999996</v>
      </c>
      <c r="K57" s="60">
        <v>0</v>
      </c>
      <c r="L57" s="60">
        <f t="shared" si="7"/>
        <v>6556.1</v>
      </c>
      <c r="M57" s="58">
        <f t="shared" si="8"/>
        <v>45892.700000000004</v>
      </c>
      <c r="N57" s="60">
        <v>0</v>
      </c>
      <c r="O57" s="60">
        <f t="shared" si="9"/>
        <v>13112.2</v>
      </c>
      <c r="P57" s="60">
        <v>0</v>
      </c>
      <c r="Q57" s="60">
        <f t="shared" si="10"/>
        <v>1311.2200000000003</v>
      </c>
      <c r="R57" s="60">
        <v>10000</v>
      </c>
      <c r="S57" s="60">
        <v>0</v>
      </c>
      <c r="T57" s="58">
        <f t="shared" si="11"/>
        <v>130304.43500000001</v>
      </c>
      <c r="U57" s="60">
        <v>0</v>
      </c>
      <c r="V57" s="60">
        <f t="shared" si="12"/>
        <v>130304.43500000001</v>
      </c>
      <c r="W57" s="59">
        <f t="shared" ref="W57:W80" si="15">T57-U57</f>
        <v>130304.43500000001</v>
      </c>
    </row>
    <row r="58" spans="1:23" ht="20.100000000000001" customHeight="1" x14ac:dyDescent="0.3">
      <c r="A58" s="70" t="s">
        <v>120</v>
      </c>
      <c r="B58" s="70"/>
      <c r="C58" s="70"/>
      <c r="D58" s="62" t="s">
        <v>121</v>
      </c>
      <c r="E58" s="90" t="s">
        <v>119</v>
      </c>
      <c r="F58" s="60">
        <f>F60</f>
        <v>13112.2</v>
      </c>
      <c r="G58" s="60">
        <v>0</v>
      </c>
      <c r="H58" s="60"/>
      <c r="I58" s="60">
        <f t="shared" si="5"/>
        <v>39336.600000000006</v>
      </c>
      <c r="J58" s="60">
        <f>F58*7.5%</f>
        <v>983.41499999999996</v>
      </c>
      <c r="K58" s="60">
        <v>0</v>
      </c>
      <c r="L58" s="60">
        <f t="shared" si="7"/>
        <v>6556.1</v>
      </c>
      <c r="M58" s="58">
        <f t="shared" si="8"/>
        <v>45892.700000000004</v>
      </c>
      <c r="N58" s="60">
        <v>0</v>
      </c>
      <c r="O58" s="60">
        <f t="shared" si="9"/>
        <v>13112.2</v>
      </c>
      <c r="P58" s="60">
        <v>0</v>
      </c>
      <c r="Q58" s="60">
        <f t="shared" si="10"/>
        <v>1311.2200000000003</v>
      </c>
      <c r="R58" s="60">
        <f>R60</f>
        <v>10000</v>
      </c>
      <c r="S58" s="60">
        <f>S60</f>
        <v>0</v>
      </c>
      <c r="T58" s="58">
        <f>SUM(F58:S58)</f>
        <v>130304.43500000001</v>
      </c>
      <c r="U58" s="60">
        <v>0</v>
      </c>
      <c r="V58" s="60">
        <f t="shared" si="12"/>
        <v>130304.43500000001</v>
      </c>
      <c r="W58" s="59">
        <f t="shared" si="15"/>
        <v>130304.43500000001</v>
      </c>
    </row>
    <row r="59" spans="1:23" ht="20.100000000000001" customHeight="1" x14ac:dyDescent="0.3">
      <c r="A59" s="115" t="s">
        <v>122</v>
      </c>
      <c r="B59" s="115"/>
      <c r="C59" s="115"/>
      <c r="D59" s="57" t="s">
        <v>121</v>
      </c>
      <c r="E59" s="88" t="s">
        <v>123</v>
      </c>
      <c r="F59" s="58">
        <v>13112.2</v>
      </c>
      <c r="G59" s="60">
        <v>0</v>
      </c>
      <c r="H59" s="60"/>
      <c r="I59" s="60">
        <f>F59*300%</f>
        <v>39336.600000000006</v>
      </c>
      <c r="J59" s="60">
        <f t="shared" ref="J59:J64" si="16">F59*7.5%</f>
        <v>983.41499999999996</v>
      </c>
      <c r="K59" s="58">
        <v>0</v>
      </c>
      <c r="L59" s="60">
        <f>F59*50%</f>
        <v>6556.1</v>
      </c>
      <c r="M59" s="58">
        <f>F59*350%</f>
        <v>45892.700000000004</v>
      </c>
      <c r="N59" s="60">
        <v>0</v>
      </c>
      <c r="O59" s="60">
        <f>F59*100%</f>
        <v>13112.2</v>
      </c>
      <c r="P59" s="60">
        <v>0</v>
      </c>
      <c r="Q59" s="60">
        <f>F59*10%</f>
        <v>1311.2200000000003</v>
      </c>
      <c r="R59" s="60">
        <v>10000</v>
      </c>
      <c r="S59" s="60">
        <v>0</v>
      </c>
      <c r="T59" s="58">
        <f>SUM(F59:S59)</f>
        <v>130304.43500000001</v>
      </c>
      <c r="U59" s="58">
        <v>0</v>
      </c>
      <c r="V59" s="60">
        <f t="shared" si="12"/>
        <v>130304.43500000001</v>
      </c>
      <c r="W59" s="59">
        <f t="shared" si="15"/>
        <v>130304.43500000001</v>
      </c>
    </row>
    <row r="60" spans="1:23" ht="20.100000000000001" customHeight="1" x14ac:dyDescent="0.3">
      <c r="A60" s="115" t="s">
        <v>124</v>
      </c>
      <c r="B60" s="115"/>
      <c r="C60" s="115"/>
      <c r="D60" s="57" t="s">
        <v>121</v>
      </c>
      <c r="E60" s="88" t="s">
        <v>119</v>
      </c>
      <c r="F60" s="58">
        <f>F59</f>
        <v>13112.2</v>
      </c>
      <c r="G60" s="60">
        <v>0</v>
      </c>
      <c r="H60" s="60"/>
      <c r="I60" s="60">
        <f>F60*300%</f>
        <v>39336.600000000006</v>
      </c>
      <c r="J60" s="60">
        <f t="shared" si="16"/>
        <v>983.41499999999996</v>
      </c>
      <c r="K60" s="58">
        <v>0</v>
      </c>
      <c r="L60" s="60">
        <f>F60*50%</f>
        <v>6556.1</v>
      </c>
      <c r="M60" s="58">
        <f>F60*350%</f>
        <v>45892.700000000004</v>
      </c>
      <c r="N60" s="60">
        <v>0</v>
      </c>
      <c r="O60" s="60">
        <f>F60*100%</f>
        <v>13112.2</v>
      </c>
      <c r="P60" s="60">
        <v>0</v>
      </c>
      <c r="Q60" s="60">
        <f>F60*10%</f>
        <v>1311.2200000000003</v>
      </c>
      <c r="R60" s="60">
        <v>10000</v>
      </c>
      <c r="S60" s="60">
        <v>0</v>
      </c>
      <c r="T60" s="58">
        <f>SUM(F60:S60)</f>
        <v>130304.43500000001</v>
      </c>
      <c r="U60" s="58">
        <v>0</v>
      </c>
      <c r="V60" s="60">
        <f t="shared" si="12"/>
        <v>130304.43500000001</v>
      </c>
      <c r="W60" s="59">
        <f t="shared" si="15"/>
        <v>130304.43500000001</v>
      </c>
    </row>
    <row r="61" spans="1:23" ht="20.100000000000001" customHeight="1" x14ac:dyDescent="0.3">
      <c r="A61" s="115" t="s">
        <v>125</v>
      </c>
      <c r="B61" s="115"/>
      <c r="C61" s="115"/>
      <c r="D61" s="57" t="s">
        <v>126</v>
      </c>
      <c r="E61" s="88" t="s">
        <v>52</v>
      </c>
      <c r="F61" s="58">
        <f>F15</f>
        <v>12351.94</v>
      </c>
      <c r="G61" s="60">
        <v>0</v>
      </c>
      <c r="H61" s="60"/>
      <c r="I61" s="60">
        <f t="shared" si="5"/>
        <v>37055.82</v>
      </c>
      <c r="J61" s="60">
        <f t="shared" si="16"/>
        <v>926.39549999999997</v>
      </c>
      <c r="K61" s="60">
        <v>0</v>
      </c>
      <c r="L61" s="60">
        <f t="shared" si="7"/>
        <v>6175.97</v>
      </c>
      <c r="M61" s="58">
        <f t="shared" si="8"/>
        <v>43231.79</v>
      </c>
      <c r="N61" s="60">
        <v>0</v>
      </c>
      <c r="O61" s="60">
        <f t="shared" si="9"/>
        <v>12351.94</v>
      </c>
      <c r="P61" s="60">
        <v>0</v>
      </c>
      <c r="Q61" s="60">
        <f t="shared" si="10"/>
        <v>1235.1940000000002</v>
      </c>
      <c r="R61" s="60">
        <v>10000</v>
      </c>
      <c r="S61" s="60">
        <v>0</v>
      </c>
      <c r="T61" s="58">
        <f t="shared" si="11"/>
        <v>123329.04950000001</v>
      </c>
      <c r="U61" s="60">
        <v>0</v>
      </c>
      <c r="V61" s="60">
        <f t="shared" si="12"/>
        <v>123329.04950000001</v>
      </c>
      <c r="W61" s="59">
        <v>105890.22</v>
      </c>
    </row>
    <row r="62" spans="1:23" ht="20.100000000000001" customHeight="1" x14ac:dyDescent="0.3">
      <c r="A62" s="70" t="s">
        <v>127</v>
      </c>
      <c r="B62" s="70"/>
      <c r="C62" s="70"/>
      <c r="D62" s="57" t="s">
        <v>128</v>
      </c>
      <c r="E62" s="88" t="s">
        <v>129</v>
      </c>
      <c r="F62" s="79">
        <v>4542.3500000000004</v>
      </c>
      <c r="G62" s="60">
        <v>0</v>
      </c>
      <c r="H62" s="60"/>
      <c r="I62" s="60">
        <f>F62*300%</f>
        <v>13627.050000000001</v>
      </c>
      <c r="J62" s="60">
        <f t="shared" si="16"/>
        <v>340.67625000000004</v>
      </c>
      <c r="K62" s="79">
        <v>0</v>
      </c>
      <c r="L62" s="60">
        <f>F62*50%</f>
        <v>2271.1750000000002</v>
      </c>
      <c r="M62" s="58">
        <f>F62*350%</f>
        <v>15898.225000000002</v>
      </c>
      <c r="N62" s="60">
        <v>0</v>
      </c>
      <c r="O62" s="60">
        <f>F62*100%</f>
        <v>4542.3500000000004</v>
      </c>
      <c r="P62" s="60">
        <v>0</v>
      </c>
      <c r="Q62" s="60">
        <f>F62*10%</f>
        <v>454.23500000000007</v>
      </c>
      <c r="R62" s="79">
        <v>5000</v>
      </c>
      <c r="S62" s="60">
        <v>0</v>
      </c>
      <c r="T62" s="58">
        <f>SUM(F62:S62)</f>
        <v>46676.061250000006</v>
      </c>
      <c r="U62" s="58">
        <v>0</v>
      </c>
      <c r="V62" s="60">
        <f t="shared" si="12"/>
        <v>46676.061250000006</v>
      </c>
      <c r="W62" s="59">
        <f t="shared" si="15"/>
        <v>46676.061250000006</v>
      </c>
    </row>
    <row r="63" spans="1:23" ht="20.100000000000001" customHeight="1" x14ac:dyDescent="0.3">
      <c r="A63" s="115" t="s">
        <v>130</v>
      </c>
      <c r="B63" s="115"/>
      <c r="C63" s="115"/>
      <c r="D63" s="57" t="s">
        <v>128</v>
      </c>
      <c r="E63" s="88" t="s">
        <v>129</v>
      </c>
      <c r="F63" s="79">
        <v>4542.3500000000004</v>
      </c>
      <c r="G63" s="60">
        <v>0</v>
      </c>
      <c r="H63" s="60"/>
      <c r="I63" s="60">
        <f>F63*300%</f>
        <v>13627.050000000001</v>
      </c>
      <c r="J63" s="60">
        <f t="shared" si="16"/>
        <v>340.67625000000004</v>
      </c>
      <c r="K63" s="79">
        <v>0</v>
      </c>
      <c r="L63" s="60">
        <f>F63*50%</f>
        <v>2271.1750000000002</v>
      </c>
      <c r="M63" s="58">
        <f>F63*350%</f>
        <v>15898.225000000002</v>
      </c>
      <c r="N63" s="60">
        <v>0</v>
      </c>
      <c r="O63" s="60">
        <f>F63*100%</f>
        <v>4542.3500000000004</v>
      </c>
      <c r="P63" s="60">
        <v>0</v>
      </c>
      <c r="Q63" s="60">
        <f>F63*10%</f>
        <v>454.23500000000007</v>
      </c>
      <c r="R63" s="79">
        <v>5000</v>
      </c>
      <c r="S63" s="60">
        <v>0</v>
      </c>
      <c r="T63" s="58">
        <f>SUM(F63:S63)</f>
        <v>46676.061250000006</v>
      </c>
      <c r="U63" s="58">
        <v>0</v>
      </c>
      <c r="V63" s="60">
        <f t="shared" si="12"/>
        <v>46676.061250000006</v>
      </c>
      <c r="W63" s="59">
        <f t="shared" si="15"/>
        <v>46676.061250000006</v>
      </c>
    </row>
    <row r="64" spans="1:23" ht="20.100000000000001" customHeight="1" x14ac:dyDescent="0.3">
      <c r="A64" s="115" t="s">
        <v>131</v>
      </c>
      <c r="B64" s="115"/>
      <c r="C64" s="115"/>
      <c r="D64" s="57" t="s">
        <v>128</v>
      </c>
      <c r="E64" s="88" t="s">
        <v>129</v>
      </c>
      <c r="F64" s="60">
        <f>F69</f>
        <v>4542.3500000000004</v>
      </c>
      <c r="G64" s="60">
        <v>0</v>
      </c>
      <c r="H64" s="60"/>
      <c r="I64" s="60">
        <f t="shared" si="5"/>
        <v>13627.050000000001</v>
      </c>
      <c r="J64" s="60">
        <f t="shared" si="16"/>
        <v>340.67625000000004</v>
      </c>
      <c r="K64" s="60">
        <v>0</v>
      </c>
      <c r="L64" s="60">
        <f t="shared" si="7"/>
        <v>2271.1750000000002</v>
      </c>
      <c r="M64" s="58">
        <f t="shared" si="8"/>
        <v>15898.225000000002</v>
      </c>
      <c r="N64" s="60">
        <v>0</v>
      </c>
      <c r="O64" s="60">
        <f t="shared" si="9"/>
        <v>4542.3500000000004</v>
      </c>
      <c r="P64" s="60">
        <v>0</v>
      </c>
      <c r="Q64" s="60">
        <f t="shared" si="10"/>
        <v>454.23500000000007</v>
      </c>
      <c r="R64" s="60">
        <v>5000</v>
      </c>
      <c r="S64" s="60">
        <v>0</v>
      </c>
      <c r="T64" s="60">
        <f t="shared" si="11"/>
        <v>46676.061250000006</v>
      </c>
      <c r="U64" s="60">
        <v>0</v>
      </c>
      <c r="V64" s="60">
        <f t="shared" si="12"/>
        <v>46676.061250000006</v>
      </c>
      <c r="W64" s="59">
        <f t="shared" si="15"/>
        <v>46676.061250000006</v>
      </c>
    </row>
    <row r="65" spans="1:23" ht="20.100000000000001" customHeight="1" x14ac:dyDescent="0.3">
      <c r="A65" s="115" t="s">
        <v>132</v>
      </c>
      <c r="B65" s="115"/>
      <c r="C65" s="115"/>
      <c r="D65" s="57" t="s">
        <v>128</v>
      </c>
      <c r="E65" s="88" t="s">
        <v>129</v>
      </c>
      <c r="F65" s="60">
        <f>F64</f>
        <v>4542.3500000000004</v>
      </c>
      <c r="G65" s="60">
        <v>0</v>
      </c>
      <c r="H65" s="60"/>
      <c r="I65" s="60">
        <f t="shared" ref="I65:I71" si="17">F65*300%</f>
        <v>13627.050000000001</v>
      </c>
      <c r="J65" s="60">
        <f t="shared" ref="J65:J71" si="18">F65*7.5%</f>
        <v>340.67625000000004</v>
      </c>
      <c r="K65" s="60">
        <v>0</v>
      </c>
      <c r="L65" s="60">
        <f t="shared" ref="L65:L71" si="19">F65*50%</f>
        <v>2271.1750000000002</v>
      </c>
      <c r="M65" s="58">
        <f t="shared" ref="M65:M71" si="20">F65*350%</f>
        <v>15898.225000000002</v>
      </c>
      <c r="N65" s="60">
        <v>0</v>
      </c>
      <c r="O65" s="60">
        <f t="shared" ref="O65:O71" si="21">F65*100%</f>
        <v>4542.3500000000004</v>
      </c>
      <c r="P65" s="60">
        <v>0</v>
      </c>
      <c r="Q65" s="60">
        <f t="shared" ref="Q65:Q71" si="22">F65*10%</f>
        <v>454.23500000000007</v>
      </c>
      <c r="R65" s="60">
        <v>5000</v>
      </c>
      <c r="S65" s="60">
        <v>0</v>
      </c>
      <c r="T65" s="60">
        <f t="shared" si="11"/>
        <v>46676.061250000006</v>
      </c>
      <c r="U65" s="60">
        <v>0</v>
      </c>
      <c r="V65" s="60">
        <f t="shared" si="12"/>
        <v>46676.061250000006</v>
      </c>
      <c r="W65" s="59">
        <f t="shared" si="15"/>
        <v>46676.061250000006</v>
      </c>
    </row>
    <row r="66" spans="1:23" ht="20.100000000000001" customHeight="1" x14ac:dyDescent="0.3">
      <c r="A66" s="115" t="s">
        <v>133</v>
      </c>
      <c r="B66" s="115"/>
      <c r="C66" s="115"/>
      <c r="D66" s="57" t="s">
        <v>128</v>
      </c>
      <c r="E66" s="88" t="s">
        <v>129</v>
      </c>
      <c r="F66" s="60">
        <f>F65</f>
        <v>4542.3500000000004</v>
      </c>
      <c r="G66" s="60">
        <v>0</v>
      </c>
      <c r="H66" s="60"/>
      <c r="I66" s="60">
        <f t="shared" si="17"/>
        <v>13627.050000000001</v>
      </c>
      <c r="J66" s="60">
        <f t="shared" si="18"/>
        <v>340.67625000000004</v>
      </c>
      <c r="K66" s="60">
        <v>0</v>
      </c>
      <c r="L66" s="60">
        <f t="shared" si="19"/>
        <v>2271.1750000000002</v>
      </c>
      <c r="M66" s="58">
        <f t="shared" si="20"/>
        <v>15898.225000000002</v>
      </c>
      <c r="N66" s="60">
        <v>0</v>
      </c>
      <c r="O66" s="60">
        <f t="shared" si="21"/>
        <v>4542.3500000000004</v>
      </c>
      <c r="P66" s="60">
        <v>0</v>
      </c>
      <c r="Q66" s="60">
        <f t="shared" si="22"/>
        <v>454.23500000000007</v>
      </c>
      <c r="R66" s="60">
        <v>5000</v>
      </c>
      <c r="S66" s="60">
        <v>0</v>
      </c>
      <c r="T66" s="60">
        <f t="shared" si="11"/>
        <v>46676.061250000006</v>
      </c>
      <c r="U66" s="60">
        <v>0</v>
      </c>
      <c r="V66" s="60">
        <f t="shared" si="12"/>
        <v>46676.061250000006</v>
      </c>
      <c r="W66" s="59">
        <f t="shared" si="15"/>
        <v>46676.061250000006</v>
      </c>
    </row>
    <row r="67" spans="1:23" ht="20.100000000000001" customHeight="1" x14ac:dyDescent="0.3">
      <c r="A67" s="115" t="s">
        <v>134</v>
      </c>
      <c r="B67" s="115"/>
      <c r="C67" s="115"/>
      <c r="D67" s="57" t="s">
        <v>128</v>
      </c>
      <c r="E67" s="88" t="s">
        <v>129</v>
      </c>
      <c r="F67" s="60">
        <f>F66</f>
        <v>4542.3500000000004</v>
      </c>
      <c r="G67" s="60">
        <v>0</v>
      </c>
      <c r="H67" s="60"/>
      <c r="I67" s="60">
        <f t="shared" si="17"/>
        <v>13627.050000000001</v>
      </c>
      <c r="J67" s="60">
        <f t="shared" si="18"/>
        <v>340.67625000000004</v>
      </c>
      <c r="K67" s="60">
        <v>0</v>
      </c>
      <c r="L67" s="60">
        <f t="shared" si="19"/>
        <v>2271.1750000000002</v>
      </c>
      <c r="M67" s="58">
        <f t="shared" si="20"/>
        <v>15898.225000000002</v>
      </c>
      <c r="N67" s="60">
        <v>0</v>
      </c>
      <c r="O67" s="60">
        <f t="shared" si="21"/>
        <v>4542.3500000000004</v>
      </c>
      <c r="P67" s="60">
        <v>0</v>
      </c>
      <c r="Q67" s="60">
        <f t="shared" si="22"/>
        <v>454.23500000000007</v>
      </c>
      <c r="R67" s="60">
        <v>5000</v>
      </c>
      <c r="S67" s="60">
        <v>0</v>
      </c>
      <c r="T67" s="60">
        <f t="shared" si="11"/>
        <v>46676.061250000006</v>
      </c>
      <c r="U67" s="60">
        <v>0</v>
      </c>
      <c r="V67" s="60">
        <f t="shared" si="12"/>
        <v>46676.061250000006</v>
      </c>
      <c r="W67" s="59">
        <f t="shared" si="15"/>
        <v>46676.061250000006</v>
      </c>
    </row>
    <row r="68" spans="1:23" ht="20.100000000000001" customHeight="1" x14ac:dyDescent="0.3">
      <c r="A68" s="115" t="s">
        <v>135</v>
      </c>
      <c r="B68" s="115"/>
      <c r="C68" s="115"/>
      <c r="D68" s="57" t="s">
        <v>128</v>
      </c>
      <c r="E68" s="88" t="s">
        <v>129</v>
      </c>
      <c r="F68" s="60">
        <f>F67</f>
        <v>4542.3500000000004</v>
      </c>
      <c r="G68" s="60">
        <v>0</v>
      </c>
      <c r="H68" s="60"/>
      <c r="I68" s="60">
        <f t="shared" si="17"/>
        <v>13627.050000000001</v>
      </c>
      <c r="J68" s="60">
        <f t="shared" si="18"/>
        <v>340.67625000000004</v>
      </c>
      <c r="K68" s="60">
        <v>0</v>
      </c>
      <c r="L68" s="60">
        <f t="shared" si="19"/>
        <v>2271.1750000000002</v>
      </c>
      <c r="M68" s="58">
        <f t="shared" si="20"/>
        <v>15898.225000000002</v>
      </c>
      <c r="N68" s="60">
        <v>0</v>
      </c>
      <c r="O68" s="60">
        <f t="shared" si="21"/>
        <v>4542.3500000000004</v>
      </c>
      <c r="P68" s="60">
        <v>0</v>
      </c>
      <c r="Q68" s="60">
        <f t="shared" si="22"/>
        <v>454.23500000000007</v>
      </c>
      <c r="R68" s="60">
        <v>5000</v>
      </c>
      <c r="S68" s="60">
        <v>0</v>
      </c>
      <c r="T68" s="60">
        <f t="shared" si="11"/>
        <v>46676.061250000006</v>
      </c>
      <c r="U68" s="60">
        <v>0</v>
      </c>
      <c r="V68" s="60">
        <f t="shared" si="12"/>
        <v>46676.061250000006</v>
      </c>
      <c r="W68" s="59">
        <f t="shared" si="15"/>
        <v>46676.061250000006</v>
      </c>
    </row>
    <row r="69" spans="1:23" ht="20.100000000000001" customHeight="1" x14ac:dyDescent="0.3">
      <c r="A69" s="57" t="s">
        <v>136</v>
      </c>
      <c r="B69" s="57"/>
      <c r="C69" s="57"/>
      <c r="D69" s="62" t="s">
        <v>128</v>
      </c>
      <c r="E69" s="90" t="s">
        <v>129</v>
      </c>
      <c r="F69" s="79">
        <v>4542.3500000000004</v>
      </c>
      <c r="G69" s="60">
        <v>0</v>
      </c>
      <c r="H69" s="60"/>
      <c r="I69" s="60">
        <f>F69*300%</f>
        <v>13627.050000000001</v>
      </c>
      <c r="J69" s="60">
        <f>F69*7.5%</f>
        <v>340.67625000000004</v>
      </c>
      <c r="K69" s="79">
        <v>0</v>
      </c>
      <c r="L69" s="60">
        <f>F69*50%</f>
        <v>2271.1750000000002</v>
      </c>
      <c r="M69" s="58">
        <f>F69*350%</f>
        <v>15898.225000000002</v>
      </c>
      <c r="N69" s="60">
        <v>0</v>
      </c>
      <c r="O69" s="60">
        <f>F69*100%</f>
        <v>4542.3500000000004</v>
      </c>
      <c r="P69" s="60">
        <v>0</v>
      </c>
      <c r="Q69" s="60">
        <f>F69*10%</f>
        <v>454.23500000000007</v>
      </c>
      <c r="R69" s="79">
        <v>5000</v>
      </c>
      <c r="S69" s="60">
        <v>0</v>
      </c>
      <c r="T69" s="58">
        <f>SUM(F69:S69)</f>
        <v>46676.061250000006</v>
      </c>
      <c r="U69" s="60">
        <v>0</v>
      </c>
      <c r="V69" s="60">
        <f t="shared" si="12"/>
        <v>46676.061250000006</v>
      </c>
      <c r="W69" s="59">
        <f t="shared" si="15"/>
        <v>46676.061250000006</v>
      </c>
    </row>
    <row r="70" spans="1:23" ht="20.100000000000001" customHeight="1" x14ac:dyDescent="0.3">
      <c r="A70" s="115" t="s">
        <v>137</v>
      </c>
      <c r="B70" s="115"/>
      <c r="C70" s="115"/>
      <c r="D70" s="57" t="s">
        <v>128</v>
      </c>
      <c r="E70" s="88" t="s">
        <v>138</v>
      </c>
      <c r="F70" s="60">
        <v>3904.5</v>
      </c>
      <c r="G70" s="60">
        <v>0</v>
      </c>
      <c r="H70" s="60"/>
      <c r="I70" s="60">
        <f t="shared" si="17"/>
        <v>11713.5</v>
      </c>
      <c r="J70" s="60">
        <f t="shared" si="18"/>
        <v>292.83749999999998</v>
      </c>
      <c r="K70" s="60">
        <v>0</v>
      </c>
      <c r="L70" s="60">
        <f t="shared" si="19"/>
        <v>1952.25</v>
      </c>
      <c r="M70" s="58">
        <f t="shared" si="20"/>
        <v>13665.75</v>
      </c>
      <c r="N70" s="60">
        <v>0</v>
      </c>
      <c r="O70" s="60">
        <f t="shared" si="21"/>
        <v>3904.5</v>
      </c>
      <c r="P70" s="60">
        <v>0</v>
      </c>
      <c r="Q70" s="60">
        <f t="shared" si="22"/>
        <v>390.45000000000005</v>
      </c>
      <c r="R70" s="60">
        <v>5000</v>
      </c>
      <c r="S70" s="60">
        <v>0</v>
      </c>
      <c r="T70" s="60">
        <f t="shared" si="11"/>
        <v>40823.787499999999</v>
      </c>
      <c r="U70" s="60">
        <v>0</v>
      </c>
      <c r="V70" s="60">
        <f t="shared" si="12"/>
        <v>40823.787499999999</v>
      </c>
      <c r="W70" s="59">
        <f t="shared" si="15"/>
        <v>40823.787499999999</v>
      </c>
    </row>
    <row r="71" spans="1:23" ht="20.100000000000001" customHeight="1" x14ac:dyDescent="0.3">
      <c r="A71" s="115" t="s">
        <v>139</v>
      </c>
      <c r="B71" s="115"/>
      <c r="C71" s="115"/>
      <c r="D71" s="57" t="s">
        <v>128</v>
      </c>
      <c r="E71" s="88" t="s">
        <v>138</v>
      </c>
      <c r="F71" s="60">
        <v>3904.5</v>
      </c>
      <c r="G71" s="60">
        <v>0</v>
      </c>
      <c r="H71" s="60"/>
      <c r="I71" s="60">
        <f t="shared" si="17"/>
        <v>11713.5</v>
      </c>
      <c r="J71" s="60">
        <f t="shared" si="18"/>
        <v>292.83749999999998</v>
      </c>
      <c r="K71" s="60">
        <v>0</v>
      </c>
      <c r="L71" s="60">
        <f t="shared" si="19"/>
        <v>1952.25</v>
      </c>
      <c r="M71" s="58">
        <f t="shared" si="20"/>
        <v>13665.75</v>
      </c>
      <c r="N71" s="60">
        <v>0</v>
      </c>
      <c r="O71" s="60">
        <f t="shared" si="21"/>
        <v>3904.5</v>
      </c>
      <c r="P71" s="60">
        <v>0</v>
      </c>
      <c r="Q71" s="60">
        <f t="shared" si="22"/>
        <v>390.45000000000005</v>
      </c>
      <c r="R71" s="60">
        <v>5000</v>
      </c>
      <c r="S71" s="60">
        <v>0</v>
      </c>
      <c r="T71" s="60">
        <f t="shared" si="11"/>
        <v>40823.787499999999</v>
      </c>
      <c r="U71" s="60">
        <v>0</v>
      </c>
      <c r="V71" s="60">
        <f t="shared" si="12"/>
        <v>40823.787499999999</v>
      </c>
      <c r="W71" s="59">
        <f t="shared" si="15"/>
        <v>40823.787499999999</v>
      </c>
    </row>
    <row r="72" spans="1:23" ht="20.100000000000001" customHeight="1" x14ac:dyDescent="0.3">
      <c r="A72" s="118" t="s">
        <v>140</v>
      </c>
      <c r="B72" s="118"/>
      <c r="C72" s="118"/>
      <c r="D72" s="57" t="s">
        <v>141</v>
      </c>
      <c r="E72" s="88"/>
      <c r="F72" s="60">
        <v>90000</v>
      </c>
      <c r="G72" s="60">
        <v>0</v>
      </c>
      <c r="H72" s="60"/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  <c r="R72" s="60">
        <v>0</v>
      </c>
      <c r="S72" s="60">
        <v>0</v>
      </c>
      <c r="T72" s="60">
        <f t="shared" ref="T72:T80" si="23">F72</f>
        <v>90000</v>
      </c>
      <c r="U72" s="60">
        <v>0</v>
      </c>
      <c r="V72" s="60">
        <f t="shared" si="12"/>
        <v>90000</v>
      </c>
      <c r="W72" s="59">
        <f t="shared" si="15"/>
        <v>90000</v>
      </c>
    </row>
    <row r="73" spans="1:23" ht="20.100000000000001" customHeight="1" x14ac:dyDescent="0.3">
      <c r="A73" s="118" t="s">
        <v>142</v>
      </c>
      <c r="B73" s="118"/>
      <c r="C73" s="118"/>
      <c r="D73" s="57" t="s">
        <v>141</v>
      </c>
      <c r="E73" s="88"/>
      <c r="F73" s="60">
        <v>90000</v>
      </c>
      <c r="G73" s="60">
        <v>0</v>
      </c>
      <c r="H73" s="60"/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  <c r="R73" s="60">
        <v>0</v>
      </c>
      <c r="S73" s="60">
        <v>0</v>
      </c>
      <c r="T73" s="60">
        <f t="shared" si="23"/>
        <v>90000</v>
      </c>
      <c r="U73" s="60">
        <v>0</v>
      </c>
      <c r="V73" s="60">
        <f t="shared" si="12"/>
        <v>90000</v>
      </c>
      <c r="W73" s="59">
        <f t="shared" si="15"/>
        <v>90000</v>
      </c>
    </row>
    <row r="74" spans="1:23" ht="20.100000000000001" customHeight="1" x14ac:dyDescent="0.3">
      <c r="A74" s="118" t="s">
        <v>143</v>
      </c>
      <c r="B74" s="118"/>
      <c r="C74" s="118"/>
      <c r="D74" s="57" t="s">
        <v>144</v>
      </c>
      <c r="E74" s="88"/>
      <c r="F74" s="60">
        <v>45000</v>
      </c>
      <c r="G74" s="60">
        <v>0</v>
      </c>
      <c r="H74" s="60"/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  <c r="R74" s="60">
        <v>0</v>
      </c>
      <c r="S74" s="60">
        <v>0</v>
      </c>
      <c r="T74" s="60">
        <f t="shared" si="23"/>
        <v>45000</v>
      </c>
      <c r="U74" s="60">
        <v>0</v>
      </c>
      <c r="V74" s="60">
        <f t="shared" si="12"/>
        <v>45000</v>
      </c>
      <c r="W74" s="59">
        <f t="shared" si="15"/>
        <v>45000</v>
      </c>
    </row>
    <row r="75" spans="1:23" ht="20.100000000000001" customHeight="1" x14ac:dyDescent="0.3">
      <c r="A75" s="118" t="s">
        <v>145</v>
      </c>
      <c r="B75" s="118"/>
      <c r="C75" s="118"/>
      <c r="D75" s="57" t="s">
        <v>144</v>
      </c>
      <c r="E75" s="88"/>
      <c r="F75" s="60">
        <v>45000</v>
      </c>
      <c r="G75" s="60">
        <v>0</v>
      </c>
      <c r="H75" s="60"/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  <c r="R75" s="60">
        <v>0</v>
      </c>
      <c r="S75" s="60">
        <v>0</v>
      </c>
      <c r="T75" s="60">
        <f t="shared" si="23"/>
        <v>45000</v>
      </c>
      <c r="U75" s="60">
        <v>0</v>
      </c>
      <c r="V75" s="60">
        <f t="shared" si="12"/>
        <v>45000</v>
      </c>
      <c r="W75" s="59">
        <f t="shared" si="15"/>
        <v>45000</v>
      </c>
    </row>
    <row r="76" spans="1:23" ht="20.100000000000001" customHeight="1" x14ac:dyDescent="0.3">
      <c r="A76" s="118" t="s">
        <v>146</v>
      </c>
      <c r="B76" s="118"/>
      <c r="C76" s="118"/>
      <c r="D76" s="57" t="s">
        <v>144</v>
      </c>
      <c r="E76" s="88"/>
      <c r="F76" s="60">
        <v>45000</v>
      </c>
      <c r="G76" s="60">
        <v>0</v>
      </c>
      <c r="H76" s="60"/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  <c r="R76" s="60">
        <v>0</v>
      </c>
      <c r="S76" s="60">
        <v>0</v>
      </c>
      <c r="T76" s="60">
        <f t="shared" si="23"/>
        <v>45000</v>
      </c>
      <c r="U76" s="60">
        <v>0</v>
      </c>
      <c r="V76" s="60">
        <f t="shared" si="12"/>
        <v>45000</v>
      </c>
      <c r="W76" s="59">
        <f t="shared" si="15"/>
        <v>45000</v>
      </c>
    </row>
    <row r="77" spans="1:23" ht="20.100000000000001" customHeight="1" x14ac:dyDescent="0.3">
      <c r="A77" s="115" t="s">
        <v>147</v>
      </c>
      <c r="B77" s="115"/>
      <c r="C77" s="115"/>
      <c r="D77" s="57" t="s">
        <v>148</v>
      </c>
      <c r="E77" s="80"/>
      <c r="F77" s="60">
        <v>15000</v>
      </c>
      <c r="G77" s="60">
        <v>0</v>
      </c>
      <c r="H77" s="60"/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  <c r="R77" s="60">
        <v>0</v>
      </c>
      <c r="S77" s="60">
        <v>0</v>
      </c>
      <c r="T77" s="60">
        <f t="shared" si="23"/>
        <v>15000</v>
      </c>
      <c r="U77" s="60">
        <v>0</v>
      </c>
      <c r="V77" s="60">
        <f t="shared" si="12"/>
        <v>15000</v>
      </c>
      <c r="W77" s="59">
        <f t="shared" si="15"/>
        <v>15000</v>
      </c>
    </row>
    <row r="78" spans="1:23" ht="20.100000000000001" customHeight="1" x14ac:dyDescent="0.3">
      <c r="A78" s="115" t="s">
        <v>149</v>
      </c>
      <c r="B78" s="115"/>
      <c r="C78" s="115"/>
      <c r="D78" s="57" t="s">
        <v>148</v>
      </c>
      <c r="E78" s="80"/>
      <c r="F78" s="60">
        <v>15000</v>
      </c>
      <c r="G78" s="60">
        <v>0</v>
      </c>
      <c r="H78" s="60"/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  <c r="R78" s="60">
        <v>0</v>
      </c>
      <c r="S78" s="60">
        <v>0</v>
      </c>
      <c r="T78" s="60">
        <f t="shared" si="23"/>
        <v>15000</v>
      </c>
      <c r="U78" s="60">
        <v>0</v>
      </c>
      <c r="V78" s="60">
        <f t="shared" si="12"/>
        <v>15000</v>
      </c>
      <c r="W78" s="59">
        <f t="shared" si="15"/>
        <v>15000</v>
      </c>
    </row>
    <row r="79" spans="1:23" ht="20.100000000000001" customHeight="1" x14ac:dyDescent="0.3">
      <c r="A79" s="115" t="s">
        <v>150</v>
      </c>
      <c r="B79" s="115"/>
      <c r="C79" s="115"/>
      <c r="D79" s="57" t="s">
        <v>148</v>
      </c>
      <c r="E79" s="80"/>
      <c r="F79" s="60">
        <v>15000</v>
      </c>
      <c r="G79" s="60">
        <v>0</v>
      </c>
      <c r="H79" s="60"/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  <c r="R79" s="60">
        <v>0</v>
      </c>
      <c r="S79" s="60">
        <v>0</v>
      </c>
      <c r="T79" s="60">
        <f t="shared" si="23"/>
        <v>15000</v>
      </c>
      <c r="U79" s="60">
        <v>0</v>
      </c>
      <c r="V79" s="60">
        <f t="shared" si="12"/>
        <v>15000</v>
      </c>
      <c r="W79" s="59">
        <f t="shared" si="15"/>
        <v>15000</v>
      </c>
    </row>
    <row r="80" spans="1:23" ht="20.100000000000001" customHeight="1" x14ac:dyDescent="0.3">
      <c r="A80" s="115" t="s">
        <v>151</v>
      </c>
      <c r="B80" s="115"/>
      <c r="C80" s="115"/>
      <c r="D80" s="57" t="s">
        <v>148</v>
      </c>
      <c r="E80" s="80"/>
      <c r="F80" s="60">
        <v>15000</v>
      </c>
      <c r="G80" s="60">
        <v>0</v>
      </c>
      <c r="H80" s="60"/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  <c r="Q80" s="60">
        <v>0</v>
      </c>
      <c r="R80" s="60">
        <v>0</v>
      </c>
      <c r="S80" s="60">
        <v>0</v>
      </c>
      <c r="T80" s="60">
        <f t="shared" si="23"/>
        <v>15000</v>
      </c>
      <c r="U80" s="60">
        <v>0</v>
      </c>
      <c r="V80" s="60">
        <f t="shared" si="12"/>
        <v>15000</v>
      </c>
      <c r="W80" s="59">
        <f t="shared" si="15"/>
        <v>15000</v>
      </c>
    </row>
    <row r="81" spans="1:23" ht="20.100000000000001" customHeight="1" x14ac:dyDescent="0.3">
      <c r="A81" s="105" t="s">
        <v>55</v>
      </c>
      <c r="B81" s="106"/>
      <c r="C81" s="107"/>
      <c r="D81" s="80" t="s">
        <v>152</v>
      </c>
      <c r="E81" s="80"/>
      <c r="F81" s="71">
        <f>SUM(F33:F80)</f>
        <v>1005128.2753333331</v>
      </c>
      <c r="G81" s="71">
        <f>SUM(G33:G80)</f>
        <v>5236000</v>
      </c>
      <c r="H81" s="71">
        <f>SUM(H33:H80)</f>
        <v>0</v>
      </c>
      <c r="I81" s="71">
        <f t="shared" ref="I81:W81" si="24">SUM(I33:I80)</f>
        <v>1890384.8260000013</v>
      </c>
      <c r="J81" s="71">
        <f t="shared" si="24"/>
        <v>47259.620649999975</v>
      </c>
      <c r="K81" s="71">
        <f t="shared" si="24"/>
        <v>320977.52</v>
      </c>
      <c r="L81" s="71">
        <f t="shared" si="24"/>
        <v>315064.13766666653</v>
      </c>
      <c r="M81" s="71">
        <f t="shared" si="24"/>
        <v>2205448.9636666677</v>
      </c>
      <c r="N81" s="71">
        <f t="shared" si="24"/>
        <v>0</v>
      </c>
      <c r="O81" s="71">
        <f t="shared" si="24"/>
        <v>630128.27533333306</v>
      </c>
      <c r="P81" s="60">
        <f t="shared" si="24"/>
        <v>0</v>
      </c>
      <c r="Q81" s="71">
        <f t="shared" si="24"/>
        <v>63012.82753333338</v>
      </c>
      <c r="R81" s="71">
        <f t="shared" si="24"/>
        <v>411333.33333333337</v>
      </c>
      <c r="S81" s="71">
        <f t="shared" si="24"/>
        <v>0</v>
      </c>
      <c r="T81" s="71">
        <f t="shared" si="24"/>
        <v>12124737.779516662</v>
      </c>
      <c r="U81" s="71">
        <f t="shared" si="24"/>
        <v>0</v>
      </c>
      <c r="V81" s="71">
        <f t="shared" si="24"/>
        <v>12124737.779516662</v>
      </c>
      <c r="W81" s="73">
        <f t="shared" si="24"/>
        <v>3625456.9224999989</v>
      </c>
    </row>
    <row r="82" spans="1:23" ht="20.100000000000001" customHeight="1" x14ac:dyDescent="0.3">
      <c r="A82" s="116" t="s">
        <v>153</v>
      </c>
      <c r="B82" s="116"/>
      <c r="C82" s="116"/>
      <c r="D82" s="82"/>
      <c r="E82" s="92"/>
      <c r="F82" s="83">
        <f t="shared" ref="F82:W82" si="25">F17+F22+F30+F81</f>
        <v>1536461.5453333331</v>
      </c>
      <c r="G82" s="83">
        <f t="shared" si="25"/>
        <v>6244000</v>
      </c>
      <c r="H82" s="83">
        <f t="shared" si="25"/>
        <v>131762</v>
      </c>
      <c r="I82" s="83">
        <f t="shared" si="25"/>
        <v>3323895.8860000009</v>
      </c>
      <c r="J82" s="83">
        <f t="shared" si="25"/>
        <v>123219.58964999998</v>
      </c>
      <c r="K82" s="83">
        <f t="shared" si="25"/>
        <v>722199.42</v>
      </c>
      <c r="L82" s="83">
        <f t="shared" si="25"/>
        <v>572706.34266666649</v>
      </c>
      <c r="M82" s="83">
        <f t="shared" si="25"/>
        <v>3984871.0386666674</v>
      </c>
      <c r="N82" s="83">
        <f t="shared" si="25"/>
        <v>40122.19</v>
      </c>
      <c r="O82" s="83">
        <f t="shared" si="25"/>
        <v>1121339.3653333331</v>
      </c>
      <c r="P82" s="83">
        <f t="shared" si="25"/>
        <v>670000</v>
      </c>
      <c r="Q82" s="83">
        <f t="shared" si="25"/>
        <v>116146.16453333339</v>
      </c>
      <c r="R82" s="83">
        <f t="shared" si="25"/>
        <v>651333.33333333337</v>
      </c>
      <c r="S82" s="83">
        <f t="shared" si="25"/>
        <v>25235</v>
      </c>
      <c r="T82" s="83">
        <f t="shared" si="25"/>
        <v>19263291.856766663</v>
      </c>
      <c r="U82" s="83">
        <f t="shared" si="25"/>
        <v>0</v>
      </c>
      <c r="V82" s="83">
        <f t="shared" si="25"/>
        <v>18802689.779016662</v>
      </c>
      <c r="W82" s="83">
        <f t="shared" si="25"/>
        <v>9826476.9772500005</v>
      </c>
    </row>
    <row r="83" spans="1:23" ht="20.100000000000001" customHeight="1" x14ac:dyDescent="0.3">
      <c r="A83" s="108"/>
      <c r="B83" s="109"/>
      <c r="C83" s="110"/>
      <c r="D83" s="81"/>
      <c r="E83" s="93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</row>
    <row r="84" spans="1:23" ht="20.100000000000001" customHeight="1" x14ac:dyDescent="0.3">
      <c r="A84" s="111"/>
      <c r="B84" s="112"/>
      <c r="C84" s="113"/>
      <c r="D84" s="114" t="s">
        <v>154</v>
      </c>
      <c r="E84" s="114"/>
      <c r="F84" s="114"/>
      <c r="G84" s="114"/>
      <c r="H84" s="114"/>
      <c r="I84" s="114"/>
      <c r="J84" s="114"/>
      <c r="K84" s="114"/>
      <c r="L84" s="104" t="s">
        <v>155</v>
      </c>
      <c r="M84" s="104"/>
      <c r="N84" s="104"/>
      <c r="O84" s="104"/>
      <c r="P84" s="37"/>
      <c r="Q84" s="104" t="s">
        <v>156</v>
      </c>
      <c r="R84" s="104"/>
      <c r="S84" s="104"/>
      <c r="T84" s="104"/>
      <c r="U84" s="26"/>
      <c r="V84" s="26"/>
      <c r="W84" s="26"/>
    </row>
    <row r="85" spans="1:23" ht="20.100000000000001" customHeight="1" x14ac:dyDescent="0.3">
      <c r="A85" s="111"/>
      <c r="B85" s="112"/>
      <c r="C85" s="113"/>
      <c r="D85" s="114"/>
      <c r="E85" s="114"/>
      <c r="F85" s="114"/>
      <c r="G85" s="114"/>
      <c r="H85" s="114"/>
      <c r="I85" s="114"/>
      <c r="J85" s="114"/>
      <c r="K85" s="114"/>
      <c r="L85" s="104"/>
      <c r="M85" s="104"/>
      <c r="N85" s="104"/>
      <c r="O85" s="104"/>
      <c r="P85" s="37"/>
      <c r="Q85" s="104"/>
      <c r="R85" s="104"/>
      <c r="S85" s="104"/>
      <c r="T85" s="104"/>
      <c r="U85" s="26"/>
      <c r="V85" s="26"/>
      <c r="W85" s="26"/>
    </row>
    <row r="86" spans="1:23" ht="20.100000000000001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20.100000000000001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20.100000000000001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20.100000000000001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20.100000000000001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20.100000000000001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20.100000000000001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20.100000000000001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20.100000000000001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20.100000000000001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20.100000000000001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20.100000000000001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20.100000000000001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20.100000000000001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20.100000000000001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20.100000000000001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20.100000000000001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20.100000000000001" customHeight="1" x14ac:dyDescent="0.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</sheetData>
  <mergeCells count="82">
    <mergeCell ref="A73:C73"/>
    <mergeCell ref="A74:C74"/>
    <mergeCell ref="A42:C42"/>
    <mergeCell ref="A56:C56"/>
    <mergeCell ref="A46:C46"/>
    <mergeCell ref="A48:C48"/>
    <mergeCell ref="A49:C49"/>
    <mergeCell ref="A54:C54"/>
    <mergeCell ref="A71:C71"/>
    <mergeCell ref="A50:C50"/>
    <mergeCell ref="A45:C45"/>
    <mergeCell ref="A44:C44"/>
    <mergeCell ref="A47:C47"/>
    <mergeCell ref="A67:C67"/>
    <mergeCell ref="A16:C16"/>
    <mergeCell ref="A29:C29"/>
    <mergeCell ref="A23:C23"/>
    <mergeCell ref="A26:C26"/>
    <mergeCell ref="A20:C20"/>
    <mergeCell ref="A28:C28"/>
    <mergeCell ref="A25:C25"/>
    <mergeCell ref="A17:C17"/>
    <mergeCell ref="A18:C18"/>
    <mergeCell ref="A22:C22"/>
    <mergeCell ref="A30:C30"/>
    <mergeCell ref="A64:C64"/>
    <mergeCell ref="A65:C65"/>
    <mergeCell ref="A57:C57"/>
    <mergeCell ref="A33:C33"/>
    <mergeCell ref="A32:C32"/>
    <mergeCell ref="A43:C43"/>
    <mergeCell ref="A36:C36"/>
    <mergeCell ref="A52:C52"/>
    <mergeCell ref="A53:C53"/>
    <mergeCell ref="A41:C41"/>
    <mergeCell ref="A39:C39"/>
    <mergeCell ref="A38:C38"/>
    <mergeCell ref="A40:C40"/>
    <mergeCell ref="A66:C66"/>
    <mergeCell ref="A70:C70"/>
    <mergeCell ref="A68:C68"/>
    <mergeCell ref="A72:C72"/>
    <mergeCell ref="A37:C37"/>
    <mergeCell ref="F5:T5"/>
    <mergeCell ref="A6:C6"/>
    <mergeCell ref="A5:C5"/>
    <mergeCell ref="A13:C13"/>
    <mergeCell ref="A7:C7"/>
    <mergeCell ref="A10:C10"/>
    <mergeCell ref="A8:C8"/>
    <mergeCell ref="A3:E3"/>
    <mergeCell ref="A9:C9"/>
    <mergeCell ref="A12:C12"/>
    <mergeCell ref="A15:C15"/>
    <mergeCell ref="A11:C11"/>
    <mergeCell ref="A14:C14"/>
    <mergeCell ref="A79:C79"/>
    <mergeCell ref="A82:C82"/>
    <mergeCell ref="A80:C80"/>
    <mergeCell ref="A27:C27"/>
    <mergeCell ref="A34:C34"/>
    <mergeCell ref="A35:C35"/>
    <mergeCell ref="A61:C61"/>
    <mergeCell ref="A77:C77"/>
    <mergeCell ref="A60:C60"/>
    <mergeCell ref="A59:C59"/>
    <mergeCell ref="A78:C78"/>
    <mergeCell ref="A51:C51"/>
    <mergeCell ref="A55:C55"/>
    <mergeCell ref="A63:C63"/>
    <mergeCell ref="A75:C75"/>
    <mergeCell ref="A76:C76"/>
    <mergeCell ref="R84:T85"/>
    <mergeCell ref="A81:C81"/>
    <mergeCell ref="A83:C83"/>
    <mergeCell ref="A84:C84"/>
    <mergeCell ref="A85:C85"/>
    <mergeCell ref="E84:K85"/>
    <mergeCell ref="L84:L85"/>
    <mergeCell ref="M84:O85"/>
    <mergeCell ref="Q84:Q85"/>
    <mergeCell ref="D84:D85"/>
  </mergeCells>
  <phoneticPr fontId="0" type="noConversion"/>
  <pageMargins left="0.17" right="0.17" top="0.17" bottom="0.06" header="0.13" footer="0.01"/>
  <pageSetup paperSize="9" scale="3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topLeftCell="A26" zoomScaleNormal="100" workbookViewId="0">
      <selection activeCell="A45" sqref="A45:F45"/>
    </sheetView>
  </sheetViews>
  <sheetFormatPr defaultRowHeight="12.75" x14ac:dyDescent="0.2"/>
  <cols>
    <col min="1" max="1" width="4.5703125" customWidth="1"/>
    <col min="4" max="4" width="12.5703125" customWidth="1"/>
    <col min="5" max="5" width="19" customWidth="1"/>
    <col min="6" max="6" width="24.140625" customWidth="1"/>
    <col min="7" max="7" width="18.140625" customWidth="1"/>
    <col min="8" max="8" width="20.140625" customWidth="1"/>
  </cols>
  <sheetData>
    <row r="1" spans="1:8" ht="20.25" x14ac:dyDescent="0.3">
      <c r="A1" s="147" t="s">
        <v>157</v>
      </c>
      <c r="B1" s="147"/>
      <c r="C1" s="147"/>
      <c r="D1" s="147"/>
      <c r="E1" s="147"/>
      <c r="F1" s="147"/>
      <c r="G1" s="147"/>
      <c r="H1" s="147"/>
    </row>
    <row r="2" spans="1:8" ht="14.25" customHeight="1" x14ac:dyDescent="0.3">
      <c r="A2" s="6"/>
      <c r="B2" s="6"/>
      <c r="C2" s="6"/>
      <c r="D2" s="6"/>
      <c r="E2" s="6"/>
      <c r="F2" s="6"/>
      <c r="G2" s="6"/>
      <c r="H2" s="6"/>
    </row>
    <row r="3" spans="1:8" ht="12.75" customHeight="1" x14ac:dyDescent="0.3">
      <c r="A3" s="1"/>
      <c r="B3" s="1"/>
      <c r="C3" s="1"/>
      <c r="D3" s="1"/>
      <c r="E3" s="1"/>
      <c r="F3" s="1"/>
      <c r="G3" s="1"/>
      <c r="H3" s="34"/>
    </row>
    <row r="4" spans="1:8" ht="20.25" x14ac:dyDescent="0.3">
      <c r="A4" s="148" t="s">
        <v>158</v>
      </c>
      <c r="B4" s="148"/>
      <c r="C4" s="148"/>
      <c r="D4" s="148"/>
      <c r="E4" s="148"/>
      <c r="F4" s="148"/>
      <c r="G4" s="148"/>
      <c r="H4" s="148"/>
    </row>
    <row r="5" spans="1:8" ht="15" customHeight="1" x14ac:dyDescent="0.3">
      <c r="A5" s="1"/>
      <c r="B5" s="1"/>
      <c r="C5" s="1"/>
      <c r="D5" s="1"/>
      <c r="E5" s="1"/>
      <c r="F5" s="1"/>
      <c r="G5" s="1"/>
      <c r="H5" s="1"/>
    </row>
    <row r="6" spans="1:8" ht="14.25" customHeight="1" x14ac:dyDescent="0.3">
      <c r="A6" s="1"/>
      <c r="B6" s="1"/>
      <c r="C6" s="1"/>
      <c r="D6" s="1"/>
      <c r="E6" s="1"/>
      <c r="F6" s="1"/>
      <c r="G6" s="1"/>
      <c r="H6" s="1"/>
    </row>
    <row r="7" spans="1:8" ht="18.75" x14ac:dyDescent="0.3">
      <c r="A7" s="16" t="s">
        <v>159</v>
      </c>
      <c r="B7" s="16"/>
      <c r="C7" s="16"/>
      <c r="D7" s="16"/>
      <c r="E7" s="16"/>
      <c r="F7" s="16"/>
      <c r="G7" s="1"/>
      <c r="H7" s="1"/>
    </row>
    <row r="8" spans="1:8" ht="18.75" x14ac:dyDescent="0.3">
      <c r="A8" s="144" t="s">
        <v>160</v>
      </c>
      <c r="B8" s="144"/>
      <c r="C8" s="144"/>
      <c r="D8" s="144"/>
      <c r="E8" s="144"/>
      <c r="F8" s="144"/>
      <c r="G8" s="1"/>
      <c r="H8" s="1"/>
    </row>
    <row r="9" spans="1:8" ht="18.75" x14ac:dyDescent="0.3">
      <c r="A9" s="144" t="s">
        <v>161</v>
      </c>
      <c r="B9" s="144"/>
      <c r="C9" s="144"/>
      <c r="D9" s="144"/>
      <c r="E9" s="144"/>
      <c r="F9" s="144"/>
      <c r="G9" s="1"/>
      <c r="H9" s="1"/>
    </row>
    <row r="10" spans="1:8" ht="18.75" x14ac:dyDescent="0.3">
      <c r="A10" s="144" t="s">
        <v>162</v>
      </c>
      <c r="B10" s="144"/>
      <c r="C10" s="144"/>
      <c r="D10" s="144"/>
      <c r="E10" s="144"/>
      <c r="F10" s="1"/>
      <c r="G10" s="1"/>
      <c r="H10" s="1"/>
    </row>
    <row r="11" spans="1:8" ht="18.75" x14ac:dyDescent="0.3">
      <c r="A11" s="1"/>
      <c r="B11" s="1"/>
      <c r="C11" s="1"/>
      <c r="D11" s="1"/>
      <c r="E11" s="1"/>
      <c r="F11" s="1"/>
      <c r="G11" s="1"/>
      <c r="H11" s="1"/>
    </row>
    <row r="12" spans="1:8" ht="18.75" x14ac:dyDescent="0.3">
      <c r="A12" s="20" t="s">
        <v>163</v>
      </c>
      <c r="B12" s="20"/>
      <c r="C12" s="20"/>
      <c r="D12" s="20"/>
      <c r="E12" s="20"/>
      <c r="F12" s="16"/>
      <c r="G12" s="1"/>
      <c r="H12" s="1"/>
    </row>
    <row r="13" spans="1:8" ht="23.25" customHeight="1" x14ac:dyDescent="0.3">
      <c r="A13" s="1"/>
      <c r="B13" s="1"/>
      <c r="C13" s="1"/>
      <c r="D13" s="1"/>
      <c r="E13" s="1"/>
      <c r="F13" s="1"/>
      <c r="G13" s="1"/>
      <c r="H13" s="1"/>
    </row>
    <row r="14" spans="1:8" ht="22.5" customHeight="1" x14ac:dyDescent="0.3">
      <c r="A14" s="1" t="s">
        <v>164</v>
      </c>
      <c r="B14" s="1"/>
      <c r="C14" s="1"/>
      <c r="D14" s="1"/>
      <c r="E14" s="1"/>
      <c r="F14" s="1"/>
      <c r="G14" s="1"/>
      <c r="H14" s="1"/>
    </row>
    <row r="15" spans="1:8" ht="13.15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18.75" x14ac:dyDescent="0.3">
      <c r="A16" s="1"/>
      <c r="B16" s="1"/>
      <c r="C16" s="1"/>
      <c r="D16" s="1"/>
      <c r="E16" s="149" t="s">
        <v>14</v>
      </c>
      <c r="F16" s="149"/>
      <c r="G16" s="150" t="s">
        <v>165</v>
      </c>
      <c r="H16" s="151"/>
    </row>
    <row r="17" spans="1:8" ht="18.75" x14ac:dyDescent="0.3">
      <c r="A17" s="1"/>
      <c r="B17" s="1"/>
      <c r="C17" s="1"/>
      <c r="D17" s="1"/>
      <c r="E17" s="2" t="s">
        <v>166</v>
      </c>
      <c r="F17" s="7" t="s">
        <v>167</v>
      </c>
      <c r="G17" s="2" t="s">
        <v>166</v>
      </c>
      <c r="H17" s="33" t="s">
        <v>167</v>
      </c>
    </row>
    <row r="18" spans="1:8" ht="18.75" x14ac:dyDescent="0.3">
      <c r="A18" s="1"/>
      <c r="B18" s="1"/>
      <c r="C18" s="1"/>
      <c r="D18" s="1"/>
      <c r="E18" s="2" t="s">
        <v>168</v>
      </c>
      <c r="F18" s="8" t="s">
        <v>32</v>
      </c>
      <c r="G18" s="2" t="s">
        <v>168</v>
      </c>
      <c r="H18" s="8" t="s">
        <v>32</v>
      </c>
    </row>
    <row r="19" spans="1:8" ht="18.75" x14ac:dyDescent="0.3">
      <c r="A19" s="16">
        <v>1</v>
      </c>
      <c r="B19" s="146" t="s">
        <v>169</v>
      </c>
      <c r="C19" s="144"/>
      <c r="D19" s="145"/>
      <c r="E19" s="3">
        <f>'April 2012'!D17</f>
        <v>8</v>
      </c>
      <c r="F19" s="4">
        <f>'April 2012'!V17</f>
        <v>3940365.4697500002</v>
      </c>
      <c r="G19" s="3">
        <v>1</v>
      </c>
      <c r="H19" s="4">
        <f>'April 2012'!W17</f>
        <v>3361396.5647500004</v>
      </c>
    </row>
    <row r="20" spans="1:8" ht="18.75" x14ac:dyDescent="0.3">
      <c r="A20" s="16">
        <v>2</v>
      </c>
      <c r="B20" s="144" t="s">
        <v>170</v>
      </c>
      <c r="C20" s="144"/>
      <c r="D20" s="145"/>
      <c r="E20" s="3">
        <f>'April 2012'!D22</f>
        <v>1</v>
      </c>
      <c r="F20" s="4">
        <f>'April 2012'!V22</f>
        <v>524023.33374999999</v>
      </c>
      <c r="G20" s="3">
        <v>1</v>
      </c>
      <c r="H20" s="4">
        <f>'April 2012'!W22</f>
        <v>724023.33</v>
      </c>
    </row>
    <row r="21" spans="1:8" ht="18.75" x14ac:dyDescent="0.3">
      <c r="A21" s="16">
        <v>3</v>
      </c>
      <c r="B21" s="144" t="s">
        <v>171</v>
      </c>
      <c r="C21" s="144"/>
      <c r="D21" s="145"/>
      <c r="E21" s="3">
        <f>'April 2012'!D30</f>
        <v>5</v>
      </c>
      <c r="F21" s="4">
        <f>'April 2012'!V30</f>
        <v>2213563.196</v>
      </c>
      <c r="G21" s="3">
        <v>3</v>
      </c>
      <c r="H21" s="4">
        <f>'April 2012'!W30</f>
        <v>2115600.16</v>
      </c>
    </row>
    <row r="22" spans="1:8" ht="18.75" x14ac:dyDescent="0.3">
      <c r="A22" s="16">
        <v>4</v>
      </c>
      <c r="B22" s="144" t="s">
        <v>172</v>
      </c>
      <c r="C22" s="144"/>
      <c r="D22" s="145"/>
      <c r="E22" s="27" t="str">
        <f>'April 2012'!D81</f>
        <v>48</v>
      </c>
      <c r="F22" s="4">
        <f>'April 2012'!V81</f>
        <v>12124737.779516662</v>
      </c>
      <c r="G22" s="3">
        <v>28</v>
      </c>
      <c r="H22" s="4">
        <f>'April 2012'!W81</f>
        <v>3625456.9224999989</v>
      </c>
    </row>
    <row r="23" spans="1:8" ht="18.75" x14ac:dyDescent="0.3">
      <c r="A23" s="1"/>
      <c r="B23" s="1"/>
      <c r="C23" s="1"/>
      <c r="D23" s="1"/>
      <c r="E23" s="9">
        <v>62</v>
      </c>
      <c r="F23" s="5">
        <f>SUM(F19:F22)</f>
        <v>18802689.779016662</v>
      </c>
      <c r="G23" s="9">
        <f>SUM(G19:G22)</f>
        <v>33</v>
      </c>
      <c r="H23" s="5">
        <f>SUM(H19:H22)</f>
        <v>9826476.9772500005</v>
      </c>
    </row>
    <row r="24" spans="1:8" ht="18.75" x14ac:dyDescent="0.3">
      <c r="A24" s="1"/>
      <c r="B24" s="1"/>
      <c r="C24" s="1"/>
      <c r="D24" s="1"/>
      <c r="E24" s="1"/>
      <c r="F24" s="1"/>
      <c r="G24" s="1"/>
      <c r="H24" s="1"/>
    </row>
    <row r="25" spans="1:8" ht="18.75" x14ac:dyDescent="0.3">
      <c r="A25" s="152" t="s">
        <v>173</v>
      </c>
      <c r="B25" s="152"/>
      <c r="C25" s="152"/>
      <c r="D25" s="152"/>
      <c r="E25" s="152"/>
      <c r="F25" s="152"/>
      <c r="G25" s="152"/>
      <c r="H25" s="152"/>
    </row>
    <row r="26" spans="1:8" ht="18.75" x14ac:dyDescent="0.3">
      <c r="A26" s="10"/>
      <c r="B26" s="1"/>
      <c r="C26" s="1"/>
      <c r="D26" s="1"/>
      <c r="E26" s="1"/>
      <c r="F26" s="1"/>
      <c r="G26" s="1"/>
      <c r="H26" s="1"/>
    </row>
    <row r="27" spans="1:8" ht="18.75" x14ac:dyDescent="0.3">
      <c r="A27" s="144" t="s">
        <v>174</v>
      </c>
      <c r="B27" s="144"/>
      <c r="C27" s="144"/>
      <c r="D27" s="144"/>
      <c r="E27" s="144"/>
      <c r="F27" s="144"/>
      <c r="G27" s="1"/>
      <c r="H27" s="14">
        <f>F23</f>
        <v>18802689.779016662</v>
      </c>
    </row>
    <row r="28" spans="1:8" ht="18.75" x14ac:dyDescent="0.3">
      <c r="A28" s="144" t="s">
        <v>175</v>
      </c>
      <c r="B28" s="144"/>
      <c r="C28" s="144"/>
      <c r="D28" s="144"/>
      <c r="E28" s="144"/>
      <c r="F28" s="144"/>
      <c r="G28" s="144"/>
      <c r="H28" s="15">
        <f>H23</f>
        <v>9826476.9772500005</v>
      </c>
    </row>
    <row r="29" spans="1:8" ht="18.75" x14ac:dyDescent="0.3">
      <c r="A29" s="155" t="s">
        <v>176</v>
      </c>
      <c r="B29" s="155"/>
      <c r="C29" s="155"/>
      <c r="D29" s="155"/>
      <c r="E29" s="155"/>
      <c r="F29" s="155"/>
      <c r="G29" s="155"/>
      <c r="H29" s="17">
        <f>H27-H28</f>
        <v>8976212.8017666619</v>
      </c>
    </row>
    <row r="30" spans="1:8" ht="12" customHeight="1" x14ac:dyDescent="0.3">
      <c r="A30" s="1"/>
      <c r="B30" s="1"/>
      <c r="C30" s="1"/>
      <c r="D30" s="1"/>
      <c r="E30" s="1"/>
      <c r="F30" s="1"/>
      <c r="G30" s="1"/>
      <c r="H30" s="1"/>
    </row>
    <row r="31" spans="1:8" ht="11.25" customHeight="1" x14ac:dyDescent="0.3">
      <c r="A31" s="1"/>
      <c r="B31" s="1"/>
      <c r="C31" s="1"/>
      <c r="D31" s="1"/>
      <c r="E31" s="1"/>
      <c r="F31" s="1"/>
      <c r="G31" s="1"/>
      <c r="H31" s="1"/>
    </row>
    <row r="32" spans="1:8" ht="18.75" x14ac:dyDescent="0.3">
      <c r="A32" s="153" t="s">
        <v>177</v>
      </c>
      <c r="B32" s="153"/>
      <c r="C32" s="153"/>
      <c r="D32" s="153"/>
      <c r="E32" s="153"/>
      <c r="F32" s="153"/>
      <c r="G32" s="1"/>
      <c r="H32" s="1"/>
    </row>
    <row r="33" spans="1:14" ht="18.75" x14ac:dyDescent="0.3">
      <c r="A33" s="153" t="s">
        <v>178</v>
      </c>
      <c r="B33" s="153"/>
      <c r="C33" s="153"/>
      <c r="D33" s="153"/>
      <c r="E33" s="153"/>
      <c r="F33" s="1"/>
      <c r="G33" s="1"/>
      <c r="H33" s="22">
        <f>H23</f>
        <v>9826476.9772500005</v>
      </c>
    </row>
    <row r="34" spans="1:14" ht="18.75" x14ac:dyDescent="0.3">
      <c r="A34" s="144" t="s">
        <v>179</v>
      </c>
      <c r="B34" s="144"/>
      <c r="C34" s="144"/>
      <c r="D34" s="144"/>
      <c r="E34" s="144"/>
      <c r="F34" s="144"/>
      <c r="G34" s="36">
        <f>4422057.81-208602.08</f>
        <v>4213455.7299999995</v>
      </c>
      <c r="H34" s="22"/>
    </row>
    <row r="35" spans="1:14" ht="18.75" x14ac:dyDescent="0.3">
      <c r="A35" s="144" t="s">
        <v>180</v>
      </c>
      <c r="B35" s="144"/>
      <c r="C35" s="144"/>
      <c r="D35" s="144"/>
      <c r="E35" s="144"/>
      <c r="F35" s="144"/>
      <c r="G35" s="85">
        <f>6244000-252000</f>
        <v>5992000</v>
      </c>
      <c r="H35" s="22"/>
    </row>
    <row r="36" spans="1:14" ht="18.75" x14ac:dyDescent="0.3">
      <c r="A36" s="144" t="s">
        <v>181</v>
      </c>
      <c r="B36" s="144"/>
      <c r="C36" s="144"/>
      <c r="D36" s="144"/>
      <c r="E36" s="144"/>
      <c r="F36" s="144"/>
      <c r="G36" s="85">
        <v>34877.660000000003</v>
      </c>
      <c r="H36" s="22"/>
    </row>
    <row r="37" spans="1:14" ht="18.75" x14ac:dyDescent="0.3">
      <c r="A37" s="144" t="s">
        <v>182</v>
      </c>
      <c r="B37" s="144"/>
      <c r="C37" s="144"/>
      <c r="D37" s="144"/>
      <c r="E37" s="144"/>
      <c r="F37" s="144"/>
      <c r="G37" s="85">
        <v>451879.41</v>
      </c>
      <c r="H37" s="22"/>
    </row>
    <row r="38" spans="1:14" ht="18.75" x14ac:dyDescent="0.3">
      <c r="A38" s="144" t="s">
        <v>183</v>
      </c>
      <c r="B38" s="144"/>
      <c r="C38" s="144"/>
      <c r="D38" s="144"/>
      <c r="E38" s="144"/>
      <c r="F38" s="144"/>
      <c r="G38" s="36">
        <v>-616000</v>
      </c>
      <c r="H38" s="22"/>
    </row>
    <row r="39" spans="1:14" ht="21" x14ac:dyDescent="0.45">
      <c r="A39" s="144" t="s">
        <v>184</v>
      </c>
      <c r="B39" s="144"/>
      <c r="C39" s="144"/>
      <c r="D39" s="144"/>
      <c r="E39" s="144"/>
      <c r="F39" s="144"/>
      <c r="G39" s="36">
        <v>-1100000</v>
      </c>
      <c r="H39" s="35">
        <f>SUM(G34:G39)</f>
        <v>8976212.8000000007</v>
      </c>
    </row>
    <row r="40" spans="1:14" ht="18.75" x14ac:dyDescent="0.3">
      <c r="A40" s="1"/>
      <c r="B40" s="1"/>
      <c r="C40" s="1"/>
      <c r="D40" s="1"/>
      <c r="E40" s="1"/>
      <c r="F40" s="16"/>
      <c r="G40" s="1"/>
      <c r="H40" s="22">
        <f>H33+H39</f>
        <v>18802689.777249999</v>
      </c>
    </row>
    <row r="41" spans="1:14" ht="18.75" x14ac:dyDescent="0.3">
      <c r="A41" s="144"/>
      <c r="B41" s="144"/>
      <c r="C41" s="144"/>
      <c r="D41" s="144"/>
      <c r="E41" s="144"/>
      <c r="F41" s="144"/>
      <c r="G41" s="1"/>
      <c r="H41" s="23"/>
    </row>
    <row r="42" spans="1:14" ht="23.25" x14ac:dyDescent="0.6">
      <c r="A42" s="153" t="s">
        <v>185</v>
      </c>
      <c r="B42" s="153"/>
      <c r="C42" s="153"/>
      <c r="D42" s="153"/>
      <c r="E42" s="153"/>
      <c r="F42" s="1"/>
      <c r="G42" s="1"/>
      <c r="H42" s="24">
        <f>'April 2012'!V82</f>
        <v>18802689.779016662</v>
      </c>
    </row>
    <row r="43" spans="1:14" ht="15" customHeight="1" x14ac:dyDescent="0.3">
      <c r="A43" s="1"/>
      <c r="B43" s="1"/>
      <c r="C43" s="1"/>
      <c r="D43" s="1"/>
      <c r="E43" s="1"/>
      <c r="F43" s="16"/>
      <c r="G43" s="1"/>
      <c r="H43" s="22"/>
    </row>
    <row r="44" spans="1:14" ht="25.5" customHeight="1" x14ac:dyDescent="0.3">
      <c r="A44" s="144" t="s">
        <v>186</v>
      </c>
      <c r="B44" s="144"/>
      <c r="C44" s="144"/>
      <c r="D44" s="144"/>
      <c r="E44" s="144"/>
      <c r="F44" s="144"/>
      <c r="G44" s="144"/>
      <c r="H44" s="144"/>
      <c r="I44" s="1"/>
      <c r="J44" s="1"/>
      <c r="K44" s="1"/>
      <c r="L44" s="1"/>
      <c r="M44" s="1"/>
      <c r="N44" s="1"/>
    </row>
    <row r="45" spans="1:14" ht="25.5" customHeight="1" x14ac:dyDescent="0.3">
      <c r="A45" s="144" t="s">
        <v>187</v>
      </c>
      <c r="B45" s="144"/>
      <c r="C45" s="144"/>
      <c r="D45" s="144"/>
      <c r="E45" s="144"/>
      <c r="F45" s="144"/>
      <c r="G45" s="1"/>
      <c r="H45" s="1"/>
      <c r="I45" s="1"/>
      <c r="J45" s="1"/>
      <c r="K45" s="1"/>
      <c r="L45" s="1"/>
      <c r="M45" s="1"/>
      <c r="N45" s="1"/>
    </row>
    <row r="46" spans="1:14" ht="21" customHeight="1" x14ac:dyDescent="0.3">
      <c r="A46" s="1"/>
      <c r="B46" s="1"/>
      <c r="C46" s="1"/>
      <c r="D46" s="1"/>
      <c r="E46" s="1"/>
      <c r="F46" s="1"/>
      <c r="G46" s="1"/>
      <c r="H46" s="1"/>
    </row>
    <row r="47" spans="1:14" ht="18.75" customHeight="1" x14ac:dyDescent="0.3">
      <c r="A47" s="1"/>
      <c r="B47" s="1"/>
      <c r="C47" s="1"/>
      <c r="D47" s="1"/>
      <c r="E47" s="1"/>
      <c r="F47" s="1"/>
      <c r="G47" s="1"/>
      <c r="H47" s="1"/>
    </row>
    <row r="48" spans="1:14" ht="18.75" x14ac:dyDescent="0.3">
      <c r="A48" s="153" t="s">
        <v>188</v>
      </c>
      <c r="B48" s="153"/>
      <c r="C48" s="153"/>
      <c r="D48" s="153"/>
      <c r="E48" s="153"/>
      <c r="F48" s="1"/>
      <c r="G48" s="1"/>
      <c r="H48" s="1"/>
    </row>
    <row r="49" spans="1:8" x14ac:dyDescent="0.2">
      <c r="A49" s="154" t="s">
        <v>189</v>
      </c>
      <c r="B49" s="154"/>
      <c r="C49" s="154"/>
      <c r="D49" s="154"/>
      <c r="E49" s="154"/>
      <c r="F49" s="21"/>
      <c r="G49" s="21"/>
      <c r="H49" s="21"/>
    </row>
    <row r="50" spans="1:8" x14ac:dyDescent="0.2">
      <c r="A50" s="21"/>
      <c r="B50" s="21"/>
      <c r="C50" s="21"/>
      <c r="D50" s="21" t="s">
        <v>190</v>
      </c>
      <c r="E50" s="21"/>
      <c r="F50" s="21"/>
    </row>
  </sheetData>
  <mergeCells count="29">
    <mergeCell ref="A49:E49"/>
    <mergeCell ref="A48:E48"/>
    <mergeCell ref="A27:F27"/>
    <mergeCell ref="A28:G28"/>
    <mergeCell ref="A33:E33"/>
    <mergeCell ref="A41:F41"/>
    <mergeCell ref="A42:E42"/>
    <mergeCell ref="A29:G29"/>
    <mergeCell ref="A44:H44"/>
    <mergeCell ref="A45:F45"/>
    <mergeCell ref="B22:D22"/>
    <mergeCell ref="B21:D21"/>
    <mergeCell ref="A39:F39"/>
    <mergeCell ref="A35:F35"/>
    <mergeCell ref="A25:H25"/>
    <mergeCell ref="A34:F34"/>
    <mergeCell ref="A38:F38"/>
    <mergeCell ref="A37:F37"/>
    <mergeCell ref="A36:F36"/>
    <mergeCell ref="A32:F32"/>
    <mergeCell ref="B20:D20"/>
    <mergeCell ref="B19:D19"/>
    <mergeCell ref="A1:H1"/>
    <mergeCell ref="A4:H4"/>
    <mergeCell ref="E16:F16"/>
    <mergeCell ref="G16:H16"/>
    <mergeCell ref="A9:F9"/>
    <mergeCell ref="A10:E10"/>
    <mergeCell ref="A8:F8"/>
  </mergeCells>
  <phoneticPr fontId="14" type="noConversion"/>
  <pageMargins left="0.34" right="0.19" top="0.67" bottom="0.6" header="0.5" footer="0.5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sqref="A1:F1"/>
    </sheetView>
  </sheetViews>
  <sheetFormatPr defaultRowHeight="12.75" x14ac:dyDescent="0.2"/>
  <cols>
    <col min="3" max="3" width="11.42578125" customWidth="1"/>
    <col min="4" max="4" width="19.140625" customWidth="1"/>
    <col min="5" max="5" width="19" customWidth="1"/>
  </cols>
  <sheetData>
    <row r="1" spans="1:6" ht="18.75" x14ac:dyDescent="0.3">
      <c r="A1" s="157" t="s">
        <v>191</v>
      </c>
      <c r="B1" s="157"/>
      <c r="C1" s="157"/>
      <c r="D1" s="157"/>
      <c r="E1" s="157"/>
      <c r="F1" s="157"/>
    </row>
    <row r="2" spans="1:6" ht="18.75" x14ac:dyDescent="0.3">
      <c r="A2" s="158" t="s">
        <v>192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916071.60000000009</v>
      </c>
      <c r="E4" s="29">
        <f>sUMMARY!F3</f>
        <v>76339.3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3" si="0">E5*12</f>
        <v>2748214.8000000003</v>
      </c>
      <c r="E5" s="29">
        <f>sUMMARY!H3</f>
        <v>229017.90000000002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68705.37</v>
      </c>
      <c r="E6" s="29">
        <f>sUMMARY!I3</f>
        <v>5725.4475000000002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962932.56</v>
      </c>
      <c r="E7" s="29">
        <f>sUMMARY!J3</f>
        <v>80244.38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458035.80000000005</v>
      </c>
      <c r="E8" s="29">
        <f>sUMMARY!K3</f>
        <v>38169.65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3206250.5999999996</v>
      </c>
      <c r="E9" s="29">
        <f>sUMMARY!L3</f>
        <v>267187.55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916071.60000000009</v>
      </c>
      <c r="E10" s="29">
        <f>sUMMARY!N3</f>
        <v>76339.3</v>
      </c>
      <c r="F10" s="1"/>
    </row>
    <row r="11" spans="1:6" ht="18.75" x14ac:dyDescent="0.3">
      <c r="A11" s="159" t="s">
        <v>202</v>
      </c>
      <c r="B11" s="159"/>
      <c r="C11" s="159"/>
      <c r="D11" s="29">
        <f t="shared" si="0"/>
        <v>91607.16</v>
      </c>
      <c r="E11" s="29">
        <f>sUMMARY!O3</f>
        <v>7633.93</v>
      </c>
      <c r="F11" s="1"/>
    </row>
    <row r="12" spans="1:6" ht="18.75" x14ac:dyDescent="0.3">
      <c r="A12" s="159" t="s">
        <v>203</v>
      </c>
      <c r="B12" s="159"/>
      <c r="C12" s="159"/>
      <c r="D12" s="29">
        <f t="shared" si="0"/>
        <v>240000</v>
      </c>
      <c r="E12" s="29">
        <f>sUMMARY!P3</f>
        <v>20000</v>
      </c>
      <c r="F12" s="1"/>
    </row>
    <row r="13" spans="1:6" ht="18.75" x14ac:dyDescent="0.3">
      <c r="A13" s="156" t="s">
        <v>204</v>
      </c>
      <c r="B13" s="156"/>
      <c r="C13" s="156"/>
      <c r="D13" s="30">
        <f t="shared" si="0"/>
        <v>9607889.4900000021</v>
      </c>
      <c r="E13" s="30">
        <f>SUM(E4:E12)</f>
        <v>800657.45750000014</v>
      </c>
      <c r="F13" s="1"/>
    </row>
  </sheetData>
  <mergeCells count="13">
    <mergeCell ref="A13:C13"/>
    <mergeCell ref="A1:F1"/>
    <mergeCell ref="A2:F2"/>
    <mergeCell ref="A4:C4"/>
    <mergeCell ref="A5:C5"/>
    <mergeCell ref="A6:C6"/>
    <mergeCell ref="A7:C7"/>
    <mergeCell ref="A3:C3"/>
    <mergeCell ref="A8:C8"/>
    <mergeCell ref="A9:C9"/>
    <mergeCell ref="A10:C10"/>
    <mergeCell ref="A11:C11"/>
    <mergeCell ref="A12:C12"/>
  </mergeCells>
  <pageMargins left="1.02" right="0.7" top="1.1399999999999999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A3" sqref="A3:C3"/>
    </sheetView>
  </sheetViews>
  <sheetFormatPr defaultRowHeight="12.75" x14ac:dyDescent="0.2"/>
  <cols>
    <col min="3" max="3" width="11.5703125" customWidth="1"/>
    <col min="4" max="4" width="19.85546875" customWidth="1"/>
    <col min="5" max="5" width="19.140625" customWidth="1"/>
  </cols>
  <sheetData>
    <row r="1" spans="1:6" ht="18.75" x14ac:dyDescent="0.3">
      <c r="A1" s="157" t="s">
        <v>205</v>
      </c>
      <c r="B1" s="157"/>
      <c r="C1" s="157"/>
      <c r="D1" s="157"/>
      <c r="E1" s="157"/>
      <c r="F1" s="157"/>
    </row>
    <row r="2" spans="1:6" ht="18.75" x14ac:dyDescent="0.3">
      <c r="A2" s="158" t="s">
        <v>206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475947</v>
      </c>
      <c r="E4" s="29">
        <f>'April 2012'!F10</f>
        <v>39662.25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3" si="0">E5*12</f>
        <v>1427841</v>
      </c>
      <c r="E5" s="29">
        <f>'April 2012'!I10</f>
        <v>118986.75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35696.024999999994</v>
      </c>
      <c r="E6" s="29">
        <f>'April 2012'!J10</f>
        <v>2974.6687499999998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481466.28</v>
      </c>
      <c r="E7" s="29">
        <f>'April 2012'!K10</f>
        <v>40122.19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237973.5</v>
      </c>
      <c r="E8" s="29">
        <f>'April 2012'!L10</f>
        <v>19831.125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1665814.5</v>
      </c>
      <c r="E9" s="29">
        <f>'April 2012'!M10</f>
        <v>138817.875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475947</v>
      </c>
      <c r="E10" s="29">
        <f>'April 2012'!O10</f>
        <v>39662.25</v>
      </c>
      <c r="F10" s="1"/>
    </row>
    <row r="11" spans="1:6" ht="18.75" x14ac:dyDescent="0.3">
      <c r="A11" s="159" t="s">
        <v>202</v>
      </c>
      <c r="B11" s="159"/>
      <c r="C11" s="159"/>
      <c r="D11" s="29">
        <f t="shared" si="0"/>
        <v>47594.700000000004</v>
      </c>
      <c r="E11" s="29">
        <f>'April 2012'!Q10</f>
        <v>3966.2250000000004</v>
      </c>
      <c r="F11" s="1"/>
    </row>
    <row r="12" spans="1:6" ht="18.75" x14ac:dyDescent="0.3">
      <c r="A12" s="159" t="s">
        <v>203</v>
      </c>
      <c r="B12" s="159"/>
      <c r="C12" s="159"/>
      <c r="D12" s="29">
        <f t="shared" si="0"/>
        <v>240000</v>
      </c>
      <c r="E12" s="29">
        <f>sUMMARY!P3</f>
        <v>20000</v>
      </c>
      <c r="F12" s="1"/>
    </row>
    <row r="13" spans="1:6" ht="18.75" x14ac:dyDescent="0.3">
      <c r="A13" s="156" t="s">
        <v>204</v>
      </c>
      <c r="B13" s="156"/>
      <c r="C13" s="156"/>
      <c r="D13" s="30">
        <f t="shared" si="0"/>
        <v>5088280.0049999999</v>
      </c>
      <c r="E13" s="30">
        <f>SUM(E4:E12)</f>
        <v>424023.33374999999</v>
      </c>
      <c r="F13" s="1"/>
    </row>
  </sheetData>
  <mergeCells count="13">
    <mergeCell ref="A13:C13"/>
    <mergeCell ref="A7:C7"/>
    <mergeCell ref="A8:C8"/>
    <mergeCell ref="A9:C9"/>
    <mergeCell ref="A10:C10"/>
    <mergeCell ref="A11:C11"/>
    <mergeCell ref="A12:C12"/>
    <mergeCell ref="A6:C6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D11" sqref="D11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157" t="s">
        <v>207</v>
      </c>
      <c r="B1" s="157"/>
      <c r="C1" s="157"/>
      <c r="D1" s="157"/>
      <c r="E1" s="157"/>
      <c r="F1" s="157"/>
    </row>
    <row r="2" spans="1:6" ht="18.75" x14ac:dyDescent="0.3">
      <c r="A2" s="158" t="s">
        <v>208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402090</v>
      </c>
      <c r="E4" s="29">
        <f>'April 2012'!F27</f>
        <v>33507.5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4" si="0">E5*12</f>
        <v>1206270</v>
      </c>
      <c r="E5" s="29">
        <f>'April 2012'!I27</f>
        <v>100522.5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30156.75</v>
      </c>
      <c r="E6" s="29">
        <f>'April 2012'!J27</f>
        <v>2513.0625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481466.28</v>
      </c>
      <c r="E7" s="29">
        <f>'April 2012'!K27</f>
        <v>40122.19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201045</v>
      </c>
      <c r="E8" s="29">
        <f>'April 2012'!L27</f>
        <v>16753.75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1407315</v>
      </c>
      <c r="E9" s="29">
        <f>'April 2012'!M27</f>
        <v>117276.25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402090</v>
      </c>
      <c r="E10" s="29">
        <f>'April 2012'!O27</f>
        <v>33507.5</v>
      </c>
      <c r="F10" s="1"/>
    </row>
    <row r="11" spans="1:6" ht="18.75" x14ac:dyDescent="0.3">
      <c r="A11" s="160" t="s">
        <v>209</v>
      </c>
      <c r="B11" s="161"/>
      <c r="C11" s="162"/>
      <c r="D11" s="29">
        <f t="shared" si="0"/>
        <v>1200000</v>
      </c>
      <c r="E11" s="29">
        <v>100000</v>
      </c>
      <c r="F11" s="1"/>
    </row>
    <row r="12" spans="1:6" ht="18.75" x14ac:dyDescent="0.3">
      <c r="A12" s="159" t="s">
        <v>202</v>
      </c>
      <c r="B12" s="159"/>
      <c r="C12" s="159"/>
      <c r="D12" s="29">
        <f t="shared" si="0"/>
        <v>40209</v>
      </c>
      <c r="E12" s="29">
        <f>'April 2012'!Q27</f>
        <v>3350.75</v>
      </c>
      <c r="F12" s="1"/>
    </row>
    <row r="13" spans="1:6" ht="18.75" x14ac:dyDescent="0.3">
      <c r="A13" s="159" t="s">
        <v>203</v>
      </c>
      <c r="B13" s="159"/>
      <c r="C13" s="159"/>
      <c r="D13" s="29">
        <f t="shared" si="0"/>
        <v>240000</v>
      </c>
      <c r="E13" s="29">
        <f>'April 2012'!R27</f>
        <v>20000</v>
      </c>
      <c r="F13" s="1"/>
    </row>
    <row r="14" spans="1:6" ht="18.75" x14ac:dyDescent="0.3">
      <c r="A14" s="156" t="s">
        <v>204</v>
      </c>
      <c r="B14" s="156"/>
      <c r="C14" s="156"/>
      <c r="D14" s="30">
        <f t="shared" si="0"/>
        <v>5610642.0300000003</v>
      </c>
      <c r="E14" s="30">
        <f>SUM(E4:E13)</f>
        <v>467553.5025</v>
      </c>
      <c r="F14" s="1"/>
    </row>
  </sheetData>
  <mergeCells count="14">
    <mergeCell ref="A14:C14"/>
    <mergeCell ref="A7:C7"/>
    <mergeCell ref="A8:C8"/>
    <mergeCell ref="A9:C9"/>
    <mergeCell ref="A10:C10"/>
    <mergeCell ref="A12:C12"/>
    <mergeCell ref="A13:C13"/>
    <mergeCell ref="A11:C11"/>
    <mergeCell ref="A6:C6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selection activeCell="E12" sqref="E12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157" t="s">
        <v>210</v>
      </c>
      <c r="B1" s="157"/>
      <c r="C1" s="157"/>
      <c r="D1" s="157"/>
      <c r="E1" s="157"/>
      <c r="F1" s="157"/>
    </row>
    <row r="2" spans="1:6" ht="18.75" x14ac:dyDescent="0.3">
      <c r="A2" s="158" t="s">
        <v>211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286693.44</v>
      </c>
      <c r="E4" s="29">
        <f>sUMMARY!F5</f>
        <v>23891.119999999999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4" si="0">E5*12</f>
        <v>860080.32000000007</v>
      </c>
      <c r="E5" s="29">
        <f>sUMMARY!H5</f>
        <v>71673.36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21502.007999999998</v>
      </c>
      <c r="E6" s="29">
        <f>sUMMARY!I5</f>
        <v>1791.8339999999998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0</v>
      </c>
      <c r="E7" s="29">
        <f>sUMMARY!J5</f>
        <v>0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143346.72</v>
      </c>
      <c r="E8" s="29">
        <f>sUMMARY!K5</f>
        <v>11945.56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1003427.04</v>
      </c>
      <c r="E9" s="29">
        <f>sUMMARY!L5</f>
        <v>83618.92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286693.44</v>
      </c>
      <c r="E10" s="29">
        <f>sUMMARY!N5</f>
        <v>23891.119999999999</v>
      </c>
      <c r="F10" s="1"/>
    </row>
    <row r="11" spans="1:6" ht="18.75" x14ac:dyDescent="0.3">
      <c r="A11" s="160" t="s">
        <v>209</v>
      </c>
      <c r="B11" s="161"/>
      <c r="C11" s="162"/>
      <c r="D11" s="29">
        <f t="shared" si="0"/>
        <v>0</v>
      </c>
      <c r="E11" s="29">
        <v>0</v>
      </c>
      <c r="F11" s="1"/>
    </row>
    <row r="12" spans="1:6" ht="18.75" x14ac:dyDescent="0.3">
      <c r="A12" s="159" t="s">
        <v>202</v>
      </c>
      <c r="B12" s="159"/>
      <c r="C12" s="159"/>
      <c r="D12" s="29">
        <f t="shared" si="0"/>
        <v>28669.344000000001</v>
      </c>
      <c r="E12" s="29">
        <f>sUMMARY!O5</f>
        <v>2389.1120000000001</v>
      </c>
      <c r="F12" s="1"/>
    </row>
    <row r="13" spans="1:6" ht="18.75" x14ac:dyDescent="0.3">
      <c r="A13" s="159" t="s">
        <v>203</v>
      </c>
      <c r="B13" s="159"/>
      <c r="C13" s="159"/>
      <c r="D13" s="29">
        <f t="shared" si="0"/>
        <v>180000</v>
      </c>
      <c r="E13" s="29">
        <f>sUMMARY!P5</f>
        <v>15000</v>
      </c>
      <c r="F13" s="1"/>
    </row>
    <row r="14" spans="1:6" ht="18.75" x14ac:dyDescent="0.3">
      <c r="A14" s="156" t="s">
        <v>204</v>
      </c>
      <c r="B14" s="156"/>
      <c r="C14" s="156"/>
      <c r="D14" s="30">
        <f t="shared" si="0"/>
        <v>2810412.3119999999</v>
      </c>
      <c r="E14" s="30">
        <f>SUM(E4:E13)</f>
        <v>234201.02599999998</v>
      </c>
      <c r="F14" s="1"/>
    </row>
  </sheetData>
  <mergeCells count="14">
    <mergeCell ref="A14:C14"/>
    <mergeCell ref="A7:C7"/>
    <mergeCell ref="A8:C8"/>
    <mergeCell ref="A9:C9"/>
    <mergeCell ref="A10:C10"/>
    <mergeCell ref="A12:C12"/>
    <mergeCell ref="A13:C13"/>
    <mergeCell ref="A11:C11"/>
    <mergeCell ref="A6:C6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sqref="A1:F1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157"/>
      <c r="B1" s="157"/>
      <c r="C1" s="157"/>
      <c r="D1" s="157"/>
      <c r="E1" s="157"/>
      <c r="F1" s="157"/>
    </row>
    <row r="2" spans="1:6" ht="18.75" x14ac:dyDescent="0.3">
      <c r="A2" s="158"/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255527.52</v>
      </c>
      <c r="E4" s="29">
        <f>sUMMARY!F6</f>
        <v>21293.96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3" si="0">E5*12</f>
        <v>766582.55999999994</v>
      </c>
      <c r="E5" s="29">
        <f>sUMMARY!H6</f>
        <v>63881.88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19164.563999999998</v>
      </c>
      <c r="E6" s="29">
        <f>sUMMARY!I6</f>
        <v>1597.0469999999998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0</v>
      </c>
      <c r="E7" s="29">
        <f>sUMMARY!J5</f>
        <v>0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127763.76</v>
      </c>
      <c r="E8" s="29">
        <f>sUMMARY!K6</f>
        <v>10646.98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894346.32000000007</v>
      </c>
      <c r="E9" s="29">
        <f>sUMMARY!L6</f>
        <v>74528.86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255527.52</v>
      </c>
      <c r="E10" s="29">
        <f>sUMMARY!N6</f>
        <v>21293.96</v>
      </c>
      <c r="F10" s="1"/>
    </row>
    <row r="11" spans="1:6" ht="18.75" x14ac:dyDescent="0.3">
      <c r="A11" s="159" t="s">
        <v>202</v>
      </c>
      <c r="B11" s="159"/>
      <c r="C11" s="159"/>
      <c r="D11" s="29">
        <f t="shared" si="0"/>
        <v>25552.752</v>
      </c>
      <c r="E11" s="29">
        <f>sUMMARY!O6</f>
        <v>2129.3960000000002</v>
      </c>
      <c r="F11" s="1"/>
    </row>
    <row r="12" spans="1:6" ht="18.75" x14ac:dyDescent="0.3">
      <c r="A12" s="159" t="s">
        <v>203</v>
      </c>
      <c r="B12" s="159"/>
      <c r="C12" s="159"/>
      <c r="D12" s="29">
        <f t="shared" si="0"/>
        <v>120000</v>
      </c>
      <c r="E12" s="29">
        <f>sUMMARY!P6</f>
        <v>10000</v>
      </c>
      <c r="F12" s="1"/>
    </row>
    <row r="13" spans="1:6" ht="18.75" x14ac:dyDescent="0.3">
      <c r="A13" s="156" t="s">
        <v>204</v>
      </c>
      <c r="B13" s="156"/>
      <c r="C13" s="156"/>
      <c r="D13" s="30">
        <f t="shared" si="0"/>
        <v>2464464.9960000003</v>
      </c>
      <c r="E13" s="30">
        <f>SUM(E4:E12)</f>
        <v>205372.08300000001</v>
      </c>
      <c r="F13" s="1"/>
    </row>
  </sheetData>
  <mergeCells count="13">
    <mergeCell ref="A13:C13"/>
    <mergeCell ref="A7:C7"/>
    <mergeCell ref="A8:C8"/>
    <mergeCell ref="A9:C9"/>
    <mergeCell ref="A10:C10"/>
    <mergeCell ref="A11:C11"/>
    <mergeCell ref="A12:C12"/>
    <mergeCell ref="A6:C6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sqref="A1:F21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157" t="s">
        <v>212</v>
      </c>
      <c r="B1" s="157"/>
      <c r="C1" s="157"/>
      <c r="D1" s="157"/>
      <c r="E1" s="157"/>
      <c r="F1" s="157"/>
    </row>
    <row r="2" spans="1:6" ht="18.75" x14ac:dyDescent="0.3">
      <c r="A2" s="158" t="s">
        <v>213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207435.96000000002</v>
      </c>
      <c r="E4" s="29">
        <f>sUMMARY!F7</f>
        <v>17286.330000000002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4" si="0">E5*12</f>
        <v>622307.88000000012</v>
      </c>
      <c r="E5" s="29">
        <f>sUMMARY!H7</f>
        <v>51858.990000000005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15557.697</v>
      </c>
      <c r="E6" s="29">
        <f>sUMMARY!I7</f>
        <v>1296.4747500000001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0</v>
      </c>
      <c r="E7" s="29">
        <f>sUMMARY!J5</f>
        <v>0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103717.98000000001</v>
      </c>
      <c r="E8" s="29">
        <f>sUMMARY!K7</f>
        <v>8643.1650000000009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726025.8600000001</v>
      </c>
      <c r="E9" s="29">
        <f>sUMMARY!L7</f>
        <v>60502.155000000006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207435.96000000002</v>
      </c>
      <c r="E10" s="29">
        <f>sUMMARY!N7</f>
        <v>17286.330000000002</v>
      </c>
      <c r="F10" s="1"/>
    </row>
    <row r="11" spans="1:6" ht="18.75" x14ac:dyDescent="0.3">
      <c r="A11" s="160" t="s">
        <v>209</v>
      </c>
      <c r="B11" s="161"/>
      <c r="C11" s="162"/>
      <c r="D11" s="29">
        <f t="shared" si="0"/>
        <v>480000</v>
      </c>
      <c r="E11" s="29">
        <v>40000</v>
      </c>
      <c r="F11" s="1"/>
    </row>
    <row r="12" spans="1:6" ht="18.75" x14ac:dyDescent="0.3">
      <c r="A12" s="159" t="s">
        <v>202</v>
      </c>
      <c r="B12" s="159"/>
      <c r="C12" s="159"/>
      <c r="D12" s="29">
        <f t="shared" si="0"/>
        <v>20743.596000000005</v>
      </c>
      <c r="E12" s="29">
        <f>sUMMARY!O7</f>
        <v>1728.6330000000003</v>
      </c>
      <c r="F12" s="1"/>
    </row>
    <row r="13" spans="1:6" ht="18.75" x14ac:dyDescent="0.3">
      <c r="A13" s="159" t="s">
        <v>203</v>
      </c>
      <c r="B13" s="159"/>
      <c r="C13" s="159"/>
      <c r="D13" s="29">
        <f t="shared" si="0"/>
        <v>120000</v>
      </c>
      <c r="E13" s="29">
        <f>sUMMARY!P6</f>
        <v>10000</v>
      </c>
      <c r="F13" s="1"/>
    </row>
    <row r="14" spans="1:6" ht="18.75" x14ac:dyDescent="0.3">
      <c r="A14" s="156" t="s">
        <v>204</v>
      </c>
      <c r="B14" s="156"/>
      <c r="C14" s="156"/>
      <c r="D14" s="30">
        <f t="shared" si="0"/>
        <v>2503224.9330000002</v>
      </c>
      <c r="E14" s="30">
        <f>SUM(E4:E13)</f>
        <v>208602.07775000003</v>
      </c>
      <c r="F14" s="1"/>
    </row>
  </sheetData>
  <mergeCells count="14">
    <mergeCell ref="A14:C14"/>
    <mergeCell ref="A7:C7"/>
    <mergeCell ref="A8:C8"/>
    <mergeCell ref="A9:C9"/>
    <mergeCell ref="A10:C10"/>
    <mergeCell ref="A12:C12"/>
    <mergeCell ref="A13:C13"/>
    <mergeCell ref="A11:C11"/>
    <mergeCell ref="A6:C6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157" t="s">
        <v>214</v>
      </c>
      <c r="B1" s="157"/>
      <c r="C1" s="157"/>
      <c r="D1" s="157"/>
      <c r="E1" s="157"/>
      <c r="F1" s="157"/>
    </row>
    <row r="2" spans="1:6" ht="18.75" x14ac:dyDescent="0.3">
      <c r="A2" s="158" t="s">
        <v>215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176833.68</v>
      </c>
      <c r="E4" s="29">
        <f>sUMMARY!F8</f>
        <v>14736.14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4" si="0">E5*12</f>
        <v>530501.04</v>
      </c>
      <c r="E5" s="29">
        <f>sUMMARY!H8</f>
        <v>44208.42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13262.525999999998</v>
      </c>
      <c r="E6" s="29">
        <f>sUMMARY!I8</f>
        <v>1105.2104999999999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0</v>
      </c>
      <c r="E7" s="29">
        <f>sUMMARY!J5</f>
        <v>0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88416.84</v>
      </c>
      <c r="E8" s="29">
        <f>sUMMARY!K8</f>
        <v>7368.07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618917.88</v>
      </c>
      <c r="E9" s="29">
        <f>sUMMARY!L8</f>
        <v>51576.49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176833.68</v>
      </c>
      <c r="E10" s="29">
        <f>sUMMARY!N8</f>
        <v>14736.14</v>
      </c>
      <c r="F10" s="1"/>
    </row>
    <row r="11" spans="1:6" ht="18.75" x14ac:dyDescent="0.3">
      <c r="A11" s="160" t="s">
        <v>216</v>
      </c>
      <c r="B11" s="161"/>
      <c r="C11" s="162"/>
      <c r="D11" s="29">
        <f t="shared" si="0"/>
        <v>480000</v>
      </c>
      <c r="E11" s="29">
        <v>40000</v>
      </c>
      <c r="F11" s="1"/>
    </row>
    <row r="12" spans="1:6" ht="18.75" x14ac:dyDescent="0.3">
      <c r="A12" s="159" t="s">
        <v>202</v>
      </c>
      <c r="B12" s="159"/>
      <c r="C12" s="159"/>
      <c r="D12" s="29">
        <f t="shared" si="0"/>
        <v>17683.368000000002</v>
      </c>
      <c r="E12" s="29">
        <f>sUMMARY!O8</f>
        <v>1473.614</v>
      </c>
      <c r="F12" s="1"/>
    </row>
    <row r="13" spans="1:6" ht="18.75" x14ac:dyDescent="0.3">
      <c r="A13" s="159" t="s">
        <v>203</v>
      </c>
      <c r="B13" s="159"/>
      <c r="C13" s="159"/>
      <c r="D13" s="29">
        <f t="shared" si="0"/>
        <v>120000</v>
      </c>
      <c r="E13" s="29">
        <f>sUMMARY!P6</f>
        <v>10000</v>
      </c>
      <c r="F13" s="1"/>
    </row>
    <row r="14" spans="1:6" ht="18.75" x14ac:dyDescent="0.3">
      <c r="A14" s="156" t="s">
        <v>204</v>
      </c>
      <c r="B14" s="156"/>
      <c r="C14" s="156"/>
      <c r="D14" s="30">
        <f t="shared" si="0"/>
        <v>2222449.014</v>
      </c>
      <c r="E14" s="30">
        <f>SUM(E4:E13)</f>
        <v>185204.0845</v>
      </c>
      <c r="F14" s="1"/>
    </row>
  </sheetData>
  <mergeCells count="14">
    <mergeCell ref="A14:C14"/>
    <mergeCell ref="A7:C7"/>
    <mergeCell ref="A8:C8"/>
    <mergeCell ref="A9:C9"/>
    <mergeCell ref="A10:C10"/>
    <mergeCell ref="A12:C12"/>
    <mergeCell ref="A13:C13"/>
    <mergeCell ref="A11:C11"/>
    <mergeCell ref="A6:C6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selection sqref="A1:F1"/>
    </sheetView>
  </sheetViews>
  <sheetFormatPr defaultRowHeight="12.75" x14ac:dyDescent="0.2"/>
  <cols>
    <col min="3" max="3" width="11.42578125" customWidth="1"/>
    <col min="4" max="4" width="19.42578125" customWidth="1"/>
    <col min="5" max="5" width="19.140625" customWidth="1"/>
  </cols>
  <sheetData>
    <row r="1" spans="1:6" ht="18.75" x14ac:dyDescent="0.3">
      <c r="A1" s="157"/>
      <c r="B1" s="157"/>
      <c r="C1" s="157"/>
      <c r="D1" s="157"/>
      <c r="E1" s="157"/>
      <c r="F1" s="157"/>
    </row>
    <row r="2" spans="1:6" ht="18.75" x14ac:dyDescent="0.3">
      <c r="A2" s="158"/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148223.28</v>
      </c>
      <c r="E4" s="29">
        <f>sUMMARY!F9</f>
        <v>12351.94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3" si="0">E5*12</f>
        <v>444669.83999999997</v>
      </c>
      <c r="E5" s="29">
        <f>sUMMARY!H9</f>
        <v>37055.82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11116.745999999999</v>
      </c>
      <c r="E6" s="29">
        <f>sUMMARY!I9</f>
        <v>926.39549999999997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0</v>
      </c>
      <c r="E7" s="29">
        <f>sUMMARY!J5</f>
        <v>0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74111.64</v>
      </c>
      <c r="E8" s="29">
        <f>sUMMARY!K9</f>
        <v>6175.97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518781.48</v>
      </c>
      <c r="E9" s="29">
        <f>sUMMARY!L9</f>
        <v>43231.79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148223.28</v>
      </c>
      <c r="E10" s="29">
        <f>sUMMARY!N9</f>
        <v>12351.94</v>
      </c>
      <c r="F10" s="1"/>
    </row>
    <row r="11" spans="1:6" ht="18.75" x14ac:dyDescent="0.3">
      <c r="A11" s="159" t="s">
        <v>202</v>
      </c>
      <c r="B11" s="159"/>
      <c r="C11" s="159"/>
      <c r="D11" s="29">
        <f t="shared" si="0"/>
        <v>14822.328000000001</v>
      </c>
      <c r="E11" s="29">
        <f>sUMMARY!O9</f>
        <v>1235.1940000000002</v>
      </c>
      <c r="F11" s="1"/>
    </row>
    <row r="12" spans="1:6" ht="18.75" x14ac:dyDescent="0.3">
      <c r="A12" s="159" t="s">
        <v>203</v>
      </c>
      <c r="B12" s="159"/>
      <c r="C12" s="159"/>
      <c r="D12" s="29">
        <f t="shared" si="0"/>
        <v>120000</v>
      </c>
      <c r="E12" s="29">
        <f>sUMMARY!P6</f>
        <v>10000</v>
      </c>
      <c r="F12" s="1"/>
    </row>
    <row r="13" spans="1:6" ht="18.75" x14ac:dyDescent="0.3">
      <c r="A13" s="156" t="s">
        <v>204</v>
      </c>
      <c r="B13" s="156"/>
      <c r="C13" s="156"/>
      <c r="D13" s="30">
        <f t="shared" si="0"/>
        <v>1479948.594</v>
      </c>
      <c r="E13" s="30">
        <f>SUM(E4:E12)</f>
        <v>123329.04950000001</v>
      </c>
      <c r="F13" s="1"/>
    </row>
  </sheetData>
  <mergeCells count="13">
    <mergeCell ref="A13:C13"/>
    <mergeCell ref="A7:C7"/>
    <mergeCell ref="A8:C8"/>
    <mergeCell ref="A9:C9"/>
    <mergeCell ref="A10:C10"/>
    <mergeCell ref="A11:C11"/>
    <mergeCell ref="A12:C12"/>
    <mergeCell ref="A6:C6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9"/>
  <sheetViews>
    <sheetView topLeftCell="D1" workbookViewId="0">
      <selection activeCell="O3" sqref="O3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5</v>
      </c>
      <c r="G1" s="2" t="s">
        <v>6</v>
      </c>
      <c r="H1" s="2"/>
      <c r="I1" s="2"/>
      <c r="J1" s="2"/>
      <c r="K1" s="2"/>
      <c r="L1" s="2"/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18"/>
      <c r="U1" s="13" t="s">
        <v>15</v>
      </c>
      <c r="V1" s="12" t="s">
        <v>217</v>
      </c>
    </row>
    <row r="2" spans="1:22" ht="18.75" x14ac:dyDescent="0.3">
      <c r="F2" s="2" t="s">
        <v>17</v>
      </c>
      <c r="G2" s="2" t="s">
        <v>18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28</v>
      </c>
      <c r="R2" s="2" t="s">
        <v>29</v>
      </c>
      <c r="S2" s="2" t="s">
        <v>17</v>
      </c>
      <c r="T2" s="2" t="s">
        <v>30</v>
      </c>
      <c r="U2" s="13"/>
      <c r="V2" s="12"/>
    </row>
    <row r="3" spans="1:22" ht="18.75" x14ac:dyDescent="0.3">
      <c r="A3" s="163" t="s">
        <v>218</v>
      </c>
      <c r="B3" s="164"/>
      <c r="C3" s="165"/>
      <c r="D3" s="31"/>
      <c r="E3" s="31" t="s">
        <v>219</v>
      </c>
      <c r="F3" s="32">
        <v>76339.3</v>
      </c>
      <c r="G3" s="32"/>
      <c r="H3" s="32">
        <f t="shared" ref="H3:H9" si="0">F3*300%</f>
        <v>229017.90000000002</v>
      </c>
      <c r="I3" s="32">
        <f t="shared" ref="I3:I9" si="1">F3*7.5%</f>
        <v>5725.4475000000002</v>
      </c>
      <c r="J3" s="32">
        <v>80244.38</v>
      </c>
      <c r="K3" s="32">
        <f t="shared" ref="K3:K9" si="2">F3*50%</f>
        <v>38169.65</v>
      </c>
      <c r="L3" s="32">
        <f t="shared" ref="L3:L9" si="3">F3*350%</f>
        <v>267187.55</v>
      </c>
      <c r="M3" s="32">
        <v>0</v>
      </c>
      <c r="N3" s="32">
        <f t="shared" ref="N3:N9" si="4">F3*100%</f>
        <v>76339.3</v>
      </c>
      <c r="O3" s="32">
        <f t="shared" ref="O3:O9" si="5">F3*10%</f>
        <v>7633.93</v>
      </c>
      <c r="P3" s="32">
        <v>20000</v>
      </c>
      <c r="Q3" s="32">
        <v>0</v>
      </c>
      <c r="R3" s="32">
        <f t="shared" ref="R3:R9" si="6">SUM(F3:Q3)</f>
        <v>800657.45750000014</v>
      </c>
      <c r="S3" s="32"/>
      <c r="T3" s="19"/>
      <c r="U3" s="25"/>
    </row>
    <row r="4" spans="1:22" ht="18.75" x14ac:dyDescent="0.3">
      <c r="A4" s="166" t="s">
        <v>220</v>
      </c>
      <c r="B4" s="167"/>
      <c r="C4" s="168"/>
      <c r="D4" s="38"/>
      <c r="E4" s="41" t="s">
        <v>221</v>
      </c>
      <c r="F4" s="39">
        <v>24975.81</v>
      </c>
      <c r="G4" s="32">
        <v>0</v>
      </c>
      <c r="H4" s="39">
        <f>F4*300%</f>
        <v>74927.430000000008</v>
      </c>
      <c r="I4" s="39">
        <f>F4*7.5%</f>
        <v>1873.1857500000001</v>
      </c>
      <c r="J4" s="39">
        <v>0</v>
      </c>
      <c r="K4" s="39">
        <f>F4*50%</f>
        <v>12487.905000000001</v>
      </c>
      <c r="L4" s="39">
        <f>F4*350%</f>
        <v>87415.335000000006</v>
      </c>
      <c r="M4" s="39">
        <v>0</v>
      </c>
      <c r="N4" s="39">
        <f>F4*100%</f>
        <v>24975.81</v>
      </c>
      <c r="O4" s="39">
        <v>100000</v>
      </c>
      <c r="P4" s="39">
        <f>F4*10%</f>
        <v>2497.5810000000001</v>
      </c>
      <c r="Q4" s="39">
        <v>20000</v>
      </c>
      <c r="R4" s="39">
        <v>0</v>
      </c>
      <c r="S4" s="32">
        <f>SUM(F4:R4)</f>
        <v>349153.05674999999</v>
      </c>
      <c r="T4" s="32">
        <v>0</v>
      </c>
      <c r="U4" s="40">
        <f>S4-T4</f>
        <v>349153.05674999999</v>
      </c>
      <c r="V4" s="32">
        <v>344720.6</v>
      </c>
    </row>
    <row r="5" spans="1:22" ht="18.75" x14ac:dyDescent="0.3">
      <c r="A5" s="163" t="s">
        <v>222</v>
      </c>
      <c r="B5" s="164"/>
      <c r="C5" s="165"/>
      <c r="D5" s="31"/>
      <c r="E5" s="31" t="s">
        <v>223</v>
      </c>
      <c r="F5" s="32">
        <v>23891.119999999999</v>
      </c>
      <c r="G5" s="32"/>
      <c r="H5" s="32">
        <f t="shared" si="0"/>
        <v>71673.36</v>
      </c>
      <c r="I5" s="32">
        <f t="shared" si="1"/>
        <v>1791.8339999999998</v>
      </c>
      <c r="J5" s="32">
        <v>0</v>
      </c>
      <c r="K5" s="32">
        <f t="shared" si="2"/>
        <v>11945.56</v>
      </c>
      <c r="L5" s="32">
        <f t="shared" si="3"/>
        <v>83618.92</v>
      </c>
      <c r="M5" s="32">
        <v>0</v>
      </c>
      <c r="N5" s="32">
        <f t="shared" si="4"/>
        <v>23891.119999999999</v>
      </c>
      <c r="O5" s="32">
        <f t="shared" si="5"/>
        <v>2389.1120000000001</v>
      </c>
      <c r="P5" s="32">
        <v>15000</v>
      </c>
      <c r="Q5" s="32">
        <v>0</v>
      </c>
      <c r="R5" s="32">
        <f t="shared" si="6"/>
        <v>234201.02599999998</v>
      </c>
      <c r="S5" s="32"/>
      <c r="T5" s="19"/>
      <c r="U5" s="25"/>
    </row>
    <row r="6" spans="1:22" ht="18.75" x14ac:dyDescent="0.3">
      <c r="A6" s="163" t="s">
        <v>224</v>
      </c>
      <c r="B6" s="164"/>
      <c r="C6" s="165"/>
      <c r="D6" s="31"/>
      <c r="E6" s="31" t="s">
        <v>225</v>
      </c>
      <c r="F6" s="32">
        <v>21293.96</v>
      </c>
      <c r="G6" s="32"/>
      <c r="H6" s="32">
        <f t="shared" si="0"/>
        <v>63881.88</v>
      </c>
      <c r="I6" s="32">
        <f t="shared" si="1"/>
        <v>1597.0469999999998</v>
      </c>
      <c r="J6" s="32">
        <v>0</v>
      </c>
      <c r="K6" s="32">
        <f t="shared" si="2"/>
        <v>10646.98</v>
      </c>
      <c r="L6" s="32">
        <f t="shared" si="3"/>
        <v>74528.86</v>
      </c>
      <c r="M6" s="32">
        <v>0</v>
      </c>
      <c r="N6" s="32">
        <f t="shared" si="4"/>
        <v>21293.96</v>
      </c>
      <c r="O6" s="32">
        <f t="shared" si="5"/>
        <v>2129.3960000000002</v>
      </c>
      <c r="P6" s="32">
        <v>10000</v>
      </c>
      <c r="Q6" s="32">
        <v>0</v>
      </c>
      <c r="R6" s="32">
        <f t="shared" si="6"/>
        <v>205372.08300000001</v>
      </c>
      <c r="S6" s="32"/>
      <c r="T6" s="19"/>
      <c r="U6" s="25"/>
    </row>
    <row r="7" spans="1:22" ht="18.75" x14ac:dyDescent="0.3">
      <c r="A7" s="163" t="s">
        <v>226</v>
      </c>
      <c r="B7" s="164"/>
      <c r="C7" s="165"/>
      <c r="D7" s="31"/>
      <c r="E7" s="31" t="s">
        <v>227</v>
      </c>
      <c r="F7" s="32">
        <v>17286.330000000002</v>
      </c>
      <c r="G7" s="32"/>
      <c r="H7" s="32">
        <f t="shared" si="0"/>
        <v>51858.990000000005</v>
      </c>
      <c r="I7" s="32">
        <f t="shared" si="1"/>
        <v>1296.4747500000001</v>
      </c>
      <c r="J7" s="32">
        <v>0</v>
      </c>
      <c r="K7" s="32">
        <f t="shared" si="2"/>
        <v>8643.1650000000009</v>
      </c>
      <c r="L7" s="32">
        <f t="shared" si="3"/>
        <v>60502.155000000006</v>
      </c>
      <c r="M7" s="32">
        <v>0</v>
      </c>
      <c r="N7" s="32">
        <f t="shared" si="4"/>
        <v>17286.330000000002</v>
      </c>
      <c r="O7" s="32">
        <f t="shared" si="5"/>
        <v>1728.6330000000003</v>
      </c>
      <c r="P7" s="32">
        <v>10000</v>
      </c>
      <c r="Q7" s="32">
        <v>0</v>
      </c>
      <c r="R7" s="32">
        <f t="shared" si="6"/>
        <v>168602.07775000003</v>
      </c>
      <c r="S7" s="32"/>
      <c r="T7" s="19"/>
      <c r="U7" s="25"/>
    </row>
    <row r="8" spans="1:22" ht="18.75" x14ac:dyDescent="0.3">
      <c r="A8" s="163" t="s">
        <v>228</v>
      </c>
      <c r="B8" s="164"/>
      <c r="C8" s="165"/>
      <c r="D8" s="31"/>
      <c r="E8" s="31" t="s">
        <v>229</v>
      </c>
      <c r="F8" s="32">
        <v>14736.14</v>
      </c>
      <c r="G8" s="32"/>
      <c r="H8" s="32">
        <f t="shared" si="0"/>
        <v>44208.42</v>
      </c>
      <c r="I8" s="32">
        <f t="shared" si="1"/>
        <v>1105.2104999999999</v>
      </c>
      <c r="J8" s="32">
        <v>0</v>
      </c>
      <c r="K8" s="32">
        <f t="shared" si="2"/>
        <v>7368.07</v>
      </c>
      <c r="L8" s="32">
        <f t="shared" si="3"/>
        <v>51576.49</v>
      </c>
      <c r="M8" s="32">
        <v>0</v>
      </c>
      <c r="N8" s="32">
        <f t="shared" si="4"/>
        <v>14736.14</v>
      </c>
      <c r="O8" s="32">
        <f t="shared" si="5"/>
        <v>1473.614</v>
      </c>
      <c r="P8" s="32">
        <v>10000</v>
      </c>
      <c r="Q8" s="32">
        <v>0</v>
      </c>
      <c r="R8" s="32">
        <f t="shared" si="6"/>
        <v>145204.0845</v>
      </c>
      <c r="S8" s="32"/>
      <c r="T8" s="19"/>
      <c r="U8" s="25"/>
    </row>
    <row r="9" spans="1:22" ht="18.75" x14ac:dyDescent="0.3">
      <c r="A9" s="163"/>
      <c r="B9" s="164"/>
      <c r="C9" s="165"/>
      <c r="D9" s="31"/>
      <c r="E9" s="31" t="s">
        <v>230</v>
      </c>
      <c r="F9" s="32">
        <v>12351.94</v>
      </c>
      <c r="G9" s="32"/>
      <c r="H9" s="32">
        <f t="shared" si="0"/>
        <v>37055.82</v>
      </c>
      <c r="I9" s="32">
        <f t="shared" si="1"/>
        <v>926.39549999999997</v>
      </c>
      <c r="J9" s="32">
        <v>0</v>
      </c>
      <c r="K9" s="32">
        <f t="shared" si="2"/>
        <v>6175.97</v>
      </c>
      <c r="L9" s="32">
        <f t="shared" si="3"/>
        <v>43231.79</v>
      </c>
      <c r="M9" s="32">
        <v>0</v>
      </c>
      <c r="N9" s="32">
        <f t="shared" si="4"/>
        <v>12351.94</v>
      </c>
      <c r="O9" s="32">
        <f t="shared" si="5"/>
        <v>1235.1940000000002</v>
      </c>
      <c r="P9" s="32">
        <v>10000</v>
      </c>
      <c r="Q9" s="32">
        <v>0</v>
      </c>
      <c r="R9" s="32">
        <f t="shared" si="6"/>
        <v>123329.04950000001</v>
      </c>
      <c r="S9" s="32"/>
      <c r="T9" s="19"/>
      <c r="U9" s="25"/>
    </row>
  </sheetData>
  <mergeCells count="7">
    <mergeCell ref="A3:C3"/>
    <mergeCell ref="A4:C4"/>
    <mergeCell ref="A9:C9"/>
    <mergeCell ref="A5:C5"/>
    <mergeCell ref="A6:C6"/>
    <mergeCell ref="A7:C7"/>
    <mergeCell ref="A8:C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>
      <selection activeCell="A3" sqref="A3:C3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157" t="s">
        <v>231</v>
      </c>
      <c r="B1" s="157"/>
      <c r="C1" s="157"/>
      <c r="D1" s="157"/>
      <c r="E1" s="157"/>
      <c r="F1" s="157"/>
    </row>
    <row r="2" spans="1:6" ht="18.75" x14ac:dyDescent="0.3">
      <c r="A2" s="158" t="s">
        <v>232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>
        <f>E4*12</f>
        <v>299709.72000000003</v>
      </c>
      <c r="E4" s="29">
        <f>sUMMARY!F4</f>
        <v>24975.81</v>
      </c>
      <c r="F4" s="1"/>
    </row>
    <row r="5" spans="1:6" ht="18.75" x14ac:dyDescent="0.3">
      <c r="A5" s="159" t="s">
        <v>196</v>
      </c>
      <c r="B5" s="159"/>
      <c r="C5" s="159"/>
      <c r="D5" s="29">
        <f t="shared" ref="D5:D14" si="0">E5*12</f>
        <v>899129.16000000015</v>
      </c>
      <c r="E5" s="29">
        <f>sUMMARY!H4</f>
        <v>74927.430000000008</v>
      </c>
      <c r="F5" s="1"/>
    </row>
    <row r="6" spans="1:6" ht="18.75" x14ac:dyDescent="0.3">
      <c r="A6" s="159" t="s">
        <v>197</v>
      </c>
      <c r="B6" s="159"/>
      <c r="C6" s="159"/>
      <c r="D6" s="29">
        <f t="shared" si="0"/>
        <v>22478.228999999999</v>
      </c>
      <c r="E6" s="29">
        <f>sUMMARY!I4</f>
        <v>1873.1857500000001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0</v>
      </c>
      <c r="E7" s="29">
        <f>sUMMARY!J5</f>
        <v>0</v>
      </c>
      <c r="F7" s="1"/>
    </row>
    <row r="8" spans="1:6" ht="18.75" x14ac:dyDescent="0.3">
      <c r="A8" s="159" t="s">
        <v>199</v>
      </c>
      <c r="B8" s="159"/>
      <c r="C8" s="159"/>
      <c r="D8" s="29">
        <f t="shared" si="0"/>
        <v>149854.86000000002</v>
      </c>
      <c r="E8" s="29">
        <f>sUMMARY!K4</f>
        <v>12487.905000000001</v>
      </c>
      <c r="F8" s="1"/>
    </row>
    <row r="9" spans="1:6" ht="18.75" x14ac:dyDescent="0.3">
      <c r="A9" s="159" t="s">
        <v>200</v>
      </c>
      <c r="B9" s="159"/>
      <c r="C9" s="159"/>
      <c r="D9" s="29">
        <f t="shared" si="0"/>
        <v>1048984.02</v>
      </c>
      <c r="E9" s="29">
        <f>sUMMARY!L4</f>
        <v>87415.335000000006</v>
      </c>
      <c r="F9" s="1"/>
    </row>
    <row r="10" spans="1:6" ht="18.75" x14ac:dyDescent="0.3">
      <c r="A10" s="159" t="s">
        <v>201</v>
      </c>
      <c r="B10" s="159"/>
      <c r="C10" s="159"/>
      <c r="D10" s="29">
        <f t="shared" si="0"/>
        <v>299709.72000000003</v>
      </c>
      <c r="E10" s="29">
        <f>sUMMARY!N4</f>
        <v>24975.81</v>
      </c>
      <c r="F10" s="1"/>
    </row>
    <row r="11" spans="1:6" ht="18.75" x14ac:dyDescent="0.3">
      <c r="A11" s="160" t="s">
        <v>209</v>
      </c>
      <c r="B11" s="161"/>
      <c r="C11" s="162"/>
      <c r="D11" s="29">
        <f t="shared" si="0"/>
        <v>1200000</v>
      </c>
      <c r="E11" s="29">
        <f>sUMMARY!O4</f>
        <v>100000</v>
      </c>
      <c r="F11" s="1"/>
    </row>
    <row r="12" spans="1:6" ht="18.75" x14ac:dyDescent="0.3">
      <c r="A12" s="159" t="s">
        <v>202</v>
      </c>
      <c r="B12" s="159"/>
      <c r="C12" s="159"/>
      <c r="D12" s="29">
        <f t="shared" si="0"/>
        <v>29970.972000000002</v>
      </c>
      <c r="E12" s="29">
        <f>sUMMARY!P4</f>
        <v>2497.5810000000001</v>
      </c>
      <c r="F12" s="1"/>
    </row>
    <row r="13" spans="1:6" ht="18.75" x14ac:dyDescent="0.3">
      <c r="A13" s="159" t="s">
        <v>203</v>
      </c>
      <c r="B13" s="159"/>
      <c r="C13" s="159"/>
      <c r="D13" s="29">
        <f t="shared" si="0"/>
        <v>240000</v>
      </c>
      <c r="E13" s="29">
        <f>sUMMARY!Q4</f>
        <v>20000</v>
      </c>
      <c r="F13" s="1"/>
    </row>
    <row r="14" spans="1:6" ht="18.75" x14ac:dyDescent="0.3">
      <c r="A14" s="156" t="s">
        <v>204</v>
      </c>
      <c r="B14" s="156"/>
      <c r="C14" s="156"/>
      <c r="D14" s="30">
        <f t="shared" si="0"/>
        <v>4189836.6809999999</v>
      </c>
      <c r="E14" s="30">
        <f>SUM(E4:E13)</f>
        <v>349153.05674999999</v>
      </c>
      <c r="F14" s="1"/>
    </row>
  </sheetData>
  <mergeCells count="14">
    <mergeCell ref="A14:C14"/>
    <mergeCell ref="A11:C11"/>
    <mergeCell ref="A7:C7"/>
    <mergeCell ref="A8:C8"/>
    <mergeCell ref="A9:C9"/>
    <mergeCell ref="A10:C10"/>
    <mergeCell ref="A12:C12"/>
    <mergeCell ref="A13:C13"/>
    <mergeCell ref="A6:C6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6"/>
  <sheetViews>
    <sheetView view="pageBreakPreview" topLeftCell="A10" zoomScale="60" zoomScaleNormal="100" workbookViewId="0">
      <selection activeCell="H28" sqref="H28"/>
    </sheetView>
  </sheetViews>
  <sheetFormatPr defaultRowHeight="12.75" x14ac:dyDescent="0.2"/>
  <cols>
    <col min="3" max="3" width="25.42578125" customWidth="1"/>
    <col min="4" max="4" width="36.85546875" customWidth="1"/>
    <col min="5" max="5" width="21.42578125" customWidth="1"/>
  </cols>
  <sheetData>
    <row r="1" spans="1:5" ht="20.25" customHeight="1" x14ac:dyDescent="0.3">
      <c r="A1" s="169" t="s">
        <v>233</v>
      </c>
      <c r="B1" s="169"/>
      <c r="C1" s="169"/>
      <c r="D1" s="169"/>
      <c r="E1" s="169"/>
    </row>
    <row r="2" spans="1:5" ht="18" x14ac:dyDescent="0.25">
      <c r="A2" s="121" t="s">
        <v>1</v>
      </c>
      <c r="B2" s="122"/>
      <c r="C2" s="122"/>
      <c r="D2" s="49"/>
      <c r="E2" s="49"/>
    </row>
    <row r="3" spans="1:5" ht="18" x14ac:dyDescent="0.25">
      <c r="A3" s="120"/>
      <c r="B3" s="120"/>
      <c r="C3" s="120"/>
      <c r="D3" s="50" t="s">
        <v>3</v>
      </c>
      <c r="E3" s="50" t="s">
        <v>4</v>
      </c>
    </row>
    <row r="4" spans="1:5" ht="18" x14ac:dyDescent="0.25">
      <c r="A4" s="126"/>
      <c r="B4" s="126"/>
      <c r="C4" s="126"/>
      <c r="D4" s="50"/>
      <c r="E4" s="50" t="s">
        <v>16</v>
      </c>
    </row>
    <row r="5" spans="1:5" ht="18" x14ac:dyDescent="0.25">
      <c r="A5" s="127" t="s">
        <v>31</v>
      </c>
      <c r="B5" s="127"/>
      <c r="C5" s="127"/>
      <c r="D5" s="54"/>
      <c r="E5" s="54"/>
    </row>
    <row r="6" spans="1:5" ht="18" x14ac:dyDescent="0.25">
      <c r="A6" s="115" t="s">
        <v>33</v>
      </c>
      <c r="B6" s="115"/>
      <c r="C6" s="115"/>
      <c r="D6" s="57" t="s">
        <v>34</v>
      </c>
      <c r="E6" s="57" t="s">
        <v>35</v>
      </c>
    </row>
    <row r="7" spans="1:5" ht="18" x14ac:dyDescent="0.25">
      <c r="A7" s="115" t="s">
        <v>36</v>
      </c>
      <c r="B7" s="115"/>
      <c r="C7" s="115"/>
      <c r="D7" s="57" t="s">
        <v>37</v>
      </c>
      <c r="E7" s="57" t="s">
        <v>38</v>
      </c>
    </row>
    <row r="8" spans="1:5" ht="18" x14ac:dyDescent="0.25">
      <c r="A8" s="115" t="s">
        <v>39</v>
      </c>
      <c r="B8" s="115"/>
      <c r="C8" s="115"/>
      <c r="D8" s="57" t="s">
        <v>40</v>
      </c>
      <c r="E8" s="57" t="s">
        <v>38</v>
      </c>
    </row>
    <row r="9" spans="1:5" ht="18" x14ac:dyDescent="0.25">
      <c r="A9" s="118" t="s">
        <v>41</v>
      </c>
      <c r="B9" s="118"/>
      <c r="C9" s="118"/>
      <c r="D9" s="62" t="s">
        <v>234</v>
      </c>
      <c r="E9" s="63" t="s">
        <v>43</v>
      </c>
    </row>
    <row r="10" spans="1:5" ht="18" x14ac:dyDescent="0.25">
      <c r="A10" s="118" t="s">
        <v>47</v>
      </c>
      <c r="B10" s="118"/>
      <c r="C10" s="118"/>
      <c r="D10" s="62" t="s">
        <v>48</v>
      </c>
      <c r="E10" s="62" t="s">
        <v>49</v>
      </c>
    </row>
    <row r="11" spans="1:5" ht="18" x14ac:dyDescent="0.25">
      <c r="A11" s="115" t="s">
        <v>50</v>
      </c>
      <c r="B11" s="115"/>
      <c r="C11" s="115"/>
      <c r="D11" s="57" t="s">
        <v>51</v>
      </c>
      <c r="E11" s="57" t="s">
        <v>235</v>
      </c>
    </row>
    <row r="12" spans="1:5" ht="18" x14ac:dyDescent="0.25">
      <c r="A12" s="143"/>
      <c r="B12" s="143"/>
      <c r="C12" s="143"/>
      <c r="D12" s="62"/>
      <c r="E12" s="62"/>
    </row>
    <row r="13" spans="1:5" ht="18" x14ac:dyDescent="0.25">
      <c r="A13" s="141" t="s">
        <v>56</v>
      </c>
      <c r="B13" s="141"/>
      <c r="C13" s="141"/>
      <c r="D13" s="68"/>
      <c r="E13" s="68"/>
    </row>
    <row r="14" spans="1:5" ht="18" x14ac:dyDescent="0.25">
      <c r="A14" s="70" t="s">
        <v>57</v>
      </c>
      <c r="B14" s="70"/>
      <c r="C14" s="70"/>
      <c r="D14" s="57" t="s">
        <v>58</v>
      </c>
      <c r="E14" s="57" t="s">
        <v>38</v>
      </c>
    </row>
    <row r="15" spans="1:5" ht="18" x14ac:dyDescent="0.25">
      <c r="A15" s="138"/>
      <c r="B15" s="139"/>
      <c r="C15" s="140"/>
      <c r="D15" s="52"/>
      <c r="E15" s="64"/>
    </row>
    <row r="16" spans="1:5" ht="18" x14ac:dyDescent="0.25">
      <c r="A16" s="74" t="s">
        <v>59</v>
      </c>
      <c r="B16" s="74"/>
      <c r="C16" s="74"/>
      <c r="D16" s="74"/>
      <c r="E16" s="64"/>
    </row>
    <row r="17" spans="1:5" ht="18" x14ac:dyDescent="0.25">
      <c r="A17" s="115" t="s">
        <v>60</v>
      </c>
      <c r="B17" s="115"/>
      <c r="C17" s="115"/>
      <c r="D17" s="62" t="s">
        <v>61</v>
      </c>
      <c r="E17" s="62" t="s">
        <v>38</v>
      </c>
    </row>
    <row r="18" spans="1:5" ht="18" x14ac:dyDescent="0.25">
      <c r="A18" s="135" t="s">
        <v>62</v>
      </c>
      <c r="B18" s="136"/>
      <c r="C18" s="137"/>
      <c r="D18" s="62" t="s">
        <v>63</v>
      </c>
      <c r="E18" s="75" t="s">
        <v>38</v>
      </c>
    </row>
    <row r="19" spans="1:5" ht="18" x14ac:dyDescent="0.25">
      <c r="A19" s="115" t="s">
        <v>64</v>
      </c>
      <c r="B19" s="115"/>
      <c r="C19" s="115"/>
      <c r="D19" s="62" t="s">
        <v>65</v>
      </c>
      <c r="E19" s="62" t="s">
        <v>66</v>
      </c>
    </row>
    <row r="20" spans="1:5" ht="18" x14ac:dyDescent="0.25">
      <c r="A20" s="76"/>
      <c r="B20" s="77"/>
      <c r="C20" s="78"/>
      <c r="D20" s="52"/>
      <c r="E20" s="64"/>
    </row>
    <row r="21" spans="1:5" ht="18" x14ac:dyDescent="0.25">
      <c r="A21" s="105" t="s">
        <v>72</v>
      </c>
      <c r="B21" s="106"/>
      <c r="C21" s="107"/>
      <c r="D21" s="52"/>
      <c r="E21" s="64"/>
    </row>
    <row r="22" spans="1:5" ht="18" x14ac:dyDescent="0.25">
      <c r="A22" s="105" t="s">
        <v>73</v>
      </c>
      <c r="B22" s="106"/>
      <c r="C22" s="107"/>
      <c r="D22" s="57" t="s">
        <v>74</v>
      </c>
      <c r="E22" s="57" t="s">
        <v>75</v>
      </c>
    </row>
    <row r="23" spans="1:5" ht="18" x14ac:dyDescent="0.25">
      <c r="A23" s="115" t="s">
        <v>76</v>
      </c>
      <c r="B23" s="115"/>
      <c r="C23" s="115"/>
      <c r="D23" s="57" t="s">
        <v>77</v>
      </c>
      <c r="E23" s="57" t="s">
        <v>38</v>
      </c>
    </row>
    <row r="24" spans="1:5" ht="18" x14ac:dyDescent="0.25">
      <c r="A24" s="115" t="s">
        <v>78</v>
      </c>
      <c r="B24" s="115"/>
      <c r="C24" s="115"/>
      <c r="D24" s="57" t="s">
        <v>79</v>
      </c>
      <c r="E24" s="57" t="s">
        <v>38</v>
      </c>
    </row>
    <row r="25" spans="1:5" ht="18" x14ac:dyDescent="0.25">
      <c r="A25" s="115" t="s">
        <v>88</v>
      </c>
      <c r="B25" s="115"/>
      <c r="C25" s="115"/>
      <c r="D25" s="57" t="s">
        <v>89</v>
      </c>
      <c r="E25" s="57" t="s">
        <v>90</v>
      </c>
    </row>
    <row r="26" spans="1:5" ht="18" x14ac:dyDescent="0.25">
      <c r="A26" s="105" t="s">
        <v>91</v>
      </c>
      <c r="B26" s="106"/>
      <c r="C26" s="107"/>
      <c r="D26" s="57" t="s">
        <v>92</v>
      </c>
      <c r="E26" s="57" t="s">
        <v>236</v>
      </c>
    </row>
    <row r="27" spans="1:5" ht="18" x14ac:dyDescent="0.25">
      <c r="A27" s="115" t="s">
        <v>117</v>
      </c>
      <c r="B27" s="115"/>
      <c r="C27" s="115"/>
      <c r="D27" s="57" t="s">
        <v>118</v>
      </c>
      <c r="E27" s="57" t="s">
        <v>119</v>
      </c>
    </row>
    <row r="28" spans="1:5" ht="18" x14ac:dyDescent="0.25">
      <c r="A28" s="70" t="s">
        <v>120</v>
      </c>
      <c r="B28" s="70"/>
      <c r="C28" s="70"/>
      <c r="D28" s="62" t="s">
        <v>121</v>
      </c>
      <c r="E28" s="62" t="s">
        <v>119</v>
      </c>
    </row>
    <row r="29" spans="1:5" ht="18" x14ac:dyDescent="0.25">
      <c r="A29" s="115" t="s">
        <v>122</v>
      </c>
      <c r="B29" s="115"/>
      <c r="C29" s="115"/>
      <c r="D29" s="57" t="s">
        <v>121</v>
      </c>
      <c r="E29" s="57" t="s">
        <v>123</v>
      </c>
    </row>
    <row r="30" spans="1:5" ht="18" x14ac:dyDescent="0.25">
      <c r="A30" s="115" t="s">
        <v>124</v>
      </c>
      <c r="B30" s="115"/>
      <c r="C30" s="115"/>
      <c r="D30" s="57" t="s">
        <v>121</v>
      </c>
      <c r="E30" s="57" t="s">
        <v>119</v>
      </c>
    </row>
    <row r="31" spans="1:5" ht="18" x14ac:dyDescent="0.25">
      <c r="A31" s="115" t="s">
        <v>125</v>
      </c>
      <c r="B31" s="115"/>
      <c r="C31" s="115"/>
      <c r="D31" s="57" t="s">
        <v>126</v>
      </c>
      <c r="E31" s="57" t="s">
        <v>235</v>
      </c>
    </row>
    <row r="32" spans="1:5" ht="18" x14ac:dyDescent="0.25">
      <c r="A32" s="70" t="s">
        <v>127</v>
      </c>
      <c r="B32" s="70"/>
      <c r="C32" s="70"/>
      <c r="D32" s="57" t="s">
        <v>128</v>
      </c>
      <c r="E32" s="57" t="s">
        <v>129</v>
      </c>
    </row>
    <row r="33" spans="1:5" ht="18" x14ac:dyDescent="0.25">
      <c r="A33" s="115" t="s">
        <v>130</v>
      </c>
      <c r="B33" s="115"/>
      <c r="C33" s="115"/>
      <c r="D33" s="57" t="s">
        <v>128</v>
      </c>
      <c r="E33" s="57" t="s">
        <v>129</v>
      </c>
    </row>
    <row r="34" spans="1:5" ht="18" x14ac:dyDescent="0.25">
      <c r="A34" s="115" t="s">
        <v>131</v>
      </c>
      <c r="B34" s="115"/>
      <c r="C34" s="115"/>
      <c r="D34" s="57" t="s">
        <v>128</v>
      </c>
      <c r="E34" s="57" t="s">
        <v>129</v>
      </c>
    </row>
    <row r="35" spans="1:5" ht="18" x14ac:dyDescent="0.25">
      <c r="A35" s="115" t="s">
        <v>132</v>
      </c>
      <c r="B35" s="115"/>
      <c r="C35" s="115"/>
      <c r="D35" s="57" t="s">
        <v>128</v>
      </c>
      <c r="E35" s="57" t="s">
        <v>129</v>
      </c>
    </row>
    <row r="36" spans="1:5" ht="18" x14ac:dyDescent="0.25">
      <c r="A36" s="115" t="s">
        <v>133</v>
      </c>
      <c r="B36" s="115"/>
      <c r="C36" s="115"/>
      <c r="D36" s="57" t="s">
        <v>128</v>
      </c>
      <c r="E36" s="57" t="s">
        <v>129</v>
      </c>
    </row>
    <row r="37" spans="1:5" ht="18" x14ac:dyDescent="0.25">
      <c r="A37" s="115" t="s">
        <v>134</v>
      </c>
      <c r="B37" s="115"/>
      <c r="C37" s="115"/>
      <c r="D37" s="57" t="s">
        <v>128</v>
      </c>
      <c r="E37" s="57" t="s">
        <v>129</v>
      </c>
    </row>
    <row r="38" spans="1:5" ht="18" x14ac:dyDescent="0.25">
      <c r="A38" s="115" t="s">
        <v>135</v>
      </c>
      <c r="B38" s="115"/>
      <c r="C38" s="115"/>
      <c r="D38" s="57" t="s">
        <v>128</v>
      </c>
      <c r="E38" s="57" t="s">
        <v>129</v>
      </c>
    </row>
    <row r="39" spans="1:5" ht="18" x14ac:dyDescent="0.25">
      <c r="A39" s="57" t="s">
        <v>136</v>
      </c>
      <c r="B39" s="57"/>
      <c r="C39" s="57"/>
      <c r="D39" s="62" t="s">
        <v>128</v>
      </c>
      <c r="E39" s="62" t="s">
        <v>129</v>
      </c>
    </row>
    <row r="40" spans="1:5" ht="18" x14ac:dyDescent="0.25">
      <c r="A40" s="115" t="s">
        <v>137</v>
      </c>
      <c r="B40" s="115"/>
      <c r="C40" s="115"/>
      <c r="D40" s="57" t="s">
        <v>128</v>
      </c>
      <c r="E40" s="57" t="s">
        <v>138</v>
      </c>
    </row>
    <row r="41" spans="1:5" ht="18" x14ac:dyDescent="0.25">
      <c r="A41" s="115" t="s">
        <v>139</v>
      </c>
      <c r="B41" s="115"/>
      <c r="C41" s="115"/>
      <c r="D41" s="57" t="s">
        <v>128</v>
      </c>
      <c r="E41" s="57" t="s">
        <v>138</v>
      </c>
    </row>
    <row r="42" spans="1:5" ht="18" x14ac:dyDescent="0.25">
      <c r="A42" s="118" t="s">
        <v>140</v>
      </c>
      <c r="B42" s="118"/>
      <c r="C42" s="118"/>
      <c r="D42" s="57" t="s">
        <v>141</v>
      </c>
      <c r="E42" s="57"/>
    </row>
    <row r="43" spans="1:5" ht="18" x14ac:dyDescent="0.25">
      <c r="A43" s="118" t="s">
        <v>142</v>
      </c>
      <c r="B43" s="118"/>
      <c r="C43" s="118"/>
      <c r="D43" s="57" t="s">
        <v>141</v>
      </c>
      <c r="E43" s="57"/>
    </row>
    <row r="44" spans="1:5" ht="18" x14ac:dyDescent="0.25">
      <c r="A44" s="118" t="s">
        <v>143</v>
      </c>
      <c r="B44" s="118"/>
      <c r="C44" s="118"/>
      <c r="D44" s="57" t="s">
        <v>144</v>
      </c>
      <c r="E44" s="57"/>
    </row>
    <row r="45" spans="1:5" ht="18" x14ac:dyDescent="0.25">
      <c r="A45" s="118" t="s">
        <v>145</v>
      </c>
      <c r="B45" s="118"/>
      <c r="C45" s="118"/>
      <c r="D45" s="57" t="s">
        <v>144</v>
      </c>
      <c r="E45" s="57"/>
    </row>
    <row r="46" spans="1:5" ht="18" x14ac:dyDescent="0.25">
      <c r="A46" s="118" t="s">
        <v>146</v>
      </c>
      <c r="B46" s="118"/>
      <c r="C46" s="118"/>
      <c r="D46" s="57" t="s">
        <v>144</v>
      </c>
      <c r="E46" s="57"/>
    </row>
  </sheetData>
  <mergeCells count="40"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  <mergeCell ref="A37:C37"/>
    <mergeCell ref="A38:C38"/>
    <mergeCell ref="A40:C40"/>
    <mergeCell ref="A26:C26"/>
    <mergeCell ref="A27:C27"/>
    <mergeCell ref="A29:C29"/>
    <mergeCell ref="A30:C30"/>
    <mergeCell ref="A31:C31"/>
    <mergeCell ref="A33:C33"/>
    <mergeCell ref="A23:C23"/>
    <mergeCell ref="A24:C24"/>
    <mergeCell ref="A25:C25"/>
    <mergeCell ref="A21:C21"/>
    <mergeCell ref="A8:C8"/>
    <mergeCell ref="A9:C9"/>
    <mergeCell ref="A10:C10"/>
    <mergeCell ref="A22:C22"/>
    <mergeCell ref="A11:C11"/>
    <mergeCell ref="A12:C12"/>
    <mergeCell ref="A13:C13"/>
    <mergeCell ref="A15:C15"/>
    <mergeCell ref="A17:C17"/>
    <mergeCell ref="A18:C18"/>
    <mergeCell ref="A19:C19"/>
    <mergeCell ref="A7:C7"/>
    <mergeCell ref="A2:C2"/>
    <mergeCell ref="A3:C3"/>
    <mergeCell ref="A4:C4"/>
    <mergeCell ref="A5:C5"/>
    <mergeCell ref="A6:C6"/>
  </mergeCells>
  <pageMargins left="0.7" right="0.7" top="0.75" bottom="0.75" header="0.3" footer="0.3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activeCell="E14" sqref="E14"/>
    </sheetView>
  </sheetViews>
  <sheetFormatPr defaultRowHeight="12.75" x14ac:dyDescent="0.2"/>
  <cols>
    <col min="3" max="3" width="19" customWidth="1"/>
    <col min="4" max="4" width="22" customWidth="1"/>
    <col min="5" max="5" width="20.85546875" customWidth="1"/>
    <col min="6" max="6" width="15.5703125" customWidth="1"/>
  </cols>
  <sheetData>
    <row r="1" spans="1:6" ht="18.75" x14ac:dyDescent="0.3">
      <c r="A1" s="157" t="s">
        <v>237</v>
      </c>
      <c r="B1" s="157"/>
      <c r="C1" s="157"/>
      <c r="D1" s="157"/>
      <c r="E1" s="157"/>
      <c r="F1" s="157"/>
    </row>
    <row r="2" spans="1:6" ht="18.75" x14ac:dyDescent="0.3">
      <c r="A2" s="158" t="s">
        <v>238</v>
      </c>
      <c r="B2" s="158"/>
      <c r="C2" s="158"/>
      <c r="D2" s="158"/>
      <c r="E2" s="158"/>
      <c r="F2" s="158"/>
    </row>
    <row r="3" spans="1:6" ht="18.75" x14ac:dyDescent="0.3">
      <c r="A3" s="159"/>
      <c r="B3" s="159"/>
      <c r="C3" s="159"/>
      <c r="D3" s="3" t="s">
        <v>193</v>
      </c>
      <c r="E3" s="3" t="s">
        <v>194</v>
      </c>
      <c r="F3" s="28"/>
    </row>
    <row r="4" spans="1:6" ht="18.75" x14ac:dyDescent="0.3">
      <c r="A4" s="159" t="s">
        <v>195</v>
      </c>
      <c r="B4" s="159"/>
      <c r="C4" s="159"/>
      <c r="D4" s="29" t="e">
        <f>E4*12</f>
        <v>#REF!</v>
      </c>
      <c r="E4" s="29" t="e">
        <f>'April 2012'!#REF!</f>
        <v>#REF!</v>
      </c>
      <c r="F4" s="1"/>
    </row>
    <row r="5" spans="1:6" ht="18.75" x14ac:dyDescent="0.3">
      <c r="A5" s="159" t="s">
        <v>196</v>
      </c>
      <c r="B5" s="159"/>
      <c r="C5" s="159"/>
      <c r="D5" s="29" t="e">
        <f t="shared" ref="D5:D14" si="0">E5*12</f>
        <v>#REF!</v>
      </c>
      <c r="E5" s="29" t="e">
        <f>'April 2012'!#REF!</f>
        <v>#REF!</v>
      </c>
      <c r="F5" s="1"/>
    </row>
    <row r="6" spans="1:6" ht="18.75" x14ac:dyDescent="0.3">
      <c r="A6" s="159" t="s">
        <v>197</v>
      </c>
      <c r="B6" s="159"/>
      <c r="C6" s="159"/>
      <c r="D6" s="29" t="e">
        <f t="shared" si="0"/>
        <v>#REF!</v>
      </c>
      <c r="E6" s="29" t="e">
        <f>'April 2012'!#REF!</f>
        <v>#REF!</v>
      </c>
      <c r="F6" s="1"/>
    </row>
    <row r="7" spans="1:6" ht="18.75" x14ac:dyDescent="0.3">
      <c r="A7" s="159" t="s">
        <v>198</v>
      </c>
      <c r="B7" s="159"/>
      <c r="C7" s="159"/>
      <c r="D7" s="29">
        <f t="shared" si="0"/>
        <v>0</v>
      </c>
      <c r="E7" s="29">
        <f>sUMMARY!J5</f>
        <v>0</v>
      </c>
      <c r="F7" s="1"/>
    </row>
    <row r="8" spans="1:6" ht="18.75" x14ac:dyDescent="0.3">
      <c r="A8" s="159" t="s">
        <v>199</v>
      </c>
      <c r="B8" s="159"/>
      <c r="C8" s="159"/>
      <c r="D8" s="29" t="e">
        <f t="shared" si="0"/>
        <v>#REF!</v>
      </c>
      <c r="E8" s="29" t="e">
        <f>'April 2012'!#REF!</f>
        <v>#REF!</v>
      </c>
      <c r="F8" s="1"/>
    </row>
    <row r="9" spans="1:6" ht="18.75" x14ac:dyDescent="0.3">
      <c r="A9" s="159" t="s">
        <v>200</v>
      </c>
      <c r="B9" s="159"/>
      <c r="C9" s="159"/>
      <c r="D9" s="29" t="e">
        <f t="shared" si="0"/>
        <v>#REF!</v>
      </c>
      <c r="E9" s="29" t="e">
        <f>'April 2012'!#REF!</f>
        <v>#REF!</v>
      </c>
      <c r="F9" s="1"/>
    </row>
    <row r="10" spans="1:6" ht="18.75" x14ac:dyDescent="0.3">
      <c r="A10" s="159" t="s">
        <v>201</v>
      </c>
      <c r="B10" s="159"/>
      <c r="C10" s="159"/>
      <c r="D10" s="29" t="e">
        <f t="shared" si="0"/>
        <v>#REF!</v>
      </c>
      <c r="E10" s="29" t="e">
        <f>'April 2012'!#REF!</f>
        <v>#REF!</v>
      </c>
      <c r="F10" s="1"/>
    </row>
    <row r="11" spans="1:6" ht="18.75" x14ac:dyDescent="0.3">
      <c r="A11" s="160" t="s">
        <v>209</v>
      </c>
      <c r="B11" s="161"/>
      <c r="C11" s="162"/>
      <c r="D11" s="29">
        <f t="shared" si="0"/>
        <v>0</v>
      </c>
      <c r="E11" s="29">
        <v>0</v>
      </c>
      <c r="F11" s="1"/>
    </row>
    <row r="12" spans="1:6" ht="18.75" x14ac:dyDescent="0.3">
      <c r="A12" s="159" t="s">
        <v>202</v>
      </c>
      <c r="B12" s="159"/>
      <c r="C12" s="159"/>
      <c r="D12" s="29" t="e">
        <f t="shared" si="0"/>
        <v>#REF!</v>
      </c>
      <c r="E12" s="29" t="e">
        <f>'April 2012'!#REF!</f>
        <v>#REF!</v>
      </c>
      <c r="F12" s="1"/>
    </row>
    <row r="13" spans="1:6" ht="18.75" x14ac:dyDescent="0.3">
      <c r="A13" s="159" t="s">
        <v>203</v>
      </c>
      <c r="B13" s="159"/>
      <c r="C13" s="159"/>
      <c r="D13" s="29" t="e">
        <f t="shared" si="0"/>
        <v>#REF!</v>
      </c>
      <c r="E13" s="29" t="e">
        <f>'April 2012'!#REF!</f>
        <v>#REF!</v>
      </c>
      <c r="F13" s="1"/>
    </row>
    <row r="14" spans="1:6" ht="18.75" x14ac:dyDescent="0.3">
      <c r="A14" s="156" t="s">
        <v>204</v>
      </c>
      <c r="B14" s="156"/>
      <c r="C14" s="156"/>
      <c r="D14" s="30" t="e">
        <f t="shared" si="0"/>
        <v>#REF!</v>
      </c>
      <c r="E14" s="30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3:C13"/>
    <mergeCell ref="A14:C14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April 2012</vt:lpstr>
      <vt:lpstr>MEMO</vt:lpstr>
      <vt:lpstr>17.7</vt:lpstr>
      <vt:lpstr>16.7</vt:lpstr>
      <vt:lpstr>15.9</vt:lpstr>
      <vt:lpstr>13.7</vt:lpstr>
      <vt:lpstr>12.7</vt:lpstr>
      <vt:lpstr>10.7</vt:lpstr>
      <vt:lpstr>9.7</vt:lpstr>
      <vt:lpstr>8.7</vt:lpstr>
      <vt:lpstr>sUMMARY</vt:lpstr>
      <vt:lpstr>14.7</vt:lpstr>
      <vt:lpstr>Sheet2</vt:lpstr>
      <vt:lpstr>5.7</vt:lpstr>
      <vt:lpstr>'April 2012'!Print_Area</vt:lpstr>
      <vt:lpstr>MEMO!Print_Area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2026-03-28T20:05:05Z</dcterms:modified>
  <cp:category/>
  <cp:contentStatus/>
</cp:coreProperties>
</file>